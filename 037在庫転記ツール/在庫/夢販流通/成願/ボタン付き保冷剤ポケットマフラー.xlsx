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58400am\Desktop\newapp\037在庫転記ツール\在庫\夢販流通\成願\"/>
    </mc:Choice>
  </mc:AlternateContent>
  <xr:revisionPtr revIDLastSave="0" documentId="13_ncr:1_{6B10FCDB-7E85-4834-ADA6-7A5CF564D894}" xr6:coauthVersionLast="47" xr6:coauthVersionMax="47" xr10:uidLastSave="{00000000-0000-0000-0000-000000000000}"/>
  <bookViews>
    <workbookView xWindow="12465" yWindow="1410" windowWidth="16065" windowHeight="12450" activeTab="1" xr2:uid="{00000000-000D-0000-FFFF-FFFF00000000}"/>
  </bookViews>
  <sheets>
    <sheet name="2025保冷剤ﾏﾌﾗｰ" sheetId="2" r:id="rId1"/>
    <sheet name="2026保冷剤ﾏﾌﾗｰ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653" i="2" l="1"/>
  <c r="AK653" i="2"/>
  <c r="AN653" i="2"/>
  <c r="AQ653" i="2"/>
  <c r="AR653" i="2" s="1"/>
  <c r="AG654" i="2"/>
  <c r="AK654" i="2"/>
  <c r="AN654" i="2"/>
  <c r="AQ654" i="2"/>
  <c r="AR654" i="2" s="1"/>
  <c r="AG655" i="2"/>
  <c r="AK655" i="2"/>
  <c r="AR655" i="2" s="1"/>
  <c r="AN655" i="2"/>
  <c r="AQ655" i="2"/>
  <c r="AG656" i="2"/>
  <c r="AK656" i="2"/>
  <c r="AN656" i="2"/>
  <c r="AQ656" i="2"/>
  <c r="AR656" i="2"/>
  <c r="AG657" i="2"/>
  <c r="AK657" i="2"/>
  <c r="AN657" i="2"/>
  <c r="AQ657" i="2"/>
  <c r="AR657" i="2" s="1"/>
  <c r="AG658" i="2"/>
  <c r="AK658" i="2"/>
  <c r="AN658" i="2"/>
  <c r="AR658" i="2" s="1"/>
  <c r="AQ658" i="2"/>
  <c r="AG659" i="2"/>
  <c r="AK659" i="2"/>
  <c r="AR659" i="2" s="1"/>
  <c r="AN659" i="2"/>
  <c r="AQ659" i="2"/>
  <c r="AG647" i="2"/>
  <c r="AK647" i="2"/>
  <c r="AN647" i="2"/>
  <c r="AQ647" i="2"/>
  <c r="AR647" i="2" s="1"/>
  <c r="AG648" i="2"/>
  <c r="AK648" i="2"/>
  <c r="AN648" i="2"/>
  <c r="AQ648" i="2"/>
  <c r="AR648" i="2" s="1"/>
  <c r="AP678" i="2"/>
  <c r="AO678" i="2"/>
  <c r="AM678" i="2"/>
  <c r="AL678" i="2"/>
  <c r="AN678" i="2" s="1"/>
  <c r="AJ678" i="2"/>
  <c r="AI678" i="2"/>
  <c r="AH678" i="2"/>
  <c r="AF678" i="2"/>
  <c r="AG678" i="2" s="1"/>
  <c r="AE678" i="2"/>
  <c r="AD678" i="2"/>
  <c r="AQ677" i="2"/>
  <c r="AR677" i="2" s="1"/>
  <c r="AN677" i="2"/>
  <c r="AK677" i="2"/>
  <c r="AG677" i="2"/>
  <c r="AQ676" i="2"/>
  <c r="AN676" i="2"/>
  <c r="AK676" i="2"/>
  <c r="AG676" i="2"/>
  <c r="AR676" i="2" s="1"/>
  <c r="AQ675" i="2"/>
  <c r="AR675" i="2" s="1"/>
  <c r="AN675" i="2"/>
  <c r="AK675" i="2"/>
  <c r="AG675" i="2"/>
  <c r="AQ674" i="2"/>
  <c r="AR674" i="2" s="1"/>
  <c r="AN674" i="2"/>
  <c r="AK674" i="2"/>
  <c r="AG674" i="2"/>
  <c r="AQ673" i="2"/>
  <c r="AR673" i="2" s="1"/>
  <c r="AN673" i="2"/>
  <c r="AK673" i="2"/>
  <c r="AG673" i="2"/>
  <c r="AQ672" i="2"/>
  <c r="AN672" i="2"/>
  <c r="AK672" i="2"/>
  <c r="AG672" i="2"/>
  <c r="AR672" i="2" s="1"/>
  <c r="AQ671" i="2"/>
  <c r="AN671" i="2"/>
  <c r="AR671" i="2" s="1"/>
  <c r="AK671" i="2"/>
  <c r="AG671" i="2"/>
  <c r="AQ670" i="2"/>
  <c r="AR670" i="2" s="1"/>
  <c r="AN670" i="2"/>
  <c r="AK670" i="2"/>
  <c r="AG670" i="2"/>
  <c r="AQ669" i="2"/>
  <c r="AR669" i="2" s="1"/>
  <c r="AN669" i="2"/>
  <c r="AK669" i="2"/>
  <c r="AG669" i="2"/>
  <c r="AQ668" i="2"/>
  <c r="AN668" i="2"/>
  <c r="AK668" i="2"/>
  <c r="AG668" i="2"/>
  <c r="AR668" i="2" s="1"/>
  <c r="AQ667" i="2"/>
  <c r="AN667" i="2"/>
  <c r="AR667" i="2" s="1"/>
  <c r="AK667" i="2"/>
  <c r="AG667" i="2"/>
  <c r="AQ666" i="2"/>
  <c r="AR666" i="2" s="1"/>
  <c r="AN666" i="2"/>
  <c r="AK666" i="2"/>
  <c r="AG666" i="2"/>
  <c r="AQ665" i="2"/>
  <c r="AR665" i="2" s="1"/>
  <c r="AN665" i="2"/>
  <c r="AK665" i="2"/>
  <c r="AG665" i="2"/>
  <c r="AQ664" i="2"/>
  <c r="AN664" i="2"/>
  <c r="AK664" i="2"/>
  <c r="AG664" i="2"/>
  <c r="AR664" i="2" s="1"/>
  <c r="AQ663" i="2"/>
  <c r="AN663" i="2"/>
  <c r="AR663" i="2" s="1"/>
  <c r="AK663" i="2"/>
  <c r="AG663" i="2"/>
  <c r="AQ662" i="2"/>
  <c r="AR662" i="2" s="1"/>
  <c r="AN662" i="2"/>
  <c r="AK662" i="2"/>
  <c r="AG662" i="2"/>
  <c r="AQ661" i="2"/>
  <c r="AR661" i="2" s="1"/>
  <c r="AN661" i="2"/>
  <c r="AK661" i="2"/>
  <c r="AG661" i="2"/>
  <c r="AQ660" i="2"/>
  <c r="AN660" i="2"/>
  <c r="AK660" i="2"/>
  <c r="AG660" i="2"/>
  <c r="AR660" i="2" s="1"/>
  <c r="AQ651" i="2"/>
  <c r="AR651" i="2" s="1"/>
  <c r="AN651" i="2"/>
  <c r="AK651" i="2"/>
  <c r="AG651" i="2"/>
  <c r="AQ650" i="2"/>
  <c r="AN650" i="2"/>
  <c r="AK650" i="2"/>
  <c r="AG650" i="2"/>
  <c r="AR650" i="2" s="1"/>
  <c r="AQ649" i="2"/>
  <c r="AR649" i="2" s="1"/>
  <c r="AN649" i="2"/>
  <c r="AK649" i="2"/>
  <c r="AG649" i="2"/>
  <c r="AR646" i="2"/>
  <c r="AQ646" i="2"/>
  <c r="AP646" i="2"/>
  <c r="AP652" i="2" s="1"/>
  <c r="AO646" i="2"/>
  <c r="AO652" i="2" s="1"/>
  <c r="AN646" i="2"/>
  <c r="AM646" i="2"/>
  <c r="AM652" i="2" s="1"/>
  <c r="AM679" i="2" s="1"/>
  <c r="AL646" i="2"/>
  <c r="AL652" i="2" s="1"/>
  <c r="AK646" i="2"/>
  <c r="AJ646" i="2"/>
  <c r="AJ652" i="2" s="1"/>
  <c r="AJ679" i="2" s="1"/>
  <c r="AI646" i="2"/>
  <c r="AI652" i="2" s="1"/>
  <c r="AI679" i="2" s="1"/>
  <c r="AH646" i="2"/>
  <c r="AH652" i="2" s="1"/>
  <c r="AG646" i="2"/>
  <c r="AF646" i="2"/>
  <c r="AF652" i="2" s="1"/>
  <c r="AE646" i="2"/>
  <c r="AE652" i="2" s="1"/>
  <c r="AE679" i="2" s="1"/>
  <c r="AD646" i="2"/>
  <c r="AD652" i="2" s="1"/>
  <c r="F653" i="2"/>
  <c r="J653" i="2"/>
  <c r="M653" i="2"/>
  <c r="P653" i="2"/>
  <c r="F654" i="2"/>
  <c r="J654" i="2"/>
  <c r="M654" i="2"/>
  <c r="P654" i="2"/>
  <c r="Q654" i="2" s="1"/>
  <c r="F655" i="2"/>
  <c r="J655" i="2"/>
  <c r="Q655" i="2" s="1"/>
  <c r="M655" i="2"/>
  <c r="P655" i="2"/>
  <c r="F656" i="2"/>
  <c r="J656" i="2"/>
  <c r="M656" i="2"/>
  <c r="P656" i="2"/>
  <c r="Q656" i="2"/>
  <c r="F657" i="2"/>
  <c r="J657" i="2"/>
  <c r="M657" i="2"/>
  <c r="P657" i="2"/>
  <c r="Q657" i="2" s="1"/>
  <c r="F658" i="2"/>
  <c r="J658" i="2"/>
  <c r="M658" i="2"/>
  <c r="Q658" i="2" s="1"/>
  <c r="P658" i="2"/>
  <c r="F659" i="2"/>
  <c r="J659" i="2"/>
  <c r="Q659" i="2" s="1"/>
  <c r="M659" i="2"/>
  <c r="P659" i="2"/>
  <c r="F660" i="2"/>
  <c r="J660" i="2"/>
  <c r="M660" i="2"/>
  <c r="P660" i="2"/>
  <c r="Q660" i="2"/>
  <c r="F661" i="2"/>
  <c r="J661" i="2"/>
  <c r="M661" i="2"/>
  <c r="P661" i="2"/>
  <c r="Q661" i="2" s="1"/>
  <c r="F662" i="2"/>
  <c r="J662" i="2"/>
  <c r="M662" i="2"/>
  <c r="Q662" i="2" s="1"/>
  <c r="P662" i="2"/>
  <c r="F663" i="2"/>
  <c r="J663" i="2"/>
  <c r="Q663" i="2" s="1"/>
  <c r="M663" i="2"/>
  <c r="P663" i="2"/>
  <c r="F664" i="2"/>
  <c r="J664" i="2"/>
  <c r="M664" i="2"/>
  <c r="P664" i="2"/>
  <c r="Q664" i="2"/>
  <c r="F665" i="2"/>
  <c r="J665" i="2"/>
  <c r="M665" i="2"/>
  <c r="P665" i="2"/>
  <c r="Q665" i="2" s="1"/>
  <c r="F666" i="2"/>
  <c r="J666" i="2"/>
  <c r="M666" i="2"/>
  <c r="Q666" i="2" s="1"/>
  <c r="P666" i="2"/>
  <c r="F667" i="2"/>
  <c r="J667" i="2"/>
  <c r="Q667" i="2" s="1"/>
  <c r="M667" i="2"/>
  <c r="P667" i="2"/>
  <c r="F668" i="2"/>
  <c r="J668" i="2"/>
  <c r="M668" i="2"/>
  <c r="P668" i="2"/>
  <c r="Q668" i="2"/>
  <c r="F669" i="2"/>
  <c r="J669" i="2"/>
  <c r="M669" i="2"/>
  <c r="P669" i="2"/>
  <c r="Q669" i="2" s="1"/>
  <c r="F670" i="2"/>
  <c r="J670" i="2"/>
  <c r="M670" i="2"/>
  <c r="Q670" i="2" s="1"/>
  <c r="P670" i="2"/>
  <c r="F671" i="2"/>
  <c r="J671" i="2"/>
  <c r="Q671" i="2" s="1"/>
  <c r="M671" i="2"/>
  <c r="P671" i="2"/>
  <c r="F672" i="2"/>
  <c r="J672" i="2"/>
  <c r="M672" i="2"/>
  <c r="P672" i="2"/>
  <c r="Q672" i="2"/>
  <c r="F673" i="2"/>
  <c r="J673" i="2"/>
  <c r="M673" i="2"/>
  <c r="P673" i="2"/>
  <c r="Q673" i="2" s="1"/>
  <c r="F674" i="2"/>
  <c r="J674" i="2"/>
  <c r="M674" i="2"/>
  <c r="Q674" i="2" s="1"/>
  <c r="P674" i="2"/>
  <c r="F675" i="2"/>
  <c r="J675" i="2"/>
  <c r="Q675" i="2" s="1"/>
  <c r="M675" i="2"/>
  <c r="P675" i="2"/>
  <c r="O678" i="2"/>
  <c r="N678" i="2"/>
  <c r="L678" i="2"/>
  <c r="K678" i="2"/>
  <c r="I678" i="2"/>
  <c r="H678" i="2"/>
  <c r="G678" i="2"/>
  <c r="E678" i="2"/>
  <c r="D678" i="2"/>
  <c r="C678" i="2"/>
  <c r="P677" i="2"/>
  <c r="Q677" i="2" s="1"/>
  <c r="M677" i="2"/>
  <c r="J677" i="2"/>
  <c r="F677" i="2"/>
  <c r="Q676" i="2"/>
  <c r="P676" i="2"/>
  <c r="M676" i="2"/>
  <c r="J676" i="2"/>
  <c r="F676" i="2"/>
  <c r="P678" i="2"/>
  <c r="P651" i="2"/>
  <c r="Q651" i="2" s="1"/>
  <c r="M651" i="2"/>
  <c r="J651" i="2"/>
  <c r="F651" i="2"/>
  <c r="P650" i="2"/>
  <c r="M650" i="2"/>
  <c r="J650" i="2"/>
  <c r="F650" i="2"/>
  <c r="P649" i="2"/>
  <c r="M649" i="2"/>
  <c r="J649" i="2"/>
  <c r="F649" i="2"/>
  <c r="P648" i="2"/>
  <c r="Q648" i="2" s="1"/>
  <c r="M648" i="2"/>
  <c r="J648" i="2"/>
  <c r="F648" i="2"/>
  <c r="P647" i="2"/>
  <c r="Q647" i="2" s="1"/>
  <c r="M647" i="2"/>
  <c r="J647" i="2"/>
  <c r="F647" i="2"/>
  <c r="O646" i="2"/>
  <c r="O652" i="2" s="1"/>
  <c r="M646" i="2"/>
  <c r="M652" i="2" s="1"/>
  <c r="L646" i="2"/>
  <c r="L652" i="2" s="1"/>
  <c r="K646" i="2"/>
  <c r="K652" i="2" s="1"/>
  <c r="H646" i="2"/>
  <c r="H652" i="2" s="1"/>
  <c r="E646" i="2"/>
  <c r="E652" i="2" s="1"/>
  <c r="E679" i="2" s="1"/>
  <c r="C646" i="2"/>
  <c r="C652" i="2" s="1"/>
  <c r="AG637" i="2"/>
  <c r="AK637" i="2"/>
  <c r="AN637" i="2"/>
  <c r="AQ637" i="2"/>
  <c r="AR637" i="2" s="1"/>
  <c r="T7" i="3"/>
  <c r="W7" i="3"/>
  <c r="AD7" i="3" s="1"/>
  <c r="Z7" i="3"/>
  <c r="AC7" i="3"/>
  <c r="AC46" i="3"/>
  <c r="Z46" i="3"/>
  <c r="W46" i="3"/>
  <c r="T46" i="3"/>
  <c r="AD46" i="3" s="1"/>
  <c r="AG573" i="2"/>
  <c r="AK573" i="2"/>
  <c r="AN573" i="2"/>
  <c r="AQ573" i="2"/>
  <c r="AR573" i="2" s="1"/>
  <c r="AG574" i="2"/>
  <c r="AK574" i="2"/>
  <c r="AN574" i="2"/>
  <c r="AQ574" i="2"/>
  <c r="AR574" i="2"/>
  <c r="AQ614" i="2"/>
  <c r="AR614" i="2" s="1"/>
  <c r="AN614" i="2"/>
  <c r="AK614" i="2"/>
  <c r="AG614" i="2"/>
  <c r="AQ613" i="2"/>
  <c r="AN613" i="2"/>
  <c r="AR613" i="2" s="1"/>
  <c r="AK613" i="2"/>
  <c r="AG613" i="2"/>
  <c r="AR615" i="2"/>
  <c r="AQ615" i="2"/>
  <c r="AN615" i="2"/>
  <c r="AK615" i="2"/>
  <c r="AG615" i="2"/>
  <c r="F637" i="2"/>
  <c r="J637" i="2"/>
  <c r="M637" i="2"/>
  <c r="P637" i="2"/>
  <c r="Q637" i="2"/>
  <c r="AB77" i="3"/>
  <c r="AA77" i="3"/>
  <c r="Y77" i="3"/>
  <c r="X77" i="3"/>
  <c r="V77" i="3"/>
  <c r="U77" i="3"/>
  <c r="S77" i="3"/>
  <c r="R77" i="3"/>
  <c r="AC76" i="3"/>
  <c r="Z76" i="3"/>
  <c r="W76" i="3"/>
  <c r="T76" i="3"/>
  <c r="AD76" i="3" s="1"/>
  <c r="AC75" i="3"/>
  <c r="Z75" i="3"/>
  <c r="W75" i="3"/>
  <c r="T75" i="3"/>
  <c r="AD75" i="3" s="1"/>
  <c r="AC74" i="3"/>
  <c r="Z74" i="3"/>
  <c r="W74" i="3"/>
  <c r="T74" i="3"/>
  <c r="AD74" i="3" s="1"/>
  <c r="AC73" i="3"/>
  <c r="Z73" i="3"/>
  <c r="W73" i="3"/>
  <c r="T73" i="3"/>
  <c r="AD73" i="3" s="1"/>
  <c r="AC72" i="3"/>
  <c r="Z72" i="3"/>
  <c r="W72" i="3"/>
  <c r="T72" i="3"/>
  <c r="AD72" i="3" s="1"/>
  <c r="AC71" i="3"/>
  <c r="Z71" i="3"/>
  <c r="W71" i="3"/>
  <c r="T71" i="3"/>
  <c r="AD71" i="3" s="1"/>
  <c r="AC70" i="3"/>
  <c r="Z70" i="3"/>
  <c r="W70" i="3"/>
  <c r="T70" i="3"/>
  <c r="AD70" i="3" s="1"/>
  <c r="AC69" i="3"/>
  <c r="Z69" i="3"/>
  <c r="W69" i="3"/>
  <c r="T69" i="3"/>
  <c r="AD69" i="3" s="1"/>
  <c r="AC68" i="3"/>
  <c r="Z68" i="3"/>
  <c r="W68" i="3"/>
  <c r="T68" i="3"/>
  <c r="AD68" i="3" s="1"/>
  <c r="AC67" i="3"/>
  <c r="Z67" i="3"/>
  <c r="W67" i="3"/>
  <c r="T67" i="3"/>
  <c r="AD67" i="3" s="1"/>
  <c r="AC66" i="3"/>
  <c r="Z66" i="3"/>
  <c r="W66" i="3"/>
  <c r="T66" i="3"/>
  <c r="AD66" i="3" s="1"/>
  <c r="AC65" i="3"/>
  <c r="Z65" i="3"/>
  <c r="W65" i="3"/>
  <c r="T65" i="3"/>
  <c r="AD65" i="3" s="1"/>
  <c r="AC64" i="3"/>
  <c r="Z64" i="3"/>
  <c r="W64" i="3"/>
  <c r="T64" i="3"/>
  <c r="AD64" i="3" s="1"/>
  <c r="AC63" i="3"/>
  <c r="Z63" i="3"/>
  <c r="W63" i="3"/>
  <c r="T63" i="3"/>
  <c r="AD63" i="3" s="1"/>
  <c r="AC62" i="3"/>
  <c r="Z62" i="3"/>
  <c r="W62" i="3"/>
  <c r="T62" i="3"/>
  <c r="AD62" i="3" s="1"/>
  <c r="AC61" i="3"/>
  <c r="Z61" i="3"/>
  <c r="W61" i="3"/>
  <c r="T61" i="3"/>
  <c r="AD61" i="3" s="1"/>
  <c r="AC60" i="3"/>
  <c r="Z60" i="3"/>
  <c r="W60" i="3"/>
  <c r="T60" i="3"/>
  <c r="AD60" i="3" s="1"/>
  <c r="AC59" i="3"/>
  <c r="Z59" i="3"/>
  <c r="W59" i="3"/>
  <c r="T59" i="3"/>
  <c r="AD59" i="3" s="1"/>
  <c r="AC58" i="3"/>
  <c r="Z58" i="3"/>
  <c r="W58" i="3"/>
  <c r="T58" i="3"/>
  <c r="AD58" i="3" s="1"/>
  <c r="AC57" i="3"/>
  <c r="Z57" i="3"/>
  <c r="W57" i="3"/>
  <c r="T57" i="3"/>
  <c r="AD57" i="3" s="1"/>
  <c r="AC56" i="3"/>
  <c r="Z56" i="3"/>
  <c r="W56" i="3"/>
  <c r="T56" i="3"/>
  <c r="AD56" i="3" s="1"/>
  <c r="AC55" i="3"/>
  <c r="Z55" i="3"/>
  <c r="W55" i="3"/>
  <c r="T55" i="3"/>
  <c r="AD55" i="3" s="1"/>
  <c r="AC54" i="3"/>
  <c r="Z54" i="3"/>
  <c r="W54" i="3"/>
  <c r="T54" i="3"/>
  <c r="AD54" i="3" s="1"/>
  <c r="AC53" i="3"/>
  <c r="Z53" i="3"/>
  <c r="W53" i="3"/>
  <c r="T53" i="3"/>
  <c r="AC52" i="3"/>
  <c r="AC77" i="3" s="1"/>
  <c r="Z52" i="3"/>
  <c r="W52" i="3"/>
  <c r="W77" i="3" s="1"/>
  <c r="T52" i="3"/>
  <c r="AD52" i="3" s="1"/>
  <c r="AC50" i="3"/>
  <c r="Z50" i="3"/>
  <c r="W50" i="3"/>
  <c r="T50" i="3"/>
  <c r="AC49" i="3"/>
  <c r="Z49" i="3"/>
  <c r="W49" i="3"/>
  <c r="T49" i="3"/>
  <c r="AD49" i="3" s="1"/>
  <c r="AC48" i="3"/>
  <c r="Z48" i="3"/>
  <c r="W48" i="3"/>
  <c r="T48" i="3"/>
  <c r="AD48" i="3" s="1"/>
  <c r="AC47" i="3"/>
  <c r="Z47" i="3"/>
  <c r="W47" i="3"/>
  <c r="T47" i="3"/>
  <c r="AD47" i="3" s="1"/>
  <c r="AB37" i="3"/>
  <c r="AA37" i="3"/>
  <c r="Y37" i="3"/>
  <c r="X37" i="3"/>
  <c r="V37" i="3"/>
  <c r="U37" i="3"/>
  <c r="S37" i="3"/>
  <c r="R37" i="3"/>
  <c r="AC36" i="3"/>
  <c r="Z36" i="3"/>
  <c r="W36" i="3"/>
  <c r="T36" i="3"/>
  <c r="AC35" i="3"/>
  <c r="Z35" i="3"/>
  <c r="W35" i="3"/>
  <c r="T35" i="3"/>
  <c r="AD35" i="3" s="1"/>
  <c r="AC34" i="3"/>
  <c r="Z34" i="3"/>
  <c r="W34" i="3"/>
  <c r="T34" i="3"/>
  <c r="AD34" i="3" s="1"/>
  <c r="AC33" i="3"/>
  <c r="Z33" i="3"/>
  <c r="W33" i="3"/>
  <c r="T33" i="3"/>
  <c r="AD33" i="3" s="1"/>
  <c r="AC32" i="3"/>
  <c r="Z32" i="3"/>
  <c r="W32" i="3"/>
  <c r="T32" i="3"/>
  <c r="AC31" i="3"/>
  <c r="Z31" i="3"/>
  <c r="W31" i="3"/>
  <c r="T31" i="3"/>
  <c r="AD31" i="3" s="1"/>
  <c r="AC30" i="3"/>
  <c r="Z30" i="3"/>
  <c r="W30" i="3"/>
  <c r="T30" i="3"/>
  <c r="AD30" i="3" s="1"/>
  <c r="AC29" i="3"/>
  <c r="Z29" i="3"/>
  <c r="W29" i="3"/>
  <c r="T29" i="3"/>
  <c r="AD29" i="3" s="1"/>
  <c r="AC28" i="3"/>
  <c r="Z28" i="3"/>
  <c r="W28" i="3"/>
  <c r="T28" i="3"/>
  <c r="AC27" i="3"/>
  <c r="Z27" i="3"/>
  <c r="W27" i="3"/>
  <c r="T27" i="3"/>
  <c r="AD27" i="3" s="1"/>
  <c r="AC26" i="3"/>
  <c r="Z26" i="3"/>
  <c r="W26" i="3"/>
  <c r="T26" i="3"/>
  <c r="AD26" i="3" s="1"/>
  <c r="AC25" i="3"/>
  <c r="Z25" i="3"/>
  <c r="W25" i="3"/>
  <c r="T25" i="3"/>
  <c r="AD25" i="3" s="1"/>
  <c r="AC24" i="3"/>
  <c r="Z24" i="3"/>
  <c r="W24" i="3"/>
  <c r="T24" i="3"/>
  <c r="AC23" i="3"/>
  <c r="Z23" i="3"/>
  <c r="W23" i="3"/>
  <c r="T23" i="3"/>
  <c r="AD23" i="3" s="1"/>
  <c r="AC22" i="3"/>
  <c r="Z22" i="3"/>
  <c r="W22" i="3"/>
  <c r="T22" i="3"/>
  <c r="AD22" i="3" s="1"/>
  <c r="AC21" i="3"/>
  <c r="Z21" i="3"/>
  <c r="W21" i="3"/>
  <c r="T21" i="3"/>
  <c r="AD21" i="3" s="1"/>
  <c r="AC20" i="3"/>
  <c r="Z20" i="3"/>
  <c r="W20" i="3"/>
  <c r="T20" i="3"/>
  <c r="AC19" i="3"/>
  <c r="Z19" i="3"/>
  <c r="W19" i="3"/>
  <c r="T19" i="3"/>
  <c r="AD19" i="3" s="1"/>
  <c r="AC18" i="3"/>
  <c r="Z18" i="3"/>
  <c r="W18" i="3"/>
  <c r="T18" i="3"/>
  <c r="AD18" i="3" s="1"/>
  <c r="AC17" i="3"/>
  <c r="Z17" i="3"/>
  <c r="W17" i="3"/>
  <c r="T17" i="3"/>
  <c r="AD17" i="3" s="1"/>
  <c r="AC16" i="3"/>
  <c r="Z16" i="3"/>
  <c r="W16" i="3"/>
  <c r="T16" i="3"/>
  <c r="AC15" i="3"/>
  <c r="Z15" i="3"/>
  <c r="W15" i="3"/>
  <c r="T15" i="3"/>
  <c r="AD15" i="3" s="1"/>
  <c r="AC14" i="3"/>
  <c r="Z14" i="3"/>
  <c r="W14" i="3"/>
  <c r="T14" i="3"/>
  <c r="AD14" i="3" s="1"/>
  <c r="AC13" i="3"/>
  <c r="Z13" i="3"/>
  <c r="W13" i="3"/>
  <c r="T13" i="3"/>
  <c r="AC12" i="3"/>
  <c r="AC37" i="3" s="1"/>
  <c r="Z12" i="3"/>
  <c r="W12" i="3"/>
  <c r="W37" i="3" s="1"/>
  <c r="T12" i="3"/>
  <c r="AB11" i="3"/>
  <c r="AA11" i="3"/>
  <c r="Y11" i="3"/>
  <c r="Y38" i="3" s="1"/>
  <c r="Y45" i="3" s="1"/>
  <c r="Y51" i="3" s="1"/>
  <c r="Y78" i="3" s="1"/>
  <c r="X11" i="3"/>
  <c r="V11" i="3"/>
  <c r="V38" i="3" s="1"/>
  <c r="V45" i="3" s="1"/>
  <c r="V51" i="3" s="1"/>
  <c r="V78" i="3" s="1"/>
  <c r="U11" i="3"/>
  <c r="U38" i="3" s="1"/>
  <c r="U45" i="3" s="1"/>
  <c r="S11" i="3"/>
  <c r="R11" i="3"/>
  <c r="R38" i="3" s="1"/>
  <c r="R45" i="3" s="1"/>
  <c r="AC10" i="3"/>
  <c r="Z10" i="3"/>
  <c r="W10" i="3"/>
  <c r="T10" i="3"/>
  <c r="AD10" i="3" s="1"/>
  <c r="AC9" i="3"/>
  <c r="Z9" i="3"/>
  <c r="W9" i="3"/>
  <c r="T9" i="3"/>
  <c r="AD9" i="3" s="1"/>
  <c r="AC8" i="3"/>
  <c r="Z8" i="3"/>
  <c r="W8" i="3"/>
  <c r="T8" i="3"/>
  <c r="AC6" i="3"/>
  <c r="Z6" i="3"/>
  <c r="W6" i="3"/>
  <c r="T6" i="3"/>
  <c r="AC5" i="3"/>
  <c r="Z5" i="3"/>
  <c r="W5" i="3"/>
  <c r="T5" i="3"/>
  <c r="M77" i="3"/>
  <c r="L77" i="3"/>
  <c r="J77" i="3"/>
  <c r="I77" i="3"/>
  <c r="G77" i="3"/>
  <c r="F77" i="3"/>
  <c r="D77" i="3"/>
  <c r="C77" i="3"/>
  <c r="N76" i="3"/>
  <c r="K76" i="3"/>
  <c r="H76" i="3"/>
  <c r="E76" i="3"/>
  <c r="N75" i="3"/>
  <c r="K75" i="3"/>
  <c r="H75" i="3"/>
  <c r="E75" i="3"/>
  <c r="N74" i="3"/>
  <c r="K74" i="3"/>
  <c r="H74" i="3"/>
  <c r="E74" i="3"/>
  <c r="N73" i="3"/>
  <c r="K73" i="3"/>
  <c r="H73" i="3"/>
  <c r="E73" i="3"/>
  <c r="N72" i="3"/>
  <c r="K72" i="3"/>
  <c r="H72" i="3"/>
  <c r="E72" i="3"/>
  <c r="N71" i="3"/>
  <c r="K71" i="3"/>
  <c r="H71" i="3"/>
  <c r="E71" i="3"/>
  <c r="N70" i="3"/>
  <c r="K70" i="3"/>
  <c r="H70" i="3"/>
  <c r="E70" i="3"/>
  <c r="N69" i="3"/>
  <c r="K69" i="3"/>
  <c r="H69" i="3"/>
  <c r="E69" i="3"/>
  <c r="N68" i="3"/>
  <c r="K68" i="3"/>
  <c r="H68" i="3"/>
  <c r="E68" i="3"/>
  <c r="N67" i="3"/>
  <c r="K67" i="3"/>
  <c r="H67" i="3"/>
  <c r="E67" i="3"/>
  <c r="N66" i="3"/>
  <c r="K66" i="3"/>
  <c r="H66" i="3"/>
  <c r="E66" i="3"/>
  <c r="N65" i="3"/>
  <c r="K65" i="3"/>
  <c r="H65" i="3"/>
  <c r="E65" i="3"/>
  <c r="N64" i="3"/>
  <c r="K64" i="3"/>
  <c r="H64" i="3"/>
  <c r="E64" i="3"/>
  <c r="N63" i="3"/>
  <c r="K63" i="3"/>
  <c r="H63" i="3"/>
  <c r="E63" i="3"/>
  <c r="O63" i="3" s="1"/>
  <c r="N62" i="3"/>
  <c r="K62" i="3"/>
  <c r="H62" i="3"/>
  <c r="E62" i="3"/>
  <c r="O62" i="3" s="1"/>
  <c r="N61" i="3"/>
  <c r="K61" i="3"/>
  <c r="H61" i="3"/>
  <c r="E61" i="3"/>
  <c r="O61" i="3" s="1"/>
  <c r="N60" i="3"/>
  <c r="K60" i="3"/>
  <c r="H60" i="3"/>
  <c r="E60" i="3"/>
  <c r="N59" i="3"/>
  <c r="K59" i="3"/>
  <c r="H59" i="3"/>
  <c r="E59" i="3"/>
  <c r="N58" i="3"/>
  <c r="K58" i="3"/>
  <c r="H58" i="3"/>
  <c r="E58" i="3"/>
  <c r="O58" i="3" s="1"/>
  <c r="N57" i="3"/>
  <c r="K57" i="3"/>
  <c r="H57" i="3"/>
  <c r="E57" i="3"/>
  <c r="N56" i="3"/>
  <c r="K56" i="3"/>
  <c r="H56" i="3"/>
  <c r="E56" i="3"/>
  <c r="O56" i="3" s="1"/>
  <c r="N55" i="3"/>
  <c r="K55" i="3"/>
  <c r="H55" i="3"/>
  <c r="E55" i="3"/>
  <c r="O55" i="3" s="1"/>
  <c r="N54" i="3"/>
  <c r="K54" i="3"/>
  <c r="H54" i="3"/>
  <c r="E54" i="3"/>
  <c r="O54" i="3" s="1"/>
  <c r="N53" i="3"/>
  <c r="K53" i="3"/>
  <c r="H53" i="3"/>
  <c r="E53" i="3"/>
  <c r="N52" i="3"/>
  <c r="K52" i="3"/>
  <c r="H52" i="3"/>
  <c r="E52" i="3"/>
  <c r="O52" i="3" s="1"/>
  <c r="N50" i="3"/>
  <c r="K50" i="3"/>
  <c r="H50" i="3"/>
  <c r="E50" i="3"/>
  <c r="O50" i="3" s="1"/>
  <c r="N49" i="3"/>
  <c r="K49" i="3"/>
  <c r="H49" i="3"/>
  <c r="E49" i="3"/>
  <c r="O49" i="3" s="1"/>
  <c r="N48" i="3"/>
  <c r="K48" i="3"/>
  <c r="H48" i="3"/>
  <c r="E48" i="3"/>
  <c r="O48" i="3" s="1"/>
  <c r="N47" i="3"/>
  <c r="K47" i="3"/>
  <c r="H47" i="3"/>
  <c r="E47" i="3"/>
  <c r="O47" i="3" s="1"/>
  <c r="N46" i="3"/>
  <c r="K46" i="3"/>
  <c r="H46" i="3"/>
  <c r="E46" i="3"/>
  <c r="O46" i="3" s="1"/>
  <c r="N5" i="3"/>
  <c r="K5" i="3"/>
  <c r="H5" i="3"/>
  <c r="E5" i="3"/>
  <c r="AQ607" i="2"/>
  <c r="AN607" i="2"/>
  <c r="AK607" i="2"/>
  <c r="AG607" i="2"/>
  <c r="P626" i="2"/>
  <c r="M626" i="2"/>
  <c r="J626" i="2"/>
  <c r="F626" i="2"/>
  <c r="P625" i="2"/>
  <c r="M625" i="2"/>
  <c r="Q625" i="2" s="1"/>
  <c r="J625" i="2"/>
  <c r="F625" i="2"/>
  <c r="P624" i="2"/>
  <c r="M624" i="2"/>
  <c r="J624" i="2"/>
  <c r="F624" i="2"/>
  <c r="P623" i="2"/>
  <c r="M623" i="2"/>
  <c r="Q623" i="2" s="1"/>
  <c r="J623" i="2"/>
  <c r="F623" i="2"/>
  <c r="P622" i="2"/>
  <c r="M622" i="2"/>
  <c r="J622" i="2"/>
  <c r="F622" i="2"/>
  <c r="P621" i="2"/>
  <c r="M621" i="2"/>
  <c r="Q621" i="2" s="1"/>
  <c r="J621" i="2"/>
  <c r="F621" i="2"/>
  <c r="P620" i="2"/>
  <c r="M620" i="2"/>
  <c r="J620" i="2"/>
  <c r="F620" i="2"/>
  <c r="P619" i="2"/>
  <c r="M619" i="2"/>
  <c r="J619" i="2"/>
  <c r="F619" i="2"/>
  <c r="P618" i="2"/>
  <c r="M618" i="2"/>
  <c r="J618" i="2"/>
  <c r="F618" i="2"/>
  <c r="P617" i="2"/>
  <c r="M617" i="2"/>
  <c r="Q617" i="2" s="1"/>
  <c r="J617" i="2"/>
  <c r="F617" i="2"/>
  <c r="P616" i="2"/>
  <c r="Q616" i="2" s="1"/>
  <c r="M616" i="2"/>
  <c r="J616" i="2"/>
  <c r="F616" i="2"/>
  <c r="P615" i="2"/>
  <c r="M615" i="2"/>
  <c r="Q615" i="2" s="1"/>
  <c r="J615" i="2"/>
  <c r="F615" i="2"/>
  <c r="P614" i="2"/>
  <c r="M614" i="2"/>
  <c r="J614" i="2"/>
  <c r="F614" i="2"/>
  <c r="P613" i="2"/>
  <c r="M613" i="2"/>
  <c r="J613" i="2"/>
  <c r="F613" i="2"/>
  <c r="AP638" i="2"/>
  <c r="AO638" i="2"/>
  <c r="AM638" i="2"/>
  <c r="AL638" i="2"/>
  <c r="AJ638" i="2"/>
  <c r="AI638" i="2"/>
  <c r="AH638" i="2"/>
  <c r="AF638" i="2"/>
  <c r="AE638" i="2"/>
  <c r="AD638" i="2"/>
  <c r="O638" i="2"/>
  <c r="N638" i="2"/>
  <c r="L638" i="2"/>
  <c r="K638" i="2"/>
  <c r="I638" i="2"/>
  <c r="H638" i="2"/>
  <c r="G638" i="2"/>
  <c r="E638" i="2"/>
  <c r="D638" i="2"/>
  <c r="C638" i="2"/>
  <c r="AQ636" i="2"/>
  <c r="AR636" i="2" s="1"/>
  <c r="AN636" i="2"/>
  <c r="AK636" i="2"/>
  <c r="AG636" i="2"/>
  <c r="P636" i="2"/>
  <c r="M636" i="2"/>
  <c r="J636" i="2"/>
  <c r="F636" i="2"/>
  <c r="AQ635" i="2"/>
  <c r="AR635" i="2" s="1"/>
  <c r="AN635" i="2"/>
  <c r="AK635" i="2"/>
  <c r="AG635" i="2"/>
  <c r="P635" i="2"/>
  <c r="M635" i="2"/>
  <c r="J635" i="2"/>
  <c r="F635" i="2"/>
  <c r="AQ634" i="2"/>
  <c r="AR634" i="2" s="1"/>
  <c r="AN634" i="2"/>
  <c r="AK634" i="2"/>
  <c r="AG634" i="2"/>
  <c r="P634" i="2"/>
  <c r="Q634" i="2" s="1"/>
  <c r="M634" i="2"/>
  <c r="J634" i="2"/>
  <c r="F634" i="2"/>
  <c r="AQ633" i="2"/>
  <c r="AR633" i="2" s="1"/>
  <c r="AN633" i="2"/>
  <c r="AK633" i="2"/>
  <c r="AG633" i="2"/>
  <c r="P633" i="2"/>
  <c r="Q633" i="2" s="1"/>
  <c r="M633" i="2"/>
  <c r="J633" i="2"/>
  <c r="F633" i="2"/>
  <c r="AQ632" i="2"/>
  <c r="AR632" i="2" s="1"/>
  <c r="AN632" i="2"/>
  <c r="AK632" i="2"/>
  <c r="AG632" i="2"/>
  <c r="P632" i="2"/>
  <c r="M632" i="2"/>
  <c r="Q632" i="2" s="1"/>
  <c r="J632" i="2"/>
  <c r="F632" i="2"/>
  <c r="AQ631" i="2"/>
  <c r="AR631" i="2" s="1"/>
  <c r="AN631" i="2"/>
  <c r="AK631" i="2"/>
  <c r="AG631" i="2"/>
  <c r="P631" i="2"/>
  <c r="M631" i="2"/>
  <c r="J631" i="2"/>
  <c r="F631" i="2"/>
  <c r="AQ630" i="2"/>
  <c r="AR630" i="2" s="1"/>
  <c r="AN630" i="2"/>
  <c r="AK630" i="2"/>
  <c r="AG630" i="2"/>
  <c r="P630" i="2"/>
  <c r="M630" i="2"/>
  <c r="J630" i="2"/>
  <c r="F630" i="2"/>
  <c r="AQ629" i="2"/>
  <c r="AR629" i="2" s="1"/>
  <c r="AN629" i="2"/>
  <c r="AK629" i="2"/>
  <c r="AG629" i="2"/>
  <c r="P629" i="2"/>
  <c r="M629" i="2"/>
  <c r="J629" i="2"/>
  <c r="F629" i="2"/>
  <c r="AQ628" i="2"/>
  <c r="AR628" i="2" s="1"/>
  <c r="AN628" i="2"/>
  <c r="AK628" i="2"/>
  <c r="AG628" i="2"/>
  <c r="P628" i="2"/>
  <c r="M628" i="2"/>
  <c r="J628" i="2"/>
  <c r="F628" i="2"/>
  <c r="AQ627" i="2"/>
  <c r="AR627" i="2" s="1"/>
  <c r="AN627" i="2"/>
  <c r="AK627" i="2"/>
  <c r="AG627" i="2"/>
  <c r="P627" i="2"/>
  <c r="M627" i="2"/>
  <c r="J627" i="2"/>
  <c r="F627" i="2"/>
  <c r="AQ626" i="2"/>
  <c r="AR626" i="2" s="1"/>
  <c r="AN626" i="2"/>
  <c r="AK626" i="2"/>
  <c r="AG626" i="2"/>
  <c r="AQ625" i="2"/>
  <c r="AR625" i="2" s="1"/>
  <c r="AN625" i="2"/>
  <c r="AK625" i="2"/>
  <c r="AG625" i="2"/>
  <c r="AQ624" i="2"/>
  <c r="AR624" i="2" s="1"/>
  <c r="AN624" i="2"/>
  <c r="AK624" i="2"/>
  <c r="AG624" i="2"/>
  <c r="AQ623" i="2"/>
  <c r="AR623" i="2" s="1"/>
  <c r="AN623" i="2"/>
  <c r="AK623" i="2"/>
  <c r="AG623" i="2"/>
  <c r="AQ622" i="2"/>
  <c r="AR622" i="2" s="1"/>
  <c r="AN622" i="2"/>
  <c r="AK622" i="2"/>
  <c r="AG622" i="2"/>
  <c r="AQ621" i="2"/>
  <c r="AR621" i="2" s="1"/>
  <c r="AN621" i="2"/>
  <c r="AK621" i="2"/>
  <c r="AG621" i="2"/>
  <c r="AQ620" i="2"/>
  <c r="AR620" i="2" s="1"/>
  <c r="AN620" i="2"/>
  <c r="AK620" i="2"/>
  <c r="AG620" i="2"/>
  <c r="AQ619" i="2"/>
  <c r="AR619" i="2" s="1"/>
  <c r="AN619" i="2"/>
  <c r="AK619" i="2"/>
  <c r="AG619" i="2"/>
  <c r="AQ618" i="2"/>
  <c r="AN618" i="2"/>
  <c r="AK618" i="2"/>
  <c r="AG618" i="2"/>
  <c r="AQ617" i="2"/>
  <c r="AN617" i="2"/>
  <c r="AK617" i="2"/>
  <c r="AG617" i="2"/>
  <c r="AQ616" i="2"/>
  <c r="AR616" i="2" s="1"/>
  <c r="AN616" i="2"/>
  <c r="AK616" i="2"/>
  <c r="AG616" i="2"/>
  <c r="AQ611" i="2"/>
  <c r="AR611" i="2" s="1"/>
  <c r="AN611" i="2"/>
  <c r="AK611" i="2"/>
  <c r="AG611" i="2"/>
  <c r="P611" i="2"/>
  <c r="M611" i="2"/>
  <c r="J611" i="2"/>
  <c r="F611" i="2"/>
  <c r="AQ610" i="2"/>
  <c r="AR610" i="2" s="1"/>
  <c r="AN610" i="2"/>
  <c r="AK610" i="2"/>
  <c r="AG610" i="2"/>
  <c r="P610" i="2"/>
  <c r="M610" i="2"/>
  <c r="J610" i="2"/>
  <c r="F610" i="2"/>
  <c r="AQ609" i="2"/>
  <c r="AR609" i="2" s="1"/>
  <c r="AN609" i="2"/>
  <c r="AK609" i="2"/>
  <c r="AG609" i="2"/>
  <c r="P609" i="2"/>
  <c r="M609" i="2"/>
  <c r="J609" i="2"/>
  <c r="F609" i="2"/>
  <c r="AQ608" i="2"/>
  <c r="AR608" i="2" s="1"/>
  <c r="AN608" i="2"/>
  <c r="AK608" i="2"/>
  <c r="AG608" i="2"/>
  <c r="P608" i="2"/>
  <c r="M608" i="2"/>
  <c r="J608" i="2"/>
  <c r="F608" i="2"/>
  <c r="P607" i="2"/>
  <c r="M607" i="2"/>
  <c r="J607" i="2"/>
  <c r="F607" i="2"/>
  <c r="L37" i="3"/>
  <c r="N36" i="3"/>
  <c r="K36" i="3"/>
  <c r="H36" i="3"/>
  <c r="E36" i="3"/>
  <c r="O36" i="3" s="1"/>
  <c r="N35" i="3"/>
  <c r="K35" i="3"/>
  <c r="H35" i="3"/>
  <c r="E35" i="3"/>
  <c r="O35" i="3" s="1"/>
  <c r="N34" i="3"/>
  <c r="K34" i="3"/>
  <c r="H34" i="3"/>
  <c r="E34" i="3"/>
  <c r="O34" i="3" s="1"/>
  <c r="N33" i="3"/>
  <c r="K33" i="3"/>
  <c r="H33" i="3"/>
  <c r="E33" i="3"/>
  <c r="O33" i="3" s="1"/>
  <c r="N32" i="3"/>
  <c r="K32" i="3"/>
  <c r="H32" i="3"/>
  <c r="E32" i="3"/>
  <c r="O32" i="3" s="1"/>
  <c r="N31" i="3"/>
  <c r="K31" i="3"/>
  <c r="H31" i="3"/>
  <c r="E31" i="3"/>
  <c r="N30" i="3"/>
  <c r="K30" i="3"/>
  <c r="H30" i="3"/>
  <c r="E30" i="3"/>
  <c r="N29" i="3"/>
  <c r="K29" i="3"/>
  <c r="H29" i="3"/>
  <c r="E29" i="3"/>
  <c r="N28" i="3"/>
  <c r="K28" i="3"/>
  <c r="H28" i="3"/>
  <c r="E28" i="3"/>
  <c r="O28" i="3" s="1"/>
  <c r="N27" i="3"/>
  <c r="K27" i="3"/>
  <c r="H27" i="3"/>
  <c r="E27" i="3"/>
  <c r="O27" i="3" s="1"/>
  <c r="N26" i="3"/>
  <c r="K26" i="3"/>
  <c r="G37" i="3"/>
  <c r="E26" i="3"/>
  <c r="N25" i="3"/>
  <c r="K25" i="3"/>
  <c r="H25" i="3"/>
  <c r="E25" i="3"/>
  <c r="O25" i="3" s="1"/>
  <c r="N24" i="3"/>
  <c r="K24" i="3"/>
  <c r="H24" i="3"/>
  <c r="E24" i="3"/>
  <c r="O24" i="3" s="1"/>
  <c r="N23" i="3"/>
  <c r="K23" i="3"/>
  <c r="H23" i="3"/>
  <c r="E23" i="3"/>
  <c r="O23" i="3" s="1"/>
  <c r="N22" i="3"/>
  <c r="K22" i="3"/>
  <c r="H22" i="3"/>
  <c r="E22" i="3"/>
  <c r="N21" i="3"/>
  <c r="K21" i="3"/>
  <c r="H21" i="3"/>
  <c r="E21" i="3"/>
  <c r="O21" i="3" s="1"/>
  <c r="N20" i="3"/>
  <c r="K20" i="3"/>
  <c r="H20" i="3"/>
  <c r="E20" i="3"/>
  <c r="O20" i="3" s="1"/>
  <c r="N19" i="3"/>
  <c r="K19" i="3"/>
  <c r="H19" i="3"/>
  <c r="E19" i="3"/>
  <c r="N18" i="3"/>
  <c r="K18" i="3"/>
  <c r="H18" i="3"/>
  <c r="E18" i="3"/>
  <c r="N17" i="3"/>
  <c r="K17" i="3"/>
  <c r="H17" i="3"/>
  <c r="E17" i="3"/>
  <c r="N16" i="3"/>
  <c r="K16" i="3"/>
  <c r="H16" i="3"/>
  <c r="E16" i="3"/>
  <c r="N15" i="3"/>
  <c r="K15" i="3"/>
  <c r="H15" i="3"/>
  <c r="E15" i="3"/>
  <c r="N14" i="3"/>
  <c r="K14" i="3"/>
  <c r="H14" i="3"/>
  <c r="E14" i="3"/>
  <c r="O14" i="3" s="1"/>
  <c r="N13" i="3"/>
  <c r="K13" i="3"/>
  <c r="H13" i="3"/>
  <c r="E13" i="3"/>
  <c r="K12" i="3"/>
  <c r="H12" i="3"/>
  <c r="N10" i="3"/>
  <c r="K10" i="3"/>
  <c r="H10" i="3"/>
  <c r="E10" i="3"/>
  <c r="N9" i="3"/>
  <c r="K9" i="3"/>
  <c r="H9" i="3"/>
  <c r="E9" i="3"/>
  <c r="N8" i="3"/>
  <c r="K8" i="3"/>
  <c r="H8" i="3"/>
  <c r="E8" i="3"/>
  <c r="O8" i="3" s="1"/>
  <c r="N7" i="3"/>
  <c r="K7" i="3"/>
  <c r="H7" i="3"/>
  <c r="E7" i="3"/>
  <c r="N6" i="3"/>
  <c r="K6" i="3"/>
  <c r="H6" i="3"/>
  <c r="E6" i="3"/>
  <c r="M11" i="3"/>
  <c r="J11" i="3"/>
  <c r="G11" i="3"/>
  <c r="D11" i="3"/>
  <c r="P571" i="2"/>
  <c r="M571" i="2"/>
  <c r="J571" i="2"/>
  <c r="F571" i="2"/>
  <c r="P570" i="2"/>
  <c r="M570" i="2"/>
  <c r="J570" i="2"/>
  <c r="F570" i="2"/>
  <c r="P569" i="2"/>
  <c r="M569" i="2"/>
  <c r="J569" i="2"/>
  <c r="F569" i="2"/>
  <c r="P568" i="2"/>
  <c r="M568" i="2"/>
  <c r="J568" i="2"/>
  <c r="F568" i="2"/>
  <c r="P567" i="2"/>
  <c r="M567" i="2"/>
  <c r="J567" i="2"/>
  <c r="F567" i="2"/>
  <c r="P597" i="2"/>
  <c r="M597" i="2"/>
  <c r="J597" i="2"/>
  <c r="F597" i="2"/>
  <c r="P596" i="2"/>
  <c r="M596" i="2"/>
  <c r="J596" i="2"/>
  <c r="F596" i="2"/>
  <c r="P595" i="2"/>
  <c r="M595" i="2"/>
  <c r="J595" i="2"/>
  <c r="F595" i="2"/>
  <c r="P594" i="2"/>
  <c r="M594" i="2"/>
  <c r="J594" i="2"/>
  <c r="F594" i="2"/>
  <c r="P593" i="2"/>
  <c r="M593" i="2"/>
  <c r="J593" i="2"/>
  <c r="F593" i="2"/>
  <c r="P592" i="2"/>
  <c r="M592" i="2"/>
  <c r="J592" i="2"/>
  <c r="F592" i="2"/>
  <c r="P591" i="2"/>
  <c r="M591" i="2"/>
  <c r="J591" i="2"/>
  <c r="F591" i="2"/>
  <c r="P590" i="2"/>
  <c r="M590" i="2"/>
  <c r="J590" i="2"/>
  <c r="F590" i="2"/>
  <c r="P589" i="2"/>
  <c r="M589" i="2"/>
  <c r="J589" i="2"/>
  <c r="F589" i="2"/>
  <c r="P588" i="2"/>
  <c r="M588" i="2"/>
  <c r="J588" i="2"/>
  <c r="F588" i="2"/>
  <c r="P587" i="2"/>
  <c r="M587" i="2"/>
  <c r="J587" i="2"/>
  <c r="F587" i="2"/>
  <c r="P586" i="2"/>
  <c r="M586" i="2"/>
  <c r="J586" i="2"/>
  <c r="F586" i="2"/>
  <c r="P585" i="2"/>
  <c r="M585" i="2"/>
  <c r="J585" i="2"/>
  <c r="F585" i="2"/>
  <c r="P584" i="2"/>
  <c r="M584" i="2"/>
  <c r="J584" i="2"/>
  <c r="F584" i="2"/>
  <c r="Q584" i="2" s="1"/>
  <c r="P583" i="2"/>
  <c r="M583" i="2"/>
  <c r="J583" i="2"/>
  <c r="F583" i="2"/>
  <c r="P582" i="2"/>
  <c r="M582" i="2"/>
  <c r="J582" i="2"/>
  <c r="F582" i="2"/>
  <c r="P581" i="2"/>
  <c r="M581" i="2"/>
  <c r="J581" i="2"/>
  <c r="F581" i="2"/>
  <c r="P580" i="2"/>
  <c r="M580" i="2"/>
  <c r="J580" i="2"/>
  <c r="F580" i="2"/>
  <c r="P579" i="2"/>
  <c r="M579" i="2"/>
  <c r="J579" i="2"/>
  <c r="F579" i="2"/>
  <c r="P578" i="2"/>
  <c r="M578" i="2"/>
  <c r="J578" i="2"/>
  <c r="F578" i="2"/>
  <c r="P577" i="2"/>
  <c r="M577" i="2"/>
  <c r="J577" i="2"/>
  <c r="F577" i="2"/>
  <c r="P576" i="2"/>
  <c r="M576" i="2"/>
  <c r="J576" i="2"/>
  <c r="F576" i="2"/>
  <c r="P575" i="2"/>
  <c r="M575" i="2"/>
  <c r="J575" i="2"/>
  <c r="F575" i="2"/>
  <c r="P574" i="2"/>
  <c r="M574" i="2"/>
  <c r="J574" i="2"/>
  <c r="F574" i="2"/>
  <c r="P573" i="2"/>
  <c r="M573" i="2"/>
  <c r="J573" i="2"/>
  <c r="F573" i="2"/>
  <c r="AP598" i="2"/>
  <c r="AO598" i="2"/>
  <c r="AM598" i="2"/>
  <c r="AL598" i="2"/>
  <c r="AJ598" i="2"/>
  <c r="AI598" i="2"/>
  <c r="AH598" i="2"/>
  <c r="AF598" i="2"/>
  <c r="AE598" i="2"/>
  <c r="AD598" i="2"/>
  <c r="O598" i="2"/>
  <c r="N598" i="2"/>
  <c r="C598" i="2"/>
  <c r="AQ597" i="2"/>
  <c r="AN597" i="2"/>
  <c r="AK597" i="2"/>
  <c r="AG597" i="2"/>
  <c r="AQ596" i="2"/>
  <c r="AN596" i="2"/>
  <c r="AK596" i="2"/>
  <c r="AG596" i="2"/>
  <c r="AQ595" i="2"/>
  <c r="AN595" i="2"/>
  <c r="AK595" i="2"/>
  <c r="AG595" i="2"/>
  <c r="AQ594" i="2"/>
  <c r="AN594" i="2"/>
  <c r="AK594" i="2"/>
  <c r="AG594" i="2"/>
  <c r="AQ593" i="2"/>
  <c r="AN593" i="2"/>
  <c r="AK593" i="2"/>
  <c r="AG593" i="2"/>
  <c r="AQ592" i="2"/>
  <c r="AN592" i="2"/>
  <c r="AK592" i="2"/>
  <c r="AG592" i="2"/>
  <c r="AQ591" i="2"/>
  <c r="AN591" i="2"/>
  <c r="AK591" i="2"/>
  <c r="AG591" i="2"/>
  <c r="AQ590" i="2"/>
  <c r="AN590" i="2"/>
  <c r="AK590" i="2"/>
  <c r="AG590" i="2"/>
  <c r="AQ589" i="2"/>
  <c r="AN589" i="2"/>
  <c r="AK589" i="2"/>
  <c r="AG589" i="2"/>
  <c r="AQ588" i="2"/>
  <c r="AN588" i="2"/>
  <c r="AK588" i="2"/>
  <c r="AG588" i="2"/>
  <c r="AQ587" i="2"/>
  <c r="AN587" i="2"/>
  <c r="AK587" i="2"/>
  <c r="AG587" i="2"/>
  <c r="AQ586" i="2"/>
  <c r="AN586" i="2"/>
  <c r="AK586" i="2"/>
  <c r="AG586" i="2"/>
  <c r="AQ585" i="2"/>
  <c r="AN585" i="2"/>
  <c r="AK585" i="2"/>
  <c r="AG585" i="2"/>
  <c r="I598" i="2"/>
  <c r="H598" i="2"/>
  <c r="G598" i="2"/>
  <c r="AQ584" i="2"/>
  <c r="AR584" i="2" s="1"/>
  <c r="AN584" i="2"/>
  <c r="AK584" i="2"/>
  <c r="AG584" i="2"/>
  <c r="AQ583" i="2"/>
  <c r="AN583" i="2"/>
  <c r="AK583" i="2"/>
  <c r="AG583" i="2"/>
  <c r="AQ582" i="2"/>
  <c r="AR582" i="2" s="1"/>
  <c r="AN582" i="2"/>
  <c r="AK582" i="2"/>
  <c r="AG582" i="2"/>
  <c r="AQ581" i="2"/>
  <c r="AN581" i="2"/>
  <c r="AK581" i="2"/>
  <c r="AG581" i="2"/>
  <c r="AR581" i="2" s="1"/>
  <c r="AQ580" i="2"/>
  <c r="AN580" i="2"/>
  <c r="AK580" i="2"/>
  <c r="AG580" i="2"/>
  <c r="D598" i="2"/>
  <c r="AQ579" i="2"/>
  <c r="AN579" i="2"/>
  <c r="AK579" i="2"/>
  <c r="AG579" i="2"/>
  <c r="AQ578" i="2"/>
  <c r="AN578" i="2"/>
  <c r="AK578" i="2"/>
  <c r="AG578" i="2"/>
  <c r="AQ577" i="2"/>
  <c r="AN577" i="2"/>
  <c r="AK577" i="2"/>
  <c r="AG577" i="2"/>
  <c r="AQ576" i="2"/>
  <c r="AN576" i="2"/>
  <c r="AK576" i="2"/>
  <c r="AG576" i="2"/>
  <c r="AQ575" i="2"/>
  <c r="AN575" i="2"/>
  <c r="AK575" i="2"/>
  <c r="AG575" i="2"/>
  <c r="AQ571" i="2"/>
  <c r="AN571" i="2"/>
  <c r="AK571" i="2"/>
  <c r="AG571" i="2"/>
  <c r="AQ570" i="2"/>
  <c r="AR570" i="2" s="1"/>
  <c r="AN570" i="2"/>
  <c r="AK570" i="2"/>
  <c r="AG570" i="2"/>
  <c r="AQ569" i="2"/>
  <c r="AN569" i="2"/>
  <c r="AK569" i="2"/>
  <c r="AG569" i="2"/>
  <c r="AQ568" i="2"/>
  <c r="AN568" i="2"/>
  <c r="AK568" i="2"/>
  <c r="AG568" i="2"/>
  <c r="AQ567" i="2"/>
  <c r="AN567" i="2"/>
  <c r="AK567" i="2"/>
  <c r="AG567" i="2"/>
  <c r="P530" i="2"/>
  <c r="M530" i="2"/>
  <c r="J530" i="2"/>
  <c r="F530" i="2"/>
  <c r="AN498" i="2"/>
  <c r="F529" i="2"/>
  <c r="K546" i="2"/>
  <c r="G545" i="2"/>
  <c r="J545" i="2" s="1"/>
  <c r="I545" i="2"/>
  <c r="H545" i="2"/>
  <c r="K545" i="2"/>
  <c r="M545" i="2" s="1"/>
  <c r="E545" i="2"/>
  <c r="C545" i="2"/>
  <c r="E541" i="2"/>
  <c r="F541" i="2" s="1"/>
  <c r="K540" i="2"/>
  <c r="E540" i="2"/>
  <c r="C540" i="2"/>
  <c r="G540" i="2"/>
  <c r="J540" i="2" s="1"/>
  <c r="I540" i="2"/>
  <c r="L540" i="2"/>
  <c r="M540" i="2" s="1"/>
  <c r="D540" i="2"/>
  <c r="L539" i="2"/>
  <c r="M539" i="2"/>
  <c r="E536" i="2"/>
  <c r="F536" i="2" s="1"/>
  <c r="I536" i="2"/>
  <c r="J536" i="2" s="1"/>
  <c r="G536" i="2"/>
  <c r="G558" i="2" s="1"/>
  <c r="C536" i="2"/>
  <c r="L536" i="2"/>
  <c r="K536" i="2"/>
  <c r="E534" i="2"/>
  <c r="C534" i="2"/>
  <c r="F534" i="2" s="1"/>
  <c r="I534" i="2"/>
  <c r="J534" i="2" s="1"/>
  <c r="L534" i="2"/>
  <c r="K533" i="2"/>
  <c r="M533" i="2" s="1"/>
  <c r="AP558" i="2"/>
  <c r="AO558" i="2"/>
  <c r="AQ558" i="2" s="1"/>
  <c r="AN558" i="2"/>
  <c r="AM558" i="2"/>
  <c r="AL558" i="2"/>
  <c r="AJ558" i="2"/>
  <c r="AI558" i="2"/>
  <c r="AH558" i="2"/>
  <c r="AF558" i="2"/>
  <c r="AE558" i="2"/>
  <c r="AD558" i="2"/>
  <c r="P528" i="2"/>
  <c r="M528" i="2"/>
  <c r="J528" i="2"/>
  <c r="F528" i="2"/>
  <c r="P534" i="2"/>
  <c r="AP518" i="2"/>
  <c r="AO518" i="2"/>
  <c r="AQ499" i="2"/>
  <c r="AN499" i="2"/>
  <c r="AK499" i="2"/>
  <c r="AG499" i="2"/>
  <c r="F527" i="2"/>
  <c r="F507" i="2"/>
  <c r="J507" i="2"/>
  <c r="M507" i="2"/>
  <c r="P507" i="2"/>
  <c r="P533" i="2"/>
  <c r="J533" i="2"/>
  <c r="F533" i="2"/>
  <c r="P527" i="2"/>
  <c r="M527" i="2"/>
  <c r="J527" i="2"/>
  <c r="N506" i="2"/>
  <c r="P506" i="2" s="1"/>
  <c r="H506" i="2"/>
  <c r="L505" i="2"/>
  <c r="K505" i="2"/>
  <c r="M505" i="2"/>
  <c r="G505" i="2"/>
  <c r="H505" i="2"/>
  <c r="P491" i="2"/>
  <c r="M491" i="2"/>
  <c r="J491" i="2"/>
  <c r="F491" i="2"/>
  <c r="AG533" i="2"/>
  <c r="AK533" i="2"/>
  <c r="AN533" i="2"/>
  <c r="AQ533" i="2"/>
  <c r="AR533" i="2"/>
  <c r="AG534" i="2"/>
  <c r="AK534" i="2"/>
  <c r="AN534" i="2"/>
  <c r="AQ534" i="2"/>
  <c r="AR534" i="2" s="1"/>
  <c r="AG535" i="2"/>
  <c r="AK535" i="2"/>
  <c r="AN535" i="2"/>
  <c r="AQ535" i="2"/>
  <c r="AG536" i="2"/>
  <c r="AK536" i="2"/>
  <c r="AN536" i="2"/>
  <c r="AQ536" i="2"/>
  <c r="AG537" i="2"/>
  <c r="AK537" i="2"/>
  <c r="AN537" i="2"/>
  <c r="AQ537" i="2"/>
  <c r="AR537" i="2" s="1"/>
  <c r="AG538" i="2"/>
  <c r="AK538" i="2"/>
  <c r="AN538" i="2"/>
  <c r="AQ538" i="2"/>
  <c r="AR538" i="2" s="1"/>
  <c r="AG539" i="2"/>
  <c r="AK539" i="2"/>
  <c r="AN539" i="2"/>
  <c r="AR539" i="2" s="1"/>
  <c r="AQ539" i="2"/>
  <c r="AQ557" i="2"/>
  <c r="AN557" i="2"/>
  <c r="AK557" i="2"/>
  <c r="AG557" i="2"/>
  <c r="AQ556" i="2"/>
  <c r="AR556" i="2" s="1"/>
  <c r="AN556" i="2"/>
  <c r="AK556" i="2"/>
  <c r="AG556" i="2"/>
  <c r="AQ555" i="2"/>
  <c r="AR555" i="2" s="1"/>
  <c r="AN555" i="2"/>
  <c r="AK555" i="2"/>
  <c r="AG555" i="2"/>
  <c r="AQ554" i="2"/>
  <c r="AR554" i="2" s="1"/>
  <c r="AN554" i="2"/>
  <c r="AK554" i="2"/>
  <c r="AG554" i="2"/>
  <c r="AQ553" i="2"/>
  <c r="AN553" i="2"/>
  <c r="AK553" i="2"/>
  <c r="AG553" i="2"/>
  <c r="AQ552" i="2"/>
  <c r="AR552" i="2" s="1"/>
  <c r="AN552" i="2"/>
  <c r="AK552" i="2"/>
  <c r="AG552" i="2"/>
  <c r="AQ551" i="2"/>
  <c r="AR551" i="2" s="1"/>
  <c r="AN551" i="2"/>
  <c r="AK551" i="2"/>
  <c r="AG551" i="2"/>
  <c r="AQ550" i="2"/>
  <c r="AN550" i="2"/>
  <c r="AK550" i="2"/>
  <c r="AG550" i="2"/>
  <c r="AR550" i="2" s="1"/>
  <c r="AQ549" i="2"/>
  <c r="AN549" i="2"/>
  <c r="AK549" i="2"/>
  <c r="AG549" i="2"/>
  <c r="AQ548" i="2"/>
  <c r="AN548" i="2"/>
  <c r="AK548" i="2"/>
  <c r="AG548" i="2"/>
  <c r="AQ547" i="2"/>
  <c r="AN547" i="2"/>
  <c r="AK547" i="2"/>
  <c r="AG547" i="2"/>
  <c r="AQ546" i="2"/>
  <c r="AN546" i="2"/>
  <c r="AK546" i="2"/>
  <c r="AG546" i="2"/>
  <c r="AQ545" i="2"/>
  <c r="AN545" i="2"/>
  <c r="AK545" i="2"/>
  <c r="AG545" i="2"/>
  <c r="AQ544" i="2"/>
  <c r="AN544" i="2"/>
  <c r="AR544" i="2" s="1"/>
  <c r="AK544" i="2"/>
  <c r="AG544" i="2"/>
  <c r="AQ543" i="2"/>
  <c r="AN543" i="2"/>
  <c r="AK543" i="2"/>
  <c r="AG543" i="2"/>
  <c r="AQ542" i="2"/>
  <c r="AN542" i="2"/>
  <c r="AK542" i="2"/>
  <c r="AG542" i="2"/>
  <c r="AQ541" i="2"/>
  <c r="AN541" i="2"/>
  <c r="AR541" i="2" s="1"/>
  <c r="AK541" i="2"/>
  <c r="AG541" i="2"/>
  <c r="AQ540" i="2"/>
  <c r="AN540" i="2"/>
  <c r="AK540" i="2"/>
  <c r="AG540" i="2"/>
  <c r="AQ531" i="2"/>
  <c r="AN531" i="2"/>
  <c r="AR531" i="2" s="1"/>
  <c r="AK531" i="2"/>
  <c r="AG531" i="2"/>
  <c r="AQ530" i="2"/>
  <c r="AN530" i="2"/>
  <c r="AK530" i="2"/>
  <c r="AG530" i="2"/>
  <c r="AQ529" i="2"/>
  <c r="AN529" i="2"/>
  <c r="AK529" i="2"/>
  <c r="AG529" i="2"/>
  <c r="AQ528" i="2"/>
  <c r="AN528" i="2"/>
  <c r="AK528" i="2"/>
  <c r="AG528" i="2"/>
  <c r="AQ527" i="2"/>
  <c r="AN527" i="2"/>
  <c r="AK527" i="2"/>
  <c r="AG527" i="2"/>
  <c r="D558" i="2"/>
  <c r="H558" i="2"/>
  <c r="N558" i="2"/>
  <c r="O558" i="2"/>
  <c r="C558" i="2"/>
  <c r="F535" i="2"/>
  <c r="J535" i="2"/>
  <c r="M535" i="2"/>
  <c r="P535" i="2"/>
  <c r="P536" i="2"/>
  <c r="F537" i="2"/>
  <c r="J537" i="2"/>
  <c r="M537" i="2"/>
  <c r="P537" i="2"/>
  <c r="F538" i="2"/>
  <c r="J538" i="2"/>
  <c r="M538" i="2"/>
  <c r="P538" i="2"/>
  <c r="F539" i="2"/>
  <c r="J539" i="2"/>
  <c r="P539" i="2"/>
  <c r="F540" i="2"/>
  <c r="P540" i="2"/>
  <c r="J541" i="2"/>
  <c r="M541" i="2"/>
  <c r="P541" i="2"/>
  <c r="F542" i="2"/>
  <c r="J542" i="2"/>
  <c r="M542" i="2"/>
  <c r="P542" i="2"/>
  <c r="F543" i="2"/>
  <c r="J543" i="2"/>
  <c r="M543" i="2"/>
  <c r="P543" i="2"/>
  <c r="F544" i="2"/>
  <c r="J544" i="2"/>
  <c r="M544" i="2"/>
  <c r="P544" i="2"/>
  <c r="P557" i="2"/>
  <c r="M557" i="2"/>
  <c r="J557" i="2"/>
  <c r="F557" i="2"/>
  <c r="P556" i="2"/>
  <c r="M556" i="2"/>
  <c r="J556" i="2"/>
  <c r="F556" i="2"/>
  <c r="P555" i="2"/>
  <c r="M555" i="2"/>
  <c r="J555" i="2"/>
  <c r="F555" i="2"/>
  <c r="P554" i="2"/>
  <c r="M554" i="2"/>
  <c r="J554" i="2"/>
  <c r="F554" i="2"/>
  <c r="P553" i="2"/>
  <c r="M553" i="2"/>
  <c r="J553" i="2"/>
  <c r="F553" i="2"/>
  <c r="P552" i="2"/>
  <c r="M552" i="2"/>
  <c r="J552" i="2"/>
  <c r="F552" i="2"/>
  <c r="P551" i="2"/>
  <c r="M551" i="2"/>
  <c r="J551" i="2"/>
  <c r="F551" i="2"/>
  <c r="P550" i="2"/>
  <c r="M550" i="2"/>
  <c r="J550" i="2"/>
  <c r="F550" i="2"/>
  <c r="P549" i="2"/>
  <c r="M549" i="2"/>
  <c r="J549" i="2"/>
  <c r="F549" i="2"/>
  <c r="P548" i="2"/>
  <c r="M548" i="2"/>
  <c r="J548" i="2"/>
  <c r="F548" i="2"/>
  <c r="P547" i="2"/>
  <c r="M547" i="2"/>
  <c r="J547" i="2"/>
  <c r="F547" i="2"/>
  <c r="P546" i="2"/>
  <c r="M546" i="2"/>
  <c r="J546" i="2"/>
  <c r="F546" i="2"/>
  <c r="P545" i="2"/>
  <c r="F545" i="2"/>
  <c r="P531" i="2"/>
  <c r="M531" i="2"/>
  <c r="J531" i="2"/>
  <c r="F531" i="2"/>
  <c r="P529" i="2"/>
  <c r="M529" i="2"/>
  <c r="J529" i="2"/>
  <c r="D518" i="2"/>
  <c r="L478" i="2"/>
  <c r="R478" i="2"/>
  <c r="H438" i="2"/>
  <c r="L438" i="2"/>
  <c r="O438" i="2"/>
  <c r="R438" i="2"/>
  <c r="S438" i="2"/>
  <c r="AG488" i="2"/>
  <c r="AK488" i="2"/>
  <c r="AN488" i="2"/>
  <c r="AQ488" i="2"/>
  <c r="AG447" i="2"/>
  <c r="AK447" i="2"/>
  <c r="AN447" i="2"/>
  <c r="AQ447" i="2"/>
  <c r="AG448" i="2"/>
  <c r="AK448" i="2"/>
  <c r="AN448" i="2"/>
  <c r="AQ448" i="2"/>
  <c r="C503" i="2"/>
  <c r="L503" i="2"/>
  <c r="I503" i="2"/>
  <c r="G503" i="2"/>
  <c r="J503" i="2" s="1"/>
  <c r="AQ497" i="2"/>
  <c r="AN497" i="2"/>
  <c r="AK497" i="2"/>
  <c r="AG497" i="2"/>
  <c r="AR497" i="2" s="1"/>
  <c r="K503" i="2"/>
  <c r="E503" i="2"/>
  <c r="O503" i="2"/>
  <c r="N503" i="2"/>
  <c r="H503" i="2"/>
  <c r="D503" i="2"/>
  <c r="O502" i="2"/>
  <c r="P502" i="2" s="1"/>
  <c r="E502" i="2"/>
  <c r="D502" i="2"/>
  <c r="K501" i="2"/>
  <c r="M501" i="2" s="1"/>
  <c r="E501" i="2"/>
  <c r="C501" i="2"/>
  <c r="L501" i="2"/>
  <c r="L500" i="2"/>
  <c r="M500" i="2" s="1"/>
  <c r="I500" i="2"/>
  <c r="J500" i="2" s="1"/>
  <c r="G500" i="2"/>
  <c r="E500" i="2"/>
  <c r="C500" i="2"/>
  <c r="AQ496" i="2"/>
  <c r="AR496" i="2" s="1"/>
  <c r="AN496" i="2"/>
  <c r="AK496" i="2"/>
  <c r="AG496" i="2"/>
  <c r="L499" i="2"/>
  <c r="M499" i="2" s="1"/>
  <c r="K499" i="2"/>
  <c r="O499" i="2"/>
  <c r="N499" i="2"/>
  <c r="P499" i="2" s="1"/>
  <c r="I499" i="2"/>
  <c r="G499" i="2"/>
  <c r="C499" i="2"/>
  <c r="H499" i="2"/>
  <c r="E499" i="2"/>
  <c r="D499" i="2"/>
  <c r="AQ495" i="2"/>
  <c r="AN495" i="2"/>
  <c r="AK495" i="2"/>
  <c r="AG495" i="2"/>
  <c r="N497" i="2"/>
  <c r="P497" i="2" s="1"/>
  <c r="K496" i="2"/>
  <c r="M496" i="2" s="1"/>
  <c r="N496" i="2"/>
  <c r="D496" i="2"/>
  <c r="L495" i="2"/>
  <c r="M495" i="2" s="1"/>
  <c r="C495" i="2"/>
  <c r="C518" i="2" s="1"/>
  <c r="I494" i="2"/>
  <c r="T461" i="2"/>
  <c r="U461" i="2" s="1"/>
  <c r="L494" i="2"/>
  <c r="N494" i="2"/>
  <c r="G494" i="2"/>
  <c r="J494" i="2" s="1"/>
  <c r="C494" i="2"/>
  <c r="AQ494" i="2"/>
  <c r="AN494" i="2"/>
  <c r="AG494" i="2"/>
  <c r="AK494" i="2"/>
  <c r="C493" i="2"/>
  <c r="E493" i="2"/>
  <c r="K493" i="2"/>
  <c r="M493" i="2" s="1"/>
  <c r="L493" i="2"/>
  <c r="O493" i="2"/>
  <c r="N493" i="2"/>
  <c r="I493" i="2"/>
  <c r="I518" i="2" s="1"/>
  <c r="G493" i="2"/>
  <c r="H493" i="2"/>
  <c r="J493" i="2" s="1"/>
  <c r="O468" i="2"/>
  <c r="M468" i="2"/>
  <c r="Q468" i="2"/>
  <c r="J487" i="2"/>
  <c r="F487" i="2"/>
  <c r="M487" i="2"/>
  <c r="P487" i="2"/>
  <c r="J490" i="2"/>
  <c r="F490" i="2"/>
  <c r="M490" i="2"/>
  <c r="P490" i="2"/>
  <c r="P489" i="2"/>
  <c r="M489" i="2"/>
  <c r="F489" i="2"/>
  <c r="J489" i="2"/>
  <c r="P488" i="2"/>
  <c r="M488" i="2"/>
  <c r="F488" i="2"/>
  <c r="J488" i="2"/>
  <c r="F494" i="2"/>
  <c r="M494" i="2"/>
  <c r="P494" i="2"/>
  <c r="J495" i="2"/>
  <c r="F495" i="2"/>
  <c r="P495" i="2"/>
  <c r="J496" i="2"/>
  <c r="F496" i="2"/>
  <c r="P496" i="2"/>
  <c r="J497" i="2"/>
  <c r="F497" i="2"/>
  <c r="M497" i="2"/>
  <c r="J498" i="2"/>
  <c r="F498" i="2"/>
  <c r="M498" i="2"/>
  <c r="P498" i="2"/>
  <c r="F500" i="2"/>
  <c r="P500" i="2"/>
  <c r="J501" i="2"/>
  <c r="F501" i="2"/>
  <c r="P501" i="2"/>
  <c r="J502" i="2"/>
  <c r="F502" i="2"/>
  <c r="M502" i="2"/>
  <c r="M503" i="2"/>
  <c r="J504" i="2"/>
  <c r="F504" i="2"/>
  <c r="M504" i="2"/>
  <c r="P504" i="2"/>
  <c r="J505" i="2"/>
  <c r="F505" i="2"/>
  <c r="P505" i="2"/>
  <c r="J506" i="2"/>
  <c r="F506" i="2"/>
  <c r="M506" i="2"/>
  <c r="J508" i="2"/>
  <c r="F508" i="2"/>
  <c r="M508" i="2"/>
  <c r="P508" i="2"/>
  <c r="J509" i="2"/>
  <c r="F509" i="2"/>
  <c r="M509" i="2"/>
  <c r="P509" i="2"/>
  <c r="J510" i="2"/>
  <c r="F510" i="2"/>
  <c r="M510" i="2"/>
  <c r="P510" i="2"/>
  <c r="J511" i="2"/>
  <c r="F511" i="2"/>
  <c r="M511" i="2"/>
  <c r="P511" i="2"/>
  <c r="Q511" i="2" s="1"/>
  <c r="AM518" i="2"/>
  <c r="AL518" i="2"/>
  <c r="AF518" i="2"/>
  <c r="AE518" i="2"/>
  <c r="AD518" i="2"/>
  <c r="AJ518" i="2"/>
  <c r="AI518" i="2"/>
  <c r="AH518" i="2"/>
  <c r="AQ517" i="2"/>
  <c r="AN517" i="2"/>
  <c r="AG517" i="2"/>
  <c r="AR517" i="2" s="1"/>
  <c r="AK517" i="2"/>
  <c r="P517" i="2"/>
  <c r="M517" i="2"/>
  <c r="F517" i="2"/>
  <c r="Q517" i="2" s="1"/>
  <c r="J517" i="2"/>
  <c r="AQ516" i="2"/>
  <c r="AN516" i="2"/>
  <c r="AG516" i="2"/>
  <c r="AK516" i="2"/>
  <c r="P516" i="2"/>
  <c r="M516" i="2"/>
  <c r="F516" i="2"/>
  <c r="J516" i="2"/>
  <c r="AQ515" i="2"/>
  <c r="AN515" i="2"/>
  <c r="AG515" i="2"/>
  <c r="AK515" i="2"/>
  <c r="P515" i="2"/>
  <c r="M515" i="2"/>
  <c r="F515" i="2"/>
  <c r="J515" i="2"/>
  <c r="AQ514" i="2"/>
  <c r="AN514" i="2"/>
  <c r="AG514" i="2"/>
  <c r="AR514" i="2" s="1"/>
  <c r="AK514" i="2"/>
  <c r="P514" i="2"/>
  <c r="M514" i="2"/>
  <c r="F514" i="2"/>
  <c r="J514" i="2"/>
  <c r="AQ513" i="2"/>
  <c r="AN513" i="2"/>
  <c r="AG513" i="2"/>
  <c r="AK513" i="2"/>
  <c r="P513" i="2"/>
  <c r="M513" i="2"/>
  <c r="F513" i="2"/>
  <c r="J513" i="2"/>
  <c r="Q513" i="2" s="1"/>
  <c r="AQ512" i="2"/>
  <c r="AN512" i="2"/>
  <c r="AG512" i="2"/>
  <c r="AK512" i="2"/>
  <c r="P512" i="2"/>
  <c r="M512" i="2"/>
  <c r="F512" i="2"/>
  <c r="J512" i="2"/>
  <c r="AQ511" i="2"/>
  <c r="AN511" i="2"/>
  <c r="AG511" i="2"/>
  <c r="AK511" i="2"/>
  <c r="AQ510" i="2"/>
  <c r="AN510" i="2"/>
  <c r="AG510" i="2"/>
  <c r="AK510" i="2"/>
  <c r="AQ509" i="2"/>
  <c r="AN509" i="2"/>
  <c r="AG509" i="2"/>
  <c r="AK509" i="2"/>
  <c r="AQ508" i="2"/>
  <c r="AN508" i="2"/>
  <c r="AG508" i="2"/>
  <c r="AK508" i="2"/>
  <c r="AR508" i="2" s="1"/>
  <c r="AQ507" i="2"/>
  <c r="AN507" i="2"/>
  <c r="AG507" i="2"/>
  <c r="AK507" i="2"/>
  <c r="AQ506" i="2"/>
  <c r="AN506" i="2"/>
  <c r="AG506" i="2"/>
  <c r="AK506" i="2"/>
  <c r="AQ505" i="2"/>
  <c r="AN505" i="2"/>
  <c r="AG505" i="2"/>
  <c r="AK505" i="2"/>
  <c r="AQ504" i="2"/>
  <c r="AN504" i="2"/>
  <c r="AG504" i="2"/>
  <c r="AK504" i="2"/>
  <c r="AQ503" i="2"/>
  <c r="AN503" i="2"/>
  <c r="AG503" i="2"/>
  <c r="AK503" i="2"/>
  <c r="AQ502" i="2"/>
  <c r="AN502" i="2"/>
  <c r="AG502" i="2"/>
  <c r="AK502" i="2"/>
  <c r="AQ501" i="2"/>
  <c r="AN501" i="2"/>
  <c r="AG501" i="2"/>
  <c r="AK501" i="2"/>
  <c r="AQ500" i="2"/>
  <c r="AN500" i="2"/>
  <c r="AG500" i="2"/>
  <c r="AK500" i="2"/>
  <c r="AQ498" i="2"/>
  <c r="AG498" i="2"/>
  <c r="AK498" i="2"/>
  <c r="AQ493" i="2"/>
  <c r="AN493" i="2"/>
  <c r="AG493" i="2"/>
  <c r="AK493" i="2"/>
  <c r="AQ491" i="2"/>
  <c r="AN491" i="2"/>
  <c r="AG491" i="2"/>
  <c r="AK491" i="2"/>
  <c r="AQ490" i="2"/>
  <c r="AN490" i="2"/>
  <c r="AG490" i="2"/>
  <c r="AK490" i="2"/>
  <c r="AQ489" i="2"/>
  <c r="AN489" i="2"/>
  <c r="AG489" i="2"/>
  <c r="AK489" i="2"/>
  <c r="AQ487" i="2"/>
  <c r="AN487" i="2"/>
  <c r="AG487" i="2"/>
  <c r="AK487" i="2"/>
  <c r="M467" i="2"/>
  <c r="N467" i="2" s="1"/>
  <c r="O467" i="2"/>
  <c r="I467" i="2"/>
  <c r="J467" i="2" s="1"/>
  <c r="P466" i="2"/>
  <c r="O466" i="2"/>
  <c r="Q466" i="2" s="1"/>
  <c r="H466" i="2"/>
  <c r="G465" i="2"/>
  <c r="AQ453" i="2"/>
  <c r="AN453" i="2"/>
  <c r="AG453" i="2"/>
  <c r="AK453" i="2"/>
  <c r="S464" i="2"/>
  <c r="S478" i="2" s="1"/>
  <c r="K464" i="2"/>
  <c r="R464" i="2"/>
  <c r="P464" i="2"/>
  <c r="O464" i="2"/>
  <c r="M464" i="2"/>
  <c r="M478" i="2" s="1"/>
  <c r="G464" i="2"/>
  <c r="I464" i="2"/>
  <c r="J464" i="2" s="1"/>
  <c r="Q464" i="2"/>
  <c r="F465" i="2"/>
  <c r="N465" i="2"/>
  <c r="J465" i="2"/>
  <c r="Q465" i="2"/>
  <c r="T465" i="2"/>
  <c r="AQ416" i="2"/>
  <c r="AN416" i="2"/>
  <c r="AG416" i="2"/>
  <c r="AK416" i="2"/>
  <c r="I461" i="2"/>
  <c r="J461" i="2" s="1"/>
  <c r="F461" i="2"/>
  <c r="N461" i="2"/>
  <c r="Q461" i="2"/>
  <c r="O460" i="2"/>
  <c r="Q460" i="2" s="1"/>
  <c r="J460" i="2"/>
  <c r="N460" i="2"/>
  <c r="F460" i="2"/>
  <c r="O459" i="2"/>
  <c r="I459" i="2"/>
  <c r="H459" i="2"/>
  <c r="H478" i="2" s="1"/>
  <c r="G459" i="2"/>
  <c r="P459" i="2"/>
  <c r="I458" i="2"/>
  <c r="G458" i="2"/>
  <c r="O458" i="2"/>
  <c r="C457" i="2"/>
  <c r="C478" i="2" s="1"/>
  <c r="E457" i="2"/>
  <c r="Z366" i="2"/>
  <c r="Z367" i="2"/>
  <c r="Z368" i="2"/>
  <c r="Z369" i="2"/>
  <c r="Z370" i="2"/>
  <c r="Z371" i="2"/>
  <c r="X372" i="2"/>
  <c r="Y372" i="2"/>
  <c r="Z372" i="2" s="1"/>
  <c r="Z373" i="2"/>
  <c r="Z374" i="2"/>
  <c r="Z375" i="2"/>
  <c r="Z376" i="2"/>
  <c r="Z377" i="2"/>
  <c r="Z378" i="2"/>
  <c r="Z379" i="2"/>
  <c r="Z380" i="2"/>
  <c r="Z381" i="2"/>
  <c r="Z382" i="2"/>
  <c r="Z383" i="2"/>
  <c r="Z384" i="2"/>
  <c r="Z385" i="2"/>
  <c r="Z386" i="2"/>
  <c r="Z387" i="2"/>
  <c r="Z388" i="2"/>
  <c r="Z389" i="2"/>
  <c r="Z390" i="2"/>
  <c r="Z391" i="2"/>
  <c r="Z392" i="2"/>
  <c r="Z393" i="2"/>
  <c r="Z394" i="2"/>
  <c r="Z395" i="2"/>
  <c r="Z396" i="2"/>
  <c r="Z397" i="2"/>
  <c r="X398" i="2"/>
  <c r="Y398" i="2"/>
  <c r="P456" i="2"/>
  <c r="O455" i="2"/>
  <c r="I455" i="2"/>
  <c r="K455" i="2"/>
  <c r="K478" i="2" s="1"/>
  <c r="E454" i="2"/>
  <c r="F454" i="2" s="1"/>
  <c r="M435" i="2"/>
  <c r="N435" i="2" s="1"/>
  <c r="E435" i="2"/>
  <c r="F435" i="2" s="1"/>
  <c r="P432" i="2"/>
  <c r="Q432" i="2" s="1"/>
  <c r="E432" i="2"/>
  <c r="M430" i="2"/>
  <c r="K427" i="2"/>
  <c r="N427" i="2" s="1"/>
  <c r="I427" i="2"/>
  <c r="I438" i="2" s="1"/>
  <c r="G427" i="2"/>
  <c r="C427" i="2"/>
  <c r="C438" i="2" s="1"/>
  <c r="Q423" i="2"/>
  <c r="AQ410" i="2"/>
  <c r="AN410" i="2"/>
  <c r="AG410" i="2"/>
  <c r="AK410" i="2"/>
  <c r="P421" i="2"/>
  <c r="K421" i="2"/>
  <c r="N421" i="2" s="1"/>
  <c r="G421" i="2"/>
  <c r="F453" i="2"/>
  <c r="N453" i="2"/>
  <c r="J453" i="2"/>
  <c r="Q453" i="2"/>
  <c r="T453" i="2"/>
  <c r="N454" i="2"/>
  <c r="J454" i="2"/>
  <c r="Q454" i="2"/>
  <c r="T454" i="2"/>
  <c r="F455" i="2"/>
  <c r="T455" i="2"/>
  <c r="F456" i="2"/>
  <c r="N456" i="2"/>
  <c r="J456" i="2"/>
  <c r="T456" i="2"/>
  <c r="F457" i="2"/>
  <c r="N457" i="2"/>
  <c r="J457" i="2"/>
  <c r="Q457" i="2"/>
  <c r="T457" i="2"/>
  <c r="F447" i="2"/>
  <c r="N447" i="2"/>
  <c r="J447" i="2"/>
  <c r="Q447" i="2"/>
  <c r="T447" i="2"/>
  <c r="T477" i="2"/>
  <c r="Q477" i="2"/>
  <c r="J477" i="2"/>
  <c r="N477" i="2"/>
  <c r="F477" i="2"/>
  <c r="T476" i="2"/>
  <c r="Q476" i="2"/>
  <c r="J476" i="2"/>
  <c r="N476" i="2"/>
  <c r="F476" i="2"/>
  <c r="T475" i="2"/>
  <c r="Q475" i="2"/>
  <c r="J475" i="2"/>
  <c r="N475" i="2"/>
  <c r="F475" i="2"/>
  <c r="T474" i="2"/>
  <c r="Q474" i="2"/>
  <c r="J474" i="2"/>
  <c r="N474" i="2"/>
  <c r="F474" i="2"/>
  <c r="T473" i="2"/>
  <c r="Q473" i="2"/>
  <c r="J473" i="2"/>
  <c r="N473" i="2"/>
  <c r="F473" i="2"/>
  <c r="T472" i="2"/>
  <c r="Q472" i="2"/>
  <c r="J472" i="2"/>
  <c r="N472" i="2"/>
  <c r="F472" i="2"/>
  <c r="T471" i="2"/>
  <c r="Q471" i="2"/>
  <c r="J471" i="2"/>
  <c r="N471" i="2"/>
  <c r="F471" i="2"/>
  <c r="T470" i="2"/>
  <c r="Q470" i="2"/>
  <c r="J470" i="2"/>
  <c r="N470" i="2"/>
  <c r="F470" i="2"/>
  <c r="T469" i="2"/>
  <c r="Q469" i="2"/>
  <c r="J469" i="2"/>
  <c r="N469" i="2"/>
  <c r="F469" i="2"/>
  <c r="T468" i="2"/>
  <c r="J468" i="2"/>
  <c r="N468" i="2"/>
  <c r="F468" i="2"/>
  <c r="T467" i="2"/>
  <c r="Q467" i="2"/>
  <c r="F467" i="2"/>
  <c r="T466" i="2"/>
  <c r="J466" i="2"/>
  <c r="N466" i="2"/>
  <c r="F466" i="2"/>
  <c r="F464" i="2"/>
  <c r="T463" i="2"/>
  <c r="Q463" i="2"/>
  <c r="J463" i="2"/>
  <c r="N463" i="2"/>
  <c r="F463" i="2"/>
  <c r="T462" i="2"/>
  <c r="Q462" i="2"/>
  <c r="J462" i="2"/>
  <c r="N462" i="2"/>
  <c r="F462" i="2"/>
  <c r="T460" i="2"/>
  <c r="T459" i="2"/>
  <c r="N459" i="2"/>
  <c r="F459" i="2"/>
  <c r="T458" i="2"/>
  <c r="Q458" i="2"/>
  <c r="N458" i="2"/>
  <c r="F458" i="2"/>
  <c r="D478" i="2"/>
  <c r="T451" i="2"/>
  <c r="Q451" i="2"/>
  <c r="J451" i="2"/>
  <c r="N451" i="2"/>
  <c r="F451" i="2"/>
  <c r="T450" i="2"/>
  <c r="Q450" i="2"/>
  <c r="J450" i="2"/>
  <c r="N450" i="2"/>
  <c r="F450" i="2"/>
  <c r="T449" i="2"/>
  <c r="Q449" i="2"/>
  <c r="J449" i="2"/>
  <c r="N449" i="2"/>
  <c r="F449" i="2"/>
  <c r="T448" i="2"/>
  <c r="Q448" i="2"/>
  <c r="J448" i="2"/>
  <c r="N448" i="2"/>
  <c r="F448" i="2"/>
  <c r="AQ413" i="2"/>
  <c r="AN413" i="2"/>
  <c r="AG413" i="2"/>
  <c r="AK413" i="2"/>
  <c r="AF438" i="2"/>
  <c r="AJ438" i="2"/>
  <c r="P413" i="2"/>
  <c r="D413" i="2"/>
  <c r="AK449" i="2"/>
  <c r="AG449" i="2"/>
  <c r="AN449" i="2"/>
  <c r="AQ449" i="2"/>
  <c r="AK450" i="2"/>
  <c r="AG450" i="2"/>
  <c r="AN450" i="2"/>
  <c r="AQ450" i="2"/>
  <c r="AP478" i="2"/>
  <c r="AO478" i="2"/>
  <c r="AM478" i="2"/>
  <c r="AL478" i="2"/>
  <c r="AF478" i="2"/>
  <c r="AE478" i="2"/>
  <c r="AD478" i="2"/>
  <c r="AJ478" i="2"/>
  <c r="AI478" i="2"/>
  <c r="AH478" i="2"/>
  <c r="AQ477" i="2"/>
  <c r="AN477" i="2"/>
  <c r="AG477" i="2"/>
  <c r="AK477" i="2"/>
  <c r="AQ476" i="2"/>
  <c r="AN476" i="2"/>
  <c r="AG476" i="2"/>
  <c r="AK476" i="2"/>
  <c r="AQ475" i="2"/>
  <c r="AN475" i="2"/>
  <c r="AG475" i="2"/>
  <c r="AK475" i="2"/>
  <c r="AQ474" i="2"/>
  <c r="AN474" i="2"/>
  <c r="AG474" i="2"/>
  <c r="AK474" i="2"/>
  <c r="AQ473" i="2"/>
  <c r="AN473" i="2"/>
  <c r="AG473" i="2"/>
  <c r="AK473" i="2"/>
  <c r="AQ472" i="2"/>
  <c r="AN472" i="2"/>
  <c r="AG472" i="2"/>
  <c r="AK472" i="2"/>
  <c r="AQ471" i="2"/>
  <c r="AN471" i="2"/>
  <c r="AG471" i="2"/>
  <c r="AK471" i="2"/>
  <c r="AQ470" i="2"/>
  <c r="AN470" i="2"/>
  <c r="AG470" i="2"/>
  <c r="AK470" i="2"/>
  <c r="AQ469" i="2"/>
  <c r="AN469" i="2"/>
  <c r="AG469" i="2"/>
  <c r="AK469" i="2"/>
  <c r="AQ468" i="2"/>
  <c r="AN468" i="2"/>
  <c r="AG468" i="2"/>
  <c r="AK468" i="2"/>
  <c r="AQ467" i="2"/>
  <c r="AN467" i="2"/>
  <c r="AG467" i="2"/>
  <c r="AK467" i="2"/>
  <c r="AQ466" i="2"/>
  <c r="AN466" i="2"/>
  <c r="AG466" i="2"/>
  <c r="AK466" i="2"/>
  <c r="AQ465" i="2"/>
  <c r="AN465" i="2"/>
  <c r="AG465" i="2"/>
  <c r="AK465" i="2"/>
  <c r="AQ464" i="2"/>
  <c r="AN464" i="2"/>
  <c r="AG464" i="2"/>
  <c r="AK464" i="2"/>
  <c r="AQ463" i="2"/>
  <c r="AN463" i="2"/>
  <c r="AG463" i="2"/>
  <c r="AK463" i="2"/>
  <c r="AQ462" i="2"/>
  <c r="AN462" i="2"/>
  <c r="AG462" i="2"/>
  <c r="AK462" i="2"/>
  <c r="AQ461" i="2"/>
  <c r="AN461" i="2"/>
  <c r="AG461" i="2"/>
  <c r="AK461" i="2"/>
  <c r="AQ460" i="2"/>
  <c r="AN460" i="2"/>
  <c r="AG460" i="2"/>
  <c r="AK460" i="2"/>
  <c r="AQ459" i="2"/>
  <c r="AN459" i="2"/>
  <c r="AG459" i="2"/>
  <c r="AK459" i="2"/>
  <c r="AQ458" i="2"/>
  <c r="AN458" i="2"/>
  <c r="AG458" i="2"/>
  <c r="AK458" i="2"/>
  <c r="AQ457" i="2"/>
  <c r="AN457" i="2"/>
  <c r="AG457" i="2"/>
  <c r="AK457" i="2"/>
  <c r="AQ456" i="2"/>
  <c r="AN456" i="2"/>
  <c r="AG456" i="2"/>
  <c r="AK456" i="2"/>
  <c r="AQ455" i="2"/>
  <c r="AN455" i="2"/>
  <c r="AG455" i="2"/>
  <c r="AK455" i="2"/>
  <c r="AQ454" i="2"/>
  <c r="AN454" i="2"/>
  <c r="AG454" i="2"/>
  <c r="AK454" i="2"/>
  <c r="AQ451" i="2"/>
  <c r="AN451" i="2"/>
  <c r="AG451" i="2"/>
  <c r="AK451" i="2"/>
  <c r="F408" i="2"/>
  <c r="N408" i="2"/>
  <c r="J408" i="2"/>
  <c r="Q408" i="2"/>
  <c r="T408" i="2"/>
  <c r="F409" i="2"/>
  <c r="N409" i="2"/>
  <c r="J409" i="2"/>
  <c r="Q409" i="2"/>
  <c r="T409" i="2"/>
  <c r="F410" i="2"/>
  <c r="N410" i="2"/>
  <c r="J410" i="2"/>
  <c r="Q410" i="2"/>
  <c r="T410" i="2"/>
  <c r="AP438" i="2"/>
  <c r="AO438" i="2"/>
  <c r="AM438" i="2"/>
  <c r="AL438" i="2"/>
  <c r="AE438" i="2"/>
  <c r="AD438" i="2"/>
  <c r="AI438" i="2"/>
  <c r="AH438" i="2"/>
  <c r="AQ437" i="2"/>
  <c r="AN437" i="2"/>
  <c r="AG437" i="2"/>
  <c r="AK437" i="2"/>
  <c r="AQ436" i="2"/>
  <c r="AN436" i="2"/>
  <c r="AG436" i="2"/>
  <c r="AK436" i="2"/>
  <c r="AQ435" i="2"/>
  <c r="AN435" i="2"/>
  <c r="AG435" i="2"/>
  <c r="AK435" i="2"/>
  <c r="AQ434" i="2"/>
  <c r="AN434" i="2"/>
  <c r="AG434" i="2"/>
  <c r="AK434" i="2"/>
  <c r="AQ433" i="2"/>
  <c r="AN433" i="2"/>
  <c r="AG433" i="2"/>
  <c r="AK433" i="2"/>
  <c r="AQ432" i="2"/>
  <c r="AN432" i="2"/>
  <c r="AG432" i="2"/>
  <c r="AK432" i="2"/>
  <c r="AQ431" i="2"/>
  <c r="AN431" i="2"/>
  <c r="AG431" i="2"/>
  <c r="AK431" i="2"/>
  <c r="AQ430" i="2"/>
  <c r="AN430" i="2"/>
  <c r="AG430" i="2"/>
  <c r="AK430" i="2"/>
  <c r="AQ429" i="2"/>
  <c r="AN429" i="2"/>
  <c r="AG429" i="2"/>
  <c r="AK429" i="2"/>
  <c r="AQ428" i="2"/>
  <c r="AN428" i="2"/>
  <c r="AG428" i="2"/>
  <c r="AK428" i="2"/>
  <c r="AQ427" i="2"/>
  <c r="AN427" i="2"/>
  <c r="AG427" i="2"/>
  <c r="AK427" i="2"/>
  <c r="AQ426" i="2"/>
  <c r="AN426" i="2"/>
  <c r="AG426" i="2"/>
  <c r="AK426" i="2"/>
  <c r="AQ425" i="2"/>
  <c r="AN425" i="2"/>
  <c r="AG425" i="2"/>
  <c r="AK425" i="2"/>
  <c r="AQ424" i="2"/>
  <c r="AN424" i="2"/>
  <c r="AG424" i="2"/>
  <c r="AK424" i="2"/>
  <c r="AQ423" i="2"/>
  <c r="AN423" i="2"/>
  <c r="AG423" i="2"/>
  <c r="AK423" i="2"/>
  <c r="AQ422" i="2"/>
  <c r="AN422" i="2"/>
  <c r="AG422" i="2"/>
  <c r="AK422" i="2"/>
  <c r="AQ421" i="2"/>
  <c r="AN421" i="2"/>
  <c r="AG421" i="2"/>
  <c r="AK421" i="2"/>
  <c r="AQ420" i="2"/>
  <c r="AN420" i="2"/>
  <c r="AG420" i="2"/>
  <c r="AK420" i="2"/>
  <c r="AQ419" i="2"/>
  <c r="AN419" i="2"/>
  <c r="AG419" i="2"/>
  <c r="AK419" i="2"/>
  <c r="AQ418" i="2"/>
  <c r="AN418" i="2"/>
  <c r="AG418" i="2"/>
  <c r="AK418" i="2"/>
  <c r="AQ417" i="2"/>
  <c r="AN417" i="2"/>
  <c r="AG417" i="2"/>
  <c r="AK417" i="2"/>
  <c r="AQ415" i="2"/>
  <c r="AN415" i="2"/>
  <c r="AG415" i="2"/>
  <c r="AK415" i="2"/>
  <c r="AQ414" i="2"/>
  <c r="AN414" i="2"/>
  <c r="AG414" i="2"/>
  <c r="AK414" i="2"/>
  <c r="AF412" i="2"/>
  <c r="AE412" i="2"/>
  <c r="AD412" i="2"/>
  <c r="AH412" i="2"/>
  <c r="AQ411" i="2"/>
  <c r="AN411" i="2"/>
  <c r="AG411" i="2"/>
  <c r="AK411" i="2"/>
  <c r="AQ409" i="2"/>
  <c r="AN409" i="2"/>
  <c r="AG409" i="2"/>
  <c r="AK409" i="2"/>
  <c r="AQ408" i="2"/>
  <c r="AN408" i="2"/>
  <c r="AG408" i="2"/>
  <c r="AK408" i="2"/>
  <c r="AQ407" i="2"/>
  <c r="AN407" i="2"/>
  <c r="AG407" i="2"/>
  <c r="AK407" i="2"/>
  <c r="AR406" i="2"/>
  <c r="AQ406" i="2"/>
  <c r="AP406" i="2"/>
  <c r="AP412" i="2" s="1"/>
  <c r="AO406" i="2"/>
  <c r="AO412" i="2" s="1"/>
  <c r="AN406" i="2"/>
  <c r="AM412" i="2"/>
  <c r="AL412" i="2"/>
  <c r="AG406" i="2"/>
  <c r="AK406" i="2"/>
  <c r="AJ412" i="2"/>
  <c r="AI412" i="2"/>
  <c r="G388" i="2"/>
  <c r="I388" i="2" s="1"/>
  <c r="K388" i="2"/>
  <c r="L388" i="2" s="1"/>
  <c r="E388" i="2"/>
  <c r="F388" i="2" s="1"/>
  <c r="F407" i="2"/>
  <c r="N407" i="2"/>
  <c r="J407" i="2"/>
  <c r="Q407" i="2"/>
  <c r="T407" i="2"/>
  <c r="N413" i="2"/>
  <c r="J413" i="2"/>
  <c r="Q413" i="2"/>
  <c r="T413" i="2"/>
  <c r="W377" i="2"/>
  <c r="P377" i="2"/>
  <c r="T377" i="2"/>
  <c r="L377" i="2"/>
  <c r="I377" i="2"/>
  <c r="F377" i="2"/>
  <c r="W369" i="2"/>
  <c r="P369" i="2"/>
  <c r="T369" i="2"/>
  <c r="L369" i="2"/>
  <c r="I369" i="2"/>
  <c r="F369" i="2"/>
  <c r="T437" i="2"/>
  <c r="Q437" i="2"/>
  <c r="J437" i="2"/>
  <c r="N437" i="2"/>
  <c r="F437" i="2"/>
  <c r="T436" i="2"/>
  <c r="Q436" i="2"/>
  <c r="J436" i="2"/>
  <c r="N436" i="2"/>
  <c r="F436" i="2"/>
  <c r="T435" i="2"/>
  <c r="Q435" i="2"/>
  <c r="J435" i="2"/>
  <c r="T434" i="2"/>
  <c r="Q434" i="2"/>
  <c r="J434" i="2"/>
  <c r="N434" i="2"/>
  <c r="F434" i="2"/>
  <c r="T433" i="2"/>
  <c r="Q433" i="2"/>
  <c r="J433" i="2"/>
  <c r="N433" i="2"/>
  <c r="F433" i="2"/>
  <c r="T432" i="2"/>
  <c r="J432" i="2"/>
  <c r="N432" i="2"/>
  <c r="T431" i="2"/>
  <c r="Q431" i="2"/>
  <c r="J431" i="2"/>
  <c r="N431" i="2"/>
  <c r="F431" i="2"/>
  <c r="T430" i="2"/>
  <c r="Q430" i="2"/>
  <c r="J430" i="2"/>
  <c r="F430" i="2"/>
  <c r="T429" i="2"/>
  <c r="Q429" i="2"/>
  <c r="J429" i="2"/>
  <c r="N429" i="2"/>
  <c r="F429" i="2"/>
  <c r="T428" i="2"/>
  <c r="Q428" i="2"/>
  <c r="J428" i="2"/>
  <c r="N428" i="2"/>
  <c r="F428" i="2"/>
  <c r="T427" i="2"/>
  <c r="Q427" i="2"/>
  <c r="T426" i="2"/>
  <c r="Q426" i="2"/>
  <c r="J426" i="2"/>
  <c r="N426" i="2"/>
  <c r="F426" i="2"/>
  <c r="T425" i="2"/>
  <c r="Q425" i="2"/>
  <c r="J425" i="2"/>
  <c r="N425" i="2"/>
  <c r="F425" i="2"/>
  <c r="T424" i="2"/>
  <c r="Q424" i="2"/>
  <c r="J424" i="2"/>
  <c r="N424" i="2"/>
  <c r="F424" i="2"/>
  <c r="T423" i="2"/>
  <c r="J423" i="2"/>
  <c r="N423" i="2"/>
  <c r="F423" i="2"/>
  <c r="T422" i="2"/>
  <c r="Q422" i="2"/>
  <c r="J422" i="2"/>
  <c r="N422" i="2"/>
  <c r="F422" i="2"/>
  <c r="T421" i="2"/>
  <c r="F421" i="2"/>
  <c r="T420" i="2"/>
  <c r="Q420" i="2"/>
  <c r="J420" i="2"/>
  <c r="N420" i="2"/>
  <c r="F420" i="2"/>
  <c r="T419" i="2"/>
  <c r="Q419" i="2"/>
  <c r="J419" i="2"/>
  <c r="N419" i="2"/>
  <c r="F419" i="2"/>
  <c r="T418" i="2"/>
  <c r="Q418" i="2"/>
  <c r="J418" i="2"/>
  <c r="N418" i="2"/>
  <c r="F418" i="2"/>
  <c r="T417" i="2"/>
  <c r="Q417" i="2"/>
  <c r="J417" i="2"/>
  <c r="N417" i="2"/>
  <c r="F417" i="2"/>
  <c r="T416" i="2"/>
  <c r="Q416" i="2"/>
  <c r="J416" i="2"/>
  <c r="N416" i="2"/>
  <c r="F416" i="2"/>
  <c r="T415" i="2"/>
  <c r="Q415" i="2"/>
  <c r="J415" i="2"/>
  <c r="N415" i="2"/>
  <c r="F415" i="2"/>
  <c r="T414" i="2"/>
  <c r="Q414" i="2"/>
  <c r="J414" i="2"/>
  <c r="N414" i="2"/>
  <c r="F414" i="2"/>
  <c r="T411" i="2"/>
  <c r="Q411" i="2"/>
  <c r="J411" i="2"/>
  <c r="N411" i="2"/>
  <c r="F411" i="2"/>
  <c r="V398" i="2"/>
  <c r="U398" i="2"/>
  <c r="N398" i="2"/>
  <c r="V372" i="2"/>
  <c r="U372" i="2"/>
  <c r="N372" i="2"/>
  <c r="T368" i="2"/>
  <c r="T370" i="2"/>
  <c r="T371" i="2"/>
  <c r="T373" i="2"/>
  <c r="T374" i="2"/>
  <c r="T375" i="2"/>
  <c r="T376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67" i="2"/>
  <c r="P368" i="2"/>
  <c r="P370" i="2"/>
  <c r="P371" i="2"/>
  <c r="P373" i="2"/>
  <c r="P374" i="2"/>
  <c r="P375" i="2"/>
  <c r="P376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67" i="2"/>
  <c r="W367" i="2"/>
  <c r="W368" i="2"/>
  <c r="W370" i="2"/>
  <c r="W371" i="2"/>
  <c r="W373" i="2"/>
  <c r="W374" i="2"/>
  <c r="W375" i="2"/>
  <c r="W376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66" i="2"/>
  <c r="P366" i="2"/>
  <c r="T366" i="2"/>
  <c r="O398" i="2"/>
  <c r="M398" i="2"/>
  <c r="S398" i="2"/>
  <c r="R398" i="2"/>
  <c r="Q398" i="2"/>
  <c r="O372" i="2"/>
  <c r="M372" i="2"/>
  <c r="S372" i="2"/>
  <c r="R372" i="2"/>
  <c r="Q372" i="2"/>
  <c r="F367" i="2"/>
  <c r="I367" i="2"/>
  <c r="L367" i="2"/>
  <c r="F368" i="2"/>
  <c r="I368" i="2"/>
  <c r="L368" i="2"/>
  <c r="F373" i="2"/>
  <c r="I373" i="2"/>
  <c r="L373" i="2"/>
  <c r="F374" i="2"/>
  <c r="I374" i="2"/>
  <c r="L374" i="2"/>
  <c r="F375" i="2"/>
  <c r="I375" i="2"/>
  <c r="L375" i="2"/>
  <c r="F376" i="2"/>
  <c r="I376" i="2"/>
  <c r="L376" i="2"/>
  <c r="F378" i="2"/>
  <c r="I378" i="2"/>
  <c r="L378" i="2"/>
  <c r="F379" i="2"/>
  <c r="I379" i="2"/>
  <c r="L379" i="2"/>
  <c r="F380" i="2"/>
  <c r="I380" i="2"/>
  <c r="L380" i="2"/>
  <c r="F381" i="2"/>
  <c r="I381" i="2"/>
  <c r="L381" i="2"/>
  <c r="F382" i="2"/>
  <c r="I382" i="2"/>
  <c r="L382" i="2"/>
  <c r="F383" i="2"/>
  <c r="I383" i="2"/>
  <c r="L383" i="2"/>
  <c r="F384" i="2"/>
  <c r="I384" i="2"/>
  <c r="L384" i="2"/>
  <c r="F385" i="2"/>
  <c r="I385" i="2"/>
  <c r="L385" i="2"/>
  <c r="F386" i="2"/>
  <c r="I386" i="2"/>
  <c r="L386" i="2"/>
  <c r="F387" i="2"/>
  <c r="I387" i="2"/>
  <c r="L387" i="2"/>
  <c r="F389" i="2"/>
  <c r="I389" i="2"/>
  <c r="L389" i="2"/>
  <c r="F390" i="2"/>
  <c r="I390" i="2"/>
  <c r="L390" i="2"/>
  <c r="F391" i="2"/>
  <c r="I391" i="2"/>
  <c r="L391" i="2"/>
  <c r="F392" i="2"/>
  <c r="I392" i="2"/>
  <c r="L392" i="2"/>
  <c r="F393" i="2"/>
  <c r="I393" i="2"/>
  <c r="L393" i="2"/>
  <c r="F394" i="2"/>
  <c r="I394" i="2"/>
  <c r="L394" i="2"/>
  <c r="J398" i="2"/>
  <c r="H398" i="2"/>
  <c r="G398" i="2"/>
  <c r="D398" i="2"/>
  <c r="C398" i="2"/>
  <c r="L397" i="2"/>
  <c r="I397" i="2"/>
  <c r="F397" i="2"/>
  <c r="L396" i="2"/>
  <c r="I396" i="2"/>
  <c r="F396" i="2"/>
  <c r="L395" i="2"/>
  <c r="I395" i="2"/>
  <c r="F395" i="2"/>
  <c r="L371" i="2"/>
  <c r="I371" i="2"/>
  <c r="F371" i="2"/>
  <c r="L370" i="2"/>
  <c r="I370" i="2"/>
  <c r="F370" i="2"/>
  <c r="C333" i="2"/>
  <c r="F333" i="2" s="1"/>
  <c r="L357" i="2"/>
  <c r="I357" i="2"/>
  <c r="F357" i="2"/>
  <c r="L356" i="2"/>
  <c r="I356" i="2"/>
  <c r="F356" i="2"/>
  <c r="L355" i="2"/>
  <c r="I355" i="2"/>
  <c r="F355" i="2"/>
  <c r="L354" i="2"/>
  <c r="I354" i="2"/>
  <c r="F354" i="2"/>
  <c r="L353" i="2"/>
  <c r="I353" i="2"/>
  <c r="F353" i="2"/>
  <c r="L352" i="2"/>
  <c r="I352" i="2"/>
  <c r="F352" i="2"/>
  <c r="L351" i="2"/>
  <c r="I351" i="2"/>
  <c r="F351" i="2"/>
  <c r="L350" i="2"/>
  <c r="I350" i="2"/>
  <c r="F350" i="2"/>
  <c r="L349" i="2"/>
  <c r="I349" i="2"/>
  <c r="F349" i="2"/>
  <c r="L348" i="2"/>
  <c r="I348" i="2"/>
  <c r="F348" i="2"/>
  <c r="L347" i="2"/>
  <c r="I347" i="2"/>
  <c r="F347" i="2"/>
  <c r="L346" i="2"/>
  <c r="I346" i="2"/>
  <c r="F346" i="2"/>
  <c r="L345" i="2"/>
  <c r="I345" i="2"/>
  <c r="F345" i="2"/>
  <c r="L344" i="2"/>
  <c r="I344" i="2"/>
  <c r="F344" i="2"/>
  <c r="L343" i="2"/>
  <c r="I343" i="2"/>
  <c r="F343" i="2"/>
  <c r="L342" i="2"/>
  <c r="I342" i="2"/>
  <c r="F342" i="2"/>
  <c r="L341" i="2"/>
  <c r="I341" i="2"/>
  <c r="F341" i="2"/>
  <c r="L340" i="2"/>
  <c r="I340" i="2"/>
  <c r="F340" i="2"/>
  <c r="L339" i="2"/>
  <c r="I339" i="2"/>
  <c r="F339" i="2"/>
  <c r="L338" i="2"/>
  <c r="I338" i="2"/>
  <c r="F338" i="2"/>
  <c r="L337" i="2"/>
  <c r="I337" i="2"/>
  <c r="F337" i="2"/>
  <c r="L336" i="2"/>
  <c r="I336" i="2"/>
  <c r="F336" i="2"/>
  <c r="L335" i="2"/>
  <c r="I335" i="2"/>
  <c r="F335" i="2"/>
  <c r="L334" i="2"/>
  <c r="I334" i="2"/>
  <c r="F334" i="2"/>
  <c r="K358" i="2"/>
  <c r="L333" i="2"/>
  <c r="H358" i="2"/>
  <c r="I333" i="2"/>
  <c r="D358" i="2"/>
  <c r="L331" i="2"/>
  <c r="I331" i="2"/>
  <c r="F331" i="2"/>
  <c r="L330" i="2"/>
  <c r="I330" i="2"/>
  <c r="F330" i="2"/>
  <c r="L329" i="2"/>
  <c r="I329" i="2"/>
  <c r="F329" i="2"/>
  <c r="L328" i="2"/>
  <c r="I328" i="2"/>
  <c r="F328" i="2"/>
  <c r="L327" i="2"/>
  <c r="I327" i="2"/>
  <c r="F327" i="2"/>
  <c r="K313" i="2"/>
  <c r="J313" i="2"/>
  <c r="J306" i="2"/>
  <c r="L306" i="2" s="1"/>
  <c r="E304" i="2"/>
  <c r="D304" i="2"/>
  <c r="C304" i="2"/>
  <c r="H304" i="2"/>
  <c r="G304" i="2"/>
  <c r="K304" i="2"/>
  <c r="J304" i="2"/>
  <c r="E303" i="2"/>
  <c r="F303" i="2" s="1"/>
  <c r="G302" i="2"/>
  <c r="I302" i="2" s="1"/>
  <c r="J302" i="2"/>
  <c r="L302" i="2" s="1"/>
  <c r="E302" i="2"/>
  <c r="F302" i="2" s="1"/>
  <c r="H300" i="2"/>
  <c r="G300" i="2"/>
  <c r="C298" i="2"/>
  <c r="F298" i="2" s="1"/>
  <c r="H298" i="2"/>
  <c r="I298" i="2" s="1"/>
  <c r="D297" i="2"/>
  <c r="E297" i="2"/>
  <c r="C297" i="2"/>
  <c r="G297" i="2"/>
  <c r="H297" i="2"/>
  <c r="J297" i="2"/>
  <c r="K297" i="2"/>
  <c r="J295" i="2"/>
  <c r="L295" i="2" s="1"/>
  <c r="C295" i="2"/>
  <c r="G294" i="2"/>
  <c r="I294" i="2" s="1"/>
  <c r="J294" i="2"/>
  <c r="L294" i="2" s="1"/>
  <c r="E294" i="2"/>
  <c r="F294" i="2" s="1"/>
  <c r="L288" i="2"/>
  <c r="I288" i="2"/>
  <c r="F288" i="2"/>
  <c r="H293" i="2"/>
  <c r="G293" i="2"/>
  <c r="K293" i="2"/>
  <c r="C293" i="2"/>
  <c r="J293" i="2"/>
  <c r="D293" i="2"/>
  <c r="E293" i="2"/>
  <c r="H277" i="2"/>
  <c r="I277" i="2" s="1"/>
  <c r="K277" i="2"/>
  <c r="L277" i="2" s="1"/>
  <c r="E277" i="2"/>
  <c r="D277" i="2"/>
  <c r="C277" i="2"/>
  <c r="H276" i="2"/>
  <c r="K276" i="2"/>
  <c r="L276" i="2" s="1"/>
  <c r="E276" i="2"/>
  <c r="C276" i="2"/>
  <c r="D276" i="2"/>
  <c r="G276" i="2"/>
  <c r="E275" i="2"/>
  <c r="F275" i="2" s="1"/>
  <c r="K275" i="2"/>
  <c r="J275" i="2"/>
  <c r="G275" i="2"/>
  <c r="I275" i="2" s="1"/>
  <c r="F289" i="2"/>
  <c r="I289" i="2"/>
  <c r="L289" i="2"/>
  <c r="F290" i="2"/>
  <c r="I290" i="2"/>
  <c r="L290" i="2"/>
  <c r="I295" i="2"/>
  <c r="F296" i="2"/>
  <c r="I296" i="2"/>
  <c r="L296" i="2"/>
  <c r="L298" i="2"/>
  <c r="F299" i="2"/>
  <c r="I299" i="2"/>
  <c r="L299" i="2"/>
  <c r="F300" i="2"/>
  <c r="L300" i="2"/>
  <c r="F301" i="2"/>
  <c r="I301" i="2"/>
  <c r="L301" i="2"/>
  <c r="I303" i="2"/>
  <c r="L303" i="2"/>
  <c r="F305" i="2"/>
  <c r="I305" i="2"/>
  <c r="L305" i="2"/>
  <c r="F306" i="2"/>
  <c r="I306" i="2"/>
  <c r="F307" i="2"/>
  <c r="I307" i="2"/>
  <c r="L307" i="2"/>
  <c r="F308" i="2"/>
  <c r="I308" i="2"/>
  <c r="L308" i="2"/>
  <c r="F309" i="2"/>
  <c r="I309" i="2"/>
  <c r="L309" i="2"/>
  <c r="F310" i="2"/>
  <c r="I310" i="2"/>
  <c r="L310" i="2"/>
  <c r="F311" i="2"/>
  <c r="I311" i="2"/>
  <c r="L311" i="2"/>
  <c r="F312" i="2"/>
  <c r="I312" i="2"/>
  <c r="L312" i="2"/>
  <c r="F313" i="2"/>
  <c r="I313" i="2"/>
  <c r="F314" i="2"/>
  <c r="I314" i="2"/>
  <c r="L314" i="2"/>
  <c r="F315" i="2"/>
  <c r="I315" i="2"/>
  <c r="L315" i="2"/>
  <c r="L317" i="2"/>
  <c r="I317" i="2"/>
  <c r="F317" i="2"/>
  <c r="L316" i="2"/>
  <c r="I316" i="2"/>
  <c r="F316" i="2"/>
  <c r="L291" i="2"/>
  <c r="I291" i="2"/>
  <c r="F291" i="2"/>
  <c r="L287" i="2"/>
  <c r="I287" i="2"/>
  <c r="F287" i="2"/>
  <c r="K274" i="2"/>
  <c r="L274" i="2" s="1"/>
  <c r="C274" i="2"/>
  <c r="E274" i="2"/>
  <c r="H274" i="2"/>
  <c r="G274" i="2"/>
  <c r="E272" i="2"/>
  <c r="F272" i="2" s="1"/>
  <c r="K272" i="2"/>
  <c r="L272" i="2" s="1"/>
  <c r="H272" i="2"/>
  <c r="I272" i="2" s="1"/>
  <c r="L273" i="2"/>
  <c r="I273" i="2"/>
  <c r="F273" i="2"/>
  <c r="L271" i="2"/>
  <c r="H271" i="2"/>
  <c r="F271" i="2"/>
  <c r="C270" i="2"/>
  <c r="H270" i="2"/>
  <c r="G270" i="2"/>
  <c r="K270" i="2"/>
  <c r="J270" i="2"/>
  <c r="E270" i="2"/>
  <c r="H267" i="2"/>
  <c r="G267" i="2"/>
  <c r="K264" i="2"/>
  <c r="J264" i="2"/>
  <c r="C264" i="2"/>
  <c r="D264" i="2"/>
  <c r="H264" i="2"/>
  <c r="G264" i="2"/>
  <c r="E264" i="2"/>
  <c r="C263" i="2"/>
  <c r="F263" i="2" s="1"/>
  <c r="D262" i="2"/>
  <c r="E262" i="2"/>
  <c r="C262" i="2"/>
  <c r="G262" i="2"/>
  <c r="I262" i="2" s="1"/>
  <c r="J262" i="2"/>
  <c r="L262" i="2" s="1"/>
  <c r="J259" i="2"/>
  <c r="E259" i="2"/>
  <c r="C259" i="2"/>
  <c r="D259" i="2"/>
  <c r="H259" i="2"/>
  <c r="G259" i="2"/>
  <c r="K259" i="2"/>
  <c r="H257" i="2"/>
  <c r="G257" i="2"/>
  <c r="J257" i="2"/>
  <c r="L257" i="2" s="1"/>
  <c r="C257" i="2"/>
  <c r="E257" i="2"/>
  <c r="G225" i="2"/>
  <c r="I225" i="2" s="1"/>
  <c r="K225" i="2"/>
  <c r="C225" i="2"/>
  <c r="C238" i="2" s="1"/>
  <c r="E214" i="2"/>
  <c r="E238" i="2" s="1"/>
  <c r="F208" i="2"/>
  <c r="I208" i="2"/>
  <c r="L208" i="2"/>
  <c r="L269" i="2"/>
  <c r="I269" i="2"/>
  <c r="F269" i="2"/>
  <c r="L268" i="2"/>
  <c r="I268" i="2"/>
  <c r="F268" i="2"/>
  <c r="L267" i="2"/>
  <c r="F267" i="2"/>
  <c r="L266" i="2"/>
  <c r="I266" i="2"/>
  <c r="F266" i="2"/>
  <c r="L265" i="2"/>
  <c r="I265" i="2"/>
  <c r="F265" i="2"/>
  <c r="L263" i="2"/>
  <c r="I263" i="2"/>
  <c r="L261" i="2"/>
  <c r="I261" i="2"/>
  <c r="F261" i="2"/>
  <c r="L260" i="2"/>
  <c r="I260" i="2"/>
  <c r="F260" i="2"/>
  <c r="L258" i="2"/>
  <c r="I258" i="2"/>
  <c r="F258" i="2"/>
  <c r="L256" i="2"/>
  <c r="I256" i="2"/>
  <c r="F256" i="2"/>
  <c r="L255" i="2"/>
  <c r="I255" i="2"/>
  <c r="F255" i="2"/>
  <c r="L254" i="2"/>
  <c r="I254" i="2"/>
  <c r="F254" i="2"/>
  <c r="L253" i="2"/>
  <c r="I253" i="2"/>
  <c r="F253" i="2"/>
  <c r="L251" i="2"/>
  <c r="I251" i="2"/>
  <c r="F251" i="2"/>
  <c r="L250" i="2"/>
  <c r="I250" i="2"/>
  <c r="F250" i="2"/>
  <c r="L249" i="2"/>
  <c r="I249" i="2"/>
  <c r="F249" i="2"/>
  <c r="L248" i="2"/>
  <c r="I248" i="2"/>
  <c r="F248" i="2"/>
  <c r="L247" i="2"/>
  <c r="I247" i="2"/>
  <c r="F247" i="2"/>
  <c r="F207" i="2"/>
  <c r="I207" i="2"/>
  <c r="L207" i="2"/>
  <c r="F209" i="2"/>
  <c r="I209" i="2"/>
  <c r="L209" i="2"/>
  <c r="F213" i="2"/>
  <c r="I213" i="2"/>
  <c r="L213" i="2"/>
  <c r="I214" i="2"/>
  <c r="L214" i="2"/>
  <c r="F215" i="2"/>
  <c r="I215" i="2"/>
  <c r="L215" i="2"/>
  <c r="F216" i="2"/>
  <c r="I216" i="2"/>
  <c r="L216" i="2"/>
  <c r="F217" i="2"/>
  <c r="I217" i="2"/>
  <c r="L217" i="2"/>
  <c r="F218" i="2"/>
  <c r="I218" i="2"/>
  <c r="L218" i="2"/>
  <c r="F219" i="2"/>
  <c r="I219" i="2"/>
  <c r="L219" i="2"/>
  <c r="F220" i="2"/>
  <c r="I220" i="2"/>
  <c r="L220" i="2"/>
  <c r="F221" i="2"/>
  <c r="I221" i="2"/>
  <c r="L221" i="2"/>
  <c r="F222" i="2"/>
  <c r="I222" i="2"/>
  <c r="L222" i="2"/>
  <c r="F223" i="2"/>
  <c r="I223" i="2"/>
  <c r="L223" i="2"/>
  <c r="F224" i="2"/>
  <c r="I224" i="2"/>
  <c r="L224" i="2"/>
  <c r="F226" i="2"/>
  <c r="I226" i="2"/>
  <c r="L226" i="2"/>
  <c r="F227" i="2"/>
  <c r="I227" i="2"/>
  <c r="L227" i="2"/>
  <c r="F228" i="2"/>
  <c r="I228" i="2"/>
  <c r="L228" i="2"/>
  <c r="F229" i="2"/>
  <c r="I229" i="2"/>
  <c r="L229" i="2"/>
  <c r="F230" i="2"/>
  <c r="I230" i="2"/>
  <c r="L230" i="2"/>
  <c r="F231" i="2"/>
  <c r="I231" i="2"/>
  <c r="L231" i="2"/>
  <c r="J238" i="2"/>
  <c r="H238" i="2"/>
  <c r="L237" i="2"/>
  <c r="I237" i="2"/>
  <c r="F237" i="2"/>
  <c r="L236" i="2"/>
  <c r="I236" i="2"/>
  <c r="F236" i="2"/>
  <c r="L235" i="2"/>
  <c r="I235" i="2"/>
  <c r="F235" i="2"/>
  <c r="L234" i="2"/>
  <c r="I234" i="2"/>
  <c r="F234" i="2"/>
  <c r="L233" i="2"/>
  <c r="I233" i="2"/>
  <c r="F233" i="2"/>
  <c r="L232" i="2"/>
  <c r="I232" i="2"/>
  <c r="F232" i="2"/>
  <c r="D238" i="2"/>
  <c r="L211" i="2"/>
  <c r="I211" i="2"/>
  <c r="F211" i="2"/>
  <c r="L210" i="2"/>
  <c r="I210" i="2"/>
  <c r="F210" i="2"/>
  <c r="D180" i="2"/>
  <c r="D198" i="2" s="1"/>
  <c r="C180" i="2"/>
  <c r="K172" i="2"/>
  <c r="J172" i="2"/>
  <c r="L197" i="2"/>
  <c r="L196" i="2"/>
  <c r="L195" i="2"/>
  <c r="L194" i="2"/>
  <c r="L193" i="2"/>
  <c r="L192" i="2"/>
  <c r="L191" i="2"/>
  <c r="L190" i="2"/>
  <c r="L189" i="2"/>
  <c r="L188" i="2"/>
  <c r="L187" i="2"/>
  <c r="L186" i="2"/>
  <c r="L185" i="2"/>
  <c r="L184" i="2"/>
  <c r="L183" i="2"/>
  <c r="L182" i="2"/>
  <c r="L181" i="2"/>
  <c r="L180" i="2"/>
  <c r="L179" i="2"/>
  <c r="L178" i="2"/>
  <c r="L177" i="2"/>
  <c r="L176" i="2"/>
  <c r="L175" i="2"/>
  <c r="L174" i="2"/>
  <c r="L173" i="2"/>
  <c r="L171" i="2"/>
  <c r="L170" i="2"/>
  <c r="L169" i="2"/>
  <c r="L168" i="2"/>
  <c r="L167" i="2"/>
  <c r="L166" i="2"/>
  <c r="K198" i="2"/>
  <c r="J198" i="2"/>
  <c r="F173" i="2"/>
  <c r="I173" i="2"/>
  <c r="F174" i="2"/>
  <c r="I174" i="2"/>
  <c r="F175" i="2"/>
  <c r="I175" i="2"/>
  <c r="F176" i="2"/>
  <c r="I176" i="2"/>
  <c r="F177" i="2"/>
  <c r="I177" i="2"/>
  <c r="F178" i="2"/>
  <c r="I178" i="2"/>
  <c r="F179" i="2"/>
  <c r="I179" i="2"/>
  <c r="I180" i="2"/>
  <c r="F181" i="2"/>
  <c r="I181" i="2"/>
  <c r="F182" i="2"/>
  <c r="I182" i="2"/>
  <c r="F183" i="2"/>
  <c r="I183" i="2"/>
  <c r="F184" i="2"/>
  <c r="I184" i="2"/>
  <c r="F185" i="2"/>
  <c r="I185" i="2"/>
  <c r="F186" i="2"/>
  <c r="I186" i="2"/>
  <c r="F187" i="2"/>
  <c r="I187" i="2"/>
  <c r="F188" i="2"/>
  <c r="I188" i="2"/>
  <c r="F189" i="2"/>
  <c r="I189" i="2"/>
  <c r="H198" i="2"/>
  <c r="G198" i="2"/>
  <c r="E198" i="2"/>
  <c r="C198" i="2"/>
  <c r="I197" i="2"/>
  <c r="F197" i="2"/>
  <c r="I196" i="2"/>
  <c r="F196" i="2"/>
  <c r="I195" i="2"/>
  <c r="F195" i="2"/>
  <c r="I194" i="2"/>
  <c r="F194" i="2"/>
  <c r="I193" i="2"/>
  <c r="F193" i="2"/>
  <c r="I192" i="2"/>
  <c r="F192" i="2"/>
  <c r="I191" i="2"/>
  <c r="F191" i="2"/>
  <c r="I190" i="2"/>
  <c r="F190" i="2"/>
  <c r="I171" i="2"/>
  <c r="F171" i="2"/>
  <c r="I170" i="2"/>
  <c r="F170" i="2"/>
  <c r="I169" i="2"/>
  <c r="F169" i="2"/>
  <c r="I168" i="2"/>
  <c r="F168" i="2"/>
  <c r="I167" i="2"/>
  <c r="F167" i="2"/>
  <c r="F90" i="2"/>
  <c r="I90" i="2"/>
  <c r="I88" i="2"/>
  <c r="F88" i="2"/>
  <c r="N77" i="3" l="1"/>
  <c r="O60" i="3"/>
  <c r="L679" i="2"/>
  <c r="M678" i="2"/>
  <c r="H679" i="2"/>
  <c r="J678" i="2"/>
  <c r="Q653" i="2"/>
  <c r="C679" i="2"/>
  <c r="F678" i="2"/>
  <c r="O59" i="3"/>
  <c r="O57" i="3"/>
  <c r="Q636" i="2"/>
  <c r="AF679" i="2"/>
  <c r="AP679" i="2"/>
  <c r="AK678" i="2"/>
  <c r="AQ678" i="2"/>
  <c r="AR678" i="2" s="1"/>
  <c r="AQ652" i="2"/>
  <c r="AO679" i="2"/>
  <c r="AQ679" i="2" s="1"/>
  <c r="AD679" i="2"/>
  <c r="AG679" i="2" s="1"/>
  <c r="AG652" i="2"/>
  <c r="AH679" i="2"/>
  <c r="AK679" i="2" s="1"/>
  <c r="AK652" i="2"/>
  <c r="AL679" i="2"/>
  <c r="AN679" i="2" s="1"/>
  <c r="AN652" i="2"/>
  <c r="M679" i="2"/>
  <c r="K679" i="2"/>
  <c r="O679" i="2"/>
  <c r="Q649" i="2"/>
  <c r="Q650" i="2"/>
  <c r="Q678" i="2"/>
  <c r="Q635" i="2"/>
  <c r="H77" i="3"/>
  <c r="Z77" i="3"/>
  <c r="AR618" i="2"/>
  <c r="Q611" i="2"/>
  <c r="Q631" i="2"/>
  <c r="Q630" i="2"/>
  <c r="AR617" i="2"/>
  <c r="Q610" i="2"/>
  <c r="F638" i="2"/>
  <c r="Q628" i="2"/>
  <c r="Q609" i="2"/>
  <c r="O10" i="3"/>
  <c r="Q627" i="2"/>
  <c r="S38" i="3"/>
  <c r="S45" i="3" s="1"/>
  <c r="S51" i="3" s="1"/>
  <c r="S78" i="3" s="1"/>
  <c r="Q629" i="2"/>
  <c r="Q626" i="2"/>
  <c r="O31" i="3"/>
  <c r="O30" i="3"/>
  <c r="O9" i="3"/>
  <c r="Q624" i="2"/>
  <c r="O29" i="3"/>
  <c r="AG598" i="2"/>
  <c r="AQ598" i="2"/>
  <c r="AQ638" i="2"/>
  <c r="AK638" i="2"/>
  <c r="Q622" i="2"/>
  <c r="M638" i="2"/>
  <c r="Q620" i="2"/>
  <c r="Q619" i="2"/>
  <c r="Q618" i="2"/>
  <c r="O17" i="3"/>
  <c r="Q614" i="2"/>
  <c r="AN598" i="2"/>
  <c r="AN638" i="2"/>
  <c r="J638" i="2"/>
  <c r="O15" i="3"/>
  <c r="AG638" i="2"/>
  <c r="O13" i="3"/>
  <c r="Q593" i="2"/>
  <c r="O7" i="3"/>
  <c r="O6" i="3"/>
  <c r="Q591" i="2"/>
  <c r="Z37" i="3"/>
  <c r="T37" i="3"/>
  <c r="Q590" i="2"/>
  <c r="Q589" i="2"/>
  <c r="Q588" i="2"/>
  <c r="AC11" i="3"/>
  <c r="AC38" i="3" s="1"/>
  <c r="AA38" i="3"/>
  <c r="AA45" i="3" s="1"/>
  <c r="AA51" i="3" s="1"/>
  <c r="AD6" i="3"/>
  <c r="AD5" i="3"/>
  <c r="T11" i="3"/>
  <c r="T38" i="3" s="1"/>
  <c r="R51" i="3"/>
  <c r="R78" i="3" s="1"/>
  <c r="T45" i="3"/>
  <c r="T77" i="3"/>
  <c r="AD53" i="3"/>
  <c r="AD77" i="3" s="1"/>
  <c r="AD8" i="3"/>
  <c r="W11" i="3"/>
  <c r="W38" i="3" s="1"/>
  <c r="X38" i="3"/>
  <c r="X45" i="3" s="1"/>
  <c r="Z11" i="3"/>
  <c r="Z38" i="3" s="1"/>
  <c r="AB38" i="3"/>
  <c r="AB45" i="3" s="1"/>
  <c r="AB51" i="3" s="1"/>
  <c r="AB78" i="3" s="1"/>
  <c r="AD12" i="3"/>
  <c r="AD13" i="3"/>
  <c r="AD16" i="3"/>
  <c r="AD20" i="3"/>
  <c r="AD24" i="3"/>
  <c r="AD28" i="3"/>
  <c r="AD32" i="3"/>
  <c r="AD36" i="3"/>
  <c r="U51" i="3"/>
  <c r="W45" i="3"/>
  <c r="AD50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19" i="3"/>
  <c r="E77" i="3"/>
  <c r="K77" i="3"/>
  <c r="O16" i="3"/>
  <c r="O18" i="3"/>
  <c r="O22" i="3"/>
  <c r="O53" i="3"/>
  <c r="O5" i="3"/>
  <c r="AR607" i="2"/>
  <c r="Q613" i="2"/>
  <c r="Q608" i="2"/>
  <c r="Q607" i="2"/>
  <c r="P638" i="2"/>
  <c r="E12" i="3"/>
  <c r="M37" i="3"/>
  <c r="M38" i="3" s="1"/>
  <c r="M45" i="3" s="1"/>
  <c r="M51" i="3" s="1"/>
  <c r="M78" i="3" s="1"/>
  <c r="N12" i="3"/>
  <c r="N37" i="3" s="1"/>
  <c r="G38" i="3"/>
  <c r="G45" i="3" s="1"/>
  <c r="G51" i="3" s="1"/>
  <c r="G78" i="3" s="1"/>
  <c r="K37" i="3"/>
  <c r="H26" i="3"/>
  <c r="O26" i="3" s="1"/>
  <c r="C11" i="3"/>
  <c r="L11" i="3"/>
  <c r="C37" i="3"/>
  <c r="D37" i="3"/>
  <c r="D38" i="3" s="1"/>
  <c r="D45" i="3" s="1"/>
  <c r="D51" i="3" s="1"/>
  <c r="D78" i="3" s="1"/>
  <c r="F37" i="3"/>
  <c r="I37" i="3"/>
  <c r="J37" i="3"/>
  <c r="J38" i="3" s="1"/>
  <c r="J45" i="3" s="1"/>
  <c r="J51" i="3" s="1"/>
  <c r="J78" i="3" s="1"/>
  <c r="Q586" i="2"/>
  <c r="N464" i="2"/>
  <c r="Q502" i="2"/>
  <c r="J421" i="2"/>
  <c r="J438" i="2" s="1"/>
  <c r="G438" i="2"/>
  <c r="N430" i="2"/>
  <c r="U430" i="2" s="1"/>
  <c r="M438" i="2"/>
  <c r="O478" i="2"/>
  <c r="J458" i="2"/>
  <c r="G478" i="2"/>
  <c r="N518" i="2"/>
  <c r="P493" i="2"/>
  <c r="Q493" i="2" s="1"/>
  <c r="E518" i="2"/>
  <c r="N438" i="2"/>
  <c r="J478" i="2"/>
  <c r="AA387" i="2"/>
  <c r="F432" i="2"/>
  <c r="E438" i="2"/>
  <c r="Q456" i="2"/>
  <c r="P478" i="2"/>
  <c r="Q508" i="2"/>
  <c r="Q488" i="2"/>
  <c r="O518" i="2"/>
  <c r="Q547" i="2"/>
  <c r="Q549" i="2"/>
  <c r="Q553" i="2"/>
  <c r="Q557" i="2"/>
  <c r="AR527" i="2"/>
  <c r="AR528" i="2"/>
  <c r="AR536" i="2"/>
  <c r="K558" i="2"/>
  <c r="M536" i="2"/>
  <c r="T438" i="2"/>
  <c r="F413" i="2"/>
  <c r="D438" i="2"/>
  <c r="Q459" i="2"/>
  <c r="U459" i="2" s="1"/>
  <c r="G518" i="2"/>
  <c r="AR495" i="2"/>
  <c r="K438" i="2"/>
  <c r="K518" i="2"/>
  <c r="Q570" i="2"/>
  <c r="AA381" i="2"/>
  <c r="AA373" i="2"/>
  <c r="AA377" i="2"/>
  <c r="P438" i="2"/>
  <c r="T478" i="2"/>
  <c r="I478" i="2"/>
  <c r="X399" i="2"/>
  <c r="R406" i="2" s="1"/>
  <c r="J459" i="2"/>
  <c r="AR416" i="2"/>
  <c r="AR501" i="2"/>
  <c r="Q514" i="2"/>
  <c r="AR516" i="2"/>
  <c r="P503" i="2"/>
  <c r="Q503" i="2" s="1"/>
  <c r="AR557" i="2"/>
  <c r="Q507" i="2"/>
  <c r="AR499" i="2"/>
  <c r="AR569" i="2"/>
  <c r="AR580" i="2"/>
  <c r="AR583" i="2"/>
  <c r="AR585" i="2"/>
  <c r="AR586" i="2"/>
  <c r="AR587" i="2"/>
  <c r="AR588" i="2"/>
  <c r="AR589" i="2"/>
  <c r="AR590" i="2"/>
  <c r="AR591" i="2"/>
  <c r="AR592" i="2"/>
  <c r="AR593" i="2"/>
  <c r="AR594" i="2"/>
  <c r="AR595" i="2"/>
  <c r="AR596" i="2"/>
  <c r="AR597" i="2"/>
  <c r="Q578" i="2"/>
  <c r="Q592" i="2"/>
  <c r="Q594" i="2"/>
  <c r="Q595" i="2"/>
  <c r="Q596" i="2"/>
  <c r="F493" i="2"/>
  <c r="AR494" i="2"/>
  <c r="AR448" i="2"/>
  <c r="AR447" i="2"/>
  <c r="AR488" i="2"/>
  <c r="Q543" i="2"/>
  <c r="AR529" i="2"/>
  <c r="AR530" i="2"/>
  <c r="AR540" i="2"/>
  <c r="AR542" i="2"/>
  <c r="AR543" i="2"/>
  <c r="AR547" i="2"/>
  <c r="AL559" i="2"/>
  <c r="Q530" i="2"/>
  <c r="AR568" i="2"/>
  <c r="AR579" i="2"/>
  <c r="AK598" i="2"/>
  <c r="AR598" i="2" s="1"/>
  <c r="Q579" i="2"/>
  <c r="Q581" i="2"/>
  <c r="Q597" i="2"/>
  <c r="Q569" i="2"/>
  <c r="J499" i="2"/>
  <c r="J518" i="2" s="1"/>
  <c r="Q531" i="2"/>
  <c r="Q556" i="2"/>
  <c r="Q535" i="2"/>
  <c r="AR545" i="2"/>
  <c r="AR546" i="2"/>
  <c r="AR548" i="2"/>
  <c r="AR549" i="2"/>
  <c r="AR553" i="2"/>
  <c r="AR535" i="2"/>
  <c r="H518" i="2"/>
  <c r="I558" i="2"/>
  <c r="AR571" i="2"/>
  <c r="AR575" i="2"/>
  <c r="AR576" i="2"/>
  <c r="AR577" i="2"/>
  <c r="AR578" i="2"/>
  <c r="Q576" i="2"/>
  <c r="Q582" i="2"/>
  <c r="Q583" i="2"/>
  <c r="Q585" i="2"/>
  <c r="Q587" i="2"/>
  <c r="Q571" i="2"/>
  <c r="AR567" i="2"/>
  <c r="Q580" i="2"/>
  <c r="Q577" i="2"/>
  <c r="Q575" i="2"/>
  <c r="Q574" i="2"/>
  <c r="Q573" i="2"/>
  <c r="Q568" i="2"/>
  <c r="Q567" i="2"/>
  <c r="F598" i="2"/>
  <c r="M598" i="2"/>
  <c r="J598" i="2"/>
  <c r="P598" i="2"/>
  <c r="E598" i="2"/>
  <c r="K598" i="2"/>
  <c r="L598" i="2"/>
  <c r="Q555" i="2"/>
  <c r="Q554" i="2"/>
  <c r="Q552" i="2"/>
  <c r="Q551" i="2"/>
  <c r="Q550" i="2"/>
  <c r="Q548" i="2"/>
  <c r="Q528" i="2"/>
  <c r="Q546" i="2"/>
  <c r="Q545" i="2"/>
  <c r="Q544" i="2"/>
  <c r="Q542" i="2"/>
  <c r="Q541" i="2"/>
  <c r="Q540" i="2"/>
  <c r="L558" i="2"/>
  <c r="Q539" i="2"/>
  <c r="Q538" i="2"/>
  <c r="Q537" i="2"/>
  <c r="J558" i="2"/>
  <c r="E558" i="2"/>
  <c r="Q536" i="2"/>
  <c r="F558" i="2"/>
  <c r="M534" i="2"/>
  <c r="Q534" i="2"/>
  <c r="M558" i="2"/>
  <c r="Q533" i="2"/>
  <c r="AK558" i="2"/>
  <c r="AG558" i="2"/>
  <c r="AR558" i="2" s="1"/>
  <c r="P558" i="2"/>
  <c r="AG518" i="2"/>
  <c r="Q527" i="2"/>
  <c r="M518" i="2"/>
  <c r="L518" i="2"/>
  <c r="Q505" i="2"/>
  <c r="Q491" i="2"/>
  <c r="AR498" i="2"/>
  <c r="Q529" i="2"/>
  <c r="Q504" i="2"/>
  <c r="F503" i="2"/>
  <c r="F499" i="2"/>
  <c r="Q499" i="2" s="1"/>
  <c r="Q495" i="2"/>
  <c r="AR453" i="2"/>
  <c r="AR504" i="2"/>
  <c r="AR489" i="2"/>
  <c r="AR505" i="2"/>
  <c r="AR490" i="2"/>
  <c r="AR503" i="2"/>
  <c r="AR500" i="2"/>
  <c r="AR507" i="2"/>
  <c r="AR491" i="2"/>
  <c r="AR510" i="2"/>
  <c r="AR487" i="2"/>
  <c r="AR493" i="2"/>
  <c r="AR506" i="2"/>
  <c r="AR515" i="2"/>
  <c r="AR502" i="2"/>
  <c r="AR512" i="2"/>
  <c r="AR509" i="2"/>
  <c r="AR511" i="2"/>
  <c r="AR513" i="2"/>
  <c r="AA393" i="2"/>
  <c r="AA375" i="2"/>
  <c r="AA369" i="2"/>
  <c r="AA394" i="2"/>
  <c r="AA388" i="2"/>
  <c r="AA382" i="2"/>
  <c r="AA392" i="2"/>
  <c r="AA386" i="2"/>
  <c r="AA380" i="2"/>
  <c r="AA374" i="2"/>
  <c r="AA397" i="2"/>
  <c r="AA391" i="2"/>
  <c r="AA385" i="2"/>
  <c r="AA379" i="2"/>
  <c r="AA368" i="2"/>
  <c r="AA370" i="2"/>
  <c r="AA396" i="2"/>
  <c r="AA390" i="2"/>
  <c r="AA384" i="2"/>
  <c r="AA378" i="2"/>
  <c r="AA367" i="2"/>
  <c r="AA395" i="2"/>
  <c r="AA389" i="2"/>
  <c r="AA383" i="2"/>
  <c r="AA376" i="2"/>
  <c r="AA371" i="2"/>
  <c r="Q515" i="2"/>
  <c r="Q498" i="2"/>
  <c r="Q512" i="2"/>
  <c r="Q510" i="2"/>
  <c r="Q516" i="2"/>
  <c r="Q501" i="2"/>
  <c r="Q509" i="2"/>
  <c r="Q506" i="2"/>
  <c r="Q500" i="2"/>
  <c r="Q496" i="2"/>
  <c r="Q489" i="2"/>
  <c r="Q497" i="2"/>
  <c r="Q490" i="2"/>
  <c r="Q494" i="2"/>
  <c r="AQ518" i="2"/>
  <c r="AK518" i="2"/>
  <c r="AN518" i="2"/>
  <c r="Q487" i="2"/>
  <c r="U465" i="2"/>
  <c r="T464" i="2"/>
  <c r="F427" i="2"/>
  <c r="U447" i="2"/>
  <c r="Y399" i="2"/>
  <c r="S406" i="2" s="1"/>
  <c r="Z398" i="2"/>
  <c r="U451" i="2"/>
  <c r="Z399" i="2"/>
  <c r="T406" i="2" s="1"/>
  <c r="U420" i="2"/>
  <c r="U422" i="2"/>
  <c r="E478" i="2"/>
  <c r="AR410" i="2"/>
  <c r="U414" i="2"/>
  <c r="U416" i="2"/>
  <c r="U407" i="2"/>
  <c r="U409" i="2"/>
  <c r="U448" i="2"/>
  <c r="U449" i="2"/>
  <c r="U460" i="2"/>
  <c r="U464" i="2"/>
  <c r="U468" i="2"/>
  <c r="U472" i="2"/>
  <c r="U476" i="2"/>
  <c r="U450" i="2"/>
  <c r="U411" i="2"/>
  <c r="U424" i="2"/>
  <c r="U415" i="2"/>
  <c r="U413" i="2"/>
  <c r="AR407" i="2"/>
  <c r="U410" i="2"/>
  <c r="U408" i="2"/>
  <c r="AR459" i="2"/>
  <c r="AR471" i="2"/>
  <c r="J427" i="2"/>
  <c r="AR421" i="2"/>
  <c r="AR427" i="2"/>
  <c r="U469" i="2"/>
  <c r="U473" i="2"/>
  <c r="U477" i="2"/>
  <c r="K398" i="2"/>
  <c r="U419" i="2"/>
  <c r="U426" i="2"/>
  <c r="AR422" i="2"/>
  <c r="AR428" i="2"/>
  <c r="AR434" i="2"/>
  <c r="AR465" i="2"/>
  <c r="U458" i="2"/>
  <c r="U462" i="2"/>
  <c r="U466" i="2"/>
  <c r="U470" i="2"/>
  <c r="U474" i="2"/>
  <c r="AR415" i="2"/>
  <c r="AR433" i="2"/>
  <c r="AR464" i="2"/>
  <c r="AR470" i="2"/>
  <c r="AR477" i="2"/>
  <c r="AR449" i="2"/>
  <c r="U463" i="2"/>
  <c r="U467" i="2"/>
  <c r="U471" i="2"/>
  <c r="U475" i="2"/>
  <c r="U457" i="2"/>
  <c r="U456" i="2"/>
  <c r="J455" i="2"/>
  <c r="N455" i="2"/>
  <c r="N478" i="2" s="1"/>
  <c r="Q455" i="2"/>
  <c r="Q478" i="2" s="1"/>
  <c r="U454" i="2"/>
  <c r="U453" i="2"/>
  <c r="U437" i="2"/>
  <c r="U436" i="2"/>
  <c r="U435" i="2"/>
  <c r="U434" i="2"/>
  <c r="U433" i="2"/>
  <c r="U432" i="2"/>
  <c r="U431" i="2"/>
  <c r="U429" i="2"/>
  <c r="U428" i="2"/>
  <c r="U425" i="2"/>
  <c r="U423" i="2"/>
  <c r="Q421" i="2"/>
  <c r="U418" i="2"/>
  <c r="U417" i="2"/>
  <c r="F478" i="2"/>
  <c r="AR425" i="2"/>
  <c r="AR431" i="2"/>
  <c r="AR457" i="2"/>
  <c r="AR469" i="2"/>
  <c r="AR475" i="2"/>
  <c r="AR419" i="2"/>
  <c r="AR437" i="2"/>
  <c r="AR463" i="2"/>
  <c r="AR408" i="2"/>
  <c r="AR411" i="2"/>
  <c r="AR418" i="2"/>
  <c r="AR424" i="2"/>
  <c r="AR430" i="2"/>
  <c r="AR436" i="2"/>
  <c r="AR456" i="2"/>
  <c r="AR462" i="2"/>
  <c r="AR468" i="2"/>
  <c r="AR474" i="2"/>
  <c r="AR413" i="2"/>
  <c r="AR409" i="2"/>
  <c r="AR414" i="2"/>
  <c r="AR417" i="2"/>
  <c r="AR420" i="2"/>
  <c r="AR423" i="2"/>
  <c r="AR426" i="2"/>
  <c r="AR429" i="2"/>
  <c r="AR432" i="2"/>
  <c r="AR435" i="2"/>
  <c r="AR451" i="2"/>
  <c r="AR454" i="2"/>
  <c r="AR455" i="2"/>
  <c r="AR458" i="2"/>
  <c r="AR460" i="2"/>
  <c r="AR461" i="2"/>
  <c r="AR466" i="2"/>
  <c r="AR467" i="2"/>
  <c r="AR472" i="2"/>
  <c r="AR473" i="2"/>
  <c r="AR476" i="2"/>
  <c r="M231" i="2"/>
  <c r="M229" i="2"/>
  <c r="AQ478" i="2"/>
  <c r="AR450" i="2"/>
  <c r="AK478" i="2"/>
  <c r="AG478" i="2"/>
  <c r="AN478" i="2"/>
  <c r="AQ438" i="2"/>
  <c r="AI439" i="2"/>
  <c r="AI446" i="2" s="1"/>
  <c r="AP439" i="2"/>
  <c r="AP446" i="2" s="1"/>
  <c r="AP452" i="2" s="1"/>
  <c r="AP479" i="2" s="1"/>
  <c r="AP486" i="2" s="1"/>
  <c r="AP492" i="2" s="1"/>
  <c r="AH439" i="2"/>
  <c r="AH446" i="2" s="1"/>
  <c r="AO439" i="2"/>
  <c r="AO446" i="2" s="1"/>
  <c r="AE439" i="2"/>
  <c r="AE446" i="2" s="1"/>
  <c r="AF439" i="2"/>
  <c r="AF446" i="2" s="1"/>
  <c r="AG438" i="2"/>
  <c r="AN438" i="2"/>
  <c r="AD439" i="2"/>
  <c r="E398" i="2"/>
  <c r="AM439" i="2"/>
  <c r="AK438" i="2"/>
  <c r="AJ439" i="2"/>
  <c r="AL439" i="2"/>
  <c r="AL446" i="2" s="1"/>
  <c r="AL452" i="2" s="1"/>
  <c r="AL479" i="2" s="1"/>
  <c r="AL486" i="2" s="1"/>
  <c r="AL492" i="2" s="1"/>
  <c r="AL519" i="2" s="1"/>
  <c r="AL526" i="2" s="1"/>
  <c r="AL532" i="2" s="1"/>
  <c r="AN412" i="2"/>
  <c r="AG412" i="2"/>
  <c r="AQ412" i="2"/>
  <c r="AK412" i="2"/>
  <c r="J199" i="2"/>
  <c r="J206" i="2" s="1"/>
  <c r="J212" i="2" s="1"/>
  <c r="J239" i="2" s="1"/>
  <c r="J246" i="2" s="1"/>
  <c r="J252" i="2" s="1"/>
  <c r="M227" i="2"/>
  <c r="D318" i="2"/>
  <c r="L293" i="2"/>
  <c r="M230" i="2"/>
  <c r="M228" i="2"/>
  <c r="I276" i="2"/>
  <c r="W372" i="2"/>
  <c r="V399" i="2"/>
  <c r="P406" i="2" s="1"/>
  <c r="P372" i="2"/>
  <c r="N399" i="2"/>
  <c r="H406" i="2" s="1"/>
  <c r="T398" i="2"/>
  <c r="W398" i="2"/>
  <c r="U399" i="2"/>
  <c r="O406" i="2" s="1"/>
  <c r="O399" i="2"/>
  <c r="I406" i="2" s="1"/>
  <c r="P398" i="2"/>
  <c r="T372" i="2"/>
  <c r="M222" i="2"/>
  <c r="M207" i="2"/>
  <c r="M208" i="2"/>
  <c r="I264" i="2"/>
  <c r="L264" i="2"/>
  <c r="I267" i="2"/>
  <c r="M267" i="2" s="1"/>
  <c r="L270" i="2"/>
  <c r="M307" i="2"/>
  <c r="F225" i="2"/>
  <c r="M209" i="2"/>
  <c r="L275" i="2"/>
  <c r="M275" i="2" s="1"/>
  <c r="F277" i="2"/>
  <c r="M277" i="2" s="1"/>
  <c r="I304" i="2"/>
  <c r="L313" i="2"/>
  <c r="M313" i="2" s="1"/>
  <c r="M399" i="2"/>
  <c r="G406" i="2" s="1"/>
  <c r="M170" i="2"/>
  <c r="M196" i="2"/>
  <c r="M187" i="2"/>
  <c r="M184" i="2"/>
  <c r="M183" i="2"/>
  <c r="M181" i="2"/>
  <c r="F180" i="2"/>
  <c r="M180" i="2" s="1"/>
  <c r="M173" i="2"/>
  <c r="K199" i="2"/>
  <c r="K206" i="2" s="1"/>
  <c r="K212" i="2" s="1"/>
  <c r="M167" i="2"/>
  <c r="M211" i="2"/>
  <c r="G238" i="2"/>
  <c r="M220" i="2"/>
  <c r="M247" i="2"/>
  <c r="M255" i="2"/>
  <c r="F257" i="2"/>
  <c r="I259" i="2"/>
  <c r="F259" i="2"/>
  <c r="I274" i="2"/>
  <c r="M291" i="2"/>
  <c r="M309" i="2"/>
  <c r="K318" i="2"/>
  <c r="F297" i="2"/>
  <c r="I300" i="2"/>
  <c r="M300" i="2" s="1"/>
  <c r="C358" i="2"/>
  <c r="M335" i="2"/>
  <c r="R399" i="2"/>
  <c r="L406" i="2" s="1"/>
  <c r="L172" i="2"/>
  <c r="M171" i="2"/>
  <c r="M232" i="2"/>
  <c r="M234" i="2"/>
  <c r="M236" i="2"/>
  <c r="M221" i="2"/>
  <c r="M215" i="2"/>
  <c r="M256" i="2"/>
  <c r="L225" i="2"/>
  <c r="K238" i="2"/>
  <c r="F276" i="2"/>
  <c r="J88" i="2"/>
  <c r="M169" i="2"/>
  <c r="M190" i="2"/>
  <c r="M194" i="2"/>
  <c r="M197" i="2"/>
  <c r="M168" i="2"/>
  <c r="F274" i="2"/>
  <c r="M287" i="2"/>
  <c r="M288" i="2"/>
  <c r="F398" i="2"/>
  <c r="M175" i="2"/>
  <c r="M193" i="2"/>
  <c r="M210" i="2"/>
  <c r="M233" i="2"/>
  <c r="M235" i="2"/>
  <c r="M237" i="2"/>
  <c r="M219" i="2"/>
  <c r="M217" i="2"/>
  <c r="M248" i="2"/>
  <c r="M317" i="2"/>
  <c r="M299" i="2"/>
  <c r="L297" i="2"/>
  <c r="L304" i="2"/>
  <c r="M327" i="2"/>
  <c r="M331" i="2"/>
  <c r="M343" i="2"/>
  <c r="Q399" i="2"/>
  <c r="K406" i="2" s="1"/>
  <c r="S399" i="2"/>
  <c r="M406" i="2" s="1"/>
  <c r="L398" i="2"/>
  <c r="I398" i="2"/>
  <c r="M357" i="2"/>
  <c r="M356" i="2"/>
  <c r="M349" i="2"/>
  <c r="M346" i="2"/>
  <c r="M338" i="2"/>
  <c r="M316" i="2"/>
  <c r="M345" i="2"/>
  <c r="M336" i="2"/>
  <c r="M355" i="2"/>
  <c r="I358" i="2"/>
  <c r="M341" i="2"/>
  <c r="M348" i="2"/>
  <c r="M352" i="2"/>
  <c r="M340" i="2"/>
  <c r="M347" i="2"/>
  <c r="M351" i="2"/>
  <c r="M354" i="2"/>
  <c r="F358" i="2"/>
  <c r="M334" i="2"/>
  <c r="M337" i="2"/>
  <c r="M339" i="2"/>
  <c r="M350" i="2"/>
  <c r="M353" i="2"/>
  <c r="M330" i="2"/>
  <c r="M329" i="2"/>
  <c r="M328" i="2"/>
  <c r="M344" i="2"/>
  <c r="L358" i="2"/>
  <c r="M333" i="2"/>
  <c r="M342" i="2"/>
  <c r="E358" i="2"/>
  <c r="J358" i="2"/>
  <c r="G358" i="2"/>
  <c r="M315" i="2"/>
  <c r="M314" i="2"/>
  <c r="M290" i="2"/>
  <c r="M312" i="2"/>
  <c r="M311" i="2"/>
  <c r="M310" i="2"/>
  <c r="M308" i="2"/>
  <c r="M306" i="2"/>
  <c r="M305" i="2"/>
  <c r="J318" i="2"/>
  <c r="F304" i="2"/>
  <c r="M303" i="2"/>
  <c r="M302" i="2"/>
  <c r="M301" i="2"/>
  <c r="M289" i="2"/>
  <c r="M298" i="2"/>
  <c r="G318" i="2"/>
  <c r="I297" i="2"/>
  <c r="C318" i="2"/>
  <c r="M296" i="2"/>
  <c r="F295" i="2"/>
  <c r="M295" i="2" s="1"/>
  <c r="E318" i="2"/>
  <c r="M294" i="2"/>
  <c r="I293" i="2"/>
  <c r="F293" i="2"/>
  <c r="M251" i="2"/>
  <c r="K278" i="2"/>
  <c r="H318" i="2"/>
  <c r="M273" i="2"/>
  <c r="H278" i="2"/>
  <c r="M272" i="2"/>
  <c r="M250" i="2"/>
  <c r="I271" i="2"/>
  <c r="M271" i="2" s="1"/>
  <c r="I270" i="2"/>
  <c r="F270" i="2"/>
  <c r="M269" i="2"/>
  <c r="M268" i="2"/>
  <c r="M266" i="2"/>
  <c r="M265" i="2"/>
  <c r="F264" i="2"/>
  <c r="D278" i="2"/>
  <c r="M263" i="2"/>
  <c r="F262" i="2"/>
  <c r="M262" i="2" s="1"/>
  <c r="J278" i="2"/>
  <c r="C278" i="2"/>
  <c r="M249" i="2"/>
  <c r="M261" i="2"/>
  <c r="M260" i="2"/>
  <c r="L259" i="2"/>
  <c r="G278" i="2"/>
  <c r="M258" i="2"/>
  <c r="I257" i="2"/>
  <c r="E278" i="2"/>
  <c r="M254" i="2"/>
  <c r="M226" i="2"/>
  <c r="M224" i="2"/>
  <c r="M223" i="2"/>
  <c r="M218" i="2"/>
  <c r="I238" i="2"/>
  <c r="M216" i="2"/>
  <c r="F214" i="2"/>
  <c r="F238" i="2" s="1"/>
  <c r="M213" i="2"/>
  <c r="M253" i="2"/>
  <c r="M195" i="2"/>
  <c r="M192" i="2"/>
  <c r="M191" i="2"/>
  <c r="M189" i="2"/>
  <c r="M188" i="2"/>
  <c r="M186" i="2"/>
  <c r="M185" i="2"/>
  <c r="M182" i="2"/>
  <c r="M179" i="2"/>
  <c r="M178" i="2"/>
  <c r="M177" i="2"/>
  <c r="L198" i="2"/>
  <c r="M176" i="2"/>
  <c r="M174" i="2"/>
  <c r="I198" i="2"/>
  <c r="J90" i="2"/>
  <c r="F133" i="2"/>
  <c r="I133" i="2"/>
  <c r="F134" i="2"/>
  <c r="I134" i="2"/>
  <c r="F135" i="2"/>
  <c r="I135" i="2"/>
  <c r="F136" i="2"/>
  <c r="I136" i="2"/>
  <c r="F137" i="2"/>
  <c r="I137" i="2"/>
  <c r="F138" i="2"/>
  <c r="I138" i="2"/>
  <c r="F139" i="2"/>
  <c r="I139" i="2"/>
  <c r="F140" i="2"/>
  <c r="I140" i="2"/>
  <c r="F141" i="2"/>
  <c r="I141" i="2"/>
  <c r="F142" i="2"/>
  <c r="I142" i="2"/>
  <c r="F143" i="2"/>
  <c r="I143" i="2"/>
  <c r="F144" i="2"/>
  <c r="I144" i="2"/>
  <c r="F145" i="2"/>
  <c r="I145" i="2"/>
  <c r="F146" i="2"/>
  <c r="I146" i="2"/>
  <c r="F147" i="2"/>
  <c r="I147" i="2"/>
  <c r="F148" i="2"/>
  <c r="I148" i="2"/>
  <c r="F149" i="2"/>
  <c r="I149" i="2"/>
  <c r="F150" i="2"/>
  <c r="I150" i="2"/>
  <c r="F151" i="2"/>
  <c r="I151" i="2"/>
  <c r="F152" i="2"/>
  <c r="I152" i="2"/>
  <c r="F153" i="2"/>
  <c r="I153" i="2"/>
  <c r="F154" i="2"/>
  <c r="I154" i="2"/>
  <c r="F155" i="2"/>
  <c r="I155" i="2"/>
  <c r="F130" i="2"/>
  <c r="I130" i="2"/>
  <c r="H158" i="2"/>
  <c r="G158" i="2"/>
  <c r="E158" i="2"/>
  <c r="D158" i="2"/>
  <c r="C158" i="2"/>
  <c r="I157" i="2"/>
  <c r="F157" i="2"/>
  <c r="I156" i="2"/>
  <c r="F156" i="2"/>
  <c r="I131" i="2"/>
  <c r="F131" i="2"/>
  <c r="I129" i="2"/>
  <c r="F129" i="2"/>
  <c r="I128" i="2"/>
  <c r="F128" i="2"/>
  <c r="I127" i="2"/>
  <c r="F127" i="2"/>
  <c r="AR679" i="2" l="1"/>
  <c r="AR652" i="2"/>
  <c r="AR638" i="2"/>
  <c r="Q638" i="2"/>
  <c r="W51" i="3"/>
  <c r="W78" i="3" s="1"/>
  <c r="U78" i="3"/>
  <c r="AD37" i="3"/>
  <c r="AC51" i="3"/>
  <c r="AC78" i="3" s="1"/>
  <c r="AA78" i="3"/>
  <c r="T51" i="3"/>
  <c r="AD11" i="3"/>
  <c r="AD38" i="3" s="1"/>
  <c r="X51" i="3"/>
  <c r="Z45" i="3"/>
  <c r="AC45" i="3"/>
  <c r="O77" i="3"/>
  <c r="E37" i="3"/>
  <c r="O12" i="3"/>
  <c r="O37" i="3" s="1"/>
  <c r="H37" i="3"/>
  <c r="C38" i="3"/>
  <c r="C45" i="3" s="1"/>
  <c r="N11" i="3"/>
  <c r="N38" i="3" s="1"/>
  <c r="L38" i="3"/>
  <c r="L45" i="3" s="1"/>
  <c r="I11" i="3"/>
  <c r="F11" i="3"/>
  <c r="F518" i="2"/>
  <c r="P518" i="2"/>
  <c r="AL566" i="2"/>
  <c r="AL572" i="2" s="1"/>
  <c r="AP526" i="2"/>
  <c r="AP532" i="2" s="1"/>
  <c r="AP559" i="2" s="1"/>
  <c r="U421" i="2"/>
  <c r="U427" i="2"/>
  <c r="U438" i="2" s="1"/>
  <c r="K599" i="2"/>
  <c r="K606" i="2" s="1"/>
  <c r="K612" i="2" s="1"/>
  <c r="K639" i="2" s="1"/>
  <c r="AP519" i="2"/>
  <c r="Q438" i="2"/>
  <c r="F438" i="2"/>
  <c r="Q598" i="2"/>
  <c r="E559" i="2"/>
  <c r="E566" i="2" s="1"/>
  <c r="E572" i="2" s="1"/>
  <c r="E599" i="2" s="1"/>
  <c r="E606" i="2" s="1"/>
  <c r="E612" i="2" s="1"/>
  <c r="E639" i="2" s="1"/>
  <c r="Q558" i="2"/>
  <c r="Q518" i="2"/>
  <c r="AR518" i="2"/>
  <c r="AA398" i="2"/>
  <c r="M412" i="2"/>
  <c r="M439" i="2" s="1"/>
  <c r="M446" i="2" s="1"/>
  <c r="M452" i="2" s="1"/>
  <c r="M479" i="2" s="1"/>
  <c r="I486" i="2" s="1"/>
  <c r="I492" i="2" s="1"/>
  <c r="I519" i="2" s="1"/>
  <c r="I526" i="2" s="1"/>
  <c r="I532" i="2" s="1"/>
  <c r="I559" i="2" s="1"/>
  <c r="I566" i="2" s="1"/>
  <c r="I572" i="2" s="1"/>
  <c r="I599" i="2" s="1"/>
  <c r="I606" i="2" s="1"/>
  <c r="I612" i="2" s="1"/>
  <c r="I639" i="2" s="1"/>
  <c r="I646" i="2" s="1"/>
  <c r="I652" i="2" s="1"/>
  <c r="I679" i="2" s="1"/>
  <c r="P412" i="2"/>
  <c r="P439" i="2" s="1"/>
  <c r="P446" i="2" s="1"/>
  <c r="P452" i="2" s="1"/>
  <c r="P479" i="2" s="1"/>
  <c r="L486" i="2" s="1"/>
  <c r="L492" i="2" s="1"/>
  <c r="L519" i="2" s="1"/>
  <c r="L526" i="2" s="1"/>
  <c r="L532" i="2" s="1"/>
  <c r="L559" i="2" s="1"/>
  <c r="L566" i="2" s="1"/>
  <c r="L572" i="2" s="1"/>
  <c r="L599" i="2" s="1"/>
  <c r="L606" i="2" s="1"/>
  <c r="L612" i="2" s="1"/>
  <c r="L639" i="2" s="1"/>
  <c r="M225" i="2"/>
  <c r="G412" i="2"/>
  <c r="G439" i="2" s="1"/>
  <c r="G446" i="2" s="1"/>
  <c r="G452" i="2" s="1"/>
  <c r="G479" i="2" s="1"/>
  <c r="C486" i="2" s="1"/>
  <c r="C492" i="2" s="1"/>
  <c r="C519" i="2" s="1"/>
  <c r="C526" i="2" s="1"/>
  <c r="C532" i="2" s="1"/>
  <c r="C559" i="2" s="1"/>
  <c r="C566" i="2" s="1"/>
  <c r="C572" i="2" s="1"/>
  <c r="C599" i="2" s="1"/>
  <c r="C606" i="2" s="1"/>
  <c r="C612" i="2" s="1"/>
  <c r="C639" i="2" s="1"/>
  <c r="AR412" i="2"/>
  <c r="L412" i="2"/>
  <c r="L439" i="2" s="1"/>
  <c r="L446" i="2" s="1"/>
  <c r="L452" i="2" s="1"/>
  <c r="L479" i="2" s="1"/>
  <c r="H486" i="2" s="1"/>
  <c r="H492" i="2" s="1"/>
  <c r="H519" i="2" s="1"/>
  <c r="H526" i="2" s="1"/>
  <c r="H532" i="2" s="1"/>
  <c r="H559" i="2" s="1"/>
  <c r="H566" i="2" s="1"/>
  <c r="H572" i="2" s="1"/>
  <c r="H599" i="2" s="1"/>
  <c r="H606" i="2" s="1"/>
  <c r="H612" i="2" s="1"/>
  <c r="H639" i="2" s="1"/>
  <c r="I412" i="2"/>
  <c r="I439" i="2" s="1"/>
  <c r="I446" i="2" s="1"/>
  <c r="I452" i="2" s="1"/>
  <c r="I479" i="2" s="1"/>
  <c r="E486" i="2" s="1"/>
  <c r="E492" i="2" s="1"/>
  <c r="E519" i="2" s="1"/>
  <c r="E526" i="2" s="1"/>
  <c r="E532" i="2" s="1"/>
  <c r="H412" i="2"/>
  <c r="H439" i="2" s="1"/>
  <c r="H446" i="2" s="1"/>
  <c r="H452" i="2" s="1"/>
  <c r="H479" i="2" s="1"/>
  <c r="D486" i="2" s="1"/>
  <c r="D492" i="2" s="1"/>
  <c r="D519" i="2" s="1"/>
  <c r="D526" i="2" s="1"/>
  <c r="D532" i="2" s="1"/>
  <c r="D559" i="2" s="1"/>
  <c r="D566" i="2" s="1"/>
  <c r="D572" i="2" s="1"/>
  <c r="D599" i="2" s="1"/>
  <c r="D606" i="2" s="1"/>
  <c r="D612" i="2" s="1"/>
  <c r="D639" i="2" s="1"/>
  <c r="D646" i="2" s="1"/>
  <c r="D652" i="2" s="1"/>
  <c r="D679" i="2" s="1"/>
  <c r="U455" i="2"/>
  <c r="U478" i="2" s="1"/>
  <c r="AR478" i="2"/>
  <c r="AR438" i="2"/>
  <c r="AG439" i="2"/>
  <c r="AG446" i="2" s="1"/>
  <c r="AQ439" i="2"/>
  <c r="AI452" i="2"/>
  <c r="AI479" i="2" s="1"/>
  <c r="AI486" i="2" s="1"/>
  <c r="AI492" i="2" s="1"/>
  <c r="AI519" i="2" s="1"/>
  <c r="AI526" i="2" s="1"/>
  <c r="AI532" i="2" s="1"/>
  <c r="AI559" i="2" s="1"/>
  <c r="AI566" i="2" s="1"/>
  <c r="AI572" i="2" s="1"/>
  <c r="AI599" i="2" s="1"/>
  <c r="AI606" i="2" s="1"/>
  <c r="AI612" i="2" s="1"/>
  <c r="AI639" i="2" s="1"/>
  <c r="AD446" i="2"/>
  <c r="AD452" i="2" s="1"/>
  <c r="AD479" i="2" s="1"/>
  <c r="AD486" i="2" s="1"/>
  <c r="AD492" i="2" s="1"/>
  <c r="AK439" i="2"/>
  <c r="AJ446" i="2"/>
  <c r="AJ452" i="2" s="1"/>
  <c r="AJ479" i="2" s="1"/>
  <c r="AJ486" i="2" s="1"/>
  <c r="AJ492" i="2" s="1"/>
  <c r="AJ519" i="2" s="1"/>
  <c r="AJ526" i="2" s="1"/>
  <c r="AJ532" i="2" s="1"/>
  <c r="AJ559" i="2" s="1"/>
  <c r="AJ566" i="2" s="1"/>
  <c r="AJ572" i="2" s="1"/>
  <c r="AJ599" i="2" s="1"/>
  <c r="AJ606" i="2" s="1"/>
  <c r="AJ612" i="2" s="1"/>
  <c r="AJ639" i="2" s="1"/>
  <c r="AF452" i="2"/>
  <c r="AF479" i="2" s="1"/>
  <c r="AF486" i="2" s="1"/>
  <c r="AF492" i="2" s="1"/>
  <c r="AF519" i="2" s="1"/>
  <c r="AF526" i="2" s="1"/>
  <c r="AF532" i="2" s="1"/>
  <c r="AF559" i="2" s="1"/>
  <c r="AM446" i="2"/>
  <c r="AM452" i="2" s="1"/>
  <c r="AM479" i="2" s="1"/>
  <c r="M276" i="2"/>
  <c r="S412" i="2"/>
  <c r="S439" i="2" s="1"/>
  <c r="S446" i="2" s="1"/>
  <c r="S452" i="2" s="1"/>
  <c r="S479" i="2" s="1"/>
  <c r="O486" i="2" s="1"/>
  <c r="O492" i="2" s="1"/>
  <c r="O519" i="2" s="1"/>
  <c r="O526" i="2" s="1"/>
  <c r="O532" i="2" s="1"/>
  <c r="O559" i="2" s="1"/>
  <c r="O566" i="2" s="1"/>
  <c r="O572" i="2" s="1"/>
  <c r="O599" i="2" s="1"/>
  <c r="O606" i="2" s="1"/>
  <c r="O612" i="2" s="1"/>
  <c r="O639" i="2" s="1"/>
  <c r="AN439" i="2"/>
  <c r="AN446" i="2" s="1"/>
  <c r="AE452" i="2"/>
  <c r="AE479" i="2" s="1"/>
  <c r="AE486" i="2" s="1"/>
  <c r="AE492" i="2" s="1"/>
  <c r="AE519" i="2" s="1"/>
  <c r="AE526" i="2" s="1"/>
  <c r="AE532" i="2" s="1"/>
  <c r="AE559" i="2" s="1"/>
  <c r="AE566" i="2" s="1"/>
  <c r="AE572" i="2" s="1"/>
  <c r="AE599" i="2" s="1"/>
  <c r="AE606" i="2" s="1"/>
  <c r="AE612" i="2" s="1"/>
  <c r="AE639" i="2" s="1"/>
  <c r="K412" i="2"/>
  <c r="K439" i="2" s="1"/>
  <c r="K446" i="2" s="1"/>
  <c r="K452" i="2" s="1"/>
  <c r="K479" i="2" s="1"/>
  <c r="G486" i="2" s="1"/>
  <c r="G492" i="2" s="1"/>
  <c r="G519" i="2" s="1"/>
  <c r="G526" i="2" s="1"/>
  <c r="G532" i="2" s="1"/>
  <c r="G559" i="2" s="1"/>
  <c r="G566" i="2" s="1"/>
  <c r="G572" i="2" s="1"/>
  <c r="G599" i="2" s="1"/>
  <c r="G606" i="2" s="1"/>
  <c r="G612" i="2" s="1"/>
  <c r="G639" i="2" s="1"/>
  <c r="G646" i="2" s="1"/>
  <c r="G652" i="2" s="1"/>
  <c r="G679" i="2" s="1"/>
  <c r="M304" i="2"/>
  <c r="M274" i="2"/>
  <c r="R412" i="2"/>
  <c r="R439" i="2" s="1"/>
  <c r="R446" i="2" s="1"/>
  <c r="R452" i="2" s="1"/>
  <c r="R479" i="2" s="1"/>
  <c r="N486" i="2" s="1"/>
  <c r="N492" i="2" s="1"/>
  <c r="N519" i="2" s="1"/>
  <c r="N526" i="2" s="1"/>
  <c r="N532" i="2" s="1"/>
  <c r="N559" i="2" s="1"/>
  <c r="N566" i="2" s="1"/>
  <c r="N572" i="2" s="1"/>
  <c r="N599" i="2" s="1"/>
  <c r="N606" i="2" s="1"/>
  <c r="N612" i="2" s="1"/>
  <c r="N639" i="2" s="1"/>
  <c r="N646" i="2" s="1"/>
  <c r="N652" i="2" s="1"/>
  <c r="N679" i="2" s="1"/>
  <c r="W399" i="2"/>
  <c r="Q406" i="2" s="1"/>
  <c r="O412" i="2"/>
  <c r="O439" i="2" s="1"/>
  <c r="O446" i="2" s="1"/>
  <c r="O452" i="2" s="1"/>
  <c r="O479" i="2" s="1"/>
  <c r="K486" i="2" s="1"/>
  <c r="K492" i="2" s="1"/>
  <c r="K519" i="2" s="1"/>
  <c r="K526" i="2" s="1"/>
  <c r="K532" i="2" s="1"/>
  <c r="K559" i="2" s="1"/>
  <c r="K566" i="2" s="1"/>
  <c r="K572" i="2" s="1"/>
  <c r="P399" i="2"/>
  <c r="J406" i="2" s="1"/>
  <c r="T399" i="2"/>
  <c r="N406" i="2" s="1"/>
  <c r="J128" i="2"/>
  <c r="J131" i="2"/>
  <c r="J156" i="2"/>
  <c r="J157" i="2"/>
  <c r="J145" i="2"/>
  <c r="J139" i="2"/>
  <c r="F198" i="2"/>
  <c r="M198" i="2" s="1"/>
  <c r="L238" i="2"/>
  <c r="M238" i="2" s="1"/>
  <c r="M259" i="2"/>
  <c r="L318" i="2"/>
  <c r="K239" i="2"/>
  <c r="K246" i="2" s="1"/>
  <c r="K252" i="2" s="1"/>
  <c r="K279" i="2" s="1"/>
  <c r="K286" i="2" s="1"/>
  <c r="K292" i="2" s="1"/>
  <c r="K319" i="2" s="1"/>
  <c r="K326" i="2" s="1"/>
  <c r="K332" i="2" s="1"/>
  <c r="K359" i="2" s="1"/>
  <c r="K366" i="2" s="1"/>
  <c r="K372" i="2" s="1"/>
  <c r="K399" i="2" s="1"/>
  <c r="L278" i="2"/>
  <c r="F278" i="2"/>
  <c r="J146" i="2"/>
  <c r="J137" i="2"/>
  <c r="L199" i="2"/>
  <c r="L206" i="2" s="1"/>
  <c r="L212" i="2" s="1"/>
  <c r="M214" i="2"/>
  <c r="M297" i="2"/>
  <c r="M358" i="2"/>
  <c r="M293" i="2"/>
  <c r="F318" i="2"/>
  <c r="I318" i="2"/>
  <c r="M270" i="2"/>
  <c r="I278" i="2"/>
  <c r="M264" i="2"/>
  <c r="J279" i="2"/>
  <c r="J286" i="2" s="1"/>
  <c r="J292" i="2" s="1"/>
  <c r="J319" i="2" s="1"/>
  <c r="J326" i="2" s="1"/>
  <c r="J332" i="2" s="1"/>
  <c r="J359" i="2" s="1"/>
  <c r="J366" i="2" s="1"/>
  <c r="J372" i="2" s="1"/>
  <c r="J399" i="2" s="1"/>
  <c r="M257" i="2"/>
  <c r="J140" i="2"/>
  <c r="J135" i="2"/>
  <c r="J130" i="2"/>
  <c r="J153" i="2"/>
  <c r="J147" i="2"/>
  <c r="J141" i="2"/>
  <c r="J149" i="2"/>
  <c r="J148" i="2"/>
  <c r="J150" i="2"/>
  <c r="J142" i="2"/>
  <c r="J129" i="2"/>
  <c r="J136" i="2"/>
  <c r="J127" i="2"/>
  <c r="J152" i="2"/>
  <c r="J138" i="2"/>
  <c r="J133" i="2"/>
  <c r="J143" i="2"/>
  <c r="F158" i="2"/>
  <c r="J151" i="2"/>
  <c r="J155" i="2"/>
  <c r="J154" i="2"/>
  <c r="J144" i="2"/>
  <c r="J134" i="2"/>
  <c r="I158" i="2"/>
  <c r="G115" i="2"/>
  <c r="G118" i="2" s="1"/>
  <c r="E115" i="2"/>
  <c r="F115" i="2" s="1"/>
  <c r="E110" i="2"/>
  <c r="C105" i="2"/>
  <c r="C118" i="2" s="1"/>
  <c r="D105" i="2"/>
  <c r="F116" i="2"/>
  <c r="I116" i="2"/>
  <c r="F117" i="2"/>
  <c r="I117" i="2"/>
  <c r="F93" i="2"/>
  <c r="I93" i="2"/>
  <c r="F94" i="2"/>
  <c r="I94" i="2"/>
  <c r="F95" i="2"/>
  <c r="I95" i="2"/>
  <c r="F96" i="2"/>
  <c r="I96" i="2"/>
  <c r="F97" i="2"/>
  <c r="I97" i="2"/>
  <c r="F98" i="2"/>
  <c r="I98" i="2"/>
  <c r="F99" i="2"/>
  <c r="I99" i="2"/>
  <c r="F100" i="2"/>
  <c r="I100" i="2"/>
  <c r="F101" i="2"/>
  <c r="I101" i="2"/>
  <c r="F102" i="2"/>
  <c r="I102" i="2"/>
  <c r="F103" i="2"/>
  <c r="I103" i="2"/>
  <c r="F104" i="2"/>
  <c r="I104" i="2"/>
  <c r="I105" i="2"/>
  <c r="F106" i="2"/>
  <c r="I106" i="2"/>
  <c r="F107" i="2"/>
  <c r="I107" i="2"/>
  <c r="F108" i="2"/>
  <c r="I108" i="2"/>
  <c r="F109" i="2"/>
  <c r="I109" i="2"/>
  <c r="I110" i="2"/>
  <c r="F111" i="2"/>
  <c r="I111" i="2"/>
  <c r="F89" i="2"/>
  <c r="I89" i="2"/>
  <c r="F91" i="2"/>
  <c r="I91" i="2"/>
  <c r="F87" i="2"/>
  <c r="I87" i="2"/>
  <c r="H118" i="2"/>
  <c r="I114" i="2"/>
  <c r="F114" i="2"/>
  <c r="I113" i="2"/>
  <c r="F113" i="2"/>
  <c r="I112" i="2"/>
  <c r="F112" i="2"/>
  <c r="G65" i="2"/>
  <c r="D65" i="2"/>
  <c r="E65" i="2"/>
  <c r="AD45" i="3" l="1"/>
  <c r="T78" i="3"/>
  <c r="X78" i="3"/>
  <c r="Z51" i="3"/>
  <c r="Z78" i="3" s="1"/>
  <c r="N45" i="3"/>
  <c r="L51" i="3"/>
  <c r="C51" i="3"/>
  <c r="C78" i="3" s="1"/>
  <c r="E45" i="3"/>
  <c r="I38" i="3"/>
  <c r="I45" i="3" s="1"/>
  <c r="K11" i="3"/>
  <c r="K38" i="3" s="1"/>
  <c r="F38" i="3"/>
  <c r="F45" i="3" s="1"/>
  <c r="H11" i="3"/>
  <c r="AF566" i="2"/>
  <c r="AF572" i="2" s="1"/>
  <c r="AF599" i="2" s="1"/>
  <c r="AF606" i="2" s="1"/>
  <c r="AF612" i="2" s="1"/>
  <c r="AF639" i="2" s="1"/>
  <c r="AP566" i="2"/>
  <c r="AP572" i="2" s="1"/>
  <c r="AP599" i="2" s="1"/>
  <c r="AP606" i="2" s="1"/>
  <c r="AP612" i="2" s="1"/>
  <c r="AP639" i="2" s="1"/>
  <c r="AL599" i="2"/>
  <c r="AL606" i="2" s="1"/>
  <c r="AL612" i="2" s="1"/>
  <c r="F519" i="2"/>
  <c r="F526" i="2" s="1"/>
  <c r="F532" i="2" s="1"/>
  <c r="F559" i="2" s="1"/>
  <c r="F566" i="2" s="1"/>
  <c r="F572" i="2" s="1"/>
  <c r="F599" i="2" s="1"/>
  <c r="F606" i="2" s="1"/>
  <c r="F612" i="2" s="1"/>
  <c r="F639" i="2" s="1"/>
  <c r="F646" i="2" s="1"/>
  <c r="F652" i="2" s="1"/>
  <c r="F679" i="2" s="1"/>
  <c r="AN479" i="2"/>
  <c r="AN486" i="2" s="1"/>
  <c r="AM486" i="2"/>
  <c r="AM492" i="2" s="1"/>
  <c r="AD519" i="2"/>
  <c r="AG492" i="2"/>
  <c r="J412" i="2"/>
  <c r="J439" i="2" s="1"/>
  <c r="J446" i="2" s="1"/>
  <c r="J452" i="2" s="1"/>
  <c r="J479" i="2" s="1"/>
  <c r="F486" i="2" s="1"/>
  <c r="F492" i="2" s="1"/>
  <c r="L239" i="2"/>
  <c r="L246" i="2" s="1"/>
  <c r="L252" i="2" s="1"/>
  <c r="L279" i="2" s="1"/>
  <c r="L286" i="2" s="1"/>
  <c r="L292" i="2" s="1"/>
  <c r="L319" i="2" s="1"/>
  <c r="L326" i="2" s="1"/>
  <c r="L332" i="2" s="1"/>
  <c r="L359" i="2" s="1"/>
  <c r="L366" i="2" s="1"/>
  <c r="L372" i="2" s="1"/>
  <c r="L399" i="2" s="1"/>
  <c r="AQ446" i="2"/>
  <c r="AR439" i="2"/>
  <c r="AR446" i="2" s="1"/>
  <c r="AN452" i="2"/>
  <c r="AG479" i="2"/>
  <c r="AG486" i="2" s="1"/>
  <c r="AH452" i="2"/>
  <c r="AK446" i="2"/>
  <c r="AO452" i="2"/>
  <c r="AG452" i="2"/>
  <c r="N412" i="2"/>
  <c r="N439" i="2" s="1"/>
  <c r="N446" i="2" s="1"/>
  <c r="N452" i="2" s="1"/>
  <c r="N479" i="2" s="1"/>
  <c r="J486" i="2" s="1"/>
  <c r="J492" i="2" s="1"/>
  <c r="J519" i="2" s="1"/>
  <c r="J526" i="2" s="1"/>
  <c r="J532" i="2" s="1"/>
  <c r="J559" i="2" s="1"/>
  <c r="J566" i="2" s="1"/>
  <c r="J572" i="2" s="1"/>
  <c r="J599" i="2" s="1"/>
  <c r="J606" i="2" s="1"/>
  <c r="J612" i="2" s="1"/>
  <c r="J639" i="2" s="1"/>
  <c r="J646" i="2" s="1"/>
  <c r="J652" i="2" s="1"/>
  <c r="J679" i="2" s="1"/>
  <c r="M278" i="2"/>
  <c r="T412" i="2"/>
  <c r="T439" i="2" s="1"/>
  <c r="T446" i="2" s="1"/>
  <c r="T452" i="2" s="1"/>
  <c r="T479" i="2" s="1"/>
  <c r="P486" i="2" s="1"/>
  <c r="P492" i="2" s="1"/>
  <c r="P519" i="2" s="1"/>
  <c r="P526" i="2" s="1"/>
  <c r="P532" i="2" s="1"/>
  <c r="P559" i="2" s="1"/>
  <c r="P566" i="2" s="1"/>
  <c r="P572" i="2" s="1"/>
  <c r="P599" i="2" s="1"/>
  <c r="P606" i="2" s="1"/>
  <c r="P612" i="2" s="1"/>
  <c r="P639" i="2" s="1"/>
  <c r="P646" i="2" s="1"/>
  <c r="P652" i="2" s="1"/>
  <c r="P679" i="2" s="1"/>
  <c r="Q412" i="2"/>
  <c r="Q439" i="2" s="1"/>
  <c r="Q446" i="2" s="1"/>
  <c r="Q452" i="2" s="1"/>
  <c r="Q479" i="2" s="1"/>
  <c r="M486" i="2" s="1"/>
  <c r="M492" i="2" s="1"/>
  <c r="M519" i="2" s="1"/>
  <c r="M526" i="2" s="1"/>
  <c r="M532" i="2" s="1"/>
  <c r="M559" i="2" s="1"/>
  <c r="M566" i="2" s="1"/>
  <c r="M572" i="2" s="1"/>
  <c r="M599" i="2" s="1"/>
  <c r="M606" i="2" s="1"/>
  <c r="M612" i="2" s="1"/>
  <c r="M639" i="2" s="1"/>
  <c r="E118" i="2"/>
  <c r="M318" i="2"/>
  <c r="J112" i="2"/>
  <c r="I115" i="2"/>
  <c r="I118" i="2" s="1"/>
  <c r="J158" i="2"/>
  <c r="F110" i="2"/>
  <c r="J110" i="2" s="1"/>
  <c r="F105" i="2"/>
  <c r="J113" i="2"/>
  <c r="J98" i="2"/>
  <c r="J91" i="2"/>
  <c r="J89" i="2"/>
  <c r="J109" i="2"/>
  <c r="J106" i="2"/>
  <c r="J103" i="2"/>
  <c r="J100" i="2"/>
  <c r="J94" i="2"/>
  <c r="J117" i="2"/>
  <c r="J116" i="2"/>
  <c r="J108" i="2"/>
  <c r="J97" i="2"/>
  <c r="J102" i="2"/>
  <c r="J96" i="2"/>
  <c r="J87" i="2"/>
  <c r="J104" i="2"/>
  <c r="J111" i="2"/>
  <c r="J99" i="2"/>
  <c r="J114" i="2"/>
  <c r="J101" i="2"/>
  <c r="J93" i="2"/>
  <c r="J107" i="2"/>
  <c r="J95" i="2"/>
  <c r="D118" i="2"/>
  <c r="D59" i="2"/>
  <c r="AL639" i="2" l="1"/>
  <c r="AD51" i="3"/>
  <c r="AD78" i="3" s="1"/>
  <c r="E51" i="3"/>
  <c r="N51" i="3"/>
  <c r="N78" i="3" s="1"/>
  <c r="L78" i="3"/>
  <c r="H45" i="3"/>
  <c r="F51" i="3"/>
  <c r="I51" i="3"/>
  <c r="K45" i="3"/>
  <c r="H38" i="3"/>
  <c r="AG519" i="2"/>
  <c r="AG526" i="2" s="1"/>
  <c r="AD526" i="2"/>
  <c r="AD532" i="2" s="1"/>
  <c r="AD559" i="2" s="1"/>
  <c r="AM519" i="2"/>
  <c r="AN492" i="2"/>
  <c r="AH479" i="2"/>
  <c r="AK452" i="2"/>
  <c r="AQ452" i="2"/>
  <c r="AO479" i="2"/>
  <c r="J115" i="2"/>
  <c r="F118" i="2"/>
  <c r="J105" i="2"/>
  <c r="F37" i="2"/>
  <c r="I37" i="2"/>
  <c r="I77" i="2"/>
  <c r="F77" i="2"/>
  <c r="E29" i="2"/>
  <c r="E38" i="2" s="1"/>
  <c r="G19" i="2"/>
  <c r="G38" i="2" s="1"/>
  <c r="D78" i="2"/>
  <c r="E78" i="2"/>
  <c r="G78" i="2"/>
  <c r="H78" i="2"/>
  <c r="C78" i="2"/>
  <c r="F54" i="2"/>
  <c r="F48" i="2"/>
  <c r="F49" i="2"/>
  <c r="F50" i="2"/>
  <c r="F51" i="2"/>
  <c r="F53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47" i="2"/>
  <c r="I48" i="2"/>
  <c r="I49" i="2"/>
  <c r="I50" i="2"/>
  <c r="I51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47" i="2"/>
  <c r="D38" i="2"/>
  <c r="H38" i="2"/>
  <c r="C38" i="2"/>
  <c r="I15" i="2"/>
  <c r="I16" i="2"/>
  <c r="I17" i="2"/>
  <c r="I18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13" i="2"/>
  <c r="I14" i="2"/>
  <c r="F13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30" i="2"/>
  <c r="F31" i="2"/>
  <c r="F32" i="2"/>
  <c r="F33" i="2"/>
  <c r="F34" i="2"/>
  <c r="F35" i="2"/>
  <c r="F36" i="2"/>
  <c r="F14" i="2"/>
  <c r="D12" i="2"/>
  <c r="E12" i="2"/>
  <c r="G12" i="2"/>
  <c r="H12" i="2"/>
  <c r="C12" i="2"/>
  <c r="I7" i="2"/>
  <c r="I8" i="2"/>
  <c r="I9" i="2"/>
  <c r="I10" i="2"/>
  <c r="I11" i="2"/>
  <c r="F7" i="2"/>
  <c r="F8" i="2"/>
  <c r="F9" i="2"/>
  <c r="F10" i="2"/>
  <c r="F11" i="2"/>
  <c r="I6" i="2"/>
  <c r="F6" i="2"/>
  <c r="O45" i="3" l="1"/>
  <c r="H51" i="3"/>
  <c r="H78" i="3" s="1"/>
  <c r="F78" i="3"/>
  <c r="I78" i="3"/>
  <c r="K51" i="3"/>
  <c r="K78" i="3" s="1"/>
  <c r="E78" i="3"/>
  <c r="AD566" i="2"/>
  <c r="AD572" i="2" s="1"/>
  <c r="AG559" i="2"/>
  <c r="AG566" i="2" s="1"/>
  <c r="AG532" i="2"/>
  <c r="AN519" i="2"/>
  <c r="AN526" i="2" s="1"/>
  <c r="AM526" i="2"/>
  <c r="AM532" i="2" s="1"/>
  <c r="AM559" i="2" s="1"/>
  <c r="AQ479" i="2"/>
  <c r="AQ486" i="2" s="1"/>
  <c r="AO486" i="2"/>
  <c r="AO492" i="2" s="1"/>
  <c r="AO519" i="2" s="1"/>
  <c r="AK479" i="2"/>
  <c r="AK486" i="2" s="1"/>
  <c r="AH486" i="2"/>
  <c r="AH492" i="2" s="1"/>
  <c r="AR452" i="2"/>
  <c r="J30" i="2"/>
  <c r="J118" i="2"/>
  <c r="J65" i="2"/>
  <c r="J48" i="2"/>
  <c r="J67" i="2"/>
  <c r="J77" i="2"/>
  <c r="J37" i="2"/>
  <c r="F29" i="2"/>
  <c r="J29" i="2" s="1"/>
  <c r="J54" i="2"/>
  <c r="J9" i="2"/>
  <c r="J75" i="2"/>
  <c r="J69" i="2"/>
  <c r="J63" i="2"/>
  <c r="J8" i="2"/>
  <c r="J26" i="2"/>
  <c r="J28" i="2"/>
  <c r="J31" i="2"/>
  <c r="J25" i="2"/>
  <c r="J64" i="2"/>
  <c r="J58" i="2"/>
  <c r="J51" i="2"/>
  <c r="J57" i="2"/>
  <c r="J66" i="2"/>
  <c r="I19" i="2"/>
  <c r="I38" i="2" s="1"/>
  <c r="H39" i="2"/>
  <c r="H46" i="2" s="1"/>
  <c r="H52" i="2" s="1"/>
  <c r="H79" i="2" s="1"/>
  <c r="H86" i="2" s="1"/>
  <c r="H92" i="2" s="1"/>
  <c r="H119" i="2" s="1"/>
  <c r="H126" i="2" s="1"/>
  <c r="H132" i="2" s="1"/>
  <c r="H159" i="2" s="1"/>
  <c r="H166" i="2" s="1"/>
  <c r="H172" i="2" s="1"/>
  <c r="H199" i="2" s="1"/>
  <c r="H206" i="2" s="1"/>
  <c r="H212" i="2" s="1"/>
  <c r="H239" i="2" s="1"/>
  <c r="H246" i="2" s="1"/>
  <c r="H252" i="2" s="1"/>
  <c r="H279" i="2" s="1"/>
  <c r="H286" i="2" s="1"/>
  <c r="H292" i="2" s="1"/>
  <c r="H319" i="2" s="1"/>
  <c r="H326" i="2" s="1"/>
  <c r="H332" i="2" s="1"/>
  <c r="H359" i="2" s="1"/>
  <c r="H366" i="2" s="1"/>
  <c r="H372" i="2" s="1"/>
  <c r="H399" i="2" s="1"/>
  <c r="G39" i="2"/>
  <c r="G46" i="2" s="1"/>
  <c r="G52" i="2" s="1"/>
  <c r="G79" i="2" s="1"/>
  <c r="G86" i="2" s="1"/>
  <c r="G92" i="2" s="1"/>
  <c r="G119" i="2" s="1"/>
  <c r="G126" i="2" s="1"/>
  <c r="G132" i="2" s="1"/>
  <c r="G159" i="2" s="1"/>
  <c r="G166" i="2" s="1"/>
  <c r="G172" i="2" s="1"/>
  <c r="G199" i="2" s="1"/>
  <c r="G206" i="2" s="1"/>
  <c r="G212" i="2" s="1"/>
  <c r="G239" i="2" s="1"/>
  <c r="G246" i="2" s="1"/>
  <c r="G252" i="2" s="1"/>
  <c r="G279" i="2" s="1"/>
  <c r="G286" i="2" s="1"/>
  <c r="G292" i="2" s="1"/>
  <c r="G319" i="2" s="1"/>
  <c r="G326" i="2" s="1"/>
  <c r="G332" i="2" s="1"/>
  <c r="G359" i="2" s="1"/>
  <c r="G366" i="2" s="1"/>
  <c r="G372" i="2" s="1"/>
  <c r="G399" i="2" s="1"/>
  <c r="J18" i="2"/>
  <c r="J16" i="2"/>
  <c r="C39" i="2"/>
  <c r="J11" i="2"/>
  <c r="J33" i="2"/>
  <c r="J21" i="2"/>
  <c r="J15" i="2"/>
  <c r="J35" i="2"/>
  <c r="J14" i="2"/>
  <c r="J13" i="2"/>
  <c r="J61" i="2"/>
  <c r="I78" i="2"/>
  <c r="J27" i="2"/>
  <c r="J32" i="2"/>
  <c r="J20" i="2"/>
  <c r="J10" i="2"/>
  <c r="J23" i="2"/>
  <c r="J17" i="2"/>
  <c r="J71" i="2"/>
  <c r="F78" i="2"/>
  <c r="E39" i="2"/>
  <c r="E46" i="2" s="1"/>
  <c r="E52" i="2" s="1"/>
  <c r="E79" i="2" s="1"/>
  <c r="E86" i="2" s="1"/>
  <c r="E92" i="2" s="1"/>
  <c r="E119" i="2" s="1"/>
  <c r="E126" i="2" s="1"/>
  <c r="E132" i="2" s="1"/>
  <c r="E159" i="2" s="1"/>
  <c r="E166" i="2" s="1"/>
  <c r="E172" i="2" s="1"/>
  <c r="E199" i="2" s="1"/>
  <c r="E206" i="2" s="1"/>
  <c r="E212" i="2" s="1"/>
  <c r="E239" i="2" s="1"/>
  <c r="E246" i="2" s="1"/>
  <c r="E252" i="2" s="1"/>
  <c r="E279" i="2" s="1"/>
  <c r="E286" i="2" s="1"/>
  <c r="E292" i="2" s="1"/>
  <c r="E319" i="2" s="1"/>
  <c r="E326" i="2" s="1"/>
  <c r="E332" i="2" s="1"/>
  <c r="E359" i="2" s="1"/>
  <c r="E366" i="2" s="1"/>
  <c r="E372" i="2" s="1"/>
  <c r="E399" i="2" s="1"/>
  <c r="E406" i="2" s="1"/>
  <c r="E412" i="2" s="1"/>
  <c r="E439" i="2" s="1"/>
  <c r="E446" i="2" s="1"/>
  <c r="E452" i="2" s="1"/>
  <c r="J34" i="2"/>
  <c r="J22" i="2"/>
  <c r="J36" i="2"/>
  <c r="J24" i="2"/>
  <c r="J7" i="2"/>
  <c r="J73" i="2"/>
  <c r="D39" i="2"/>
  <c r="D46" i="2" s="1"/>
  <c r="D52" i="2" s="1"/>
  <c r="D79" i="2" s="1"/>
  <c r="D86" i="2" s="1"/>
  <c r="D92" i="2" s="1"/>
  <c r="D119" i="2" s="1"/>
  <c r="D126" i="2" s="1"/>
  <c r="D132" i="2" s="1"/>
  <c r="D159" i="2" s="1"/>
  <c r="D166" i="2" s="1"/>
  <c r="D172" i="2" s="1"/>
  <c r="D199" i="2" s="1"/>
  <c r="D206" i="2" s="1"/>
  <c r="D212" i="2" s="1"/>
  <c r="D239" i="2" s="1"/>
  <c r="D246" i="2" s="1"/>
  <c r="D252" i="2" s="1"/>
  <c r="D279" i="2" s="1"/>
  <c r="D286" i="2" s="1"/>
  <c r="D292" i="2" s="1"/>
  <c r="D319" i="2" s="1"/>
  <c r="D326" i="2" s="1"/>
  <c r="D332" i="2" s="1"/>
  <c r="D359" i="2" s="1"/>
  <c r="D366" i="2" s="1"/>
  <c r="D372" i="2" s="1"/>
  <c r="D399" i="2" s="1"/>
  <c r="D406" i="2" s="1"/>
  <c r="D412" i="2" s="1"/>
  <c r="D439" i="2" s="1"/>
  <c r="D446" i="2" s="1"/>
  <c r="D452" i="2" s="1"/>
  <c r="J76" i="2"/>
  <c r="F38" i="2"/>
  <c r="J55" i="2"/>
  <c r="J59" i="2"/>
  <c r="J49" i="2"/>
  <c r="F12" i="2"/>
  <c r="I12" i="2"/>
  <c r="J72" i="2"/>
  <c r="J6" i="2"/>
  <c r="J74" i="2"/>
  <c r="J68" i="2"/>
  <c r="J62" i="2"/>
  <c r="J56" i="2"/>
  <c r="J50" i="2"/>
  <c r="J70" i="2"/>
  <c r="J60" i="2"/>
  <c r="J53" i="2"/>
  <c r="J47" i="2"/>
  <c r="O51" i="3" l="1"/>
  <c r="O78" i="3" s="1"/>
  <c r="AM566" i="2"/>
  <c r="AM572" i="2" s="1"/>
  <c r="AN559" i="2"/>
  <c r="AN566" i="2" s="1"/>
  <c r="AG572" i="2"/>
  <c r="AD599" i="2"/>
  <c r="AN532" i="2"/>
  <c r="E479" i="2"/>
  <c r="D479" i="2"/>
  <c r="AQ492" i="2"/>
  <c r="AR479" i="2"/>
  <c r="AR486" i="2" s="1"/>
  <c r="AH519" i="2"/>
  <c r="AK492" i="2"/>
  <c r="J19" i="2"/>
  <c r="J38" i="2" s="1"/>
  <c r="I39" i="2"/>
  <c r="I46" i="2" s="1"/>
  <c r="I52" i="2" s="1"/>
  <c r="I79" i="2" s="1"/>
  <c r="I86" i="2" s="1"/>
  <c r="I92" i="2" s="1"/>
  <c r="I119" i="2" s="1"/>
  <c r="I126" i="2" s="1"/>
  <c r="I132" i="2" s="1"/>
  <c r="I159" i="2" s="1"/>
  <c r="I166" i="2" s="1"/>
  <c r="I172" i="2" s="1"/>
  <c r="I199" i="2" s="1"/>
  <c r="I206" i="2" s="1"/>
  <c r="I212" i="2" s="1"/>
  <c r="I239" i="2" s="1"/>
  <c r="I246" i="2" s="1"/>
  <c r="F39" i="2"/>
  <c r="F46" i="2" s="1"/>
  <c r="F52" i="2" s="1"/>
  <c r="F79" i="2" s="1"/>
  <c r="F86" i="2" s="1"/>
  <c r="F92" i="2" s="1"/>
  <c r="F119" i="2" s="1"/>
  <c r="F126" i="2" s="1"/>
  <c r="F132" i="2" s="1"/>
  <c r="F159" i="2" s="1"/>
  <c r="F166" i="2" s="1"/>
  <c r="J12" i="2"/>
  <c r="J78" i="2"/>
  <c r="C46" i="2"/>
  <c r="C52" i="2" s="1"/>
  <c r="C79" i="2" s="1"/>
  <c r="C86" i="2" s="1"/>
  <c r="C92" i="2" s="1"/>
  <c r="C119" i="2" s="1"/>
  <c r="C126" i="2" s="1"/>
  <c r="C132" i="2" s="1"/>
  <c r="C159" i="2" s="1"/>
  <c r="C166" i="2" s="1"/>
  <c r="C172" i="2" s="1"/>
  <c r="C199" i="2" s="1"/>
  <c r="C206" i="2" s="1"/>
  <c r="C212" i="2" s="1"/>
  <c r="C239" i="2" s="1"/>
  <c r="C246" i="2" s="1"/>
  <c r="C252" i="2" s="1"/>
  <c r="C279" i="2" s="1"/>
  <c r="C286" i="2" s="1"/>
  <c r="C292" i="2" s="1"/>
  <c r="C319" i="2" s="1"/>
  <c r="C326" i="2" s="1"/>
  <c r="C332" i="2" s="1"/>
  <c r="C359" i="2" s="1"/>
  <c r="C366" i="2" s="1"/>
  <c r="C372" i="2" s="1"/>
  <c r="C399" i="2" s="1"/>
  <c r="C406" i="2" s="1"/>
  <c r="C412" i="2" s="1"/>
  <c r="C439" i="2" s="1"/>
  <c r="C446" i="2" s="1"/>
  <c r="C452" i="2" s="1"/>
  <c r="AG599" i="2" l="1"/>
  <c r="AG606" i="2" s="1"/>
  <c r="AD606" i="2"/>
  <c r="AD612" i="2" s="1"/>
  <c r="AM599" i="2"/>
  <c r="AN572" i="2"/>
  <c r="AQ519" i="2"/>
  <c r="AQ526" i="2" s="1"/>
  <c r="AO526" i="2"/>
  <c r="AO532" i="2" s="1"/>
  <c r="AO559" i="2" s="1"/>
  <c r="AK519" i="2"/>
  <c r="AK526" i="2" s="1"/>
  <c r="AH526" i="2"/>
  <c r="AH532" i="2" s="1"/>
  <c r="AH559" i="2" s="1"/>
  <c r="AR492" i="2"/>
  <c r="C479" i="2"/>
  <c r="I252" i="2"/>
  <c r="I279" i="2" s="1"/>
  <c r="I286" i="2" s="1"/>
  <c r="M166" i="2"/>
  <c r="M172" i="2" s="1"/>
  <c r="F172" i="2"/>
  <c r="F199" i="2" s="1"/>
  <c r="J39" i="2"/>
  <c r="J46" i="2" s="1"/>
  <c r="J52" i="2" s="1"/>
  <c r="J79" i="2" s="1"/>
  <c r="J86" i="2" s="1"/>
  <c r="J92" i="2" s="1"/>
  <c r="J119" i="2" s="1"/>
  <c r="J126" i="2" s="1"/>
  <c r="J132" i="2" s="1"/>
  <c r="J159" i="2" s="1"/>
  <c r="AN599" i="2" l="1"/>
  <c r="AN606" i="2" s="1"/>
  <c r="AM606" i="2"/>
  <c r="AM612" i="2" s="1"/>
  <c r="AD639" i="2"/>
  <c r="AG639" i="2" s="1"/>
  <c r="AG612" i="2"/>
  <c r="AO566" i="2"/>
  <c r="AO572" i="2" s="1"/>
  <c r="AQ559" i="2"/>
  <c r="AQ566" i="2" s="1"/>
  <c r="AK559" i="2"/>
  <c r="AH566" i="2"/>
  <c r="AH572" i="2" s="1"/>
  <c r="AQ532" i="2"/>
  <c r="AK532" i="2"/>
  <c r="AR519" i="2"/>
  <c r="AR526" i="2" s="1"/>
  <c r="I292" i="2"/>
  <c r="I319" i="2" s="1"/>
  <c r="I326" i="2" s="1"/>
  <c r="I332" i="2" s="1"/>
  <c r="I359" i="2" s="1"/>
  <c r="I366" i="2" s="1"/>
  <c r="M199" i="2"/>
  <c r="F206" i="2"/>
  <c r="AM639" i="2" l="1"/>
  <c r="AN639" i="2" s="1"/>
  <c r="AN612" i="2"/>
  <c r="AK572" i="2"/>
  <c r="AH599" i="2"/>
  <c r="AR559" i="2"/>
  <c r="AR566" i="2" s="1"/>
  <c r="AK566" i="2"/>
  <c r="AO599" i="2"/>
  <c r="AQ572" i="2"/>
  <c r="AR572" i="2" s="1"/>
  <c r="AR532" i="2"/>
  <c r="I372" i="2"/>
  <c r="I399" i="2" s="1"/>
  <c r="F212" i="2"/>
  <c r="F239" i="2" s="1"/>
  <c r="M206" i="2"/>
  <c r="M212" i="2" s="1"/>
  <c r="AQ599" i="2" l="1"/>
  <c r="AQ606" i="2" s="1"/>
  <c r="AO606" i="2"/>
  <c r="AO612" i="2" s="1"/>
  <c r="AK599" i="2"/>
  <c r="AK606" i="2" s="1"/>
  <c r="AH606" i="2"/>
  <c r="AH612" i="2" s="1"/>
  <c r="AR599" i="2"/>
  <c r="AR606" i="2" s="1"/>
  <c r="M239" i="2"/>
  <c r="F246" i="2"/>
  <c r="AQ612" i="2" l="1"/>
  <c r="AO639" i="2"/>
  <c r="AQ639" i="2" s="1"/>
  <c r="AH639" i="2"/>
  <c r="AK639" i="2" s="1"/>
  <c r="AK612" i="2"/>
  <c r="F252" i="2"/>
  <c r="F279" i="2" s="1"/>
  <c r="M246" i="2"/>
  <c r="M252" i="2" s="1"/>
  <c r="AR639" i="2" l="1"/>
  <c r="AR612" i="2"/>
  <c r="M279" i="2"/>
  <c r="F286" i="2"/>
  <c r="F292" i="2" l="1"/>
  <c r="F319" i="2" s="1"/>
  <c r="M286" i="2"/>
  <c r="M292" i="2" s="1"/>
  <c r="M319" i="2" l="1"/>
  <c r="F326" i="2"/>
  <c r="M326" i="2" l="1"/>
  <c r="M332" i="2" s="1"/>
  <c r="F332" i="2"/>
  <c r="F359" i="2" s="1"/>
  <c r="E11" i="3" l="1"/>
  <c r="O11" i="3" s="1"/>
  <c r="M359" i="2"/>
  <c r="F366" i="2"/>
  <c r="AA366" i="2" s="1"/>
  <c r="E38" i="3" l="1"/>
  <c r="O38" i="3"/>
  <c r="F372" i="2"/>
  <c r="AA372" i="2" s="1"/>
  <c r="F399" i="2" l="1"/>
  <c r="AA399" i="2" s="1"/>
  <c r="U406" i="2" s="1"/>
  <c r="F406" i="2" l="1"/>
  <c r="F412" i="2" s="1"/>
  <c r="U412" i="2" l="1"/>
  <c r="U439" i="2" s="1"/>
  <c r="U446" i="2" s="1"/>
  <c r="U452" i="2" s="1"/>
  <c r="U479" i="2" s="1"/>
  <c r="Q486" i="2" s="1"/>
  <c r="Q492" i="2" s="1"/>
  <c r="Q519" i="2" s="1"/>
  <c r="Q526" i="2" s="1"/>
  <c r="Q532" i="2" s="1"/>
  <c r="Q559" i="2" s="1"/>
  <c r="Q566" i="2" s="1"/>
  <c r="Q572" i="2" s="1"/>
  <c r="Q599" i="2" s="1"/>
  <c r="Q606" i="2" s="1"/>
  <c r="Q612" i="2" s="1"/>
  <c r="Q639" i="2" s="1"/>
  <c r="Q646" i="2" s="1"/>
  <c r="Q652" i="2" s="1"/>
  <c r="Q679" i="2" s="1"/>
  <c r="F439" i="2"/>
  <c r="F446" i="2" s="1"/>
  <c r="F452" i="2" s="1"/>
  <c r="F479" i="2"/>
</calcChain>
</file>

<file path=xl/sharedStrings.xml><?xml version="1.0" encoding="utf-8"?>
<sst xmlns="http://schemas.openxmlformats.org/spreadsheetml/2006/main" count="1260" uniqueCount="93">
  <si>
    <t>計</t>
    <rPh sb="0" eb="1">
      <t>ケイ</t>
    </rPh>
    <phoneticPr fontId="1"/>
  </si>
  <si>
    <t>総数</t>
    <rPh sb="0" eb="2">
      <t>ソウスウ</t>
    </rPh>
    <phoneticPr fontId="1"/>
  </si>
  <si>
    <t>出荷数</t>
    <rPh sb="0" eb="2">
      <t>シュッカ</t>
    </rPh>
    <rPh sb="2" eb="3">
      <t>スウ</t>
    </rPh>
    <phoneticPr fontId="1"/>
  </si>
  <si>
    <t>残数</t>
    <rPh sb="0" eb="2">
      <t>ザンスウ</t>
    </rPh>
    <phoneticPr fontId="1"/>
  </si>
  <si>
    <t>追加</t>
    <rPh sb="0" eb="2">
      <t>ツイカ</t>
    </rPh>
    <phoneticPr fontId="1"/>
  </si>
  <si>
    <t>初回</t>
    <rPh sb="0" eb="2">
      <t>ショカイ</t>
    </rPh>
    <phoneticPr fontId="1"/>
  </si>
  <si>
    <t>ネイビー</t>
    <phoneticPr fontId="1"/>
  </si>
  <si>
    <t>ボタン付き保冷剤ポケットマフラー</t>
    <rPh sb="3" eb="4">
      <t>ツ</t>
    </rPh>
    <rPh sb="5" eb="8">
      <t>ホレイザイ</t>
    </rPh>
    <phoneticPr fontId="1"/>
  </si>
  <si>
    <t>シンプルドット</t>
    <phoneticPr fontId="1"/>
  </si>
  <si>
    <t>ピンク</t>
    <phoneticPr fontId="1"/>
  </si>
  <si>
    <t>ミント</t>
    <phoneticPr fontId="1"/>
  </si>
  <si>
    <t>北欧フラワー</t>
    <rPh sb="0" eb="2">
      <t>ホクオウ</t>
    </rPh>
    <phoneticPr fontId="1"/>
  </si>
  <si>
    <t>ピンク</t>
    <phoneticPr fontId="1"/>
  </si>
  <si>
    <t>イエロー</t>
    <phoneticPr fontId="1"/>
  </si>
  <si>
    <t>【ｼﾝﾌﾟﾙﾄﾞｯﾄ　PCSB 100 @400】【北欧ﾌﾗﾜｰ　PHH 100 @400】</t>
    <rPh sb="26" eb="28">
      <t>ホクオウ</t>
    </rPh>
    <phoneticPr fontId="1"/>
  </si>
  <si>
    <t>【ｼﾝﾌﾟﾙﾄﾞｯﾄ　PCSB 100 @400】【北欧ﾌﾗﾜｰ　PCHH 100 @400】</t>
    <rPh sb="26" eb="28">
      <t>ホクオウ</t>
    </rPh>
    <phoneticPr fontId="1"/>
  </si>
  <si>
    <t>ネット</t>
    <phoneticPr fontId="1"/>
  </si>
  <si>
    <t>2023/5/2数伝</t>
    <rPh sb="8" eb="10">
      <t>スウデン</t>
    </rPh>
    <phoneticPr fontId="1"/>
  </si>
  <si>
    <t>製品化</t>
    <rPh sb="0" eb="3">
      <t>セイヒンカ</t>
    </rPh>
    <phoneticPr fontId="1"/>
  </si>
  <si>
    <t>JODメルシー0705/2色組</t>
    <rPh sb="13" eb="15">
      <t>ショククミ</t>
    </rPh>
    <phoneticPr fontId="1"/>
  </si>
  <si>
    <t>7/5～</t>
    <phoneticPr fontId="1"/>
  </si>
  <si>
    <t>JOD①</t>
    <phoneticPr fontId="1"/>
  </si>
  <si>
    <t>JOD②</t>
    <phoneticPr fontId="1"/>
  </si>
  <si>
    <t>JOD③</t>
    <phoneticPr fontId="1"/>
  </si>
  <si>
    <t>2023/7/13数伝</t>
    <rPh sb="9" eb="11">
      <t>スウデン</t>
    </rPh>
    <phoneticPr fontId="1"/>
  </si>
  <si>
    <t>JOD④</t>
    <phoneticPr fontId="1"/>
  </si>
  <si>
    <t>JOD⑤</t>
    <phoneticPr fontId="1"/>
  </si>
  <si>
    <t>JOD⑥</t>
    <phoneticPr fontId="1"/>
  </si>
  <si>
    <t>2023/7/20数伝</t>
    <rPh sb="9" eb="11">
      <t>スウデン</t>
    </rPh>
    <phoneticPr fontId="1"/>
  </si>
  <si>
    <t>JOD⑦</t>
    <phoneticPr fontId="1"/>
  </si>
  <si>
    <t>JOD⑧</t>
    <phoneticPr fontId="1"/>
  </si>
  <si>
    <t>JOD⑨</t>
    <phoneticPr fontId="1"/>
  </si>
  <si>
    <t>JOD⑩</t>
    <phoneticPr fontId="1"/>
  </si>
  <si>
    <t>JOD⑪</t>
    <phoneticPr fontId="1"/>
  </si>
  <si>
    <t>JOD⑫</t>
    <phoneticPr fontId="1"/>
  </si>
  <si>
    <t>JOD⑬</t>
    <phoneticPr fontId="1"/>
  </si>
  <si>
    <t>JOD⑭</t>
    <phoneticPr fontId="1"/>
  </si>
  <si>
    <t>JOD⑮</t>
    <phoneticPr fontId="1"/>
  </si>
  <si>
    <t>2023/8/9済伝</t>
    <rPh sb="8" eb="10">
      <t>スミデン</t>
    </rPh>
    <phoneticPr fontId="1"/>
  </si>
  <si>
    <t>JOD⑯</t>
    <phoneticPr fontId="1"/>
  </si>
  <si>
    <t>JOD⑰</t>
    <phoneticPr fontId="1"/>
  </si>
  <si>
    <t>JOD⑱</t>
    <phoneticPr fontId="1"/>
  </si>
  <si>
    <t>在庫確認</t>
    <rPh sb="0" eb="4">
      <t>ザイコカクニン</t>
    </rPh>
    <phoneticPr fontId="1"/>
  </si>
  <si>
    <t>JOD⑲</t>
    <phoneticPr fontId="1"/>
  </si>
  <si>
    <t>JOD⑳</t>
    <phoneticPr fontId="1"/>
  </si>
  <si>
    <t>JOD㉑</t>
    <phoneticPr fontId="1"/>
  </si>
  <si>
    <t>JOD㉒</t>
    <phoneticPr fontId="1"/>
  </si>
  <si>
    <t>JOD㉓</t>
    <phoneticPr fontId="1"/>
  </si>
  <si>
    <t>JOD㉔</t>
    <phoneticPr fontId="1"/>
  </si>
  <si>
    <t>ハーフムーン</t>
    <phoneticPr fontId="1"/>
  </si>
  <si>
    <t>グリーン</t>
    <phoneticPr fontId="1"/>
  </si>
  <si>
    <t>オレンジ</t>
    <phoneticPr fontId="1"/>
  </si>
  <si>
    <t>計</t>
    <rPh sb="0" eb="1">
      <t>ケイ</t>
    </rPh>
    <phoneticPr fontId="1"/>
  </si>
  <si>
    <t>【ハーフムーン　PCHM-100　＠400】</t>
    <phoneticPr fontId="1"/>
  </si>
  <si>
    <t>2024/7/1数伝</t>
    <rPh sb="8" eb="10">
      <t>スウデン</t>
    </rPh>
    <phoneticPr fontId="1"/>
  </si>
  <si>
    <t>2024/7/17数伝</t>
    <rPh sb="9" eb="11">
      <t>スウデン</t>
    </rPh>
    <phoneticPr fontId="1"/>
  </si>
  <si>
    <t>Amazon</t>
    <phoneticPr fontId="1"/>
  </si>
  <si>
    <t>2024/7/25数伝</t>
    <rPh sb="9" eb="11">
      <t>スウデン</t>
    </rPh>
    <phoneticPr fontId="1"/>
  </si>
  <si>
    <t>2024/8/2数伝</t>
    <rPh sb="8" eb="10">
      <t>スウデン</t>
    </rPh>
    <phoneticPr fontId="1"/>
  </si>
  <si>
    <t>藤井</t>
    <rPh sb="0" eb="2">
      <t>フジイ</t>
    </rPh>
    <phoneticPr fontId="1"/>
  </si>
  <si>
    <t>2024/8/9数伝</t>
    <rPh sb="8" eb="10">
      <t>スウデン</t>
    </rPh>
    <phoneticPr fontId="1"/>
  </si>
  <si>
    <t>アイス</t>
    <phoneticPr fontId="1"/>
  </si>
  <si>
    <t>ブルー</t>
    <phoneticPr fontId="1"/>
  </si>
  <si>
    <t>ボーダードット</t>
    <phoneticPr fontId="1"/>
  </si>
  <si>
    <t>グリーン</t>
    <phoneticPr fontId="1"/>
  </si>
  <si>
    <t>ダイヤ</t>
    <phoneticPr fontId="1"/>
  </si>
  <si>
    <t>ミント</t>
    <phoneticPr fontId="1"/>
  </si>
  <si>
    <t>計</t>
    <rPh sb="0" eb="1">
      <t>ケイ</t>
    </rPh>
    <phoneticPr fontId="1"/>
  </si>
  <si>
    <t>ペンギン</t>
    <phoneticPr fontId="1"/>
  </si>
  <si>
    <t>グレー</t>
    <phoneticPr fontId="1"/>
  </si>
  <si>
    <t>【ｼﾝﾌﾟﾙﾄﾞｯﾄ　PCSB 100 @400】【北欧ﾌﾗﾜｰ　PHH 100 @400】 【ｱｲｽPCIC-100 @400】【ﾎﾞｰﾀﾞｰﾄﾞｯﾄPCBD-100@400】【ﾀﾞｲﾔPCDA-100＠400】【ﾍﾟﾝｷﾞﾝPCPN-100＠400】</t>
    <rPh sb="26" eb="28">
      <t>ホクオウ</t>
    </rPh>
    <phoneticPr fontId="1"/>
  </si>
  <si>
    <t>2025年</t>
    <rPh sb="4" eb="5">
      <t>ネン</t>
    </rPh>
    <phoneticPr fontId="1"/>
  </si>
  <si>
    <t>ボタン付き保冷剤ポケットマフラー　K-PORT</t>
    <rPh sb="3" eb="4">
      <t>ツ</t>
    </rPh>
    <rPh sb="5" eb="8">
      <t>ホレイザイ</t>
    </rPh>
    <phoneticPr fontId="1"/>
  </si>
  <si>
    <t>2025/5/1数伝</t>
    <rPh sb="8" eb="9">
      <t>スウ</t>
    </rPh>
    <rPh sb="9" eb="10">
      <t>デン</t>
    </rPh>
    <phoneticPr fontId="1"/>
  </si>
  <si>
    <t>夢販</t>
    <rPh sb="0" eb="2">
      <t>ユメハン</t>
    </rPh>
    <phoneticPr fontId="1"/>
  </si>
  <si>
    <t>×</t>
    <phoneticPr fontId="1"/>
  </si>
  <si>
    <t>KPORT</t>
    <phoneticPr fontId="1"/>
  </si>
  <si>
    <t>夢販移動</t>
    <rPh sb="0" eb="4">
      <t>ユメハンイドウ</t>
    </rPh>
    <phoneticPr fontId="1"/>
  </si>
  <si>
    <t>サクラマチ（東海）sample</t>
    <rPh sb="6" eb="8">
      <t>トウカイ</t>
    </rPh>
    <phoneticPr fontId="1"/>
  </si>
  <si>
    <t>2026年</t>
    <rPh sb="4" eb="5">
      <t>ネン</t>
    </rPh>
    <phoneticPr fontId="1"/>
  </si>
  <si>
    <t>フロリナ</t>
    <phoneticPr fontId="1"/>
  </si>
  <si>
    <t>ギンガム</t>
    <phoneticPr fontId="1"/>
  </si>
  <si>
    <t>和文</t>
    <rPh sb="0" eb="1">
      <t>ワ</t>
    </rPh>
    <rPh sb="1" eb="2">
      <t>ブン</t>
    </rPh>
    <phoneticPr fontId="1"/>
  </si>
  <si>
    <t>ダンスペンギン</t>
    <phoneticPr fontId="1"/>
  </si>
  <si>
    <t>【ﾌﾛﾘﾅ　PCFR- 100 @400】【ｷﾞﾝｶﾞﾑ　PCGM- 100 @400】 【和文様PCWG-100 @400】【ﾀﾞﾝｽﾍﾟﾝｷﾞﾝPCDP-100@400】</t>
    <rPh sb="46" eb="47">
      <t>ワ</t>
    </rPh>
    <rPh sb="47" eb="48">
      <t>モン</t>
    </rPh>
    <rPh sb="48" eb="49">
      <t>サマ</t>
    </rPh>
    <phoneticPr fontId="1"/>
  </si>
  <si>
    <t>ボタン付き保冷剤ポケットマフラー＜夢販在庫＞</t>
    <rPh sb="3" eb="4">
      <t>ツ</t>
    </rPh>
    <rPh sb="5" eb="8">
      <t>ホレイザイ</t>
    </rPh>
    <rPh sb="17" eb="19">
      <t>ユメハン</t>
    </rPh>
    <rPh sb="19" eb="21">
      <t>ザイコ</t>
    </rPh>
    <phoneticPr fontId="1"/>
  </si>
  <si>
    <t>ボタン付き保冷剤ポケットマフラー＜KPORT在庫＞</t>
    <rPh sb="3" eb="4">
      <t>ツ</t>
    </rPh>
    <rPh sb="5" eb="8">
      <t>ホレイザイ</t>
    </rPh>
    <rPh sb="22" eb="24">
      <t>ザイコ</t>
    </rPh>
    <phoneticPr fontId="1"/>
  </si>
  <si>
    <t>在庫確認</t>
    <rPh sb="0" eb="4">
      <t>ザイコカクニン</t>
    </rPh>
    <phoneticPr fontId="1"/>
  </si>
  <si>
    <t>ゆめはん</t>
    <phoneticPr fontId="1"/>
  </si>
  <si>
    <t>夢販</t>
    <rPh sb="0" eb="2">
      <t>ｙ</t>
    </rPh>
    <phoneticPr fontId="1"/>
  </si>
  <si>
    <t>夢販</t>
    <rPh sb="0" eb="2">
      <t>y</t>
    </rPh>
    <phoneticPr fontId="1"/>
  </si>
  <si>
    <t>ゆめはん</t>
    <phoneticPr fontId="1"/>
  </si>
  <si>
    <t>ネット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</si>
</sst>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26"/>
      <color theme="0"/>
      <name val="ＭＳ Ｐゴシック"/>
      <family val="3"/>
      <charset val="128"/>
    </font>
    <font>
      <sz val="26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1"/>
      <color theme="1"/>
      <name val="ＭＳ Ｐ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8">
    <xf numFmtId="0" fontId="0" fillId="0" borderId="0" xfId="0"/>
    <xf numFmtId="0" fontId="0" fillId="0" borderId="0" xfId="0" applyAlignment="1">
      <alignment horizontal="center"/>
    </xf>
    <xf numFmtId="0" fontId="4" fillId="0" borderId="10" xfId="0" applyFont="1" applyBorder="1"/>
    <xf numFmtId="0" fontId="4" fillId="0" borderId="8" xfId="0" applyFont="1" applyBorder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56" fontId="0" fillId="0" borderId="2" xfId="0" applyNumberFormat="1" applyBorder="1" applyAlignment="1">
      <alignment horizontal="center"/>
    </xf>
    <xf numFmtId="0" fontId="0" fillId="0" borderId="11" xfId="0" applyBorder="1"/>
    <xf numFmtId="0" fontId="0" fillId="0" borderId="2" xfId="0" applyBorder="1"/>
    <xf numFmtId="0" fontId="0" fillId="0" borderId="8" xfId="0" applyBorder="1"/>
    <xf numFmtId="0" fontId="0" fillId="0" borderId="13" xfId="0" applyBorder="1"/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4" xfId="0" applyBorder="1"/>
    <xf numFmtId="0" fontId="2" fillId="2" borderId="0" xfId="0" applyFont="1" applyFill="1"/>
    <xf numFmtId="0" fontId="0" fillId="2" borderId="0" xfId="0" applyFill="1"/>
    <xf numFmtId="0" fontId="5" fillId="2" borderId="0" xfId="0" applyFont="1" applyFill="1"/>
    <xf numFmtId="0" fontId="0" fillId="3" borderId="16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3" fillId="0" borderId="22" xfId="0" applyFont="1" applyBorder="1"/>
    <xf numFmtId="0" fontId="3" fillId="0" borderId="23" xfId="0" applyFont="1" applyBorder="1"/>
    <xf numFmtId="0" fontId="3" fillId="0" borderId="24" xfId="0" applyFont="1" applyBorder="1"/>
    <xf numFmtId="0" fontId="4" fillId="0" borderId="32" xfId="0" applyFont="1" applyBorder="1"/>
    <xf numFmtId="0" fontId="4" fillId="0" borderId="33" xfId="0" applyFont="1" applyBorder="1"/>
    <xf numFmtId="0" fontId="4" fillId="0" borderId="34" xfId="0" applyFont="1" applyBorder="1"/>
    <xf numFmtId="0" fontId="0" fillId="6" borderId="16" xfId="0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0" fontId="0" fillId="0" borderId="35" xfId="0" applyBorder="1"/>
    <xf numFmtId="0" fontId="0" fillId="0" borderId="36" xfId="0" applyBorder="1"/>
    <xf numFmtId="0" fontId="3" fillId="0" borderId="35" xfId="0" applyFont="1" applyBorder="1"/>
    <xf numFmtId="56" fontId="4" fillId="0" borderId="4" xfId="0" applyNumberFormat="1" applyFont="1" applyBorder="1" applyAlignment="1">
      <alignment horizontal="center"/>
    </xf>
    <xf numFmtId="0" fontId="4" fillId="0" borderId="19" xfId="0" applyFont="1" applyBorder="1"/>
    <xf numFmtId="0" fontId="4" fillId="0" borderId="21" xfId="0" applyFont="1" applyBorder="1"/>
    <xf numFmtId="0" fontId="4" fillId="0" borderId="4" xfId="0" applyFont="1" applyBorder="1"/>
    <xf numFmtId="0" fontId="4" fillId="0" borderId="20" xfId="0" applyFont="1" applyBorder="1"/>
    <xf numFmtId="56" fontId="0" fillId="0" borderId="5" xfId="0" applyNumberFormat="1" applyBorder="1" applyAlignment="1">
      <alignment horizontal="center"/>
    </xf>
    <xf numFmtId="0" fontId="0" fillId="0" borderId="31" xfId="0" applyBorder="1"/>
    <xf numFmtId="0" fontId="0" fillId="0" borderId="12" xfId="0" applyBorder="1"/>
    <xf numFmtId="0" fontId="0" fillId="0" borderId="6" xfId="0" applyBorder="1"/>
    <xf numFmtId="0" fontId="4" fillId="0" borderId="2" xfId="0" applyFont="1" applyBorder="1"/>
    <xf numFmtId="0" fontId="0" fillId="0" borderId="37" xfId="0" applyBorder="1"/>
    <xf numFmtId="0" fontId="0" fillId="0" borderId="38" xfId="0" applyBorder="1"/>
    <xf numFmtId="0" fontId="0" fillId="0" borderId="15" xfId="0" applyBorder="1"/>
    <xf numFmtId="0" fontId="0" fillId="0" borderId="43" xfId="0" applyBorder="1"/>
    <xf numFmtId="0" fontId="4" fillId="0" borderId="8" xfId="0" applyFont="1" applyBorder="1"/>
    <xf numFmtId="0" fontId="4" fillId="0" borderId="7" xfId="0" applyFont="1" applyBorder="1"/>
    <xf numFmtId="0" fontId="0" fillId="0" borderId="40" xfId="0" applyBorder="1"/>
    <xf numFmtId="0" fontId="0" fillId="0" borderId="45" xfId="0" applyBorder="1"/>
    <xf numFmtId="0" fontId="0" fillId="0" borderId="41" xfId="0" applyBorder="1"/>
    <xf numFmtId="0" fontId="0" fillId="0" borderId="46" xfId="0" applyBorder="1"/>
    <xf numFmtId="0" fontId="0" fillId="0" borderId="42" xfId="0" applyBorder="1"/>
    <xf numFmtId="0" fontId="0" fillId="0" borderId="47" xfId="0" applyBorder="1"/>
    <xf numFmtId="0" fontId="0" fillId="0" borderId="39" xfId="0" applyBorder="1"/>
    <xf numFmtId="0" fontId="0" fillId="0" borderId="44" xfId="0" applyBorder="1"/>
    <xf numFmtId="0" fontId="4" fillId="0" borderId="28" xfId="0" applyFont="1" applyBorder="1"/>
    <xf numFmtId="0" fontId="4" fillId="0" borderId="44" xfId="0" applyFont="1" applyBorder="1"/>
    <xf numFmtId="0" fontId="0" fillId="0" borderId="48" xfId="0" applyBorder="1"/>
    <xf numFmtId="0" fontId="4" fillId="0" borderId="15" xfId="0" applyFont="1" applyBorder="1"/>
    <xf numFmtId="0" fontId="4" fillId="0" borderId="43" xfId="0" applyFont="1" applyBorder="1"/>
    <xf numFmtId="0" fontId="4" fillId="0" borderId="6" xfId="0" applyFont="1" applyBorder="1"/>
    <xf numFmtId="0" fontId="0" fillId="8" borderId="39" xfId="0" applyFill="1" applyBorder="1" applyAlignment="1">
      <alignment horizontal="center"/>
    </xf>
    <xf numFmtId="0" fontId="0" fillId="9" borderId="44" xfId="0" applyFill="1" applyBorder="1" applyAlignment="1">
      <alignment horizontal="center"/>
    </xf>
    <xf numFmtId="0" fontId="0" fillId="0" borderId="4" xfId="0" applyBorder="1"/>
    <xf numFmtId="0" fontId="4" fillId="0" borderId="53" xfId="0" applyFont="1" applyBorder="1"/>
    <xf numFmtId="0" fontId="4" fillId="0" borderId="54" xfId="0" applyFont="1" applyBorder="1"/>
    <xf numFmtId="0" fontId="4" fillId="0" borderId="39" xfId="0" applyFont="1" applyBorder="1"/>
    <xf numFmtId="0" fontId="4" fillId="0" borderId="45" xfId="0" applyFont="1" applyBorder="1"/>
    <xf numFmtId="0" fontId="4" fillId="0" borderId="40" xfId="0" applyFont="1" applyBorder="1"/>
    <xf numFmtId="0" fontId="4" fillId="0" borderId="29" xfId="0" applyFont="1" applyBorder="1"/>
    <xf numFmtId="0" fontId="4" fillId="0" borderId="30" xfId="0" applyFont="1" applyBorder="1"/>
    <xf numFmtId="0" fontId="4" fillId="0" borderId="3" xfId="0" applyFont="1" applyBorder="1"/>
    <xf numFmtId="0" fontId="4" fillId="0" borderId="48" xfId="0" applyFont="1" applyBorder="1"/>
    <xf numFmtId="0" fontId="0" fillId="5" borderId="7" xfId="0" applyFill="1" applyBorder="1"/>
    <xf numFmtId="0" fontId="2" fillId="12" borderId="0" xfId="0" applyFont="1" applyFill="1"/>
    <xf numFmtId="0" fontId="0" fillId="12" borderId="0" xfId="0" applyFill="1"/>
    <xf numFmtId="0" fontId="5" fillId="12" borderId="0" xfId="0" applyFont="1" applyFill="1"/>
    <xf numFmtId="0" fontId="0" fillId="0" borderId="1" xfId="0" applyBorder="1" applyAlignment="1">
      <alignment horizontal="center" shrinkToFit="1"/>
    </xf>
    <xf numFmtId="0" fontId="0" fillId="5" borderId="14" xfId="0" applyFill="1" applyBorder="1" applyAlignment="1">
      <alignment shrinkToFit="1"/>
    </xf>
    <xf numFmtId="0" fontId="0" fillId="0" borderId="5" xfId="0" applyBorder="1" applyAlignment="1">
      <alignment horizontal="center" shrinkToFit="1"/>
    </xf>
    <xf numFmtId="0" fontId="0" fillId="3" borderId="16" xfId="0" applyFill="1" applyBorder="1" applyAlignment="1">
      <alignment horizontal="center" shrinkToFit="1"/>
    </xf>
    <xf numFmtId="0" fontId="0" fillId="4" borderId="17" xfId="0" applyFill="1" applyBorder="1" applyAlignment="1">
      <alignment horizontal="center" shrinkToFit="1"/>
    </xf>
    <xf numFmtId="0" fontId="0" fillId="5" borderId="18" xfId="0" applyFill="1" applyBorder="1" applyAlignment="1">
      <alignment horizontal="center" shrinkToFit="1"/>
    </xf>
    <xf numFmtId="0" fontId="0" fillId="0" borderId="9" xfId="0" applyBorder="1" applyAlignment="1">
      <alignment horizontal="center" shrinkToFit="1"/>
    </xf>
    <xf numFmtId="0" fontId="0" fillId="6" borderId="16" xfId="0" applyFill="1" applyBorder="1" applyAlignment="1">
      <alignment horizontal="center" shrinkToFit="1"/>
    </xf>
    <xf numFmtId="0" fontId="0" fillId="7" borderId="18" xfId="0" applyFill="1" applyBorder="1" applyAlignment="1">
      <alignment horizontal="center" shrinkToFit="1"/>
    </xf>
    <xf numFmtId="0" fontId="0" fillId="8" borderId="39" xfId="0" applyFill="1" applyBorder="1" applyAlignment="1">
      <alignment horizontal="center" shrinkToFit="1"/>
    </xf>
    <xf numFmtId="0" fontId="0" fillId="9" borderId="44" xfId="0" applyFill="1" applyBorder="1" applyAlignment="1">
      <alignment horizontal="center" shrinkToFit="1"/>
    </xf>
    <xf numFmtId="0" fontId="0" fillId="0" borderId="7" xfId="0" applyBorder="1" applyAlignment="1">
      <alignment horizontal="center" shrinkToFit="1"/>
    </xf>
    <xf numFmtId="0" fontId="0" fillId="10" borderId="16" xfId="0" applyFill="1" applyBorder="1" applyAlignment="1">
      <alignment horizontal="center" shrinkToFit="1"/>
    </xf>
    <xf numFmtId="0" fontId="0" fillId="11" borderId="17" xfId="0" applyFill="1" applyBorder="1" applyAlignment="1">
      <alignment horizontal="center" shrinkToFit="1"/>
    </xf>
    <xf numFmtId="0" fontId="0" fillId="12" borderId="18" xfId="0" applyFill="1" applyBorder="1" applyAlignment="1">
      <alignment horizontal="center" shrinkToFit="1"/>
    </xf>
    <xf numFmtId="0" fontId="0" fillId="13" borderId="49" xfId="0" applyFill="1" applyBorder="1" applyAlignment="1">
      <alignment horizontal="center" shrinkToFit="1"/>
    </xf>
    <xf numFmtId="0" fontId="0" fillId="3" borderId="18" xfId="0" applyFill="1" applyBorder="1" applyAlignment="1">
      <alignment horizontal="center" shrinkToFit="1"/>
    </xf>
    <xf numFmtId="0" fontId="0" fillId="14" borderId="28" xfId="0" applyFill="1" applyBorder="1" applyAlignment="1">
      <alignment horizontal="center" shrinkToFit="1"/>
    </xf>
    <xf numFmtId="0" fontId="0" fillId="13" borderId="44" xfId="0" applyFill="1" applyBorder="1" applyAlignment="1">
      <alignment horizontal="center" shrinkToFit="1"/>
    </xf>
    <xf numFmtId="0" fontId="0" fillId="12" borderId="39" xfId="0" applyFill="1" applyBorder="1" applyAlignment="1">
      <alignment horizontal="center" shrinkToFit="1"/>
    </xf>
    <xf numFmtId="0" fontId="0" fillId="5" borderId="9" xfId="0" applyFill="1" applyBorder="1" applyAlignment="1">
      <alignment horizontal="center" shrinkToFit="1"/>
    </xf>
    <xf numFmtId="0" fontId="0" fillId="15" borderId="0" xfId="0" applyFill="1" applyAlignment="1">
      <alignment horizontal="center"/>
    </xf>
    <xf numFmtId="0" fontId="0" fillId="15" borderId="0" xfId="0" applyFill="1"/>
    <xf numFmtId="0" fontId="6" fillId="15" borderId="0" xfId="0" applyFont="1" applyFill="1" applyAlignment="1">
      <alignment horizontal="center" vertical="center"/>
    </xf>
    <xf numFmtId="0" fontId="0" fillId="0" borderId="0" xfId="0" applyAlignment="1">
      <alignment shrinkToFit="1"/>
    </xf>
    <xf numFmtId="0" fontId="0" fillId="0" borderId="0" xfId="0" applyAlignment="1">
      <alignment horizontal="center" shrinkToFit="1"/>
    </xf>
    <xf numFmtId="56" fontId="4" fillId="0" borderId="0" xfId="0" applyNumberFormat="1" applyFont="1" applyAlignment="1">
      <alignment shrinkToFit="1"/>
    </xf>
    <xf numFmtId="56" fontId="0" fillId="0" borderId="0" xfId="0" applyNumberFormat="1" applyAlignment="1">
      <alignment shrinkToFit="1"/>
    </xf>
    <xf numFmtId="56" fontId="3" fillId="0" borderId="0" xfId="0" applyNumberFormat="1" applyFont="1" applyAlignment="1">
      <alignment shrinkToFit="1"/>
    </xf>
    <xf numFmtId="56" fontId="0" fillId="0" borderId="0" xfId="0" applyNumberFormat="1" applyAlignment="1">
      <alignment horizontal="right" shrinkToFit="1"/>
    </xf>
    <xf numFmtId="56" fontId="0" fillId="0" borderId="0" xfId="0" applyNumberFormat="1" applyAlignment="1">
      <alignment horizontal="left" shrinkToFit="1"/>
    </xf>
    <xf numFmtId="0" fontId="0" fillId="0" borderId="50" xfId="0" applyBorder="1"/>
    <xf numFmtId="0" fontId="0" fillId="5" borderId="43" xfId="0" applyFill="1" applyBorder="1"/>
    <xf numFmtId="0" fontId="0" fillId="0" borderId="57" xfId="0" applyBorder="1"/>
    <xf numFmtId="0" fontId="0" fillId="0" borderId="51" xfId="0" applyBorder="1"/>
    <xf numFmtId="0" fontId="0" fillId="0" borderId="56" xfId="0" applyBorder="1"/>
    <xf numFmtId="0" fontId="0" fillId="5" borderId="57" xfId="0" applyFill="1" applyBorder="1"/>
    <xf numFmtId="0" fontId="0" fillId="0" borderId="58" xfId="0" applyBorder="1"/>
    <xf numFmtId="0" fontId="0" fillId="0" borderId="55" xfId="0" applyBorder="1"/>
    <xf numFmtId="0" fontId="0" fillId="0" borderId="52" xfId="0" applyBorder="1"/>
    <xf numFmtId="0" fontId="0" fillId="0" borderId="3" xfId="0" applyBorder="1"/>
    <xf numFmtId="0" fontId="4" fillId="5" borderId="4" xfId="0" applyFont="1" applyFill="1" applyBorder="1"/>
    <xf numFmtId="0" fontId="4" fillId="0" borderId="0" xfId="0" applyFont="1"/>
    <xf numFmtId="56" fontId="0" fillId="0" borderId="0" xfId="0" applyNumberFormat="1"/>
    <xf numFmtId="0" fontId="4" fillId="14" borderId="28" xfId="0" applyFont="1" applyFill="1" applyBorder="1"/>
    <xf numFmtId="0" fontId="4" fillId="14" borderId="44" xfId="0" applyFont="1" applyFill="1" applyBorder="1"/>
    <xf numFmtId="0" fontId="4" fillId="0" borderId="0" xfId="0" applyFont="1" applyAlignment="1">
      <alignment shrinkToFit="1"/>
    </xf>
    <xf numFmtId="0" fontId="2" fillId="16" borderId="0" xfId="0" applyFont="1" applyFill="1"/>
    <xf numFmtId="0" fontId="0" fillId="16" borderId="0" xfId="0" applyFill="1"/>
    <xf numFmtId="0" fontId="5" fillId="16" borderId="0" xfId="0" applyFont="1" applyFill="1"/>
    <xf numFmtId="0" fontId="0" fillId="14" borderId="28" xfId="0" applyFill="1" applyBorder="1"/>
    <xf numFmtId="0" fontId="0" fillId="14" borderId="30" xfId="0" applyFill="1" applyBorder="1"/>
    <xf numFmtId="0" fontId="0" fillId="14" borderId="7" xfId="0" applyFill="1" applyBorder="1"/>
    <xf numFmtId="0" fontId="0" fillId="14" borderId="44" xfId="0" applyFill="1" applyBorder="1"/>
    <xf numFmtId="0" fontId="0" fillId="14" borderId="15" xfId="0" applyFill="1" applyBorder="1"/>
    <xf numFmtId="0" fontId="4" fillId="14" borderId="32" xfId="0" applyFont="1" applyFill="1" applyBorder="1"/>
    <xf numFmtId="0" fontId="4" fillId="14" borderId="34" xfId="0" applyFont="1" applyFill="1" applyBorder="1"/>
    <xf numFmtId="0" fontId="4" fillId="14" borderId="8" xfId="0" applyFont="1" applyFill="1" applyBorder="1"/>
    <xf numFmtId="0" fontId="4" fillId="14" borderId="15" xfId="0" applyFont="1" applyFill="1" applyBorder="1"/>
    <xf numFmtId="0" fontId="4" fillId="5" borderId="7" xfId="0" applyFont="1" applyFill="1" applyBorder="1"/>
    <xf numFmtId="0" fontId="0" fillId="14" borderId="29" xfId="0" applyFill="1" applyBorder="1"/>
    <xf numFmtId="0" fontId="4" fillId="14" borderId="33" xfId="0" applyFont="1" applyFill="1" applyBorder="1"/>
    <xf numFmtId="0" fontId="0" fillId="0" borderId="0" xfId="0" applyAlignment="1">
      <alignment horizontal="right"/>
    </xf>
    <xf numFmtId="0" fontId="4" fillId="14" borderId="30" xfId="0" applyFont="1" applyFill="1" applyBorder="1"/>
    <xf numFmtId="0" fontId="4" fillId="14" borderId="29" xfId="0" applyFont="1" applyFill="1" applyBorder="1"/>
    <xf numFmtId="0" fontId="0" fillId="14" borderId="39" xfId="0" applyFill="1" applyBorder="1"/>
    <xf numFmtId="0" fontId="4" fillId="14" borderId="39" xfId="0" applyFont="1" applyFill="1" applyBorder="1"/>
    <xf numFmtId="0" fontId="4" fillId="14" borderId="7" xfId="0" applyFont="1" applyFill="1" applyBorder="1"/>
    <xf numFmtId="0" fontId="0" fillId="0" borderId="14" xfId="0" applyBorder="1" applyAlignment="1">
      <alignment horizontal="center" shrinkToFit="1"/>
    </xf>
    <xf numFmtId="0" fontId="0" fillId="8" borderId="0" xfId="0" applyFill="1"/>
    <xf numFmtId="0" fontId="0" fillId="8" borderId="0" xfId="0" applyFill="1" applyAlignment="1">
      <alignment horizontal="center"/>
    </xf>
    <xf numFmtId="0" fontId="0" fillId="8" borderId="0" xfId="0" applyFill="1" applyAlignment="1">
      <alignment horizontal="right"/>
    </xf>
    <xf numFmtId="0" fontId="4" fillId="0" borderId="6" xfId="0" applyFont="1" applyBorder="1" applyAlignment="1">
      <alignment horizontal="center"/>
    </xf>
    <xf numFmtId="0" fontId="4" fillId="0" borderId="22" xfId="0" applyFont="1" applyBorder="1"/>
    <xf numFmtId="0" fontId="4" fillId="0" borderId="35" xfId="0" applyFont="1" applyBorder="1"/>
    <xf numFmtId="0" fontId="4" fillId="0" borderId="24" xfId="0" applyFont="1" applyBorder="1"/>
    <xf numFmtId="0" fontId="4" fillId="0" borderId="41" xfId="0" applyFont="1" applyBorder="1"/>
    <xf numFmtId="0" fontId="4" fillId="0" borderId="46" xfId="0" applyFont="1" applyBorder="1"/>
    <xf numFmtId="0" fontId="4" fillId="5" borderId="43" xfId="0" applyFont="1" applyFill="1" applyBorder="1"/>
    <xf numFmtId="0" fontId="4" fillId="0" borderId="58" xfId="0" applyFont="1" applyBorder="1"/>
    <xf numFmtId="0" fontId="0" fillId="11" borderId="28" xfId="0" applyFill="1" applyBorder="1" applyAlignment="1">
      <alignment horizontal="center" shrinkToFit="1"/>
    </xf>
    <xf numFmtId="0" fontId="0" fillId="12" borderId="30" xfId="0" applyFill="1" applyBorder="1" applyAlignment="1">
      <alignment horizontal="center" shrinkToFit="1"/>
    </xf>
    <xf numFmtId="0" fontId="0" fillId="17" borderId="28" xfId="0" applyFill="1" applyBorder="1" applyAlignment="1">
      <alignment horizontal="center" shrinkToFit="1"/>
    </xf>
    <xf numFmtId="0" fontId="0" fillId="18" borderId="30" xfId="0" applyFill="1" applyBorder="1" applyAlignment="1">
      <alignment horizontal="center" shrinkToFit="1"/>
    </xf>
    <xf numFmtId="0" fontId="4" fillId="0" borderId="7" xfId="0" applyFont="1" applyBorder="1" applyAlignment="1">
      <alignment horizontal="center"/>
    </xf>
    <xf numFmtId="0" fontId="8" fillId="12" borderId="0" xfId="0" applyFont="1" applyFill="1"/>
    <xf numFmtId="0" fontId="5" fillId="0" borderId="0" xfId="0" applyFont="1"/>
    <xf numFmtId="0" fontId="2" fillId="19" borderId="0" xfId="0" applyFont="1" applyFill="1"/>
    <xf numFmtId="0" fontId="0" fillId="19" borderId="0" xfId="0" applyFill="1"/>
    <xf numFmtId="0" fontId="8" fillId="19" borderId="0" xfId="0" applyFont="1" applyFill="1"/>
    <xf numFmtId="0" fontId="5" fillId="19" borderId="0" xfId="0" applyFont="1" applyFill="1"/>
    <xf numFmtId="56" fontId="4" fillId="0" borderId="0" xfId="0" applyNumberFormat="1" applyFont="1"/>
    <xf numFmtId="56" fontId="0" fillId="0" borderId="4" xfId="0" applyNumberFormat="1" applyBorder="1" applyAlignment="1">
      <alignment horizontal="center"/>
    </xf>
    <xf numFmtId="0" fontId="0" fillId="5" borderId="4" xfId="0" applyFill="1" applyBorder="1"/>
    <xf numFmtId="0" fontId="9" fillId="0" borderId="6" xfId="0" applyFont="1" applyBorder="1" applyAlignment="1">
      <alignment horizontal="center"/>
    </xf>
    <xf numFmtId="0" fontId="9" fillId="0" borderId="22" xfId="0" applyFont="1" applyBorder="1"/>
    <xf numFmtId="0" fontId="9" fillId="0" borderId="50" xfId="0" applyFont="1" applyBorder="1"/>
    <xf numFmtId="0" fontId="9" fillId="0" borderId="35" xfId="0" applyFont="1" applyBorder="1"/>
    <xf numFmtId="0" fontId="9" fillId="0" borderId="43" xfId="0" applyFont="1" applyBorder="1"/>
    <xf numFmtId="0" fontId="9" fillId="0" borderId="23" xfId="0" applyFont="1" applyBorder="1"/>
    <xf numFmtId="0" fontId="9" fillId="0" borderId="24" xfId="0" applyFont="1" applyBorder="1"/>
    <xf numFmtId="0" fontId="9" fillId="0" borderId="41" xfId="0" applyFont="1" applyBorder="1"/>
    <xf numFmtId="0" fontId="9" fillId="0" borderId="46" xfId="0" applyFont="1" applyBorder="1"/>
    <xf numFmtId="0" fontId="9" fillId="0" borderId="48" xfId="0" applyFont="1" applyBorder="1"/>
    <xf numFmtId="0" fontId="9" fillId="5" borderId="43" xfId="0" applyFont="1" applyFill="1" applyBorder="1"/>
    <xf numFmtId="56" fontId="9" fillId="0" borderId="0" xfId="0" applyNumberFormat="1" applyFont="1" applyAlignment="1">
      <alignment shrinkToFit="1"/>
    </xf>
    <xf numFmtId="0" fontId="9" fillId="0" borderId="0" xfId="0" applyFont="1" applyAlignment="1">
      <alignment shrinkToFit="1"/>
    </xf>
    <xf numFmtId="56" fontId="9" fillId="0" borderId="2" xfId="0" applyNumberFormat="1" applyFont="1" applyBorder="1" applyAlignment="1">
      <alignment horizontal="center"/>
    </xf>
    <xf numFmtId="0" fontId="0" fillId="17" borderId="30" xfId="0" applyFill="1" applyBorder="1" applyAlignment="1">
      <alignment horizontal="center" shrinkToFit="1"/>
    </xf>
    <xf numFmtId="0" fontId="9" fillId="0" borderId="0" xfId="0" applyFont="1"/>
    <xf numFmtId="0" fontId="9" fillId="0" borderId="11" xfId="0" applyFont="1" applyBorder="1"/>
    <xf numFmtId="56" fontId="9" fillId="0" borderId="0" xfId="0" applyNumberFormat="1" applyFont="1"/>
    <xf numFmtId="0" fontId="9" fillId="0" borderId="2" xfId="0" applyFont="1" applyBorder="1"/>
    <xf numFmtId="0" fontId="0" fillId="0" borderId="15" xfId="0" applyBorder="1" applyAlignment="1">
      <alignment horizontal="center" shrinkToFit="1"/>
    </xf>
    <xf numFmtId="0" fontId="0" fillId="0" borderId="3" xfId="0" applyBorder="1" applyAlignment="1">
      <alignment horizontal="center" shrinkToFit="1"/>
    </xf>
    <xf numFmtId="0" fontId="0" fillId="0" borderId="14" xfId="0" applyBorder="1" applyAlignment="1">
      <alignment horizontal="center" shrinkToFit="1"/>
    </xf>
    <xf numFmtId="0" fontId="0" fillId="0" borderId="28" xfId="0" applyBorder="1" applyAlignment="1">
      <alignment horizontal="center" shrinkToFit="1"/>
    </xf>
    <xf numFmtId="0" fontId="0" fillId="0" borderId="29" xfId="0" applyBorder="1" applyAlignment="1">
      <alignment horizontal="center" shrinkToFit="1"/>
    </xf>
    <xf numFmtId="0" fontId="0" fillId="0" borderId="30" xfId="0" applyBorder="1" applyAlignment="1">
      <alignment horizontal="center" shrinkToFit="1"/>
    </xf>
    <xf numFmtId="0" fontId="0" fillId="0" borderId="1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7" fillId="8" borderId="0" xfId="0" applyFont="1" applyFill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679"/>
  <sheetViews>
    <sheetView topLeftCell="A645" zoomScaleNormal="100" workbookViewId="0">
      <selection activeCell="B653" sqref="B653"/>
    </sheetView>
  </sheetViews>
  <sheetFormatPr defaultRowHeight="13.5" x14ac:dyDescent="0.15"/>
  <cols>
    <col min="2" max="2" width="27.625" style="1" customWidth="1"/>
    <col min="3" max="17" width="6.5" customWidth="1"/>
    <col min="18" max="18" width="9.25" bestFit="1" customWidth="1"/>
    <col min="19" max="28" width="3.125" customWidth="1"/>
    <col min="29" max="29" width="22.5" customWidth="1"/>
    <col min="30" max="43" width="7.125" customWidth="1"/>
    <col min="44" max="44" width="8.375" bestFit="1" customWidth="1"/>
    <col min="45" max="45" width="8.75" customWidth="1"/>
    <col min="46" max="48" width="7.125" customWidth="1"/>
  </cols>
  <sheetData>
    <row r="1" spans="2:12" ht="18.75" x14ac:dyDescent="0.2">
      <c r="B1" s="17" t="s">
        <v>7</v>
      </c>
      <c r="C1" s="18"/>
      <c r="D1" s="18"/>
      <c r="E1" s="18"/>
      <c r="F1" s="18"/>
      <c r="G1" s="18"/>
      <c r="H1" s="18"/>
      <c r="I1" s="18"/>
      <c r="J1" s="18"/>
      <c r="K1" s="116"/>
      <c r="L1" s="116"/>
    </row>
    <row r="2" spans="2:12" ht="17.25" x14ac:dyDescent="0.2">
      <c r="B2" s="19" t="s">
        <v>15</v>
      </c>
      <c r="C2" s="18"/>
      <c r="D2" s="18"/>
      <c r="E2" s="18"/>
      <c r="F2" s="18"/>
      <c r="G2" s="18"/>
      <c r="H2" s="18"/>
      <c r="I2" s="18"/>
      <c r="J2" s="18"/>
      <c r="K2" s="116"/>
      <c r="L2" s="116"/>
    </row>
    <row r="3" spans="2:12" ht="14.25" thickBot="1" x14ac:dyDescent="0.2">
      <c r="K3" s="116"/>
      <c r="L3" s="116"/>
    </row>
    <row r="4" spans="2:12" ht="14.25" thickBot="1" x14ac:dyDescent="0.2">
      <c r="B4" s="15"/>
      <c r="C4" s="211" t="s">
        <v>8</v>
      </c>
      <c r="D4" s="212"/>
      <c r="E4" s="212"/>
      <c r="F4" s="213"/>
      <c r="G4" s="211" t="s">
        <v>11</v>
      </c>
      <c r="H4" s="212"/>
      <c r="I4" s="213"/>
      <c r="J4" s="16"/>
      <c r="K4" s="116"/>
      <c r="L4" s="116"/>
    </row>
    <row r="5" spans="2:12" s="1" customFormat="1" ht="14.25" thickBot="1" x14ac:dyDescent="0.2">
      <c r="B5" s="14"/>
      <c r="C5" s="20" t="s">
        <v>6</v>
      </c>
      <c r="D5" s="21" t="s">
        <v>9</v>
      </c>
      <c r="E5" s="22" t="s">
        <v>10</v>
      </c>
      <c r="F5" s="13" t="s">
        <v>0</v>
      </c>
      <c r="G5" s="41" t="s">
        <v>12</v>
      </c>
      <c r="H5" s="42" t="s">
        <v>13</v>
      </c>
      <c r="I5" s="13" t="s">
        <v>0</v>
      </c>
      <c r="J5" s="13" t="s">
        <v>0</v>
      </c>
      <c r="K5" s="117"/>
      <c r="L5" s="117"/>
    </row>
    <row r="6" spans="2:12" ht="14.25" customHeight="1" x14ac:dyDescent="0.15">
      <c r="B6" s="46" t="s">
        <v>5</v>
      </c>
      <c r="C6" s="47">
        <v>1</v>
      </c>
      <c r="D6" s="50">
        <v>1</v>
      </c>
      <c r="E6" s="48">
        <v>1</v>
      </c>
      <c r="F6" s="49">
        <f>SUM(C6:E6)</f>
        <v>3</v>
      </c>
      <c r="G6" s="47">
        <v>1</v>
      </c>
      <c r="H6" s="48">
        <v>1</v>
      </c>
      <c r="I6" s="49">
        <f>SUM(G6:H6)</f>
        <v>2</v>
      </c>
      <c r="J6" s="49">
        <f>+F6+I6</f>
        <v>5</v>
      </c>
      <c r="K6" s="118"/>
      <c r="L6" s="116"/>
    </row>
    <row r="7" spans="2:12" x14ac:dyDescent="0.15">
      <c r="B7" s="12" t="s">
        <v>4</v>
      </c>
      <c r="C7" s="26"/>
      <c r="D7" s="27"/>
      <c r="E7" s="28"/>
      <c r="F7" s="8">
        <f t="shared" ref="F7:F11" si="0">SUM(C7:E7)</f>
        <v>0</v>
      </c>
      <c r="G7" s="26">
        <v>70</v>
      </c>
      <c r="H7" s="43">
        <v>100</v>
      </c>
      <c r="I7" s="8">
        <f t="shared" ref="I7:I11" si="1">SUM(G7:H7)</f>
        <v>170</v>
      </c>
      <c r="J7" s="8">
        <f t="shared" ref="J7:J11" si="2">+F7+I7</f>
        <v>170</v>
      </c>
      <c r="K7" s="119" t="s">
        <v>17</v>
      </c>
      <c r="L7" s="116"/>
    </row>
    <row r="8" spans="2:12" x14ac:dyDescent="0.15">
      <c r="B8" s="12" t="s">
        <v>18</v>
      </c>
      <c r="C8" s="26">
        <v>2</v>
      </c>
      <c r="D8" s="27">
        <v>2</v>
      </c>
      <c r="E8" s="28">
        <v>2</v>
      </c>
      <c r="F8" s="8">
        <f t="shared" si="0"/>
        <v>6</v>
      </c>
      <c r="G8" s="26"/>
      <c r="H8" s="43"/>
      <c r="I8" s="8">
        <f t="shared" si="1"/>
        <v>0</v>
      </c>
      <c r="J8" s="8">
        <f t="shared" si="2"/>
        <v>6</v>
      </c>
      <c r="K8" s="119">
        <v>45058</v>
      </c>
      <c r="L8" s="116"/>
    </row>
    <row r="9" spans="2:12" x14ac:dyDescent="0.15">
      <c r="B9" s="12" t="s">
        <v>4</v>
      </c>
      <c r="C9" s="26"/>
      <c r="D9" s="27"/>
      <c r="E9" s="28"/>
      <c r="F9" s="8">
        <f t="shared" si="0"/>
        <v>0</v>
      </c>
      <c r="G9" s="26"/>
      <c r="H9" s="43"/>
      <c r="I9" s="8">
        <f t="shared" si="1"/>
        <v>0</v>
      </c>
      <c r="J9" s="8">
        <f t="shared" si="2"/>
        <v>0</v>
      </c>
      <c r="K9" s="119"/>
      <c r="L9" s="116"/>
    </row>
    <row r="10" spans="2:12" x14ac:dyDescent="0.15">
      <c r="B10" s="12" t="s">
        <v>4</v>
      </c>
      <c r="C10" s="26">
        <v>15</v>
      </c>
      <c r="D10" s="27">
        <v>15</v>
      </c>
      <c r="E10" s="28">
        <v>15</v>
      </c>
      <c r="F10" s="8">
        <f t="shared" si="0"/>
        <v>45</v>
      </c>
      <c r="G10" s="26"/>
      <c r="H10" s="43"/>
      <c r="I10" s="8">
        <f t="shared" si="1"/>
        <v>0</v>
      </c>
      <c r="J10" s="8">
        <f t="shared" si="2"/>
        <v>45</v>
      </c>
      <c r="K10" s="119">
        <v>45078</v>
      </c>
      <c r="L10" s="116"/>
    </row>
    <row r="11" spans="2:12" ht="14.25" thickBot="1" x14ac:dyDescent="0.2">
      <c r="B11" s="11" t="s">
        <v>4</v>
      </c>
      <c r="C11" s="29"/>
      <c r="D11" s="30"/>
      <c r="E11" s="31"/>
      <c r="F11" s="10">
        <f t="shared" si="0"/>
        <v>0</v>
      </c>
      <c r="G11" s="29"/>
      <c r="H11" s="44"/>
      <c r="I11" s="10">
        <f t="shared" si="1"/>
        <v>0</v>
      </c>
      <c r="J11" s="10">
        <f t="shared" si="2"/>
        <v>0</v>
      </c>
      <c r="K11" s="119"/>
      <c r="L11" s="116"/>
    </row>
    <row r="12" spans="2:12" ht="14.25" thickBot="1" x14ac:dyDescent="0.2">
      <c r="B12" s="5" t="s">
        <v>1</v>
      </c>
      <c r="C12" s="32">
        <f>SUM(C6:C11)</f>
        <v>18</v>
      </c>
      <c r="D12" s="33">
        <f t="shared" ref="D12:J12" si="3">SUM(D6:D11)</f>
        <v>18</v>
      </c>
      <c r="E12" s="34">
        <f t="shared" si="3"/>
        <v>18</v>
      </c>
      <c r="F12" s="9">
        <f t="shared" si="3"/>
        <v>54</v>
      </c>
      <c r="G12" s="32">
        <f t="shared" si="3"/>
        <v>71</v>
      </c>
      <c r="H12" s="34">
        <f t="shared" si="3"/>
        <v>101</v>
      </c>
      <c r="I12" s="9">
        <f t="shared" si="3"/>
        <v>172</v>
      </c>
      <c r="J12" s="9">
        <f t="shared" si="3"/>
        <v>226</v>
      </c>
      <c r="K12" s="116"/>
      <c r="L12" s="116"/>
    </row>
    <row r="13" spans="2:12" x14ac:dyDescent="0.15">
      <c r="B13" s="51" t="s">
        <v>16</v>
      </c>
      <c r="C13" s="23"/>
      <c r="D13" s="24"/>
      <c r="E13" s="28">
        <v>1</v>
      </c>
      <c r="F13" s="7">
        <f>SUM(C13:E13)</f>
        <v>1</v>
      </c>
      <c r="G13" s="23"/>
      <c r="H13" s="25"/>
      <c r="I13" s="7">
        <f>SUM(G13:H13)</f>
        <v>0</v>
      </c>
      <c r="J13" s="7">
        <f>+F13+I13</f>
        <v>1</v>
      </c>
      <c r="K13" s="119">
        <v>45037</v>
      </c>
      <c r="L13" s="116"/>
    </row>
    <row r="14" spans="2:12" x14ac:dyDescent="0.15">
      <c r="B14" s="6" t="s">
        <v>16</v>
      </c>
      <c r="C14" s="26">
        <v>1</v>
      </c>
      <c r="D14" s="27"/>
      <c r="E14" s="28"/>
      <c r="F14" s="7">
        <f>SUM(C14:E14)</f>
        <v>1</v>
      </c>
      <c r="G14" s="26"/>
      <c r="H14" s="43"/>
      <c r="I14" s="7">
        <f>SUM(G14:H14)</f>
        <v>0</v>
      </c>
      <c r="J14" s="7">
        <f>+F14+I14</f>
        <v>1</v>
      </c>
      <c r="K14" s="119">
        <v>45057</v>
      </c>
      <c r="L14" s="116"/>
    </row>
    <row r="15" spans="2:12" x14ac:dyDescent="0.15">
      <c r="B15" s="6" t="s">
        <v>16</v>
      </c>
      <c r="C15" s="26"/>
      <c r="D15" s="27">
        <v>1</v>
      </c>
      <c r="E15" s="28"/>
      <c r="F15" s="7">
        <f t="shared" ref="F15:F36" si="4">SUM(C15:E15)</f>
        <v>1</v>
      </c>
      <c r="G15" s="26"/>
      <c r="H15" s="43"/>
      <c r="I15" s="7">
        <f t="shared" ref="I15:I36" si="5">SUM(G15:H15)</f>
        <v>0</v>
      </c>
      <c r="J15" s="7">
        <f t="shared" ref="J15:J36" si="6">+F15+I15</f>
        <v>1</v>
      </c>
      <c r="K15" s="119">
        <v>45058</v>
      </c>
      <c r="L15" s="116"/>
    </row>
    <row r="16" spans="2:12" x14ac:dyDescent="0.15">
      <c r="B16" s="6" t="s">
        <v>16</v>
      </c>
      <c r="C16" s="26"/>
      <c r="D16" s="27"/>
      <c r="E16" s="28">
        <v>1</v>
      </c>
      <c r="F16" s="7">
        <f t="shared" si="4"/>
        <v>1</v>
      </c>
      <c r="G16" s="26"/>
      <c r="H16" s="43"/>
      <c r="I16" s="7">
        <f t="shared" si="5"/>
        <v>0</v>
      </c>
      <c r="J16" s="7">
        <f t="shared" si="6"/>
        <v>1</v>
      </c>
      <c r="K16" s="119">
        <v>45068</v>
      </c>
      <c r="L16" s="116"/>
    </row>
    <row r="17" spans="2:12" x14ac:dyDescent="0.15">
      <c r="B17" s="6" t="s">
        <v>16</v>
      </c>
      <c r="C17" s="26"/>
      <c r="D17" s="27"/>
      <c r="E17" s="28">
        <v>1</v>
      </c>
      <c r="F17" s="7">
        <f t="shared" si="4"/>
        <v>1</v>
      </c>
      <c r="G17" s="26"/>
      <c r="H17" s="43"/>
      <c r="I17" s="7">
        <f t="shared" si="5"/>
        <v>0</v>
      </c>
      <c r="J17" s="7">
        <f t="shared" si="6"/>
        <v>1</v>
      </c>
      <c r="K17" s="119">
        <v>45069</v>
      </c>
      <c r="L17" s="116"/>
    </row>
    <row r="18" spans="2:12" x14ac:dyDescent="0.15">
      <c r="B18" s="6" t="s">
        <v>16</v>
      </c>
      <c r="C18" s="26"/>
      <c r="D18" s="27"/>
      <c r="E18" s="28"/>
      <c r="F18" s="7">
        <f t="shared" si="4"/>
        <v>0</v>
      </c>
      <c r="G18" s="26"/>
      <c r="H18" s="43">
        <v>1</v>
      </c>
      <c r="I18" s="7">
        <f t="shared" si="5"/>
        <v>1</v>
      </c>
      <c r="J18" s="7">
        <f t="shared" si="6"/>
        <v>1</v>
      </c>
      <c r="K18" s="119">
        <v>45071</v>
      </c>
      <c r="L18" s="116"/>
    </row>
    <row r="19" spans="2:12" x14ac:dyDescent="0.15">
      <c r="B19" s="6" t="s">
        <v>16</v>
      </c>
      <c r="C19" s="26">
        <v>1</v>
      </c>
      <c r="D19" s="27">
        <v>2</v>
      </c>
      <c r="E19" s="28"/>
      <c r="F19" s="7">
        <f t="shared" si="4"/>
        <v>3</v>
      </c>
      <c r="G19" s="26">
        <f>2+1</f>
        <v>3</v>
      </c>
      <c r="H19" s="43">
        <v>1</v>
      </c>
      <c r="I19" s="7">
        <f t="shared" si="5"/>
        <v>4</v>
      </c>
      <c r="J19" s="7">
        <f t="shared" si="6"/>
        <v>7</v>
      </c>
      <c r="K19" s="119">
        <v>45075</v>
      </c>
      <c r="L19" s="116"/>
    </row>
    <row r="20" spans="2:12" x14ac:dyDescent="0.15">
      <c r="B20" s="6" t="s">
        <v>16</v>
      </c>
      <c r="C20" s="26"/>
      <c r="D20" s="27"/>
      <c r="E20" s="28"/>
      <c r="F20" s="7">
        <f t="shared" si="4"/>
        <v>0</v>
      </c>
      <c r="G20" s="26">
        <v>1</v>
      </c>
      <c r="H20" s="43"/>
      <c r="I20" s="7">
        <f t="shared" si="5"/>
        <v>1</v>
      </c>
      <c r="J20" s="7">
        <f t="shared" si="6"/>
        <v>1</v>
      </c>
      <c r="K20" s="119">
        <v>45076</v>
      </c>
      <c r="L20" s="116"/>
    </row>
    <row r="21" spans="2:12" x14ac:dyDescent="0.15">
      <c r="B21" s="6" t="s">
        <v>16</v>
      </c>
      <c r="C21" s="26">
        <v>1</v>
      </c>
      <c r="D21" s="27"/>
      <c r="E21" s="28"/>
      <c r="F21" s="7">
        <f t="shared" si="4"/>
        <v>1</v>
      </c>
      <c r="G21" s="26"/>
      <c r="H21" s="43"/>
      <c r="I21" s="7">
        <f t="shared" si="5"/>
        <v>0</v>
      </c>
      <c r="J21" s="7">
        <f t="shared" si="6"/>
        <v>1</v>
      </c>
      <c r="K21" s="119">
        <v>45080</v>
      </c>
      <c r="L21" s="116"/>
    </row>
    <row r="22" spans="2:12" x14ac:dyDescent="0.15">
      <c r="B22" s="6" t="s">
        <v>16</v>
      </c>
      <c r="C22" s="26"/>
      <c r="D22" s="27">
        <v>1</v>
      </c>
      <c r="E22" s="28"/>
      <c r="F22" s="7">
        <f t="shared" si="4"/>
        <v>1</v>
      </c>
      <c r="G22" s="26"/>
      <c r="H22" s="43"/>
      <c r="I22" s="7">
        <f t="shared" si="5"/>
        <v>0</v>
      </c>
      <c r="J22" s="7">
        <f t="shared" si="6"/>
        <v>1</v>
      </c>
      <c r="K22" s="119">
        <v>45086</v>
      </c>
      <c r="L22" s="116"/>
    </row>
    <row r="23" spans="2:12" x14ac:dyDescent="0.15">
      <c r="B23" s="6" t="s">
        <v>16</v>
      </c>
      <c r="C23" s="35"/>
      <c r="D23" s="36"/>
      <c r="E23" s="37">
        <v>1</v>
      </c>
      <c r="F23" s="7">
        <f t="shared" si="4"/>
        <v>1</v>
      </c>
      <c r="G23" s="35"/>
      <c r="H23" s="45"/>
      <c r="I23" s="7">
        <f t="shared" si="5"/>
        <v>0</v>
      </c>
      <c r="J23" s="7">
        <f t="shared" si="6"/>
        <v>1</v>
      </c>
      <c r="K23" s="120">
        <v>45089</v>
      </c>
      <c r="L23" s="116"/>
    </row>
    <row r="24" spans="2:12" x14ac:dyDescent="0.15">
      <c r="B24" s="6" t="s">
        <v>16</v>
      </c>
      <c r="C24" s="35"/>
      <c r="D24" s="36"/>
      <c r="E24" s="37">
        <v>1</v>
      </c>
      <c r="F24" s="7">
        <f t="shared" si="4"/>
        <v>1</v>
      </c>
      <c r="G24" s="35"/>
      <c r="H24" s="45"/>
      <c r="I24" s="7">
        <f t="shared" si="5"/>
        <v>0</v>
      </c>
      <c r="J24" s="7">
        <f t="shared" si="6"/>
        <v>1</v>
      </c>
      <c r="K24" s="120">
        <v>45093</v>
      </c>
      <c r="L24" s="116"/>
    </row>
    <row r="25" spans="2:12" x14ac:dyDescent="0.15">
      <c r="B25" s="6" t="s">
        <v>16</v>
      </c>
      <c r="C25" s="26"/>
      <c r="D25" s="27"/>
      <c r="E25" s="28">
        <v>1</v>
      </c>
      <c r="F25" s="7">
        <f t="shared" si="4"/>
        <v>1</v>
      </c>
      <c r="G25" s="26">
        <v>1</v>
      </c>
      <c r="H25" s="43">
        <v>1</v>
      </c>
      <c r="I25" s="7">
        <f t="shared" si="5"/>
        <v>2</v>
      </c>
      <c r="J25" s="7">
        <f t="shared" si="6"/>
        <v>3</v>
      </c>
      <c r="K25" s="119">
        <v>45096</v>
      </c>
      <c r="L25" s="116"/>
    </row>
    <row r="26" spans="2:12" x14ac:dyDescent="0.15">
      <c r="B26" s="6" t="s">
        <v>16</v>
      </c>
      <c r="C26" s="35"/>
      <c r="D26" s="36"/>
      <c r="E26" s="37"/>
      <c r="F26" s="7">
        <f t="shared" si="4"/>
        <v>0</v>
      </c>
      <c r="G26" s="35"/>
      <c r="H26" s="45">
        <v>1</v>
      </c>
      <c r="I26" s="7">
        <f t="shared" si="5"/>
        <v>1</v>
      </c>
      <c r="J26" s="7">
        <f t="shared" si="6"/>
        <v>1</v>
      </c>
      <c r="K26" s="120">
        <v>45097</v>
      </c>
      <c r="L26" s="116"/>
    </row>
    <row r="27" spans="2:12" x14ac:dyDescent="0.15">
      <c r="B27" s="6" t="s">
        <v>16</v>
      </c>
      <c r="C27" s="35"/>
      <c r="D27" s="36">
        <v>1</v>
      </c>
      <c r="E27" s="37">
        <v>1</v>
      </c>
      <c r="F27" s="7">
        <f t="shared" si="4"/>
        <v>2</v>
      </c>
      <c r="G27" s="35"/>
      <c r="H27" s="45"/>
      <c r="I27" s="7">
        <f t="shared" si="5"/>
        <v>0</v>
      </c>
      <c r="J27" s="7">
        <f t="shared" si="6"/>
        <v>2</v>
      </c>
      <c r="K27" s="120">
        <v>45098</v>
      </c>
      <c r="L27" s="116"/>
    </row>
    <row r="28" spans="2:12" x14ac:dyDescent="0.15">
      <c r="B28" s="6" t="s">
        <v>16</v>
      </c>
      <c r="C28" s="35">
        <v>2</v>
      </c>
      <c r="D28" s="36">
        <v>1</v>
      </c>
      <c r="E28" s="37">
        <v>1</v>
      </c>
      <c r="F28" s="7">
        <f t="shared" si="4"/>
        <v>4</v>
      </c>
      <c r="G28" s="35"/>
      <c r="H28" s="45"/>
      <c r="I28" s="7">
        <f t="shared" si="5"/>
        <v>0</v>
      </c>
      <c r="J28" s="7">
        <f t="shared" si="6"/>
        <v>4</v>
      </c>
      <c r="K28" s="120">
        <v>45100</v>
      </c>
      <c r="L28" s="116"/>
    </row>
    <row r="29" spans="2:12" x14ac:dyDescent="0.15">
      <c r="B29" s="6" t="s">
        <v>16</v>
      </c>
      <c r="C29" s="35">
        <v>3</v>
      </c>
      <c r="D29" s="36">
        <v>1</v>
      </c>
      <c r="E29" s="37">
        <f>1+1</f>
        <v>2</v>
      </c>
      <c r="F29" s="7">
        <f t="shared" si="4"/>
        <v>6</v>
      </c>
      <c r="G29" s="35">
        <v>1</v>
      </c>
      <c r="H29" s="45">
        <v>2</v>
      </c>
      <c r="I29" s="7">
        <f t="shared" si="5"/>
        <v>3</v>
      </c>
      <c r="J29" s="7">
        <f t="shared" si="6"/>
        <v>9</v>
      </c>
      <c r="K29" s="120">
        <v>45103</v>
      </c>
      <c r="L29" s="116"/>
    </row>
    <row r="30" spans="2:12" x14ac:dyDescent="0.15">
      <c r="B30" s="6" t="s">
        <v>16</v>
      </c>
      <c r="C30" s="35">
        <v>1</v>
      </c>
      <c r="D30" s="36">
        <v>1</v>
      </c>
      <c r="E30" s="37">
        <v>3</v>
      </c>
      <c r="F30" s="7">
        <f t="shared" si="4"/>
        <v>5</v>
      </c>
      <c r="G30" s="35">
        <v>3</v>
      </c>
      <c r="H30" s="45">
        <v>3</v>
      </c>
      <c r="I30" s="7">
        <f t="shared" si="5"/>
        <v>6</v>
      </c>
      <c r="J30" s="7">
        <f t="shared" si="6"/>
        <v>11</v>
      </c>
      <c r="K30" s="120">
        <v>45104</v>
      </c>
      <c r="L30" s="116"/>
    </row>
    <row r="31" spans="2:12" x14ac:dyDescent="0.15">
      <c r="B31" s="6" t="s">
        <v>16</v>
      </c>
      <c r="C31" s="35"/>
      <c r="D31" s="36">
        <v>1</v>
      </c>
      <c r="E31" s="37">
        <v>2</v>
      </c>
      <c r="F31" s="7">
        <f t="shared" si="4"/>
        <v>3</v>
      </c>
      <c r="G31" s="35">
        <v>2</v>
      </c>
      <c r="H31" s="45"/>
      <c r="I31" s="7">
        <f t="shared" si="5"/>
        <v>2</v>
      </c>
      <c r="J31" s="7">
        <f t="shared" si="6"/>
        <v>5</v>
      </c>
      <c r="K31" s="120">
        <v>45105</v>
      </c>
      <c r="L31" s="116"/>
    </row>
    <row r="32" spans="2:12" x14ac:dyDescent="0.15">
      <c r="B32" s="6" t="s">
        <v>16</v>
      </c>
      <c r="C32" s="26"/>
      <c r="D32" s="27"/>
      <c r="E32" s="28"/>
      <c r="F32" s="7">
        <f t="shared" si="4"/>
        <v>0</v>
      </c>
      <c r="G32" s="26"/>
      <c r="H32" s="43">
        <v>1</v>
      </c>
      <c r="I32" s="7">
        <f t="shared" si="5"/>
        <v>1</v>
      </c>
      <c r="J32" s="7">
        <f t="shared" si="6"/>
        <v>1</v>
      </c>
      <c r="K32" s="120">
        <v>45106</v>
      </c>
      <c r="L32" s="116"/>
    </row>
    <row r="33" spans="1:12" x14ac:dyDescent="0.15">
      <c r="B33" s="6" t="s">
        <v>16</v>
      </c>
      <c r="C33" s="26">
        <v>1</v>
      </c>
      <c r="D33" s="27">
        <v>1</v>
      </c>
      <c r="E33" s="28">
        <v>1</v>
      </c>
      <c r="F33" s="7">
        <f t="shared" si="4"/>
        <v>3</v>
      </c>
      <c r="G33" s="26">
        <v>1</v>
      </c>
      <c r="H33" s="43">
        <v>1</v>
      </c>
      <c r="I33" s="7">
        <f t="shared" si="5"/>
        <v>2</v>
      </c>
      <c r="J33" s="7">
        <f t="shared" si="6"/>
        <v>5</v>
      </c>
      <c r="K33" s="121">
        <v>45107</v>
      </c>
      <c r="L33" s="116"/>
    </row>
    <row r="34" spans="1:12" x14ac:dyDescent="0.15">
      <c r="B34" s="6" t="s">
        <v>16</v>
      </c>
      <c r="C34" s="26"/>
      <c r="D34" s="27"/>
      <c r="E34" s="28"/>
      <c r="F34" s="7">
        <f t="shared" si="4"/>
        <v>0</v>
      </c>
      <c r="G34" s="26"/>
      <c r="H34" s="43">
        <v>1</v>
      </c>
      <c r="I34" s="7">
        <f t="shared" si="5"/>
        <v>1</v>
      </c>
      <c r="J34" s="7">
        <f t="shared" si="6"/>
        <v>1</v>
      </c>
      <c r="K34" s="121">
        <v>45108</v>
      </c>
      <c r="L34" s="116"/>
    </row>
    <row r="35" spans="1:12" x14ac:dyDescent="0.15">
      <c r="B35" s="6" t="s">
        <v>16</v>
      </c>
      <c r="C35" s="26">
        <v>1</v>
      </c>
      <c r="D35" s="27">
        <v>1</v>
      </c>
      <c r="E35" s="28"/>
      <c r="F35" s="7">
        <f t="shared" si="4"/>
        <v>2</v>
      </c>
      <c r="G35" s="26"/>
      <c r="H35" s="43">
        <v>2</v>
      </c>
      <c r="I35" s="7">
        <f t="shared" si="5"/>
        <v>2</v>
      </c>
      <c r="J35" s="7">
        <f t="shared" si="6"/>
        <v>4</v>
      </c>
      <c r="K35" s="121">
        <v>45110</v>
      </c>
      <c r="L35" s="116"/>
    </row>
    <row r="36" spans="1:12" x14ac:dyDescent="0.15">
      <c r="B36" s="6" t="s">
        <v>16</v>
      </c>
      <c r="C36" s="26"/>
      <c r="D36" s="27"/>
      <c r="E36" s="28"/>
      <c r="F36" s="7">
        <f t="shared" si="4"/>
        <v>0</v>
      </c>
      <c r="G36" s="26">
        <v>2</v>
      </c>
      <c r="H36" s="43">
        <v>1</v>
      </c>
      <c r="I36" s="7">
        <f t="shared" si="5"/>
        <v>3</v>
      </c>
      <c r="J36" s="7">
        <f t="shared" si="6"/>
        <v>3</v>
      </c>
      <c r="K36" s="121">
        <v>45111</v>
      </c>
      <c r="L36" s="116"/>
    </row>
    <row r="37" spans="1:12" ht="14.25" thickBot="1" x14ac:dyDescent="0.2">
      <c r="B37" s="6" t="s">
        <v>16</v>
      </c>
      <c r="C37" s="26"/>
      <c r="D37" s="27">
        <v>1</v>
      </c>
      <c r="E37" s="28"/>
      <c r="F37" s="7">
        <f t="shared" ref="F37" si="7">SUM(C37:E37)</f>
        <v>1</v>
      </c>
      <c r="G37" s="26">
        <v>1</v>
      </c>
      <c r="H37" s="43">
        <v>1</v>
      </c>
      <c r="I37" s="7">
        <f t="shared" ref="I37" si="8">SUM(G37:H37)</f>
        <v>2</v>
      </c>
      <c r="J37" s="7">
        <f t="shared" ref="J37" si="9">+F37+I37</f>
        <v>3</v>
      </c>
      <c r="K37" s="121">
        <v>45112</v>
      </c>
      <c r="L37" s="116"/>
    </row>
    <row r="38" spans="1:12" ht="14.25" thickBot="1" x14ac:dyDescent="0.2">
      <c r="B38" s="5" t="s">
        <v>2</v>
      </c>
      <c r="C38" s="32">
        <f>SUM(C13:C37)</f>
        <v>11</v>
      </c>
      <c r="D38" s="33">
        <f t="shared" ref="D38:J38" si="10">SUM(D13:D37)</f>
        <v>12</v>
      </c>
      <c r="E38" s="34">
        <f t="shared" si="10"/>
        <v>16</v>
      </c>
      <c r="F38" s="4">
        <f t="shared" si="10"/>
        <v>39</v>
      </c>
      <c r="G38" s="32">
        <f t="shared" si="10"/>
        <v>15</v>
      </c>
      <c r="H38" s="34">
        <f t="shared" si="10"/>
        <v>16</v>
      </c>
      <c r="I38" s="4">
        <f t="shared" si="10"/>
        <v>31</v>
      </c>
      <c r="J38" s="4">
        <f t="shared" si="10"/>
        <v>70</v>
      </c>
      <c r="K38" s="116"/>
      <c r="L38" s="116"/>
    </row>
    <row r="39" spans="1:12" ht="14.25" thickBot="1" x14ac:dyDescent="0.2">
      <c r="B39" s="3" t="s">
        <v>3</v>
      </c>
      <c r="C39" s="38">
        <f>+C12-C38</f>
        <v>7</v>
      </c>
      <c r="D39" s="39">
        <f t="shared" ref="D39:J39" si="11">+D12-D38</f>
        <v>6</v>
      </c>
      <c r="E39" s="40">
        <f t="shared" si="11"/>
        <v>2</v>
      </c>
      <c r="F39" s="2">
        <f t="shared" si="11"/>
        <v>15</v>
      </c>
      <c r="G39" s="38">
        <f t="shared" si="11"/>
        <v>56</v>
      </c>
      <c r="H39" s="40">
        <f t="shared" si="11"/>
        <v>85</v>
      </c>
      <c r="I39" s="2">
        <f t="shared" si="11"/>
        <v>141</v>
      </c>
      <c r="J39" s="2">
        <f t="shared" si="11"/>
        <v>156</v>
      </c>
      <c r="K39" s="116"/>
      <c r="L39" s="116"/>
    </row>
    <row r="40" spans="1:12" x14ac:dyDescent="0.15">
      <c r="K40" s="116"/>
      <c r="L40" s="116"/>
    </row>
    <row r="41" spans="1:12" ht="18.75" x14ac:dyDescent="0.2">
      <c r="B41" s="17" t="s">
        <v>7</v>
      </c>
      <c r="C41" s="18"/>
      <c r="D41" s="18"/>
      <c r="E41" s="18"/>
      <c r="F41" s="18"/>
      <c r="G41" s="18"/>
      <c r="H41" s="18"/>
      <c r="I41" s="18"/>
      <c r="J41" s="18"/>
      <c r="K41" s="116"/>
      <c r="L41" s="116"/>
    </row>
    <row r="42" spans="1:12" ht="17.25" x14ac:dyDescent="0.2">
      <c r="B42" s="19" t="s">
        <v>14</v>
      </c>
      <c r="C42" s="18"/>
      <c r="D42" s="18"/>
      <c r="E42" s="18"/>
      <c r="F42" s="18"/>
      <c r="G42" s="18"/>
      <c r="H42" s="18"/>
      <c r="I42" s="18"/>
      <c r="J42" s="18"/>
      <c r="K42" s="116"/>
      <c r="L42" s="116"/>
    </row>
    <row r="43" spans="1:12" ht="14.25" thickBot="1" x14ac:dyDescent="0.2">
      <c r="K43" s="116"/>
      <c r="L43" s="116"/>
    </row>
    <row r="44" spans="1:12" ht="14.25" thickBot="1" x14ac:dyDescent="0.2">
      <c r="B44" s="15"/>
      <c r="C44" s="211" t="s">
        <v>8</v>
      </c>
      <c r="D44" s="212"/>
      <c r="E44" s="212"/>
      <c r="F44" s="213"/>
      <c r="G44" s="211" t="s">
        <v>11</v>
      </c>
      <c r="H44" s="212"/>
      <c r="I44" s="213"/>
      <c r="J44" s="16"/>
      <c r="K44" s="116"/>
      <c r="L44" s="116"/>
    </row>
    <row r="45" spans="1:12" ht="14.25" thickBot="1" x14ac:dyDescent="0.2">
      <c r="A45" s="1"/>
      <c r="B45" s="14"/>
      <c r="C45" s="20" t="s">
        <v>6</v>
      </c>
      <c r="D45" s="21" t="s">
        <v>9</v>
      </c>
      <c r="E45" s="22" t="s">
        <v>10</v>
      </c>
      <c r="F45" s="13" t="s">
        <v>0</v>
      </c>
      <c r="G45" s="41" t="s">
        <v>9</v>
      </c>
      <c r="H45" s="42" t="s">
        <v>13</v>
      </c>
      <c r="I45" s="13" t="s">
        <v>0</v>
      </c>
      <c r="J45" s="13" t="s">
        <v>0</v>
      </c>
      <c r="K45" s="116"/>
      <c r="L45" s="116"/>
    </row>
    <row r="46" spans="1:12" x14ac:dyDescent="0.15">
      <c r="B46" s="46" t="s">
        <v>3</v>
      </c>
      <c r="C46" s="47">
        <f>C39</f>
        <v>7</v>
      </c>
      <c r="D46" s="50">
        <f t="shared" ref="D46:J46" si="12">D39</f>
        <v>6</v>
      </c>
      <c r="E46" s="48">
        <f t="shared" si="12"/>
        <v>2</v>
      </c>
      <c r="F46" s="49">
        <f t="shared" si="12"/>
        <v>15</v>
      </c>
      <c r="G46" s="47">
        <f t="shared" si="12"/>
        <v>56</v>
      </c>
      <c r="H46" s="48">
        <f t="shared" si="12"/>
        <v>85</v>
      </c>
      <c r="I46" s="49">
        <f t="shared" si="12"/>
        <v>141</v>
      </c>
      <c r="J46" s="49">
        <f t="shared" si="12"/>
        <v>156</v>
      </c>
      <c r="K46" s="116"/>
      <c r="L46" s="116"/>
    </row>
    <row r="47" spans="1:12" x14ac:dyDescent="0.15">
      <c r="B47" s="12" t="s">
        <v>4</v>
      </c>
      <c r="C47" s="26">
        <v>20</v>
      </c>
      <c r="D47" s="27">
        <v>10</v>
      </c>
      <c r="E47" s="28">
        <v>20</v>
      </c>
      <c r="F47" s="8">
        <f>SUM(C47:E47)</f>
        <v>50</v>
      </c>
      <c r="G47" s="26"/>
      <c r="H47" s="43"/>
      <c r="I47" s="8">
        <f>SUM(G47:H47)</f>
        <v>0</v>
      </c>
      <c r="J47" s="8">
        <f>+F47+I47</f>
        <v>50</v>
      </c>
      <c r="K47" s="119" t="s">
        <v>24</v>
      </c>
      <c r="L47" s="116"/>
    </row>
    <row r="48" spans="1:12" x14ac:dyDescent="0.15">
      <c r="B48" s="12" t="s">
        <v>4</v>
      </c>
      <c r="C48" s="26"/>
      <c r="D48" s="27"/>
      <c r="E48" s="28"/>
      <c r="F48" s="8">
        <f t="shared" ref="F48:F77" si="13">SUM(C48:E48)</f>
        <v>0</v>
      </c>
      <c r="G48" s="26"/>
      <c r="H48" s="43"/>
      <c r="I48" s="8">
        <f t="shared" ref="I48:I77" si="14">SUM(G48:H48)</f>
        <v>0</v>
      </c>
      <c r="J48" s="8">
        <f t="shared" ref="J48:J77" si="15">+F48+I48</f>
        <v>0</v>
      </c>
      <c r="K48" s="119"/>
      <c r="L48" s="116"/>
    </row>
    <row r="49" spans="2:12" x14ac:dyDescent="0.15">
      <c r="B49" s="12" t="s">
        <v>4</v>
      </c>
      <c r="C49" s="26"/>
      <c r="D49" s="27"/>
      <c r="E49" s="28"/>
      <c r="F49" s="8">
        <f t="shared" si="13"/>
        <v>0</v>
      </c>
      <c r="G49" s="26"/>
      <c r="H49" s="43"/>
      <c r="I49" s="8">
        <f t="shared" si="14"/>
        <v>0</v>
      </c>
      <c r="J49" s="8">
        <f t="shared" si="15"/>
        <v>0</v>
      </c>
      <c r="K49" s="119"/>
      <c r="L49" s="116"/>
    </row>
    <row r="50" spans="2:12" x14ac:dyDescent="0.15">
      <c r="B50" s="12" t="s">
        <v>4</v>
      </c>
      <c r="C50" s="26">
        <v>10</v>
      </c>
      <c r="D50" s="27">
        <v>10</v>
      </c>
      <c r="E50" s="28">
        <v>10</v>
      </c>
      <c r="F50" s="8">
        <f t="shared" si="13"/>
        <v>30</v>
      </c>
      <c r="G50" s="26">
        <v>30</v>
      </c>
      <c r="H50" s="43"/>
      <c r="I50" s="8">
        <f t="shared" si="14"/>
        <v>30</v>
      </c>
      <c r="J50" s="8">
        <f t="shared" si="15"/>
        <v>60</v>
      </c>
      <c r="K50" s="119" t="s">
        <v>28</v>
      </c>
      <c r="L50" s="116"/>
    </row>
    <row r="51" spans="2:12" ht="14.25" thickBot="1" x14ac:dyDescent="0.2">
      <c r="B51" s="11" t="s">
        <v>4</v>
      </c>
      <c r="C51" s="29">
        <v>10</v>
      </c>
      <c r="D51" s="30">
        <v>10</v>
      </c>
      <c r="E51" s="31">
        <v>20</v>
      </c>
      <c r="F51" s="10">
        <f t="shared" si="13"/>
        <v>40</v>
      </c>
      <c r="G51" s="29"/>
      <c r="H51" s="44"/>
      <c r="I51" s="10">
        <f t="shared" si="14"/>
        <v>0</v>
      </c>
      <c r="J51" s="10">
        <f t="shared" si="15"/>
        <v>40</v>
      </c>
      <c r="K51" s="119" t="s">
        <v>28</v>
      </c>
      <c r="L51" s="116"/>
    </row>
    <row r="52" spans="2:12" ht="14.25" thickBot="1" x14ac:dyDescent="0.2">
      <c r="B52" s="5" t="s">
        <v>1</v>
      </c>
      <c r="C52" s="32">
        <f>SUM(C46:C51)</f>
        <v>47</v>
      </c>
      <c r="D52" s="33">
        <f t="shared" ref="D52:J52" si="16">SUM(D46:D51)</f>
        <v>36</v>
      </c>
      <c r="E52" s="34">
        <f t="shared" si="16"/>
        <v>52</v>
      </c>
      <c r="F52" s="9">
        <f t="shared" si="16"/>
        <v>135</v>
      </c>
      <c r="G52" s="32">
        <f t="shared" si="16"/>
        <v>86</v>
      </c>
      <c r="H52" s="34">
        <f t="shared" si="16"/>
        <v>85</v>
      </c>
      <c r="I52" s="9">
        <f t="shared" si="16"/>
        <v>171</v>
      </c>
      <c r="J52" s="9">
        <f t="shared" si="16"/>
        <v>306</v>
      </c>
      <c r="K52" s="116"/>
      <c r="L52" s="116"/>
    </row>
    <row r="53" spans="2:12" x14ac:dyDescent="0.15">
      <c r="B53" s="6" t="s">
        <v>16</v>
      </c>
      <c r="C53" s="23">
        <v>6</v>
      </c>
      <c r="D53" s="24">
        <v>1</v>
      </c>
      <c r="E53" s="28"/>
      <c r="F53" s="7">
        <f t="shared" si="13"/>
        <v>7</v>
      </c>
      <c r="G53" s="23">
        <v>2</v>
      </c>
      <c r="H53" s="25">
        <v>2</v>
      </c>
      <c r="I53" s="7">
        <f t="shared" si="14"/>
        <v>4</v>
      </c>
      <c r="J53" s="7">
        <f t="shared" si="15"/>
        <v>11</v>
      </c>
      <c r="K53" s="120">
        <v>45113</v>
      </c>
      <c r="L53" s="116"/>
    </row>
    <row r="54" spans="2:12" x14ac:dyDescent="0.15">
      <c r="B54" s="6" t="s">
        <v>16</v>
      </c>
      <c r="C54" s="26"/>
      <c r="D54" s="27"/>
      <c r="E54" s="28">
        <v>1</v>
      </c>
      <c r="F54" s="7">
        <f>SUM(C54:E54)</f>
        <v>1</v>
      </c>
      <c r="G54" s="26">
        <v>2</v>
      </c>
      <c r="H54" s="43"/>
      <c r="I54" s="7">
        <f t="shared" si="14"/>
        <v>2</v>
      </c>
      <c r="J54" s="7">
        <f t="shared" si="15"/>
        <v>3</v>
      </c>
      <c r="K54" s="119">
        <v>45114</v>
      </c>
      <c r="L54" s="116"/>
    </row>
    <row r="55" spans="2:12" x14ac:dyDescent="0.15">
      <c r="B55" s="6" t="s">
        <v>21</v>
      </c>
      <c r="C55" s="26"/>
      <c r="D55" s="27"/>
      <c r="E55" s="28"/>
      <c r="F55" s="7">
        <f t="shared" si="13"/>
        <v>0</v>
      </c>
      <c r="G55" s="26">
        <v>12</v>
      </c>
      <c r="H55" s="43">
        <v>12</v>
      </c>
      <c r="I55" s="7">
        <f t="shared" si="14"/>
        <v>24</v>
      </c>
      <c r="J55" s="7">
        <f t="shared" si="15"/>
        <v>24</v>
      </c>
      <c r="K55" s="119">
        <v>45118</v>
      </c>
      <c r="L55" s="116"/>
    </row>
    <row r="56" spans="2:12" x14ac:dyDescent="0.15">
      <c r="B56" s="6" t="s">
        <v>16</v>
      </c>
      <c r="C56" s="26">
        <v>1</v>
      </c>
      <c r="D56" s="27"/>
      <c r="E56" s="28"/>
      <c r="F56" s="7">
        <f t="shared" si="13"/>
        <v>1</v>
      </c>
      <c r="G56" s="26">
        <v>1</v>
      </c>
      <c r="H56" s="43"/>
      <c r="I56" s="7">
        <f t="shared" si="14"/>
        <v>1</v>
      </c>
      <c r="J56" s="7">
        <f t="shared" si="15"/>
        <v>2</v>
      </c>
      <c r="K56" s="119">
        <v>45117</v>
      </c>
      <c r="L56" s="116"/>
    </row>
    <row r="57" spans="2:12" x14ac:dyDescent="0.15">
      <c r="B57" s="6" t="s">
        <v>16</v>
      </c>
      <c r="C57" s="26">
        <v>1</v>
      </c>
      <c r="D57" s="27">
        <v>1</v>
      </c>
      <c r="E57" s="28"/>
      <c r="F57" s="7">
        <f t="shared" si="13"/>
        <v>2</v>
      </c>
      <c r="G57" s="26">
        <v>2</v>
      </c>
      <c r="H57" s="43">
        <v>1</v>
      </c>
      <c r="I57" s="7">
        <f t="shared" si="14"/>
        <v>3</v>
      </c>
      <c r="J57" s="7">
        <f t="shared" si="15"/>
        <v>5</v>
      </c>
      <c r="K57" s="119">
        <v>45118</v>
      </c>
      <c r="L57" s="116"/>
    </row>
    <row r="58" spans="2:12" x14ac:dyDescent="0.15">
      <c r="B58" s="6" t="s">
        <v>22</v>
      </c>
      <c r="C58" s="26"/>
      <c r="D58" s="27"/>
      <c r="E58" s="28"/>
      <c r="F58" s="7">
        <f t="shared" si="13"/>
        <v>0</v>
      </c>
      <c r="G58" s="26">
        <v>2</v>
      </c>
      <c r="H58" s="43">
        <v>2</v>
      </c>
      <c r="I58" s="7">
        <f t="shared" si="14"/>
        <v>4</v>
      </c>
      <c r="J58" s="7">
        <f t="shared" si="15"/>
        <v>4</v>
      </c>
      <c r="K58" s="119">
        <v>45120</v>
      </c>
      <c r="L58" s="116"/>
    </row>
    <row r="59" spans="2:12" x14ac:dyDescent="0.15">
      <c r="B59" s="6" t="s">
        <v>16</v>
      </c>
      <c r="C59" s="26"/>
      <c r="D59" s="27">
        <f>1+1</f>
        <v>2</v>
      </c>
      <c r="E59" s="28">
        <v>1</v>
      </c>
      <c r="F59" s="7">
        <f t="shared" si="13"/>
        <v>3</v>
      </c>
      <c r="G59" s="26">
        <v>1</v>
      </c>
      <c r="H59" s="43"/>
      <c r="I59" s="7">
        <f t="shared" si="14"/>
        <v>1</v>
      </c>
      <c r="J59" s="7">
        <f t="shared" si="15"/>
        <v>4</v>
      </c>
      <c r="K59" s="119">
        <v>45119</v>
      </c>
      <c r="L59" s="116"/>
    </row>
    <row r="60" spans="2:12" x14ac:dyDescent="0.15">
      <c r="B60" s="6" t="s">
        <v>23</v>
      </c>
      <c r="C60" s="26"/>
      <c r="D60" s="27"/>
      <c r="E60" s="28"/>
      <c r="F60" s="7">
        <f t="shared" si="13"/>
        <v>0</v>
      </c>
      <c r="G60" s="26">
        <v>12</v>
      </c>
      <c r="H60" s="43">
        <v>12</v>
      </c>
      <c r="I60" s="7">
        <f t="shared" si="14"/>
        <v>24</v>
      </c>
      <c r="J60" s="7">
        <f t="shared" si="15"/>
        <v>24</v>
      </c>
      <c r="K60" s="119">
        <v>45121</v>
      </c>
      <c r="L60" s="116"/>
    </row>
    <row r="61" spans="2:12" x14ac:dyDescent="0.15">
      <c r="B61" s="6" t="s">
        <v>16</v>
      </c>
      <c r="C61" s="26">
        <v>1</v>
      </c>
      <c r="D61" s="27"/>
      <c r="E61" s="28">
        <v>2</v>
      </c>
      <c r="F61" s="7">
        <f t="shared" si="13"/>
        <v>3</v>
      </c>
      <c r="G61" s="26"/>
      <c r="H61" s="43"/>
      <c r="I61" s="7">
        <f t="shared" si="14"/>
        <v>0</v>
      </c>
      <c r="J61" s="7">
        <f t="shared" si="15"/>
        <v>3</v>
      </c>
      <c r="K61" s="119">
        <v>45120</v>
      </c>
      <c r="L61" s="116"/>
    </row>
    <row r="62" spans="2:12" x14ac:dyDescent="0.15">
      <c r="B62" s="6" t="s">
        <v>25</v>
      </c>
      <c r="C62" s="26"/>
      <c r="D62" s="27"/>
      <c r="E62" s="28"/>
      <c r="F62" s="7">
        <f t="shared" si="13"/>
        <v>0</v>
      </c>
      <c r="G62" s="26">
        <v>7</v>
      </c>
      <c r="H62" s="43">
        <v>7</v>
      </c>
      <c r="I62" s="7">
        <f t="shared" si="14"/>
        <v>14</v>
      </c>
      <c r="J62" s="7">
        <f t="shared" si="15"/>
        <v>14</v>
      </c>
      <c r="K62" s="119">
        <v>45122</v>
      </c>
      <c r="L62" s="116"/>
    </row>
    <row r="63" spans="2:12" x14ac:dyDescent="0.15">
      <c r="B63" s="6" t="s">
        <v>16</v>
      </c>
      <c r="C63" s="35"/>
      <c r="D63" s="36"/>
      <c r="E63" s="37">
        <v>1</v>
      </c>
      <c r="F63" s="7">
        <f t="shared" si="13"/>
        <v>1</v>
      </c>
      <c r="G63" s="35"/>
      <c r="H63" s="45"/>
      <c r="I63" s="7">
        <f t="shared" si="14"/>
        <v>0</v>
      </c>
      <c r="J63" s="7">
        <f t="shared" si="15"/>
        <v>1</v>
      </c>
      <c r="K63" s="119">
        <v>45122</v>
      </c>
      <c r="L63" s="116"/>
    </row>
    <row r="64" spans="2:12" x14ac:dyDescent="0.15">
      <c r="B64" s="6" t="s">
        <v>26</v>
      </c>
      <c r="C64" s="26"/>
      <c r="D64" s="27"/>
      <c r="E64" s="28"/>
      <c r="F64" s="7">
        <f t="shared" si="13"/>
        <v>0</v>
      </c>
      <c r="G64" s="26">
        <v>1</v>
      </c>
      <c r="H64" s="43">
        <v>1</v>
      </c>
      <c r="I64" s="7">
        <f t="shared" si="14"/>
        <v>2</v>
      </c>
      <c r="J64" s="7">
        <f t="shared" si="15"/>
        <v>2</v>
      </c>
      <c r="K64" s="119">
        <v>45126</v>
      </c>
      <c r="L64" s="116"/>
    </row>
    <row r="65" spans="2:12" x14ac:dyDescent="0.15">
      <c r="B65" s="6" t="s">
        <v>16</v>
      </c>
      <c r="C65" s="26">
        <v>1</v>
      </c>
      <c r="D65" s="27">
        <f>1+1</f>
        <v>2</v>
      </c>
      <c r="E65" s="28">
        <f>2+1</f>
        <v>3</v>
      </c>
      <c r="F65" s="7">
        <f t="shared" si="13"/>
        <v>6</v>
      </c>
      <c r="G65" s="26">
        <f>1+1</f>
        <v>2</v>
      </c>
      <c r="H65" s="43">
        <v>2</v>
      </c>
      <c r="I65" s="7">
        <f t="shared" si="14"/>
        <v>4</v>
      </c>
      <c r="J65" s="7">
        <f t="shared" si="15"/>
        <v>10</v>
      </c>
      <c r="K65" s="119">
        <v>45125</v>
      </c>
      <c r="L65" s="116"/>
    </row>
    <row r="66" spans="2:12" x14ac:dyDescent="0.15">
      <c r="B66" s="6" t="s">
        <v>16</v>
      </c>
      <c r="C66" s="35">
        <v>1</v>
      </c>
      <c r="D66" s="36">
        <v>2</v>
      </c>
      <c r="E66" s="37">
        <v>2</v>
      </c>
      <c r="F66" s="7">
        <f t="shared" si="13"/>
        <v>5</v>
      </c>
      <c r="G66" s="35">
        <v>1</v>
      </c>
      <c r="H66" s="45"/>
      <c r="I66" s="7">
        <f t="shared" si="14"/>
        <v>1</v>
      </c>
      <c r="J66" s="7">
        <f t="shared" si="15"/>
        <v>6</v>
      </c>
      <c r="K66" s="119">
        <v>45126</v>
      </c>
      <c r="L66" s="116"/>
    </row>
    <row r="67" spans="2:12" x14ac:dyDescent="0.15">
      <c r="B67" s="6" t="s">
        <v>27</v>
      </c>
      <c r="C67" s="26"/>
      <c r="D67" s="27"/>
      <c r="E67" s="28"/>
      <c r="F67" s="7">
        <f t="shared" si="13"/>
        <v>0</v>
      </c>
      <c r="G67" s="26">
        <v>8</v>
      </c>
      <c r="H67" s="43">
        <v>8</v>
      </c>
      <c r="I67" s="7">
        <f t="shared" si="14"/>
        <v>16</v>
      </c>
      <c r="J67" s="7">
        <f t="shared" si="15"/>
        <v>16</v>
      </c>
      <c r="K67" s="119">
        <v>45128</v>
      </c>
      <c r="L67" s="116"/>
    </row>
    <row r="68" spans="2:12" x14ac:dyDescent="0.15">
      <c r="B68" s="6" t="s">
        <v>16</v>
      </c>
      <c r="C68" s="35"/>
      <c r="D68" s="36">
        <v>1</v>
      </c>
      <c r="E68" s="37"/>
      <c r="F68" s="7">
        <f t="shared" si="13"/>
        <v>1</v>
      </c>
      <c r="G68" s="35"/>
      <c r="H68" s="45"/>
      <c r="I68" s="7">
        <f t="shared" si="14"/>
        <v>0</v>
      </c>
      <c r="J68" s="7">
        <f t="shared" si="15"/>
        <v>1</v>
      </c>
      <c r="K68" s="119">
        <v>45127</v>
      </c>
      <c r="L68" s="116"/>
    </row>
    <row r="69" spans="2:12" x14ac:dyDescent="0.15">
      <c r="B69" s="6" t="s">
        <v>29</v>
      </c>
      <c r="C69" s="26"/>
      <c r="D69" s="27"/>
      <c r="E69" s="28"/>
      <c r="F69" s="7">
        <f t="shared" si="13"/>
        <v>0</v>
      </c>
      <c r="G69" s="26">
        <v>1</v>
      </c>
      <c r="H69" s="43">
        <v>1</v>
      </c>
      <c r="I69" s="7">
        <f t="shared" si="14"/>
        <v>2</v>
      </c>
      <c r="J69" s="7">
        <f t="shared" si="15"/>
        <v>2</v>
      </c>
      <c r="K69" s="119">
        <v>45131</v>
      </c>
      <c r="L69" s="116"/>
    </row>
    <row r="70" spans="2:12" x14ac:dyDescent="0.15">
      <c r="B70" s="6" t="s">
        <v>16</v>
      </c>
      <c r="C70" s="35">
        <v>1</v>
      </c>
      <c r="D70" s="36">
        <v>2</v>
      </c>
      <c r="E70" s="37">
        <v>3</v>
      </c>
      <c r="F70" s="7">
        <f t="shared" si="13"/>
        <v>6</v>
      </c>
      <c r="G70" s="35">
        <v>1</v>
      </c>
      <c r="H70" s="45">
        <v>1</v>
      </c>
      <c r="I70" s="7">
        <f t="shared" si="14"/>
        <v>2</v>
      </c>
      <c r="J70" s="7">
        <f t="shared" si="15"/>
        <v>8</v>
      </c>
      <c r="K70" s="119">
        <v>45128</v>
      </c>
      <c r="L70" s="116"/>
    </row>
    <row r="71" spans="2:12" x14ac:dyDescent="0.15">
      <c r="B71" s="6" t="s">
        <v>30</v>
      </c>
      <c r="C71" s="26"/>
      <c r="D71" s="27"/>
      <c r="E71" s="28"/>
      <c r="F71" s="7">
        <f t="shared" si="13"/>
        <v>0</v>
      </c>
      <c r="G71" s="26">
        <v>2</v>
      </c>
      <c r="H71" s="43">
        <v>2</v>
      </c>
      <c r="I71" s="7">
        <f t="shared" si="14"/>
        <v>4</v>
      </c>
      <c r="J71" s="7">
        <f t="shared" si="15"/>
        <v>4</v>
      </c>
      <c r="K71" s="119">
        <v>45132</v>
      </c>
      <c r="L71" s="116"/>
    </row>
    <row r="72" spans="2:12" x14ac:dyDescent="0.15">
      <c r="B72" s="6" t="s">
        <v>16</v>
      </c>
      <c r="C72" s="26">
        <v>1</v>
      </c>
      <c r="D72" s="27">
        <v>1</v>
      </c>
      <c r="E72" s="28">
        <v>1</v>
      </c>
      <c r="F72" s="7">
        <f t="shared" si="13"/>
        <v>3</v>
      </c>
      <c r="G72" s="26"/>
      <c r="H72" s="43"/>
      <c r="I72" s="7">
        <f t="shared" si="14"/>
        <v>0</v>
      </c>
      <c r="J72" s="7">
        <f t="shared" si="15"/>
        <v>3</v>
      </c>
      <c r="K72" s="119">
        <v>45131</v>
      </c>
      <c r="L72" s="116"/>
    </row>
    <row r="73" spans="2:12" x14ac:dyDescent="0.15">
      <c r="B73" s="6" t="s">
        <v>31</v>
      </c>
      <c r="C73" s="26"/>
      <c r="D73" s="27"/>
      <c r="E73" s="28"/>
      <c r="F73" s="7">
        <f t="shared" si="13"/>
        <v>0</v>
      </c>
      <c r="G73" s="26">
        <v>6</v>
      </c>
      <c r="H73" s="43">
        <v>6</v>
      </c>
      <c r="I73" s="7">
        <f t="shared" si="14"/>
        <v>12</v>
      </c>
      <c r="J73" s="7">
        <f t="shared" si="15"/>
        <v>12</v>
      </c>
      <c r="K73" s="119">
        <v>45133</v>
      </c>
      <c r="L73" s="116"/>
    </row>
    <row r="74" spans="2:12" x14ac:dyDescent="0.15">
      <c r="B74" s="6" t="s">
        <v>16</v>
      </c>
      <c r="C74" s="26">
        <v>1</v>
      </c>
      <c r="D74" s="27">
        <v>1</v>
      </c>
      <c r="E74" s="28"/>
      <c r="F74" s="7">
        <f t="shared" si="13"/>
        <v>2</v>
      </c>
      <c r="G74" s="26">
        <v>1</v>
      </c>
      <c r="H74" s="43"/>
      <c r="I74" s="7">
        <f t="shared" si="14"/>
        <v>1</v>
      </c>
      <c r="J74" s="7">
        <f t="shared" si="15"/>
        <v>3</v>
      </c>
      <c r="K74" s="119">
        <v>45132</v>
      </c>
      <c r="L74" s="116"/>
    </row>
    <row r="75" spans="2:12" x14ac:dyDescent="0.15">
      <c r="B75" s="6" t="s">
        <v>16</v>
      </c>
      <c r="C75" s="26"/>
      <c r="D75" s="27"/>
      <c r="E75" s="28"/>
      <c r="F75" s="7">
        <f t="shared" si="13"/>
        <v>0</v>
      </c>
      <c r="G75" s="26">
        <v>1</v>
      </c>
      <c r="H75" s="43"/>
      <c r="I75" s="7">
        <f t="shared" si="14"/>
        <v>1</v>
      </c>
      <c r="J75" s="7">
        <f t="shared" si="15"/>
        <v>1</v>
      </c>
      <c r="K75" s="119">
        <v>45133</v>
      </c>
      <c r="L75" s="116"/>
    </row>
    <row r="76" spans="2:12" x14ac:dyDescent="0.15">
      <c r="B76" s="6"/>
      <c r="C76" s="26"/>
      <c r="D76" s="27"/>
      <c r="E76" s="28"/>
      <c r="F76" s="7">
        <f t="shared" si="13"/>
        <v>0</v>
      </c>
      <c r="G76" s="26"/>
      <c r="H76" s="43"/>
      <c r="I76" s="7">
        <f t="shared" si="14"/>
        <v>0</v>
      </c>
      <c r="J76" s="7">
        <f t="shared" si="15"/>
        <v>0</v>
      </c>
      <c r="K76" s="116"/>
      <c r="L76" s="116"/>
    </row>
    <row r="77" spans="2:12" ht="14.25" thickBot="1" x14ac:dyDescent="0.2">
      <c r="B77" s="6" t="s">
        <v>19</v>
      </c>
      <c r="C77" s="52"/>
      <c r="D77" s="30"/>
      <c r="E77" s="31"/>
      <c r="F77" s="53">
        <f t="shared" si="13"/>
        <v>0</v>
      </c>
      <c r="G77" s="52"/>
      <c r="H77" s="44"/>
      <c r="I77" s="7">
        <f t="shared" si="14"/>
        <v>0</v>
      </c>
      <c r="J77" s="53">
        <f t="shared" si="15"/>
        <v>0</v>
      </c>
      <c r="K77" s="122" t="s">
        <v>20</v>
      </c>
      <c r="L77" s="116"/>
    </row>
    <row r="78" spans="2:12" ht="14.25" thickBot="1" x14ac:dyDescent="0.2">
      <c r="B78" s="5" t="s">
        <v>2</v>
      </c>
      <c r="C78" s="32">
        <f>SUM(C53:C77)</f>
        <v>14</v>
      </c>
      <c r="D78" s="33">
        <f t="shared" ref="D78:J78" si="17">SUM(D53:D77)</f>
        <v>13</v>
      </c>
      <c r="E78" s="34">
        <f t="shared" si="17"/>
        <v>14</v>
      </c>
      <c r="F78" s="4">
        <f t="shared" si="17"/>
        <v>41</v>
      </c>
      <c r="G78" s="32">
        <f t="shared" si="17"/>
        <v>65</v>
      </c>
      <c r="H78" s="34">
        <f t="shared" si="17"/>
        <v>57</v>
      </c>
      <c r="I78" s="4">
        <f t="shared" si="17"/>
        <v>122</v>
      </c>
      <c r="J78" s="4">
        <f t="shared" si="17"/>
        <v>163</v>
      </c>
      <c r="K78" s="116"/>
      <c r="L78" s="116"/>
    </row>
    <row r="79" spans="2:12" ht="14.25" thickBot="1" x14ac:dyDescent="0.2">
      <c r="B79" s="3" t="s">
        <v>3</v>
      </c>
      <c r="C79" s="38">
        <f>+C52-C78</f>
        <v>33</v>
      </c>
      <c r="D79" s="39">
        <f t="shared" ref="D79:J79" si="18">+D52-D78</f>
        <v>23</v>
      </c>
      <c r="E79" s="40">
        <f t="shared" si="18"/>
        <v>38</v>
      </c>
      <c r="F79" s="2">
        <f t="shared" si="18"/>
        <v>94</v>
      </c>
      <c r="G79" s="38">
        <f>+G52-G78</f>
        <v>21</v>
      </c>
      <c r="H79" s="40">
        <f t="shared" si="18"/>
        <v>28</v>
      </c>
      <c r="I79" s="2">
        <f t="shared" si="18"/>
        <v>49</v>
      </c>
      <c r="J79" s="2">
        <f t="shared" si="18"/>
        <v>143</v>
      </c>
      <c r="K79" s="116"/>
      <c r="L79" s="116"/>
    </row>
    <row r="80" spans="2:12" x14ac:dyDescent="0.15">
      <c r="K80" s="116"/>
      <c r="L80" s="116"/>
    </row>
    <row r="81" spans="1:12" ht="18.75" x14ac:dyDescent="0.2">
      <c r="B81" s="17" t="s">
        <v>7</v>
      </c>
      <c r="C81" s="18"/>
      <c r="D81" s="18"/>
      <c r="E81" s="18"/>
      <c r="F81" s="18"/>
      <c r="G81" s="18"/>
      <c r="H81" s="18"/>
      <c r="I81" s="18"/>
      <c r="J81" s="18"/>
      <c r="K81" s="116"/>
      <c r="L81" s="116"/>
    </row>
    <row r="82" spans="1:12" ht="17.25" x14ac:dyDescent="0.2">
      <c r="B82" s="19" t="s">
        <v>14</v>
      </c>
      <c r="C82" s="18"/>
      <c r="D82" s="18"/>
      <c r="E82" s="18"/>
      <c r="F82" s="18"/>
      <c r="G82" s="18"/>
      <c r="H82" s="18"/>
      <c r="I82" s="18"/>
      <c r="J82" s="18"/>
      <c r="K82" s="116"/>
      <c r="L82" s="116"/>
    </row>
    <row r="83" spans="1:12" ht="14.25" thickBot="1" x14ac:dyDescent="0.2">
      <c r="K83" s="116"/>
      <c r="L83" s="116"/>
    </row>
    <row r="84" spans="1:12" ht="14.25" thickBot="1" x14ac:dyDescent="0.2">
      <c r="B84" s="15"/>
      <c r="C84" s="211" t="s">
        <v>8</v>
      </c>
      <c r="D84" s="212"/>
      <c r="E84" s="212"/>
      <c r="F84" s="213"/>
      <c r="G84" s="211" t="s">
        <v>11</v>
      </c>
      <c r="H84" s="212"/>
      <c r="I84" s="213"/>
      <c r="J84" s="16"/>
      <c r="K84" s="116"/>
      <c r="L84" s="116"/>
    </row>
    <row r="85" spans="1:12" ht="14.25" thickBot="1" x14ac:dyDescent="0.2">
      <c r="A85" s="1"/>
      <c r="B85" s="14"/>
      <c r="C85" s="20" t="s">
        <v>6</v>
      </c>
      <c r="D85" s="21" t="s">
        <v>9</v>
      </c>
      <c r="E85" s="22" t="s">
        <v>10</v>
      </c>
      <c r="F85" s="13" t="s">
        <v>0</v>
      </c>
      <c r="G85" s="41" t="s">
        <v>9</v>
      </c>
      <c r="H85" s="42" t="s">
        <v>13</v>
      </c>
      <c r="I85" s="13" t="s">
        <v>0</v>
      </c>
      <c r="J85" s="13" t="s">
        <v>0</v>
      </c>
      <c r="K85" s="116"/>
      <c r="L85" s="116"/>
    </row>
    <row r="86" spans="1:12" x14ac:dyDescent="0.15">
      <c r="B86" s="46" t="s">
        <v>3</v>
      </c>
      <c r="C86" s="47">
        <f>C79</f>
        <v>33</v>
      </c>
      <c r="D86" s="50">
        <f t="shared" ref="D86:J86" si="19">D79</f>
        <v>23</v>
      </c>
      <c r="E86" s="48">
        <f t="shared" si="19"/>
        <v>38</v>
      </c>
      <c r="F86" s="49">
        <f t="shared" si="19"/>
        <v>94</v>
      </c>
      <c r="G86" s="47">
        <f t="shared" si="19"/>
        <v>21</v>
      </c>
      <c r="H86" s="48">
        <f t="shared" si="19"/>
        <v>28</v>
      </c>
      <c r="I86" s="49">
        <f t="shared" si="19"/>
        <v>49</v>
      </c>
      <c r="J86" s="49">
        <f t="shared" si="19"/>
        <v>143</v>
      </c>
      <c r="K86" s="116"/>
      <c r="L86" s="116"/>
    </row>
    <row r="87" spans="1:12" x14ac:dyDescent="0.15">
      <c r="B87" s="12" t="s">
        <v>4</v>
      </c>
      <c r="C87" s="26"/>
      <c r="D87" s="27"/>
      <c r="E87" s="28"/>
      <c r="F87" s="8">
        <f>SUM(C87:E87)</f>
        <v>0</v>
      </c>
      <c r="G87" s="26"/>
      <c r="H87" s="43"/>
      <c r="I87" s="8">
        <f>SUM(G87:H87)</f>
        <v>0</v>
      </c>
      <c r="J87" s="8">
        <f>+F87+I87</f>
        <v>0</v>
      </c>
      <c r="K87" s="119"/>
      <c r="L87" s="116"/>
    </row>
    <row r="88" spans="1:12" x14ac:dyDescent="0.15">
      <c r="B88" s="12" t="s">
        <v>4</v>
      </c>
      <c r="C88" s="26">
        <v>10</v>
      </c>
      <c r="D88" s="27">
        <v>20</v>
      </c>
      <c r="E88" s="28">
        <v>10</v>
      </c>
      <c r="F88" s="8">
        <f t="shared" ref="F88" si="20">SUM(C88:E88)</f>
        <v>40</v>
      </c>
      <c r="G88" s="26">
        <v>40</v>
      </c>
      <c r="H88" s="43">
        <v>20</v>
      </c>
      <c r="I88" s="8">
        <f t="shared" ref="I88" si="21">SUM(G88:H88)</f>
        <v>60</v>
      </c>
      <c r="J88" s="8">
        <f t="shared" ref="J88" si="22">+F88+I88</f>
        <v>100</v>
      </c>
      <c r="K88" s="119" t="s">
        <v>38</v>
      </c>
      <c r="L88" s="116"/>
    </row>
    <row r="89" spans="1:12" x14ac:dyDescent="0.15">
      <c r="B89" s="12" t="s">
        <v>4</v>
      </c>
      <c r="C89" s="26"/>
      <c r="D89" s="27"/>
      <c r="E89" s="28"/>
      <c r="F89" s="8">
        <f t="shared" ref="F89:F91" si="23">SUM(C89:E89)</f>
        <v>0</v>
      </c>
      <c r="G89" s="26"/>
      <c r="H89" s="43"/>
      <c r="I89" s="8">
        <f t="shared" ref="I89:I91" si="24">SUM(G89:H89)</f>
        <v>0</v>
      </c>
      <c r="J89" s="8">
        <f t="shared" ref="J89:J91" si="25">+F89+I89</f>
        <v>0</v>
      </c>
      <c r="K89" s="119"/>
      <c r="L89" s="116"/>
    </row>
    <row r="90" spans="1:12" x14ac:dyDescent="0.15">
      <c r="B90" s="12" t="s">
        <v>42</v>
      </c>
      <c r="C90" s="26"/>
      <c r="D90" s="27">
        <v>1</v>
      </c>
      <c r="E90" s="28">
        <v>-1</v>
      </c>
      <c r="F90" s="8">
        <f t="shared" ref="F90" si="26">SUM(C90:E90)</f>
        <v>0</v>
      </c>
      <c r="G90" s="26"/>
      <c r="H90" s="43"/>
      <c r="I90" s="8">
        <f t="shared" ref="I90" si="27">SUM(G90:H90)</f>
        <v>0</v>
      </c>
      <c r="J90" s="8">
        <f t="shared" ref="J90" si="28">+F90+I90</f>
        <v>0</v>
      </c>
      <c r="K90" s="119">
        <v>45161</v>
      </c>
      <c r="L90" s="116"/>
    </row>
    <row r="91" spans="1:12" ht="14.25" thickBot="1" x14ac:dyDescent="0.2">
      <c r="B91" s="11" t="s">
        <v>4</v>
      </c>
      <c r="C91" s="29"/>
      <c r="D91" s="30"/>
      <c r="E91" s="31"/>
      <c r="F91" s="54">
        <f t="shared" si="23"/>
        <v>0</v>
      </c>
      <c r="G91" s="29"/>
      <c r="H91" s="44"/>
      <c r="I91" s="54">
        <f t="shared" si="24"/>
        <v>0</v>
      </c>
      <c r="J91" s="54">
        <f t="shared" si="25"/>
        <v>0</v>
      </c>
      <c r="K91" s="119"/>
      <c r="L91" s="116"/>
    </row>
    <row r="92" spans="1:12" ht="14.25" thickBot="1" x14ac:dyDescent="0.2">
      <c r="B92" s="5" t="s">
        <v>1</v>
      </c>
      <c r="C92" s="32">
        <f>SUM(C86:C91)</f>
        <v>43</v>
      </c>
      <c r="D92" s="33">
        <f t="shared" ref="D92:J92" si="29">SUM(D86:D91)</f>
        <v>44</v>
      </c>
      <c r="E92" s="34">
        <f t="shared" si="29"/>
        <v>47</v>
      </c>
      <c r="F92" s="4">
        <f t="shared" si="29"/>
        <v>134</v>
      </c>
      <c r="G92" s="32">
        <f t="shared" si="29"/>
        <v>61</v>
      </c>
      <c r="H92" s="34">
        <f t="shared" si="29"/>
        <v>48</v>
      </c>
      <c r="I92" s="4">
        <f t="shared" si="29"/>
        <v>109</v>
      </c>
      <c r="J92" s="4">
        <f t="shared" si="29"/>
        <v>243</v>
      </c>
      <c r="K92" s="116"/>
      <c r="L92" s="116"/>
    </row>
    <row r="93" spans="1:12" x14ac:dyDescent="0.15">
      <c r="B93" s="6" t="s">
        <v>32</v>
      </c>
      <c r="C93" s="26"/>
      <c r="D93" s="27"/>
      <c r="E93" s="28"/>
      <c r="F93" s="7">
        <f t="shared" ref="F93:F111" si="30">SUM(C93:E93)</f>
        <v>0</v>
      </c>
      <c r="G93" s="26">
        <v>3</v>
      </c>
      <c r="H93" s="43">
        <v>3</v>
      </c>
      <c r="I93" s="7">
        <f t="shared" ref="I93:I111" si="31">SUM(G93:H93)</f>
        <v>6</v>
      </c>
      <c r="J93" s="7">
        <f t="shared" ref="J93:J111" si="32">+F93+I93</f>
        <v>6</v>
      </c>
      <c r="K93" s="119">
        <v>45135</v>
      </c>
      <c r="L93" s="116"/>
    </row>
    <row r="94" spans="1:12" x14ac:dyDescent="0.15">
      <c r="B94" s="6" t="s">
        <v>16</v>
      </c>
      <c r="C94" s="26"/>
      <c r="D94" s="27">
        <v>1</v>
      </c>
      <c r="E94" s="28"/>
      <c r="F94" s="7">
        <f t="shared" si="30"/>
        <v>1</v>
      </c>
      <c r="G94" s="26"/>
      <c r="H94" s="43"/>
      <c r="I94" s="7">
        <f t="shared" si="31"/>
        <v>0</v>
      </c>
      <c r="J94" s="7">
        <f t="shared" si="32"/>
        <v>1</v>
      </c>
      <c r="K94" s="119">
        <v>45134</v>
      </c>
      <c r="L94" s="116"/>
    </row>
    <row r="95" spans="1:12" x14ac:dyDescent="0.15">
      <c r="B95" s="6" t="s">
        <v>16</v>
      </c>
      <c r="C95" s="26"/>
      <c r="D95" s="27"/>
      <c r="E95" s="28">
        <v>1</v>
      </c>
      <c r="F95" s="7">
        <f t="shared" si="30"/>
        <v>1</v>
      </c>
      <c r="G95" s="26">
        <v>2</v>
      </c>
      <c r="H95" s="43"/>
      <c r="I95" s="7">
        <f t="shared" si="31"/>
        <v>2</v>
      </c>
      <c r="J95" s="7">
        <f t="shared" si="32"/>
        <v>3</v>
      </c>
      <c r="K95" s="119">
        <v>45136</v>
      </c>
      <c r="L95" s="116"/>
    </row>
    <row r="96" spans="1:12" x14ac:dyDescent="0.15">
      <c r="B96" s="6" t="s">
        <v>33</v>
      </c>
      <c r="C96" s="26"/>
      <c r="D96" s="27"/>
      <c r="E96" s="28"/>
      <c r="F96" s="7">
        <f t="shared" si="30"/>
        <v>0</v>
      </c>
      <c r="G96" s="26">
        <v>2</v>
      </c>
      <c r="H96" s="43">
        <v>2</v>
      </c>
      <c r="I96" s="7">
        <f t="shared" si="31"/>
        <v>4</v>
      </c>
      <c r="J96" s="7">
        <f t="shared" si="32"/>
        <v>4</v>
      </c>
      <c r="K96" s="119">
        <v>45139</v>
      </c>
      <c r="L96" s="116"/>
    </row>
    <row r="97" spans="2:12" x14ac:dyDescent="0.15">
      <c r="B97" s="6" t="s">
        <v>16</v>
      </c>
      <c r="C97" s="26">
        <v>2</v>
      </c>
      <c r="D97" s="27">
        <v>2</v>
      </c>
      <c r="E97" s="28">
        <v>4</v>
      </c>
      <c r="F97" s="7">
        <f t="shared" si="30"/>
        <v>8</v>
      </c>
      <c r="G97" s="26">
        <v>2</v>
      </c>
      <c r="H97" s="43">
        <v>1</v>
      </c>
      <c r="I97" s="7">
        <f t="shared" si="31"/>
        <v>3</v>
      </c>
      <c r="J97" s="7">
        <f t="shared" si="32"/>
        <v>11</v>
      </c>
      <c r="K97" s="119">
        <v>45138</v>
      </c>
      <c r="L97" s="116"/>
    </row>
    <row r="98" spans="2:12" x14ac:dyDescent="0.15">
      <c r="B98" s="6" t="s">
        <v>34</v>
      </c>
      <c r="C98" s="26"/>
      <c r="D98" s="27"/>
      <c r="E98" s="28"/>
      <c r="F98" s="7">
        <f t="shared" si="30"/>
        <v>0</v>
      </c>
      <c r="G98" s="26">
        <v>2</v>
      </c>
      <c r="H98" s="43">
        <v>2</v>
      </c>
      <c r="I98" s="7">
        <f t="shared" si="31"/>
        <v>4</v>
      </c>
      <c r="J98" s="7">
        <f t="shared" si="32"/>
        <v>4</v>
      </c>
      <c r="K98" s="119">
        <v>45140</v>
      </c>
      <c r="L98" s="116"/>
    </row>
    <row r="99" spans="2:12" x14ac:dyDescent="0.15">
      <c r="B99" s="6" t="s">
        <v>16</v>
      </c>
      <c r="C99" s="26">
        <v>1</v>
      </c>
      <c r="D99" s="27"/>
      <c r="E99" s="28">
        <v>1</v>
      </c>
      <c r="F99" s="7">
        <f t="shared" si="30"/>
        <v>2</v>
      </c>
      <c r="G99" s="26"/>
      <c r="H99" s="43"/>
      <c r="I99" s="7">
        <f t="shared" si="31"/>
        <v>0</v>
      </c>
      <c r="J99" s="7">
        <f t="shared" si="32"/>
        <v>2</v>
      </c>
      <c r="K99" s="119">
        <v>45140</v>
      </c>
      <c r="L99" s="116"/>
    </row>
    <row r="100" spans="2:12" x14ac:dyDescent="0.15">
      <c r="B100" s="6" t="s">
        <v>16</v>
      </c>
      <c r="C100" s="26">
        <v>2</v>
      </c>
      <c r="D100" s="27">
        <v>1</v>
      </c>
      <c r="E100" s="28">
        <v>2</v>
      </c>
      <c r="F100" s="7">
        <f t="shared" si="30"/>
        <v>5</v>
      </c>
      <c r="G100" s="26">
        <v>1</v>
      </c>
      <c r="H100" s="43"/>
      <c r="I100" s="7">
        <f t="shared" si="31"/>
        <v>1</v>
      </c>
      <c r="J100" s="7">
        <f t="shared" si="32"/>
        <v>6</v>
      </c>
      <c r="K100" s="119">
        <v>45141</v>
      </c>
      <c r="L100" s="116"/>
    </row>
    <row r="101" spans="2:12" x14ac:dyDescent="0.15">
      <c r="B101" s="6" t="s">
        <v>35</v>
      </c>
      <c r="C101" s="26"/>
      <c r="D101" s="27"/>
      <c r="E101" s="28"/>
      <c r="F101" s="7">
        <f t="shared" si="30"/>
        <v>0</v>
      </c>
      <c r="G101" s="26">
        <v>1</v>
      </c>
      <c r="H101" s="43">
        <v>1</v>
      </c>
      <c r="I101" s="7">
        <f t="shared" si="31"/>
        <v>2</v>
      </c>
      <c r="J101" s="7">
        <f t="shared" si="32"/>
        <v>2</v>
      </c>
      <c r="K101" s="119">
        <v>45145</v>
      </c>
      <c r="L101" s="116"/>
    </row>
    <row r="102" spans="2:12" x14ac:dyDescent="0.15">
      <c r="B102" s="6" t="s">
        <v>16</v>
      </c>
      <c r="C102" s="26">
        <v>1</v>
      </c>
      <c r="D102" s="27"/>
      <c r="E102" s="28"/>
      <c r="F102" s="7">
        <f t="shared" si="30"/>
        <v>1</v>
      </c>
      <c r="G102" s="26"/>
      <c r="H102" s="43">
        <v>1</v>
      </c>
      <c r="I102" s="7">
        <f t="shared" si="31"/>
        <v>1</v>
      </c>
      <c r="J102" s="7">
        <f t="shared" si="32"/>
        <v>2</v>
      </c>
      <c r="K102" s="119">
        <v>45142</v>
      </c>
      <c r="L102" s="116"/>
    </row>
    <row r="103" spans="2:12" x14ac:dyDescent="0.15">
      <c r="B103" s="6" t="s">
        <v>16</v>
      </c>
      <c r="C103" s="26"/>
      <c r="D103" s="27"/>
      <c r="E103" s="28">
        <v>1</v>
      </c>
      <c r="F103" s="7">
        <f t="shared" si="30"/>
        <v>1</v>
      </c>
      <c r="G103" s="26">
        <v>1</v>
      </c>
      <c r="H103" s="43"/>
      <c r="I103" s="7">
        <f t="shared" si="31"/>
        <v>1</v>
      </c>
      <c r="J103" s="7">
        <f t="shared" si="32"/>
        <v>2</v>
      </c>
      <c r="K103" s="119">
        <v>45143</v>
      </c>
      <c r="L103" s="116"/>
    </row>
    <row r="104" spans="2:12" x14ac:dyDescent="0.15">
      <c r="B104" s="6" t="s">
        <v>36</v>
      </c>
      <c r="C104" s="26"/>
      <c r="D104" s="27"/>
      <c r="E104" s="28"/>
      <c r="F104" s="7">
        <f t="shared" si="30"/>
        <v>0</v>
      </c>
      <c r="G104" s="26">
        <v>5</v>
      </c>
      <c r="H104" s="43">
        <v>5</v>
      </c>
      <c r="I104" s="7">
        <f t="shared" si="31"/>
        <v>10</v>
      </c>
      <c r="J104" s="7">
        <f t="shared" si="32"/>
        <v>10</v>
      </c>
      <c r="K104" s="119">
        <v>45146</v>
      </c>
      <c r="L104" s="116"/>
    </row>
    <row r="105" spans="2:12" x14ac:dyDescent="0.15">
      <c r="B105" s="6" t="s">
        <v>16</v>
      </c>
      <c r="C105" s="26">
        <f>1+1+1</f>
        <v>3</v>
      </c>
      <c r="D105" s="27">
        <f>1+1</f>
        <v>2</v>
      </c>
      <c r="E105" s="28">
        <v>2</v>
      </c>
      <c r="F105" s="7">
        <f t="shared" si="30"/>
        <v>7</v>
      </c>
      <c r="G105" s="26">
        <v>1</v>
      </c>
      <c r="H105" s="43"/>
      <c r="I105" s="7">
        <f t="shared" si="31"/>
        <v>1</v>
      </c>
      <c r="J105" s="7">
        <f t="shared" si="32"/>
        <v>8</v>
      </c>
      <c r="K105" s="119">
        <v>45145</v>
      </c>
      <c r="L105" s="116"/>
    </row>
    <row r="106" spans="2:12" x14ac:dyDescent="0.15">
      <c r="B106" s="6" t="s">
        <v>37</v>
      </c>
      <c r="C106" s="26"/>
      <c r="D106" s="27"/>
      <c r="E106" s="28"/>
      <c r="F106" s="7">
        <f t="shared" si="30"/>
        <v>0</v>
      </c>
      <c r="G106" s="26">
        <v>1</v>
      </c>
      <c r="H106" s="43">
        <v>1</v>
      </c>
      <c r="I106" s="7">
        <f t="shared" si="31"/>
        <v>2</v>
      </c>
      <c r="J106" s="7">
        <f t="shared" si="32"/>
        <v>2</v>
      </c>
      <c r="K106" s="119">
        <v>45147</v>
      </c>
      <c r="L106" s="116"/>
    </row>
    <row r="107" spans="2:12" x14ac:dyDescent="0.15">
      <c r="B107" s="6" t="s">
        <v>16</v>
      </c>
      <c r="C107" s="26"/>
      <c r="D107" s="27"/>
      <c r="E107" s="28">
        <v>1</v>
      </c>
      <c r="F107" s="7">
        <f t="shared" si="30"/>
        <v>1</v>
      </c>
      <c r="G107" s="26">
        <v>1</v>
      </c>
      <c r="H107" s="43">
        <v>2</v>
      </c>
      <c r="I107" s="7">
        <f t="shared" si="31"/>
        <v>3</v>
      </c>
      <c r="J107" s="7">
        <f t="shared" si="32"/>
        <v>4</v>
      </c>
      <c r="K107" s="119">
        <v>45147</v>
      </c>
      <c r="L107" s="116"/>
    </row>
    <row r="108" spans="2:12" x14ac:dyDescent="0.15">
      <c r="B108" s="6" t="s">
        <v>16</v>
      </c>
      <c r="C108" s="26">
        <v>1</v>
      </c>
      <c r="D108" s="27"/>
      <c r="E108" s="28"/>
      <c r="F108" s="7">
        <f t="shared" si="30"/>
        <v>1</v>
      </c>
      <c r="G108" s="26"/>
      <c r="H108" s="43"/>
      <c r="I108" s="7">
        <f t="shared" si="31"/>
        <v>0</v>
      </c>
      <c r="J108" s="7">
        <f t="shared" si="32"/>
        <v>1</v>
      </c>
      <c r="K108" s="119">
        <v>45148</v>
      </c>
      <c r="L108" s="116"/>
    </row>
    <row r="109" spans="2:12" x14ac:dyDescent="0.15">
      <c r="B109" s="6" t="s">
        <v>16</v>
      </c>
      <c r="C109" s="26"/>
      <c r="D109" s="27">
        <v>1</v>
      </c>
      <c r="E109" s="28"/>
      <c r="F109" s="7">
        <f t="shared" si="30"/>
        <v>1</v>
      </c>
      <c r="G109" s="26">
        <v>1</v>
      </c>
      <c r="H109" s="43"/>
      <c r="I109" s="7">
        <f t="shared" si="31"/>
        <v>1</v>
      </c>
      <c r="J109" s="7">
        <f t="shared" si="32"/>
        <v>2</v>
      </c>
      <c r="K109" s="119">
        <v>45149</v>
      </c>
      <c r="L109" s="116"/>
    </row>
    <row r="110" spans="2:12" x14ac:dyDescent="0.15">
      <c r="B110" s="6" t="s">
        <v>16</v>
      </c>
      <c r="C110" s="26">
        <v>1</v>
      </c>
      <c r="D110" s="27"/>
      <c r="E110" s="28">
        <f>3+1</f>
        <v>4</v>
      </c>
      <c r="F110" s="7">
        <f t="shared" si="30"/>
        <v>5</v>
      </c>
      <c r="G110" s="26">
        <v>2</v>
      </c>
      <c r="H110" s="43">
        <v>1</v>
      </c>
      <c r="I110" s="7">
        <f t="shared" si="31"/>
        <v>3</v>
      </c>
      <c r="J110" s="7">
        <f t="shared" si="32"/>
        <v>8</v>
      </c>
      <c r="K110" s="119">
        <v>45154</v>
      </c>
      <c r="L110" s="116"/>
    </row>
    <row r="111" spans="2:12" x14ac:dyDescent="0.15">
      <c r="B111" s="6" t="s">
        <v>39</v>
      </c>
      <c r="C111" s="26"/>
      <c r="D111" s="27"/>
      <c r="E111" s="28"/>
      <c r="F111" s="7">
        <f t="shared" si="30"/>
        <v>0</v>
      </c>
      <c r="G111" s="26">
        <v>4</v>
      </c>
      <c r="H111" s="43">
        <v>4</v>
      </c>
      <c r="I111" s="7">
        <f t="shared" si="31"/>
        <v>8</v>
      </c>
      <c r="J111" s="7">
        <f t="shared" si="32"/>
        <v>8</v>
      </c>
      <c r="K111" s="119">
        <v>45156</v>
      </c>
      <c r="L111" s="116"/>
    </row>
    <row r="112" spans="2:12" x14ac:dyDescent="0.15">
      <c r="B112" s="6" t="s">
        <v>40</v>
      </c>
      <c r="C112" s="26"/>
      <c r="D112" s="27"/>
      <c r="E112" s="28"/>
      <c r="F112" s="7">
        <f t="shared" ref="F112:F114" si="33">SUM(C112:E112)</f>
        <v>0</v>
      </c>
      <c r="G112" s="26">
        <v>1</v>
      </c>
      <c r="H112" s="43">
        <v>1</v>
      </c>
      <c r="I112" s="7">
        <f t="shared" ref="I112:I114" si="34">SUM(G112:H112)</f>
        <v>2</v>
      </c>
      <c r="J112" s="7">
        <f t="shared" ref="J112:J114" si="35">+F112+I112</f>
        <v>2</v>
      </c>
      <c r="K112" s="119">
        <v>45159</v>
      </c>
      <c r="L112" s="116"/>
    </row>
    <row r="113" spans="1:12" x14ac:dyDescent="0.15">
      <c r="B113" s="6" t="s">
        <v>16</v>
      </c>
      <c r="C113" s="26">
        <v>2</v>
      </c>
      <c r="D113" s="27"/>
      <c r="E113" s="28"/>
      <c r="F113" s="7">
        <f t="shared" si="33"/>
        <v>2</v>
      </c>
      <c r="G113" s="26"/>
      <c r="H113" s="43">
        <v>1</v>
      </c>
      <c r="I113" s="7">
        <f t="shared" si="34"/>
        <v>1</v>
      </c>
      <c r="J113" s="7">
        <f t="shared" si="35"/>
        <v>3</v>
      </c>
      <c r="K113" s="119">
        <v>45157</v>
      </c>
      <c r="L113" s="116"/>
    </row>
    <row r="114" spans="1:12" x14ac:dyDescent="0.15">
      <c r="B114" s="6" t="s">
        <v>41</v>
      </c>
      <c r="C114" s="26"/>
      <c r="D114" s="27"/>
      <c r="E114" s="28"/>
      <c r="F114" s="7">
        <f t="shared" si="33"/>
        <v>0</v>
      </c>
      <c r="G114" s="26">
        <v>1</v>
      </c>
      <c r="H114" s="43">
        <v>1</v>
      </c>
      <c r="I114" s="7">
        <f t="shared" si="34"/>
        <v>2</v>
      </c>
      <c r="J114" s="7">
        <f t="shared" si="35"/>
        <v>2</v>
      </c>
      <c r="K114" s="119">
        <v>45160</v>
      </c>
      <c r="L114" s="116"/>
    </row>
    <row r="115" spans="1:12" x14ac:dyDescent="0.15">
      <c r="B115" s="6" t="s">
        <v>16</v>
      </c>
      <c r="C115" s="26">
        <v>1</v>
      </c>
      <c r="D115" s="27">
        <v>1</v>
      </c>
      <c r="E115" s="28">
        <f>1+1</f>
        <v>2</v>
      </c>
      <c r="F115" s="7">
        <f t="shared" ref="F115:F117" si="36">SUM(C115:E115)</f>
        <v>4</v>
      </c>
      <c r="G115" s="26">
        <f>2+2</f>
        <v>4</v>
      </c>
      <c r="H115" s="43">
        <v>3</v>
      </c>
      <c r="I115" s="7">
        <f t="shared" ref="I115:I117" si="37">SUM(G115:H115)</f>
        <v>7</v>
      </c>
      <c r="J115" s="7">
        <f t="shared" ref="J115:J117" si="38">+F115+I115</f>
        <v>11</v>
      </c>
      <c r="K115" s="119">
        <v>45159</v>
      </c>
      <c r="L115" s="116"/>
    </row>
    <row r="116" spans="1:12" x14ac:dyDescent="0.15">
      <c r="B116" s="6" t="s">
        <v>16</v>
      </c>
      <c r="C116" s="26"/>
      <c r="D116" s="27"/>
      <c r="E116" s="28"/>
      <c r="F116" s="7">
        <f t="shared" si="36"/>
        <v>0</v>
      </c>
      <c r="G116" s="26">
        <v>2</v>
      </c>
      <c r="H116" s="43">
        <v>1</v>
      </c>
      <c r="I116" s="7">
        <f t="shared" si="37"/>
        <v>3</v>
      </c>
      <c r="J116" s="7">
        <f t="shared" si="38"/>
        <v>3</v>
      </c>
      <c r="K116" s="119">
        <v>45160</v>
      </c>
      <c r="L116" s="116"/>
    </row>
    <row r="117" spans="1:12" ht="14.25" thickBot="1" x14ac:dyDescent="0.2">
      <c r="B117" s="6" t="s">
        <v>16</v>
      </c>
      <c r="C117" s="26">
        <v>1</v>
      </c>
      <c r="D117" s="27">
        <v>1</v>
      </c>
      <c r="E117" s="28">
        <v>1</v>
      </c>
      <c r="F117" s="7">
        <f t="shared" si="36"/>
        <v>3</v>
      </c>
      <c r="G117" s="26"/>
      <c r="H117" s="43">
        <v>1</v>
      </c>
      <c r="I117" s="7">
        <f t="shared" si="37"/>
        <v>1</v>
      </c>
      <c r="J117" s="7">
        <f t="shared" si="38"/>
        <v>4</v>
      </c>
      <c r="K117" s="119">
        <v>45161</v>
      </c>
      <c r="L117" s="116"/>
    </row>
    <row r="118" spans="1:12" ht="14.25" thickBot="1" x14ac:dyDescent="0.2">
      <c r="B118" s="5" t="s">
        <v>2</v>
      </c>
      <c r="C118" s="32">
        <f>SUM(C93:C117)</f>
        <v>15</v>
      </c>
      <c r="D118" s="33">
        <f t="shared" ref="D118:J118" si="39">SUM(D93:D117)</f>
        <v>9</v>
      </c>
      <c r="E118" s="34">
        <f t="shared" si="39"/>
        <v>19</v>
      </c>
      <c r="F118" s="4">
        <f t="shared" si="39"/>
        <v>43</v>
      </c>
      <c r="G118" s="32">
        <f t="shared" si="39"/>
        <v>37</v>
      </c>
      <c r="H118" s="34">
        <f t="shared" si="39"/>
        <v>31</v>
      </c>
      <c r="I118" s="4">
        <f t="shared" si="39"/>
        <v>68</v>
      </c>
      <c r="J118" s="4">
        <f t="shared" si="39"/>
        <v>111</v>
      </c>
      <c r="K118" s="116"/>
      <c r="L118" s="116"/>
    </row>
    <row r="119" spans="1:12" ht="14.25" thickBot="1" x14ac:dyDescent="0.2">
      <c r="B119" s="3" t="s">
        <v>3</v>
      </c>
      <c r="C119" s="38">
        <f>+C92-C118</f>
        <v>28</v>
      </c>
      <c r="D119" s="39">
        <f t="shared" ref="D119:F119" si="40">+D92-D118</f>
        <v>35</v>
      </c>
      <c r="E119" s="40">
        <f t="shared" si="40"/>
        <v>28</v>
      </c>
      <c r="F119" s="2">
        <f t="shared" si="40"/>
        <v>91</v>
      </c>
      <c r="G119" s="38">
        <f>+G92-G118</f>
        <v>24</v>
      </c>
      <c r="H119" s="40">
        <f t="shared" ref="H119:J119" si="41">+H92-H118</f>
        <v>17</v>
      </c>
      <c r="I119" s="2">
        <f t="shared" si="41"/>
        <v>41</v>
      </c>
      <c r="J119" s="2">
        <f t="shared" si="41"/>
        <v>132</v>
      </c>
      <c r="K119" s="116"/>
      <c r="L119" s="116"/>
    </row>
    <row r="120" spans="1:12" x14ac:dyDescent="0.15">
      <c r="K120" s="116"/>
      <c r="L120" s="116"/>
    </row>
    <row r="121" spans="1:12" ht="18.75" x14ac:dyDescent="0.2">
      <c r="B121" s="17" t="s">
        <v>7</v>
      </c>
      <c r="C121" s="18"/>
      <c r="D121" s="18"/>
      <c r="E121" s="18"/>
      <c r="F121" s="18"/>
      <c r="G121" s="18"/>
      <c r="H121" s="18"/>
      <c r="I121" s="18"/>
      <c r="J121" s="18"/>
      <c r="K121" s="116"/>
      <c r="L121" s="116"/>
    </row>
    <row r="122" spans="1:12" ht="17.25" x14ac:dyDescent="0.2">
      <c r="B122" s="19" t="s">
        <v>14</v>
      </c>
      <c r="C122" s="18"/>
      <c r="D122" s="18"/>
      <c r="E122" s="18"/>
      <c r="F122" s="18"/>
      <c r="G122" s="18"/>
      <c r="H122" s="18"/>
      <c r="I122" s="18"/>
      <c r="J122" s="18"/>
      <c r="K122" s="116"/>
      <c r="L122" s="116"/>
    </row>
    <row r="123" spans="1:12" ht="14.25" thickBot="1" x14ac:dyDescent="0.2">
      <c r="K123" s="116"/>
      <c r="L123" s="116"/>
    </row>
    <row r="124" spans="1:12" ht="14.25" thickBot="1" x14ac:dyDescent="0.2">
      <c r="B124" s="15"/>
      <c r="C124" s="211" t="s">
        <v>8</v>
      </c>
      <c r="D124" s="212"/>
      <c r="E124" s="212"/>
      <c r="F124" s="213"/>
      <c r="G124" s="211" t="s">
        <v>11</v>
      </c>
      <c r="H124" s="212"/>
      <c r="I124" s="213"/>
      <c r="J124" s="16"/>
      <c r="K124" s="116"/>
      <c r="L124" s="116"/>
    </row>
    <row r="125" spans="1:12" ht="14.25" thickBot="1" x14ac:dyDescent="0.2">
      <c r="A125" s="1"/>
      <c r="B125" s="14"/>
      <c r="C125" s="20" t="s">
        <v>6</v>
      </c>
      <c r="D125" s="21" t="s">
        <v>9</v>
      </c>
      <c r="E125" s="22" t="s">
        <v>10</v>
      </c>
      <c r="F125" s="13" t="s">
        <v>0</v>
      </c>
      <c r="G125" s="41" t="s">
        <v>9</v>
      </c>
      <c r="H125" s="42" t="s">
        <v>13</v>
      </c>
      <c r="I125" s="13" t="s">
        <v>0</v>
      </c>
      <c r="J125" s="13" t="s">
        <v>0</v>
      </c>
      <c r="K125" s="116"/>
      <c r="L125" s="116"/>
    </row>
    <row r="126" spans="1:12" x14ac:dyDescent="0.15">
      <c r="B126" s="46" t="s">
        <v>3</v>
      </c>
      <c r="C126" s="47">
        <f>C119</f>
        <v>28</v>
      </c>
      <c r="D126" s="50">
        <f t="shared" ref="D126:J126" si="42">D119</f>
        <v>35</v>
      </c>
      <c r="E126" s="48">
        <f t="shared" si="42"/>
        <v>28</v>
      </c>
      <c r="F126" s="49">
        <f t="shared" si="42"/>
        <v>91</v>
      </c>
      <c r="G126" s="47">
        <f t="shared" si="42"/>
        <v>24</v>
      </c>
      <c r="H126" s="48">
        <f t="shared" si="42"/>
        <v>17</v>
      </c>
      <c r="I126" s="49">
        <f t="shared" si="42"/>
        <v>41</v>
      </c>
      <c r="J126" s="49">
        <f t="shared" si="42"/>
        <v>132</v>
      </c>
      <c r="K126" s="116"/>
      <c r="L126" s="116"/>
    </row>
    <row r="127" spans="1:12" x14ac:dyDescent="0.15">
      <c r="B127" s="12" t="s">
        <v>18</v>
      </c>
      <c r="C127" s="26"/>
      <c r="D127" s="27"/>
      <c r="E127" s="28"/>
      <c r="F127" s="8">
        <f>SUM(C127:E127)</f>
        <v>0</v>
      </c>
      <c r="G127" s="26">
        <v>1</v>
      </c>
      <c r="H127" s="43">
        <v>1</v>
      </c>
      <c r="I127" s="8">
        <f>SUM(G127:H127)</f>
        <v>2</v>
      </c>
      <c r="J127" s="8">
        <f>+F127+I127</f>
        <v>2</v>
      </c>
      <c r="K127" s="119">
        <v>45359</v>
      </c>
      <c r="L127" s="116"/>
    </row>
    <row r="128" spans="1:12" x14ac:dyDescent="0.15">
      <c r="B128" s="12" t="s">
        <v>4</v>
      </c>
      <c r="C128" s="26"/>
      <c r="D128" s="27"/>
      <c r="E128" s="28"/>
      <c r="F128" s="8">
        <f>SUM(C128:E128)</f>
        <v>0</v>
      </c>
      <c r="G128" s="26"/>
      <c r="H128" s="43"/>
      <c r="I128" s="8">
        <f>SUM(G128:H128)</f>
        <v>0</v>
      </c>
      <c r="J128" s="8">
        <f>+F128+I128</f>
        <v>0</v>
      </c>
      <c r="K128" s="116"/>
      <c r="L128" s="116"/>
    </row>
    <row r="129" spans="2:12" x14ac:dyDescent="0.15">
      <c r="B129" s="12" t="s">
        <v>4</v>
      </c>
      <c r="C129" s="26"/>
      <c r="D129" s="27"/>
      <c r="E129" s="28"/>
      <c r="F129" s="8">
        <f t="shared" ref="F129:F131" si="43">SUM(C129:E129)</f>
        <v>0</v>
      </c>
      <c r="G129" s="26"/>
      <c r="H129" s="43"/>
      <c r="I129" s="8">
        <f t="shared" ref="I129:I131" si="44">SUM(G129:H129)</f>
        <v>0</v>
      </c>
      <c r="J129" s="8">
        <f t="shared" ref="J129:J131" si="45">+F129+I129</f>
        <v>0</v>
      </c>
      <c r="K129" s="116"/>
      <c r="L129" s="116"/>
    </row>
    <row r="130" spans="2:12" x14ac:dyDescent="0.15">
      <c r="B130" s="12" t="s">
        <v>4</v>
      </c>
      <c r="C130" s="26"/>
      <c r="D130" s="27"/>
      <c r="E130" s="28"/>
      <c r="F130" s="8">
        <f t="shared" ref="F130" si="46">SUM(C130:E130)</f>
        <v>0</v>
      </c>
      <c r="G130" s="26"/>
      <c r="H130" s="43"/>
      <c r="I130" s="8">
        <f t="shared" ref="I130" si="47">SUM(G130:H130)</f>
        <v>0</v>
      </c>
      <c r="J130" s="8">
        <f t="shared" ref="J130" si="48">+F130+I130</f>
        <v>0</v>
      </c>
      <c r="K130" s="116"/>
      <c r="L130" s="116"/>
    </row>
    <row r="131" spans="2:12" ht="14.25" thickBot="1" x14ac:dyDescent="0.2">
      <c r="B131" s="11" t="s">
        <v>4</v>
      </c>
      <c r="C131" s="29"/>
      <c r="D131" s="30"/>
      <c r="E131" s="31"/>
      <c r="F131" s="54">
        <f t="shared" si="43"/>
        <v>0</v>
      </c>
      <c r="G131" s="29"/>
      <c r="H131" s="44"/>
      <c r="I131" s="54">
        <f t="shared" si="44"/>
        <v>0</v>
      </c>
      <c r="J131" s="54">
        <f t="shared" si="45"/>
        <v>0</v>
      </c>
      <c r="K131" s="116"/>
      <c r="L131" s="116"/>
    </row>
    <row r="132" spans="2:12" ht="14.25" thickBot="1" x14ac:dyDescent="0.2">
      <c r="B132" s="5" t="s">
        <v>1</v>
      </c>
      <c r="C132" s="32">
        <f>SUM(C126:C131)</f>
        <v>28</v>
      </c>
      <c r="D132" s="33">
        <f t="shared" ref="D132:J132" si="49">SUM(D126:D131)</f>
        <v>35</v>
      </c>
      <c r="E132" s="34">
        <f t="shared" si="49"/>
        <v>28</v>
      </c>
      <c r="F132" s="4">
        <f t="shared" si="49"/>
        <v>91</v>
      </c>
      <c r="G132" s="32">
        <f t="shared" si="49"/>
        <v>25</v>
      </c>
      <c r="H132" s="34">
        <f t="shared" si="49"/>
        <v>18</v>
      </c>
      <c r="I132" s="4">
        <f t="shared" si="49"/>
        <v>43</v>
      </c>
      <c r="J132" s="4">
        <f t="shared" si="49"/>
        <v>134</v>
      </c>
      <c r="K132" s="116"/>
      <c r="L132" s="116"/>
    </row>
    <row r="133" spans="2:12" x14ac:dyDescent="0.15">
      <c r="B133" s="6" t="s">
        <v>43</v>
      </c>
      <c r="C133" s="26"/>
      <c r="D133" s="27"/>
      <c r="E133" s="28"/>
      <c r="F133" s="7">
        <f t="shared" ref="F133:F155" si="50">SUM(C133:E133)</f>
        <v>0</v>
      </c>
      <c r="G133" s="26">
        <v>1</v>
      </c>
      <c r="H133" s="43">
        <v>1</v>
      </c>
      <c r="I133" s="7">
        <f t="shared" ref="I133:I155" si="51">SUM(G133:H133)</f>
        <v>2</v>
      </c>
      <c r="J133" s="7">
        <f t="shared" ref="J133:J155" si="52">+F133+I133</f>
        <v>2</v>
      </c>
      <c r="K133" s="119">
        <v>45163</v>
      </c>
      <c r="L133" s="116"/>
    </row>
    <row r="134" spans="2:12" x14ac:dyDescent="0.15">
      <c r="B134" s="6" t="s">
        <v>44</v>
      </c>
      <c r="C134" s="26"/>
      <c r="D134" s="27"/>
      <c r="E134" s="28"/>
      <c r="F134" s="7">
        <f t="shared" si="50"/>
        <v>0</v>
      </c>
      <c r="G134" s="26">
        <v>1</v>
      </c>
      <c r="H134" s="43">
        <v>1</v>
      </c>
      <c r="I134" s="7">
        <f t="shared" si="51"/>
        <v>2</v>
      </c>
      <c r="J134" s="7">
        <f t="shared" si="52"/>
        <v>2</v>
      </c>
      <c r="K134" s="119">
        <v>45166</v>
      </c>
      <c r="L134" s="116"/>
    </row>
    <row r="135" spans="2:12" x14ac:dyDescent="0.15">
      <c r="B135" s="6" t="s">
        <v>16</v>
      </c>
      <c r="C135" s="26"/>
      <c r="D135" s="27">
        <v>1</v>
      </c>
      <c r="E135" s="28">
        <v>1</v>
      </c>
      <c r="F135" s="7">
        <f t="shared" si="50"/>
        <v>2</v>
      </c>
      <c r="G135" s="26"/>
      <c r="H135" s="43"/>
      <c r="I135" s="7">
        <f t="shared" si="51"/>
        <v>0</v>
      </c>
      <c r="J135" s="7">
        <f t="shared" si="52"/>
        <v>2</v>
      </c>
      <c r="K135" s="119">
        <v>45163</v>
      </c>
      <c r="L135" s="116"/>
    </row>
    <row r="136" spans="2:12" x14ac:dyDescent="0.15">
      <c r="B136" s="6" t="s">
        <v>16</v>
      </c>
      <c r="C136" s="26">
        <v>1</v>
      </c>
      <c r="D136" s="27"/>
      <c r="E136" s="28">
        <v>2</v>
      </c>
      <c r="F136" s="7">
        <f t="shared" si="50"/>
        <v>3</v>
      </c>
      <c r="G136" s="26">
        <v>2</v>
      </c>
      <c r="H136" s="43"/>
      <c r="I136" s="7">
        <f t="shared" si="51"/>
        <v>2</v>
      </c>
      <c r="J136" s="7">
        <f t="shared" si="52"/>
        <v>5</v>
      </c>
      <c r="K136" s="119">
        <v>45166</v>
      </c>
      <c r="L136" s="116"/>
    </row>
    <row r="137" spans="2:12" x14ac:dyDescent="0.15">
      <c r="B137" s="6" t="s">
        <v>45</v>
      </c>
      <c r="C137" s="26"/>
      <c r="D137" s="27"/>
      <c r="E137" s="28"/>
      <c r="F137" s="7">
        <f t="shared" si="50"/>
        <v>0</v>
      </c>
      <c r="G137" s="26">
        <v>1</v>
      </c>
      <c r="H137" s="43">
        <v>1</v>
      </c>
      <c r="I137" s="7">
        <f t="shared" si="51"/>
        <v>2</v>
      </c>
      <c r="J137" s="7">
        <f t="shared" si="52"/>
        <v>2</v>
      </c>
      <c r="K137" s="119">
        <v>45168</v>
      </c>
      <c r="L137" s="116"/>
    </row>
    <row r="138" spans="2:12" x14ac:dyDescent="0.15">
      <c r="B138" s="6" t="s">
        <v>46</v>
      </c>
      <c r="C138" s="26"/>
      <c r="D138" s="27"/>
      <c r="E138" s="28"/>
      <c r="F138" s="7">
        <f t="shared" si="50"/>
        <v>0</v>
      </c>
      <c r="G138" s="26">
        <v>1</v>
      </c>
      <c r="H138" s="43">
        <v>1</v>
      </c>
      <c r="I138" s="7">
        <f t="shared" si="51"/>
        <v>2</v>
      </c>
      <c r="J138" s="7">
        <f t="shared" si="52"/>
        <v>2</v>
      </c>
      <c r="K138" s="119">
        <v>45170</v>
      </c>
      <c r="L138" s="116"/>
    </row>
    <row r="139" spans="2:12" x14ac:dyDescent="0.15">
      <c r="B139" s="6" t="s">
        <v>47</v>
      </c>
      <c r="C139" s="26"/>
      <c r="D139" s="27"/>
      <c r="E139" s="28"/>
      <c r="F139" s="7">
        <f t="shared" si="50"/>
        <v>0</v>
      </c>
      <c r="G139" s="26">
        <v>1</v>
      </c>
      <c r="H139" s="43">
        <v>1</v>
      </c>
      <c r="I139" s="7">
        <f t="shared" si="51"/>
        <v>2</v>
      </c>
      <c r="J139" s="7">
        <f t="shared" si="52"/>
        <v>2</v>
      </c>
      <c r="K139" s="119">
        <v>45173</v>
      </c>
      <c r="L139" s="116"/>
    </row>
    <row r="140" spans="2:12" x14ac:dyDescent="0.15">
      <c r="B140" s="6" t="s">
        <v>16</v>
      </c>
      <c r="C140" s="26"/>
      <c r="D140" s="27"/>
      <c r="E140" s="28">
        <v>1</v>
      </c>
      <c r="F140" s="7">
        <f t="shared" si="50"/>
        <v>1</v>
      </c>
      <c r="G140" s="26">
        <v>1</v>
      </c>
      <c r="H140" s="43"/>
      <c r="I140" s="7">
        <f t="shared" si="51"/>
        <v>1</v>
      </c>
      <c r="J140" s="7">
        <f t="shared" si="52"/>
        <v>2</v>
      </c>
      <c r="K140" s="119">
        <v>45171</v>
      </c>
      <c r="L140" s="116"/>
    </row>
    <row r="141" spans="2:12" x14ac:dyDescent="0.15">
      <c r="B141" s="6" t="s">
        <v>16</v>
      </c>
      <c r="C141" s="26"/>
      <c r="D141" s="27">
        <v>1</v>
      </c>
      <c r="E141" s="28"/>
      <c r="F141" s="7">
        <f t="shared" si="50"/>
        <v>1</v>
      </c>
      <c r="G141" s="26"/>
      <c r="H141" s="43"/>
      <c r="I141" s="7">
        <f t="shared" si="51"/>
        <v>0</v>
      </c>
      <c r="J141" s="7">
        <f t="shared" si="52"/>
        <v>1</v>
      </c>
      <c r="K141" s="119">
        <v>45173</v>
      </c>
      <c r="L141" s="116"/>
    </row>
    <row r="142" spans="2:12" x14ac:dyDescent="0.15">
      <c r="B142" s="6" t="s">
        <v>16</v>
      </c>
      <c r="C142" s="26">
        <v>1</v>
      </c>
      <c r="D142" s="27"/>
      <c r="E142" s="28"/>
      <c r="F142" s="7">
        <f t="shared" si="50"/>
        <v>1</v>
      </c>
      <c r="G142" s="26"/>
      <c r="H142" s="43"/>
      <c r="I142" s="7">
        <f t="shared" si="51"/>
        <v>0</v>
      </c>
      <c r="J142" s="7">
        <f t="shared" si="52"/>
        <v>1</v>
      </c>
      <c r="K142" s="119">
        <v>45177</v>
      </c>
      <c r="L142" s="116"/>
    </row>
    <row r="143" spans="2:12" x14ac:dyDescent="0.15">
      <c r="B143" s="6" t="s">
        <v>16</v>
      </c>
      <c r="C143" s="26"/>
      <c r="D143" s="27"/>
      <c r="E143" s="28">
        <v>1</v>
      </c>
      <c r="F143" s="7">
        <f t="shared" si="50"/>
        <v>1</v>
      </c>
      <c r="G143" s="26"/>
      <c r="H143" s="43"/>
      <c r="I143" s="7">
        <f t="shared" si="51"/>
        <v>0</v>
      </c>
      <c r="J143" s="7">
        <f t="shared" si="52"/>
        <v>1</v>
      </c>
      <c r="K143" s="119">
        <v>45181</v>
      </c>
      <c r="L143" s="116"/>
    </row>
    <row r="144" spans="2:12" x14ac:dyDescent="0.15">
      <c r="B144" s="6" t="s">
        <v>16</v>
      </c>
      <c r="C144" s="26">
        <v>1</v>
      </c>
      <c r="D144" s="27">
        <v>1</v>
      </c>
      <c r="E144" s="28"/>
      <c r="F144" s="7">
        <f t="shared" si="50"/>
        <v>2</v>
      </c>
      <c r="G144" s="26">
        <v>1</v>
      </c>
      <c r="H144" s="43"/>
      <c r="I144" s="7">
        <f t="shared" si="51"/>
        <v>1</v>
      </c>
      <c r="J144" s="7">
        <f t="shared" si="52"/>
        <v>3</v>
      </c>
      <c r="K144" s="119">
        <v>45184</v>
      </c>
      <c r="L144" s="116"/>
    </row>
    <row r="145" spans="2:12" x14ac:dyDescent="0.15">
      <c r="B145" s="6" t="s">
        <v>16</v>
      </c>
      <c r="C145" s="26"/>
      <c r="D145" s="27"/>
      <c r="E145" s="28">
        <v>1</v>
      </c>
      <c r="F145" s="7">
        <f t="shared" si="50"/>
        <v>1</v>
      </c>
      <c r="G145" s="26"/>
      <c r="H145" s="43"/>
      <c r="I145" s="7">
        <f t="shared" si="51"/>
        <v>0</v>
      </c>
      <c r="J145" s="7">
        <f t="shared" si="52"/>
        <v>1</v>
      </c>
      <c r="K145" s="119">
        <v>45188</v>
      </c>
      <c r="L145" s="116"/>
    </row>
    <row r="146" spans="2:12" x14ac:dyDescent="0.15">
      <c r="B146" s="6" t="s">
        <v>48</v>
      </c>
      <c r="C146" s="26"/>
      <c r="D146" s="27"/>
      <c r="E146" s="28"/>
      <c r="F146" s="7">
        <f t="shared" si="50"/>
        <v>0</v>
      </c>
      <c r="G146" s="26">
        <v>4</v>
      </c>
      <c r="H146" s="43">
        <v>4</v>
      </c>
      <c r="I146" s="7">
        <f t="shared" si="51"/>
        <v>8</v>
      </c>
      <c r="J146" s="7">
        <f t="shared" si="52"/>
        <v>8</v>
      </c>
      <c r="K146" s="119">
        <v>45190</v>
      </c>
      <c r="L146" s="116"/>
    </row>
    <row r="147" spans="2:12" x14ac:dyDescent="0.15">
      <c r="B147" s="6" t="s">
        <v>16</v>
      </c>
      <c r="C147" s="26"/>
      <c r="D147" s="27">
        <v>1</v>
      </c>
      <c r="E147" s="28"/>
      <c r="F147" s="7">
        <f t="shared" si="50"/>
        <v>1</v>
      </c>
      <c r="G147" s="26"/>
      <c r="H147" s="43"/>
      <c r="I147" s="7">
        <f t="shared" si="51"/>
        <v>0</v>
      </c>
      <c r="J147" s="7">
        <f t="shared" si="52"/>
        <v>1</v>
      </c>
      <c r="K147" s="119">
        <v>45196</v>
      </c>
      <c r="L147" s="116"/>
    </row>
    <row r="148" spans="2:12" x14ac:dyDescent="0.15">
      <c r="B148" s="6" t="s">
        <v>16</v>
      </c>
      <c r="C148" s="26"/>
      <c r="D148" s="27"/>
      <c r="E148" s="28"/>
      <c r="F148" s="7">
        <f t="shared" si="50"/>
        <v>0</v>
      </c>
      <c r="G148" s="26"/>
      <c r="H148" s="43">
        <v>1</v>
      </c>
      <c r="I148" s="7">
        <f t="shared" si="51"/>
        <v>1</v>
      </c>
      <c r="J148" s="7">
        <f t="shared" si="52"/>
        <v>1</v>
      </c>
      <c r="K148" s="119">
        <v>45202</v>
      </c>
      <c r="L148" s="116"/>
    </row>
    <row r="149" spans="2:12" x14ac:dyDescent="0.15">
      <c r="B149" s="6" t="s">
        <v>16</v>
      </c>
      <c r="C149" s="26"/>
      <c r="D149" s="27"/>
      <c r="E149" s="28"/>
      <c r="F149" s="7">
        <f t="shared" si="50"/>
        <v>0</v>
      </c>
      <c r="G149" s="26">
        <v>1</v>
      </c>
      <c r="H149" s="43"/>
      <c r="I149" s="7">
        <f t="shared" si="51"/>
        <v>1</v>
      </c>
      <c r="J149" s="7">
        <f t="shared" si="52"/>
        <v>1</v>
      </c>
      <c r="K149" s="119">
        <v>45205</v>
      </c>
      <c r="L149" s="116"/>
    </row>
    <row r="150" spans="2:12" x14ac:dyDescent="0.15">
      <c r="B150" s="6" t="s">
        <v>16</v>
      </c>
      <c r="C150" s="26">
        <v>1</v>
      </c>
      <c r="D150" s="27"/>
      <c r="E150" s="28"/>
      <c r="F150" s="7">
        <f t="shared" si="50"/>
        <v>1</v>
      </c>
      <c r="G150" s="26"/>
      <c r="H150" s="43"/>
      <c r="I150" s="7">
        <f t="shared" si="51"/>
        <v>0</v>
      </c>
      <c r="J150" s="7">
        <f t="shared" si="52"/>
        <v>1</v>
      </c>
      <c r="K150" s="119">
        <v>45356</v>
      </c>
      <c r="L150" s="116"/>
    </row>
    <row r="151" spans="2:12" x14ac:dyDescent="0.15">
      <c r="B151" s="6" t="s">
        <v>16</v>
      </c>
      <c r="C151" s="26">
        <v>1</v>
      </c>
      <c r="D151" s="27"/>
      <c r="E151" s="28"/>
      <c r="F151" s="7">
        <f t="shared" si="50"/>
        <v>1</v>
      </c>
      <c r="G151" s="26"/>
      <c r="H151" s="43"/>
      <c r="I151" s="7">
        <f t="shared" si="51"/>
        <v>0</v>
      </c>
      <c r="J151" s="7">
        <f t="shared" si="52"/>
        <v>1</v>
      </c>
      <c r="K151" s="119">
        <v>45370</v>
      </c>
      <c r="L151" s="116"/>
    </row>
    <row r="152" spans="2:12" x14ac:dyDescent="0.15">
      <c r="B152" s="6" t="s">
        <v>16</v>
      </c>
      <c r="C152" s="26"/>
      <c r="D152" s="27">
        <v>1</v>
      </c>
      <c r="E152" s="28"/>
      <c r="F152" s="7">
        <f t="shared" si="50"/>
        <v>1</v>
      </c>
      <c r="G152" s="26">
        <v>1</v>
      </c>
      <c r="H152" s="43"/>
      <c r="I152" s="7">
        <f t="shared" si="51"/>
        <v>1</v>
      </c>
      <c r="J152" s="7">
        <f t="shared" si="52"/>
        <v>2</v>
      </c>
      <c r="K152" s="119">
        <v>45376</v>
      </c>
      <c r="L152" s="116"/>
    </row>
    <row r="153" spans="2:12" x14ac:dyDescent="0.15">
      <c r="B153" s="6" t="s">
        <v>16</v>
      </c>
      <c r="C153" s="26"/>
      <c r="D153" s="27"/>
      <c r="E153" s="28"/>
      <c r="F153" s="7">
        <f t="shared" si="50"/>
        <v>0</v>
      </c>
      <c r="G153" s="26">
        <v>1</v>
      </c>
      <c r="H153" s="43"/>
      <c r="I153" s="7">
        <f t="shared" si="51"/>
        <v>1</v>
      </c>
      <c r="J153" s="7">
        <f t="shared" si="52"/>
        <v>1</v>
      </c>
      <c r="K153" s="119">
        <v>45383</v>
      </c>
      <c r="L153" s="116"/>
    </row>
    <row r="154" spans="2:12" x14ac:dyDescent="0.15">
      <c r="B154" s="6" t="s">
        <v>16</v>
      </c>
      <c r="C154" s="26"/>
      <c r="D154" s="27"/>
      <c r="E154" s="28">
        <v>1</v>
      </c>
      <c r="F154" s="7">
        <f t="shared" si="50"/>
        <v>1</v>
      </c>
      <c r="G154" s="26"/>
      <c r="H154" s="43"/>
      <c r="I154" s="7">
        <f t="shared" si="51"/>
        <v>0</v>
      </c>
      <c r="J154" s="7">
        <f t="shared" si="52"/>
        <v>1</v>
      </c>
      <c r="K154" s="119">
        <v>45384</v>
      </c>
      <c r="L154" s="116"/>
    </row>
    <row r="155" spans="2:12" x14ac:dyDescent="0.15">
      <c r="B155" s="6"/>
      <c r="C155" s="26"/>
      <c r="D155" s="27"/>
      <c r="E155" s="28"/>
      <c r="F155" s="7">
        <f t="shared" si="50"/>
        <v>0</v>
      </c>
      <c r="G155" s="26"/>
      <c r="H155" s="43"/>
      <c r="I155" s="7">
        <f t="shared" si="51"/>
        <v>0</v>
      </c>
      <c r="J155" s="7">
        <f t="shared" si="52"/>
        <v>0</v>
      </c>
      <c r="K155" s="119"/>
      <c r="L155" s="116"/>
    </row>
    <row r="156" spans="2:12" x14ac:dyDescent="0.15">
      <c r="B156" s="6"/>
      <c r="C156" s="26"/>
      <c r="D156" s="27"/>
      <c r="E156" s="28"/>
      <c r="F156" s="7">
        <f t="shared" ref="F156:F157" si="53">SUM(C156:E156)</f>
        <v>0</v>
      </c>
      <c r="G156" s="26"/>
      <c r="H156" s="43"/>
      <c r="I156" s="7">
        <f t="shared" ref="I156:I157" si="54">SUM(G156:H156)</f>
        <v>0</v>
      </c>
      <c r="J156" s="7">
        <f t="shared" ref="J156:J157" si="55">+F156+I156</f>
        <v>0</v>
      </c>
      <c r="K156" s="116"/>
      <c r="L156" s="116"/>
    </row>
    <row r="157" spans="2:12" ht="14.25" thickBot="1" x14ac:dyDescent="0.2">
      <c r="B157" s="6"/>
      <c r="C157" s="26"/>
      <c r="D157" s="27"/>
      <c r="E157" s="28"/>
      <c r="F157" s="7">
        <f t="shared" si="53"/>
        <v>0</v>
      </c>
      <c r="G157" s="26"/>
      <c r="H157" s="43"/>
      <c r="I157" s="7">
        <f t="shared" si="54"/>
        <v>0</v>
      </c>
      <c r="J157" s="7">
        <f t="shared" si="55"/>
        <v>0</v>
      </c>
      <c r="K157" s="116"/>
      <c r="L157" s="116"/>
    </row>
    <row r="158" spans="2:12" ht="14.25" thickBot="1" x14ac:dyDescent="0.2">
      <c r="B158" s="5" t="s">
        <v>2</v>
      </c>
      <c r="C158" s="32">
        <f>SUM(C133:C157)</f>
        <v>5</v>
      </c>
      <c r="D158" s="33">
        <f t="shared" ref="D158:J158" si="56">SUM(D133:D157)</f>
        <v>5</v>
      </c>
      <c r="E158" s="34">
        <f t="shared" si="56"/>
        <v>7</v>
      </c>
      <c r="F158" s="4">
        <f t="shared" si="56"/>
        <v>17</v>
      </c>
      <c r="G158" s="32">
        <f t="shared" si="56"/>
        <v>16</v>
      </c>
      <c r="H158" s="34">
        <f t="shared" si="56"/>
        <v>10</v>
      </c>
      <c r="I158" s="4">
        <f t="shared" si="56"/>
        <v>26</v>
      </c>
      <c r="J158" s="4">
        <f t="shared" si="56"/>
        <v>43</v>
      </c>
      <c r="K158" s="116"/>
      <c r="L158" s="116"/>
    </row>
    <row r="159" spans="2:12" ht="14.25" thickBot="1" x14ac:dyDescent="0.2">
      <c r="B159" s="3" t="s">
        <v>3</v>
      </c>
      <c r="C159" s="38">
        <f>+C132-C158</f>
        <v>23</v>
      </c>
      <c r="D159" s="39">
        <f t="shared" ref="D159:F159" si="57">+D132-D158</f>
        <v>30</v>
      </c>
      <c r="E159" s="40">
        <f t="shared" si="57"/>
        <v>21</v>
      </c>
      <c r="F159" s="2">
        <f t="shared" si="57"/>
        <v>74</v>
      </c>
      <c r="G159" s="38">
        <f>+G132-G158</f>
        <v>9</v>
      </c>
      <c r="H159" s="40">
        <f t="shared" ref="H159:J159" si="58">+H132-H158</f>
        <v>8</v>
      </c>
      <c r="I159" s="2">
        <f t="shared" si="58"/>
        <v>17</v>
      </c>
      <c r="J159" s="2">
        <f t="shared" si="58"/>
        <v>91</v>
      </c>
      <c r="K159" s="116"/>
      <c r="L159" s="116"/>
    </row>
    <row r="161" spans="1:15" ht="18.75" x14ac:dyDescent="0.2">
      <c r="B161" s="17" t="s">
        <v>7</v>
      </c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</row>
    <row r="162" spans="1:15" ht="17.25" x14ac:dyDescent="0.2">
      <c r="B162" s="19" t="s">
        <v>14</v>
      </c>
      <c r="C162" s="18"/>
      <c r="D162" s="18"/>
      <c r="E162" s="18"/>
      <c r="F162" s="18"/>
      <c r="G162" s="18"/>
      <c r="H162" s="18"/>
      <c r="I162" s="19" t="s">
        <v>53</v>
      </c>
      <c r="J162" s="18"/>
      <c r="K162" s="18"/>
      <c r="L162" s="18"/>
      <c r="M162" s="18"/>
    </row>
    <row r="163" spans="1:15" ht="14.25" thickBot="1" x14ac:dyDescent="0.2"/>
    <row r="164" spans="1:15" ht="14.25" thickBot="1" x14ac:dyDescent="0.2">
      <c r="B164" s="15"/>
      <c r="C164" s="211" t="s">
        <v>8</v>
      </c>
      <c r="D164" s="212"/>
      <c r="E164" s="212"/>
      <c r="F164" s="213"/>
      <c r="G164" s="211" t="s">
        <v>11</v>
      </c>
      <c r="H164" s="212"/>
      <c r="I164" s="212"/>
      <c r="J164" s="214" t="s">
        <v>49</v>
      </c>
      <c r="K164" s="215"/>
      <c r="L164" s="216"/>
      <c r="M164" s="16"/>
    </row>
    <row r="165" spans="1:15" ht="14.25" thickBot="1" x14ac:dyDescent="0.2">
      <c r="A165" s="1"/>
      <c r="B165" s="14"/>
      <c r="C165" s="20" t="s">
        <v>6</v>
      </c>
      <c r="D165" s="21" t="s">
        <v>9</v>
      </c>
      <c r="E165" s="22" t="s">
        <v>10</v>
      </c>
      <c r="F165" s="13" t="s">
        <v>0</v>
      </c>
      <c r="G165" s="41" t="s">
        <v>9</v>
      </c>
      <c r="H165" s="42" t="s">
        <v>13</v>
      </c>
      <c r="I165" s="14" t="s">
        <v>0</v>
      </c>
      <c r="J165" s="76" t="s">
        <v>50</v>
      </c>
      <c r="K165" s="77" t="s">
        <v>51</v>
      </c>
      <c r="L165" s="5" t="s">
        <v>52</v>
      </c>
      <c r="M165" s="13" t="s">
        <v>0</v>
      </c>
    </row>
    <row r="166" spans="1:15" x14ac:dyDescent="0.15">
      <c r="B166" s="46" t="s">
        <v>3</v>
      </c>
      <c r="C166" s="47">
        <f>C159</f>
        <v>23</v>
      </c>
      <c r="D166" s="50">
        <f t="shared" ref="D166:I166" si="59">D159</f>
        <v>30</v>
      </c>
      <c r="E166" s="48">
        <f t="shared" si="59"/>
        <v>21</v>
      </c>
      <c r="F166" s="49">
        <f t="shared" si="59"/>
        <v>74</v>
      </c>
      <c r="G166" s="47">
        <f t="shared" si="59"/>
        <v>9</v>
      </c>
      <c r="H166" s="48">
        <f t="shared" si="59"/>
        <v>8</v>
      </c>
      <c r="I166" s="49">
        <f t="shared" si="59"/>
        <v>17</v>
      </c>
      <c r="J166" s="62"/>
      <c r="K166" s="63"/>
      <c r="L166" s="72">
        <f t="shared" ref="L166" si="60">L159</f>
        <v>0</v>
      </c>
      <c r="M166" s="49">
        <f>L166+I166+F166</f>
        <v>91</v>
      </c>
      <c r="N166" s="116"/>
      <c r="O166" s="116"/>
    </row>
    <row r="167" spans="1:15" x14ac:dyDescent="0.15">
      <c r="B167" s="12" t="s">
        <v>4</v>
      </c>
      <c r="C167" s="26"/>
      <c r="D167" s="27"/>
      <c r="E167" s="28"/>
      <c r="F167" s="8">
        <f>SUM(C167:E167)</f>
        <v>0</v>
      </c>
      <c r="G167" s="26">
        <v>20</v>
      </c>
      <c r="H167" s="43">
        <v>10</v>
      </c>
      <c r="I167" s="8">
        <f>SUM(G167:H167)</f>
        <v>30</v>
      </c>
      <c r="J167" s="64">
        <v>20</v>
      </c>
      <c r="K167" s="65">
        <v>20</v>
      </c>
      <c r="L167" s="56">
        <f>SUM(J167:K167)</f>
        <v>40</v>
      </c>
      <c r="M167" s="8">
        <f t="shared" ref="M167:M199" si="61">L167+I167+F167</f>
        <v>70</v>
      </c>
      <c r="N167" s="119">
        <v>45384</v>
      </c>
      <c r="O167" s="116"/>
    </row>
    <row r="168" spans="1:15" x14ac:dyDescent="0.15">
      <c r="B168" s="12" t="s">
        <v>4</v>
      </c>
      <c r="C168" s="26"/>
      <c r="D168" s="27"/>
      <c r="E168" s="28"/>
      <c r="F168" s="8">
        <f>SUM(C168:E168)</f>
        <v>0</v>
      </c>
      <c r="G168" s="26"/>
      <c r="H168" s="43"/>
      <c r="I168" s="8">
        <f>SUM(G168:H168)</f>
        <v>0</v>
      </c>
      <c r="J168" s="64"/>
      <c r="K168" s="65"/>
      <c r="L168" s="56">
        <f>SUM(J168:K168)</f>
        <v>0</v>
      </c>
      <c r="M168" s="55">
        <f t="shared" si="61"/>
        <v>0</v>
      </c>
      <c r="N168" s="116"/>
      <c r="O168" s="116"/>
    </row>
    <row r="169" spans="1:15" x14ac:dyDescent="0.15">
      <c r="B169" s="12" t="s">
        <v>4</v>
      </c>
      <c r="C169" s="26">
        <v>30</v>
      </c>
      <c r="D169" s="27"/>
      <c r="E169" s="28">
        <v>50</v>
      </c>
      <c r="F169" s="8">
        <f t="shared" ref="F169:F171" si="62">SUM(C169:E169)</f>
        <v>80</v>
      </c>
      <c r="G169" s="26"/>
      <c r="H169" s="43">
        <v>15</v>
      </c>
      <c r="I169" s="8">
        <f t="shared" ref="I169:I171" si="63">SUM(G169:H169)</f>
        <v>15</v>
      </c>
      <c r="J169" s="64">
        <v>10</v>
      </c>
      <c r="K169" s="65"/>
      <c r="L169" s="56">
        <f t="shared" ref="L169:L171" si="64">SUM(J169:K169)</f>
        <v>10</v>
      </c>
      <c r="M169" s="8">
        <f t="shared" si="61"/>
        <v>105</v>
      </c>
      <c r="N169" s="119">
        <v>45444</v>
      </c>
      <c r="O169" s="116"/>
    </row>
    <row r="170" spans="1:15" x14ac:dyDescent="0.15">
      <c r="B170" s="12" t="s">
        <v>4</v>
      </c>
      <c r="C170" s="26"/>
      <c r="D170" s="27"/>
      <c r="E170" s="28"/>
      <c r="F170" s="8">
        <f t="shared" si="62"/>
        <v>0</v>
      </c>
      <c r="G170" s="26"/>
      <c r="H170" s="43"/>
      <c r="I170" s="8">
        <f t="shared" si="63"/>
        <v>0</v>
      </c>
      <c r="J170" s="64"/>
      <c r="K170" s="65"/>
      <c r="L170" s="56">
        <f t="shared" si="64"/>
        <v>0</v>
      </c>
      <c r="M170" s="55">
        <f t="shared" si="61"/>
        <v>0</v>
      </c>
      <c r="N170" s="116"/>
      <c r="O170" s="116"/>
    </row>
    <row r="171" spans="1:15" ht="14.25" thickBot="1" x14ac:dyDescent="0.2">
      <c r="B171" s="11" t="s">
        <v>4</v>
      </c>
      <c r="C171" s="29"/>
      <c r="D171" s="30"/>
      <c r="E171" s="31"/>
      <c r="F171" s="54">
        <f t="shared" si="62"/>
        <v>0</v>
      </c>
      <c r="G171" s="29"/>
      <c r="H171" s="44"/>
      <c r="I171" s="54">
        <f t="shared" si="63"/>
        <v>0</v>
      </c>
      <c r="J171" s="66"/>
      <c r="K171" s="67"/>
      <c r="L171" s="57">
        <f t="shared" si="64"/>
        <v>0</v>
      </c>
      <c r="M171" s="75">
        <f t="shared" si="61"/>
        <v>0</v>
      </c>
      <c r="N171" s="116"/>
      <c r="O171" s="116"/>
    </row>
    <row r="172" spans="1:15" ht="14.25" thickBot="1" x14ac:dyDescent="0.2">
      <c r="B172" s="5" t="s">
        <v>1</v>
      </c>
      <c r="C172" s="32">
        <f>SUM(C166:C171)</f>
        <v>53</v>
      </c>
      <c r="D172" s="33">
        <f t="shared" ref="D172:M172" si="65">SUM(D166:D171)</f>
        <v>30</v>
      </c>
      <c r="E172" s="34">
        <f t="shared" si="65"/>
        <v>71</v>
      </c>
      <c r="F172" s="4">
        <f t="shared" si="65"/>
        <v>154</v>
      </c>
      <c r="G172" s="32">
        <f t="shared" si="65"/>
        <v>29</v>
      </c>
      <c r="H172" s="34">
        <f t="shared" si="65"/>
        <v>33</v>
      </c>
      <c r="I172" s="4">
        <f t="shared" si="65"/>
        <v>62</v>
      </c>
      <c r="J172" s="68">
        <f>SUM(J166:J171)</f>
        <v>30</v>
      </c>
      <c r="K172" s="69">
        <f t="shared" si="65"/>
        <v>20</v>
      </c>
      <c r="L172" s="58">
        <f t="shared" si="65"/>
        <v>50</v>
      </c>
      <c r="M172" s="61">
        <f t="shared" si="65"/>
        <v>266</v>
      </c>
      <c r="N172" s="116"/>
      <c r="O172" s="116"/>
    </row>
    <row r="173" spans="1:15" x14ac:dyDescent="0.15">
      <c r="B173" s="6" t="s">
        <v>16</v>
      </c>
      <c r="C173" s="26">
        <v>1</v>
      </c>
      <c r="D173" s="27"/>
      <c r="E173" s="28">
        <v>1</v>
      </c>
      <c r="F173" s="7">
        <f t="shared" ref="F173:F189" si="66">SUM(C173:E173)</f>
        <v>2</v>
      </c>
      <c r="G173" s="26"/>
      <c r="H173" s="43"/>
      <c r="I173" s="59">
        <f t="shared" ref="I173:I189" si="67">SUM(G173:H173)</f>
        <v>0</v>
      </c>
      <c r="J173" s="62"/>
      <c r="K173" s="63"/>
      <c r="L173" s="72">
        <f t="shared" ref="L173:L197" si="68">SUM(J173:K173)</f>
        <v>0</v>
      </c>
      <c r="M173" s="74">
        <f t="shared" si="61"/>
        <v>2</v>
      </c>
      <c r="N173" s="119">
        <v>45387</v>
      </c>
      <c r="O173" s="116"/>
    </row>
    <row r="174" spans="1:15" x14ac:dyDescent="0.15">
      <c r="B174" s="6" t="s">
        <v>16</v>
      </c>
      <c r="C174" s="26">
        <v>1</v>
      </c>
      <c r="D174" s="27"/>
      <c r="E174" s="28">
        <v>1</v>
      </c>
      <c r="F174" s="7">
        <f t="shared" si="66"/>
        <v>2</v>
      </c>
      <c r="G174" s="26"/>
      <c r="H174" s="43"/>
      <c r="I174" s="59">
        <f t="shared" si="67"/>
        <v>0</v>
      </c>
      <c r="J174" s="64">
        <v>1</v>
      </c>
      <c r="K174" s="65"/>
      <c r="L174" s="56">
        <f t="shared" si="68"/>
        <v>1</v>
      </c>
      <c r="M174" s="55">
        <f t="shared" si="61"/>
        <v>3</v>
      </c>
      <c r="N174" s="119">
        <v>45397</v>
      </c>
      <c r="O174" s="116"/>
    </row>
    <row r="175" spans="1:15" x14ac:dyDescent="0.15">
      <c r="B175" s="6" t="s">
        <v>16</v>
      </c>
      <c r="C175" s="26"/>
      <c r="D175" s="27"/>
      <c r="E175" s="28"/>
      <c r="F175" s="7">
        <f t="shared" si="66"/>
        <v>0</v>
      </c>
      <c r="G175" s="26"/>
      <c r="H175" s="43">
        <v>1</v>
      </c>
      <c r="I175" s="59">
        <f t="shared" si="67"/>
        <v>1</v>
      </c>
      <c r="J175" s="64"/>
      <c r="K175" s="65"/>
      <c r="L175" s="56">
        <f t="shared" si="68"/>
        <v>0</v>
      </c>
      <c r="M175" s="55">
        <f t="shared" si="61"/>
        <v>1</v>
      </c>
      <c r="N175" s="119">
        <v>45401</v>
      </c>
      <c r="O175" s="116"/>
    </row>
    <row r="176" spans="1:15" x14ac:dyDescent="0.15">
      <c r="B176" s="6" t="s">
        <v>16</v>
      </c>
      <c r="C176" s="26"/>
      <c r="D176" s="27"/>
      <c r="E176" s="28"/>
      <c r="F176" s="7">
        <f t="shared" si="66"/>
        <v>0</v>
      </c>
      <c r="G176" s="26">
        <v>2</v>
      </c>
      <c r="H176" s="43">
        <v>2</v>
      </c>
      <c r="I176" s="59">
        <f t="shared" si="67"/>
        <v>4</v>
      </c>
      <c r="J176" s="64">
        <v>2</v>
      </c>
      <c r="K176" s="65">
        <v>1</v>
      </c>
      <c r="L176" s="56">
        <f t="shared" si="68"/>
        <v>3</v>
      </c>
      <c r="M176" s="55">
        <f t="shared" si="61"/>
        <v>7</v>
      </c>
      <c r="N176" s="119">
        <v>45404</v>
      </c>
      <c r="O176" s="116"/>
    </row>
    <row r="177" spans="2:15" x14ac:dyDescent="0.15">
      <c r="B177" s="6" t="s">
        <v>16</v>
      </c>
      <c r="C177" s="26">
        <v>1</v>
      </c>
      <c r="D177" s="27"/>
      <c r="E177" s="28"/>
      <c r="F177" s="7">
        <f t="shared" si="66"/>
        <v>1</v>
      </c>
      <c r="G177" s="26"/>
      <c r="H177" s="43">
        <v>1</v>
      </c>
      <c r="I177" s="59">
        <f t="shared" si="67"/>
        <v>1</v>
      </c>
      <c r="J177" s="64">
        <v>1</v>
      </c>
      <c r="K177" s="65"/>
      <c r="L177" s="56">
        <f t="shared" si="68"/>
        <v>1</v>
      </c>
      <c r="M177" s="55">
        <f t="shared" si="61"/>
        <v>3</v>
      </c>
      <c r="N177" s="119">
        <v>45412</v>
      </c>
      <c r="O177" s="116"/>
    </row>
    <row r="178" spans="2:15" x14ac:dyDescent="0.15">
      <c r="B178" s="6" t="s">
        <v>16</v>
      </c>
      <c r="C178" s="26"/>
      <c r="D178" s="27"/>
      <c r="E178" s="28"/>
      <c r="F178" s="7">
        <f t="shared" si="66"/>
        <v>0</v>
      </c>
      <c r="G178" s="26"/>
      <c r="H178" s="43">
        <v>1</v>
      </c>
      <c r="I178" s="59">
        <f t="shared" si="67"/>
        <v>1</v>
      </c>
      <c r="J178" s="64"/>
      <c r="K178" s="65"/>
      <c r="L178" s="56">
        <f t="shared" si="68"/>
        <v>0</v>
      </c>
      <c r="M178" s="55">
        <f t="shared" si="61"/>
        <v>1</v>
      </c>
      <c r="N178" s="119">
        <v>45414</v>
      </c>
      <c r="O178" s="116"/>
    </row>
    <row r="179" spans="2:15" x14ac:dyDescent="0.15">
      <c r="B179" s="6" t="s">
        <v>16</v>
      </c>
      <c r="C179" s="26">
        <v>2</v>
      </c>
      <c r="D179" s="27">
        <v>1</v>
      </c>
      <c r="E179" s="28">
        <v>2</v>
      </c>
      <c r="F179" s="7">
        <f t="shared" si="66"/>
        <v>5</v>
      </c>
      <c r="G179" s="26"/>
      <c r="H179" s="43"/>
      <c r="I179" s="59">
        <f t="shared" si="67"/>
        <v>0</v>
      </c>
      <c r="J179" s="64">
        <v>1</v>
      </c>
      <c r="K179" s="65"/>
      <c r="L179" s="56">
        <f t="shared" si="68"/>
        <v>1</v>
      </c>
      <c r="M179" s="55">
        <f t="shared" si="61"/>
        <v>6</v>
      </c>
      <c r="N179" s="119">
        <v>45419</v>
      </c>
      <c r="O179" s="116"/>
    </row>
    <row r="180" spans="2:15" x14ac:dyDescent="0.15">
      <c r="B180" s="6" t="s">
        <v>16</v>
      </c>
      <c r="C180" s="26">
        <f>3+1</f>
        <v>4</v>
      </c>
      <c r="D180" s="27">
        <f>1+1</f>
        <v>2</v>
      </c>
      <c r="E180" s="28">
        <v>1</v>
      </c>
      <c r="F180" s="7">
        <f t="shared" si="66"/>
        <v>7</v>
      </c>
      <c r="G180" s="26"/>
      <c r="H180" s="43"/>
      <c r="I180" s="59">
        <f t="shared" si="67"/>
        <v>0</v>
      </c>
      <c r="J180" s="64"/>
      <c r="K180" s="65"/>
      <c r="L180" s="56">
        <f t="shared" si="68"/>
        <v>0</v>
      </c>
      <c r="M180" s="55">
        <f t="shared" si="61"/>
        <v>7</v>
      </c>
      <c r="N180" s="119">
        <v>45420</v>
      </c>
      <c r="O180" s="116"/>
    </row>
    <row r="181" spans="2:15" x14ac:dyDescent="0.15">
      <c r="B181" s="6" t="s">
        <v>16</v>
      </c>
      <c r="C181" s="26"/>
      <c r="D181" s="27"/>
      <c r="E181" s="28">
        <v>1</v>
      </c>
      <c r="F181" s="7">
        <f t="shared" si="66"/>
        <v>1</v>
      </c>
      <c r="G181" s="26"/>
      <c r="H181" s="43"/>
      <c r="I181" s="59">
        <f t="shared" si="67"/>
        <v>0</v>
      </c>
      <c r="J181" s="64"/>
      <c r="K181" s="65"/>
      <c r="L181" s="56">
        <f t="shared" si="68"/>
        <v>0</v>
      </c>
      <c r="M181" s="55">
        <f t="shared" si="61"/>
        <v>1</v>
      </c>
      <c r="N181" s="119">
        <v>45421</v>
      </c>
      <c r="O181" s="116"/>
    </row>
    <row r="182" spans="2:15" x14ac:dyDescent="0.15">
      <c r="B182" s="6" t="s">
        <v>16</v>
      </c>
      <c r="C182" s="26">
        <v>1</v>
      </c>
      <c r="D182" s="27">
        <v>1</v>
      </c>
      <c r="E182" s="28">
        <v>1</v>
      </c>
      <c r="F182" s="7">
        <f t="shared" si="66"/>
        <v>3</v>
      </c>
      <c r="G182" s="26">
        <v>1</v>
      </c>
      <c r="H182" s="43">
        <v>1</v>
      </c>
      <c r="I182" s="59">
        <f t="shared" si="67"/>
        <v>2</v>
      </c>
      <c r="J182" s="64"/>
      <c r="K182" s="65"/>
      <c r="L182" s="56">
        <f t="shared" si="68"/>
        <v>0</v>
      </c>
      <c r="M182" s="55">
        <f t="shared" si="61"/>
        <v>5</v>
      </c>
      <c r="N182" s="119">
        <v>45422</v>
      </c>
      <c r="O182" s="116"/>
    </row>
    <row r="183" spans="2:15" x14ac:dyDescent="0.15">
      <c r="B183" s="6" t="s">
        <v>16</v>
      </c>
      <c r="C183" s="26">
        <v>1</v>
      </c>
      <c r="D183" s="27">
        <v>1</v>
      </c>
      <c r="E183" s="28">
        <v>1</v>
      </c>
      <c r="F183" s="7">
        <f t="shared" si="66"/>
        <v>3</v>
      </c>
      <c r="G183" s="26"/>
      <c r="H183" s="43"/>
      <c r="I183" s="59">
        <f t="shared" si="67"/>
        <v>0</v>
      </c>
      <c r="J183" s="64"/>
      <c r="K183" s="65"/>
      <c r="L183" s="56">
        <f t="shared" si="68"/>
        <v>0</v>
      </c>
      <c r="M183" s="55">
        <f t="shared" si="61"/>
        <v>3</v>
      </c>
      <c r="N183" s="119">
        <v>45425</v>
      </c>
      <c r="O183" s="116"/>
    </row>
    <row r="184" spans="2:15" x14ac:dyDescent="0.15">
      <c r="B184" s="6" t="s">
        <v>16</v>
      </c>
      <c r="C184" s="26"/>
      <c r="D184" s="27">
        <v>1</v>
      </c>
      <c r="E184" s="28">
        <v>1</v>
      </c>
      <c r="F184" s="7">
        <f t="shared" si="66"/>
        <v>2</v>
      </c>
      <c r="G184" s="26"/>
      <c r="H184" s="43"/>
      <c r="I184" s="59">
        <f t="shared" si="67"/>
        <v>0</v>
      </c>
      <c r="J184" s="64"/>
      <c r="K184" s="65"/>
      <c r="L184" s="56">
        <f t="shared" si="68"/>
        <v>0</v>
      </c>
      <c r="M184" s="55">
        <f t="shared" si="61"/>
        <v>2</v>
      </c>
      <c r="N184" s="119">
        <v>45426</v>
      </c>
      <c r="O184" s="116"/>
    </row>
    <row r="185" spans="2:15" x14ac:dyDescent="0.15">
      <c r="B185" s="6" t="s">
        <v>16</v>
      </c>
      <c r="C185" s="26">
        <v>1</v>
      </c>
      <c r="D185" s="27"/>
      <c r="E185" s="28"/>
      <c r="F185" s="7">
        <f t="shared" si="66"/>
        <v>1</v>
      </c>
      <c r="G185" s="26">
        <v>1</v>
      </c>
      <c r="H185" s="43"/>
      <c r="I185" s="59">
        <f t="shared" si="67"/>
        <v>1</v>
      </c>
      <c r="J185" s="64"/>
      <c r="K185" s="65"/>
      <c r="L185" s="56">
        <f t="shared" si="68"/>
        <v>0</v>
      </c>
      <c r="M185" s="55">
        <f t="shared" si="61"/>
        <v>2</v>
      </c>
      <c r="N185" s="119">
        <v>45427</v>
      </c>
      <c r="O185" s="116"/>
    </row>
    <row r="186" spans="2:15" x14ac:dyDescent="0.15">
      <c r="B186" s="6" t="s">
        <v>16</v>
      </c>
      <c r="C186" s="26"/>
      <c r="D186" s="27"/>
      <c r="E186" s="28">
        <v>2</v>
      </c>
      <c r="F186" s="7">
        <f t="shared" si="66"/>
        <v>2</v>
      </c>
      <c r="G186" s="26">
        <v>2</v>
      </c>
      <c r="H186" s="43">
        <v>1</v>
      </c>
      <c r="I186" s="59">
        <f t="shared" si="67"/>
        <v>3</v>
      </c>
      <c r="J186" s="64"/>
      <c r="K186" s="65"/>
      <c r="L186" s="56">
        <f t="shared" si="68"/>
        <v>0</v>
      </c>
      <c r="M186" s="55">
        <f t="shared" si="61"/>
        <v>5</v>
      </c>
      <c r="N186" s="119">
        <v>45428</v>
      </c>
      <c r="O186" s="116"/>
    </row>
    <row r="187" spans="2:15" x14ac:dyDescent="0.15">
      <c r="B187" s="6" t="s">
        <v>16</v>
      </c>
      <c r="C187" s="26"/>
      <c r="D187" s="27"/>
      <c r="E187" s="28">
        <v>1</v>
      </c>
      <c r="F187" s="7">
        <f t="shared" si="66"/>
        <v>1</v>
      </c>
      <c r="G187" s="26"/>
      <c r="H187" s="43"/>
      <c r="I187" s="59">
        <f t="shared" si="67"/>
        <v>0</v>
      </c>
      <c r="J187" s="64"/>
      <c r="K187" s="65"/>
      <c r="L187" s="56">
        <f t="shared" si="68"/>
        <v>0</v>
      </c>
      <c r="M187" s="55">
        <f t="shared" si="61"/>
        <v>1</v>
      </c>
      <c r="N187" s="119">
        <v>45430</v>
      </c>
      <c r="O187" s="116"/>
    </row>
    <row r="188" spans="2:15" x14ac:dyDescent="0.15">
      <c r="B188" s="6" t="s">
        <v>16</v>
      </c>
      <c r="C188" s="26">
        <v>1</v>
      </c>
      <c r="D188" s="27">
        <v>1</v>
      </c>
      <c r="E188" s="28">
        <v>4</v>
      </c>
      <c r="F188" s="7">
        <f t="shared" si="66"/>
        <v>6</v>
      </c>
      <c r="G188" s="26"/>
      <c r="H188" s="43"/>
      <c r="I188" s="59">
        <f t="shared" si="67"/>
        <v>0</v>
      </c>
      <c r="J188" s="64">
        <v>2</v>
      </c>
      <c r="K188" s="65">
        <v>1</v>
      </c>
      <c r="L188" s="56">
        <f t="shared" si="68"/>
        <v>3</v>
      </c>
      <c r="M188" s="55">
        <f t="shared" si="61"/>
        <v>9</v>
      </c>
      <c r="N188" s="119">
        <v>45432</v>
      </c>
      <c r="O188" s="116"/>
    </row>
    <row r="189" spans="2:15" x14ac:dyDescent="0.15">
      <c r="B189" s="6" t="s">
        <v>16</v>
      </c>
      <c r="C189" s="26"/>
      <c r="D189" s="27"/>
      <c r="E189" s="28">
        <v>1</v>
      </c>
      <c r="F189" s="7">
        <f t="shared" si="66"/>
        <v>1</v>
      </c>
      <c r="G189" s="26"/>
      <c r="H189" s="43"/>
      <c r="I189" s="59">
        <f t="shared" si="67"/>
        <v>0</v>
      </c>
      <c r="J189" s="64">
        <v>1</v>
      </c>
      <c r="K189" s="65">
        <v>1</v>
      </c>
      <c r="L189" s="56">
        <f t="shared" si="68"/>
        <v>2</v>
      </c>
      <c r="M189" s="55">
        <f t="shared" si="61"/>
        <v>3</v>
      </c>
      <c r="N189" s="119">
        <v>45434</v>
      </c>
      <c r="O189" s="116"/>
    </row>
    <row r="190" spans="2:15" x14ac:dyDescent="0.15">
      <c r="B190" s="6" t="s">
        <v>16</v>
      </c>
      <c r="C190" s="26"/>
      <c r="D190" s="27">
        <v>1</v>
      </c>
      <c r="E190" s="28">
        <v>1</v>
      </c>
      <c r="F190" s="7">
        <f t="shared" ref="F190:F197" si="69">SUM(C190:E190)</f>
        <v>2</v>
      </c>
      <c r="G190" s="26"/>
      <c r="H190" s="43"/>
      <c r="I190" s="59">
        <f t="shared" ref="I190:I197" si="70">SUM(G190:H190)</f>
        <v>0</v>
      </c>
      <c r="J190" s="64"/>
      <c r="K190" s="65"/>
      <c r="L190" s="56">
        <f t="shared" si="68"/>
        <v>0</v>
      </c>
      <c r="M190" s="55">
        <f t="shared" si="61"/>
        <v>2</v>
      </c>
      <c r="N190" s="119">
        <v>45435</v>
      </c>
      <c r="O190" s="116"/>
    </row>
    <row r="191" spans="2:15" x14ac:dyDescent="0.15">
      <c r="B191" s="6" t="s">
        <v>16</v>
      </c>
      <c r="C191" s="26"/>
      <c r="D191" s="27"/>
      <c r="E191" s="28">
        <v>1</v>
      </c>
      <c r="F191" s="7">
        <f t="shared" si="69"/>
        <v>1</v>
      </c>
      <c r="G191" s="26"/>
      <c r="H191" s="43"/>
      <c r="I191" s="59">
        <f t="shared" si="70"/>
        <v>0</v>
      </c>
      <c r="J191" s="64">
        <v>1</v>
      </c>
      <c r="K191" s="65"/>
      <c r="L191" s="56">
        <f t="shared" si="68"/>
        <v>1</v>
      </c>
      <c r="M191" s="55">
        <f t="shared" si="61"/>
        <v>2</v>
      </c>
      <c r="N191" s="119">
        <v>45436</v>
      </c>
      <c r="O191" s="116"/>
    </row>
    <row r="192" spans="2:15" x14ac:dyDescent="0.15">
      <c r="B192" s="6" t="s">
        <v>16</v>
      </c>
      <c r="C192" s="26">
        <v>1</v>
      </c>
      <c r="D192" s="27">
        <v>1</v>
      </c>
      <c r="E192" s="28">
        <v>1</v>
      </c>
      <c r="F192" s="7">
        <f t="shared" si="69"/>
        <v>3</v>
      </c>
      <c r="G192" s="26">
        <v>1</v>
      </c>
      <c r="H192" s="43"/>
      <c r="I192" s="59">
        <f t="shared" si="70"/>
        <v>1</v>
      </c>
      <c r="J192" s="64">
        <v>1</v>
      </c>
      <c r="K192" s="65"/>
      <c r="L192" s="56">
        <f t="shared" si="68"/>
        <v>1</v>
      </c>
      <c r="M192" s="55">
        <f t="shared" si="61"/>
        <v>5</v>
      </c>
      <c r="N192" s="119">
        <v>45439</v>
      </c>
      <c r="O192" s="116"/>
    </row>
    <row r="193" spans="1:15" x14ac:dyDescent="0.15">
      <c r="B193" s="6" t="s">
        <v>16</v>
      </c>
      <c r="C193" s="26"/>
      <c r="D193" s="27"/>
      <c r="E193" s="28"/>
      <c r="F193" s="7">
        <f t="shared" si="69"/>
        <v>0</v>
      </c>
      <c r="G193" s="26"/>
      <c r="H193" s="43"/>
      <c r="I193" s="59">
        <f t="shared" si="70"/>
        <v>0</v>
      </c>
      <c r="J193" s="64">
        <v>1</v>
      </c>
      <c r="K193" s="65"/>
      <c r="L193" s="56">
        <f t="shared" si="68"/>
        <v>1</v>
      </c>
      <c r="M193" s="55">
        <f t="shared" si="61"/>
        <v>1</v>
      </c>
      <c r="N193" s="119">
        <v>45440</v>
      </c>
      <c r="O193" s="116"/>
    </row>
    <row r="194" spans="1:15" x14ac:dyDescent="0.15">
      <c r="B194" s="6" t="s">
        <v>16</v>
      </c>
      <c r="C194" s="26"/>
      <c r="D194" s="27">
        <v>2</v>
      </c>
      <c r="E194" s="28">
        <v>1</v>
      </c>
      <c r="F194" s="7">
        <f t="shared" si="69"/>
        <v>3</v>
      </c>
      <c r="G194" s="26"/>
      <c r="H194" s="43"/>
      <c r="I194" s="59">
        <f t="shared" si="70"/>
        <v>0</v>
      </c>
      <c r="J194" s="64"/>
      <c r="K194" s="65"/>
      <c r="L194" s="56">
        <f t="shared" si="68"/>
        <v>0</v>
      </c>
      <c r="M194" s="55">
        <f t="shared" si="61"/>
        <v>3</v>
      </c>
      <c r="N194" s="119">
        <v>45441</v>
      </c>
      <c r="O194" s="116"/>
    </row>
    <row r="195" spans="1:15" x14ac:dyDescent="0.15">
      <c r="B195" s="6" t="s">
        <v>16</v>
      </c>
      <c r="C195" s="26">
        <v>4</v>
      </c>
      <c r="D195" s="27"/>
      <c r="E195" s="28">
        <v>1</v>
      </c>
      <c r="F195" s="7">
        <f t="shared" si="69"/>
        <v>5</v>
      </c>
      <c r="G195" s="26">
        <v>1</v>
      </c>
      <c r="H195" s="43"/>
      <c r="I195" s="59">
        <f t="shared" si="70"/>
        <v>1</v>
      </c>
      <c r="J195" s="64">
        <v>1</v>
      </c>
      <c r="K195" s="65">
        <v>2</v>
      </c>
      <c r="L195" s="56">
        <f t="shared" si="68"/>
        <v>3</v>
      </c>
      <c r="M195" s="55">
        <f t="shared" si="61"/>
        <v>9</v>
      </c>
      <c r="N195" s="119">
        <v>45446</v>
      </c>
      <c r="O195" s="116"/>
    </row>
    <row r="196" spans="1:15" x14ac:dyDescent="0.15">
      <c r="B196" s="6" t="s">
        <v>16</v>
      </c>
      <c r="C196" s="26">
        <v>1</v>
      </c>
      <c r="D196" s="27"/>
      <c r="E196" s="28">
        <v>1</v>
      </c>
      <c r="F196" s="7">
        <f t="shared" si="69"/>
        <v>2</v>
      </c>
      <c r="G196" s="26">
        <v>1</v>
      </c>
      <c r="H196" s="43"/>
      <c r="I196" s="59">
        <f t="shared" si="70"/>
        <v>1</v>
      </c>
      <c r="J196" s="64"/>
      <c r="K196" s="65"/>
      <c r="L196" s="56">
        <f t="shared" si="68"/>
        <v>0</v>
      </c>
      <c r="M196" s="55">
        <f t="shared" si="61"/>
        <v>3</v>
      </c>
      <c r="N196" s="119">
        <v>45448</v>
      </c>
      <c r="O196" s="116"/>
    </row>
    <row r="197" spans="1:15" ht="14.25" thickBot="1" x14ac:dyDescent="0.2">
      <c r="B197" s="6" t="s">
        <v>16</v>
      </c>
      <c r="C197" s="26">
        <v>1</v>
      </c>
      <c r="D197" s="27"/>
      <c r="E197" s="28"/>
      <c r="F197" s="7">
        <f t="shared" si="69"/>
        <v>1</v>
      </c>
      <c r="G197" s="26"/>
      <c r="H197" s="43"/>
      <c r="I197" s="59">
        <f t="shared" si="70"/>
        <v>0</v>
      </c>
      <c r="J197" s="66">
        <v>1</v>
      </c>
      <c r="K197" s="67"/>
      <c r="L197" s="57">
        <f t="shared" si="68"/>
        <v>1</v>
      </c>
      <c r="M197" s="75">
        <f t="shared" si="61"/>
        <v>2</v>
      </c>
      <c r="N197" s="119">
        <v>45449</v>
      </c>
      <c r="O197" s="116"/>
    </row>
    <row r="198" spans="1:15" ht="14.25" thickBot="1" x14ac:dyDescent="0.2">
      <c r="B198" s="5" t="s">
        <v>2</v>
      </c>
      <c r="C198" s="32">
        <f>SUM(C173:C197)</f>
        <v>20</v>
      </c>
      <c r="D198" s="33">
        <f t="shared" ref="D198:K198" si="71">SUM(D173:D197)</f>
        <v>11</v>
      </c>
      <c r="E198" s="34">
        <f t="shared" si="71"/>
        <v>23</v>
      </c>
      <c r="F198" s="4">
        <f t="shared" si="71"/>
        <v>54</v>
      </c>
      <c r="G198" s="32">
        <f t="shared" si="71"/>
        <v>9</v>
      </c>
      <c r="H198" s="34">
        <f t="shared" si="71"/>
        <v>7</v>
      </c>
      <c r="I198" s="4">
        <f t="shared" si="71"/>
        <v>16</v>
      </c>
      <c r="J198" s="32">
        <f>SUM(J173:J197)</f>
        <v>13</v>
      </c>
      <c r="K198" s="69">
        <f t="shared" si="71"/>
        <v>5</v>
      </c>
      <c r="L198" s="58">
        <f t="shared" ref="L198" si="72">SUM(L173:L197)</f>
        <v>18</v>
      </c>
      <c r="M198" s="61">
        <f t="shared" si="61"/>
        <v>88</v>
      </c>
      <c r="N198" s="116"/>
      <c r="O198" s="116"/>
    </row>
    <row r="199" spans="1:15" ht="14.25" thickBot="1" x14ac:dyDescent="0.2">
      <c r="B199" s="3" t="s">
        <v>3</v>
      </c>
      <c r="C199" s="38">
        <f>+C172-C198</f>
        <v>33</v>
      </c>
      <c r="D199" s="39">
        <f t="shared" ref="D199:F199" si="73">+D172-D198</f>
        <v>19</v>
      </c>
      <c r="E199" s="40">
        <f t="shared" si="73"/>
        <v>48</v>
      </c>
      <c r="F199" s="2">
        <f t="shared" si="73"/>
        <v>100</v>
      </c>
      <c r="G199" s="38">
        <f>+G172-G198</f>
        <v>20</v>
      </c>
      <c r="H199" s="40">
        <f t="shared" ref="H199:I199" si="74">+H172-H198</f>
        <v>26</v>
      </c>
      <c r="I199" s="60">
        <f t="shared" si="74"/>
        <v>46</v>
      </c>
      <c r="J199" s="70">
        <f>+J172-J198</f>
        <v>17</v>
      </c>
      <c r="K199" s="71">
        <f t="shared" ref="K199:L199" si="75">+K172-K198</f>
        <v>15</v>
      </c>
      <c r="L199" s="73">
        <f t="shared" si="75"/>
        <v>32</v>
      </c>
      <c r="M199" s="61">
        <f t="shared" si="61"/>
        <v>178</v>
      </c>
      <c r="N199" s="116"/>
      <c r="O199" s="116"/>
    </row>
    <row r="200" spans="1:15" x14ac:dyDescent="0.15">
      <c r="N200" s="116"/>
      <c r="O200" s="116"/>
    </row>
    <row r="201" spans="1:15" ht="18.75" x14ac:dyDescent="0.2">
      <c r="B201" s="17" t="s">
        <v>7</v>
      </c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16"/>
      <c r="O201" s="116"/>
    </row>
    <row r="202" spans="1:15" ht="17.25" x14ac:dyDescent="0.2">
      <c r="B202" s="19" t="s">
        <v>14</v>
      </c>
      <c r="C202" s="18"/>
      <c r="D202" s="18"/>
      <c r="E202" s="18"/>
      <c r="F202" s="18"/>
      <c r="G202" s="18"/>
      <c r="H202" s="18"/>
      <c r="I202" s="19" t="s">
        <v>53</v>
      </c>
      <c r="J202" s="18"/>
      <c r="K202" s="18"/>
      <c r="L202" s="18"/>
      <c r="M202" s="18"/>
      <c r="N202" s="116"/>
      <c r="O202" s="116"/>
    </row>
    <row r="203" spans="1:15" ht="14.25" thickBot="1" x14ac:dyDescent="0.2">
      <c r="N203" s="116"/>
      <c r="O203" s="116"/>
    </row>
    <row r="204" spans="1:15" ht="14.25" thickBot="1" x14ac:dyDescent="0.2">
      <c r="B204" s="15"/>
      <c r="C204" s="211" t="s">
        <v>8</v>
      </c>
      <c r="D204" s="212"/>
      <c r="E204" s="212"/>
      <c r="F204" s="213"/>
      <c r="G204" s="211" t="s">
        <v>11</v>
      </c>
      <c r="H204" s="212"/>
      <c r="I204" s="212"/>
      <c r="J204" s="214" t="s">
        <v>49</v>
      </c>
      <c r="K204" s="215"/>
      <c r="L204" s="216"/>
      <c r="M204" s="16"/>
      <c r="N204" s="116"/>
      <c r="O204" s="116"/>
    </row>
    <row r="205" spans="1:15" ht="14.25" thickBot="1" x14ac:dyDescent="0.2">
      <c r="A205" s="1"/>
      <c r="B205" s="14"/>
      <c r="C205" s="20" t="s">
        <v>6</v>
      </c>
      <c r="D205" s="21" t="s">
        <v>9</v>
      </c>
      <c r="E205" s="22" t="s">
        <v>10</v>
      </c>
      <c r="F205" s="13" t="s">
        <v>0</v>
      </c>
      <c r="G205" s="41" t="s">
        <v>9</v>
      </c>
      <c r="H205" s="42" t="s">
        <v>13</v>
      </c>
      <c r="I205" s="14" t="s">
        <v>0</v>
      </c>
      <c r="J205" s="76" t="s">
        <v>50</v>
      </c>
      <c r="K205" s="77" t="s">
        <v>51</v>
      </c>
      <c r="L205" s="5" t="s">
        <v>0</v>
      </c>
      <c r="M205" s="13" t="s">
        <v>0</v>
      </c>
      <c r="N205" s="116"/>
      <c r="O205" s="116"/>
    </row>
    <row r="206" spans="1:15" x14ac:dyDescent="0.15">
      <c r="B206" s="46" t="s">
        <v>3</v>
      </c>
      <c r="C206" s="47">
        <f>C199</f>
        <v>33</v>
      </c>
      <c r="D206" s="50">
        <f t="shared" ref="D206:K206" si="76">D199</f>
        <v>19</v>
      </c>
      <c r="E206" s="48">
        <f t="shared" si="76"/>
        <v>48</v>
      </c>
      <c r="F206" s="49">
        <f t="shared" si="76"/>
        <v>100</v>
      </c>
      <c r="G206" s="47">
        <f t="shared" si="76"/>
        <v>20</v>
      </c>
      <c r="H206" s="48">
        <f t="shared" si="76"/>
        <v>26</v>
      </c>
      <c r="I206" s="49">
        <f t="shared" si="76"/>
        <v>46</v>
      </c>
      <c r="J206" s="47">
        <f t="shared" si="76"/>
        <v>17</v>
      </c>
      <c r="K206" s="48">
        <f t="shared" si="76"/>
        <v>15</v>
      </c>
      <c r="L206" s="72">
        <f t="shared" ref="L206" si="77">L199</f>
        <v>32</v>
      </c>
      <c r="M206" s="78">
        <f>L206+I206+F206</f>
        <v>178</v>
      </c>
      <c r="N206" s="116"/>
      <c r="O206" s="116"/>
    </row>
    <row r="207" spans="1:15" x14ac:dyDescent="0.15">
      <c r="B207" s="12" t="s">
        <v>4</v>
      </c>
      <c r="C207" s="26"/>
      <c r="D207" s="27"/>
      <c r="E207" s="28"/>
      <c r="F207" s="8">
        <f t="shared" ref="F207:F209" si="78">SUM(C207:E207)</f>
        <v>0</v>
      </c>
      <c r="G207" s="26"/>
      <c r="H207" s="43"/>
      <c r="I207" s="8">
        <f t="shared" ref="I207:I209" si="79">SUM(G207:H207)</f>
        <v>0</v>
      </c>
      <c r="J207" s="64"/>
      <c r="K207" s="65"/>
      <c r="L207" s="56">
        <f t="shared" ref="L207:L209" si="80">SUM(J207:K207)</f>
        <v>0</v>
      </c>
      <c r="M207" s="8">
        <f t="shared" ref="M207:M209" si="81">L207+I207+F207</f>
        <v>0</v>
      </c>
      <c r="N207" s="116"/>
      <c r="O207" s="116"/>
    </row>
    <row r="208" spans="1:15" x14ac:dyDescent="0.15">
      <c r="B208" s="12" t="s">
        <v>4</v>
      </c>
      <c r="C208" s="26"/>
      <c r="D208" s="27"/>
      <c r="E208" s="28"/>
      <c r="F208" s="8">
        <f t="shared" ref="F208" si="82">SUM(C208:E208)</f>
        <v>0</v>
      </c>
      <c r="G208" s="26"/>
      <c r="H208" s="43"/>
      <c r="I208" s="8">
        <f t="shared" ref="I208" si="83">SUM(G208:H208)</f>
        <v>0</v>
      </c>
      <c r="J208" s="64"/>
      <c r="K208" s="65"/>
      <c r="L208" s="56">
        <f t="shared" ref="L208" si="84">SUM(J208:K208)</f>
        <v>0</v>
      </c>
      <c r="M208" s="8">
        <f t="shared" ref="M208" si="85">L208+I208+F208</f>
        <v>0</v>
      </c>
      <c r="N208" s="116"/>
      <c r="O208" s="116"/>
    </row>
    <row r="209" spans="2:15" x14ac:dyDescent="0.15">
      <c r="B209" s="12" t="s">
        <v>4</v>
      </c>
      <c r="C209" s="26"/>
      <c r="D209" s="27"/>
      <c r="E209" s="28"/>
      <c r="F209" s="8">
        <f t="shared" si="78"/>
        <v>0</v>
      </c>
      <c r="G209" s="26"/>
      <c r="H209" s="43"/>
      <c r="I209" s="8">
        <f t="shared" si="79"/>
        <v>0</v>
      </c>
      <c r="J209" s="64"/>
      <c r="K209" s="65"/>
      <c r="L209" s="56">
        <f t="shared" si="80"/>
        <v>0</v>
      </c>
      <c r="M209" s="8">
        <f t="shared" si="81"/>
        <v>0</v>
      </c>
      <c r="N209" s="116"/>
      <c r="O209" s="116"/>
    </row>
    <row r="210" spans="2:15" x14ac:dyDescent="0.15">
      <c r="B210" s="12" t="s">
        <v>4</v>
      </c>
      <c r="C210" s="26"/>
      <c r="D210" s="27"/>
      <c r="E210" s="28"/>
      <c r="F210" s="8">
        <f t="shared" ref="F210:F211" si="86">SUM(C210:E210)</f>
        <v>0</v>
      </c>
      <c r="G210" s="26"/>
      <c r="H210" s="43"/>
      <c r="I210" s="8">
        <f t="shared" ref="I210:I211" si="87">SUM(G210:H210)</f>
        <v>0</v>
      </c>
      <c r="J210" s="64"/>
      <c r="K210" s="65"/>
      <c r="L210" s="56">
        <f t="shared" ref="L210:L211" si="88">SUM(J210:K210)</f>
        <v>0</v>
      </c>
      <c r="M210" s="8">
        <f t="shared" ref="M210:M211" si="89">L210+I210+F210</f>
        <v>0</v>
      </c>
      <c r="N210" s="116"/>
      <c r="O210" s="116"/>
    </row>
    <row r="211" spans="2:15" ht="14.25" thickBot="1" x14ac:dyDescent="0.2">
      <c r="B211" s="11" t="s">
        <v>4</v>
      </c>
      <c r="C211" s="29"/>
      <c r="D211" s="30"/>
      <c r="E211" s="31"/>
      <c r="F211" s="54">
        <f t="shared" si="86"/>
        <v>0</v>
      </c>
      <c r="G211" s="29"/>
      <c r="H211" s="44"/>
      <c r="I211" s="54">
        <f t="shared" si="87"/>
        <v>0</v>
      </c>
      <c r="J211" s="66"/>
      <c r="K211" s="67"/>
      <c r="L211" s="57">
        <f t="shared" si="88"/>
        <v>0</v>
      </c>
      <c r="M211" s="54">
        <f t="shared" si="89"/>
        <v>0</v>
      </c>
      <c r="N211" s="116"/>
      <c r="O211" s="116"/>
    </row>
    <row r="212" spans="2:15" ht="14.25" thickBot="1" x14ac:dyDescent="0.2">
      <c r="B212" s="5" t="s">
        <v>1</v>
      </c>
      <c r="C212" s="32">
        <f>SUM(C206:C211)</f>
        <v>33</v>
      </c>
      <c r="D212" s="33">
        <f t="shared" ref="D212:I212" si="90">SUM(D206:D211)</f>
        <v>19</v>
      </c>
      <c r="E212" s="34">
        <f t="shared" si="90"/>
        <v>48</v>
      </c>
      <c r="F212" s="4">
        <f t="shared" si="90"/>
        <v>100</v>
      </c>
      <c r="G212" s="32">
        <f t="shared" si="90"/>
        <v>20</v>
      </c>
      <c r="H212" s="34">
        <f t="shared" si="90"/>
        <v>26</v>
      </c>
      <c r="I212" s="4">
        <f t="shared" si="90"/>
        <v>46</v>
      </c>
      <c r="J212" s="68">
        <f>SUM(J206:J211)</f>
        <v>17</v>
      </c>
      <c r="K212" s="69">
        <f t="shared" ref="K212:M212" si="91">SUM(K206:K211)</f>
        <v>15</v>
      </c>
      <c r="L212" s="58">
        <f t="shared" si="91"/>
        <v>32</v>
      </c>
      <c r="M212" s="4">
        <f t="shared" si="91"/>
        <v>178</v>
      </c>
      <c r="N212" s="116"/>
      <c r="O212" s="116"/>
    </row>
    <row r="213" spans="2:15" x14ac:dyDescent="0.15">
      <c r="B213" s="6" t="s">
        <v>16</v>
      </c>
      <c r="C213" s="26"/>
      <c r="D213" s="27"/>
      <c r="E213" s="28"/>
      <c r="F213" s="7">
        <f t="shared" ref="F213:F231" si="92">SUM(C213:E213)</f>
        <v>0</v>
      </c>
      <c r="G213" s="26">
        <v>1</v>
      </c>
      <c r="H213" s="43"/>
      <c r="I213" s="59">
        <f t="shared" ref="I213:I231" si="93">SUM(G213:H213)</f>
        <v>1</v>
      </c>
      <c r="J213" s="64"/>
      <c r="K213" s="65"/>
      <c r="L213" s="56">
        <f t="shared" ref="L213:L231" si="94">SUM(J213:K213)</f>
        <v>0</v>
      </c>
      <c r="M213" s="8">
        <f t="shared" ref="M213:M231" si="95">L213+I213+F213</f>
        <v>1</v>
      </c>
      <c r="N213" s="119">
        <v>45450</v>
      </c>
      <c r="O213" s="116"/>
    </row>
    <row r="214" spans="2:15" x14ac:dyDescent="0.15">
      <c r="B214" s="6" t="s">
        <v>16</v>
      </c>
      <c r="C214" s="26">
        <v>1</v>
      </c>
      <c r="D214" s="27">
        <v>2</v>
      </c>
      <c r="E214" s="28">
        <f>3+1</f>
        <v>4</v>
      </c>
      <c r="F214" s="7">
        <f t="shared" si="92"/>
        <v>7</v>
      </c>
      <c r="G214" s="26"/>
      <c r="H214" s="43"/>
      <c r="I214" s="59">
        <f t="shared" si="93"/>
        <v>0</v>
      </c>
      <c r="J214" s="64">
        <v>1</v>
      </c>
      <c r="K214" s="65"/>
      <c r="L214" s="56">
        <f t="shared" si="94"/>
        <v>1</v>
      </c>
      <c r="M214" s="8">
        <f t="shared" si="95"/>
        <v>8</v>
      </c>
      <c r="N214" s="119">
        <v>45453</v>
      </c>
      <c r="O214" s="116"/>
    </row>
    <row r="215" spans="2:15" x14ac:dyDescent="0.15">
      <c r="B215" s="6" t="s">
        <v>16</v>
      </c>
      <c r="C215" s="26">
        <v>1</v>
      </c>
      <c r="D215" s="27">
        <v>1</v>
      </c>
      <c r="E215" s="28"/>
      <c r="F215" s="7">
        <f t="shared" si="92"/>
        <v>2</v>
      </c>
      <c r="G215" s="26"/>
      <c r="H215" s="43"/>
      <c r="I215" s="59">
        <f t="shared" si="93"/>
        <v>0</v>
      </c>
      <c r="J215" s="64"/>
      <c r="K215" s="65"/>
      <c r="L215" s="56">
        <f t="shared" si="94"/>
        <v>0</v>
      </c>
      <c r="M215" s="8">
        <f t="shared" si="95"/>
        <v>2</v>
      </c>
      <c r="N215" s="119">
        <v>45454</v>
      </c>
      <c r="O215" s="116"/>
    </row>
    <row r="216" spans="2:15" x14ac:dyDescent="0.15">
      <c r="B216" s="6" t="s">
        <v>16</v>
      </c>
      <c r="C216" s="26">
        <v>1</v>
      </c>
      <c r="D216" s="27">
        <v>1</v>
      </c>
      <c r="E216" s="28">
        <v>1</v>
      </c>
      <c r="F216" s="7">
        <f t="shared" si="92"/>
        <v>3</v>
      </c>
      <c r="G216" s="26">
        <v>1</v>
      </c>
      <c r="H216" s="43">
        <v>1</v>
      </c>
      <c r="I216" s="59">
        <f t="shared" si="93"/>
        <v>2</v>
      </c>
      <c r="J216" s="64"/>
      <c r="K216" s="65"/>
      <c r="L216" s="56">
        <f t="shared" si="94"/>
        <v>0</v>
      </c>
      <c r="M216" s="8">
        <f t="shared" si="95"/>
        <v>5</v>
      </c>
      <c r="N216" s="119">
        <v>45457</v>
      </c>
      <c r="O216" s="116"/>
    </row>
    <row r="217" spans="2:15" x14ac:dyDescent="0.15">
      <c r="B217" s="6" t="s">
        <v>16</v>
      </c>
      <c r="C217" s="26"/>
      <c r="D217" s="27"/>
      <c r="E217" s="28"/>
      <c r="F217" s="7">
        <f t="shared" si="92"/>
        <v>0</v>
      </c>
      <c r="G217" s="26">
        <v>1</v>
      </c>
      <c r="H217" s="43"/>
      <c r="I217" s="59">
        <f t="shared" si="93"/>
        <v>1</v>
      </c>
      <c r="J217" s="64"/>
      <c r="K217" s="65">
        <v>1</v>
      </c>
      <c r="L217" s="56">
        <f t="shared" si="94"/>
        <v>1</v>
      </c>
      <c r="M217" s="8">
        <f t="shared" si="95"/>
        <v>2</v>
      </c>
      <c r="N217" s="119">
        <v>45458</v>
      </c>
      <c r="O217" s="116"/>
    </row>
    <row r="218" spans="2:15" x14ac:dyDescent="0.15">
      <c r="B218" s="6" t="s">
        <v>16</v>
      </c>
      <c r="C218" s="26">
        <v>3</v>
      </c>
      <c r="D218" s="27"/>
      <c r="E218" s="28">
        <v>5</v>
      </c>
      <c r="F218" s="7">
        <f t="shared" si="92"/>
        <v>8</v>
      </c>
      <c r="G218" s="26">
        <v>1</v>
      </c>
      <c r="H218" s="43">
        <v>1</v>
      </c>
      <c r="I218" s="59">
        <f t="shared" si="93"/>
        <v>2</v>
      </c>
      <c r="J218" s="64">
        <v>3</v>
      </c>
      <c r="K218" s="65">
        <v>1</v>
      </c>
      <c r="L218" s="56">
        <f t="shared" si="94"/>
        <v>4</v>
      </c>
      <c r="M218" s="8">
        <f t="shared" si="95"/>
        <v>14</v>
      </c>
      <c r="N218" s="119">
        <v>45460</v>
      </c>
      <c r="O218" s="116"/>
    </row>
    <row r="219" spans="2:15" x14ac:dyDescent="0.15">
      <c r="B219" s="6" t="s">
        <v>16</v>
      </c>
      <c r="C219" s="26"/>
      <c r="D219" s="27"/>
      <c r="E219" s="28"/>
      <c r="F219" s="7">
        <f t="shared" si="92"/>
        <v>0</v>
      </c>
      <c r="G219" s="26"/>
      <c r="H219" s="43">
        <v>1</v>
      </c>
      <c r="I219" s="59">
        <f t="shared" si="93"/>
        <v>1</v>
      </c>
      <c r="J219" s="64"/>
      <c r="K219" s="65"/>
      <c r="L219" s="56">
        <f t="shared" si="94"/>
        <v>0</v>
      </c>
      <c r="M219" s="8">
        <f t="shared" si="95"/>
        <v>1</v>
      </c>
      <c r="N219" s="119">
        <v>45461</v>
      </c>
      <c r="O219" s="116"/>
    </row>
    <row r="220" spans="2:15" x14ac:dyDescent="0.15">
      <c r="B220" s="6" t="s">
        <v>16</v>
      </c>
      <c r="C220" s="26"/>
      <c r="D220" s="27"/>
      <c r="E220" s="28"/>
      <c r="F220" s="7">
        <f t="shared" si="92"/>
        <v>0</v>
      </c>
      <c r="G220" s="26">
        <v>2</v>
      </c>
      <c r="H220" s="43"/>
      <c r="I220" s="59">
        <f t="shared" si="93"/>
        <v>2</v>
      </c>
      <c r="J220" s="64">
        <v>2</v>
      </c>
      <c r="K220" s="65"/>
      <c r="L220" s="56">
        <f t="shared" si="94"/>
        <v>2</v>
      </c>
      <c r="M220" s="8">
        <f t="shared" si="95"/>
        <v>4</v>
      </c>
      <c r="N220" s="119">
        <v>45463</v>
      </c>
      <c r="O220" s="116"/>
    </row>
    <row r="221" spans="2:15" x14ac:dyDescent="0.15">
      <c r="B221" s="6" t="s">
        <v>16</v>
      </c>
      <c r="C221" s="26">
        <v>1</v>
      </c>
      <c r="D221" s="27"/>
      <c r="E221" s="28">
        <v>1</v>
      </c>
      <c r="F221" s="7">
        <f t="shared" si="92"/>
        <v>2</v>
      </c>
      <c r="G221" s="26"/>
      <c r="H221" s="43"/>
      <c r="I221" s="59">
        <f t="shared" si="93"/>
        <v>0</v>
      </c>
      <c r="J221" s="64"/>
      <c r="K221" s="65"/>
      <c r="L221" s="56">
        <f t="shared" si="94"/>
        <v>0</v>
      </c>
      <c r="M221" s="8">
        <f t="shared" si="95"/>
        <v>2</v>
      </c>
      <c r="N221" s="119">
        <v>45464</v>
      </c>
      <c r="O221" s="116"/>
    </row>
    <row r="222" spans="2:15" x14ac:dyDescent="0.15">
      <c r="B222" s="6" t="s">
        <v>16</v>
      </c>
      <c r="C222" s="26"/>
      <c r="D222" s="27"/>
      <c r="E222" s="28"/>
      <c r="F222" s="7">
        <f t="shared" si="92"/>
        <v>0</v>
      </c>
      <c r="G222" s="26"/>
      <c r="H222" s="43">
        <v>1</v>
      </c>
      <c r="I222" s="59">
        <f t="shared" si="93"/>
        <v>1</v>
      </c>
      <c r="J222" s="64"/>
      <c r="K222" s="65"/>
      <c r="L222" s="56">
        <f t="shared" si="94"/>
        <v>0</v>
      </c>
      <c r="M222" s="8">
        <f t="shared" si="95"/>
        <v>1</v>
      </c>
      <c r="N222" s="119">
        <v>45467</v>
      </c>
      <c r="O222" s="116"/>
    </row>
    <row r="223" spans="2:15" x14ac:dyDescent="0.15">
      <c r="B223" s="6" t="s">
        <v>16</v>
      </c>
      <c r="C223" s="26">
        <v>5</v>
      </c>
      <c r="D223" s="27">
        <v>2</v>
      </c>
      <c r="E223" s="28">
        <v>5</v>
      </c>
      <c r="F223" s="7">
        <f t="shared" si="92"/>
        <v>12</v>
      </c>
      <c r="G223" s="26">
        <v>3</v>
      </c>
      <c r="H223" s="43">
        <v>1</v>
      </c>
      <c r="I223" s="59">
        <f t="shared" si="93"/>
        <v>4</v>
      </c>
      <c r="J223" s="64">
        <v>1</v>
      </c>
      <c r="K223" s="65">
        <v>2</v>
      </c>
      <c r="L223" s="56">
        <f t="shared" si="94"/>
        <v>3</v>
      </c>
      <c r="M223" s="8">
        <f t="shared" si="95"/>
        <v>19</v>
      </c>
      <c r="N223" s="119">
        <v>45467</v>
      </c>
      <c r="O223" s="116"/>
    </row>
    <row r="224" spans="2:15" x14ac:dyDescent="0.15">
      <c r="B224" s="6" t="s">
        <v>16</v>
      </c>
      <c r="C224" s="26"/>
      <c r="D224" s="27">
        <v>1</v>
      </c>
      <c r="E224" s="28"/>
      <c r="F224" s="7">
        <f t="shared" si="92"/>
        <v>1</v>
      </c>
      <c r="G224" s="26">
        <v>2</v>
      </c>
      <c r="H224" s="43"/>
      <c r="I224" s="59">
        <f t="shared" si="93"/>
        <v>2</v>
      </c>
      <c r="J224" s="64"/>
      <c r="K224" s="65"/>
      <c r="L224" s="56">
        <f t="shared" si="94"/>
        <v>0</v>
      </c>
      <c r="M224" s="8">
        <f t="shared" si="95"/>
        <v>3</v>
      </c>
      <c r="N224" s="119">
        <v>45468</v>
      </c>
      <c r="O224" s="116"/>
    </row>
    <row r="225" spans="2:15" x14ac:dyDescent="0.15">
      <c r="B225" s="6" t="s">
        <v>16</v>
      </c>
      <c r="C225" s="26">
        <f>2+1</f>
        <v>3</v>
      </c>
      <c r="D225" s="27"/>
      <c r="E225" s="28">
        <v>3</v>
      </c>
      <c r="F225" s="7">
        <f t="shared" si="92"/>
        <v>6</v>
      </c>
      <c r="G225" s="26">
        <f>1+2</f>
        <v>3</v>
      </c>
      <c r="H225" s="43">
        <v>2</v>
      </c>
      <c r="I225" s="59">
        <f t="shared" si="93"/>
        <v>5</v>
      </c>
      <c r="J225" s="64">
        <v>2</v>
      </c>
      <c r="K225" s="65">
        <f>1+1</f>
        <v>2</v>
      </c>
      <c r="L225" s="56">
        <f t="shared" si="94"/>
        <v>4</v>
      </c>
      <c r="M225" s="8">
        <f t="shared" si="95"/>
        <v>15</v>
      </c>
      <c r="N225" s="119">
        <v>45469</v>
      </c>
      <c r="O225" s="116"/>
    </row>
    <row r="226" spans="2:15" x14ac:dyDescent="0.15">
      <c r="B226" s="6" t="s">
        <v>16</v>
      </c>
      <c r="C226" s="26">
        <v>1</v>
      </c>
      <c r="D226" s="27"/>
      <c r="E226" s="28"/>
      <c r="F226" s="7">
        <f t="shared" si="92"/>
        <v>1</v>
      </c>
      <c r="G226" s="26"/>
      <c r="H226" s="43"/>
      <c r="I226" s="59">
        <f t="shared" si="93"/>
        <v>0</v>
      </c>
      <c r="J226" s="64">
        <v>1</v>
      </c>
      <c r="K226" s="65"/>
      <c r="L226" s="56">
        <f t="shared" si="94"/>
        <v>1</v>
      </c>
      <c r="M226" s="8">
        <f t="shared" si="95"/>
        <v>2</v>
      </c>
      <c r="N226" s="119">
        <v>45470</v>
      </c>
      <c r="O226" s="116"/>
    </row>
    <row r="227" spans="2:15" x14ac:dyDescent="0.15">
      <c r="B227" s="6"/>
      <c r="C227" s="26"/>
      <c r="D227" s="27"/>
      <c r="E227" s="28"/>
      <c r="F227" s="7">
        <f t="shared" si="92"/>
        <v>0</v>
      </c>
      <c r="G227" s="26"/>
      <c r="H227" s="43"/>
      <c r="I227" s="59">
        <f t="shared" si="93"/>
        <v>0</v>
      </c>
      <c r="J227" s="64"/>
      <c r="K227" s="65"/>
      <c r="L227" s="56">
        <f t="shared" si="94"/>
        <v>0</v>
      </c>
      <c r="M227" s="8">
        <f t="shared" si="95"/>
        <v>0</v>
      </c>
      <c r="N227" s="116"/>
      <c r="O227" s="116"/>
    </row>
    <row r="228" spans="2:15" x14ac:dyDescent="0.15">
      <c r="B228" s="6"/>
      <c r="C228" s="26"/>
      <c r="D228" s="27"/>
      <c r="E228" s="28"/>
      <c r="F228" s="7">
        <f t="shared" si="92"/>
        <v>0</v>
      </c>
      <c r="G228" s="26"/>
      <c r="H228" s="43"/>
      <c r="I228" s="59">
        <f t="shared" si="93"/>
        <v>0</v>
      </c>
      <c r="J228" s="64"/>
      <c r="K228" s="65"/>
      <c r="L228" s="56">
        <f t="shared" si="94"/>
        <v>0</v>
      </c>
      <c r="M228" s="8">
        <f t="shared" si="95"/>
        <v>0</v>
      </c>
      <c r="N228" s="116"/>
      <c r="O228" s="116"/>
    </row>
    <row r="229" spans="2:15" x14ac:dyDescent="0.15">
      <c r="B229" s="6"/>
      <c r="C229" s="26"/>
      <c r="D229" s="27"/>
      <c r="E229" s="28"/>
      <c r="F229" s="7">
        <f t="shared" si="92"/>
        <v>0</v>
      </c>
      <c r="G229" s="26"/>
      <c r="H229" s="43"/>
      <c r="I229" s="59">
        <f t="shared" si="93"/>
        <v>0</v>
      </c>
      <c r="J229" s="64"/>
      <c r="K229" s="65"/>
      <c r="L229" s="56">
        <f t="shared" si="94"/>
        <v>0</v>
      </c>
      <c r="M229" s="8">
        <f t="shared" si="95"/>
        <v>0</v>
      </c>
      <c r="N229" s="116"/>
      <c r="O229" s="116"/>
    </row>
    <row r="230" spans="2:15" x14ac:dyDescent="0.15">
      <c r="B230" s="6"/>
      <c r="C230" s="26"/>
      <c r="D230" s="27"/>
      <c r="E230" s="28"/>
      <c r="F230" s="7">
        <f t="shared" si="92"/>
        <v>0</v>
      </c>
      <c r="G230" s="26"/>
      <c r="H230" s="43"/>
      <c r="I230" s="59">
        <f t="shared" si="93"/>
        <v>0</v>
      </c>
      <c r="J230" s="64"/>
      <c r="K230" s="65"/>
      <c r="L230" s="56">
        <f t="shared" si="94"/>
        <v>0</v>
      </c>
      <c r="M230" s="8">
        <f t="shared" si="95"/>
        <v>0</v>
      </c>
      <c r="N230" s="116"/>
      <c r="O230" s="116"/>
    </row>
    <row r="231" spans="2:15" x14ac:dyDescent="0.15">
      <c r="B231" s="6"/>
      <c r="C231" s="26"/>
      <c r="D231" s="27"/>
      <c r="E231" s="28"/>
      <c r="F231" s="7">
        <f t="shared" si="92"/>
        <v>0</v>
      </c>
      <c r="G231" s="26"/>
      <c r="H231" s="43"/>
      <c r="I231" s="59">
        <f t="shared" si="93"/>
        <v>0</v>
      </c>
      <c r="J231" s="64"/>
      <c r="K231" s="65"/>
      <c r="L231" s="56">
        <f t="shared" si="94"/>
        <v>0</v>
      </c>
      <c r="M231" s="8">
        <f t="shared" si="95"/>
        <v>0</v>
      </c>
      <c r="N231" s="116"/>
      <c r="O231" s="116"/>
    </row>
    <row r="232" spans="2:15" x14ac:dyDescent="0.15">
      <c r="B232" s="6"/>
      <c r="C232" s="26"/>
      <c r="D232" s="27"/>
      <c r="E232" s="28"/>
      <c r="F232" s="7">
        <f t="shared" ref="F232:F237" si="96">SUM(C232:E232)</f>
        <v>0</v>
      </c>
      <c r="G232" s="26"/>
      <c r="H232" s="43"/>
      <c r="I232" s="59">
        <f t="shared" ref="I232:I237" si="97">SUM(G232:H232)</f>
        <v>0</v>
      </c>
      <c r="J232" s="64"/>
      <c r="K232" s="65"/>
      <c r="L232" s="56">
        <f t="shared" ref="L232:L237" si="98">SUM(J232:K232)</f>
        <v>0</v>
      </c>
      <c r="M232" s="8">
        <f t="shared" ref="M232:M239" si="99">L232+I232+F232</f>
        <v>0</v>
      </c>
      <c r="N232" s="116"/>
      <c r="O232" s="116"/>
    </row>
    <row r="233" spans="2:15" x14ac:dyDescent="0.15">
      <c r="B233" s="6"/>
      <c r="C233" s="26"/>
      <c r="D233" s="27"/>
      <c r="E233" s="28"/>
      <c r="F233" s="7">
        <f t="shared" si="96"/>
        <v>0</v>
      </c>
      <c r="G233" s="26"/>
      <c r="H233" s="43"/>
      <c r="I233" s="59">
        <f t="shared" si="97"/>
        <v>0</v>
      </c>
      <c r="J233" s="64"/>
      <c r="K233" s="65"/>
      <c r="L233" s="56">
        <f t="shared" si="98"/>
        <v>0</v>
      </c>
      <c r="M233" s="8">
        <f t="shared" si="99"/>
        <v>0</v>
      </c>
      <c r="N233" s="116"/>
      <c r="O233" s="116"/>
    </row>
    <row r="234" spans="2:15" x14ac:dyDescent="0.15">
      <c r="B234" s="6"/>
      <c r="C234" s="26"/>
      <c r="D234" s="27"/>
      <c r="E234" s="28"/>
      <c r="F234" s="7">
        <f t="shared" si="96"/>
        <v>0</v>
      </c>
      <c r="G234" s="26"/>
      <c r="H234" s="43"/>
      <c r="I234" s="59">
        <f t="shared" si="97"/>
        <v>0</v>
      </c>
      <c r="J234" s="64"/>
      <c r="K234" s="65"/>
      <c r="L234" s="56">
        <f t="shared" si="98"/>
        <v>0</v>
      </c>
      <c r="M234" s="8">
        <f t="shared" si="99"/>
        <v>0</v>
      </c>
      <c r="N234" s="116"/>
      <c r="O234" s="116"/>
    </row>
    <row r="235" spans="2:15" x14ac:dyDescent="0.15">
      <c r="B235" s="6"/>
      <c r="C235" s="26"/>
      <c r="D235" s="27"/>
      <c r="E235" s="28"/>
      <c r="F235" s="7">
        <f t="shared" si="96"/>
        <v>0</v>
      </c>
      <c r="G235" s="26"/>
      <c r="H235" s="43"/>
      <c r="I235" s="59">
        <f t="shared" si="97"/>
        <v>0</v>
      </c>
      <c r="J235" s="64"/>
      <c r="K235" s="65"/>
      <c r="L235" s="56">
        <f t="shared" si="98"/>
        <v>0</v>
      </c>
      <c r="M235" s="8">
        <f t="shared" si="99"/>
        <v>0</v>
      </c>
      <c r="N235" s="116"/>
      <c r="O235" s="116"/>
    </row>
    <row r="236" spans="2:15" x14ac:dyDescent="0.15">
      <c r="B236" s="6"/>
      <c r="C236" s="26"/>
      <c r="D236" s="27"/>
      <c r="E236" s="28"/>
      <c r="F236" s="7">
        <f t="shared" si="96"/>
        <v>0</v>
      </c>
      <c r="G236" s="26"/>
      <c r="H236" s="43"/>
      <c r="I236" s="59">
        <f t="shared" si="97"/>
        <v>0</v>
      </c>
      <c r="J236" s="64"/>
      <c r="K236" s="65"/>
      <c r="L236" s="56">
        <f t="shared" si="98"/>
        <v>0</v>
      </c>
      <c r="M236" s="8">
        <f t="shared" si="99"/>
        <v>0</v>
      </c>
      <c r="N236" s="116"/>
      <c r="O236" s="116"/>
    </row>
    <row r="237" spans="2:15" ht="14.25" thickBot="1" x14ac:dyDescent="0.2">
      <c r="B237" s="6"/>
      <c r="C237" s="26"/>
      <c r="D237" s="27"/>
      <c r="E237" s="28"/>
      <c r="F237" s="7">
        <f t="shared" si="96"/>
        <v>0</v>
      </c>
      <c r="G237" s="26"/>
      <c r="H237" s="43"/>
      <c r="I237" s="59">
        <f t="shared" si="97"/>
        <v>0</v>
      </c>
      <c r="J237" s="66"/>
      <c r="K237" s="67"/>
      <c r="L237" s="57">
        <f t="shared" si="98"/>
        <v>0</v>
      </c>
      <c r="M237" s="54">
        <f t="shared" si="99"/>
        <v>0</v>
      </c>
      <c r="N237" s="116"/>
      <c r="O237" s="116"/>
    </row>
    <row r="238" spans="2:15" ht="14.25" thickBot="1" x14ac:dyDescent="0.2">
      <c r="B238" s="5" t="s">
        <v>2</v>
      </c>
      <c r="C238" s="32">
        <f>SUM(C213:C237)</f>
        <v>16</v>
      </c>
      <c r="D238" s="33">
        <f t="shared" ref="D238:I238" si="100">SUM(D213:D237)</f>
        <v>7</v>
      </c>
      <c r="E238" s="34">
        <f t="shared" si="100"/>
        <v>19</v>
      </c>
      <c r="F238" s="4">
        <f t="shared" si="100"/>
        <v>42</v>
      </c>
      <c r="G238" s="32">
        <f t="shared" si="100"/>
        <v>14</v>
      </c>
      <c r="H238" s="34">
        <f t="shared" si="100"/>
        <v>7</v>
      </c>
      <c r="I238" s="4">
        <f t="shared" si="100"/>
        <v>21</v>
      </c>
      <c r="J238" s="32">
        <f>SUM(J213:J237)</f>
        <v>10</v>
      </c>
      <c r="K238" s="69">
        <f t="shared" ref="K238:L238" si="101">SUM(K213:K237)</f>
        <v>6</v>
      </c>
      <c r="L238" s="58">
        <f t="shared" si="101"/>
        <v>16</v>
      </c>
      <c r="M238" s="4">
        <f t="shared" si="99"/>
        <v>79</v>
      </c>
      <c r="N238" s="116"/>
      <c r="O238" s="116"/>
    </row>
    <row r="239" spans="2:15" ht="14.25" thickBot="1" x14ac:dyDescent="0.2">
      <c r="B239" s="3" t="s">
        <v>3</v>
      </c>
      <c r="C239" s="38">
        <f>+C212-C238</f>
        <v>17</v>
      </c>
      <c r="D239" s="39">
        <f t="shared" ref="D239:F239" si="102">+D212-D238</f>
        <v>12</v>
      </c>
      <c r="E239" s="40">
        <f t="shared" si="102"/>
        <v>29</v>
      </c>
      <c r="F239" s="2">
        <f t="shared" si="102"/>
        <v>58</v>
      </c>
      <c r="G239" s="38">
        <f>+G212-G238</f>
        <v>6</v>
      </c>
      <c r="H239" s="40">
        <f t="shared" ref="H239:I239" si="103">+H212-H238</f>
        <v>19</v>
      </c>
      <c r="I239" s="60">
        <f t="shared" si="103"/>
        <v>25</v>
      </c>
      <c r="J239" s="70">
        <f>+J212-J238</f>
        <v>7</v>
      </c>
      <c r="K239" s="71">
        <f t="shared" ref="K239:L239" si="104">+K212-K238</f>
        <v>9</v>
      </c>
      <c r="L239" s="73">
        <f t="shared" si="104"/>
        <v>16</v>
      </c>
      <c r="M239" s="61">
        <f t="shared" si="99"/>
        <v>99</v>
      </c>
      <c r="N239" s="116"/>
      <c r="O239" s="116"/>
    </row>
    <row r="240" spans="2:15" x14ac:dyDescent="0.15">
      <c r="N240" s="116"/>
      <c r="O240" s="116"/>
    </row>
    <row r="241" spans="1:15" ht="18.75" x14ac:dyDescent="0.2">
      <c r="B241" s="17" t="s">
        <v>7</v>
      </c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16"/>
      <c r="O241" s="116"/>
    </row>
    <row r="242" spans="1:15" ht="17.25" x14ac:dyDescent="0.2">
      <c r="B242" s="19" t="s">
        <v>14</v>
      </c>
      <c r="C242" s="18"/>
      <c r="D242" s="18"/>
      <c r="E242" s="18"/>
      <c r="F242" s="18"/>
      <c r="G242" s="18"/>
      <c r="H242" s="18"/>
      <c r="I242" s="19" t="s">
        <v>53</v>
      </c>
      <c r="J242" s="18"/>
      <c r="K242" s="18"/>
      <c r="L242" s="18"/>
      <c r="M242" s="18"/>
      <c r="N242" s="116"/>
      <c r="O242" s="116"/>
    </row>
    <row r="243" spans="1:15" ht="14.25" thickBot="1" x14ac:dyDescent="0.2">
      <c r="N243" s="116"/>
      <c r="O243" s="116"/>
    </row>
    <row r="244" spans="1:15" ht="14.25" thickBot="1" x14ac:dyDescent="0.2">
      <c r="B244" s="15"/>
      <c r="C244" s="211" t="s">
        <v>8</v>
      </c>
      <c r="D244" s="212"/>
      <c r="E244" s="212"/>
      <c r="F244" s="213"/>
      <c r="G244" s="211" t="s">
        <v>11</v>
      </c>
      <c r="H244" s="212"/>
      <c r="I244" s="212"/>
      <c r="J244" s="214" t="s">
        <v>49</v>
      </c>
      <c r="K244" s="215"/>
      <c r="L244" s="216"/>
      <c r="M244" s="16"/>
      <c r="N244" s="116"/>
      <c r="O244" s="116"/>
    </row>
    <row r="245" spans="1:15" ht="14.25" thickBot="1" x14ac:dyDescent="0.2">
      <c r="A245" s="1"/>
      <c r="B245" s="14"/>
      <c r="C245" s="20" t="s">
        <v>6</v>
      </c>
      <c r="D245" s="21" t="s">
        <v>9</v>
      </c>
      <c r="E245" s="22" t="s">
        <v>10</v>
      </c>
      <c r="F245" s="13" t="s">
        <v>0</v>
      </c>
      <c r="G245" s="41" t="s">
        <v>9</v>
      </c>
      <c r="H245" s="42" t="s">
        <v>13</v>
      </c>
      <c r="I245" s="14" t="s">
        <v>0</v>
      </c>
      <c r="J245" s="76" t="s">
        <v>50</v>
      </c>
      <c r="K245" s="77" t="s">
        <v>51</v>
      </c>
      <c r="L245" s="5" t="s">
        <v>0</v>
      </c>
      <c r="M245" s="13" t="s">
        <v>0</v>
      </c>
      <c r="N245" s="116"/>
      <c r="O245" s="116"/>
    </row>
    <row r="246" spans="1:15" x14ac:dyDescent="0.15">
      <c r="B246" s="46" t="s">
        <v>3</v>
      </c>
      <c r="C246" s="47">
        <f>C239</f>
        <v>17</v>
      </c>
      <c r="D246" s="50">
        <f t="shared" ref="D246:K246" si="105">D239</f>
        <v>12</v>
      </c>
      <c r="E246" s="48">
        <f t="shared" si="105"/>
        <v>29</v>
      </c>
      <c r="F246" s="49">
        <f t="shared" si="105"/>
        <v>58</v>
      </c>
      <c r="G246" s="47">
        <f t="shared" si="105"/>
        <v>6</v>
      </c>
      <c r="H246" s="48">
        <f t="shared" si="105"/>
        <v>19</v>
      </c>
      <c r="I246" s="49">
        <f t="shared" si="105"/>
        <v>25</v>
      </c>
      <c r="J246" s="47">
        <f t="shared" si="105"/>
        <v>7</v>
      </c>
      <c r="K246" s="48">
        <f t="shared" si="105"/>
        <v>9</v>
      </c>
      <c r="L246" s="72">
        <f t="shared" ref="L246" si="106">L239</f>
        <v>16</v>
      </c>
      <c r="M246" s="78">
        <f>L246+I246+F246</f>
        <v>99</v>
      </c>
      <c r="N246" s="116"/>
      <c r="O246" s="116"/>
    </row>
    <row r="247" spans="1:15" x14ac:dyDescent="0.15">
      <c r="B247" s="12" t="s">
        <v>4</v>
      </c>
      <c r="C247" s="26"/>
      <c r="D247" s="27"/>
      <c r="E247" s="28"/>
      <c r="F247" s="8">
        <f t="shared" ref="F247:F249" si="107">SUM(C247:E247)</f>
        <v>0</v>
      </c>
      <c r="G247" s="26"/>
      <c r="H247" s="43"/>
      <c r="I247" s="8">
        <f t="shared" ref="I247:I251" si="108">SUM(G247:H247)</f>
        <v>0</v>
      </c>
      <c r="J247" s="64"/>
      <c r="K247" s="65"/>
      <c r="L247" s="56">
        <f t="shared" ref="L247:L251" si="109">SUM(J247:K247)</f>
        <v>0</v>
      </c>
      <c r="M247" s="8">
        <f t="shared" ref="M247:M251" si="110">L247+I247+F247</f>
        <v>0</v>
      </c>
      <c r="N247" s="116"/>
      <c r="O247" s="116"/>
    </row>
    <row r="248" spans="1:15" x14ac:dyDescent="0.15">
      <c r="B248" s="12" t="s">
        <v>4</v>
      </c>
      <c r="C248" s="26">
        <v>90</v>
      </c>
      <c r="D248" s="27">
        <v>60</v>
      </c>
      <c r="E248" s="28">
        <v>110</v>
      </c>
      <c r="F248" s="8">
        <f t="shared" si="107"/>
        <v>260</v>
      </c>
      <c r="G248" s="26">
        <v>90</v>
      </c>
      <c r="H248" s="43">
        <v>40</v>
      </c>
      <c r="I248" s="8">
        <f t="shared" si="108"/>
        <v>130</v>
      </c>
      <c r="J248" s="64">
        <v>75</v>
      </c>
      <c r="K248" s="65">
        <v>35</v>
      </c>
      <c r="L248" s="56">
        <f t="shared" si="109"/>
        <v>110</v>
      </c>
      <c r="M248" s="8">
        <f t="shared" si="110"/>
        <v>500</v>
      </c>
      <c r="N248" s="119" t="s">
        <v>54</v>
      </c>
      <c r="O248" s="116"/>
    </row>
    <row r="249" spans="1:15" x14ac:dyDescent="0.15">
      <c r="B249" s="12" t="s">
        <v>4</v>
      </c>
      <c r="C249" s="26">
        <v>60</v>
      </c>
      <c r="D249" s="27">
        <v>10</v>
      </c>
      <c r="E249" s="28">
        <v>100</v>
      </c>
      <c r="F249" s="8">
        <f t="shared" si="107"/>
        <v>170</v>
      </c>
      <c r="G249" s="26">
        <v>40</v>
      </c>
      <c r="H249" s="43">
        <v>40</v>
      </c>
      <c r="I249" s="8">
        <f t="shared" si="108"/>
        <v>80</v>
      </c>
      <c r="J249" s="64">
        <v>30</v>
      </c>
      <c r="K249" s="65">
        <v>40</v>
      </c>
      <c r="L249" s="56">
        <f t="shared" si="109"/>
        <v>70</v>
      </c>
      <c r="M249" s="8">
        <f t="shared" si="110"/>
        <v>320</v>
      </c>
      <c r="N249" s="119" t="s">
        <v>55</v>
      </c>
      <c r="O249" s="116"/>
    </row>
    <row r="250" spans="1:15" x14ac:dyDescent="0.15">
      <c r="B250" s="12" t="s">
        <v>4</v>
      </c>
      <c r="C250" s="26">
        <v>30</v>
      </c>
      <c r="D250" s="27"/>
      <c r="E250" s="28"/>
      <c r="F250" s="8">
        <f t="shared" ref="F250:F251" si="111">SUM(C250:E250)</f>
        <v>30</v>
      </c>
      <c r="G250" s="26">
        <v>10</v>
      </c>
      <c r="H250" s="43">
        <v>10</v>
      </c>
      <c r="I250" s="8">
        <f t="shared" si="108"/>
        <v>20</v>
      </c>
      <c r="J250" s="64">
        <v>10</v>
      </c>
      <c r="K250" s="65">
        <v>10</v>
      </c>
      <c r="L250" s="56">
        <f t="shared" si="109"/>
        <v>20</v>
      </c>
      <c r="M250" s="8">
        <f t="shared" si="110"/>
        <v>70</v>
      </c>
      <c r="N250" s="119" t="s">
        <v>57</v>
      </c>
      <c r="O250" s="116"/>
    </row>
    <row r="251" spans="1:15" ht="14.25" thickBot="1" x14ac:dyDescent="0.2">
      <c r="B251" s="11" t="s">
        <v>4</v>
      </c>
      <c r="C251" s="29"/>
      <c r="D251" s="30"/>
      <c r="E251" s="31"/>
      <c r="F251" s="54">
        <f t="shared" si="111"/>
        <v>0</v>
      </c>
      <c r="G251" s="29"/>
      <c r="H251" s="44"/>
      <c r="I251" s="54">
        <f t="shared" si="108"/>
        <v>0</v>
      </c>
      <c r="J251" s="66"/>
      <c r="K251" s="67"/>
      <c r="L251" s="57">
        <f t="shared" si="109"/>
        <v>0</v>
      </c>
      <c r="M251" s="54">
        <f t="shared" si="110"/>
        <v>0</v>
      </c>
      <c r="N251" s="119"/>
      <c r="O251" s="116"/>
    </row>
    <row r="252" spans="1:15" ht="14.25" thickBot="1" x14ac:dyDescent="0.2">
      <c r="B252" s="5" t="s">
        <v>1</v>
      </c>
      <c r="C252" s="32">
        <f>SUM(C246:C251)</f>
        <v>197</v>
      </c>
      <c r="D252" s="33">
        <f t="shared" ref="D252:I252" si="112">SUM(D246:D251)</f>
        <v>82</v>
      </c>
      <c r="E252" s="34">
        <f t="shared" si="112"/>
        <v>239</v>
      </c>
      <c r="F252" s="4">
        <f t="shared" si="112"/>
        <v>518</v>
      </c>
      <c r="G252" s="32">
        <f t="shared" si="112"/>
        <v>146</v>
      </c>
      <c r="H252" s="34">
        <f t="shared" si="112"/>
        <v>109</v>
      </c>
      <c r="I252" s="4">
        <f t="shared" si="112"/>
        <v>255</v>
      </c>
      <c r="J252" s="68">
        <f>SUM(J246:J251)</f>
        <v>122</v>
      </c>
      <c r="K252" s="69">
        <f t="shared" ref="K252:M252" si="113">SUM(K246:K251)</f>
        <v>94</v>
      </c>
      <c r="L252" s="58">
        <f t="shared" si="113"/>
        <v>216</v>
      </c>
      <c r="M252" s="4">
        <f t="shared" si="113"/>
        <v>989</v>
      </c>
      <c r="N252" s="116"/>
      <c r="O252" s="116"/>
    </row>
    <row r="253" spans="1:15" x14ac:dyDescent="0.15">
      <c r="B253" s="6" t="s">
        <v>16</v>
      </c>
      <c r="C253" s="26">
        <v>7</v>
      </c>
      <c r="D253" s="27">
        <v>2</v>
      </c>
      <c r="E253" s="28">
        <v>3</v>
      </c>
      <c r="F253" s="7">
        <f t="shared" ref="F253:F277" si="114">SUM(C253:E253)</f>
        <v>12</v>
      </c>
      <c r="G253" s="26">
        <v>1</v>
      </c>
      <c r="H253" s="43">
        <v>2</v>
      </c>
      <c r="I253" s="59">
        <f t="shared" ref="I253:I277" si="115">SUM(G253:H253)</f>
        <v>3</v>
      </c>
      <c r="J253" s="64">
        <v>2</v>
      </c>
      <c r="K253" s="65"/>
      <c r="L253" s="56">
        <f t="shared" ref="L253:L277" si="116">SUM(J253:K253)</f>
        <v>2</v>
      </c>
      <c r="M253" s="8">
        <f t="shared" ref="M253:M279" si="117">L253+I253+F253</f>
        <v>17</v>
      </c>
      <c r="N253" s="119">
        <v>45474</v>
      </c>
      <c r="O253" s="116"/>
    </row>
    <row r="254" spans="1:15" x14ac:dyDescent="0.15">
      <c r="B254" s="6" t="s">
        <v>16</v>
      </c>
      <c r="C254" s="26">
        <v>1</v>
      </c>
      <c r="D254" s="27"/>
      <c r="E254" s="28">
        <v>1</v>
      </c>
      <c r="F254" s="7">
        <f t="shared" si="114"/>
        <v>2</v>
      </c>
      <c r="G254" s="26"/>
      <c r="H254" s="43"/>
      <c r="I254" s="59">
        <f t="shared" si="115"/>
        <v>0</v>
      </c>
      <c r="J254" s="64"/>
      <c r="K254" s="65"/>
      <c r="L254" s="56">
        <f t="shared" si="116"/>
        <v>0</v>
      </c>
      <c r="M254" s="8">
        <f t="shared" si="117"/>
        <v>2</v>
      </c>
      <c r="N254" s="119">
        <v>45475</v>
      </c>
      <c r="O254" s="116"/>
    </row>
    <row r="255" spans="1:15" x14ac:dyDescent="0.15">
      <c r="B255" s="6" t="s">
        <v>16</v>
      </c>
      <c r="C255" s="26"/>
      <c r="D255" s="27"/>
      <c r="E255" s="28"/>
      <c r="F255" s="7">
        <f t="shared" si="114"/>
        <v>0</v>
      </c>
      <c r="G255" s="26">
        <v>1</v>
      </c>
      <c r="H255" s="43"/>
      <c r="I255" s="59">
        <f t="shared" si="115"/>
        <v>1</v>
      </c>
      <c r="J255" s="64">
        <v>1</v>
      </c>
      <c r="K255" s="65"/>
      <c r="L255" s="56">
        <f t="shared" si="116"/>
        <v>1</v>
      </c>
      <c r="M255" s="8">
        <f t="shared" si="117"/>
        <v>2</v>
      </c>
      <c r="N255" s="119">
        <v>45476</v>
      </c>
      <c r="O255" s="116"/>
    </row>
    <row r="256" spans="1:15" x14ac:dyDescent="0.15">
      <c r="B256" s="6" t="s">
        <v>16</v>
      </c>
      <c r="C256" s="26"/>
      <c r="D256" s="27"/>
      <c r="E256" s="28"/>
      <c r="F256" s="7">
        <f t="shared" si="114"/>
        <v>0</v>
      </c>
      <c r="G256" s="26"/>
      <c r="H256" s="43">
        <v>1</v>
      </c>
      <c r="I256" s="59">
        <f t="shared" si="115"/>
        <v>1</v>
      </c>
      <c r="J256" s="64">
        <v>1</v>
      </c>
      <c r="K256" s="65">
        <v>1</v>
      </c>
      <c r="L256" s="56">
        <f t="shared" si="116"/>
        <v>2</v>
      </c>
      <c r="M256" s="8">
        <f t="shared" si="117"/>
        <v>3</v>
      </c>
      <c r="N256" s="119">
        <v>45477</v>
      </c>
      <c r="O256" s="116"/>
    </row>
    <row r="257" spans="2:15" x14ac:dyDescent="0.15">
      <c r="B257" s="6" t="s">
        <v>16</v>
      </c>
      <c r="C257" s="26">
        <f>2+3</f>
        <v>5</v>
      </c>
      <c r="D257" s="27"/>
      <c r="E257" s="28">
        <f>7+8</f>
        <v>15</v>
      </c>
      <c r="F257" s="7">
        <f t="shared" si="114"/>
        <v>20</v>
      </c>
      <c r="G257" s="26">
        <f>1+3</f>
        <v>4</v>
      </c>
      <c r="H257" s="43">
        <f>2+4</f>
        <v>6</v>
      </c>
      <c r="I257" s="59">
        <f t="shared" si="115"/>
        <v>10</v>
      </c>
      <c r="J257" s="64">
        <f>1+1</f>
        <v>2</v>
      </c>
      <c r="K257" s="65">
        <v>1</v>
      </c>
      <c r="L257" s="56">
        <f t="shared" si="116"/>
        <v>3</v>
      </c>
      <c r="M257" s="8">
        <f t="shared" si="117"/>
        <v>33</v>
      </c>
      <c r="N257" s="119">
        <v>45478</v>
      </c>
      <c r="O257" s="116"/>
    </row>
    <row r="258" spans="2:15" x14ac:dyDescent="0.15">
      <c r="B258" s="6" t="s">
        <v>16</v>
      </c>
      <c r="C258" s="26">
        <v>7</v>
      </c>
      <c r="D258" s="27">
        <v>1</v>
      </c>
      <c r="E258" s="28">
        <v>6</v>
      </c>
      <c r="F258" s="7">
        <f t="shared" si="114"/>
        <v>14</v>
      </c>
      <c r="G258" s="26">
        <v>1</v>
      </c>
      <c r="H258" s="43">
        <v>3</v>
      </c>
      <c r="I258" s="59">
        <f t="shared" si="115"/>
        <v>4</v>
      </c>
      <c r="J258" s="64">
        <v>3</v>
      </c>
      <c r="K258" s="65">
        <v>1</v>
      </c>
      <c r="L258" s="56">
        <f t="shared" si="116"/>
        <v>4</v>
      </c>
      <c r="M258" s="8">
        <f t="shared" si="117"/>
        <v>22</v>
      </c>
      <c r="N258" s="119">
        <v>45479</v>
      </c>
      <c r="O258" s="116"/>
    </row>
    <row r="259" spans="2:15" x14ac:dyDescent="0.15">
      <c r="B259" s="6" t="s">
        <v>16</v>
      </c>
      <c r="C259" s="26">
        <f>3+2</f>
        <v>5</v>
      </c>
      <c r="D259" s="27">
        <f>2+3</f>
        <v>5</v>
      </c>
      <c r="E259" s="28">
        <f>3+3</f>
        <v>6</v>
      </c>
      <c r="F259" s="7">
        <f t="shared" si="114"/>
        <v>16</v>
      </c>
      <c r="G259" s="26">
        <f>6+1</f>
        <v>7</v>
      </c>
      <c r="H259" s="43">
        <f>2+4</f>
        <v>6</v>
      </c>
      <c r="I259" s="59">
        <f t="shared" si="115"/>
        <v>13</v>
      </c>
      <c r="J259" s="64">
        <f>4+3</f>
        <v>7</v>
      </c>
      <c r="K259" s="65">
        <f>2+3</f>
        <v>5</v>
      </c>
      <c r="L259" s="56">
        <f t="shared" si="116"/>
        <v>12</v>
      </c>
      <c r="M259" s="8">
        <f t="shared" si="117"/>
        <v>41</v>
      </c>
      <c r="N259" s="119">
        <v>45481</v>
      </c>
      <c r="O259" s="116"/>
    </row>
    <row r="260" spans="2:15" x14ac:dyDescent="0.15">
      <c r="B260" s="6" t="s">
        <v>16</v>
      </c>
      <c r="C260" s="26">
        <v>4</v>
      </c>
      <c r="D260" s="27">
        <v>3</v>
      </c>
      <c r="E260" s="28">
        <v>2</v>
      </c>
      <c r="F260" s="7">
        <f t="shared" si="114"/>
        <v>9</v>
      </c>
      <c r="G260" s="26">
        <v>7</v>
      </c>
      <c r="H260" s="43">
        <v>1</v>
      </c>
      <c r="I260" s="59">
        <f t="shared" si="115"/>
        <v>8</v>
      </c>
      <c r="J260" s="64">
        <v>1</v>
      </c>
      <c r="K260" s="65">
        <v>4</v>
      </c>
      <c r="L260" s="56">
        <f t="shared" si="116"/>
        <v>5</v>
      </c>
      <c r="M260" s="8">
        <f t="shared" si="117"/>
        <v>22</v>
      </c>
      <c r="N260" s="119">
        <v>45482</v>
      </c>
      <c r="O260" s="116"/>
    </row>
    <row r="261" spans="2:15" x14ac:dyDescent="0.15">
      <c r="B261" s="6" t="s">
        <v>16</v>
      </c>
      <c r="C261" s="26">
        <v>4</v>
      </c>
      <c r="D261" s="27">
        <v>3</v>
      </c>
      <c r="E261" s="28">
        <v>11</v>
      </c>
      <c r="F261" s="7">
        <f t="shared" si="114"/>
        <v>18</v>
      </c>
      <c r="G261" s="26">
        <v>4</v>
      </c>
      <c r="H261" s="43">
        <v>5</v>
      </c>
      <c r="I261" s="59">
        <f t="shared" si="115"/>
        <v>9</v>
      </c>
      <c r="J261" s="64">
        <v>1</v>
      </c>
      <c r="K261" s="65">
        <v>4</v>
      </c>
      <c r="L261" s="56">
        <f t="shared" si="116"/>
        <v>5</v>
      </c>
      <c r="M261" s="8">
        <f t="shared" si="117"/>
        <v>32</v>
      </c>
      <c r="N261" s="119">
        <v>45483</v>
      </c>
      <c r="O261" s="116"/>
    </row>
    <row r="262" spans="2:15" x14ac:dyDescent="0.15">
      <c r="B262" s="6" t="s">
        <v>16</v>
      </c>
      <c r="C262" s="26">
        <f>3+2+1</f>
        <v>6</v>
      </c>
      <c r="D262" s="27">
        <f>1+1</f>
        <v>2</v>
      </c>
      <c r="E262" s="28">
        <f>3+4+2</f>
        <v>9</v>
      </c>
      <c r="F262" s="7">
        <f t="shared" si="114"/>
        <v>17</v>
      </c>
      <c r="G262" s="26">
        <f>1+7+1</f>
        <v>9</v>
      </c>
      <c r="H262" s="43">
        <v>2</v>
      </c>
      <c r="I262" s="59">
        <f t="shared" si="115"/>
        <v>11</v>
      </c>
      <c r="J262" s="64">
        <f>3+4+1</f>
        <v>8</v>
      </c>
      <c r="K262" s="65">
        <v>1</v>
      </c>
      <c r="L262" s="56">
        <f t="shared" si="116"/>
        <v>9</v>
      </c>
      <c r="M262" s="8">
        <f t="shared" si="117"/>
        <v>37</v>
      </c>
      <c r="N262" s="119">
        <v>45484</v>
      </c>
      <c r="O262" s="116"/>
    </row>
    <row r="263" spans="2:15" x14ac:dyDescent="0.15">
      <c r="B263" s="6" t="s">
        <v>16</v>
      </c>
      <c r="C263" s="26">
        <f>1+3</f>
        <v>4</v>
      </c>
      <c r="D263" s="27">
        <v>1</v>
      </c>
      <c r="E263" s="28">
        <v>4</v>
      </c>
      <c r="F263" s="7">
        <f t="shared" si="114"/>
        <v>9</v>
      </c>
      <c r="G263" s="26"/>
      <c r="H263" s="43">
        <v>1</v>
      </c>
      <c r="I263" s="59">
        <f t="shared" si="115"/>
        <v>1</v>
      </c>
      <c r="J263" s="64"/>
      <c r="K263" s="65">
        <v>1</v>
      </c>
      <c r="L263" s="56">
        <f t="shared" si="116"/>
        <v>1</v>
      </c>
      <c r="M263" s="8">
        <f t="shared" si="117"/>
        <v>11</v>
      </c>
      <c r="N263" s="119">
        <v>45485</v>
      </c>
      <c r="O263" s="116"/>
    </row>
    <row r="264" spans="2:15" x14ac:dyDescent="0.15">
      <c r="B264" s="6" t="s">
        <v>16</v>
      </c>
      <c r="C264" s="26">
        <f>3+4+1</f>
        <v>8</v>
      </c>
      <c r="D264" s="27">
        <f>2+1+1</f>
        <v>4</v>
      </c>
      <c r="E264" s="28">
        <f>6+8</f>
        <v>14</v>
      </c>
      <c r="F264" s="7">
        <f t="shared" si="114"/>
        <v>26</v>
      </c>
      <c r="G264" s="26">
        <f>5+4+1</f>
        <v>10</v>
      </c>
      <c r="H264" s="43">
        <f>1+1</f>
        <v>2</v>
      </c>
      <c r="I264" s="59">
        <f t="shared" si="115"/>
        <v>12</v>
      </c>
      <c r="J264" s="64">
        <f>8+1+1+1</f>
        <v>11</v>
      </c>
      <c r="K264" s="65">
        <f>3+2+1</f>
        <v>6</v>
      </c>
      <c r="L264" s="56">
        <f t="shared" si="116"/>
        <v>17</v>
      </c>
      <c r="M264" s="8">
        <f t="shared" si="117"/>
        <v>55</v>
      </c>
      <c r="N264" s="119">
        <v>45489</v>
      </c>
      <c r="O264" s="116"/>
    </row>
    <row r="265" spans="2:15" x14ac:dyDescent="0.15">
      <c r="B265" s="6" t="s">
        <v>16</v>
      </c>
      <c r="C265" s="26">
        <v>1</v>
      </c>
      <c r="D265" s="27">
        <v>1</v>
      </c>
      <c r="E265" s="28"/>
      <c r="F265" s="7">
        <f t="shared" si="114"/>
        <v>2</v>
      </c>
      <c r="G265" s="26">
        <v>2</v>
      </c>
      <c r="H265" s="43"/>
      <c r="I265" s="59">
        <f t="shared" si="115"/>
        <v>2</v>
      </c>
      <c r="J265" s="64"/>
      <c r="K265" s="65"/>
      <c r="L265" s="56">
        <f t="shared" si="116"/>
        <v>0</v>
      </c>
      <c r="M265" s="8">
        <f t="shared" si="117"/>
        <v>4</v>
      </c>
      <c r="N265" s="119">
        <v>45490</v>
      </c>
      <c r="O265" s="116"/>
    </row>
    <row r="266" spans="2:15" x14ac:dyDescent="0.15">
      <c r="B266" s="6" t="s">
        <v>56</v>
      </c>
      <c r="C266" s="26">
        <v>5</v>
      </c>
      <c r="D266" s="27">
        <v>3</v>
      </c>
      <c r="E266" s="28">
        <v>5</v>
      </c>
      <c r="F266" s="7">
        <f t="shared" si="114"/>
        <v>13</v>
      </c>
      <c r="G266" s="26">
        <v>5</v>
      </c>
      <c r="H266" s="43">
        <v>3</v>
      </c>
      <c r="I266" s="59">
        <f t="shared" si="115"/>
        <v>8</v>
      </c>
      <c r="J266" s="64">
        <v>3</v>
      </c>
      <c r="K266" s="65">
        <v>3</v>
      </c>
      <c r="L266" s="56">
        <f t="shared" si="116"/>
        <v>6</v>
      </c>
      <c r="M266" s="8">
        <f t="shared" si="117"/>
        <v>27</v>
      </c>
      <c r="N266" s="119">
        <v>45491</v>
      </c>
      <c r="O266" s="116"/>
    </row>
    <row r="267" spans="2:15" x14ac:dyDescent="0.15">
      <c r="B267" s="6" t="s">
        <v>16</v>
      </c>
      <c r="C267" s="26">
        <v>1</v>
      </c>
      <c r="D267" s="27">
        <v>1</v>
      </c>
      <c r="E267" s="28">
        <v>1</v>
      </c>
      <c r="F267" s="7">
        <f t="shared" si="114"/>
        <v>3</v>
      </c>
      <c r="G267" s="26">
        <f>1+1</f>
        <v>2</v>
      </c>
      <c r="H267" s="43">
        <f>1+1</f>
        <v>2</v>
      </c>
      <c r="I267" s="59">
        <f t="shared" si="115"/>
        <v>4</v>
      </c>
      <c r="J267" s="64">
        <v>2</v>
      </c>
      <c r="K267" s="65">
        <v>3</v>
      </c>
      <c r="L267" s="56">
        <f t="shared" si="116"/>
        <v>5</v>
      </c>
      <c r="M267" s="8">
        <f t="shared" si="117"/>
        <v>12</v>
      </c>
      <c r="N267" s="119">
        <v>45491</v>
      </c>
      <c r="O267" s="116"/>
    </row>
    <row r="268" spans="2:15" x14ac:dyDescent="0.15">
      <c r="B268" s="6" t="s">
        <v>16</v>
      </c>
      <c r="C268" s="26"/>
      <c r="D268" s="27">
        <v>1</v>
      </c>
      <c r="E268" s="28">
        <v>2</v>
      </c>
      <c r="F268" s="7">
        <f t="shared" si="114"/>
        <v>3</v>
      </c>
      <c r="G268" s="26">
        <v>1</v>
      </c>
      <c r="H268" s="43"/>
      <c r="I268" s="59">
        <f t="shared" si="115"/>
        <v>1</v>
      </c>
      <c r="J268" s="64"/>
      <c r="K268" s="65"/>
      <c r="L268" s="56">
        <f t="shared" si="116"/>
        <v>0</v>
      </c>
      <c r="M268" s="8">
        <f t="shared" si="117"/>
        <v>4</v>
      </c>
      <c r="N268" s="119">
        <v>45492</v>
      </c>
      <c r="O268" s="116"/>
    </row>
    <row r="269" spans="2:15" x14ac:dyDescent="0.15">
      <c r="B269" s="6" t="s">
        <v>16</v>
      </c>
      <c r="C269" s="26">
        <v>6</v>
      </c>
      <c r="D269" s="27">
        <v>2</v>
      </c>
      <c r="E269" s="28">
        <v>7</v>
      </c>
      <c r="F269" s="7">
        <f t="shared" si="114"/>
        <v>15</v>
      </c>
      <c r="G269" s="26">
        <v>6</v>
      </c>
      <c r="H269" s="43">
        <v>2</v>
      </c>
      <c r="I269" s="59">
        <f t="shared" si="115"/>
        <v>8</v>
      </c>
      <c r="J269" s="64">
        <v>3</v>
      </c>
      <c r="K269" s="65">
        <v>2</v>
      </c>
      <c r="L269" s="56">
        <f t="shared" si="116"/>
        <v>5</v>
      </c>
      <c r="M269" s="8">
        <f t="shared" si="117"/>
        <v>28</v>
      </c>
      <c r="N269" s="119">
        <v>45493</v>
      </c>
      <c r="O269" s="116"/>
    </row>
    <row r="270" spans="2:15" x14ac:dyDescent="0.15">
      <c r="B270" s="6" t="s">
        <v>16</v>
      </c>
      <c r="C270" s="26">
        <f>6+1+3+8</f>
        <v>18</v>
      </c>
      <c r="D270" s="27">
        <v>4</v>
      </c>
      <c r="E270" s="28">
        <f>7+1+8+1</f>
        <v>17</v>
      </c>
      <c r="F270" s="7">
        <f t="shared" si="114"/>
        <v>39</v>
      </c>
      <c r="G270" s="26">
        <f>2+1</f>
        <v>3</v>
      </c>
      <c r="H270" s="43">
        <f>6+3</f>
        <v>9</v>
      </c>
      <c r="I270" s="59">
        <f t="shared" si="115"/>
        <v>12</v>
      </c>
      <c r="J270" s="64">
        <f>4+3</f>
        <v>7</v>
      </c>
      <c r="K270" s="65">
        <f>4+1</f>
        <v>5</v>
      </c>
      <c r="L270" s="56">
        <f t="shared" si="116"/>
        <v>12</v>
      </c>
      <c r="M270" s="8">
        <f t="shared" si="117"/>
        <v>63</v>
      </c>
      <c r="N270" s="119">
        <v>45495</v>
      </c>
      <c r="O270" s="116"/>
    </row>
    <row r="271" spans="2:15" x14ac:dyDescent="0.15">
      <c r="B271" s="6" t="s">
        <v>16</v>
      </c>
      <c r="C271" s="26">
        <v>4</v>
      </c>
      <c r="D271" s="27"/>
      <c r="E271" s="28">
        <v>5</v>
      </c>
      <c r="F271" s="7">
        <f t="shared" ref="F271:F273" si="118">SUM(C271:E271)</f>
        <v>9</v>
      </c>
      <c r="G271" s="26">
        <v>4</v>
      </c>
      <c r="H271" s="43">
        <f>1+10</f>
        <v>11</v>
      </c>
      <c r="I271" s="59">
        <f t="shared" ref="I271:I273" si="119">SUM(G271:H271)</f>
        <v>15</v>
      </c>
      <c r="J271" s="64">
        <v>2</v>
      </c>
      <c r="K271" s="65">
        <v>3</v>
      </c>
      <c r="L271" s="56">
        <f t="shared" ref="L271:L273" si="120">SUM(J271:K271)</f>
        <v>5</v>
      </c>
      <c r="M271" s="8">
        <f t="shared" ref="M271:M273" si="121">L271+I271+F271</f>
        <v>29</v>
      </c>
      <c r="N271" s="119">
        <v>45496</v>
      </c>
      <c r="O271" s="116"/>
    </row>
    <row r="272" spans="2:15" x14ac:dyDescent="0.15">
      <c r="B272" s="6" t="s">
        <v>16</v>
      </c>
      <c r="C272" s="26">
        <v>7</v>
      </c>
      <c r="D272" s="27">
        <v>1</v>
      </c>
      <c r="E272" s="28">
        <f>2+10</f>
        <v>12</v>
      </c>
      <c r="F272" s="7">
        <f t="shared" si="118"/>
        <v>20</v>
      </c>
      <c r="G272" s="26">
        <v>9</v>
      </c>
      <c r="H272" s="43">
        <f>1+3</f>
        <v>4</v>
      </c>
      <c r="I272" s="59">
        <f t="shared" si="119"/>
        <v>13</v>
      </c>
      <c r="J272" s="64">
        <v>8</v>
      </c>
      <c r="K272" s="65">
        <f>1+1</f>
        <v>2</v>
      </c>
      <c r="L272" s="56">
        <f t="shared" si="120"/>
        <v>10</v>
      </c>
      <c r="M272" s="8">
        <f t="shared" si="121"/>
        <v>43</v>
      </c>
      <c r="N272" s="119">
        <v>45497</v>
      </c>
      <c r="O272" s="116"/>
    </row>
    <row r="273" spans="2:15" x14ac:dyDescent="0.15">
      <c r="B273" s="6" t="s">
        <v>56</v>
      </c>
      <c r="C273" s="26">
        <v>10</v>
      </c>
      <c r="D273" s="27">
        <v>5</v>
      </c>
      <c r="E273" s="28">
        <v>10</v>
      </c>
      <c r="F273" s="7">
        <f t="shared" si="118"/>
        <v>25</v>
      </c>
      <c r="G273" s="26">
        <v>10</v>
      </c>
      <c r="H273" s="43">
        <v>5</v>
      </c>
      <c r="I273" s="59">
        <f t="shared" si="119"/>
        <v>15</v>
      </c>
      <c r="J273" s="64">
        <v>5</v>
      </c>
      <c r="K273" s="65">
        <v>5</v>
      </c>
      <c r="L273" s="56">
        <f t="shared" si="120"/>
        <v>10</v>
      </c>
      <c r="M273" s="8">
        <f t="shared" si="121"/>
        <v>50</v>
      </c>
      <c r="N273" s="119">
        <v>45499</v>
      </c>
      <c r="O273" s="116"/>
    </row>
    <row r="274" spans="2:15" x14ac:dyDescent="0.15">
      <c r="B274" s="6" t="s">
        <v>16</v>
      </c>
      <c r="C274" s="26">
        <f>1+5+1+1</f>
        <v>8</v>
      </c>
      <c r="D274" s="27">
        <v>3</v>
      </c>
      <c r="E274" s="28">
        <f>1+6+2+1</f>
        <v>10</v>
      </c>
      <c r="F274" s="7">
        <f t="shared" si="114"/>
        <v>21</v>
      </c>
      <c r="G274" s="26">
        <f>1+2</f>
        <v>3</v>
      </c>
      <c r="H274" s="43">
        <f>1+2</f>
        <v>3</v>
      </c>
      <c r="I274" s="59">
        <f t="shared" si="115"/>
        <v>6</v>
      </c>
      <c r="J274" s="64">
        <v>3</v>
      </c>
      <c r="K274" s="65">
        <f>1+1</f>
        <v>2</v>
      </c>
      <c r="L274" s="56">
        <f t="shared" si="116"/>
        <v>5</v>
      </c>
      <c r="M274" s="8">
        <f t="shared" si="117"/>
        <v>32</v>
      </c>
      <c r="N274" s="119">
        <v>45498</v>
      </c>
      <c r="O274" s="116"/>
    </row>
    <row r="275" spans="2:15" x14ac:dyDescent="0.15">
      <c r="B275" s="6" t="s">
        <v>16</v>
      </c>
      <c r="C275" s="26">
        <v>3</v>
      </c>
      <c r="D275" s="27"/>
      <c r="E275" s="28">
        <f>5+4</f>
        <v>9</v>
      </c>
      <c r="F275" s="7">
        <f t="shared" si="114"/>
        <v>12</v>
      </c>
      <c r="G275" s="26">
        <f>1+2+1+4</f>
        <v>8</v>
      </c>
      <c r="H275" s="43"/>
      <c r="I275" s="59">
        <f t="shared" si="115"/>
        <v>8</v>
      </c>
      <c r="J275" s="64">
        <f>3+1</f>
        <v>4</v>
      </c>
      <c r="K275" s="65">
        <f>2+2</f>
        <v>4</v>
      </c>
      <c r="L275" s="56">
        <f t="shared" si="116"/>
        <v>8</v>
      </c>
      <c r="M275" s="8">
        <f t="shared" si="117"/>
        <v>28</v>
      </c>
      <c r="N275" s="119">
        <v>45499</v>
      </c>
      <c r="O275" s="116"/>
    </row>
    <row r="276" spans="2:15" x14ac:dyDescent="0.15">
      <c r="B276" s="6" t="s">
        <v>16</v>
      </c>
      <c r="C276" s="26">
        <f>1+1+3</f>
        <v>5</v>
      </c>
      <c r="D276" s="27">
        <f>6+1</f>
        <v>7</v>
      </c>
      <c r="E276" s="28">
        <f>5+1+5+2</f>
        <v>13</v>
      </c>
      <c r="F276" s="7">
        <f t="shared" si="114"/>
        <v>25</v>
      </c>
      <c r="G276" s="26">
        <f>2+3</f>
        <v>5</v>
      </c>
      <c r="H276" s="43">
        <f>2+1+1+1+3+1</f>
        <v>9</v>
      </c>
      <c r="I276" s="59">
        <f t="shared" si="115"/>
        <v>14</v>
      </c>
      <c r="J276" s="64">
        <v>5</v>
      </c>
      <c r="K276" s="65">
        <f>2+4+1</f>
        <v>7</v>
      </c>
      <c r="L276" s="56">
        <f t="shared" si="116"/>
        <v>12</v>
      </c>
      <c r="M276" s="8">
        <f t="shared" si="117"/>
        <v>51</v>
      </c>
      <c r="N276" s="119">
        <v>45502</v>
      </c>
      <c r="O276" s="116"/>
    </row>
    <row r="277" spans="2:15" ht="14.25" thickBot="1" x14ac:dyDescent="0.2">
      <c r="B277" s="6" t="s">
        <v>16</v>
      </c>
      <c r="C277" s="26">
        <f>2+4</f>
        <v>6</v>
      </c>
      <c r="D277" s="27">
        <f>1+3</f>
        <v>4</v>
      </c>
      <c r="E277" s="28">
        <f>1+5</f>
        <v>6</v>
      </c>
      <c r="F277" s="7">
        <f t="shared" si="114"/>
        <v>16</v>
      </c>
      <c r="G277" s="26">
        <v>7</v>
      </c>
      <c r="H277" s="43">
        <f>1+5</f>
        <v>6</v>
      </c>
      <c r="I277" s="59">
        <f t="shared" si="115"/>
        <v>13</v>
      </c>
      <c r="J277" s="66">
        <v>5</v>
      </c>
      <c r="K277" s="67">
        <f>1+4</f>
        <v>5</v>
      </c>
      <c r="L277" s="57">
        <f t="shared" si="116"/>
        <v>10</v>
      </c>
      <c r="M277" s="54">
        <f t="shared" si="117"/>
        <v>39</v>
      </c>
      <c r="N277" s="119">
        <v>45503</v>
      </c>
      <c r="O277" s="116"/>
    </row>
    <row r="278" spans="2:15" ht="14.25" thickBot="1" x14ac:dyDescent="0.2">
      <c r="B278" s="5" t="s">
        <v>2</v>
      </c>
      <c r="C278" s="32">
        <f>SUM(C253:C277)</f>
        <v>125</v>
      </c>
      <c r="D278" s="33">
        <f t="shared" ref="D278:I278" si="122">SUM(D253:D277)</f>
        <v>53</v>
      </c>
      <c r="E278" s="34">
        <f t="shared" si="122"/>
        <v>168</v>
      </c>
      <c r="F278" s="4">
        <f t="shared" si="122"/>
        <v>346</v>
      </c>
      <c r="G278" s="32">
        <f t="shared" si="122"/>
        <v>109</v>
      </c>
      <c r="H278" s="34">
        <f t="shared" si="122"/>
        <v>83</v>
      </c>
      <c r="I278" s="4">
        <f t="shared" si="122"/>
        <v>192</v>
      </c>
      <c r="J278" s="32">
        <f>SUM(J253:J277)</f>
        <v>84</v>
      </c>
      <c r="K278" s="69">
        <f t="shared" ref="K278:L278" si="123">SUM(K253:K277)</f>
        <v>65</v>
      </c>
      <c r="L278" s="58">
        <f t="shared" si="123"/>
        <v>149</v>
      </c>
      <c r="M278" s="4">
        <f t="shared" si="117"/>
        <v>687</v>
      </c>
      <c r="N278" s="116"/>
      <c r="O278" s="116"/>
    </row>
    <row r="279" spans="2:15" ht="14.25" thickBot="1" x14ac:dyDescent="0.2">
      <c r="B279" s="3" t="s">
        <v>3</v>
      </c>
      <c r="C279" s="38">
        <f>+C252-C278</f>
        <v>72</v>
      </c>
      <c r="D279" s="39">
        <f t="shared" ref="D279:F279" si="124">+D252-D278</f>
        <v>29</v>
      </c>
      <c r="E279" s="40">
        <f t="shared" si="124"/>
        <v>71</v>
      </c>
      <c r="F279" s="2">
        <f t="shared" si="124"/>
        <v>172</v>
      </c>
      <c r="G279" s="38">
        <f>+G252-G278</f>
        <v>37</v>
      </c>
      <c r="H279" s="40">
        <f t="shared" ref="H279:I279" si="125">+H252-H278</f>
        <v>26</v>
      </c>
      <c r="I279" s="60">
        <f t="shared" si="125"/>
        <v>63</v>
      </c>
      <c r="J279" s="70">
        <f>+J252-J278</f>
        <v>38</v>
      </c>
      <c r="K279" s="71">
        <f t="shared" ref="K279:L279" si="126">+K252-K278</f>
        <v>29</v>
      </c>
      <c r="L279" s="73">
        <f t="shared" si="126"/>
        <v>67</v>
      </c>
      <c r="M279" s="61">
        <f t="shared" si="117"/>
        <v>302</v>
      </c>
      <c r="N279" s="116"/>
      <c r="O279" s="116"/>
    </row>
    <row r="280" spans="2:15" x14ac:dyDescent="0.15">
      <c r="N280" s="116"/>
      <c r="O280" s="116"/>
    </row>
    <row r="281" spans="2:15" ht="18.75" x14ac:dyDescent="0.2">
      <c r="B281" s="17" t="s">
        <v>7</v>
      </c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16"/>
      <c r="O281" s="116"/>
    </row>
    <row r="282" spans="2:15" ht="17.25" x14ac:dyDescent="0.2">
      <c r="B282" s="19" t="s">
        <v>14</v>
      </c>
      <c r="C282" s="18"/>
      <c r="D282" s="18"/>
      <c r="E282" s="18"/>
      <c r="F282" s="18"/>
      <c r="G282" s="18"/>
      <c r="H282" s="18"/>
      <c r="I282" s="19" t="s">
        <v>53</v>
      </c>
      <c r="J282" s="18"/>
      <c r="K282" s="18"/>
      <c r="L282" s="18"/>
      <c r="M282" s="18"/>
      <c r="N282" s="116"/>
      <c r="O282" s="116"/>
    </row>
    <row r="283" spans="2:15" ht="14.25" thickBot="1" x14ac:dyDescent="0.2">
      <c r="N283" s="116"/>
      <c r="O283" s="116"/>
    </row>
    <row r="284" spans="2:15" ht="14.25" thickBot="1" x14ac:dyDescent="0.2">
      <c r="B284" s="15"/>
      <c r="C284" s="211" t="s">
        <v>8</v>
      </c>
      <c r="D284" s="212"/>
      <c r="E284" s="212"/>
      <c r="F284" s="213"/>
      <c r="G284" s="211" t="s">
        <v>11</v>
      </c>
      <c r="H284" s="212"/>
      <c r="I284" s="212"/>
      <c r="J284" s="214" t="s">
        <v>49</v>
      </c>
      <c r="K284" s="215"/>
      <c r="L284" s="216"/>
      <c r="M284" s="16"/>
      <c r="N284" s="116"/>
      <c r="O284" s="116"/>
    </row>
    <row r="285" spans="2:15" ht="14.25" thickBot="1" x14ac:dyDescent="0.2">
      <c r="B285" s="14"/>
      <c r="C285" s="20" t="s">
        <v>6</v>
      </c>
      <c r="D285" s="21" t="s">
        <v>9</v>
      </c>
      <c r="E285" s="22" t="s">
        <v>10</v>
      </c>
      <c r="F285" s="13" t="s">
        <v>0</v>
      </c>
      <c r="G285" s="41" t="s">
        <v>9</v>
      </c>
      <c r="H285" s="42" t="s">
        <v>13</v>
      </c>
      <c r="I285" s="14" t="s">
        <v>0</v>
      </c>
      <c r="J285" s="76" t="s">
        <v>50</v>
      </c>
      <c r="K285" s="77" t="s">
        <v>51</v>
      </c>
      <c r="L285" s="5" t="s">
        <v>0</v>
      </c>
      <c r="M285" s="13" t="s">
        <v>0</v>
      </c>
      <c r="N285" s="116"/>
      <c r="O285" s="116"/>
    </row>
    <row r="286" spans="2:15" x14ac:dyDescent="0.15">
      <c r="B286" s="46" t="s">
        <v>3</v>
      </c>
      <c r="C286" s="47">
        <f>C279</f>
        <v>72</v>
      </c>
      <c r="D286" s="50">
        <f t="shared" ref="D286:L286" si="127">D279</f>
        <v>29</v>
      </c>
      <c r="E286" s="48">
        <f t="shared" si="127"/>
        <v>71</v>
      </c>
      <c r="F286" s="49">
        <f t="shared" si="127"/>
        <v>172</v>
      </c>
      <c r="G286" s="47">
        <f t="shared" si="127"/>
        <v>37</v>
      </c>
      <c r="H286" s="48">
        <f t="shared" si="127"/>
        <v>26</v>
      </c>
      <c r="I286" s="49">
        <f t="shared" si="127"/>
        <v>63</v>
      </c>
      <c r="J286" s="47">
        <f t="shared" si="127"/>
        <v>38</v>
      </c>
      <c r="K286" s="48">
        <f t="shared" si="127"/>
        <v>29</v>
      </c>
      <c r="L286" s="72">
        <f t="shared" si="127"/>
        <v>67</v>
      </c>
      <c r="M286" s="78">
        <f>L286+I286+F286</f>
        <v>302</v>
      </c>
      <c r="N286" s="116"/>
      <c r="O286" s="116"/>
    </row>
    <row r="287" spans="2:15" x14ac:dyDescent="0.15">
      <c r="B287" s="12" t="s">
        <v>4</v>
      </c>
      <c r="C287" s="26"/>
      <c r="D287" s="27"/>
      <c r="E287" s="28"/>
      <c r="F287" s="8">
        <f t="shared" ref="F287" si="128">SUM(C287:E287)</f>
        <v>0</v>
      </c>
      <c r="G287" s="26"/>
      <c r="H287" s="43"/>
      <c r="I287" s="8">
        <f t="shared" ref="I287:I291" si="129">SUM(G287:H287)</f>
        <v>0</v>
      </c>
      <c r="J287" s="64"/>
      <c r="K287" s="65"/>
      <c r="L287" s="56">
        <f t="shared" ref="L287:L291" si="130">SUM(J287:K287)</f>
        <v>0</v>
      </c>
      <c r="M287" s="8">
        <f t="shared" ref="M287:M291" si="131">L287+I287+F287</f>
        <v>0</v>
      </c>
      <c r="N287" s="116"/>
      <c r="O287" s="116"/>
    </row>
    <row r="288" spans="2:15" x14ac:dyDescent="0.15">
      <c r="B288" s="11" t="s">
        <v>4</v>
      </c>
      <c r="C288" s="29">
        <v>30</v>
      </c>
      <c r="D288" s="30">
        <v>10</v>
      </c>
      <c r="E288" s="43">
        <v>60</v>
      </c>
      <c r="F288" s="54">
        <f t="shared" ref="F288" si="132">SUM(C288:E288)</f>
        <v>100</v>
      </c>
      <c r="G288" s="29">
        <v>50</v>
      </c>
      <c r="H288" s="44">
        <v>30</v>
      </c>
      <c r="I288" s="54">
        <f t="shared" ref="I288" si="133">SUM(G288:H288)</f>
        <v>80</v>
      </c>
      <c r="J288" s="66">
        <v>30</v>
      </c>
      <c r="K288" s="67">
        <v>20</v>
      </c>
      <c r="L288" s="57">
        <f t="shared" ref="L288" si="134">SUM(J288:K288)</f>
        <v>50</v>
      </c>
      <c r="M288" s="54">
        <f t="shared" si="131"/>
        <v>230</v>
      </c>
      <c r="N288" s="119" t="s">
        <v>58</v>
      </c>
      <c r="O288" s="116"/>
    </row>
    <row r="289" spans="2:15" x14ac:dyDescent="0.15">
      <c r="B289" s="12" t="s">
        <v>4</v>
      </c>
      <c r="C289" s="26">
        <v>50</v>
      </c>
      <c r="D289" s="27">
        <v>20</v>
      </c>
      <c r="E289" s="28">
        <v>20</v>
      </c>
      <c r="F289" s="8">
        <f t="shared" ref="F289:F290" si="135">SUM(C289:E289)</f>
        <v>90</v>
      </c>
      <c r="G289" s="26">
        <v>30</v>
      </c>
      <c r="H289" s="43">
        <v>30</v>
      </c>
      <c r="I289" s="8">
        <f t="shared" ref="I289:I290" si="136">SUM(G289:H289)</f>
        <v>60</v>
      </c>
      <c r="J289" s="64">
        <v>30</v>
      </c>
      <c r="K289" s="65">
        <v>20</v>
      </c>
      <c r="L289" s="56">
        <f t="shared" ref="L289:L290" si="137">SUM(J289:K289)</f>
        <v>50</v>
      </c>
      <c r="M289" s="8">
        <f t="shared" ref="M289:M290" si="138">L289+I289+F289</f>
        <v>200</v>
      </c>
      <c r="N289" s="119" t="s">
        <v>60</v>
      </c>
      <c r="O289" s="116"/>
    </row>
    <row r="290" spans="2:15" x14ac:dyDescent="0.15">
      <c r="B290" s="12" t="s">
        <v>42</v>
      </c>
      <c r="C290" s="26">
        <v>3</v>
      </c>
      <c r="D290" s="27">
        <v>-8</v>
      </c>
      <c r="E290" s="28">
        <v>0</v>
      </c>
      <c r="F290" s="8">
        <f t="shared" si="135"/>
        <v>-5</v>
      </c>
      <c r="G290" s="26">
        <v>2</v>
      </c>
      <c r="H290" s="43">
        <v>1</v>
      </c>
      <c r="I290" s="8">
        <f t="shared" si="136"/>
        <v>3</v>
      </c>
      <c r="J290" s="64">
        <v>0</v>
      </c>
      <c r="K290" s="65">
        <v>-3</v>
      </c>
      <c r="L290" s="56">
        <f t="shared" si="137"/>
        <v>-3</v>
      </c>
      <c r="M290" s="8">
        <f t="shared" si="138"/>
        <v>-5</v>
      </c>
      <c r="N290" s="119">
        <v>45530</v>
      </c>
      <c r="O290" s="116"/>
    </row>
    <row r="291" spans="2:15" ht="14.25" thickBot="1" x14ac:dyDescent="0.2">
      <c r="B291" s="11" t="s">
        <v>4</v>
      </c>
      <c r="C291" s="29"/>
      <c r="D291" s="30"/>
      <c r="E291" s="31"/>
      <c r="F291" s="54">
        <f t="shared" ref="F291" si="139">SUM(C291:E291)</f>
        <v>0</v>
      </c>
      <c r="G291" s="29"/>
      <c r="H291" s="44"/>
      <c r="I291" s="54">
        <f t="shared" si="129"/>
        <v>0</v>
      </c>
      <c r="J291" s="66"/>
      <c r="K291" s="67"/>
      <c r="L291" s="57">
        <f t="shared" si="130"/>
        <v>0</v>
      </c>
      <c r="M291" s="54">
        <f t="shared" si="131"/>
        <v>0</v>
      </c>
      <c r="N291" s="116"/>
      <c r="O291" s="116"/>
    </row>
    <row r="292" spans="2:15" ht="14.25" thickBot="1" x14ac:dyDescent="0.2">
      <c r="B292" s="5" t="s">
        <v>1</v>
      </c>
      <c r="C292" s="32">
        <f>SUM(C286:C291)</f>
        <v>155</v>
      </c>
      <c r="D292" s="33">
        <f t="shared" ref="D292:I292" si="140">SUM(D286:D291)</f>
        <v>51</v>
      </c>
      <c r="E292" s="34">
        <f t="shared" si="140"/>
        <v>151</v>
      </c>
      <c r="F292" s="4">
        <f t="shared" si="140"/>
        <v>357</v>
      </c>
      <c r="G292" s="32">
        <f t="shared" si="140"/>
        <v>119</v>
      </c>
      <c r="H292" s="34">
        <f t="shared" si="140"/>
        <v>87</v>
      </c>
      <c r="I292" s="4">
        <f t="shared" si="140"/>
        <v>206</v>
      </c>
      <c r="J292" s="68">
        <f>SUM(J286:J291)</f>
        <v>98</v>
      </c>
      <c r="K292" s="69">
        <f t="shared" ref="K292:M292" si="141">SUM(K286:K291)</f>
        <v>66</v>
      </c>
      <c r="L292" s="58">
        <f t="shared" si="141"/>
        <v>164</v>
      </c>
      <c r="M292" s="4">
        <f t="shared" si="141"/>
        <v>727</v>
      </c>
      <c r="N292" s="116"/>
      <c r="O292" s="116"/>
    </row>
    <row r="293" spans="2:15" x14ac:dyDescent="0.15">
      <c r="B293" s="6" t="s">
        <v>16</v>
      </c>
      <c r="C293" s="26">
        <f>2+2+1</f>
        <v>5</v>
      </c>
      <c r="D293" s="27">
        <f>1+2+2</f>
        <v>5</v>
      </c>
      <c r="E293" s="28">
        <f>2+1</f>
        <v>3</v>
      </c>
      <c r="F293" s="7">
        <f t="shared" ref="F293:F315" si="142">SUM(C293:E293)</f>
        <v>13</v>
      </c>
      <c r="G293" s="26">
        <f>4+2</f>
        <v>6</v>
      </c>
      <c r="H293" s="43">
        <f>1+1+1</f>
        <v>3</v>
      </c>
      <c r="I293" s="59">
        <f t="shared" ref="I293:I315" si="143">SUM(G293:H293)</f>
        <v>9</v>
      </c>
      <c r="J293" s="64">
        <f>4+3</f>
        <v>7</v>
      </c>
      <c r="K293" s="65">
        <f>3+1+1</f>
        <v>5</v>
      </c>
      <c r="L293" s="56">
        <f t="shared" ref="L293:L315" si="144">SUM(J293:K293)</f>
        <v>12</v>
      </c>
      <c r="M293" s="8">
        <f t="shared" ref="M293:M315" si="145">L293+I293+F293</f>
        <v>34</v>
      </c>
      <c r="N293" s="119">
        <v>45504</v>
      </c>
      <c r="O293" s="116"/>
    </row>
    <row r="294" spans="2:15" x14ac:dyDescent="0.15">
      <c r="B294" s="6" t="s">
        <v>16</v>
      </c>
      <c r="C294" s="26">
        <v>4</v>
      </c>
      <c r="D294" s="27">
        <v>1</v>
      </c>
      <c r="E294" s="28">
        <f>1+2</f>
        <v>3</v>
      </c>
      <c r="F294" s="7">
        <f t="shared" si="142"/>
        <v>8</v>
      </c>
      <c r="G294" s="26">
        <f>1+1+2</f>
        <v>4</v>
      </c>
      <c r="H294" s="43">
        <v>1</v>
      </c>
      <c r="I294" s="59">
        <f t="shared" si="143"/>
        <v>5</v>
      </c>
      <c r="J294" s="64">
        <f>1+1</f>
        <v>2</v>
      </c>
      <c r="K294" s="65"/>
      <c r="L294" s="56">
        <f t="shared" si="144"/>
        <v>2</v>
      </c>
      <c r="M294" s="8">
        <f t="shared" si="145"/>
        <v>15</v>
      </c>
      <c r="N294" s="119">
        <v>45505</v>
      </c>
      <c r="O294" s="116"/>
    </row>
    <row r="295" spans="2:15" x14ac:dyDescent="0.15">
      <c r="B295" s="6" t="s">
        <v>16</v>
      </c>
      <c r="C295" s="26">
        <f>1+7</f>
        <v>8</v>
      </c>
      <c r="D295" s="27">
        <v>2</v>
      </c>
      <c r="E295" s="28">
        <v>7</v>
      </c>
      <c r="F295" s="7">
        <f t="shared" si="142"/>
        <v>17</v>
      </c>
      <c r="G295" s="26">
        <v>1</v>
      </c>
      <c r="H295" s="43">
        <v>1</v>
      </c>
      <c r="I295" s="59">
        <f t="shared" si="143"/>
        <v>2</v>
      </c>
      <c r="J295" s="64">
        <f>3+4</f>
        <v>7</v>
      </c>
      <c r="K295" s="65">
        <v>2</v>
      </c>
      <c r="L295" s="56">
        <f t="shared" si="144"/>
        <v>9</v>
      </c>
      <c r="M295" s="8">
        <f t="shared" si="145"/>
        <v>28</v>
      </c>
      <c r="N295" s="119">
        <v>45506</v>
      </c>
      <c r="O295" s="116"/>
    </row>
    <row r="296" spans="2:15" x14ac:dyDescent="0.15">
      <c r="B296" s="6" t="s">
        <v>16</v>
      </c>
      <c r="C296" s="26">
        <v>1</v>
      </c>
      <c r="D296" s="27">
        <v>1</v>
      </c>
      <c r="E296" s="28">
        <v>1</v>
      </c>
      <c r="F296" s="7">
        <f t="shared" si="142"/>
        <v>3</v>
      </c>
      <c r="G296" s="26">
        <v>1</v>
      </c>
      <c r="H296" s="43">
        <v>4</v>
      </c>
      <c r="I296" s="59">
        <f t="shared" si="143"/>
        <v>5</v>
      </c>
      <c r="J296" s="64">
        <v>2</v>
      </c>
      <c r="K296" s="65">
        <v>2</v>
      </c>
      <c r="L296" s="56">
        <f t="shared" si="144"/>
        <v>4</v>
      </c>
      <c r="M296" s="8">
        <f t="shared" si="145"/>
        <v>12</v>
      </c>
      <c r="N296" s="119">
        <v>45507</v>
      </c>
      <c r="O296" s="116"/>
    </row>
    <row r="297" spans="2:15" x14ac:dyDescent="0.15">
      <c r="B297" s="6" t="s">
        <v>16</v>
      </c>
      <c r="C297" s="26">
        <f>1+1+1+2+12</f>
        <v>17</v>
      </c>
      <c r="D297" s="27">
        <f>3+1</f>
        <v>4</v>
      </c>
      <c r="E297" s="28">
        <f>1+1+2+8</f>
        <v>12</v>
      </c>
      <c r="F297" s="7">
        <f t="shared" si="142"/>
        <v>33</v>
      </c>
      <c r="G297" s="26">
        <f>3+1+1+4+1</f>
        <v>10</v>
      </c>
      <c r="H297" s="43">
        <f>1+4+5+1</f>
        <v>11</v>
      </c>
      <c r="I297" s="59">
        <f t="shared" si="143"/>
        <v>21</v>
      </c>
      <c r="J297" s="64">
        <f>1+1+7+1</f>
        <v>10</v>
      </c>
      <c r="K297" s="65">
        <f>1+1+3</f>
        <v>5</v>
      </c>
      <c r="L297" s="56">
        <f t="shared" si="144"/>
        <v>15</v>
      </c>
      <c r="M297" s="8">
        <f t="shared" si="145"/>
        <v>69</v>
      </c>
      <c r="N297" s="119">
        <v>45509</v>
      </c>
      <c r="O297" s="116"/>
    </row>
    <row r="298" spans="2:15" x14ac:dyDescent="0.15">
      <c r="B298" s="6" t="s">
        <v>16</v>
      </c>
      <c r="C298" s="26">
        <f>1+13+2</f>
        <v>16</v>
      </c>
      <c r="D298" s="27">
        <v>2</v>
      </c>
      <c r="E298" s="28">
        <v>13</v>
      </c>
      <c r="F298" s="7">
        <f t="shared" si="142"/>
        <v>31</v>
      </c>
      <c r="G298" s="26">
        <v>10</v>
      </c>
      <c r="H298" s="43">
        <f>1+6</f>
        <v>7</v>
      </c>
      <c r="I298" s="59">
        <f t="shared" si="143"/>
        <v>17</v>
      </c>
      <c r="J298" s="64">
        <v>9</v>
      </c>
      <c r="K298" s="65">
        <v>4</v>
      </c>
      <c r="L298" s="56">
        <f t="shared" si="144"/>
        <v>13</v>
      </c>
      <c r="M298" s="8">
        <f t="shared" si="145"/>
        <v>61</v>
      </c>
      <c r="N298" s="119">
        <v>45510</v>
      </c>
      <c r="O298" s="116"/>
    </row>
    <row r="299" spans="2:15" x14ac:dyDescent="0.15">
      <c r="B299" s="6" t="s">
        <v>59</v>
      </c>
      <c r="C299" s="26"/>
      <c r="D299" s="27"/>
      <c r="E299" s="28"/>
      <c r="F299" s="7">
        <f t="shared" si="142"/>
        <v>0</v>
      </c>
      <c r="G299" s="26"/>
      <c r="H299" s="43"/>
      <c r="I299" s="59">
        <f t="shared" si="143"/>
        <v>0</v>
      </c>
      <c r="J299" s="64">
        <v>1</v>
      </c>
      <c r="K299" s="65">
        <v>1</v>
      </c>
      <c r="L299" s="56">
        <f t="shared" si="144"/>
        <v>2</v>
      </c>
      <c r="M299" s="8">
        <f t="shared" si="145"/>
        <v>2</v>
      </c>
      <c r="N299" s="119">
        <v>45510</v>
      </c>
      <c r="O299" s="116"/>
    </row>
    <row r="300" spans="2:15" x14ac:dyDescent="0.15">
      <c r="B300" s="6" t="s">
        <v>16</v>
      </c>
      <c r="C300" s="26">
        <v>2</v>
      </c>
      <c r="D300" s="27">
        <v>2</v>
      </c>
      <c r="E300" s="28">
        <v>4</v>
      </c>
      <c r="F300" s="7">
        <f t="shared" si="142"/>
        <v>8</v>
      </c>
      <c r="G300" s="26">
        <f>3+6</f>
        <v>9</v>
      </c>
      <c r="H300" s="43">
        <f>1+1</f>
        <v>2</v>
      </c>
      <c r="I300" s="59">
        <f t="shared" si="143"/>
        <v>11</v>
      </c>
      <c r="J300" s="64">
        <v>1</v>
      </c>
      <c r="K300" s="65"/>
      <c r="L300" s="56">
        <f t="shared" si="144"/>
        <v>1</v>
      </c>
      <c r="M300" s="8">
        <f t="shared" si="145"/>
        <v>20</v>
      </c>
      <c r="N300" s="119">
        <v>45511</v>
      </c>
      <c r="O300" s="116"/>
    </row>
    <row r="301" spans="2:15" x14ac:dyDescent="0.15">
      <c r="B301" s="6" t="s">
        <v>56</v>
      </c>
      <c r="C301" s="26">
        <v>30</v>
      </c>
      <c r="D301" s="27">
        <v>10</v>
      </c>
      <c r="E301" s="28">
        <v>20</v>
      </c>
      <c r="F301" s="7">
        <f t="shared" si="142"/>
        <v>60</v>
      </c>
      <c r="G301" s="26">
        <v>20</v>
      </c>
      <c r="H301" s="43">
        <v>20</v>
      </c>
      <c r="I301" s="59">
        <f t="shared" si="143"/>
        <v>40</v>
      </c>
      <c r="J301" s="64">
        <v>20</v>
      </c>
      <c r="K301" s="65">
        <v>10</v>
      </c>
      <c r="L301" s="56">
        <f t="shared" si="144"/>
        <v>30</v>
      </c>
      <c r="M301" s="8">
        <f t="shared" si="145"/>
        <v>130</v>
      </c>
      <c r="N301" s="119">
        <v>45512</v>
      </c>
      <c r="O301" s="116"/>
    </row>
    <row r="302" spans="2:15" x14ac:dyDescent="0.15">
      <c r="B302" s="6" t="s">
        <v>16</v>
      </c>
      <c r="C302" s="26">
        <v>3</v>
      </c>
      <c r="D302" s="27"/>
      <c r="E302" s="28">
        <f>1+6</f>
        <v>7</v>
      </c>
      <c r="F302" s="7">
        <f t="shared" si="142"/>
        <v>10</v>
      </c>
      <c r="G302" s="26">
        <f>1+2</f>
        <v>3</v>
      </c>
      <c r="H302" s="43">
        <v>2</v>
      </c>
      <c r="I302" s="59">
        <f t="shared" si="143"/>
        <v>5</v>
      </c>
      <c r="J302" s="64">
        <f>1+4</f>
        <v>5</v>
      </c>
      <c r="K302" s="65">
        <v>5</v>
      </c>
      <c r="L302" s="56">
        <f t="shared" si="144"/>
        <v>10</v>
      </c>
      <c r="M302" s="8">
        <f t="shared" si="145"/>
        <v>25</v>
      </c>
      <c r="N302" s="119">
        <v>45512</v>
      </c>
      <c r="O302" s="116"/>
    </row>
    <row r="303" spans="2:15" x14ac:dyDescent="0.15">
      <c r="B303" s="6" t="s">
        <v>16</v>
      </c>
      <c r="C303" s="26">
        <v>1</v>
      </c>
      <c r="D303" s="27">
        <v>6</v>
      </c>
      <c r="E303" s="28">
        <f>1+3+1</f>
        <v>5</v>
      </c>
      <c r="F303" s="7">
        <f t="shared" si="142"/>
        <v>12</v>
      </c>
      <c r="G303" s="26">
        <v>6</v>
      </c>
      <c r="H303" s="43">
        <v>1</v>
      </c>
      <c r="I303" s="59">
        <f t="shared" si="143"/>
        <v>7</v>
      </c>
      <c r="J303" s="64">
        <v>3</v>
      </c>
      <c r="K303" s="65">
        <v>2</v>
      </c>
      <c r="L303" s="56">
        <f t="shared" si="144"/>
        <v>5</v>
      </c>
      <c r="M303" s="8">
        <f t="shared" si="145"/>
        <v>24</v>
      </c>
      <c r="N303" s="119">
        <v>45513</v>
      </c>
      <c r="O303" s="116"/>
    </row>
    <row r="304" spans="2:15" x14ac:dyDescent="0.15">
      <c r="B304" s="6" t="s">
        <v>16</v>
      </c>
      <c r="C304" s="26">
        <f>2+6+3</f>
        <v>11</v>
      </c>
      <c r="D304" s="27">
        <f>1+2+1</f>
        <v>4</v>
      </c>
      <c r="E304" s="28">
        <f>4+11+5</f>
        <v>20</v>
      </c>
      <c r="F304" s="7">
        <f t="shared" si="142"/>
        <v>35</v>
      </c>
      <c r="G304" s="26">
        <f>5+8+2</f>
        <v>15</v>
      </c>
      <c r="H304" s="43">
        <f>3+3+3</f>
        <v>9</v>
      </c>
      <c r="I304" s="59">
        <f t="shared" si="143"/>
        <v>24</v>
      </c>
      <c r="J304" s="64">
        <f>3+7+5</f>
        <v>15</v>
      </c>
      <c r="K304" s="65">
        <f>1+1</f>
        <v>2</v>
      </c>
      <c r="L304" s="56">
        <f t="shared" si="144"/>
        <v>17</v>
      </c>
      <c r="M304" s="8">
        <f t="shared" si="145"/>
        <v>76</v>
      </c>
      <c r="N304" s="119">
        <v>45505</v>
      </c>
      <c r="O304" s="116"/>
    </row>
    <row r="305" spans="2:15" x14ac:dyDescent="0.15">
      <c r="B305" s="6" t="s">
        <v>16</v>
      </c>
      <c r="C305" s="26">
        <v>1</v>
      </c>
      <c r="D305" s="27"/>
      <c r="E305" s="28">
        <v>1</v>
      </c>
      <c r="F305" s="7">
        <f t="shared" si="142"/>
        <v>2</v>
      </c>
      <c r="G305" s="26">
        <v>1</v>
      </c>
      <c r="H305" s="43"/>
      <c r="I305" s="59">
        <f t="shared" si="143"/>
        <v>1</v>
      </c>
      <c r="J305" s="64"/>
      <c r="K305" s="65"/>
      <c r="L305" s="56">
        <f t="shared" si="144"/>
        <v>0</v>
      </c>
      <c r="M305" s="8">
        <f t="shared" si="145"/>
        <v>3</v>
      </c>
      <c r="N305" s="119">
        <v>45521</v>
      </c>
      <c r="O305" s="116"/>
    </row>
    <row r="306" spans="2:15" x14ac:dyDescent="0.15">
      <c r="B306" s="6" t="s">
        <v>16</v>
      </c>
      <c r="C306" s="26">
        <v>1</v>
      </c>
      <c r="D306" s="27">
        <v>1</v>
      </c>
      <c r="E306" s="28">
        <v>2</v>
      </c>
      <c r="F306" s="7">
        <f t="shared" si="142"/>
        <v>4</v>
      </c>
      <c r="G306" s="26">
        <v>5</v>
      </c>
      <c r="H306" s="43"/>
      <c r="I306" s="59">
        <f t="shared" si="143"/>
        <v>5</v>
      </c>
      <c r="J306" s="64">
        <f>1+2</f>
        <v>3</v>
      </c>
      <c r="K306" s="65">
        <v>1</v>
      </c>
      <c r="L306" s="56">
        <f t="shared" si="144"/>
        <v>4</v>
      </c>
      <c r="M306" s="8">
        <f t="shared" si="145"/>
        <v>13</v>
      </c>
      <c r="N306" s="119">
        <v>45523</v>
      </c>
      <c r="O306" s="116"/>
    </row>
    <row r="307" spans="2:15" x14ac:dyDescent="0.15">
      <c r="B307" s="6" t="s">
        <v>56</v>
      </c>
      <c r="C307" s="26"/>
      <c r="D307" s="27"/>
      <c r="E307" s="28"/>
      <c r="F307" s="7">
        <f t="shared" si="142"/>
        <v>0</v>
      </c>
      <c r="G307" s="26"/>
      <c r="H307" s="43">
        <v>5</v>
      </c>
      <c r="I307" s="59">
        <f t="shared" si="143"/>
        <v>5</v>
      </c>
      <c r="J307" s="64"/>
      <c r="K307" s="65"/>
      <c r="L307" s="56">
        <f t="shared" si="144"/>
        <v>0</v>
      </c>
      <c r="M307" s="8">
        <f t="shared" si="145"/>
        <v>5</v>
      </c>
      <c r="N307" s="119">
        <v>45524</v>
      </c>
      <c r="O307" s="116"/>
    </row>
    <row r="308" spans="2:15" x14ac:dyDescent="0.15">
      <c r="B308" s="6" t="s">
        <v>16</v>
      </c>
      <c r="C308" s="26">
        <v>2</v>
      </c>
      <c r="D308" s="27"/>
      <c r="E308" s="28">
        <v>3</v>
      </c>
      <c r="F308" s="7">
        <f t="shared" si="142"/>
        <v>5</v>
      </c>
      <c r="G308" s="26">
        <v>1</v>
      </c>
      <c r="H308" s="43"/>
      <c r="I308" s="59">
        <f t="shared" si="143"/>
        <v>1</v>
      </c>
      <c r="J308" s="64">
        <v>1</v>
      </c>
      <c r="K308" s="65">
        <v>1</v>
      </c>
      <c r="L308" s="56">
        <f t="shared" si="144"/>
        <v>2</v>
      </c>
      <c r="M308" s="8">
        <f t="shared" si="145"/>
        <v>8</v>
      </c>
      <c r="N308" s="119">
        <v>45524</v>
      </c>
      <c r="O308" s="116"/>
    </row>
    <row r="309" spans="2:15" x14ac:dyDescent="0.15">
      <c r="B309" s="6" t="s">
        <v>16</v>
      </c>
      <c r="C309" s="26">
        <v>2</v>
      </c>
      <c r="D309" s="27">
        <v>1</v>
      </c>
      <c r="E309" s="28"/>
      <c r="F309" s="7">
        <f t="shared" si="142"/>
        <v>3</v>
      </c>
      <c r="G309" s="26"/>
      <c r="H309" s="43"/>
      <c r="I309" s="59">
        <f t="shared" si="143"/>
        <v>0</v>
      </c>
      <c r="J309" s="64">
        <v>1</v>
      </c>
      <c r="K309" s="65"/>
      <c r="L309" s="56">
        <f t="shared" si="144"/>
        <v>1</v>
      </c>
      <c r="M309" s="8">
        <f t="shared" si="145"/>
        <v>4</v>
      </c>
      <c r="N309" s="119">
        <v>45525</v>
      </c>
      <c r="O309" s="116"/>
    </row>
    <row r="310" spans="2:15" x14ac:dyDescent="0.15">
      <c r="B310" s="6" t="s">
        <v>16</v>
      </c>
      <c r="C310" s="26">
        <v>1</v>
      </c>
      <c r="D310" s="27"/>
      <c r="E310" s="28"/>
      <c r="F310" s="7">
        <f t="shared" si="142"/>
        <v>1</v>
      </c>
      <c r="G310" s="26">
        <v>1</v>
      </c>
      <c r="H310" s="43">
        <v>1</v>
      </c>
      <c r="I310" s="59">
        <f t="shared" si="143"/>
        <v>2</v>
      </c>
      <c r="J310" s="64">
        <v>1</v>
      </c>
      <c r="K310" s="65"/>
      <c r="L310" s="56">
        <f t="shared" si="144"/>
        <v>1</v>
      </c>
      <c r="M310" s="8">
        <f t="shared" si="145"/>
        <v>4</v>
      </c>
      <c r="N310" s="119">
        <v>45526</v>
      </c>
      <c r="O310" s="116"/>
    </row>
    <row r="311" spans="2:15" x14ac:dyDescent="0.15">
      <c r="B311" s="6" t="s">
        <v>16</v>
      </c>
      <c r="C311" s="26">
        <v>2</v>
      </c>
      <c r="D311" s="27">
        <v>1</v>
      </c>
      <c r="E311" s="28">
        <v>1</v>
      </c>
      <c r="F311" s="7">
        <f t="shared" si="142"/>
        <v>4</v>
      </c>
      <c r="G311" s="26">
        <v>2</v>
      </c>
      <c r="H311" s="43"/>
      <c r="I311" s="59">
        <f t="shared" si="143"/>
        <v>2</v>
      </c>
      <c r="J311" s="64">
        <v>1</v>
      </c>
      <c r="K311" s="65"/>
      <c r="L311" s="56">
        <f t="shared" si="144"/>
        <v>1</v>
      </c>
      <c r="M311" s="8">
        <f t="shared" si="145"/>
        <v>7</v>
      </c>
      <c r="N311" s="119">
        <v>45527</v>
      </c>
      <c r="O311" s="116"/>
    </row>
    <row r="312" spans="2:15" x14ac:dyDescent="0.15">
      <c r="B312" s="6" t="s">
        <v>56</v>
      </c>
      <c r="C312" s="26">
        <v>5</v>
      </c>
      <c r="D312" s="27">
        <v>3</v>
      </c>
      <c r="E312" s="28"/>
      <c r="F312" s="7">
        <f t="shared" si="142"/>
        <v>8</v>
      </c>
      <c r="G312" s="26">
        <v>5</v>
      </c>
      <c r="H312" s="43">
        <v>5</v>
      </c>
      <c r="I312" s="59">
        <f t="shared" si="143"/>
        <v>10</v>
      </c>
      <c r="J312" s="64"/>
      <c r="K312" s="65">
        <v>10</v>
      </c>
      <c r="L312" s="56">
        <f t="shared" si="144"/>
        <v>10</v>
      </c>
      <c r="M312" s="8">
        <f t="shared" si="145"/>
        <v>28</v>
      </c>
      <c r="N312" s="119">
        <v>45531</v>
      </c>
      <c r="O312" s="116"/>
    </row>
    <row r="313" spans="2:15" x14ac:dyDescent="0.15">
      <c r="B313" s="6" t="s">
        <v>16</v>
      </c>
      <c r="C313" s="26">
        <v>1</v>
      </c>
      <c r="D313" s="27">
        <v>1</v>
      </c>
      <c r="E313" s="28">
        <v>6</v>
      </c>
      <c r="F313" s="7">
        <f t="shared" si="142"/>
        <v>8</v>
      </c>
      <c r="G313" s="26">
        <v>1</v>
      </c>
      <c r="H313" s="43">
        <v>3</v>
      </c>
      <c r="I313" s="59">
        <f t="shared" si="143"/>
        <v>4</v>
      </c>
      <c r="J313" s="64">
        <f>1+3</f>
        <v>4</v>
      </c>
      <c r="K313" s="65">
        <f>1+2</f>
        <v>3</v>
      </c>
      <c r="L313" s="56">
        <f t="shared" si="144"/>
        <v>7</v>
      </c>
      <c r="M313" s="8">
        <f t="shared" si="145"/>
        <v>19</v>
      </c>
      <c r="N313" s="119">
        <v>45530</v>
      </c>
      <c r="O313" s="116"/>
    </row>
    <row r="314" spans="2:15" x14ac:dyDescent="0.15">
      <c r="B314" s="6" t="s">
        <v>16</v>
      </c>
      <c r="C314" s="26"/>
      <c r="D314" s="27"/>
      <c r="E314" s="28">
        <v>1</v>
      </c>
      <c r="F314" s="7">
        <f t="shared" si="142"/>
        <v>1</v>
      </c>
      <c r="G314" s="26">
        <v>1</v>
      </c>
      <c r="H314" s="43"/>
      <c r="I314" s="59">
        <f t="shared" si="143"/>
        <v>1</v>
      </c>
      <c r="J314" s="64"/>
      <c r="K314" s="65"/>
      <c r="L314" s="56">
        <f t="shared" si="144"/>
        <v>0</v>
      </c>
      <c r="M314" s="8">
        <f t="shared" si="145"/>
        <v>2</v>
      </c>
      <c r="N314" s="119">
        <v>45531</v>
      </c>
      <c r="O314" s="116"/>
    </row>
    <row r="315" spans="2:15" x14ac:dyDescent="0.15">
      <c r="B315" s="6" t="s">
        <v>16</v>
      </c>
      <c r="C315" s="26">
        <v>1</v>
      </c>
      <c r="D315" s="27">
        <v>1</v>
      </c>
      <c r="E315" s="28"/>
      <c r="F315" s="7">
        <f t="shared" si="142"/>
        <v>2</v>
      </c>
      <c r="G315" s="26"/>
      <c r="H315" s="43"/>
      <c r="I315" s="59">
        <f t="shared" si="143"/>
        <v>0</v>
      </c>
      <c r="J315" s="64">
        <v>1</v>
      </c>
      <c r="K315" s="65"/>
      <c r="L315" s="56">
        <f t="shared" si="144"/>
        <v>1</v>
      </c>
      <c r="M315" s="8">
        <f t="shared" si="145"/>
        <v>3</v>
      </c>
      <c r="N315" s="119">
        <v>45532</v>
      </c>
      <c r="O315" s="116"/>
    </row>
    <row r="316" spans="2:15" x14ac:dyDescent="0.15">
      <c r="B316" s="6" t="s">
        <v>16</v>
      </c>
      <c r="C316" s="26"/>
      <c r="D316" s="27">
        <v>1</v>
      </c>
      <c r="E316" s="28">
        <v>1</v>
      </c>
      <c r="F316" s="7">
        <f t="shared" ref="F316:F317" si="146">SUM(C316:E316)</f>
        <v>2</v>
      </c>
      <c r="G316" s="26"/>
      <c r="H316" s="43"/>
      <c r="I316" s="59">
        <f t="shared" ref="I316:I317" si="147">SUM(G316:H316)</f>
        <v>0</v>
      </c>
      <c r="J316" s="64"/>
      <c r="K316" s="65"/>
      <c r="L316" s="56">
        <f t="shared" ref="L316:L317" si="148">SUM(J316:K316)</f>
        <v>0</v>
      </c>
      <c r="M316" s="8">
        <f t="shared" ref="M316:M319" si="149">L316+I316+F316</f>
        <v>2</v>
      </c>
      <c r="N316" s="119">
        <v>45534</v>
      </c>
      <c r="O316" s="116"/>
    </row>
    <row r="317" spans="2:15" ht="14.25" thickBot="1" x14ac:dyDescent="0.2">
      <c r="B317" s="6" t="s">
        <v>16</v>
      </c>
      <c r="C317" s="26"/>
      <c r="D317" s="27"/>
      <c r="E317" s="28"/>
      <c r="F317" s="7">
        <f t="shared" si="146"/>
        <v>0</v>
      </c>
      <c r="G317" s="26"/>
      <c r="H317" s="43"/>
      <c r="I317" s="59">
        <f t="shared" si="147"/>
        <v>0</v>
      </c>
      <c r="J317" s="66">
        <v>1</v>
      </c>
      <c r="K317" s="67"/>
      <c r="L317" s="57">
        <f t="shared" si="148"/>
        <v>1</v>
      </c>
      <c r="M317" s="54">
        <f t="shared" si="149"/>
        <v>1</v>
      </c>
      <c r="N317" s="119">
        <v>45535</v>
      </c>
      <c r="O317" s="116"/>
    </row>
    <row r="318" spans="2:15" ht="14.25" thickBot="1" x14ac:dyDescent="0.2">
      <c r="B318" s="5" t="s">
        <v>2</v>
      </c>
      <c r="C318" s="32">
        <f>SUM(C293:C317)</f>
        <v>114</v>
      </c>
      <c r="D318" s="33">
        <f t="shared" ref="D318:I318" si="150">SUM(D293:D317)</f>
        <v>46</v>
      </c>
      <c r="E318" s="34">
        <f t="shared" si="150"/>
        <v>110</v>
      </c>
      <c r="F318" s="4">
        <f t="shared" si="150"/>
        <v>270</v>
      </c>
      <c r="G318" s="32">
        <f t="shared" si="150"/>
        <v>102</v>
      </c>
      <c r="H318" s="34">
        <f t="shared" si="150"/>
        <v>75</v>
      </c>
      <c r="I318" s="4">
        <f t="shared" si="150"/>
        <v>177</v>
      </c>
      <c r="J318" s="32">
        <f>SUM(J293:J317)</f>
        <v>95</v>
      </c>
      <c r="K318" s="69">
        <f t="shared" ref="K318:L318" si="151">SUM(K293:K317)</f>
        <v>53</v>
      </c>
      <c r="L318" s="58">
        <f t="shared" si="151"/>
        <v>148</v>
      </c>
      <c r="M318" s="4">
        <f t="shared" si="149"/>
        <v>595</v>
      </c>
      <c r="N318" s="116"/>
      <c r="O318" s="116"/>
    </row>
    <row r="319" spans="2:15" ht="14.25" thickBot="1" x14ac:dyDescent="0.2">
      <c r="B319" s="3" t="s">
        <v>3</v>
      </c>
      <c r="C319" s="38">
        <f>+C292-C318</f>
        <v>41</v>
      </c>
      <c r="D319" s="39">
        <f t="shared" ref="D319:F319" si="152">+D292-D318</f>
        <v>5</v>
      </c>
      <c r="E319" s="40">
        <f t="shared" si="152"/>
        <v>41</v>
      </c>
      <c r="F319" s="2">
        <f t="shared" si="152"/>
        <v>87</v>
      </c>
      <c r="G319" s="38">
        <f>+G292-G318</f>
        <v>17</v>
      </c>
      <c r="H319" s="40">
        <f t="shared" ref="H319:I319" si="153">+H292-H318</f>
        <v>12</v>
      </c>
      <c r="I319" s="60">
        <f t="shared" si="153"/>
        <v>29</v>
      </c>
      <c r="J319" s="70">
        <f>+J292-J318</f>
        <v>3</v>
      </c>
      <c r="K319" s="71">
        <f t="shared" ref="K319:L319" si="154">+K292-K318</f>
        <v>13</v>
      </c>
      <c r="L319" s="73">
        <f t="shared" si="154"/>
        <v>16</v>
      </c>
      <c r="M319" s="61">
        <f t="shared" si="149"/>
        <v>132</v>
      </c>
      <c r="N319" s="116"/>
      <c r="O319" s="116"/>
    </row>
    <row r="320" spans="2:15" x14ac:dyDescent="0.15">
      <c r="N320" s="116"/>
      <c r="O320" s="116"/>
    </row>
    <row r="321" spans="2:15" ht="18.75" x14ac:dyDescent="0.2">
      <c r="B321" s="17" t="s">
        <v>7</v>
      </c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16"/>
      <c r="O321" s="116"/>
    </row>
    <row r="322" spans="2:15" ht="17.25" x14ac:dyDescent="0.2">
      <c r="B322" s="19" t="s">
        <v>14</v>
      </c>
      <c r="C322" s="18"/>
      <c r="D322" s="18"/>
      <c r="E322" s="18"/>
      <c r="F322" s="18"/>
      <c r="G322" s="18"/>
      <c r="H322" s="18"/>
      <c r="I322" s="19" t="s">
        <v>53</v>
      </c>
      <c r="J322" s="18"/>
      <c r="K322" s="18"/>
      <c r="L322" s="18"/>
      <c r="M322" s="18"/>
      <c r="N322" s="116"/>
      <c r="O322" s="116"/>
    </row>
    <row r="323" spans="2:15" ht="14.25" thickBot="1" x14ac:dyDescent="0.2">
      <c r="N323" s="116"/>
      <c r="O323" s="116"/>
    </row>
    <row r="324" spans="2:15" ht="14.25" thickBot="1" x14ac:dyDescent="0.2">
      <c r="B324" s="15"/>
      <c r="C324" s="211" t="s">
        <v>8</v>
      </c>
      <c r="D324" s="212"/>
      <c r="E324" s="212"/>
      <c r="F324" s="213"/>
      <c r="G324" s="211" t="s">
        <v>11</v>
      </c>
      <c r="H324" s="212"/>
      <c r="I324" s="212"/>
      <c r="J324" s="214" t="s">
        <v>49</v>
      </c>
      <c r="K324" s="215"/>
      <c r="L324" s="216"/>
      <c r="M324" s="16"/>
      <c r="N324" s="116"/>
      <c r="O324" s="116"/>
    </row>
    <row r="325" spans="2:15" ht="14.25" thickBot="1" x14ac:dyDescent="0.2">
      <c r="B325" s="14"/>
      <c r="C325" s="20" t="s">
        <v>6</v>
      </c>
      <c r="D325" s="21" t="s">
        <v>9</v>
      </c>
      <c r="E325" s="22" t="s">
        <v>10</v>
      </c>
      <c r="F325" s="13" t="s">
        <v>0</v>
      </c>
      <c r="G325" s="41" t="s">
        <v>9</v>
      </c>
      <c r="H325" s="42" t="s">
        <v>13</v>
      </c>
      <c r="I325" s="14" t="s">
        <v>0</v>
      </c>
      <c r="J325" s="76" t="s">
        <v>50</v>
      </c>
      <c r="K325" s="77" t="s">
        <v>51</v>
      </c>
      <c r="L325" s="5" t="s">
        <v>0</v>
      </c>
      <c r="M325" s="13" t="s">
        <v>0</v>
      </c>
      <c r="N325" s="116"/>
      <c r="O325" s="116"/>
    </row>
    <row r="326" spans="2:15" x14ac:dyDescent="0.15">
      <c r="B326" s="46" t="s">
        <v>3</v>
      </c>
      <c r="C326" s="47">
        <f>C319</f>
        <v>41</v>
      </c>
      <c r="D326" s="50">
        <f t="shared" ref="D326:L326" si="155">D319</f>
        <v>5</v>
      </c>
      <c r="E326" s="48">
        <f t="shared" si="155"/>
        <v>41</v>
      </c>
      <c r="F326" s="49">
        <f t="shared" si="155"/>
        <v>87</v>
      </c>
      <c r="G326" s="47">
        <f t="shared" si="155"/>
        <v>17</v>
      </c>
      <c r="H326" s="48">
        <f t="shared" si="155"/>
        <v>12</v>
      </c>
      <c r="I326" s="49">
        <f t="shared" si="155"/>
        <v>29</v>
      </c>
      <c r="J326" s="47">
        <f t="shared" si="155"/>
        <v>3</v>
      </c>
      <c r="K326" s="48">
        <f t="shared" si="155"/>
        <v>13</v>
      </c>
      <c r="L326" s="72">
        <f t="shared" si="155"/>
        <v>16</v>
      </c>
      <c r="M326" s="78">
        <f>L326+I326+F326</f>
        <v>132</v>
      </c>
      <c r="N326" s="116"/>
      <c r="O326" s="116"/>
    </row>
    <row r="327" spans="2:15" x14ac:dyDescent="0.15">
      <c r="B327" s="12" t="s">
        <v>4</v>
      </c>
      <c r="C327" s="26">
        <v>1</v>
      </c>
      <c r="D327" s="27"/>
      <c r="E327" s="28"/>
      <c r="F327" s="8">
        <f t="shared" ref="F327" si="156">SUM(C327:E327)</f>
        <v>1</v>
      </c>
      <c r="G327" s="26"/>
      <c r="H327" s="43"/>
      <c r="I327" s="8">
        <f t="shared" ref="I327" si="157">SUM(G327:H327)</f>
        <v>0</v>
      </c>
      <c r="J327" s="64"/>
      <c r="K327" s="65"/>
      <c r="L327" s="56">
        <f t="shared" ref="L327" si="158">SUM(J327:K327)</f>
        <v>0</v>
      </c>
      <c r="M327" s="8">
        <f t="shared" ref="M327:M331" si="159">L327+I327+F327</f>
        <v>1</v>
      </c>
      <c r="N327" s="119">
        <v>45638</v>
      </c>
      <c r="O327" s="116"/>
    </row>
    <row r="328" spans="2:15" x14ac:dyDescent="0.15">
      <c r="B328" s="11" t="s">
        <v>4</v>
      </c>
      <c r="C328" s="29"/>
      <c r="D328" s="30"/>
      <c r="E328" s="43"/>
      <c r="F328" s="54">
        <f t="shared" ref="F328:F331" si="160">SUM(C328:E328)</f>
        <v>0</v>
      </c>
      <c r="G328" s="29"/>
      <c r="H328" s="44"/>
      <c r="I328" s="54">
        <f t="shared" ref="I328:I330" si="161">SUM(G328:H328)</f>
        <v>0</v>
      </c>
      <c r="J328" s="66"/>
      <c r="K328" s="67"/>
      <c r="L328" s="57">
        <f t="shared" ref="L328:L330" si="162">SUM(J328:K328)</f>
        <v>0</v>
      </c>
      <c r="M328" s="54">
        <f t="shared" si="159"/>
        <v>0</v>
      </c>
      <c r="N328" s="119"/>
      <c r="O328" s="116"/>
    </row>
    <row r="329" spans="2:15" x14ac:dyDescent="0.15">
      <c r="B329" s="11" t="s">
        <v>4</v>
      </c>
      <c r="C329" s="26"/>
      <c r="D329" s="27"/>
      <c r="E329" s="28"/>
      <c r="F329" s="8">
        <f t="shared" si="160"/>
        <v>0</v>
      </c>
      <c r="G329" s="26"/>
      <c r="H329" s="43"/>
      <c r="I329" s="8">
        <f t="shared" si="161"/>
        <v>0</v>
      </c>
      <c r="J329" s="64"/>
      <c r="K329" s="65"/>
      <c r="L329" s="56">
        <f t="shared" si="162"/>
        <v>0</v>
      </c>
      <c r="M329" s="8">
        <f t="shared" si="159"/>
        <v>0</v>
      </c>
      <c r="N329" s="119"/>
      <c r="O329" s="116"/>
    </row>
    <row r="330" spans="2:15" x14ac:dyDescent="0.15">
      <c r="B330" s="11" t="s">
        <v>4</v>
      </c>
      <c r="C330" s="26"/>
      <c r="D330" s="27"/>
      <c r="E330" s="28"/>
      <c r="F330" s="8">
        <f t="shared" si="160"/>
        <v>0</v>
      </c>
      <c r="G330" s="26"/>
      <c r="H330" s="43"/>
      <c r="I330" s="8">
        <f t="shared" si="161"/>
        <v>0</v>
      </c>
      <c r="J330" s="64"/>
      <c r="K330" s="65"/>
      <c r="L330" s="56">
        <f t="shared" si="162"/>
        <v>0</v>
      </c>
      <c r="M330" s="8">
        <f t="shared" si="159"/>
        <v>0</v>
      </c>
      <c r="N330" s="119"/>
      <c r="O330" s="116"/>
    </row>
    <row r="331" spans="2:15" ht="14.25" thickBot="1" x14ac:dyDescent="0.2">
      <c r="B331" s="11" t="s">
        <v>4</v>
      </c>
      <c r="C331" s="29"/>
      <c r="D331" s="30"/>
      <c r="E331" s="31"/>
      <c r="F331" s="54">
        <f t="shared" si="160"/>
        <v>0</v>
      </c>
      <c r="G331" s="29"/>
      <c r="H331" s="44"/>
      <c r="I331" s="54">
        <f t="shared" ref="I331" si="163">SUM(G331:H331)</f>
        <v>0</v>
      </c>
      <c r="J331" s="66"/>
      <c r="K331" s="67"/>
      <c r="L331" s="57">
        <f t="shared" ref="L331" si="164">SUM(J331:K331)</f>
        <v>0</v>
      </c>
      <c r="M331" s="54">
        <f t="shared" si="159"/>
        <v>0</v>
      </c>
      <c r="N331" s="116"/>
      <c r="O331" s="116"/>
    </row>
    <row r="332" spans="2:15" ht="14.25" thickBot="1" x14ac:dyDescent="0.2">
      <c r="B332" s="5" t="s">
        <v>1</v>
      </c>
      <c r="C332" s="32">
        <f>SUM(C326:C331)</f>
        <v>42</v>
      </c>
      <c r="D332" s="33">
        <f t="shared" ref="D332:I332" si="165">SUM(D326:D331)</f>
        <v>5</v>
      </c>
      <c r="E332" s="34">
        <f t="shared" si="165"/>
        <v>41</v>
      </c>
      <c r="F332" s="4">
        <f t="shared" si="165"/>
        <v>88</v>
      </c>
      <c r="G332" s="32">
        <f t="shared" si="165"/>
        <v>17</v>
      </c>
      <c r="H332" s="34">
        <f t="shared" si="165"/>
        <v>12</v>
      </c>
      <c r="I332" s="4">
        <f t="shared" si="165"/>
        <v>29</v>
      </c>
      <c r="J332" s="68">
        <f>SUM(J326:J331)</f>
        <v>3</v>
      </c>
      <c r="K332" s="69">
        <f t="shared" ref="K332:M332" si="166">SUM(K326:K331)</f>
        <v>13</v>
      </c>
      <c r="L332" s="58">
        <f t="shared" si="166"/>
        <v>16</v>
      </c>
      <c r="M332" s="4">
        <f t="shared" si="166"/>
        <v>133</v>
      </c>
      <c r="N332" s="116"/>
      <c r="O332" s="116"/>
    </row>
    <row r="333" spans="2:15" x14ac:dyDescent="0.15">
      <c r="B333" s="6" t="s">
        <v>16</v>
      </c>
      <c r="C333" s="26">
        <f>1+2</f>
        <v>3</v>
      </c>
      <c r="D333" s="27">
        <v>1</v>
      </c>
      <c r="E333" s="28"/>
      <c r="F333" s="7">
        <f t="shared" ref="F333:F355" si="167">SUM(C333:E333)</f>
        <v>4</v>
      </c>
      <c r="G333" s="26">
        <v>1</v>
      </c>
      <c r="H333" s="43"/>
      <c r="I333" s="59">
        <f t="shared" ref="I333:I357" si="168">SUM(G333:H333)</f>
        <v>1</v>
      </c>
      <c r="J333" s="64">
        <v>1</v>
      </c>
      <c r="K333" s="65">
        <v>1</v>
      </c>
      <c r="L333" s="56">
        <f t="shared" ref="L333:L357" si="169">SUM(J333:K333)</f>
        <v>2</v>
      </c>
      <c r="M333" s="8">
        <f t="shared" ref="M333:M359" si="170">L333+I333+F333</f>
        <v>7</v>
      </c>
      <c r="N333" s="119">
        <v>45537</v>
      </c>
      <c r="O333" s="116"/>
    </row>
    <row r="334" spans="2:15" x14ac:dyDescent="0.15">
      <c r="B334" s="6" t="s">
        <v>16</v>
      </c>
      <c r="C334" s="26"/>
      <c r="D334" s="27"/>
      <c r="E334" s="28">
        <v>1</v>
      </c>
      <c r="F334" s="7">
        <f t="shared" si="167"/>
        <v>1</v>
      </c>
      <c r="G334" s="26"/>
      <c r="H334" s="43"/>
      <c r="I334" s="59">
        <f t="shared" si="168"/>
        <v>0</v>
      </c>
      <c r="J334" s="64"/>
      <c r="K334" s="65"/>
      <c r="L334" s="56">
        <f t="shared" si="169"/>
        <v>0</v>
      </c>
      <c r="M334" s="8">
        <f t="shared" si="170"/>
        <v>1</v>
      </c>
      <c r="N334" s="119">
        <v>45538</v>
      </c>
      <c r="O334" s="116"/>
    </row>
    <row r="335" spans="2:15" x14ac:dyDescent="0.15">
      <c r="B335" s="6" t="s">
        <v>16</v>
      </c>
      <c r="C335" s="26"/>
      <c r="D335" s="27"/>
      <c r="E335" s="28">
        <v>1</v>
      </c>
      <c r="F335" s="7">
        <f t="shared" si="167"/>
        <v>1</v>
      </c>
      <c r="G335" s="26"/>
      <c r="H335" s="43"/>
      <c r="I335" s="59">
        <f t="shared" si="168"/>
        <v>0</v>
      </c>
      <c r="J335" s="64"/>
      <c r="K335" s="65"/>
      <c r="L335" s="56">
        <f t="shared" si="169"/>
        <v>0</v>
      </c>
      <c r="M335" s="8">
        <f t="shared" si="170"/>
        <v>1</v>
      </c>
      <c r="N335" s="119">
        <v>45539</v>
      </c>
      <c r="O335" s="116"/>
    </row>
    <row r="336" spans="2:15" x14ac:dyDescent="0.15">
      <c r="B336" s="6" t="s">
        <v>16</v>
      </c>
      <c r="C336" s="26"/>
      <c r="D336" s="27"/>
      <c r="E336" s="28"/>
      <c r="F336" s="7">
        <f t="shared" si="167"/>
        <v>0</v>
      </c>
      <c r="G336" s="26">
        <v>2</v>
      </c>
      <c r="H336" s="43"/>
      <c r="I336" s="59">
        <f t="shared" si="168"/>
        <v>2</v>
      </c>
      <c r="J336" s="64"/>
      <c r="K336" s="65"/>
      <c r="L336" s="56">
        <f t="shared" si="169"/>
        <v>0</v>
      </c>
      <c r="M336" s="8">
        <f t="shared" si="170"/>
        <v>2</v>
      </c>
      <c r="N336" s="119">
        <v>45540</v>
      </c>
      <c r="O336" s="116"/>
    </row>
    <row r="337" spans="2:15" x14ac:dyDescent="0.15">
      <c r="B337" s="6" t="s">
        <v>16</v>
      </c>
      <c r="C337" s="26"/>
      <c r="D337" s="27"/>
      <c r="E337" s="28">
        <v>1</v>
      </c>
      <c r="F337" s="7">
        <f t="shared" si="167"/>
        <v>1</v>
      </c>
      <c r="G337" s="26">
        <v>1</v>
      </c>
      <c r="H337" s="43"/>
      <c r="I337" s="59">
        <f t="shared" si="168"/>
        <v>1</v>
      </c>
      <c r="J337" s="64"/>
      <c r="K337" s="65"/>
      <c r="L337" s="56">
        <f t="shared" si="169"/>
        <v>0</v>
      </c>
      <c r="M337" s="8">
        <f t="shared" si="170"/>
        <v>2</v>
      </c>
      <c r="N337" s="119">
        <v>45540</v>
      </c>
      <c r="O337" s="116"/>
    </row>
    <row r="338" spans="2:15" x14ac:dyDescent="0.15">
      <c r="B338" s="6" t="s">
        <v>16</v>
      </c>
      <c r="C338" s="26">
        <v>1</v>
      </c>
      <c r="D338" s="27"/>
      <c r="E338" s="28"/>
      <c r="F338" s="7">
        <f t="shared" si="167"/>
        <v>1</v>
      </c>
      <c r="G338" s="26"/>
      <c r="H338" s="43"/>
      <c r="I338" s="59">
        <f t="shared" si="168"/>
        <v>0</v>
      </c>
      <c r="J338" s="64"/>
      <c r="K338" s="65"/>
      <c r="L338" s="56">
        <f t="shared" si="169"/>
        <v>0</v>
      </c>
      <c r="M338" s="8">
        <f t="shared" si="170"/>
        <v>1</v>
      </c>
      <c r="N338" s="119">
        <v>45541</v>
      </c>
      <c r="O338" s="116"/>
    </row>
    <row r="339" spans="2:15" x14ac:dyDescent="0.15">
      <c r="B339" s="6" t="s">
        <v>16</v>
      </c>
      <c r="C339" s="26">
        <v>1</v>
      </c>
      <c r="D339" s="27"/>
      <c r="E339" s="28">
        <v>1</v>
      </c>
      <c r="F339" s="7">
        <f t="shared" si="167"/>
        <v>2</v>
      </c>
      <c r="G339" s="26">
        <v>1</v>
      </c>
      <c r="H339" s="43"/>
      <c r="I339" s="59">
        <f t="shared" si="168"/>
        <v>1</v>
      </c>
      <c r="J339" s="64"/>
      <c r="K339" s="65">
        <v>1</v>
      </c>
      <c r="L339" s="56">
        <f t="shared" si="169"/>
        <v>1</v>
      </c>
      <c r="M339" s="8">
        <f t="shared" si="170"/>
        <v>4</v>
      </c>
      <c r="N339" s="119">
        <v>45544</v>
      </c>
      <c r="O339" s="116"/>
    </row>
    <row r="340" spans="2:15" x14ac:dyDescent="0.15">
      <c r="B340" s="6" t="s">
        <v>16</v>
      </c>
      <c r="C340" s="26">
        <v>1</v>
      </c>
      <c r="D340" s="27"/>
      <c r="E340" s="28"/>
      <c r="F340" s="7">
        <f t="shared" si="167"/>
        <v>1</v>
      </c>
      <c r="G340" s="26"/>
      <c r="H340" s="43">
        <v>1</v>
      </c>
      <c r="I340" s="59">
        <f t="shared" si="168"/>
        <v>1</v>
      </c>
      <c r="J340" s="64"/>
      <c r="K340" s="65"/>
      <c r="L340" s="56">
        <f t="shared" si="169"/>
        <v>0</v>
      </c>
      <c r="M340" s="8">
        <f t="shared" si="170"/>
        <v>2</v>
      </c>
      <c r="N340" s="119">
        <v>45545</v>
      </c>
      <c r="O340" s="116"/>
    </row>
    <row r="341" spans="2:15" x14ac:dyDescent="0.15">
      <c r="B341" s="6" t="s">
        <v>16</v>
      </c>
      <c r="C341" s="26"/>
      <c r="D341" s="27"/>
      <c r="E341" s="28">
        <v>2</v>
      </c>
      <c r="F341" s="7">
        <f t="shared" si="167"/>
        <v>2</v>
      </c>
      <c r="G341" s="26"/>
      <c r="H341" s="43"/>
      <c r="I341" s="59">
        <f t="shared" si="168"/>
        <v>0</v>
      </c>
      <c r="J341" s="64">
        <v>2</v>
      </c>
      <c r="K341" s="65"/>
      <c r="L341" s="56">
        <f t="shared" si="169"/>
        <v>2</v>
      </c>
      <c r="M341" s="8">
        <f t="shared" si="170"/>
        <v>4</v>
      </c>
      <c r="N341" s="119">
        <v>45546</v>
      </c>
      <c r="O341" s="116"/>
    </row>
    <row r="342" spans="2:15" x14ac:dyDescent="0.15">
      <c r="B342" s="6" t="s">
        <v>16</v>
      </c>
      <c r="C342" s="26"/>
      <c r="D342" s="27"/>
      <c r="E342" s="28">
        <v>1</v>
      </c>
      <c r="F342" s="7">
        <f t="shared" si="167"/>
        <v>1</v>
      </c>
      <c r="G342" s="26"/>
      <c r="H342" s="43"/>
      <c r="I342" s="59">
        <f t="shared" si="168"/>
        <v>0</v>
      </c>
      <c r="J342" s="64"/>
      <c r="K342" s="65"/>
      <c r="L342" s="56">
        <f t="shared" si="169"/>
        <v>0</v>
      </c>
      <c r="M342" s="8">
        <f t="shared" si="170"/>
        <v>1</v>
      </c>
      <c r="N342" s="119">
        <v>45547</v>
      </c>
      <c r="O342" s="116"/>
    </row>
    <row r="343" spans="2:15" x14ac:dyDescent="0.15">
      <c r="B343" s="6" t="s">
        <v>16</v>
      </c>
      <c r="C343" s="26"/>
      <c r="D343" s="27"/>
      <c r="E343" s="28"/>
      <c r="F343" s="7">
        <f t="shared" si="167"/>
        <v>0</v>
      </c>
      <c r="G343" s="26">
        <v>1</v>
      </c>
      <c r="H343" s="43"/>
      <c r="I343" s="59">
        <f t="shared" si="168"/>
        <v>1</v>
      </c>
      <c r="J343" s="64"/>
      <c r="K343" s="65"/>
      <c r="L343" s="56">
        <f t="shared" si="169"/>
        <v>0</v>
      </c>
      <c r="M343" s="8">
        <f t="shared" si="170"/>
        <v>1</v>
      </c>
      <c r="N343" s="119">
        <v>45552</v>
      </c>
      <c r="O343" s="116"/>
    </row>
    <row r="344" spans="2:15" x14ac:dyDescent="0.15">
      <c r="B344" s="6" t="s">
        <v>16</v>
      </c>
      <c r="C344" s="26">
        <v>1</v>
      </c>
      <c r="D344" s="27"/>
      <c r="E344" s="28"/>
      <c r="F344" s="7">
        <f t="shared" si="167"/>
        <v>1</v>
      </c>
      <c r="G344" s="26"/>
      <c r="H344" s="43"/>
      <c r="I344" s="59">
        <f t="shared" si="168"/>
        <v>0</v>
      </c>
      <c r="J344" s="64"/>
      <c r="K344" s="65"/>
      <c r="L344" s="56">
        <f t="shared" si="169"/>
        <v>0</v>
      </c>
      <c r="M344" s="8">
        <f t="shared" si="170"/>
        <v>1</v>
      </c>
      <c r="N344" s="119">
        <v>45553</v>
      </c>
      <c r="O344" s="116"/>
    </row>
    <row r="345" spans="2:15" x14ac:dyDescent="0.15">
      <c r="B345" s="6" t="s">
        <v>16</v>
      </c>
      <c r="C345" s="26"/>
      <c r="D345" s="27"/>
      <c r="E345" s="28">
        <v>1</v>
      </c>
      <c r="F345" s="7">
        <f t="shared" si="167"/>
        <v>1</v>
      </c>
      <c r="G345" s="26">
        <v>1</v>
      </c>
      <c r="H345" s="43"/>
      <c r="I345" s="59">
        <f t="shared" si="168"/>
        <v>1</v>
      </c>
      <c r="J345" s="64"/>
      <c r="K345" s="65"/>
      <c r="L345" s="56">
        <f t="shared" si="169"/>
        <v>0</v>
      </c>
      <c r="M345" s="8">
        <f t="shared" si="170"/>
        <v>2</v>
      </c>
      <c r="N345" s="119">
        <v>45554</v>
      </c>
      <c r="O345" s="116"/>
    </row>
    <row r="346" spans="2:15" x14ac:dyDescent="0.15">
      <c r="B346" s="6" t="s">
        <v>16</v>
      </c>
      <c r="C346" s="26"/>
      <c r="D346" s="27"/>
      <c r="E346" s="28"/>
      <c r="F346" s="7">
        <f t="shared" si="167"/>
        <v>0</v>
      </c>
      <c r="G346" s="26">
        <v>1</v>
      </c>
      <c r="H346" s="43"/>
      <c r="I346" s="59">
        <f t="shared" si="168"/>
        <v>1</v>
      </c>
      <c r="J346" s="64"/>
      <c r="K346" s="65"/>
      <c r="L346" s="56">
        <f t="shared" si="169"/>
        <v>0</v>
      </c>
      <c r="M346" s="8">
        <f t="shared" si="170"/>
        <v>1</v>
      </c>
      <c r="N346" s="119">
        <v>45555</v>
      </c>
      <c r="O346" s="116"/>
    </row>
    <row r="347" spans="2:15" x14ac:dyDescent="0.15">
      <c r="B347" s="6" t="s">
        <v>16</v>
      </c>
      <c r="C347" s="26"/>
      <c r="D347" s="27"/>
      <c r="E347" s="28"/>
      <c r="F347" s="7">
        <f t="shared" si="167"/>
        <v>0</v>
      </c>
      <c r="G347" s="26"/>
      <c r="H347" s="43">
        <v>1</v>
      </c>
      <c r="I347" s="59">
        <f t="shared" si="168"/>
        <v>1</v>
      </c>
      <c r="J347" s="64"/>
      <c r="K347" s="65">
        <v>1</v>
      </c>
      <c r="L347" s="56">
        <f t="shared" si="169"/>
        <v>1</v>
      </c>
      <c r="M347" s="8">
        <f t="shared" si="170"/>
        <v>2</v>
      </c>
      <c r="N347" s="119">
        <v>45559</v>
      </c>
      <c r="O347" s="116"/>
    </row>
    <row r="348" spans="2:15" x14ac:dyDescent="0.15">
      <c r="B348" s="6" t="s">
        <v>16</v>
      </c>
      <c r="C348" s="26"/>
      <c r="D348" s="27"/>
      <c r="E348" s="28"/>
      <c r="F348" s="7">
        <f t="shared" si="167"/>
        <v>0</v>
      </c>
      <c r="G348" s="26">
        <v>1</v>
      </c>
      <c r="H348" s="43"/>
      <c r="I348" s="59">
        <f t="shared" si="168"/>
        <v>1</v>
      </c>
      <c r="J348" s="64"/>
      <c r="K348" s="65"/>
      <c r="L348" s="56">
        <f t="shared" si="169"/>
        <v>0</v>
      </c>
      <c r="M348" s="8">
        <f t="shared" si="170"/>
        <v>1</v>
      </c>
      <c r="N348" s="119">
        <v>45569</v>
      </c>
      <c r="O348" s="116"/>
    </row>
    <row r="349" spans="2:15" x14ac:dyDescent="0.15">
      <c r="B349" s="6" t="s">
        <v>16</v>
      </c>
      <c r="C349" s="26"/>
      <c r="D349" s="27"/>
      <c r="E349" s="28"/>
      <c r="F349" s="7">
        <f t="shared" si="167"/>
        <v>0</v>
      </c>
      <c r="G349" s="26"/>
      <c r="H349" s="43">
        <v>1</v>
      </c>
      <c r="I349" s="59">
        <f t="shared" si="168"/>
        <v>1</v>
      </c>
      <c r="J349" s="64"/>
      <c r="K349" s="65">
        <v>1</v>
      </c>
      <c r="L349" s="56">
        <f t="shared" si="169"/>
        <v>1</v>
      </c>
      <c r="M349" s="8">
        <f t="shared" si="170"/>
        <v>2</v>
      </c>
      <c r="N349" s="119">
        <v>45580</v>
      </c>
      <c r="O349" s="116"/>
    </row>
    <row r="350" spans="2:15" x14ac:dyDescent="0.15">
      <c r="B350" s="6" t="s">
        <v>16</v>
      </c>
      <c r="C350" s="26"/>
      <c r="D350" s="27"/>
      <c r="E350" s="28">
        <v>1</v>
      </c>
      <c r="F350" s="7">
        <f t="shared" si="167"/>
        <v>1</v>
      </c>
      <c r="G350" s="26"/>
      <c r="H350" s="43"/>
      <c r="I350" s="59">
        <f t="shared" si="168"/>
        <v>0</v>
      </c>
      <c r="J350" s="64"/>
      <c r="K350" s="65"/>
      <c r="L350" s="56">
        <f t="shared" si="169"/>
        <v>0</v>
      </c>
      <c r="M350" s="8">
        <f t="shared" si="170"/>
        <v>1</v>
      </c>
      <c r="N350" s="119">
        <v>45581</v>
      </c>
      <c r="O350" s="116"/>
    </row>
    <row r="351" spans="2:15" x14ac:dyDescent="0.15">
      <c r="B351" s="6" t="s">
        <v>16</v>
      </c>
      <c r="C351" s="26">
        <v>1</v>
      </c>
      <c r="D351" s="27"/>
      <c r="E351" s="28"/>
      <c r="F351" s="7">
        <f t="shared" si="167"/>
        <v>1</v>
      </c>
      <c r="G351" s="26"/>
      <c r="H351" s="43"/>
      <c r="I351" s="59">
        <f t="shared" si="168"/>
        <v>0</v>
      </c>
      <c r="J351" s="64"/>
      <c r="K351" s="65"/>
      <c r="L351" s="56">
        <f t="shared" si="169"/>
        <v>0</v>
      </c>
      <c r="M351" s="8">
        <f t="shared" si="170"/>
        <v>1</v>
      </c>
      <c r="N351" s="119">
        <v>45593</v>
      </c>
      <c r="O351" s="116"/>
    </row>
    <row r="352" spans="2:15" x14ac:dyDescent="0.15">
      <c r="B352" s="6" t="s">
        <v>16</v>
      </c>
      <c r="C352" s="26"/>
      <c r="D352" s="27"/>
      <c r="E352" s="28"/>
      <c r="F352" s="7">
        <f t="shared" si="167"/>
        <v>0</v>
      </c>
      <c r="G352" s="26"/>
      <c r="H352" s="43">
        <v>1</v>
      </c>
      <c r="I352" s="59">
        <f t="shared" si="168"/>
        <v>1</v>
      </c>
      <c r="J352" s="64"/>
      <c r="K352" s="65">
        <v>1</v>
      </c>
      <c r="L352" s="56">
        <f t="shared" si="169"/>
        <v>1</v>
      </c>
      <c r="M352" s="8">
        <f t="shared" si="170"/>
        <v>2</v>
      </c>
      <c r="N352" s="119">
        <v>45611</v>
      </c>
      <c r="O352" s="116"/>
    </row>
    <row r="353" spans="2:28" x14ac:dyDescent="0.15">
      <c r="B353" s="6" t="s">
        <v>16</v>
      </c>
      <c r="C353" s="26"/>
      <c r="D353" s="27"/>
      <c r="E353" s="28"/>
      <c r="F353" s="7">
        <f t="shared" si="167"/>
        <v>0</v>
      </c>
      <c r="G353" s="26"/>
      <c r="H353" s="43"/>
      <c r="I353" s="59">
        <f t="shared" si="168"/>
        <v>0</v>
      </c>
      <c r="J353" s="64"/>
      <c r="K353" s="65">
        <v>1</v>
      </c>
      <c r="L353" s="56">
        <f t="shared" si="169"/>
        <v>1</v>
      </c>
      <c r="M353" s="8">
        <f t="shared" si="170"/>
        <v>1</v>
      </c>
      <c r="N353" s="119">
        <v>45649</v>
      </c>
      <c r="O353" s="116"/>
    </row>
    <row r="354" spans="2:28" x14ac:dyDescent="0.15">
      <c r="B354" s="6" t="s">
        <v>16</v>
      </c>
      <c r="C354" s="26"/>
      <c r="D354" s="27"/>
      <c r="E354" s="28"/>
      <c r="F354" s="7">
        <f t="shared" si="167"/>
        <v>0</v>
      </c>
      <c r="G354" s="26">
        <v>1</v>
      </c>
      <c r="H354" s="43"/>
      <c r="I354" s="59">
        <f t="shared" si="168"/>
        <v>1</v>
      </c>
      <c r="J354" s="64"/>
      <c r="K354" s="65"/>
      <c r="L354" s="56">
        <f t="shared" si="169"/>
        <v>0</v>
      </c>
      <c r="M354" s="8">
        <f t="shared" si="170"/>
        <v>1</v>
      </c>
      <c r="N354" s="119">
        <v>45663</v>
      </c>
      <c r="O354" s="116"/>
    </row>
    <row r="355" spans="2:28" x14ac:dyDescent="0.15">
      <c r="B355" s="6" t="s">
        <v>16</v>
      </c>
      <c r="C355" s="26"/>
      <c r="D355" s="27"/>
      <c r="E355" s="28">
        <v>1</v>
      </c>
      <c r="F355" s="7">
        <f t="shared" si="167"/>
        <v>1</v>
      </c>
      <c r="G355" s="26"/>
      <c r="H355" s="43">
        <v>1</v>
      </c>
      <c r="I355" s="59">
        <f t="shared" si="168"/>
        <v>1</v>
      </c>
      <c r="J355" s="64"/>
      <c r="K355" s="65"/>
      <c r="L355" s="56">
        <f t="shared" si="169"/>
        <v>0</v>
      </c>
      <c r="M355" s="8">
        <f t="shared" si="170"/>
        <v>2</v>
      </c>
      <c r="N355" s="119">
        <v>45677</v>
      </c>
      <c r="O355" s="116"/>
    </row>
    <row r="356" spans="2:28" x14ac:dyDescent="0.15">
      <c r="B356" s="6" t="s">
        <v>16</v>
      </c>
      <c r="C356" s="26"/>
      <c r="D356" s="27"/>
      <c r="E356" s="28"/>
      <c r="F356" s="7">
        <f t="shared" ref="F356:F357" si="171">SUM(C356:E356)</f>
        <v>0</v>
      </c>
      <c r="G356" s="26"/>
      <c r="H356" s="43">
        <v>1</v>
      </c>
      <c r="I356" s="59">
        <f t="shared" si="168"/>
        <v>1</v>
      </c>
      <c r="J356" s="64"/>
      <c r="K356" s="65"/>
      <c r="L356" s="56">
        <f t="shared" si="169"/>
        <v>0</v>
      </c>
      <c r="M356" s="8">
        <f t="shared" si="170"/>
        <v>1</v>
      </c>
      <c r="N356" s="119">
        <v>45684</v>
      </c>
      <c r="O356" s="116"/>
    </row>
    <row r="357" spans="2:28" ht="14.25" thickBot="1" x14ac:dyDescent="0.2">
      <c r="B357" s="6" t="s">
        <v>16</v>
      </c>
      <c r="C357" s="26"/>
      <c r="D357" s="27">
        <v>1</v>
      </c>
      <c r="E357" s="28"/>
      <c r="F357" s="7">
        <f t="shared" si="171"/>
        <v>1</v>
      </c>
      <c r="G357" s="26"/>
      <c r="H357" s="43"/>
      <c r="I357" s="59">
        <f t="shared" si="168"/>
        <v>0</v>
      </c>
      <c r="J357" s="66"/>
      <c r="K357" s="67"/>
      <c r="L357" s="57">
        <f t="shared" si="169"/>
        <v>0</v>
      </c>
      <c r="M357" s="54">
        <f t="shared" si="170"/>
        <v>1</v>
      </c>
      <c r="N357" s="119">
        <v>45685</v>
      </c>
      <c r="O357" s="116"/>
    </row>
    <row r="358" spans="2:28" ht="14.25" thickBot="1" x14ac:dyDescent="0.2">
      <c r="B358" s="5" t="s">
        <v>2</v>
      </c>
      <c r="C358" s="32">
        <f>SUM(C333:C357)</f>
        <v>8</v>
      </c>
      <c r="D358" s="33">
        <f t="shared" ref="D358:I358" si="172">SUM(D333:D357)</f>
        <v>2</v>
      </c>
      <c r="E358" s="34">
        <f t="shared" si="172"/>
        <v>10</v>
      </c>
      <c r="F358" s="4">
        <f t="shared" si="172"/>
        <v>20</v>
      </c>
      <c r="G358" s="32">
        <f t="shared" si="172"/>
        <v>10</v>
      </c>
      <c r="H358" s="34">
        <f t="shared" si="172"/>
        <v>6</v>
      </c>
      <c r="I358" s="4">
        <f t="shared" si="172"/>
        <v>16</v>
      </c>
      <c r="J358" s="32">
        <f>SUM(J333:J357)</f>
        <v>3</v>
      </c>
      <c r="K358" s="69">
        <f t="shared" ref="K358:L358" si="173">SUM(K333:K357)</f>
        <v>6</v>
      </c>
      <c r="L358" s="58">
        <f t="shared" si="173"/>
        <v>9</v>
      </c>
      <c r="M358" s="4">
        <f t="shared" si="170"/>
        <v>45</v>
      </c>
      <c r="N358" s="116"/>
      <c r="O358" s="116"/>
    </row>
    <row r="359" spans="2:28" ht="14.25" thickBot="1" x14ac:dyDescent="0.2">
      <c r="B359" s="3" t="s">
        <v>3</v>
      </c>
      <c r="C359" s="38">
        <f>+C332-C358</f>
        <v>34</v>
      </c>
      <c r="D359" s="39">
        <f t="shared" ref="D359:F359" si="174">+D332-D358</f>
        <v>3</v>
      </c>
      <c r="E359" s="40">
        <f t="shared" si="174"/>
        <v>31</v>
      </c>
      <c r="F359" s="2">
        <f t="shared" si="174"/>
        <v>68</v>
      </c>
      <c r="G359" s="38">
        <f>+G332-G358</f>
        <v>7</v>
      </c>
      <c r="H359" s="40">
        <f t="shared" ref="H359:I359" si="175">+H332-H358</f>
        <v>6</v>
      </c>
      <c r="I359" s="60">
        <f t="shared" si="175"/>
        <v>13</v>
      </c>
      <c r="J359" s="70">
        <f>+J332-J358</f>
        <v>0</v>
      </c>
      <c r="K359" s="71">
        <f t="shared" ref="K359:L359" si="176">+K332-K358</f>
        <v>7</v>
      </c>
      <c r="L359" s="73">
        <f t="shared" si="176"/>
        <v>7</v>
      </c>
      <c r="M359" s="61">
        <f t="shared" si="170"/>
        <v>88</v>
      </c>
      <c r="N359" s="116"/>
      <c r="O359" s="116"/>
    </row>
    <row r="360" spans="2:28" x14ac:dyDescent="0.15">
      <c r="N360" s="116"/>
      <c r="O360" s="116"/>
    </row>
    <row r="361" spans="2:28" s="114" customFormat="1" ht="29.25" customHeight="1" x14ac:dyDescent="0.15">
      <c r="B361" s="113"/>
      <c r="C361" s="115" t="s">
        <v>71</v>
      </c>
    </row>
    <row r="362" spans="2:28" ht="18.75" x14ac:dyDescent="0.2">
      <c r="B362" s="89" t="s">
        <v>7</v>
      </c>
      <c r="C362" s="90"/>
      <c r="D362" s="90"/>
      <c r="E362" s="90"/>
      <c r="F362" s="90"/>
      <c r="G362" s="90"/>
      <c r="H362" s="90"/>
      <c r="I362" s="90"/>
      <c r="J362" s="90"/>
      <c r="K362" s="90"/>
      <c r="L362" s="90"/>
      <c r="M362" s="90"/>
      <c r="N362" s="90"/>
      <c r="O362" s="89"/>
      <c r="P362" s="90"/>
      <c r="Q362" s="90"/>
      <c r="R362" s="90"/>
      <c r="S362" s="90"/>
      <c r="T362" s="90"/>
      <c r="U362" s="90"/>
      <c r="V362" s="90"/>
      <c r="W362" s="90"/>
      <c r="X362" s="90"/>
      <c r="Y362" s="90"/>
      <c r="Z362" s="90"/>
      <c r="AA362" s="90"/>
    </row>
    <row r="363" spans="2:28" ht="18" thickBot="1" x14ac:dyDescent="0.25">
      <c r="B363" s="91" t="s">
        <v>70</v>
      </c>
      <c r="C363" s="90"/>
      <c r="D363" s="90"/>
      <c r="E363" s="90"/>
      <c r="F363" s="90"/>
      <c r="G363" s="90"/>
      <c r="H363" s="90"/>
      <c r="I363" s="91" t="s">
        <v>53</v>
      </c>
      <c r="J363" s="90"/>
      <c r="K363" s="90"/>
      <c r="L363" s="90"/>
      <c r="M363" s="90"/>
      <c r="N363" s="90"/>
      <c r="O363" s="91"/>
      <c r="P363" s="90"/>
      <c r="Q363" s="90"/>
      <c r="R363" s="90"/>
      <c r="S363" s="90"/>
      <c r="T363" s="90"/>
      <c r="U363" s="91"/>
      <c r="V363" s="91"/>
      <c r="W363" s="91"/>
      <c r="X363" s="91"/>
      <c r="Y363" s="90"/>
      <c r="Z363" s="90"/>
      <c r="AA363" s="90"/>
    </row>
    <row r="364" spans="2:28" ht="14.25" thickBot="1" x14ac:dyDescent="0.2">
      <c r="B364" s="92"/>
      <c r="C364" s="205" t="s">
        <v>8</v>
      </c>
      <c r="D364" s="206"/>
      <c r="E364" s="206"/>
      <c r="F364" s="207"/>
      <c r="G364" s="205" t="s">
        <v>11</v>
      </c>
      <c r="H364" s="206"/>
      <c r="I364" s="206"/>
      <c r="J364" s="208" t="s">
        <v>49</v>
      </c>
      <c r="K364" s="209"/>
      <c r="L364" s="210"/>
      <c r="M364" s="205" t="s">
        <v>63</v>
      </c>
      <c r="N364" s="206"/>
      <c r="O364" s="206"/>
      <c r="P364" s="206"/>
      <c r="Q364" s="205" t="s">
        <v>61</v>
      </c>
      <c r="R364" s="206"/>
      <c r="S364" s="206"/>
      <c r="T364" s="207"/>
      <c r="U364" s="205" t="s">
        <v>65</v>
      </c>
      <c r="V364" s="206"/>
      <c r="W364" s="207"/>
      <c r="X364" s="205" t="s">
        <v>68</v>
      </c>
      <c r="Y364" s="206"/>
      <c r="Z364" s="207"/>
      <c r="AA364" s="93"/>
    </row>
    <row r="365" spans="2:28" ht="14.25" thickBot="1" x14ac:dyDescent="0.2">
      <c r="B365" s="94"/>
      <c r="C365" s="95" t="s">
        <v>6</v>
      </c>
      <c r="D365" s="96" t="s">
        <v>9</v>
      </c>
      <c r="E365" s="97" t="s">
        <v>10</v>
      </c>
      <c r="F365" s="98" t="s">
        <v>0</v>
      </c>
      <c r="G365" s="99" t="s">
        <v>9</v>
      </c>
      <c r="H365" s="100" t="s">
        <v>13</v>
      </c>
      <c r="I365" s="94" t="s">
        <v>0</v>
      </c>
      <c r="J365" s="101" t="s">
        <v>50</v>
      </c>
      <c r="K365" s="102" t="s">
        <v>51</v>
      </c>
      <c r="L365" s="103" t="s">
        <v>0</v>
      </c>
      <c r="M365" s="104" t="s">
        <v>9</v>
      </c>
      <c r="N365" s="107" t="s">
        <v>64</v>
      </c>
      <c r="O365" s="108" t="s">
        <v>6</v>
      </c>
      <c r="P365" s="94" t="s">
        <v>0</v>
      </c>
      <c r="Q365" s="104" t="s">
        <v>9</v>
      </c>
      <c r="R365" s="105" t="s">
        <v>13</v>
      </c>
      <c r="S365" s="106" t="s">
        <v>62</v>
      </c>
      <c r="T365" s="98" t="s">
        <v>0</v>
      </c>
      <c r="U365" s="109" t="s">
        <v>69</v>
      </c>
      <c r="V365" s="110" t="s">
        <v>66</v>
      </c>
      <c r="W365" s="103" t="s">
        <v>67</v>
      </c>
      <c r="X365" s="111" t="s">
        <v>62</v>
      </c>
      <c r="Y365" s="110" t="s">
        <v>10</v>
      </c>
      <c r="Z365" s="103" t="s">
        <v>0</v>
      </c>
      <c r="AA365" s="112" t="s">
        <v>0</v>
      </c>
    </row>
    <row r="366" spans="2:28" s="134" customFormat="1" x14ac:dyDescent="0.15">
      <c r="B366" s="46" t="s">
        <v>3</v>
      </c>
      <c r="C366" s="47">
        <f>C359</f>
        <v>34</v>
      </c>
      <c r="D366" s="50">
        <f t="shared" ref="D366:L366" si="177">D359</f>
        <v>3</v>
      </c>
      <c r="E366" s="48">
        <f t="shared" si="177"/>
        <v>31</v>
      </c>
      <c r="F366" s="49">
        <f t="shared" si="177"/>
        <v>68</v>
      </c>
      <c r="G366" s="47">
        <f t="shared" si="177"/>
        <v>7</v>
      </c>
      <c r="H366" s="48">
        <f t="shared" si="177"/>
        <v>6</v>
      </c>
      <c r="I366" s="49">
        <f t="shared" si="177"/>
        <v>13</v>
      </c>
      <c r="J366" s="47">
        <f t="shared" si="177"/>
        <v>0</v>
      </c>
      <c r="K366" s="48">
        <f t="shared" si="177"/>
        <v>7</v>
      </c>
      <c r="L366" s="87">
        <f t="shared" si="177"/>
        <v>7</v>
      </c>
      <c r="M366" s="47">
        <v>0</v>
      </c>
      <c r="N366" s="79">
        <v>0</v>
      </c>
      <c r="O366" s="48">
        <v>0</v>
      </c>
      <c r="P366" s="49">
        <f>SUM(M366:O366)</f>
        <v>0</v>
      </c>
      <c r="Q366" s="47">
        <v>0</v>
      </c>
      <c r="R366" s="50">
        <v>0</v>
      </c>
      <c r="S366" s="48">
        <v>0</v>
      </c>
      <c r="T366" s="49">
        <f>SUM(Q366:S366)</f>
        <v>0</v>
      </c>
      <c r="U366" s="83">
        <v>0</v>
      </c>
      <c r="V366" s="82">
        <v>0</v>
      </c>
      <c r="W366" s="74">
        <f>SUM(U366:V366)</f>
        <v>0</v>
      </c>
      <c r="X366" s="80">
        <v>0</v>
      </c>
      <c r="Y366" s="48">
        <v>0</v>
      </c>
      <c r="Z366" s="87">
        <f>SUM(X366:Y366)</f>
        <v>0</v>
      </c>
      <c r="AA366" s="133">
        <f t="shared" ref="AA366:AA399" si="178">Z366+W366+P366+T366+F366+I366+L366</f>
        <v>88</v>
      </c>
    </row>
    <row r="367" spans="2:28" x14ac:dyDescent="0.15">
      <c r="B367" s="11" t="s">
        <v>4</v>
      </c>
      <c r="C367" s="26"/>
      <c r="D367" s="27"/>
      <c r="E367" s="28"/>
      <c r="F367" s="8">
        <f t="shared" ref="F367:F368" si="179">SUM(C367:E367)</f>
        <v>0</v>
      </c>
      <c r="G367" s="26"/>
      <c r="H367" s="43"/>
      <c r="I367" s="8">
        <f t="shared" ref="I367:I368" si="180">SUM(G367:H367)</f>
        <v>0</v>
      </c>
      <c r="J367" s="64"/>
      <c r="K367" s="65"/>
      <c r="L367" s="56">
        <f t="shared" ref="L367:L368" si="181">SUM(J367:K367)</f>
        <v>0</v>
      </c>
      <c r="M367" s="26"/>
      <c r="N367" s="123"/>
      <c r="O367" s="43">
        <v>1</v>
      </c>
      <c r="P367" s="59">
        <f>SUM(M367:O367)</f>
        <v>1</v>
      </c>
      <c r="Q367" s="26">
        <v>1</v>
      </c>
      <c r="R367" s="27">
        <v>1</v>
      </c>
      <c r="S367" s="28">
        <v>1</v>
      </c>
      <c r="T367" s="59">
        <f>SUM(Q367:S367)</f>
        <v>3</v>
      </c>
      <c r="U367" s="64">
        <v>1</v>
      </c>
      <c r="V367" s="65">
        <v>1</v>
      </c>
      <c r="W367" s="59">
        <f t="shared" ref="W367:W399" si="182">SUM(U367:V367)</f>
        <v>2</v>
      </c>
      <c r="X367" s="64">
        <v>1</v>
      </c>
      <c r="Y367" s="65">
        <v>1</v>
      </c>
      <c r="Z367" s="72">
        <f t="shared" ref="Z367:Z399" si="183">SUM(X367:Y367)</f>
        <v>2</v>
      </c>
      <c r="AA367" s="124">
        <f t="shared" si="178"/>
        <v>8</v>
      </c>
      <c r="AB367" s="135">
        <v>45709</v>
      </c>
    </row>
    <row r="368" spans="2:28" x14ac:dyDescent="0.15">
      <c r="B368" s="11" t="s">
        <v>4</v>
      </c>
      <c r="C368" s="26"/>
      <c r="D368" s="27"/>
      <c r="E368" s="28"/>
      <c r="F368" s="8">
        <f t="shared" si="179"/>
        <v>0</v>
      </c>
      <c r="G368" s="26"/>
      <c r="H368" s="43"/>
      <c r="I368" s="8">
        <f t="shared" si="180"/>
        <v>0</v>
      </c>
      <c r="J368" s="64"/>
      <c r="K368" s="65"/>
      <c r="L368" s="56">
        <f t="shared" si="181"/>
        <v>0</v>
      </c>
      <c r="M368" s="26"/>
      <c r="N368" s="123">
        <v>1</v>
      </c>
      <c r="O368" s="43"/>
      <c r="P368" s="59">
        <f t="shared" ref="P368:P399" si="184">SUM(M368:O368)</f>
        <v>1</v>
      </c>
      <c r="Q368" s="26"/>
      <c r="R368" s="27"/>
      <c r="S368" s="28"/>
      <c r="T368" s="59">
        <f t="shared" ref="T368:T399" si="185">SUM(Q368:S368)</f>
        <v>0</v>
      </c>
      <c r="U368" s="64"/>
      <c r="V368" s="65"/>
      <c r="W368" s="59">
        <f t="shared" si="182"/>
        <v>0</v>
      </c>
      <c r="X368" s="64"/>
      <c r="Y368" s="65"/>
      <c r="Z368" s="72">
        <f t="shared" si="183"/>
        <v>0</v>
      </c>
      <c r="AA368" s="124">
        <f t="shared" si="178"/>
        <v>1</v>
      </c>
      <c r="AB368" s="135">
        <v>45719</v>
      </c>
    </row>
    <row r="369" spans="2:28" x14ac:dyDescent="0.15">
      <c r="B369" s="11" t="s">
        <v>4</v>
      </c>
      <c r="C369" s="26"/>
      <c r="D369" s="27"/>
      <c r="E369" s="28"/>
      <c r="F369" s="8">
        <f t="shared" ref="F369" si="186">SUM(C369:E369)</f>
        <v>0</v>
      </c>
      <c r="G369" s="26"/>
      <c r="H369" s="43"/>
      <c r="I369" s="8">
        <f t="shared" ref="I369" si="187">SUM(G369:H369)</f>
        <v>0</v>
      </c>
      <c r="J369" s="64"/>
      <c r="K369" s="65"/>
      <c r="L369" s="56">
        <f t="shared" ref="L369" si="188">SUM(J369:K369)</f>
        <v>0</v>
      </c>
      <c r="M369" s="26">
        <v>50</v>
      </c>
      <c r="N369" s="123">
        <v>50</v>
      </c>
      <c r="O369" s="43">
        <v>50</v>
      </c>
      <c r="P369" s="59">
        <f>SUM(M369:O369)</f>
        <v>150</v>
      </c>
      <c r="Q369" s="26">
        <v>50</v>
      </c>
      <c r="R369" s="27">
        <v>50</v>
      </c>
      <c r="S369" s="28">
        <v>50</v>
      </c>
      <c r="T369" s="59">
        <f>SUM(Q369:S369)</f>
        <v>150</v>
      </c>
      <c r="U369" s="64">
        <v>50</v>
      </c>
      <c r="V369" s="65">
        <v>50</v>
      </c>
      <c r="W369" s="59">
        <f t="shared" ref="W369" si="189">SUM(U369:V369)</f>
        <v>100</v>
      </c>
      <c r="X369" s="64">
        <v>50</v>
      </c>
      <c r="Y369" s="65">
        <v>50</v>
      </c>
      <c r="Z369" s="72">
        <f t="shared" ref="Z369" si="190">SUM(X369:Y369)</f>
        <v>100</v>
      </c>
      <c r="AA369" s="124">
        <f t="shared" si="178"/>
        <v>500</v>
      </c>
      <c r="AB369" s="135">
        <v>45719</v>
      </c>
    </row>
    <row r="370" spans="2:28" x14ac:dyDescent="0.15">
      <c r="B370" s="11" t="s">
        <v>4</v>
      </c>
      <c r="C370" s="26"/>
      <c r="D370" s="27"/>
      <c r="E370" s="28"/>
      <c r="F370" s="8">
        <f t="shared" ref="F370:F371" si="191">SUM(C370:E370)</f>
        <v>0</v>
      </c>
      <c r="G370" s="26"/>
      <c r="H370" s="43"/>
      <c r="I370" s="8">
        <f t="shared" ref="I370:I371" si="192">SUM(G370:H370)</f>
        <v>0</v>
      </c>
      <c r="J370" s="64"/>
      <c r="K370" s="65"/>
      <c r="L370" s="56">
        <f t="shared" ref="L370:L371" si="193">SUM(J370:K370)</f>
        <v>0</v>
      </c>
      <c r="M370" s="26"/>
      <c r="N370" s="123"/>
      <c r="O370" s="43"/>
      <c r="P370" s="59">
        <f t="shared" si="184"/>
        <v>0</v>
      </c>
      <c r="Q370" s="26"/>
      <c r="R370" s="27"/>
      <c r="S370" s="28"/>
      <c r="T370" s="59">
        <f t="shared" si="185"/>
        <v>0</v>
      </c>
      <c r="U370" s="64"/>
      <c r="V370" s="65"/>
      <c r="W370" s="59">
        <f t="shared" si="182"/>
        <v>0</v>
      </c>
      <c r="X370" s="64"/>
      <c r="Y370" s="65"/>
      <c r="Z370" s="72">
        <f t="shared" si="183"/>
        <v>0</v>
      </c>
      <c r="AA370" s="124">
        <f t="shared" si="178"/>
        <v>0</v>
      </c>
      <c r="AB370" s="135"/>
    </row>
    <row r="371" spans="2:28" ht="14.25" thickBot="1" x14ac:dyDescent="0.2">
      <c r="B371" s="11" t="s">
        <v>42</v>
      </c>
      <c r="C371" s="29"/>
      <c r="D371" s="30">
        <v>10</v>
      </c>
      <c r="E371" s="31"/>
      <c r="F371" s="54">
        <f t="shared" si="191"/>
        <v>10</v>
      </c>
      <c r="G371" s="29"/>
      <c r="H371" s="44"/>
      <c r="I371" s="54">
        <f t="shared" si="192"/>
        <v>0</v>
      </c>
      <c r="J371" s="66">
        <v>1</v>
      </c>
      <c r="K371" s="67"/>
      <c r="L371" s="57">
        <f t="shared" si="193"/>
        <v>1</v>
      </c>
      <c r="M371" s="29"/>
      <c r="N371" s="126"/>
      <c r="O371" s="44"/>
      <c r="P371" s="125">
        <f t="shared" si="184"/>
        <v>0</v>
      </c>
      <c r="Q371" s="29"/>
      <c r="R371" s="30"/>
      <c r="S371" s="31"/>
      <c r="T371" s="125">
        <f t="shared" si="185"/>
        <v>0</v>
      </c>
      <c r="U371" s="66"/>
      <c r="V371" s="67"/>
      <c r="W371" s="125">
        <f t="shared" si="182"/>
        <v>0</v>
      </c>
      <c r="X371" s="66"/>
      <c r="Y371" s="67"/>
      <c r="Z371" s="127">
        <f t="shared" si="183"/>
        <v>0</v>
      </c>
      <c r="AA371" s="128">
        <f t="shared" si="178"/>
        <v>11</v>
      </c>
    </row>
    <row r="372" spans="2:28" ht="14.25" thickBot="1" x14ac:dyDescent="0.2">
      <c r="B372" s="5" t="s">
        <v>1</v>
      </c>
      <c r="C372" s="32">
        <f>SUM(C366:C371)</f>
        <v>34</v>
      </c>
      <c r="D372" s="33">
        <f t="shared" ref="D372:I372" si="194">SUM(D366:D371)</f>
        <v>13</v>
      </c>
      <c r="E372" s="34">
        <f t="shared" si="194"/>
        <v>31</v>
      </c>
      <c r="F372" s="4">
        <f t="shared" si="194"/>
        <v>78</v>
      </c>
      <c r="G372" s="32">
        <f t="shared" si="194"/>
        <v>7</v>
      </c>
      <c r="H372" s="34">
        <f t="shared" si="194"/>
        <v>6</v>
      </c>
      <c r="I372" s="4">
        <f t="shared" si="194"/>
        <v>13</v>
      </c>
      <c r="J372" s="68">
        <f>SUM(J366:J371)</f>
        <v>1</v>
      </c>
      <c r="K372" s="69">
        <f t="shared" ref="K372:L372" si="195">SUM(K366:K371)</f>
        <v>7</v>
      </c>
      <c r="L372" s="58">
        <f t="shared" si="195"/>
        <v>8</v>
      </c>
      <c r="M372" s="32">
        <f>SUM(M366:M371)</f>
        <v>50</v>
      </c>
      <c r="N372" s="132">
        <f>SUM(N366:N371)</f>
        <v>51</v>
      </c>
      <c r="O372" s="34">
        <f>SUM(O366:O371)</f>
        <v>51</v>
      </c>
      <c r="P372" s="4">
        <f t="shared" si="184"/>
        <v>152</v>
      </c>
      <c r="Q372" s="32">
        <f>SUM(Q366:Q371)</f>
        <v>51</v>
      </c>
      <c r="R372" s="33">
        <f>SUM(R366:R371)</f>
        <v>51</v>
      </c>
      <c r="S372" s="34">
        <f>SUM(S366:S371)</f>
        <v>51</v>
      </c>
      <c r="T372" s="4">
        <f t="shared" si="185"/>
        <v>153</v>
      </c>
      <c r="U372" s="68">
        <f t="shared" ref="U372:V372" si="196">SUM(U366:U371)</f>
        <v>51</v>
      </c>
      <c r="V372" s="69">
        <f t="shared" si="196"/>
        <v>51</v>
      </c>
      <c r="W372" s="4">
        <f t="shared" si="182"/>
        <v>102</v>
      </c>
      <c r="X372" s="68">
        <f>SUM(X366:X371)</f>
        <v>51</v>
      </c>
      <c r="Y372" s="34">
        <f t="shared" ref="Y372" si="197">SUM(Y366:Y371)</f>
        <v>51</v>
      </c>
      <c r="Z372" s="58">
        <f t="shared" si="183"/>
        <v>102</v>
      </c>
      <c r="AA372" s="88">
        <f t="shared" si="178"/>
        <v>608</v>
      </c>
    </row>
    <row r="373" spans="2:28" x14ac:dyDescent="0.15">
      <c r="B373" s="6" t="s">
        <v>16</v>
      </c>
      <c r="C373" s="26">
        <v>1</v>
      </c>
      <c r="D373" s="27"/>
      <c r="E373" s="28"/>
      <c r="F373" s="7">
        <f t="shared" ref="F373:F394" si="198">SUM(C373:E373)</f>
        <v>1</v>
      </c>
      <c r="G373" s="26"/>
      <c r="H373" s="43"/>
      <c r="I373" s="59">
        <f t="shared" ref="I373:I394" si="199">SUM(G373:H373)</f>
        <v>0</v>
      </c>
      <c r="J373" s="64"/>
      <c r="K373" s="65">
        <v>1</v>
      </c>
      <c r="L373" s="56">
        <f t="shared" ref="L373:L394" si="200">SUM(J373:K373)</f>
        <v>1</v>
      </c>
      <c r="M373" s="129"/>
      <c r="N373" s="131"/>
      <c r="O373" s="28"/>
      <c r="P373" s="59">
        <f t="shared" si="184"/>
        <v>0</v>
      </c>
      <c r="Q373" s="129"/>
      <c r="R373" s="130"/>
      <c r="S373" s="28"/>
      <c r="T373" s="59">
        <f t="shared" si="185"/>
        <v>0</v>
      </c>
      <c r="U373" s="62"/>
      <c r="V373" s="63"/>
      <c r="W373" s="59">
        <f t="shared" si="182"/>
        <v>0</v>
      </c>
      <c r="X373" s="62"/>
      <c r="Y373" s="63"/>
      <c r="Z373" s="72">
        <f t="shared" si="183"/>
        <v>0</v>
      </c>
      <c r="AA373" s="124">
        <f t="shared" si="178"/>
        <v>2</v>
      </c>
      <c r="AB373" s="135">
        <v>45698</v>
      </c>
    </row>
    <row r="374" spans="2:28" x14ac:dyDescent="0.15">
      <c r="B374" s="6" t="s">
        <v>16</v>
      </c>
      <c r="C374" s="26"/>
      <c r="D374" s="27"/>
      <c r="E374" s="28"/>
      <c r="F374" s="7">
        <f t="shared" si="198"/>
        <v>0</v>
      </c>
      <c r="G374" s="26"/>
      <c r="H374" s="43"/>
      <c r="I374" s="59">
        <f t="shared" si="199"/>
        <v>0</v>
      </c>
      <c r="J374" s="64"/>
      <c r="K374" s="65">
        <v>1</v>
      </c>
      <c r="L374" s="56">
        <f t="shared" si="200"/>
        <v>1</v>
      </c>
      <c r="M374" s="26"/>
      <c r="N374" s="123"/>
      <c r="O374" s="43"/>
      <c r="P374" s="59">
        <f t="shared" si="184"/>
        <v>0</v>
      </c>
      <c r="Q374" s="26"/>
      <c r="R374" s="27"/>
      <c r="S374" s="28"/>
      <c r="T374" s="59">
        <f t="shared" si="185"/>
        <v>0</v>
      </c>
      <c r="U374" s="64"/>
      <c r="V374" s="65"/>
      <c r="W374" s="59">
        <f t="shared" si="182"/>
        <v>0</v>
      </c>
      <c r="X374" s="64"/>
      <c r="Y374" s="65"/>
      <c r="Z374" s="72">
        <f t="shared" si="183"/>
        <v>0</v>
      </c>
      <c r="AA374" s="124">
        <f t="shared" si="178"/>
        <v>1</v>
      </c>
      <c r="AB374" s="135">
        <v>45709</v>
      </c>
    </row>
    <row r="375" spans="2:28" x14ac:dyDescent="0.15">
      <c r="B375" s="6" t="s">
        <v>16</v>
      </c>
      <c r="C375" s="26"/>
      <c r="D375" s="27">
        <v>1</v>
      </c>
      <c r="E375" s="28"/>
      <c r="F375" s="7">
        <f t="shared" si="198"/>
        <v>1</v>
      </c>
      <c r="G375" s="26"/>
      <c r="H375" s="43"/>
      <c r="I375" s="59">
        <f t="shared" si="199"/>
        <v>0</v>
      </c>
      <c r="J375" s="64"/>
      <c r="K375" s="65"/>
      <c r="L375" s="56">
        <f t="shared" si="200"/>
        <v>0</v>
      </c>
      <c r="M375" s="26"/>
      <c r="N375" s="123"/>
      <c r="O375" s="43"/>
      <c r="P375" s="59">
        <f t="shared" si="184"/>
        <v>0</v>
      </c>
      <c r="Q375" s="26"/>
      <c r="R375" s="27"/>
      <c r="S375" s="28"/>
      <c r="T375" s="59">
        <f t="shared" si="185"/>
        <v>0</v>
      </c>
      <c r="U375" s="64"/>
      <c r="V375" s="65"/>
      <c r="W375" s="59">
        <f t="shared" si="182"/>
        <v>0</v>
      </c>
      <c r="X375" s="64"/>
      <c r="Y375" s="65"/>
      <c r="Z375" s="72">
        <f t="shared" si="183"/>
        <v>0</v>
      </c>
      <c r="AA375" s="124">
        <f t="shared" si="178"/>
        <v>1</v>
      </c>
      <c r="AB375" s="135">
        <v>45713</v>
      </c>
    </row>
    <row r="376" spans="2:28" x14ac:dyDescent="0.15">
      <c r="B376" s="6" t="s">
        <v>16</v>
      </c>
      <c r="C376" s="26"/>
      <c r="D376" s="27"/>
      <c r="E376" s="28"/>
      <c r="F376" s="7">
        <f t="shared" si="198"/>
        <v>0</v>
      </c>
      <c r="G376" s="26">
        <v>1</v>
      </c>
      <c r="H376" s="43"/>
      <c r="I376" s="59">
        <f t="shared" si="199"/>
        <v>1</v>
      </c>
      <c r="J376" s="64"/>
      <c r="K376" s="65"/>
      <c r="L376" s="56">
        <f t="shared" si="200"/>
        <v>0</v>
      </c>
      <c r="M376" s="26"/>
      <c r="N376" s="123"/>
      <c r="O376" s="43"/>
      <c r="P376" s="59">
        <f t="shared" si="184"/>
        <v>0</v>
      </c>
      <c r="Q376" s="26"/>
      <c r="R376" s="27"/>
      <c r="S376" s="28"/>
      <c r="T376" s="59">
        <f t="shared" si="185"/>
        <v>0</v>
      </c>
      <c r="U376" s="64"/>
      <c r="V376" s="65"/>
      <c r="W376" s="59">
        <f t="shared" si="182"/>
        <v>0</v>
      </c>
      <c r="X376" s="64"/>
      <c r="Y376" s="65"/>
      <c r="Z376" s="72">
        <f t="shared" si="183"/>
        <v>0</v>
      </c>
      <c r="AA376" s="124">
        <f t="shared" si="178"/>
        <v>1</v>
      </c>
      <c r="AB376" s="135">
        <v>45719</v>
      </c>
    </row>
    <row r="377" spans="2:28" x14ac:dyDescent="0.15">
      <c r="B377" s="6" t="s">
        <v>16</v>
      </c>
      <c r="C377" s="26">
        <v>1</v>
      </c>
      <c r="D377" s="27"/>
      <c r="E377" s="28"/>
      <c r="F377" s="7">
        <f t="shared" si="198"/>
        <v>1</v>
      </c>
      <c r="G377" s="26"/>
      <c r="H377" s="43"/>
      <c r="I377" s="59">
        <f t="shared" si="199"/>
        <v>0</v>
      </c>
      <c r="J377" s="64"/>
      <c r="K377" s="65">
        <v>1</v>
      </c>
      <c r="L377" s="56">
        <f t="shared" si="200"/>
        <v>1</v>
      </c>
      <c r="M377" s="129"/>
      <c r="N377" s="131"/>
      <c r="O377" s="28"/>
      <c r="P377" s="59">
        <f t="shared" si="184"/>
        <v>0</v>
      </c>
      <c r="Q377" s="129"/>
      <c r="R377" s="130"/>
      <c r="S377" s="28"/>
      <c r="T377" s="59">
        <f t="shared" si="185"/>
        <v>0</v>
      </c>
      <c r="U377" s="62"/>
      <c r="V377" s="63"/>
      <c r="W377" s="59">
        <f t="shared" ref="W377" si="201">SUM(U377:V377)</f>
        <v>0</v>
      </c>
      <c r="X377" s="62"/>
      <c r="Y377" s="63"/>
      <c r="Z377" s="72">
        <f t="shared" ref="Z377" si="202">SUM(X377:Y377)</f>
        <v>0</v>
      </c>
      <c r="AA377" s="124">
        <f t="shared" si="178"/>
        <v>2</v>
      </c>
      <c r="AB377" s="135">
        <v>45742</v>
      </c>
    </row>
    <row r="378" spans="2:28" x14ac:dyDescent="0.15">
      <c r="B378" s="6" t="s">
        <v>16</v>
      </c>
      <c r="C378" s="26"/>
      <c r="D378" s="27">
        <v>1</v>
      </c>
      <c r="E378" s="28">
        <v>1</v>
      </c>
      <c r="F378" s="7">
        <f t="shared" si="198"/>
        <v>2</v>
      </c>
      <c r="G378" s="26"/>
      <c r="H378" s="43"/>
      <c r="I378" s="59">
        <f t="shared" si="199"/>
        <v>0</v>
      </c>
      <c r="J378" s="64"/>
      <c r="K378" s="65"/>
      <c r="L378" s="56">
        <f t="shared" si="200"/>
        <v>0</v>
      </c>
      <c r="M378" s="26"/>
      <c r="N378" s="123"/>
      <c r="O378" s="43"/>
      <c r="P378" s="59">
        <f t="shared" si="184"/>
        <v>0</v>
      </c>
      <c r="Q378" s="26"/>
      <c r="R378" s="27"/>
      <c r="S378" s="28"/>
      <c r="T378" s="59">
        <f t="shared" si="185"/>
        <v>0</v>
      </c>
      <c r="U378" s="64"/>
      <c r="V378" s="65"/>
      <c r="W378" s="59">
        <f t="shared" si="182"/>
        <v>0</v>
      </c>
      <c r="X378" s="64"/>
      <c r="Y378" s="65"/>
      <c r="Z378" s="72">
        <f t="shared" si="183"/>
        <v>0</v>
      </c>
      <c r="AA378" s="124">
        <f t="shared" si="178"/>
        <v>2</v>
      </c>
      <c r="AB378" s="135">
        <v>45743</v>
      </c>
    </row>
    <row r="379" spans="2:28" x14ac:dyDescent="0.15">
      <c r="B379" s="6" t="s">
        <v>16</v>
      </c>
      <c r="C379" s="26"/>
      <c r="D379" s="27"/>
      <c r="E379" s="28">
        <v>1</v>
      </c>
      <c r="F379" s="7">
        <f t="shared" si="198"/>
        <v>1</v>
      </c>
      <c r="G379" s="26"/>
      <c r="H379" s="43"/>
      <c r="I379" s="59">
        <f t="shared" si="199"/>
        <v>0</v>
      </c>
      <c r="J379" s="64"/>
      <c r="K379" s="65"/>
      <c r="L379" s="56">
        <f t="shared" si="200"/>
        <v>0</v>
      </c>
      <c r="M379" s="26"/>
      <c r="N379" s="123"/>
      <c r="O379" s="43">
        <v>1</v>
      </c>
      <c r="P379" s="59">
        <f t="shared" si="184"/>
        <v>1</v>
      </c>
      <c r="Q379" s="26"/>
      <c r="R379" s="27"/>
      <c r="S379" s="28"/>
      <c r="T379" s="59">
        <f t="shared" si="185"/>
        <v>0</v>
      </c>
      <c r="U379" s="64"/>
      <c r="V379" s="65"/>
      <c r="W379" s="59">
        <f t="shared" si="182"/>
        <v>0</v>
      </c>
      <c r="X379" s="64"/>
      <c r="Y379" s="65"/>
      <c r="Z379" s="72">
        <f t="shared" si="183"/>
        <v>0</v>
      </c>
      <c r="AA379" s="124">
        <f t="shared" si="178"/>
        <v>2</v>
      </c>
      <c r="AB379" s="135">
        <v>45745</v>
      </c>
    </row>
    <row r="380" spans="2:28" x14ac:dyDescent="0.15">
      <c r="B380" s="6" t="s">
        <v>16</v>
      </c>
      <c r="C380" s="26"/>
      <c r="D380" s="27"/>
      <c r="E380" s="28">
        <v>1</v>
      </c>
      <c r="F380" s="7">
        <f t="shared" si="198"/>
        <v>1</v>
      </c>
      <c r="G380" s="26"/>
      <c r="H380" s="43"/>
      <c r="I380" s="59">
        <f t="shared" si="199"/>
        <v>0</v>
      </c>
      <c r="J380" s="64"/>
      <c r="K380" s="65"/>
      <c r="L380" s="56">
        <f t="shared" si="200"/>
        <v>0</v>
      </c>
      <c r="M380" s="26"/>
      <c r="N380" s="123"/>
      <c r="O380" s="43"/>
      <c r="P380" s="59">
        <f t="shared" si="184"/>
        <v>0</v>
      </c>
      <c r="Q380" s="26"/>
      <c r="R380" s="27"/>
      <c r="S380" s="28"/>
      <c r="T380" s="59">
        <f t="shared" si="185"/>
        <v>0</v>
      </c>
      <c r="U380" s="64"/>
      <c r="V380" s="65"/>
      <c r="W380" s="59">
        <f t="shared" si="182"/>
        <v>0</v>
      </c>
      <c r="X380" s="64"/>
      <c r="Y380" s="65"/>
      <c r="Z380" s="72">
        <f t="shared" si="183"/>
        <v>0</v>
      </c>
      <c r="AA380" s="124">
        <f t="shared" si="178"/>
        <v>1</v>
      </c>
      <c r="AB380" s="135">
        <v>45754</v>
      </c>
    </row>
    <row r="381" spans="2:28" x14ac:dyDescent="0.15">
      <c r="B381" s="6" t="s">
        <v>16</v>
      </c>
      <c r="C381" s="26">
        <v>2</v>
      </c>
      <c r="D381" s="27"/>
      <c r="E381" s="28">
        <v>1</v>
      </c>
      <c r="F381" s="7">
        <f t="shared" si="198"/>
        <v>3</v>
      </c>
      <c r="G381" s="26"/>
      <c r="H381" s="43">
        <v>1</v>
      </c>
      <c r="I381" s="59">
        <f t="shared" si="199"/>
        <v>1</v>
      </c>
      <c r="J381" s="64">
        <v>1</v>
      </c>
      <c r="K381" s="65"/>
      <c r="L381" s="56">
        <f t="shared" si="200"/>
        <v>1</v>
      </c>
      <c r="M381" s="26"/>
      <c r="N381" s="123"/>
      <c r="O381" s="43"/>
      <c r="P381" s="59">
        <f t="shared" si="184"/>
        <v>0</v>
      </c>
      <c r="Q381" s="26"/>
      <c r="R381" s="27"/>
      <c r="S381" s="28"/>
      <c r="T381" s="59">
        <f t="shared" si="185"/>
        <v>0</v>
      </c>
      <c r="U381" s="64"/>
      <c r="V381" s="65"/>
      <c r="W381" s="59">
        <f t="shared" si="182"/>
        <v>0</v>
      </c>
      <c r="X381" s="64"/>
      <c r="Y381" s="65"/>
      <c r="Z381" s="72">
        <f t="shared" si="183"/>
        <v>0</v>
      </c>
      <c r="AA381" s="124">
        <f t="shared" si="178"/>
        <v>5</v>
      </c>
      <c r="AB381" s="135">
        <v>45755</v>
      </c>
    </row>
    <row r="382" spans="2:28" x14ac:dyDescent="0.15">
      <c r="B382" s="6" t="s">
        <v>16</v>
      </c>
      <c r="C382" s="26"/>
      <c r="D382" s="27"/>
      <c r="E382" s="28"/>
      <c r="F382" s="7">
        <f t="shared" si="198"/>
        <v>0</v>
      </c>
      <c r="G382" s="26"/>
      <c r="H382" s="43"/>
      <c r="I382" s="59">
        <f t="shared" si="199"/>
        <v>0</v>
      </c>
      <c r="J382" s="64"/>
      <c r="K382" s="65"/>
      <c r="L382" s="56">
        <f t="shared" si="200"/>
        <v>0</v>
      </c>
      <c r="M382" s="26"/>
      <c r="N382" s="123"/>
      <c r="O382" s="43"/>
      <c r="P382" s="59">
        <f t="shared" si="184"/>
        <v>0</v>
      </c>
      <c r="Q382" s="26"/>
      <c r="R382" s="27"/>
      <c r="S382" s="28"/>
      <c r="T382" s="59">
        <f t="shared" si="185"/>
        <v>0</v>
      </c>
      <c r="U382" s="64"/>
      <c r="V382" s="65"/>
      <c r="W382" s="59">
        <f t="shared" si="182"/>
        <v>0</v>
      </c>
      <c r="X382" s="64">
        <v>1</v>
      </c>
      <c r="Y382" s="65"/>
      <c r="Z382" s="72">
        <f t="shared" si="183"/>
        <v>1</v>
      </c>
      <c r="AA382" s="124">
        <f t="shared" si="178"/>
        <v>1</v>
      </c>
      <c r="AB382" s="135">
        <v>45757</v>
      </c>
    </row>
    <row r="383" spans="2:28" x14ac:dyDescent="0.15">
      <c r="B383" s="6" t="s">
        <v>16</v>
      </c>
      <c r="C383" s="26">
        <v>2</v>
      </c>
      <c r="D383" s="27"/>
      <c r="E383" s="28"/>
      <c r="F383" s="7">
        <f t="shared" si="198"/>
        <v>2</v>
      </c>
      <c r="G383" s="26">
        <v>1</v>
      </c>
      <c r="H383" s="43"/>
      <c r="I383" s="59">
        <f t="shared" si="199"/>
        <v>1</v>
      </c>
      <c r="J383" s="64"/>
      <c r="K383" s="65"/>
      <c r="L383" s="56">
        <f t="shared" si="200"/>
        <v>0</v>
      </c>
      <c r="M383" s="26"/>
      <c r="N383" s="123"/>
      <c r="O383" s="43"/>
      <c r="P383" s="59">
        <f t="shared" si="184"/>
        <v>0</v>
      </c>
      <c r="Q383" s="26"/>
      <c r="R383" s="27"/>
      <c r="S383" s="28"/>
      <c r="T383" s="59">
        <f t="shared" si="185"/>
        <v>0</v>
      </c>
      <c r="U383" s="64"/>
      <c r="V383" s="65"/>
      <c r="W383" s="59">
        <f t="shared" si="182"/>
        <v>0</v>
      </c>
      <c r="X383" s="64"/>
      <c r="Y383" s="65"/>
      <c r="Z383" s="72">
        <f t="shared" si="183"/>
        <v>0</v>
      </c>
      <c r="AA383" s="124">
        <f t="shared" si="178"/>
        <v>3</v>
      </c>
      <c r="AB383" s="135">
        <v>45761</v>
      </c>
    </row>
    <row r="384" spans="2:28" x14ac:dyDescent="0.15">
      <c r="B384" s="6" t="s">
        <v>16</v>
      </c>
      <c r="C384" s="26"/>
      <c r="D384" s="27"/>
      <c r="E384" s="28"/>
      <c r="F384" s="7">
        <f t="shared" si="198"/>
        <v>0</v>
      </c>
      <c r="G384" s="26"/>
      <c r="H384" s="43"/>
      <c r="I384" s="59">
        <f t="shared" si="199"/>
        <v>0</v>
      </c>
      <c r="J384" s="64"/>
      <c r="K384" s="65"/>
      <c r="L384" s="56">
        <f t="shared" si="200"/>
        <v>0</v>
      </c>
      <c r="M384" s="26"/>
      <c r="N384" s="123"/>
      <c r="O384" s="43"/>
      <c r="P384" s="59">
        <f t="shared" si="184"/>
        <v>0</v>
      </c>
      <c r="Q384" s="26"/>
      <c r="R384" s="27"/>
      <c r="S384" s="28"/>
      <c r="T384" s="59">
        <f t="shared" si="185"/>
        <v>0</v>
      </c>
      <c r="U384" s="64"/>
      <c r="V384" s="65">
        <v>1</v>
      </c>
      <c r="W384" s="59">
        <f t="shared" si="182"/>
        <v>1</v>
      </c>
      <c r="X384" s="64"/>
      <c r="Y384" s="65"/>
      <c r="Z384" s="72">
        <f t="shared" si="183"/>
        <v>0</v>
      </c>
      <c r="AA384" s="124">
        <f t="shared" si="178"/>
        <v>1</v>
      </c>
      <c r="AB384" s="135">
        <v>45762</v>
      </c>
    </row>
    <row r="385" spans="2:28" x14ac:dyDescent="0.15">
      <c r="B385" s="6" t="s">
        <v>16</v>
      </c>
      <c r="C385" s="26">
        <v>1</v>
      </c>
      <c r="D385" s="27"/>
      <c r="E385" s="28"/>
      <c r="F385" s="7">
        <f t="shared" si="198"/>
        <v>1</v>
      </c>
      <c r="G385" s="26"/>
      <c r="H385" s="43"/>
      <c r="I385" s="59">
        <f t="shared" si="199"/>
        <v>0</v>
      </c>
      <c r="J385" s="64"/>
      <c r="K385" s="65"/>
      <c r="L385" s="56">
        <f t="shared" si="200"/>
        <v>0</v>
      </c>
      <c r="M385" s="26"/>
      <c r="N385" s="123"/>
      <c r="O385" s="43"/>
      <c r="P385" s="59">
        <f t="shared" si="184"/>
        <v>0</v>
      </c>
      <c r="Q385" s="26"/>
      <c r="R385" s="27"/>
      <c r="S385" s="28"/>
      <c r="T385" s="59">
        <f t="shared" si="185"/>
        <v>0</v>
      </c>
      <c r="U385" s="64"/>
      <c r="V385" s="65"/>
      <c r="W385" s="59">
        <f t="shared" si="182"/>
        <v>0</v>
      </c>
      <c r="X385" s="64"/>
      <c r="Y385" s="65"/>
      <c r="Z385" s="72">
        <f t="shared" si="183"/>
        <v>0</v>
      </c>
      <c r="AA385" s="124">
        <f t="shared" si="178"/>
        <v>1</v>
      </c>
      <c r="AB385" s="135">
        <v>45763</v>
      </c>
    </row>
    <row r="386" spans="2:28" x14ac:dyDescent="0.15">
      <c r="B386" s="6" t="s">
        <v>16</v>
      </c>
      <c r="C386" s="26"/>
      <c r="D386" s="27"/>
      <c r="E386" s="28"/>
      <c r="F386" s="7">
        <f t="shared" si="198"/>
        <v>0</v>
      </c>
      <c r="G386" s="26"/>
      <c r="H386" s="43"/>
      <c r="I386" s="59">
        <f t="shared" si="199"/>
        <v>0</v>
      </c>
      <c r="J386" s="64"/>
      <c r="K386" s="65"/>
      <c r="L386" s="56">
        <f t="shared" si="200"/>
        <v>0</v>
      </c>
      <c r="M386" s="26"/>
      <c r="N386" s="123"/>
      <c r="O386" s="43"/>
      <c r="P386" s="59">
        <f t="shared" si="184"/>
        <v>0</v>
      </c>
      <c r="Q386" s="26"/>
      <c r="R386" s="27"/>
      <c r="S386" s="28"/>
      <c r="T386" s="59">
        <f t="shared" si="185"/>
        <v>0</v>
      </c>
      <c r="U386" s="64"/>
      <c r="V386" s="65"/>
      <c r="W386" s="59">
        <f t="shared" si="182"/>
        <v>0</v>
      </c>
      <c r="X386" s="64">
        <v>1</v>
      </c>
      <c r="Y386" s="65">
        <v>2</v>
      </c>
      <c r="Z386" s="72">
        <f t="shared" si="183"/>
        <v>3</v>
      </c>
      <c r="AA386" s="124">
        <f t="shared" si="178"/>
        <v>3</v>
      </c>
      <c r="AB386" s="135">
        <v>45764</v>
      </c>
    </row>
    <row r="387" spans="2:28" x14ac:dyDescent="0.15">
      <c r="B387" s="6" t="s">
        <v>16</v>
      </c>
      <c r="C387" s="26"/>
      <c r="D387" s="27"/>
      <c r="E387" s="28"/>
      <c r="F387" s="7">
        <f t="shared" si="198"/>
        <v>0</v>
      </c>
      <c r="G387" s="26"/>
      <c r="H387" s="43">
        <v>1</v>
      </c>
      <c r="I387" s="59">
        <f t="shared" si="199"/>
        <v>1</v>
      </c>
      <c r="J387" s="64"/>
      <c r="K387" s="65"/>
      <c r="L387" s="56">
        <f t="shared" si="200"/>
        <v>0</v>
      </c>
      <c r="M387" s="26"/>
      <c r="N387" s="123"/>
      <c r="O387" s="43"/>
      <c r="P387" s="59">
        <f t="shared" si="184"/>
        <v>0</v>
      </c>
      <c r="Q387" s="26"/>
      <c r="R387" s="27"/>
      <c r="S387" s="28"/>
      <c r="T387" s="59">
        <f t="shared" si="185"/>
        <v>0</v>
      </c>
      <c r="U387" s="64"/>
      <c r="V387" s="65"/>
      <c r="W387" s="59">
        <f t="shared" si="182"/>
        <v>0</v>
      </c>
      <c r="X387" s="64"/>
      <c r="Y387" s="65"/>
      <c r="Z387" s="72">
        <f t="shared" si="183"/>
        <v>0</v>
      </c>
      <c r="AA387" s="124">
        <f t="shared" si="178"/>
        <v>1</v>
      </c>
      <c r="AB387" s="135">
        <v>45765</v>
      </c>
    </row>
    <row r="388" spans="2:28" x14ac:dyDescent="0.15">
      <c r="B388" s="6" t="s">
        <v>16</v>
      </c>
      <c r="C388" s="26"/>
      <c r="D388" s="27"/>
      <c r="E388" s="28">
        <f>1+1</f>
        <v>2</v>
      </c>
      <c r="F388" s="7">
        <f t="shared" si="198"/>
        <v>2</v>
      </c>
      <c r="G388" s="26">
        <f>1+1</f>
        <v>2</v>
      </c>
      <c r="H388" s="43"/>
      <c r="I388" s="59">
        <f t="shared" si="199"/>
        <v>2</v>
      </c>
      <c r="J388" s="64"/>
      <c r="K388" s="65">
        <f>1+2</f>
        <v>3</v>
      </c>
      <c r="L388" s="56">
        <f t="shared" si="200"/>
        <v>3</v>
      </c>
      <c r="M388" s="26"/>
      <c r="N388" s="123"/>
      <c r="O388" s="43"/>
      <c r="P388" s="59">
        <f t="shared" si="184"/>
        <v>0</v>
      </c>
      <c r="Q388" s="26"/>
      <c r="R388" s="27"/>
      <c r="S388" s="28"/>
      <c r="T388" s="59">
        <f t="shared" si="185"/>
        <v>0</v>
      </c>
      <c r="U388" s="64"/>
      <c r="V388" s="65"/>
      <c r="W388" s="59">
        <f t="shared" si="182"/>
        <v>0</v>
      </c>
      <c r="X388" s="64"/>
      <c r="Y388" s="65"/>
      <c r="Z388" s="72">
        <f t="shared" si="183"/>
        <v>0</v>
      </c>
      <c r="AA388" s="124">
        <f t="shared" si="178"/>
        <v>7</v>
      </c>
      <c r="AB388" s="135">
        <v>45768</v>
      </c>
    </row>
    <row r="389" spans="2:28" x14ac:dyDescent="0.15">
      <c r="B389" s="6" t="s">
        <v>16</v>
      </c>
      <c r="C389" s="26"/>
      <c r="D389" s="27"/>
      <c r="E389" s="28"/>
      <c r="F389" s="7">
        <f t="shared" si="198"/>
        <v>0</v>
      </c>
      <c r="G389" s="26"/>
      <c r="H389" s="43">
        <v>1</v>
      </c>
      <c r="I389" s="59">
        <f t="shared" si="199"/>
        <v>1</v>
      </c>
      <c r="J389" s="64"/>
      <c r="K389" s="65">
        <v>1</v>
      </c>
      <c r="L389" s="56">
        <f t="shared" si="200"/>
        <v>1</v>
      </c>
      <c r="M389" s="26"/>
      <c r="N389" s="123"/>
      <c r="O389" s="43"/>
      <c r="P389" s="59">
        <f t="shared" si="184"/>
        <v>0</v>
      </c>
      <c r="Q389" s="26"/>
      <c r="R389" s="27"/>
      <c r="S389" s="28"/>
      <c r="T389" s="59">
        <f t="shared" si="185"/>
        <v>0</v>
      </c>
      <c r="U389" s="64"/>
      <c r="V389" s="65"/>
      <c r="W389" s="59">
        <f t="shared" si="182"/>
        <v>0</v>
      </c>
      <c r="X389" s="64"/>
      <c r="Y389" s="65"/>
      <c r="Z389" s="72">
        <f t="shared" si="183"/>
        <v>0</v>
      </c>
      <c r="AA389" s="124">
        <f t="shared" si="178"/>
        <v>2</v>
      </c>
      <c r="AB389" s="135">
        <v>45769</v>
      </c>
    </row>
    <row r="390" spans="2:28" x14ac:dyDescent="0.15">
      <c r="B390" s="6" t="s">
        <v>16</v>
      </c>
      <c r="C390" s="26"/>
      <c r="D390" s="27"/>
      <c r="E390" s="28"/>
      <c r="F390" s="7">
        <f t="shared" si="198"/>
        <v>0</v>
      </c>
      <c r="G390" s="26"/>
      <c r="H390" s="43"/>
      <c r="I390" s="59">
        <f t="shared" si="199"/>
        <v>0</v>
      </c>
      <c r="J390" s="64"/>
      <c r="K390" s="65"/>
      <c r="L390" s="56">
        <f t="shared" si="200"/>
        <v>0</v>
      </c>
      <c r="M390" s="26">
        <v>1</v>
      </c>
      <c r="N390" s="123"/>
      <c r="O390" s="43"/>
      <c r="P390" s="59">
        <f t="shared" si="184"/>
        <v>1</v>
      </c>
      <c r="Q390" s="26"/>
      <c r="R390" s="27"/>
      <c r="S390" s="28"/>
      <c r="T390" s="59">
        <f t="shared" si="185"/>
        <v>0</v>
      </c>
      <c r="U390" s="64"/>
      <c r="V390" s="65"/>
      <c r="W390" s="59">
        <f t="shared" si="182"/>
        <v>0</v>
      </c>
      <c r="X390" s="64"/>
      <c r="Y390" s="65"/>
      <c r="Z390" s="72">
        <f t="shared" si="183"/>
        <v>0</v>
      </c>
      <c r="AA390" s="124">
        <f t="shared" si="178"/>
        <v>1</v>
      </c>
      <c r="AB390" s="135">
        <v>45769</v>
      </c>
    </row>
    <row r="391" spans="2:28" x14ac:dyDescent="0.15">
      <c r="B391" s="6" t="s">
        <v>16</v>
      </c>
      <c r="C391" s="26"/>
      <c r="D391" s="27"/>
      <c r="E391" s="28"/>
      <c r="F391" s="7">
        <f t="shared" si="198"/>
        <v>0</v>
      </c>
      <c r="G391" s="26"/>
      <c r="H391" s="43">
        <v>1</v>
      </c>
      <c r="I391" s="59">
        <f t="shared" si="199"/>
        <v>1</v>
      </c>
      <c r="J391" s="64"/>
      <c r="K391" s="65"/>
      <c r="L391" s="56">
        <f t="shared" si="200"/>
        <v>0</v>
      </c>
      <c r="M391" s="26"/>
      <c r="N391" s="123"/>
      <c r="O391" s="43"/>
      <c r="P391" s="59">
        <f t="shared" si="184"/>
        <v>0</v>
      </c>
      <c r="Q391" s="26"/>
      <c r="R391" s="27"/>
      <c r="S391" s="28"/>
      <c r="T391" s="59">
        <f t="shared" si="185"/>
        <v>0</v>
      </c>
      <c r="U391" s="64"/>
      <c r="V391" s="65"/>
      <c r="W391" s="59">
        <f t="shared" si="182"/>
        <v>0</v>
      </c>
      <c r="X391" s="64"/>
      <c r="Y391" s="65"/>
      <c r="Z391" s="72">
        <f t="shared" si="183"/>
        <v>0</v>
      </c>
      <c r="AA391" s="124">
        <f t="shared" si="178"/>
        <v>1</v>
      </c>
      <c r="AB391" s="135">
        <v>45772</v>
      </c>
    </row>
    <row r="392" spans="2:28" x14ac:dyDescent="0.15">
      <c r="B392" s="6" t="s">
        <v>16</v>
      </c>
      <c r="C392" s="26">
        <v>3</v>
      </c>
      <c r="D392" s="27">
        <v>1</v>
      </c>
      <c r="E392" s="28">
        <v>1</v>
      </c>
      <c r="F392" s="7">
        <f t="shared" si="198"/>
        <v>5</v>
      </c>
      <c r="G392" s="26">
        <v>2</v>
      </c>
      <c r="H392" s="43"/>
      <c r="I392" s="59">
        <f t="shared" si="199"/>
        <v>2</v>
      </c>
      <c r="J392" s="64"/>
      <c r="K392" s="65"/>
      <c r="L392" s="56">
        <f t="shared" si="200"/>
        <v>0</v>
      </c>
      <c r="M392" s="26">
        <v>1</v>
      </c>
      <c r="N392" s="123"/>
      <c r="O392" s="43">
        <v>1</v>
      </c>
      <c r="P392" s="59">
        <f t="shared" si="184"/>
        <v>2</v>
      </c>
      <c r="Q392" s="26">
        <v>1</v>
      </c>
      <c r="R392" s="27"/>
      <c r="S392" s="28"/>
      <c r="T392" s="59">
        <f t="shared" si="185"/>
        <v>1</v>
      </c>
      <c r="U392" s="64">
        <v>2</v>
      </c>
      <c r="V392" s="65">
        <v>1</v>
      </c>
      <c r="W392" s="59">
        <f t="shared" si="182"/>
        <v>3</v>
      </c>
      <c r="X392" s="64">
        <v>1</v>
      </c>
      <c r="Y392" s="65">
        <v>1</v>
      </c>
      <c r="Z392" s="72">
        <f t="shared" si="183"/>
        <v>2</v>
      </c>
      <c r="AA392" s="124">
        <f t="shared" si="178"/>
        <v>15</v>
      </c>
      <c r="AB392" s="135">
        <v>45775</v>
      </c>
    </row>
    <row r="393" spans="2:28" x14ac:dyDescent="0.15">
      <c r="B393" s="6" t="s">
        <v>16</v>
      </c>
      <c r="C393" s="26"/>
      <c r="D393" s="27">
        <v>1</v>
      </c>
      <c r="E393" s="28">
        <v>1</v>
      </c>
      <c r="F393" s="7">
        <f t="shared" si="198"/>
        <v>2</v>
      </c>
      <c r="G393" s="26">
        <v>1</v>
      </c>
      <c r="H393" s="43"/>
      <c r="I393" s="59">
        <f t="shared" si="199"/>
        <v>1</v>
      </c>
      <c r="J393" s="64"/>
      <c r="K393" s="65"/>
      <c r="L393" s="56">
        <f t="shared" si="200"/>
        <v>0</v>
      </c>
      <c r="M393" s="26"/>
      <c r="N393" s="123"/>
      <c r="O393" s="43"/>
      <c r="P393" s="59">
        <f t="shared" si="184"/>
        <v>0</v>
      </c>
      <c r="Q393" s="26">
        <v>1</v>
      </c>
      <c r="R393" s="27"/>
      <c r="S393" s="28"/>
      <c r="T393" s="59">
        <f t="shared" si="185"/>
        <v>1</v>
      </c>
      <c r="U393" s="64"/>
      <c r="V393" s="65"/>
      <c r="W393" s="59">
        <f t="shared" si="182"/>
        <v>0</v>
      </c>
      <c r="X393" s="64"/>
      <c r="Y393" s="65"/>
      <c r="Z393" s="72">
        <f t="shared" si="183"/>
        <v>0</v>
      </c>
      <c r="AA393" s="124">
        <f t="shared" si="178"/>
        <v>4</v>
      </c>
      <c r="AB393" s="135">
        <v>45777</v>
      </c>
    </row>
    <row r="394" spans="2:28" x14ac:dyDescent="0.15">
      <c r="B394" s="6" t="s">
        <v>16</v>
      </c>
      <c r="C394" s="26">
        <v>1</v>
      </c>
      <c r="D394" s="27">
        <v>1</v>
      </c>
      <c r="E394" s="28"/>
      <c r="F394" s="7">
        <f t="shared" si="198"/>
        <v>2</v>
      </c>
      <c r="G394" s="26"/>
      <c r="H394" s="43"/>
      <c r="I394" s="59">
        <f t="shared" si="199"/>
        <v>0</v>
      </c>
      <c r="J394" s="64"/>
      <c r="K394" s="65"/>
      <c r="L394" s="56">
        <f t="shared" si="200"/>
        <v>0</v>
      </c>
      <c r="M394" s="26"/>
      <c r="N394" s="123">
        <v>1</v>
      </c>
      <c r="O394" s="43"/>
      <c r="P394" s="59">
        <f t="shared" si="184"/>
        <v>1</v>
      </c>
      <c r="Q394" s="26">
        <v>1</v>
      </c>
      <c r="R394" s="27"/>
      <c r="S394" s="28"/>
      <c r="T394" s="59">
        <f t="shared" si="185"/>
        <v>1</v>
      </c>
      <c r="U394" s="64"/>
      <c r="V394" s="65"/>
      <c r="W394" s="59">
        <f t="shared" si="182"/>
        <v>0</v>
      </c>
      <c r="X394" s="64"/>
      <c r="Y394" s="65"/>
      <c r="Z394" s="72">
        <f t="shared" si="183"/>
        <v>0</v>
      </c>
      <c r="AA394" s="124">
        <f t="shared" si="178"/>
        <v>4</v>
      </c>
      <c r="AB394" s="135">
        <v>45778</v>
      </c>
    </row>
    <row r="395" spans="2:28" x14ac:dyDescent="0.15">
      <c r="B395" s="6" t="s">
        <v>16</v>
      </c>
      <c r="C395" s="26"/>
      <c r="D395" s="27"/>
      <c r="E395" s="28"/>
      <c r="F395" s="7">
        <f t="shared" ref="F395:F397" si="203">SUM(C395:E395)</f>
        <v>0</v>
      </c>
      <c r="G395" s="26"/>
      <c r="H395" s="43">
        <v>1</v>
      </c>
      <c r="I395" s="59">
        <f t="shared" ref="I395:I397" si="204">SUM(G395:H395)</f>
        <v>1</v>
      </c>
      <c r="J395" s="64"/>
      <c r="K395" s="65"/>
      <c r="L395" s="56">
        <f t="shared" ref="L395:L397" si="205">SUM(J395:K395)</f>
        <v>0</v>
      </c>
      <c r="M395" s="26"/>
      <c r="N395" s="123"/>
      <c r="O395" s="43"/>
      <c r="P395" s="59">
        <f t="shared" si="184"/>
        <v>0</v>
      </c>
      <c r="Q395" s="26">
        <v>1</v>
      </c>
      <c r="R395" s="27"/>
      <c r="S395" s="28">
        <v>1</v>
      </c>
      <c r="T395" s="59">
        <f t="shared" si="185"/>
        <v>2</v>
      </c>
      <c r="U395" s="64"/>
      <c r="V395" s="65"/>
      <c r="W395" s="59">
        <f t="shared" si="182"/>
        <v>0</v>
      </c>
      <c r="X395" s="64"/>
      <c r="Y395" s="65"/>
      <c r="Z395" s="72">
        <f t="shared" si="183"/>
        <v>0</v>
      </c>
      <c r="AA395" s="124">
        <f t="shared" si="178"/>
        <v>3</v>
      </c>
      <c r="AB395" s="135">
        <v>45784</v>
      </c>
    </row>
    <row r="396" spans="2:28" x14ac:dyDescent="0.15">
      <c r="B396" s="6" t="s">
        <v>16</v>
      </c>
      <c r="C396" s="26">
        <v>1</v>
      </c>
      <c r="D396" s="27">
        <v>1</v>
      </c>
      <c r="E396" s="28">
        <v>1</v>
      </c>
      <c r="F396" s="7">
        <f t="shared" si="203"/>
        <v>3</v>
      </c>
      <c r="G396" s="26"/>
      <c r="H396" s="43"/>
      <c r="I396" s="59">
        <f t="shared" si="204"/>
        <v>0</v>
      </c>
      <c r="J396" s="64"/>
      <c r="K396" s="65"/>
      <c r="L396" s="56">
        <f t="shared" si="205"/>
        <v>0</v>
      </c>
      <c r="M396" s="26"/>
      <c r="N396" s="123"/>
      <c r="O396" s="43"/>
      <c r="P396" s="59">
        <f t="shared" si="184"/>
        <v>0</v>
      </c>
      <c r="Q396" s="26"/>
      <c r="R396" s="27"/>
      <c r="S396" s="28"/>
      <c r="T396" s="59">
        <f t="shared" si="185"/>
        <v>0</v>
      </c>
      <c r="U396" s="64"/>
      <c r="V396" s="65"/>
      <c r="W396" s="59">
        <f t="shared" si="182"/>
        <v>0</v>
      </c>
      <c r="X396" s="64"/>
      <c r="Y396" s="65"/>
      <c r="Z396" s="72">
        <f t="shared" si="183"/>
        <v>0</v>
      </c>
      <c r="AA396" s="124">
        <f t="shared" si="178"/>
        <v>3</v>
      </c>
      <c r="AB396" s="135">
        <v>45784</v>
      </c>
    </row>
    <row r="397" spans="2:28" ht="14.25" thickBot="1" x14ac:dyDescent="0.2">
      <c r="B397" s="6" t="s">
        <v>16</v>
      </c>
      <c r="C397" s="26"/>
      <c r="D397" s="27"/>
      <c r="E397" s="28"/>
      <c r="F397" s="7">
        <f t="shared" si="203"/>
        <v>0</v>
      </c>
      <c r="G397" s="26"/>
      <c r="H397" s="43">
        <v>1</v>
      </c>
      <c r="I397" s="59">
        <f t="shared" si="204"/>
        <v>1</v>
      </c>
      <c r="J397" s="66"/>
      <c r="K397" s="67"/>
      <c r="L397" s="57">
        <f t="shared" si="205"/>
        <v>0</v>
      </c>
      <c r="M397" s="29"/>
      <c r="N397" s="126"/>
      <c r="O397" s="44"/>
      <c r="P397" s="125">
        <f t="shared" si="184"/>
        <v>0</v>
      </c>
      <c r="Q397" s="29"/>
      <c r="R397" s="30"/>
      <c r="S397" s="31"/>
      <c r="T397" s="125">
        <f t="shared" si="185"/>
        <v>0</v>
      </c>
      <c r="U397" s="66"/>
      <c r="V397" s="67">
        <v>1</v>
      </c>
      <c r="W397" s="125">
        <f t="shared" si="182"/>
        <v>1</v>
      </c>
      <c r="X397" s="66"/>
      <c r="Y397" s="67"/>
      <c r="Z397" s="127">
        <f t="shared" si="183"/>
        <v>0</v>
      </c>
      <c r="AA397" s="128">
        <f t="shared" si="178"/>
        <v>2</v>
      </c>
      <c r="AB397" s="135">
        <v>45785</v>
      </c>
    </row>
    <row r="398" spans="2:28" ht="14.25" thickBot="1" x14ac:dyDescent="0.2">
      <c r="B398" s="5" t="s">
        <v>2</v>
      </c>
      <c r="C398" s="32">
        <f>SUM(C373:C397)</f>
        <v>12</v>
      </c>
      <c r="D398" s="33">
        <f t="shared" ref="D398:I398" si="206">SUM(D373:D397)</f>
        <v>6</v>
      </c>
      <c r="E398" s="34">
        <f t="shared" si="206"/>
        <v>9</v>
      </c>
      <c r="F398" s="4">
        <f t="shared" si="206"/>
        <v>27</v>
      </c>
      <c r="G398" s="142">
        <f t="shared" si="206"/>
        <v>7</v>
      </c>
      <c r="H398" s="143">
        <f t="shared" si="206"/>
        <v>6</v>
      </c>
      <c r="I398" s="144">
        <f t="shared" si="206"/>
        <v>13</v>
      </c>
      <c r="J398" s="142">
        <f>SUM(J373:J397)</f>
        <v>1</v>
      </c>
      <c r="K398" s="145">
        <f t="shared" ref="K398:L398" si="207">SUM(K373:K397)</f>
        <v>7</v>
      </c>
      <c r="L398" s="146">
        <f t="shared" si="207"/>
        <v>8</v>
      </c>
      <c r="M398" s="32">
        <f>SUM(M373:M397)</f>
        <v>2</v>
      </c>
      <c r="N398" s="132">
        <f>SUM(N373:N397)</f>
        <v>1</v>
      </c>
      <c r="O398" s="34">
        <f>SUM(O373:O397)</f>
        <v>2</v>
      </c>
      <c r="P398" s="4">
        <f t="shared" si="184"/>
        <v>5</v>
      </c>
      <c r="Q398" s="32">
        <f>SUM(Q373:Q397)</f>
        <v>4</v>
      </c>
      <c r="R398" s="33">
        <f>SUM(R373:R397)</f>
        <v>0</v>
      </c>
      <c r="S398" s="34">
        <f>SUM(S373:S397)</f>
        <v>1</v>
      </c>
      <c r="T398" s="4">
        <f t="shared" si="185"/>
        <v>5</v>
      </c>
      <c r="U398" s="68">
        <f t="shared" ref="U398:V398" si="208">SUM(U373:U397)</f>
        <v>2</v>
      </c>
      <c r="V398" s="69">
        <f t="shared" si="208"/>
        <v>3</v>
      </c>
      <c r="W398" s="4">
        <f t="shared" si="182"/>
        <v>5</v>
      </c>
      <c r="X398" s="68">
        <f>SUM(X373:X397)</f>
        <v>3</v>
      </c>
      <c r="Y398" s="69">
        <f t="shared" ref="Y398" si="209">SUM(Y373:Y397)</f>
        <v>3</v>
      </c>
      <c r="Z398" s="58">
        <f t="shared" si="183"/>
        <v>6</v>
      </c>
      <c r="AA398" s="88">
        <f t="shared" si="178"/>
        <v>69</v>
      </c>
    </row>
    <row r="399" spans="2:28" ht="14.25" thickBot="1" x14ac:dyDescent="0.2">
      <c r="B399" s="3" t="s">
        <v>3</v>
      </c>
      <c r="C399" s="38">
        <f>+C372-C398</f>
        <v>22</v>
      </c>
      <c r="D399" s="39">
        <f t="shared" ref="D399:F399" si="210">+D372-D398</f>
        <v>7</v>
      </c>
      <c r="E399" s="40">
        <f t="shared" si="210"/>
        <v>22</v>
      </c>
      <c r="F399" s="2">
        <f t="shared" si="210"/>
        <v>51</v>
      </c>
      <c r="G399" s="147">
        <f>+G372-G398</f>
        <v>0</v>
      </c>
      <c r="H399" s="148">
        <f t="shared" ref="H399:I399" si="211">+H372-H398</f>
        <v>0</v>
      </c>
      <c r="I399" s="149">
        <f t="shared" si="211"/>
        <v>0</v>
      </c>
      <c r="J399" s="136">
        <f>+J372-J398</f>
        <v>0</v>
      </c>
      <c r="K399" s="137">
        <f t="shared" ref="K399:L399" si="212">+K372-K398</f>
        <v>0</v>
      </c>
      <c r="L399" s="150">
        <f t="shared" si="212"/>
        <v>0</v>
      </c>
      <c r="M399" s="70">
        <f>+M372-M398</f>
        <v>48</v>
      </c>
      <c r="N399" s="86">
        <f>+N372-N398</f>
        <v>50</v>
      </c>
      <c r="O399" s="85">
        <f t="shared" ref="O399" si="213">+O372-O398</f>
        <v>49</v>
      </c>
      <c r="P399" s="61">
        <f t="shared" si="184"/>
        <v>147</v>
      </c>
      <c r="Q399" s="70">
        <f>+Q372-Q398</f>
        <v>47</v>
      </c>
      <c r="R399" s="84">
        <f t="shared" ref="R399:S399" si="214">+R372-R398</f>
        <v>51</v>
      </c>
      <c r="S399" s="85">
        <f t="shared" si="214"/>
        <v>50</v>
      </c>
      <c r="T399" s="61">
        <f t="shared" si="185"/>
        <v>148</v>
      </c>
      <c r="U399" s="81">
        <f>+U372-U398</f>
        <v>49</v>
      </c>
      <c r="V399" s="71">
        <f>+V372-V398</f>
        <v>48</v>
      </c>
      <c r="W399" s="61">
        <f t="shared" si="182"/>
        <v>97</v>
      </c>
      <c r="X399" s="81">
        <f>+X372-X398</f>
        <v>48</v>
      </c>
      <c r="Y399" s="71">
        <f t="shared" ref="Y399" si="215">+Y372-Y398</f>
        <v>48</v>
      </c>
      <c r="Z399" s="73">
        <f t="shared" si="183"/>
        <v>96</v>
      </c>
      <c r="AA399" s="88">
        <f t="shared" si="178"/>
        <v>539</v>
      </c>
    </row>
    <row r="402" spans="2:50" ht="18.75" x14ac:dyDescent="0.2">
      <c r="B402" s="89" t="s">
        <v>7</v>
      </c>
      <c r="C402" s="90"/>
      <c r="D402" s="90"/>
      <c r="E402" s="90"/>
      <c r="F402" s="90"/>
      <c r="G402" s="90"/>
      <c r="H402" s="90"/>
      <c r="I402" s="90"/>
      <c r="J402" s="90"/>
      <c r="K402" s="90"/>
      <c r="L402" s="90"/>
      <c r="M402" s="90"/>
      <c r="N402" s="90"/>
      <c r="O402" s="89"/>
      <c r="P402" s="90"/>
      <c r="Q402" s="90"/>
      <c r="R402" s="90"/>
      <c r="S402" s="90"/>
      <c r="T402" s="90"/>
      <c r="U402" s="90"/>
      <c r="V402" s="90"/>
      <c r="W402" s="90"/>
      <c r="X402" s="90"/>
      <c r="Y402" s="90"/>
      <c r="Z402" s="90"/>
      <c r="AA402" s="90"/>
      <c r="AC402" s="139" t="s">
        <v>72</v>
      </c>
      <c r="AD402" s="140"/>
      <c r="AE402" s="140"/>
      <c r="AF402" s="140"/>
      <c r="AG402" s="140"/>
      <c r="AH402" s="140"/>
      <c r="AI402" s="140"/>
      <c r="AJ402" s="140"/>
      <c r="AK402" s="140"/>
      <c r="AL402" s="140"/>
      <c r="AM402" s="139"/>
      <c r="AN402" s="140"/>
      <c r="AO402" s="140"/>
      <c r="AP402" s="140"/>
      <c r="AQ402" s="140"/>
      <c r="AR402" s="140"/>
      <c r="AS402" s="140"/>
      <c r="AT402" s="140"/>
      <c r="AU402" s="140"/>
      <c r="AV402" s="140"/>
      <c r="AW402" s="140"/>
      <c r="AX402" s="140"/>
    </row>
    <row r="403" spans="2:50" ht="18" thickBot="1" x14ac:dyDescent="0.25">
      <c r="B403" s="91" t="s">
        <v>70</v>
      </c>
      <c r="C403" s="90"/>
      <c r="D403" s="90"/>
      <c r="E403" s="90"/>
      <c r="F403" s="90"/>
      <c r="G403" s="90"/>
      <c r="H403" s="90"/>
      <c r="I403" s="91"/>
      <c r="J403" s="90"/>
      <c r="K403" s="90"/>
      <c r="L403" s="90"/>
      <c r="M403" s="90"/>
      <c r="N403" s="90"/>
      <c r="O403" s="91"/>
      <c r="P403" s="90"/>
      <c r="Q403" s="90"/>
      <c r="R403" s="90"/>
      <c r="S403" s="90"/>
      <c r="T403" s="90"/>
      <c r="U403" s="91"/>
      <c r="V403" s="91"/>
      <c r="W403" s="91"/>
      <c r="X403" s="91"/>
      <c r="Y403" s="90"/>
      <c r="Z403" s="90"/>
      <c r="AA403" s="90"/>
      <c r="AC403" s="141" t="s">
        <v>70</v>
      </c>
      <c r="AD403" s="140"/>
      <c r="AE403" s="140"/>
      <c r="AF403" s="140"/>
      <c r="AG403" s="140"/>
      <c r="AH403" s="140"/>
      <c r="AI403" s="140"/>
      <c r="AJ403" s="140"/>
      <c r="AK403" s="140"/>
      <c r="AL403" s="140"/>
      <c r="AM403" s="141"/>
      <c r="AN403" s="140"/>
      <c r="AO403" s="140"/>
      <c r="AP403" s="140"/>
      <c r="AQ403" s="140"/>
      <c r="AR403" s="140"/>
      <c r="AS403" s="141"/>
      <c r="AT403" s="141"/>
      <c r="AU403" s="141"/>
      <c r="AV403" s="141"/>
      <c r="AW403" s="140"/>
      <c r="AX403" s="140"/>
    </row>
    <row r="404" spans="2:50" ht="14.25" thickBot="1" x14ac:dyDescent="0.2">
      <c r="B404" s="92"/>
      <c r="C404" s="205" t="s">
        <v>8</v>
      </c>
      <c r="D404" s="206"/>
      <c r="E404" s="206"/>
      <c r="F404" s="207"/>
      <c r="G404" s="205" t="s">
        <v>63</v>
      </c>
      <c r="H404" s="206"/>
      <c r="I404" s="206"/>
      <c r="J404" s="206"/>
      <c r="K404" s="205" t="s">
        <v>61</v>
      </c>
      <c r="L404" s="206"/>
      <c r="M404" s="206"/>
      <c r="N404" s="207"/>
      <c r="O404" s="205" t="s">
        <v>65</v>
      </c>
      <c r="P404" s="206"/>
      <c r="Q404" s="207"/>
      <c r="R404" s="208" t="s">
        <v>68</v>
      </c>
      <c r="S404" s="209"/>
      <c r="T404" s="210"/>
      <c r="U404" s="93"/>
      <c r="V404" s="116"/>
      <c r="W404" s="116"/>
      <c r="AC404" s="92"/>
      <c r="AD404" s="205" t="s">
        <v>63</v>
      </c>
      <c r="AE404" s="206"/>
      <c r="AF404" s="206"/>
      <c r="AG404" s="206"/>
      <c r="AH404" s="205" t="s">
        <v>61</v>
      </c>
      <c r="AI404" s="206"/>
      <c r="AJ404" s="206"/>
      <c r="AK404" s="207"/>
      <c r="AL404" s="205" t="s">
        <v>65</v>
      </c>
      <c r="AM404" s="206"/>
      <c r="AN404" s="207"/>
      <c r="AO404" s="208" t="s">
        <v>68</v>
      </c>
      <c r="AP404" s="209"/>
      <c r="AQ404" s="210"/>
      <c r="AR404" s="93"/>
      <c r="AS404" s="116"/>
    </row>
    <row r="405" spans="2:50" ht="14.25" thickBot="1" x14ac:dyDescent="0.2">
      <c r="B405" s="94"/>
      <c r="C405" s="95" t="s">
        <v>6</v>
      </c>
      <c r="D405" s="96" t="s">
        <v>9</v>
      </c>
      <c r="E405" s="97" t="s">
        <v>10</v>
      </c>
      <c r="F405" s="98" t="s">
        <v>0</v>
      </c>
      <c r="G405" s="104" t="s">
        <v>9</v>
      </c>
      <c r="H405" s="107" t="s">
        <v>50</v>
      </c>
      <c r="I405" s="108" t="s">
        <v>6</v>
      </c>
      <c r="J405" s="94" t="s">
        <v>0</v>
      </c>
      <c r="K405" s="104" t="s">
        <v>9</v>
      </c>
      <c r="L405" s="105" t="s">
        <v>13</v>
      </c>
      <c r="M405" s="106" t="s">
        <v>62</v>
      </c>
      <c r="N405" s="98" t="s">
        <v>0</v>
      </c>
      <c r="O405" s="109" t="s">
        <v>69</v>
      </c>
      <c r="P405" s="110" t="s">
        <v>10</v>
      </c>
      <c r="Q405" s="103" t="s">
        <v>0</v>
      </c>
      <c r="R405" s="111" t="s">
        <v>62</v>
      </c>
      <c r="S405" s="110" t="s">
        <v>10</v>
      </c>
      <c r="T405" s="103" t="s">
        <v>0</v>
      </c>
      <c r="U405" s="112" t="s">
        <v>0</v>
      </c>
      <c r="V405" s="116"/>
      <c r="W405" s="116"/>
      <c r="AC405" s="94"/>
      <c r="AD405" s="104" t="s">
        <v>9</v>
      </c>
      <c r="AE405" s="107" t="s">
        <v>50</v>
      </c>
      <c r="AF405" s="108" t="s">
        <v>6</v>
      </c>
      <c r="AG405" s="94" t="s">
        <v>0</v>
      </c>
      <c r="AH405" s="104" t="s">
        <v>9</v>
      </c>
      <c r="AI405" s="105" t="s">
        <v>13</v>
      </c>
      <c r="AJ405" s="106" t="s">
        <v>62</v>
      </c>
      <c r="AK405" s="98" t="s">
        <v>0</v>
      </c>
      <c r="AL405" s="109" t="s">
        <v>69</v>
      </c>
      <c r="AM405" s="110" t="s">
        <v>10</v>
      </c>
      <c r="AN405" s="103" t="s">
        <v>0</v>
      </c>
      <c r="AO405" s="111" t="s">
        <v>62</v>
      </c>
      <c r="AP405" s="110" t="s">
        <v>10</v>
      </c>
      <c r="AQ405" s="103" t="s">
        <v>0</v>
      </c>
      <c r="AR405" s="112" t="s">
        <v>0</v>
      </c>
      <c r="AS405" s="116"/>
    </row>
    <row r="406" spans="2:50" x14ac:dyDescent="0.15">
      <c r="B406" s="46" t="s">
        <v>3</v>
      </c>
      <c r="C406" s="47">
        <f>C399</f>
        <v>22</v>
      </c>
      <c r="D406" s="50">
        <f t="shared" ref="D406:F406" si="216">D399</f>
        <v>7</v>
      </c>
      <c r="E406" s="48">
        <f t="shared" si="216"/>
        <v>22</v>
      </c>
      <c r="F406" s="49">
        <f t="shared" si="216"/>
        <v>51</v>
      </c>
      <c r="G406" s="47">
        <f>M399</f>
        <v>48</v>
      </c>
      <c r="H406" s="79">
        <f t="shared" ref="H406:U406" si="217">N399</f>
        <v>50</v>
      </c>
      <c r="I406" s="48">
        <f t="shared" si="217"/>
        <v>49</v>
      </c>
      <c r="J406" s="49">
        <f t="shared" si="217"/>
        <v>147</v>
      </c>
      <c r="K406" s="47">
        <f t="shared" si="217"/>
        <v>47</v>
      </c>
      <c r="L406" s="50">
        <f t="shared" si="217"/>
        <v>51</v>
      </c>
      <c r="M406" s="48">
        <f t="shared" si="217"/>
        <v>50</v>
      </c>
      <c r="N406" s="49">
        <f t="shared" si="217"/>
        <v>148</v>
      </c>
      <c r="O406" s="83">
        <f t="shared" si="217"/>
        <v>49</v>
      </c>
      <c r="P406" s="82">
        <f t="shared" si="217"/>
        <v>48</v>
      </c>
      <c r="Q406" s="74">
        <f t="shared" si="217"/>
        <v>97</v>
      </c>
      <c r="R406" s="80">
        <f t="shared" si="217"/>
        <v>48</v>
      </c>
      <c r="S406" s="48">
        <f t="shared" si="217"/>
        <v>48</v>
      </c>
      <c r="T406" s="87">
        <f t="shared" si="217"/>
        <v>96</v>
      </c>
      <c r="U406" s="133">
        <f t="shared" si="217"/>
        <v>539</v>
      </c>
      <c r="V406" s="138"/>
      <c r="W406" s="138"/>
      <c r="AC406" s="46" t="s">
        <v>5</v>
      </c>
      <c r="AD406" s="47"/>
      <c r="AE406" s="79"/>
      <c r="AF406" s="48"/>
      <c r="AG406" s="49">
        <f>AR399</f>
        <v>0</v>
      </c>
      <c r="AH406" s="47"/>
      <c r="AI406" s="50"/>
      <c r="AJ406" s="48"/>
      <c r="AK406" s="49">
        <f>AN399</f>
        <v>0</v>
      </c>
      <c r="AL406" s="83"/>
      <c r="AM406" s="82"/>
      <c r="AN406" s="74">
        <f>AU399</f>
        <v>0</v>
      </c>
      <c r="AO406" s="80">
        <f>AV399</f>
        <v>0</v>
      </c>
      <c r="AP406" s="48">
        <f>AW399</f>
        <v>0</v>
      </c>
      <c r="AQ406" s="87">
        <f>AX399</f>
        <v>0</v>
      </c>
      <c r="AR406" s="133">
        <f>AY399</f>
        <v>0</v>
      </c>
      <c r="AS406" s="138"/>
    </row>
    <row r="407" spans="2:50" x14ac:dyDescent="0.15">
      <c r="B407" s="11" t="s">
        <v>4</v>
      </c>
      <c r="C407" s="26"/>
      <c r="D407" s="27"/>
      <c r="E407" s="28"/>
      <c r="F407" s="8">
        <f t="shared" ref="F407" si="218">SUM(C407:E407)</f>
        <v>0</v>
      </c>
      <c r="G407" s="26"/>
      <c r="H407" s="123">
        <v>10</v>
      </c>
      <c r="I407" s="43"/>
      <c r="J407" s="59">
        <f t="shared" ref="J407" si="219">SUM(G407:I407)</f>
        <v>10</v>
      </c>
      <c r="K407" s="26">
        <v>10</v>
      </c>
      <c r="L407" s="27"/>
      <c r="M407" s="28"/>
      <c r="N407" s="59">
        <f t="shared" ref="N407" si="220">SUM(K407:M407)</f>
        <v>10</v>
      </c>
      <c r="O407" s="64">
        <v>10</v>
      </c>
      <c r="P407" s="65">
        <v>10</v>
      </c>
      <c r="Q407" s="59">
        <f t="shared" ref="Q407" si="221">SUM(O407:P407)</f>
        <v>20</v>
      </c>
      <c r="R407" s="64">
        <v>10</v>
      </c>
      <c r="S407" s="65">
        <v>10</v>
      </c>
      <c r="T407" s="72">
        <f t="shared" ref="T407" si="222">SUM(R407:S407)</f>
        <v>20</v>
      </c>
      <c r="U407" s="124">
        <f t="shared" ref="U407:U437" si="223">T407+Q407+J407+N407+F407</f>
        <v>60</v>
      </c>
      <c r="V407" s="119">
        <v>45791</v>
      </c>
      <c r="W407" s="119"/>
      <c r="AC407" s="11" t="s">
        <v>4</v>
      </c>
      <c r="AD407" s="26"/>
      <c r="AE407" s="123"/>
      <c r="AF407" s="43"/>
      <c r="AG407" s="59">
        <f t="shared" ref="AG407" si="224">SUM(AD407:AF407)</f>
        <v>0</v>
      </c>
      <c r="AH407" s="26"/>
      <c r="AI407" s="27"/>
      <c r="AJ407" s="28"/>
      <c r="AK407" s="59">
        <f t="shared" ref="AK407" si="225">SUM(AH407:AJ407)</f>
        <v>0</v>
      </c>
      <c r="AL407" s="64"/>
      <c r="AM407" s="65"/>
      <c r="AN407" s="59">
        <f t="shared" ref="AN407" si="226">SUM(AL407:AM407)</f>
        <v>0</v>
      </c>
      <c r="AO407" s="64"/>
      <c r="AP407" s="65"/>
      <c r="AQ407" s="72">
        <f t="shared" ref="AQ407" si="227">SUM(AO407:AP407)</f>
        <v>0</v>
      </c>
      <c r="AR407" s="124">
        <f t="shared" ref="AR407:AR439" si="228">AQ407+AN407+AG407+AK407</f>
        <v>0</v>
      </c>
      <c r="AS407" s="116"/>
    </row>
    <row r="408" spans="2:50" x14ac:dyDescent="0.15">
      <c r="B408" s="11" t="s">
        <v>4</v>
      </c>
      <c r="C408" s="26"/>
      <c r="D408" s="27"/>
      <c r="E408" s="28"/>
      <c r="F408" s="8">
        <f t="shared" ref="F408:F410" si="229">SUM(C408:E408)</f>
        <v>0</v>
      </c>
      <c r="G408" s="26"/>
      <c r="H408" s="123"/>
      <c r="I408" s="43"/>
      <c r="J408" s="59">
        <f t="shared" ref="J408:J410" si="230">SUM(G408:I408)</f>
        <v>0</v>
      </c>
      <c r="K408" s="26"/>
      <c r="L408" s="27"/>
      <c r="M408" s="28"/>
      <c r="N408" s="59">
        <f t="shared" ref="N408:N410" si="231">SUM(K408:M408)</f>
        <v>0</v>
      </c>
      <c r="O408" s="64"/>
      <c r="P408" s="65"/>
      <c r="Q408" s="59">
        <f t="shared" ref="Q408:Q410" si="232">SUM(O408:P408)</f>
        <v>0</v>
      </c>
      <c r="R408" s="64"/>
      <c r="S408" s="65"/>
      <c r="T408" s="72">
        <f t="shared" ref="T408:T410" si="233">SUM(R408:S408)</f>
        <v>0</v>
      </c>
      <c r="U408" s="124">
        <f t="shared" si="223"/>
        <v>0</v>
      </c>
      <c r="V408" s="116"/>
      <c r="W408" s="116"/>
      <c r="AC408" s="11" t="s">
        <v>4</v>
      </c>
      <c r="AD408" s="26"/>
      <c r="AE408" s="123"/>
      <c r="AF408" s="43"/>
      <c r="AG408" s="59">
        <f t="shared" ref="AG408:AG413" si="234">SUM(AD408:AF408)</f>
        <v>0</v>
      </c>
      <c r="AH408" s="26"/>
      <c r="AI408" s="27"/>
      <c r="AJ408" s="28"/>
      <c r="AK408" s="59">
        <f t="shared" ref="AK408:AK413" si="235">SUM(AH408:AJ408)</f>
        <v>0</v>
      </c>
      <c r="AL408" s="64"/>
      <c r="AM408" s="65"/>
      <c r="AN408" s="59">
        <f t="shared" ref="AN408:AN413" si="236">SUM(AL408:AM408)</f>
        <v>0</v>
      </c>
      <c r="AO408" s="64"/>
      <c r="AP408" s="65"/>
      <c r="AQ408" s="72">
        <f t="shared" ref="AQ408:AQ413" si="237">SUM(AO408:AP408)</f>
        <v>0</v>
      </c>
      <c r="AR408" s="124">
        <f t="shared" si="228"/>
        <v>0</v>
      </c>
      <c r="AS408" s="116"/>
    </row>
    <row r="409" spans="2:50" x14ac:dyDescent="0.15">
      <c r="B409" s="11" t="s">
        <v>4</v>
      </c>
      <c r="C409" s="26"/>
      <c r="D409" s="27"/>
      <c r="E409" s="28"/>
      <c r="F409" s="8">
        <f t="shared" si="229"/>
        <v>0</v>
      </c>
      <c r="G409" s="26"/>
      <c r="H409" s="123"/>
      <c r="I409" s="43"/>
      <c r="J409" s="59">
        <f t="shared" si="230"/>
        <v>0</v>
      </c>
      <c r="K409" s="26"/>
      <c r="L409" s="27"/>
      <c r="M409" s="28"/>
      <c r="N409" s="59">
        <f t="shared" si="231"/>
        <v>0</v>
      </c>
      <c r="O409" s="64"/>
      <c r="P409" s="65"/>
      <c r="Q409" s="59">
        <f t="shared" si="232"/>
        <v>0</v>
      </c>
      <c r="R409" s="64"/>
      <c r="S409" s="65"/>
      <c r="T409" s="72">
        <f t="shared" si="233"/>
        <v>0</v>
      </c>
      <c r="U409" s="124">
        <f t="shared" si="223"/>
        <v>0</v>
      </c>
      <c r="V409" s="116"/>
      <c r="W409" s="116"/>
      <c r="AC409" s="11" t="s">
        <v>4</v>
      </c>
      <c r="AD409" s="26">
        <v>50</v>
      </c>
      <c r="AE409" s="123">
        <v>80</v>
      </c>
      <c r="AF409" s="43">
        <v>80</v>
      </c>
      <c r="AG409" s="59">
        <f t="shared" si="234"/>
        <v>210</v>
      </c>
      <c r="AH409" s="26">
        <v>50</v>
      </c>
      <c r="AI409" s="27">
        <v>50</v>
      </c>
      <c r="AJ409" s="28">
        <v>50</v>
      </c>
      <c r="AK409" s="59">
        <f t="shared" si="235"/>
        <v>150</v>
      </c>
      <c r="AL409" s="64">
        <v>100</v>
      </c>
      <c r="AM409" s="65">
        <v>100</v>
      </c>
      <c r="AN409" s="59">
        <f t="shared" si="236"/>
        <v>200</v>
      </c>
      <c r="AO409" s="64">
        <v>50</v>
      </c>
      <c r="AP409" s="65">
        <v>50</v>
      </c>
      <c r="AQ409" s="72">
        <f t="shared" si="237"/>
        <v>100</v>
      </c>
      <c r="AR409" s="124">
        <f t="shared" si="228"/>
        <v>660</v>
      </c>
      <c r="AS409" s="135" t="s">
        <v>73</v>
      </c>
    </row>
    <row r="410" spans="2:50" x14ac:dyDescent="0.15">
      <c r="B410" s="11" t="s">
        <v>4</v>
      </c>
      <c r="C410" s="26"/>
      <c r="D410" s="27"/>
      <c r="E410" s="28"/>
      <c r="F410" s="8">
        <f t="shared" si="229"/>
        <v>0</v>
      </c>
      <c r="G410" s="26"/>
      <c r="H410" s="123"/>
      <c r="I410" s="43"/>
      <c r="J410" s="59">
        <f t="shared" si="230"/>
        <v>0</v>
      </c>
      <c r="K410" s="26"/>
      <c r="L410" s="27"/>
      <c r="M410" s="28"/>
      <c r="N410" s="59">
        <f t="shared" si="231"/>
        <v>0</v>
      </c>
      <c r="O410" s="64"/>
      <c r="P410" s="65"/>
      <c r="Q410" s="59">
        <f t="shared" si="232"/>
        <v>0</v>
      </c>
      <c r="R410" s="64"/>
      <c r="S410" s="65"/>
      <c r="T410" s="72">
        <f t="shared" si="233"/>
        <v>0</v>
      </c>
      <c r="U410" s="124">
        <f t="shared" si="223"/>
        <v>0</v>
      </c>
      <c r="V410" s="116"/>
      <c r="W410" s="116"/>
      <c r="AC410" s="11" t="s">
        <v>4</v>
      </c>
      <c r="AD410" s="26"/>
      <c r="AE410" s="123"/>
      <c r="AF410" s="43"/>
      <c r="AG410" s="59">
        <f t="shared" ref="AG410" si="238">SUM(AD410:AF410)</f>
        <v>0</v>
      </c>
      <c r="AH410" s="26"/>
      <c r="AI410" s="27"/>
      <c r="AJ410" s="28"/>
      <c r="AK410" s="59">
        <f t="shared" ref="AK410" si="239">SUM(AH410:AJ410)</f>
        <v>0</v>
      </c>
      <c r="AL410" s="64"/>
      <c r="AM410" s="65"/>
      <c r="AN410" s="59">
        <f t="shared" ref="AN410" si="240">SUM(AL410:AM410)</f>
        <v>0</v>
      </c>
      <c r="AO410" s="64"/>
      <c r="AP410" s="65"/>
      <c r="AQ410" s="72">
        <f t="shared" ref="AQ410" si="241">SUM(AO410:AP410)</f>
        <v>0</v>
      </c>
      <c r="AR410" s="124">
        <f t="shared" si="228"/>
        <v>0</v>
      </c>
      <c r="AS410" s="116"/>
    </row>
    <row r="411" spans="2:50" ht="14.25" thickBot="1" x14ac:dyDescent="0.2">
      <c r="B411" s="11" t="s">
        <v>42</v>
      </c>
      <c r="C411" s="29">
        <v>-1</v>
      </c>
      <c r="D411" s="30"/>
      <c r="E411" s="31"/>
      <c r="F411" s="54">
        <f t="shared" ref="F411" si="242">SUM(C411:E411)</f>
        <v>-1</v>
      </c>
      <c r="G411" s="29"/>
      <c r="H411" s="126"/>
      <c r="I411" s="44"/>
      <c r="J411" s="125">
        <f t="shared" ref="J411:J437" si="243">SUM(G411:I411)</f>
        <v>0</v>
      </c>
      <c r="K411" s="29"/>
      <c r="L411" s="30"/>
      <c r="M411" s="31"/>
      <c r="N411" s="125">
        <f t="shared" ref="N411:N437" si="244">SUM(K411:M411)</f>
        <v>0</v>
      </c>
      <c r="O411" s="66"/>
      <c r="P411" s="67"/>
      <c r="Q411" s="125">
        <f t="shared" ref="Q411:Q437" si="245">SUM(O411:P411)</f>
        <v>0</v>
      </c>
      <c r="R411" s="66"/>
      <c r="S411" s="67"/>
      <c r="T411" s="127">
        <f t="shared" ref="T411:T437" si="246">SUM(R411:S411)</f>
        <v>0</v>
      </c>
      <c r="U411" s="128">
        <f t="shared" si="223"/>
        <v>-1</v>
      </c>
      <c r="V411" s="116"/>
      <c r="W411" s="116"/>
      <c r="AC411" s="11" t="s">
        <v>4</v>
      </c>
      <c r="AD411" s="29"/>
      <c r="AE411" s="126"/>
      <c r="AF411" s="44"/>
      <c r="AG411" s="125">
        <f t="shared" si="234"/>
        <v>0</v>
      </c>
      <c r="AH411" s="29"/>
      <c r="AI411" s="30"/>
      <c r="AJ411" s="31"/>
      <c r="AK411" s="125">
        <f t="shared" si="235"/>
        <v>0</v>
      </c>
      <c r="AL411" s="66"/>
      <c r="AM411" s="67"/>
      <c r="AN411" s="125">
        <f t="shared" si="236"/>
        <v>0</v>
      </c>
      <c r="AO411" s="66"/>
      <c r="AP411" s="67"/>
      <c r="AQ411" s="127">
        <f t="shared" si="237"/>
        <v>0</v>
      </c>
      <c r="AR411" s="128">
        <f t="shared" si="228"/>
        <v>0</v>
      </c>
      <c r="AS411" s="116"/>
    </row>
    <row r="412" spans="2:50" ht="14.25" thickBot="1" x14ac:dyDescent="0.2">
      <c r="B412" s="5" t="s">
        <v>1</v>
      </c>
      <c r="C412" s="32">
        <f>SUM(C406:C411)</f>
        <v>21</v>
      </c>
      <c r="D412" s="33">
        <f t="shared" ref="D412:F412" si="247">SUM(D406:D411)</f>
        <v>7</v>
      </c>
      <c r="E412" s="34">
        <f t="shared" si="247"/>
        <v>22</v>
      </c>
      <c r="F412" s="4">
        <f t="shared" si="247"/>
        <v>50</v>
      </c>
      <c r="G412" s="32">
        <f t="shared" ref="G412:I412" si="248">SUM(G406:G411)</f>
        <v>48</v>
      </c>
      <c r="H412" s="132">
        <f t="shared" si="248"/>
        <v>60</v>
      </c>
      <c r="I412" s="34">
        <f t="shared" si="248"/>
        <v>49</v>
      </c>
      <c r="J412" s="4">
        <f t="shared" si="243"/>
        <v>157</v>
      </c>
      <c r="K412" s="32">
        <f>SUM(K406:K411)</f>
        <v>57</v>
      </c>
      <c r="L412" s="33">
        <f t="shared" ref="L412:M412" si="249">SUM(L406:L411)</f>
        <v>51</v>
      </c>
      <c r="M412" s="34">
        <f t="shared" si="249"/>
        <v>50</v>
      </c>
      <c r="N412" s="4">
        <f t="shared" si="244"/>
        <v>158</v>
      </c>
      <c r="O412" s="68">
        <f t="shared" ref="O412:P412" si="250">SUM(O406:O411)</f>
        <v>59</v>
      </c>
      <c r="P412" s="69">
        <f t="shared" si="250"/>
        <v>58</v>
      </c>
      <c r="Q412" s="4">
        <f t="shared" si="245"/>
        <v>117</v>
      </c>
      <c r="R412" s="68">
        <f>SUM(R406:R411)</f>
        <v>58</v>
      </c>
      <c r="S412" s="34">
        <f t="shared" ref="S412" si="251">SUM(S406:S411)</f>
        <v>58</v>
      </c>
      <c r="T412" s="58">
        <f t="shared" si="246"/>
        <v>116</v>
      </c>
      <c r="U412" s="88">
        <f t="shared" si="223"/>
        <v>598</v>
      </c>
      <c r="V412" s="116"/>
      <c r="W412" s="116"/>
      <c r="AC412" s="5" t="s">
        <v>1</v>
      </c>
      <c r="AD412" s="32">
        <f t="shared" ref="AD412:AF412" si="252">SUM(AD406:AD411)</f>
        <v>50</v>
      </c>
      <c r="AE412" s="132">
        <f t="shared" si="252"/>
        <v>80</v>
      </c>
      <c r="AF412" s="34">
        <f t="shared" si="252"/>
        <v>80</v>
      </c>
      <c r="AG412" s="4">
        <f t="shared" si="234"/>
        <v>210</v>
      </c>
      <c r="AH412" s="32">
        <f>SUM(AH406:AH411)</f>
        <v>50</v>
      </c>
      <c r="AI412" s="33">
        <f t="shared" ref="AI412:AJ412" si="253">SUM(AI406:AI411)</f>
        <v>50</v>
      </c>
      <c r="AJ412" s="34">
        <f t="shared" si="253"/>
        <v>50</v>
      </c>
      <c r="AK412" s="4">
        <f t="shared" si="235"/>
        <v>150</v>
      </c>
      <c r="AL412" s="68">
        <f t="shared" ref="AL412:AM412" si="254">SUM(AL406:AL411)</f>
        <v>100</v>
      </c>
      <c r="AM412" s="69">
        <f t="shared" si="254"/>
        <v>100</v>
      </c>
      <c r="AN412" s="4">
        <f t="shared" si="236"/>
        <v>200</v>
      </c>
      <c r="AO412" s="68">
        <f>SUM(AO406:AO411)</f>
        <v>50</v>
      </c>
      <c r="AP412" s="34">
        <f t="shared" ref="AP412" si="255">SUM(AP406:AP411)</f>
        <v>50</v>
      </c>
      <c r="AQ412" s="58">
        <f t="shared" si="237"/>
        <v>100</v>
      </c>
      <c r="AR412" s="88">
        <f t="shared" si="228"/>
        <v>660</v>
      </c>
      <c r="AS412" s="116"/>
    </row>
    <row r="413" spans="2:50" x14ac:dyDescent="0.15">
      <c r="B413" s="6" t="s">
        <v>16</v>
      </c>
      <c r="C413" s="26">
        <v>1</v>
      </c>
      <c r="D413" s="27">
        <f>1+1</f>
        <v>2</v>
      </c>
      <c r="E413" s="28"/>
      <c r="F413" s="7">
        <f t="shared" ref="F413" si="256">SUM(C413:E413)</f>
        <v>3</v>
      </c>
      <c r="G413" s="26"/>
      <c r="H413" s="123"/>
      <c r="I413" s="43">
        <v>3</v>
      </c>
      <c r="J413" s="59">
        <f t="shared" ref="J413" si="257">SUM(G413:I413)</f>
        <v>3</v>
      </c>
      <c r="K413" s="26"/>
      <c r="L413" s="27">
        <v>1</v>
      </c>
      <c r="M413" s="28"/>
      <c r="N413" s="59">
        <f t="shared" ref="N413" si="258">SUM(K413:M413)</f>
        <v>1</v>
      </c>
      <c r="O413" s="64">
        <v>3</v>
      </c>
      <c r="P413" s="65">
        <f>2+1</f>
        <v>3</v>
      </c>
      <c r="Q413" s="59">
        <f t="shared" ref="Q413" si="259">SUM(O413:P413)</f>
        <v>6</v>
      </c>
      <c r="R413" s="64">
        <v>1</v>
      </c>
      <c r="S413" s="65">
        <v>1</v>
      </c>
      <c r="T413" s="72">
        <f t="shared" ref="T413" si="260">SUM(R413:S413)</f>
        <v>2</v>
      </c>
      <c r="U413" s="124">
        <f t="shared" si="223"/>
        <v>15</v>
      </c>
      <c r="V413" s="119">
        <v>45789</v>
      </c>
      <c r="W413" s="119"/>
      <c r="AC413" s="6" t="s">
        <v>74</v>
      </c>
      <c r="AD413" s="26"/>
      <c r="AE413" s="123">
        <v>10</v>
      </c>
      <c r="AF413" s="43"/>
      <c r="AG413" s="59">
        <f t="shared" si="234"/>
        <v>10</v>
      </c>
      <c r="AH413" s="26">
        <v>10</v>
      </c>
      <c r="AI413" s="27"/>
      <c r="AJ413" s="28"/>
      <c r="AK413" s="59">
        <f t="shared" si="235"/>
        <v>10</v>
      </c>
      <c r="AL413" s="64">
        <v>10</v>
      </c>
      <c r="AM413" s="65">
        <v>10</v>
      </c>
      <c r="AN413" s="59">
        <f t="shared" si="236"/>
        <v>20</v>
      </c>
      <c r="AO413" s="64">
        <v>10</v>
      </c>
      <c r="AP413" s="65">
        <v>10</v>
      </c>
      <c r="AQ413" s="72">
        <f t="shared" si="237"/>
        <v>20</v>
      </c>
      <c r="AR413" s="124">
        <f t="shared" si="228"/>
        <v>60</v>
      </c>
      <c r="AS413" s="119">
        <v>45791</v>
      </c>
    </row>
    <row r="414" spans="2:50" x14ac:dyDescent="0.15">
      <c r="B414" s="6" t="s">
        <v>16</v>
      </c>
      <c r="C414" s="26"/>
      <c r="D414" s="27"/>
      <c r="E414" s="28"/>
      <c r="F414" s="7">
        <f t="shared" ref="F414:F437" si="261">SUM(C414:E414)</f>
        <v>0</v>
      </c>
      <c r="G414" s="26"/>
      <c r="H414" s="123">
        <v>1</v>
      </c>
      <c r="I414" s="43"/>
      <c r="J414" s="59">
        <f t="shared" si="243"/>
        <v>1</v>
      </c>
      <c r="K414" s="26">
        <v>1</v>
      </c>
      <c r="L414" s="27"/>
      <c r="M414" s="28"/>
      <c r="N414" s="59">
        <f t="shared" si="244"/>
        <v>1</v>
      </c>
      <c r="O414" s="64"/>
      <c r="P414" s="65"/>
      <c r="Q414" s="59">
        <f t="shared" si="245"/>
        <v>0</v>
      </c>
      <c r="R414" s="64"/>
      <c r="S414" s="65"/>
      <c r="T414" s="72">
        <f t="shared" si="246"/>
        <v>0</v>
      </c>
      <c r="U414" s="124">
        <f t="shared" si="223"/>
        <v>2</v>
      </c>
      <c r="V414" s="119">
        <v>45791</v>
      </c>
      <c r="W414" s="119"/>
      <c r="AC414" s="6" t="s">
        <v>74</v>
      </c>
      <c r="AD414" s="26"/>
      <c r="AE414" s="123"/>
      <c r="AF414" s="43"/>
      <c r="AG414" s="59">
        <f t="shared" ref="AG414:AG439" si="262">SUM(AD414:AF414)</f>
        <v>0</v>
      </c>
      <c r="AH414" s="26"/>
      <c r="AI414" s="27"/>
      <c r="AJ414" s="28"/>
      <c r="AK414" s="59">
        <f t="shared" ref="AK414:AK439" si="263">SUM(AH414:AJ414)</f>
        <v>0</v>
      </c>
      <c r="AL414" s="64">
        <v>30</v>
      </c>
      <c r="AM414" s="65">
        <v>30</v>
      </c>
      <c r="AN414" s="59">
        <f t="shared" ref="AN414:AN439" si="264">SUM(AL414:AM414)</f>
        <v>60</v>
      </c>
      <c r="AO414" s="64"/>
      <c r="AP414" s="65"/>
      <c r="AQ414" s="72">
        <f t="shared" ref="AQ414:AQ439" si="265">SUM(AO414:AP414)</f>
        <v>0</v>
      </c>
      <c r="AR414" s="124">
        <f t="shared" si="228"/>
        <v>60</v>
      </c>
      <c r="AS414" s="119">
        <v>45839</v>
      </c>
    </row>
    <row r="415" spans="2:50" x14ac:dyDescent="0.15">
      <c r="B415" s="6" t="s">
        <v>16</v>
      </c>
      <c r="C415" s="26"/>
      <c r="D415" s="27"/>
      <c r="E415" s="28"/>
      <c r="F415" s="7">
        <f t="shared" si="261"/>
        <v>0</v>
      </c>
      <c r="G415" s="26"/>
      <c r="H415" s="123"/>
      <c r="I415" s="43"/>
      <c r="J415" s="59">
        <f t="shared" si="243"/>
        <v>0</v>
      </c>
      <c r="K415" s="26"/>
      <c r="L415" s="27">
        <v>1</v>
      </c>
      <c r="M415" s="28">
        <v>1</v>
      </c>
      <c r="N415" s="59">
        <f t="shared" si="244"/>
        <v>2</v>
      </c>
      <c r="O415" s="64"/>
      <c r="P415" s="65"/>
      <c r="Q415" s="59">
        <f t="shared" si="245"/>
        <v>0</v>
      </c>
      <c r="R415" s="64"/>
      <c r="S415" s="65"/>
      <c r="T415" s="72">
        <f t="shared" si="246"/>
        <v>0</v>
      </c>
      <c r="U415" s="124">
        <f t="shared" si="223"/>
        <v>2</v>
      </c>
      <c r="V415" s="119">
        <v>45792</v>
      </c>
      <c r="W415" s="119"/>
      <c r="AC415" s="6" t="s">
        <v>74</v>
      </c>
      <c r="AD415" s="26">
        <v>30</v>
      </c>
      <c r="AE415" s="123"/>
      <c r="AF415" s="43">
        <v>40</v>
      </c>
      <c r="AG415" s="59">
        <f t="shared" si="262"/>
        <v>70</v>
      </c>
      <c r="AH415" s="26"/>
      <c r="AI415" s="27"/>
      <c r="AJ415" s="28"/>
      <c r="AK415" s="59">
        <f t="shared" si="263"/>
        <v>0</v>
      </c>
      <c r="AL415" s="64"/>
      <c r="AM415" s="65"/>
      <c r="AN415" s="59">
        <f t="shared" si="264"/>
        <v>0</v>
      </c>
      <c r="AO415" s="64"/>
      <c r="AP415" s="65"/>
      <c r="AQ415" s="72">
        <f t="shared" si="265"/>
        <v>0</v>
      </c>
      <c r="AR415" s="124">
        <f t="shared" si="228"/>
        <v>70</v>
      </c>
      <c r="AS415" s="119">
        <v>45841</v>
      </c>
    </row>
    <row r="416" spans="2:50" x14ac:dyDescent="0.15">
      <c r="B416" s="6" t="s">
        <v>16</v>
      </c>
      <c r="C416" s="26"/>
      <c r="D416" s="27">
        <v>1</v>
      </c>
      <c r="E416" s="28"/>
      <c r="F416" s="7">
        <f t="shared" si="261"/>
        <v>1</v>
      </c>
      <c r="G416" s="26">
        <v>1</v>
      </c>
      <c r="H416" s="123"/>
      <c r="I416" s="43"/>
      <c r="J416" s="59">
        <f t="shared" si="243"/>
        <v>1</v>
      </c>
      <c r="K416" s="26"/>
      <c r="L416" s="27"/>
      <c r="M416" s="28">
        <v>1</v>
      </c>
      <c r="N416" s="59">
        <f t="shared" si="244"/>
        <v>1</v>
      </c>
      <c r="O416" s="64"/>
      <c r="P416" s="65">
        <v>1</v>
      </c>
      <c r="Q416" s="59">
        <f t="shared" si="245"/>
        <v>1</v>
      </c>
      <c r="R416" s="64"/>
      <c r="S416" s="65">
        <v>1</v>
      </c>
      <c r="T416" s="72">
        <f t="shared" si="246"/>
        <v>1</v>
      </c>
      <c r="U416" s="124">
        <f t="shared" si="223"/>
        <v>5</v>
      </c>
      <c r="V416" s="119">
        <v>45793</v>
      </c>
      <c r="W416" s="119"/>
      <c r="AC416" s="6" t="s">
        <v>74</v>
      </c>
      <c r="AD416" s="26">
        <v>20</v>
      </c>
      <c r="AE416" s="123">
        <v>20</v>
      </c>
      <c r="AF416" s="43">
        <v>20</v>
      </c>
      <c r="AG416" s="59">
        <f t="shared" ref="AG416" si="266">SUM(AD416:AF416)</f>
        <v>60</v>
      </c>
      <c r="AH416" s="26">
        <v>20</v>
      </c>
      <c r="AI416" s="27"/>
      <c r="AJ416" s="28">
        <v>20</v>
      </c>
      <c r="AK416" s="59">
        <f t="shared" ref="AK416" si="267">SUM(AH416:AJ416)</f>
        <v>40</v>
      </c>
      <c r="AL416" s="64">
        <v>20</v>
      </c>
      <c r="AM416" s="65">
        <v>20</v>
      </c>
      <c r="AN416" s="59">
        <f t="shared" ref="AN416" si="268">SUM(AL416:AM416)</f>
        <v>40</v>
      </c>
      <c r="AO416" s="64"/>
      <c r="AP416" s="65"/>
      <c r="AQ416" s="72">
        <f t="shared" ref="AQ416" si="269">SUM(AO416:AP416)</f>
        <v>0</v>
      </c>
      <c r="AR416" s="124">
        <f t="shared" si="228"/>
        <v>140</v>
      </c>
      <c r="AS416" s="119">
        <v>45843</v>
      </c>
    </row>
    <row r="417" spans="2:45" x14ac:dyDescent="0.15">
      <c r="B417" s="6" t="s">
        <v>16</v>
      </c>
      <c r="C417" s="26">
        <v>1</v>
      </c>
      <c r="D417" s="27"/>
      <c r="E417" s="28">
        <v>1</v>
      </c>
      <c r="F417" s="7">
        <f t="shared" si="261"/>
        <v>2</v>
      </c>
      <c r="G417" s="26">
        <v>1</v>
      </c>
      <c r="H417" s="123"/>
      <c r="I417" s="43"/>
      <c r="J417" s="59">
        <f t="shared" si="243"/>
        <v>1</v>
      </c>
      <c r="K417" s="26"/>
      <c r="L417" s="27"/>
      <c r="M417" s="28">
        <v>1</v>
      </c>
      <c r="N417" s="59">
        <f t="shared" si="244"/>
        <v>1</v>
      </c>
      <c r="O417" s="64">
        <v>4</v>
      </c>
      <c r="P417" s="65"/>
      <c r="Q417" s="59">
        <f t="shared" si="245"/>
        <v>4</v>
      </c>
      <c r="R417" s="64"/>
      <c r="S417" s="65">
        <v>1</v>
      </c>
      <c r="T417" s="72">
        <f t="shared" si="246"/>
        <v>1</v>
      </c>
      <c r="U417" s="124">
        <f t="shared" si="223"/>
        <v>9</v>
      </c>
      <c r="V417" s="119">
        <v>45796</v>
      </c>
      <c r="W417" s="116"/>
      <c r="AC417" s="6"/>
      <c r="AD417" s="26"/>
      <c r="AE417" s="123"/>
      <c r="AF417" s="43"/>
      <c r="AG417" s="59">
        <f t="shared" si="262"/>
        <v>0</v>
      </c>
      <c r="AH417" s="26"/>
      <c r="AI417" s="27"/>
      <c r="AJ417" s="28"/>
      <c r="AK417" s="59">
        <f t="shared" si="263"/>
        <v>0</v>
      </c>
      <c r="AL417" s="64"/>
      <c r="AM417" s="65"/>
      <c r="AN417" s="59">
        <f t="shared" si="264"/>
        <v>0</v>
      </c>
      <c r="AO417" s="64"/>
      <c r="AP417" s="65"/>
      <c r="AQ417" s="72">
        <f t="shared" si="265"/>
        <v>0</v>
      </c>
      <c r="AR417" s="124">
        <f t="shared" si="228"/>
        <v>0</v>
      </c>
      <c r="AS417" s="116"/>
    </row>
    <row r="418" spans="2:45" x14ac:dyDescent="0.15">
      <c r="B418" s="6" t="s">
        <v>16</v>
      </c>
      <c r="C418" s="26"/>
      <c r="D418" s="27"/>
      <c r="E418" s="28">
        <v>1</v>
      </c>
      <c r="F418" s="7">
        <f t="shared" si="261"/>
        <v>1</v>
      </c>
      <c r="G418" s="26"/>
      <c r="H418" s="123"/>
      <c r="I418" s="43"/>
      <c r="J418" s="59">
        <f t="shared" si="243"/>
        <v>0</v>
      </c>
      <c r="K418" s="26">
        <v>1</v>
      </c>
      <c r="L418" s="27"/>
      <c r="M418" s="28"/>
      <c r="N418" s="59">
        <f t="shared" si="244"/>
        <v>1</v>
      </c>
      <c r="O418" s="64"/>
      <c r="P418" s="65">
        <v>1</v>
      </c>
      <c r="Q418" s="59">
        <f t="shared" si="245"/>
        <v>1</v>
      </c>
      <c r="R418" s="64"/>
      <c r="S418" s="65"/>
      <c r="T418" s="72">
        <f t="shared" si="246"/>
        <v>0</v>
      </c>
      <c r="U418" s="124">
        <f t="shared" si="223"/>
        <v>3</v>
      </c>
      <c r="V418" s="119">
        <v>45797</v>
      </c>
      <c r="W418" s="116"/>
      <c r="AC418" s="6"/>
      <c r="AD418" s="26"/>
      <c r="AE418" s="123"/>
      <c r="AF418" s="43"/>
      <c r="AG418" s="59">
        <f t="shared" si="262"/>
        <v>0</v>
      </c>
      <c r="AH418" s="26"/>
      <c r="AI418" s="27"/>
      <c r="AJ418" s="28"/>
      <c r="AK418" s="59">
        <f t="shared" si="263"/>
        <v>0</v>
      </c>
      <c r="AL418" s="64"/>
      <c r="AM418" s="65"/>
      <c r="AN418" s="59">
        <f t="shared" si="264"/>
        <v>0</v>
      </c>
      <c r="AO418" s="64"/>
      <c r="AP418" s="65"/>
      <c r="AQ418" s="72">
        <f t="shared" si="265"/>
        <v>0</v>
      </c>
      <c r="AR418" s="124">
        <f t="shared" si="228"/>
        <v>0</v>
      </c>
      <c r="AS418" s="116"/>
    </row>
    <row r="419" spans="2:45" x14ac:dyDescent="0.15">
      <c r="B419" s="6" t="s">
        <v>16</v>
      </c>
      <c r="C419" s="26"/>
      <c r="D419" s="27"/>
      <c r="E419" s="28"/>
      <c r="F419" s="7">
        <f t="shared" si="261"/>
        <v>0</v>
      </c>
      <c r="G419" s="26"/>
      <c r="H419" s="123"/>
      <c r="I419" s="43"/>
      <c r="J419" s="59">
        <f t="shared" si="243"/>
        <v>0</v>
      </c>
      <c r="K419" s="26">
        <v>1</v>
      </c>
      <c r="L419" s="27"/>
      <c r="M419" s="28">
        <v>1</v>
      </c>
      <c r="N419" s="59">
        <f t="shared" si="244"/>
        <v>2</v>
      </c>
      <c r="O419" s="64"/>
      <c r="P419" s="65"/>
      <c r="Q419" s="59">
        <f t="shared" si="245"/>
        <v>0</v>
      </c>
      <c r="R419" s="64">
        <v>1</v>
      </c>
      <c r="S419" s="65">
        <v>1</v>
      </c>
      <c r="T419" s="72">
        <f t="shared" si="246"/>
        <v>2</v>
      </c>
      <c r="U419" s="124">
        <f t="shared" si="223"/>
        <v>4</v>
      </c>
      <c r="V419" s="119">
        <v>45799</v>
      </c>
      <c r="W419" s="116"/>
      <c r="AC419" s="6"/>
      <c r="AD419" s="26"/>
      <c r="AE419" s="123"/>
      <c r="AF419" s="43"/>
      <c r="AG419" s="59">
        <f t="shared" si="262"/>
        <v>0</v>
      </c>
      <c r="AH419" s="26"/>
      <c r="AI419" s="27"/>
      <c r="AJ419" s="28"/>
      <c r="AK419" s="59">
        <f t="shared" si="263"/>
        <v>0</v>
      </c>
      <c r="AL419" s="64"/>
      <c r="AM419" s="65"/>
      <c r="AN419" s="59">
        <f t="shared" si="264"/>
        <v>0</v>
      </c>
      <c r="AO419" s="64"/>
      <c r="AP419" s="65"/>
      <c r="AQ419" s="72">
        <f t="shared" si="265"/>
        <v>0</v>
      </c>
      <c r="AR419" s="124">
        <f t="shared" si="228"/>
        <v>0</v>
      </c>
      <c r="AS419" s="116"/>
    </row>
    <row r="420" spans="2:45" x14ac:dyDescent="0.15">
      <c r="B420" s="6" t="s">
        <v>16</v>
      </c>
      <c r="C420" s="26"/>
      <c r="D420" s="27"/>
      <c r="E420" s="28"/>
      <c r="F420" s="7">
        <f t="shared" si="261"/>
        <v>0</v>
      </c>
      <c r="G420" s="26">
        <v>1</v>
      </c>
      <c r="H420" s="123"/>
      <c r="I420" s="43"/>
      <c r="J420" s="59">
        <f t="shared" si="243"/>
        <v>1</v>
      </c>
      <c r="K420" s="26"/>
      <c r="L420" s="27">
        <v>1</v>
      </c>
      <c r="M420" s="28"/>
      <c r="N420" s="59">
        <f t="shared" si="244"/>
        <v>1</v>
      </c>
      <c r="O420" s="64"/>
      <c r="P420" s="65"/>
      <c r="Q420" s="59">
        <f t="shared" si="245"/>
        <v>0</v>
      </c>
      <c r="R420" s="64"/>
      <c r="S420" s="65"/>
      <c r="T420" s="72">
        <f t="shared" si="246"/>
        <v>0</v>
      </c>
      <c r="U420" s="124">
        <f t="shared" si="223"/>
        <v>2</v>
      </c>
      <c r="V420" s="119">
        <v>45800</v>
      </c>
      <c r="W420" s="116"/>
      <c r="AC420" s="6"/>
      <c r="AD420" s="26"/>
      <c r="AE420" s="123"/>
      <c r="AF420" s="43"/>
      <c r="AG420" s="59">
        <f t="shared" si="262"/>
        <v>0</v>
      </c>
      <c r="AH420" s="26"/>
      <c r="AI420" s="27"/>
      <c r="AJ420" s="28"/>
      <c r="AK420" s="59">
        <f t="shared" si="263"/>
        <v>0</v>
      </c>
      <c r="AL420" s="64"/>
      <c r="AM420" s="65"/>
      <c r="AN420" s="59">
        <f t="shared" si="264"/>
        <v>0</v>
      </c>
      <c r="AO420" s="64"/>
      <c r="AP420" s="65"/>
      <c r="AQ420" s="72">
        <f t="shared" si="265"/>
        <v>0</v>
      </c>
      <c r="AR420" s="124">
        <f t="shared" si="228"/>
        <v>0</v>
      </c>
      <c r="AS420" s="116"/>
    </row>
    <row r="421" spans="2:45" x14ac:dyDescent="0.15">
      <c r="B421" s="6" t="s">
        <v>16</v>
      </c>
      <c r="C421" s="26"/>
      <c r="D421" s="27"/>
      <c r="E421" s="28">
        <v>1</v>
      </c>
      <c r="F421" s="7">
        <f t="shared" si="261"/>
        <v>1</v>
      </c>
      <c r="G421" s="26">
        <f>1+1</f>
        <v>2</v>
      </c>
      <c r="H421" s="123"/>
      <c r="I421" s="43">
        <v>1</v>
      </c>
      <c r="J421" s="59">
        <f t="shared" si="243"/>
        <v>3</v>
      </c>
      <c r="K421" s="26">
        <f>1+2</f>
        <v>3</v>
      </c>
      <c r="L421" s="27">
        <v>1</v>
      </c>
      <c r="M421" s="28">
        <v>1</v>
      </c>
      <c r="N421" s="59">
        <f t="shared" si="244"/>
        <v>5</v>
      </c>
      <c r="O421" s="64">
        <v>2</v>
      </c>
      <c r="P421" s="65">
        <f>2+2</f>
        <v>4</v>
      </c>
      <c r="Q421" s="59">
        <f t="shared" si="245"/>
        <v>6</v>
      </c>
      <c r="R421" s="64">
        <v>2</v>
      </c>
      <c r="S421" s="65"/>
      <c r="T421" s="72">
        <f t="shared" si="246"/>
        <v>2</v>
      </c>
      <c r="U421" s="124">
        <f t="shared" si="223"/>
        <v>17</v>
      </c>
      <c r="V421" s="119">
        <v>45803</v>
      </c>
      <c r="W421" s="116"/>
      <c r="AC421" s="6"/>
      <c r="AD421" s="26"/>
      <c r="AE421" s="123"/>
      <c r="AF421" s="43"/>
      <c r="AG421" s="59">
        <f t="shared" si="262"/>
        <v>0</v>
      </c>
      <c r="AH421" s="26"/>
      <c r="AI421" s="27"/>
      <c r="AJ421" s="28"/>
      <c r="AK421" s="59">
        <f t="shared" si="263"/>
        <v>0</v>
      </c>
      <c r="AL421" s="64"/>
      <c r="AM421" s="65"/>
      <c r="AN421" s="59">
        <f t="shared" si="264"/>
        <v>0</v>
      </c>
      <c r="AO421" s="64"/>
      <c r="AP421" s="65"/>
      <c r="AQ421" s="72">
        <f t="shared" si="265"/>
        <v>0</v>
      </c>
      <c r="AR421" s="124">
        <f t="shared" si="228"/>
        <v>0</v>
      </c>
      <c r="AS421" s="116"/>
    </row>
    <row r="422" spans="2:45" x14ac:dyDescent="0.15">
      <c r="B422" s="6" t="s">
        <v>16</v>
      </c>
      <c r="C422" s="26"/>
      <c r="D422" s="27"/>
      <c r="E422" s="28"/>
      <c r="F422" s="7">
        <f t="shared" si="261"/>
        <v>0</v>
      </c>
      <c r="G422" s="26"/>
      <c r="H422" s="123"/>
      <c r="I422" s="43"/>
      <c r="J422" s="59">
        <f t="shared" si="243"/>
        <v>0</v>
      </c>
      <c r="K422" s="26"/>
      <c r="L422" s="27"/>
      <c r="M422" s="28"/>
      <c r="N422" s="59">
        <f t="shared" si="244"/>
        <v>0</v>
      </c>
      <c r="O422" s="64"/>
      <c r="P422" s="65"/>
      <c r="Q422" s="59">
        <f t="shared" si="245"/>
        <v>0</v>
      </c>
      <c r="R422" s="64">
        <v>1</v>
      </c>
      <c r="S422" s="65">
        <v>1</v>
      </c>
      <c r="T422" s="72">
        <f t="shared" si="246"/>
        <v>2</v>
      </c>
      <c r="U422" s="124">
        <f t="shared" si="223"/>
        <v>2</v>
      </c>
      <c r="V422" s="119">
        <v>45805</v>
      </c>
      <c r="W422" s="116"/>
      <c r="AC422" s="6"/>
      <c r="AD422" s="26"/>
      <c r="AE422" s="123"/>
      <c r="AF422" s="43"/>
      <c r="AG422" s="59">
        <f t="shared" si="262"/>
        <v>0</v>
      </c>
      <c r="AH422" s="26"/>
      <c r="AI422" s="27"/>
      <c r="AJ422" s="28"/>
      <c r="AK422" s="59">
        <f t="shared" si="263"/>
        <v>0</v>
      </c>
      <c r="AL422" s="64"/>
      <c r="AM422" s="65"/>
      <c r="AN422" s="59">
        <f t="shared" si="264"/>
        <v>0</v>
      </c>
      <c r="AO422" s="64"/>
      <c r="AP422" s="65"/>
      <c r="AQ422" s="72">
        <f t="shared" si="265"/>
        <v>0</v>
      </c>
      <c r="AR422" s="124">
        <f t="shared" si="228"/>
        <v>0</v>
      </c>
      <c r="AS422" s="116"/>
    </row>
    <row r="423" spans="2:45" x14ac:dyDescent="0.15">
      <c r="B423" s="6" t="s">
        <v>16</v>
      </c>
      <c r="C423" s="26"/>
      <c r="D423" s="27"/>
      <c r="E423" s="28">
        <v>1</v>
      </c>
      <c r="F423" s="7">
        <f t="shared" si="261"/>
        <v>1</v>
      </c>
      <c r="G423" s="26"/>
      <c r="H423" s="123"/>
      <c r="I423" s="43"/>
      <c r="J423" s="59">
        <f t="shared" si="243"/>
        <v>0</v>
      </c>
      <c r="K423" s="26"/>
      <c r="L423" s="27"/>
      <c r="M423" s="28"/>
      <c r="N423" s="59">
        <f t="shared" si="244"/>
        <v>0</v>
      </c>
      <c r="O423" s="64"/>
      <c r="P423" s="65">
        <v>1</v>
      </c>
      <c r="Q423" s="59">
        <f t="shared" si="245"/>
        <v>1</v>
      </c>
      <c r="R423" s="64">
        <v>1</v>
      </c>
      <c r="S423" s="65">
        <v>1</v>
      </c>
      <c r="T423" s="72">
        <f t="shared" si="246"/>
        <v>2</v>
      </c>
      <c r="U423" s="124">
        <f t="shared" si="223"/>
        <v>4</v>
      </c>
      <c r="V423" s="119">
        <v>45810</v>
      </c>
      <c r="W423" s="116"/>
      <c r="AC423" s="6"/>
      <c r="AD423" s="26"/>
      <c r="AE423" s="123"/>
      <c r="AF423" s="43"/>
      <c r="AG423" s="59">
        <f t="shared" si="262"/>
        <v>0</v>
      </c>
      <c r="AH423" s="26"/>
      <c r="AI423" s="27"/>
      <c r="AJ423" s="28"/>
      <c r="AK423" s="59">
        <f t="shared" si="263"/>
        <v>0</v>
      </c>
      <c r="AL423" s="64"/>
      <c r="AM423" s="65"/>
      <c r="AN423" s="59">
        <f t="shared" si="264"/>
        <v>0</v>
      </c>
      <c r="AO423" s="64"/>
      <c r="AP423" s="65"/>
      <c r="AQ423" s="72">
        <f t="shared" si="265"/>
        <v>0</v>
      </c>
      <c r="AR423" s="124">
        <f t="shared" si="228"/>
        <v>0</v>
      </c>
      <c r="AS423" s="116"/>
    </row>
    <row r="424" spans="2:45" x14ac:dyDescent="0.15">
      <c r="B424" s="6" t="s">
        <v>16</v>
      </c>
      <c r="C424" s="26">
        <v>1</v>
      </c>
      <c r="D424" s="27"/>
      <c r="E424" s="28">
        <v>1</v>
      </c>
      <c r="F424" s="7">
        <f t="shared" si="261"/>
        <v>2</v>
      </c>
      <c r="G424" s="26"/>
      <c r="H424" s="123"/>
      <c r="I424" s="43"/>
      <c r="J424" s="59">
        <f t="shared" si="243"/>
        <v>0</v>
      </c>
      <c r="K424" s="26"/>
      <c r="L424" s="27"/>
      <c r="M424" s="28"/>
      <c r="N424" s="59">
        <f t="shared" si="244"/>
        <v>0</v>
      </c>
      <c r="O424" s="64"/>
      <c r="P424" s="65"/>
      <c r="Q424" s="59">
        <f t="shared" si="245"/>
        <v>0</v>
      </c>
      <c r="R424" s="64"/>
      <c r="S424" s="65"/>
      <c r="T424" s="72">
        <f t="shared" si="246"/>
        <v>0</v>
      </c>
      <c r="U424" s="124">
        <f t="shared" si="223"/>
        <v>2</v>
      </c>
      <c r="V424" s="119">
        <v>45811</v>
      </c>
      <c r="W424" s="116"/>
      <c r="AC424" s="6"/>
      <c r="AD424" s="26"/>
      <c r="AE424" s="123"/>
      <c r="AF424" s="43"/>
      <c r="AG424" s="59">
        <f t="shared" si="262"/>
        <v>0</v>
      </c>
      <c r="AH424" s="26"/>
      <c r="AI424" s="27"/>
      <c r="AJ424" s="28"/>
      <c r="AK424" s="59">
        <f t="shared" si="263"/>
        <v>0</v>
      </c>
      <c r="AL424" s="64"/>
      <c r="AM424" s="65"/>
      <c r="AN424" s="59">
        <f t="shared" si="264"/>
        <v>0</v>
      </c>
      <c r="AO424" s="64"/>
      <c r="AP424" s="65"/>
      <c r="AQ424" s="72">
        <f t="shared" si="265"/>
        <v>0</v>
      </c>
      <c r="AR424" s="124">
        <f t="shared" si="228"/>
        <v>0</v>
      </c>
      <c r="AS424" s="116"/>
    </row>
    <row r="425" spans="2:45" x14ac:dyDescent="0.15">
      <c r="B425" s="6" t="s">
        <v>16</v>
      </c>
      <c r="C425" s="26"/>
      <c r="D425" s="27"/>
      <c r="E425" s="28"/>
      <c r="F425" s="7">
        <f t="shared" si="261"/>
        <v>0</v>
      </c>
      <c r="G425" s="26">
        <v>1</v>
      </c>
      <c r="H425" s="123"/>
      <c r="I425" s="43"/>
      <c r="J425" s="59">
        <f t="shared" si="243"/>
        <v>1</v>
      </c>
      <c r="K425" s="26">
        <v>1</v>
      </c>
      <c r="L425" s="27">
        <v>1</v>
      </c>
      <c r="M425" s="28">
        <v>1</v>
      </c>
      <c r="N425" s="59">
        <f t="shared" si="244"/>
        <v>3</v>
      </c>
      <c r="O425" s="64"/>
      <c r="P425" s="65"/>
      <c r="Q425" s="59">
        <f t="shared" si="245"/>
        <v>0</v>
      </c>
      <c r="R425" s="64"/>
      <c r="S425" s="65"/>
      <c r="T425" s="72">
        <f t="shared" si="246"/>
        <v>0</v>
      </c>
      <c r="U425" s="124">
        <f t="shared" si="223"/>
        <v>4</v>
      </c>
      <c r="V425" s="119">
        <v>45812</v>
      </c>
      <c r="W425" s="116"/>
      <c r="AC425" s="6"/>
      <c r="AD425" s="26"/>
      <c r="AE425" s="123"/>
      <c r="AF425" s="43"/>
      <c r="AG425" s="59">
        <f t="shared" si="262"/>
        <v>0</v>
      </c>
      <c r="AH425" s="26"/>
      <c r="AI425" s="27"/>
      <c r="AJ425" s="28"/>
      <c r="AK425" s="59">
        <f t="shared" si="263"/>
        <v>0</v>
      </c>
      <c r="AL425" s="64"/>
      <c r="AM425" s="65"/>
      <c r="AN425" s="59">
        <f t="shared" si="264"/>
        <v>0</v>
      </c>
      <c r="AO425" s="64"/>
      <c r="AP425" s="65"/>
      <c r="AQ425" s="72">
        <f t="shared" si="265"/>
        <v>0</v>
      </c>
      <c r="AR425" s="124">
        <f t="shared" si="228"/>
        <v>0</v>
      </c>
      <c r="AS425" s="116"/>
    </row>
    <row r="426" spans="2:45" x14ac:dyDescent="0.15">
      <c r="B426" s="6" t="s">
        <v>16</v>
      </c>
      <c r="C426" s="26"/>
      <c r="D426" s="27"/>
      <c r="E426" s="28"/>
      <c r="F426" s="7">
        <f t="shared" si="261"/>
        <v>0</v>
      </c>
      <c r="G426" s="26"/>
      <c r="H426" s="123"/>
      <c r="I426" s="43"/>
      <c r="J426" s="59">
        <f t="shared" si="243"/>
        <v>0</v>
      </c>
      <c r="K426" s="26"/>
      <c r="L426" s="27"/>
      <c r="M426" s="28"/>
      <c r="N426" s="59">
        <f t="shared" si="244"/>
        <v>0</v>
      </c>
      <c r="O426" s="64">
        <v>1</v>
      </c>
      <c r="P426" s="65"/>
      <c r="Q426" s="59">
        <f t="shared" si="245"/>
        <v>1</v>
      </c>
      <c r="R426" s="64"/>
      <c r="S426" s="65"/>
      <c r="T426" s="72">
        <f t="shared" si="246"/>
        <v>0</v>
      </c>
      <c r="U426" s="124">
        <f t="shared" si="223"/>
        <v>1</v>
      </c>
      <c r="V426" s="119">
        <v>45813</v>
      </c>
      <c r="W426" s="116"/>
      <c r="AC426" s="6"/>
      <c r="AD426" s="26"/>
      <c r="AE426" s="123"/>
      <c r="AF426" s="43"/>
      <c r="AG426" s="59">
        <f t="shared" si="262"/>
        <v>0</v>
      </c>
      <c r="AH426" s="26"/>
      <c r="AI426" s="27"/>
      <c r="AJ426" s="28"/>
      <c r="AK426" s="59">
        <f t="shared" si="263"/>
        <v>0</v>
      </c>
      <c r="AL426" s="64"/>
      <c r="AM426" s="65"/>
      <c r="AN426" s="59">
        <f t="shared" si="264"/>
        <v>0</v>
      </c>
      <c r="AO426" s="64"/>
      <c r="AP426" s="65"/>
      <c r="AQ426" s="72">
        <f t="shared" si="265"/>
        <v>0</v>
      </c>
      <c r="AR426" s="124">
        <f t="shared" si="228"/>
        <v>0</v>
      </c>
      <c r="AS426" s="116"/>
    </row>
    <row r="427" spans="2:45" x14ac:dyDescent="0.15">
      <c r="B427" s="6" t="s">
        <v>16</v>
      </c>
      <c r="C427" s="26">
        <f>1+1</f>
        <v>2</v>
      </c>
      <c r="D427" s="27"/>
      <c r="E427" s="28"/>
      <c r="F427" s="7">
        <f t="shared" si="261"/>
        <v>2</v>
      </c>
      <c r="G427" s="26">
        <f>2+1</f>
        <v>3</v>
      </c>
      <c r="H427" s="123">
        <v>1</v>
      </c>
      <c r="I427" s="43">
        <f>1+2</f>
        <v>3</v>
      </c>
      <c r="J427" s="59">
        <f t="shared" si="243"/>
        <v>7</v>
      </c>
      <c r="K427" s="26">
        <f>1+1+2</f>
        <v>4</v>
      </c>
      <c r="L427" s="27">
        <v>1</v>
      </c>
      <c r="M427" s="28"/>
      <c r="N427" s="59">
        <f t="shared" si="244"/>
        <v>5</v>
      </c>
      <c r="O427" s="64">
        <v>1</v>
      </c>
      <c r="P427" s="65">
        <v>1</v>
      </c>
      <c r="Q427" s="59">
        <f t="shared" si="245"/>
        <v>2</v>
      </c>
      <c r="R427" s="64">
        <v>1</v>
      </c>
      <c r="S427" s="65"/>
      <c r="T427" s="72">
        <f t="shared" si="246"/>
        <v>1</v>
      </c>
      <c r="U427" s="124">
        <f t="shared" si="223"/>
        <v>17</v>
      </c>
      <c r="V427" s="119">
        <v>45814</v>
      </c>
      <c r="W427" s="116"/>
      <c r="AC427" s="6"/>
      <c r="AD427" s="26"/>
      <c r="AE427" s="123"/>
      <c r="AF427" s="43"/>
      <c r="AG427" s="59">
        <f t="shared" si="262"/>
        <v>0</v>
      </c>
      <c r="AH427" s="26"/>
      <c r="AI427" s="27"/>
      <c r="AJ427" s="28"/>
      <c r="AK427" s="59">
        <f t="shared" si="263"/>
        <v>0</v>
      </c>
      <c r="AL427" s="64"/>
      <c r="AM427" s="65"/>
      <c r="AN427" s="59">
        <f t="shared" si="264"/>
        <v>0</v>
      </c>
      <c r="AO427" s="64"/>
      <c r="AP427" s="65"/>
      <c r="AQ427" s="72">
        <f t="shared" si="265"/>
        <v>0</v>
      </c>
      <c r="AR427" s="124">
        <f t="shared" si="228"/>
        <v>0</v>
      </c>
      <c r="AS427" s="116"/>
    </row>
    <row r="428" spans="2:45" x14ac:dyDescent="0.15">
      <c r="B428" s="6" t="s">
        <v>16</v>
      </c>
      <c r="C428" s="26">
        <v>2</v>
      </c>
      <c r="D428" s="27"/>
      <c r="E428" s="28"/>
      <c r="F428" s="7">
        <f t="shared" si="261"/>
        <v>2</v>
      </c>
      <c r="G428" s="26"/>
      <c r="H428" s="123">
        <v>1</v>
      </c>
      <c r="I428" s="43">
        <v>1</v>
      </c>
      <c r="J428" s="59">
        <f t="shared" si="243"/>
        <v>2</v>
      </c>
      <c r="K428" s="26"/>
      <c r="L428" s="27"/>
      <c r="M428" s="28">
        <v>1</v>
      </c>
      <c r="N428" s="59">
        <f t="shared" si="244"/>
        <v>1</v>
      </c>
      <c r="O428" s="64">
        <v>1</v>
      </c>
      <c r="P428" s="65"/>
      <c r="Q428" s="59">
        <f t="shared" si="245"/>
        <v>1</v>
      </c>
      <c r="R428" s="64">
        <v>1</v>
      </c>
      <c r="S428" s="65">
        <v>1</v>
      </c>
      <c r="T428" s="72">
        <f t="shared" si="246"/>
        <v>2</v>
      </c>
      <c r="U428" s="124">
        <f t="shared" si="223"/>
        <v>8</v>
      </c>
      <c r="V428" s="119">
        <v>45815</v>
      </c>
      <c r="W428" s="116"/>
      <c r="AC428" s="6"/>
      <c r="AD428" s="26"/>
      <c r="AE428" s="123"/>
      <c r="AF428" s="43"/>
      <c r="AG428" s="59">
        <f t="shared" si="262"/>
        <v>0</v>
      </c>
      <c r="AH428" s="26"/>
      <c r="AI428" s="27"/>
      <c r="AJ428" s="28"/>
      <c r="AK428" s="59">
        <f t="shared" si="263"/>
        <v>0</v>
      </c>
      <c r="AL428" s="64"/>
      <c r="AM428" s="65"/>
      <c r="AN428" s="59">
        <f t="shared" si="264"/>
        <v>0</v>
      </c>
      <c r="AO428" s="64"/>
      <c r="AP428" s="65"/>
      <c r="AQ428" s="72">
        <f t="shared" si="265"/>
        <v>0</v>
      </c>
      <c r="AR428" s="124">
        <f t="shared" si="228"/>
        <v>0</v>
      </c>
      <c r="AS428" s="116"/>
    </row>
    <row r="429" spans="2:45" x14ac:dyDescent="0.15">
      <c r="B429" s="6" t="s">
        <v>16</v>
      </c>
      <c r="C429" s="26"/>
      <c r="D429" s="27"/>
      <c r="E429" s="28"/>
      <c r="F429" s="7">
        <f t="shared" si="261"/>
        <v>0</v>
      </c>
      <c r="G429" s="26"/>
      <c r="H429" s="123"/>
      <c r="I429" s="43"/>
      <c r="J429" s="59">
        <f t="shared" si="243"/>
        <v>0</v>
      </c>
      <c r="K429" s="26">
        <v>1</v>
      </c>
      <c r="L429" s="27"/>
      <c r="M429" s="28"/>
      <c r="N429" s="59">
        <f t="shared" si="244"/>
        <v>1</v>
      </c>
      <c r="O429" s="64"/>
      <c r="P429" s="65"/>
      <c r="Q429" s="59">
        <f t="shared" si="245"/>
        <v>0</v>
      </c>
      <c r="R429" s="64">
        <v>2</v>
      </c>
      <c r="S429" s="65"/>
      <c r="T429" s="72">
        <f t="shared" si="246"/>
        <v>2</v>
      </c>
      <c r="U429" s="124">
        <f t="shared" si="223"/>
        <v>3</v>
      </c>
      <c r="V429" s="119">
        <v>45817</v>
      </c>
      <c r="W429" s="116"/>
      <c r="AC429" s="6"/>
      <c r="AD429" s="26"/>
      <c r="AE429" s="123"/>
      <c r="AF429" s="43"/>
      <c r="AG429" s="59">
        <f t="shared" si="262"/>
        <v>0</v>
      </c>
      <c r="AH429" s="26"/>
      <c r="AI429" s="27"/>
      <c r="AJ429" s="28"/>
      <c r="AK429" s="59">
        <f t="shared" si="263"/>
        <v>0</v>
      </c>
      <c r="AL429" s="64"/>
      <c r="AM429" s="65"/>
      <c r="AN429" s="59">
        <f t="shared" si="264"/>
        <v>0</v>
      </c>
      <c r="AO429" s="64"/>
      <c r="AP429" s="65"/>
      <c r="AQ429" s="72">
        <f t="shared" si="265"/>
        <v>0</v>
      </c>
      <c r="AR429" s="124">
        <f t="shared" si="228"/>
        <v>0</v>
      </c>
      <c r="AS429" s="116"/>
    </row>
    <row r="430" spans="2:45" x14ac:dyDescent="0.15">
      <c r="B430" s="6" t="s">
        <v>16</v>
      </c>
      <c r="C430" s="26"/>
      <c r="D430" s="27"/>
      <c r="E430" s="28">
        <v>1</v>
      </c>
      <c r="F430" s="7">
        <f t="shared" si="261"/>
        <v>1</v>
      </c>
      <c r="G430" s="26"/>
      <c r="H430" s="123">
        <v>1</v>
      </c>
      <c r="I430" s="43"/>
      <c r="J430" s="59">
        <f t="shared" si="243"/>
        <v>1</v>
      </c>
      <c r="K430" s="26"/>
      <c r="L430" s="27"/>
      <c r="M430" s="28">
        <f>1+1</f>
        <v>2</v>
      </c>
      <c r="N430" s="59">
        <f t="shared" si="244"/>
        <v>2</v>
      </c>
      <c r="O430" s="64">
        <v>1</v>
      </c>
      <c r="P430" s="65"/>
      <c r="Q430" s="59">
        <f t="shared" si="245"/>
        <v>1</v>
      </c>
      <c r="R430" s="64">
        <v>2</v>
      </c>
      <c r="S430" s="65">
        <v>1</v>
      </c>
      <c r="T430" s="72">
        <f t="shared" si="246"/>
        <v>3</v>
      </c>
      <c r="U430" s="124">
        <f t="shared" si="223"/>
        <v>8</v>
      </c>
      <c r="V430" s="119">
        <v>45818</v>
      </c>
      <c r="W430" s="116"/>
      <c r="AC430" s="6"/>
      <c r="AD430" s="26"/>
      <c r="AE430" s="123"/>
      <c r="AF430" s="43"/>
      <c r="AG430" s="59">
        <f t="shared" si="262"/>
        <v>0</v>
      </c>
      <c r="AH430" s="26"/>
      <c r="AI430" s="27"/>
      <c r="AJ430" s="28"/>
      <c r="AK430" s="59">
        <f t="shared" si="263"/>
        <v>0</v>
      </c>
      <c r="AL430" s="64"/>
      <c r="AM430" s="65"/>
      <c r="AN430" s="59">
        <f t="shared" si="264"/>
        <v>0</v>
      </c>
      <c r="AO430" s="64"/>
      <c r="AP430" s="65"/>
      <c r="AQ430" s="72">
        <f t="shared" si="265"/>
        <v>0</v>
      </c>
      <c r="AR430" s="124">
        <f t="shared" si="228"/>
        <v>0</v>
      </c>
      <c r="AS430" s="116"/>
    </row>
    <row r="431" spans="2:45" x14ac:dyDescent="0.15">
      <c r="B431" s="6" t="s">
        <v>16</v>
      </c>
      <c r="C431" s="26">
        <v>2</v>
      </c>
      <c r="D431" s="27"/>
      <c r="E431" s="28">
        <v>1</v>
      </c>
      <c r="F431" s="7">
        <f t="shared" si="261"/>
        <v>3</v>
      </c>
      <c r="G431" s="26"/>
      <c r="H431" s="123"/>
      <c r="I431" s="43"/>
      <c r="J431" s="59">
        <f t="shared" si="243"/>
        <v>0</v>
      </c>
      <c r="K431" s="26"/>
      <c r="L431" s="27">
        <v>1</v>
      </c>
      <c r="M431" s="28"/>
      <c r="N431" s="59">
        <f t="shared" si="244"/>
        <v>1</v>
      </c>
      <c r="O431" s="64">
        <v>1</v>
      </c>
      <c r="P431" s="65">
        <v>2</v>
      </c>
      <c r="Q431" s="59">
        <f t="shared" si="245"/>
        <v>3</v>
      </c>
      <c r="R431" s="64"/>
      <c r="S431" s="65"/>
      <c r="T431" s="72">
        <f t="shared" si="246"/>
        <v>0</v>
      </c>
      <c r="U431" s="124">
        <f t="shared" si="223"/>
        <v>7</v>
      </c>
      <c r="V431" s="119">
        <v>45819</v>
      </c>
      <c r="W431" s="116"/>
      <c r="AC431" s="6"/>
      <c r="AD431" s="26"/>
      <c r="AE431" s="123"/>
      <c r="AF431" s="43"/>
      <c r="AG431" s="59">
        <f t="shared" si="262"/>
        <v>0</v>
      </c>
      <c r="AH431" s="26"/>
      <c r="AI431" s="27"/>
      <c r="AJ431" s="28"/>
      <c r="AK431" s="59">
        <f t="shared" si="263"/>
        <v>0</v>
      </c>
      <c r="AL431" s="64"/>
      <c r="AM431" s="65"/>
      <c r="AN431" s="59">
        <f t="shared" si="264"/>
        <v>0</v>
      </c>
      <c r="AO431" s="64"/>
      <c r="AP431" s="65"/>
      <c r="AQ431" s="72">
        <f t="shared" si="265"/>
        <v>0</v>
      </c>
      <c r="AR431" s="124">
        <f t="shared" si="228"/>
        <v>0</v>
      </c>
      <c r="AS431" s="116"/>
    </row>
    <row r="432" spans="2:45" x14ac:dyDescent="0.15">
      <c r="B432" s="6" t="s">
        <v>16</v>
      </c>
      <c r="C432" s="26"/>
      <c r="D432" s="27"/>
      <c r="E432" s="28">
        <f>1+1</f>
        <v>2</v>
      </c>
      <c r="F432" s="7">
        <f t="shared" si="261"/>
        <v>2</v>
      </c>
      <c r="G432" s="26">
        <v>1</v>
      </c>
      <c r="H432" s="123">
        <v>1</v>
      </c>
      <c r="I432" s="43">
        <v>1</v>
      </c>
      <c r="J432" s="59">
        <f t="shared" si="243"/>
        <v>3</v>
      </c>
      <c r="K432" s="26">
        <v>1</v>
      </c>
      <c r="L432" s="27">
        <v>1</v>
      </c>
      <c r="M432" s="28"/>
      <c r="N432" s="59">
        <f t="shared" si="244"/>
        <v>2</v>
      </c>
      <c r="O432" s="64">
        <v>5</v>
      </c>
      <c r="P432" s="65">
        <f>1+3</f>
        <v>4</v>
      </c>
      <c r="Q432" s="59">
        <f t="shared" si="245"/>
        <v>9</v>
      </c>
      <c r="R432" s="64"/>
      <c r="S432" s="65">
        <v>1</v>
      </c>
      <c r="T432" s="72">
        <f t="shared" si="246"/>
        <v>1</v>
      </c>
      <c r="U432" s="124">
        <f t="shared" si="223"/>
        <v>17</v>
      </c>
      <c r="V432" s="119">
        <v>45824</v>
      </c>
      <c r="W432" s="116"/>
      <c r="AC432" s="6"/>
      <c r="AD432" s="26"/>
      <c r="AE432" s="123"/>
      <c r="AF432" s="43"/>
      <c r="AG432" s="59">
        <f t="shared" si="262"/>
        <v>0</v>
      </c>
      <c r="AH432" s="26"/>
      <c r="AI432" s="27"/>
      <c r="AJ432" s="28"/>
      <c r="AK432" s="59">
        <f t="shared" si="263"/>
        <v>0</v>
      </c>
      <c r="AL432" s="64"/>
      <c r="AM432" s="65"/>
      <c r="AN432" s="59">
        <f t="shared" si="264"/>
        <v>0</v>
      </c>
      <c r="AO432" s="64"/>
      <c r="AP432" s="65"/>
      <c r="AQ432" s="72">
        <f t="shared" si="265"/>
        <v>0</v>
      </c>
      <c r="AR432" s="124">
        <f t="shared" si="228"/>
        <v>0</v>
      </c>
      <c r="AS432" s="116"/>
    </row>
    <row r="433" spans="2:45" x14ac:dyDescent="0.15">
      <c r="B433" s="6" t="s">
        <v>16</v>
      </c>
      <c r="C433" s="26">
        <v>2</v>
      </c>
      <c r="D433" s="27"/>
      <c r="E433" s="28">
        <v>3</v>
      </c>
      <c r="F433" s="7">
        <f t="shared" si="261"/>
        <v>5</v>
      </c>
      <c r="G433" s="26"/>
      <c r="H433" s="123">
        <v>1</v>
      </c>
      <c r="I433" s="43">
        <v>1</v>
      </c>
      <c r="J433" s="59">
        <f t="shared" si="243"/>
        <v>2</v>
      </c>
      <c r="K433" s="26">
        <v>1</v>
      </c>
      <c r="L433" s="27"/>
      <c r="M433" s="28"/>
      <c r="N433" s="59">
        <f t="shared" si="244"/>
        <v>1</v>
      </c>
      <c r="O433" s="64"/>
      <c r="P433" s="65"/>
      <c r="Q433" s="59">
        <f t="shared" si="245"/>
        <v>0</v>
      </c>
      <c r="R433" s="64"/>
      <c r="S433" s="65"/>
      <c r="T433" s="72">
        <f t="shared" si="246"/>
        <v>0</v>
      </c>
      <c r="U433" s="124">
        <f t="shared" si="223"/>
        <v>8</v>
      </c>
      <c r="V433" s="119">
        <v>45825</v>
      </c>
      <c r="W433" s="116"/>
      <c r="AC433" s="6"/>
      <c r="AD433" s="26"/>
      <c r="AE433" s="123"/>
      <c r="AF433" s="43"/>
      <c r="AG433" s="59">
        <f t="shared" si="262"/>
        <v>0</v>
      </c>
      <c r="AH433" s="26"/>
      <c r="AI433" s="27"/>
      <c r="AJ433" s="28"/>
      <c r="AK433" s="59">
        <f t="shared" si="263"/>
        <v>0</v>
      </c>
      <c r="AL433" s="64"/>
      <c r="AM433" s="65"/>
      <c r="AN433" s="59">
        <f t="shared" si="264"/>
        <v>0</v>
      </c>
      <c r="AO433" s="64"/>
      <c r="AP433" s="65"/>
      <c r="AQ433" s="72">
        <f t="shared" si="265"/>
        <v>0</v>
      </c>
      <c r="AR433" s="124">
        <f t="shared" si="228"/>
        <v>0</v>
      </c>
      <c r="AS433" s="116"/>
    </row>
    <row r="434" spans="2:45" x14ac:dyDescent="0.15">
      <c r="B434" s="6" t="s">
        <v>16</v>
      </c>
      <c r="C434" s="26">
        <v>1</v>
      </c>
      <c r="D434" s="27"/>
      <c r="E434" s="28">
        <v>2</v>
      </c>
      <c r="F434" s="7">
        <f t="shared" si="261"/>
        <v>3</v>
      </c>
      <c r="G434" s="26">
        <v>2</v>
      </c>
      <c r="H434" s="123">
        <v>1</v>
      </c>
      <c r="I434" s="43">
        <v>2</v>
      </c>
      <c r="J434" s="59">
        <f t="shared" si="243"/>
        <v>5</v>
      </c>
      <c r="K434" s="26"/>
      <c r="L434" s="27">
        <v>1</v>
      </c>
      <c r="M434" s="28"/>
      <c r="N434" s="59">
        <f t="shared" si="244"/>
        <v>1</v>
      </c>
      <c r="O434" s="64">
        <v>3</v>
      </c>
      <c r="P434" s="65">
        <v>1</v>
      </c>
      <c r="Q434" s="59">
        <f t="shared" si="245"/>
        <v>4</v>
      </c>
      <c r="R434" s="64">
        <v>2</v>
      </c>
      <c r="S434" s="65">
        <v>2</v>
      </c>
      <c r="T434" s="72">
        <f t="shared" si="246"/>
        <v>4</v>
      </c>
      <c r="U434" s="124">
        <f t="shared" si="223"/>
        <v>17</v>
      </c>
      <c r="V434" s="119">
        <v>45826</v>
      </c>
      <c r="W434" s="116"/>
      <c r="AC434" s="6"/>
      <c r="AD434" s="26"/>
      <c r="AE434" s="123"/>
      <c r="AF434" s="43"/>
      <c r="AG434" s="59">
        <f t="shared" si="262"/>
        <v>0</v>
      </c>
      <c r="AH434" s="26"/>
      <c r="AI434" s="27"/>
      <c r="AJ434" s="28"/>
      <c r="AK434" s="59">
        <f t="shared" si="263"/>
        <v>0</v>
      </c>
      <c r="AL434" s="64"/>
      <c r="AM434" s="65"/>
      <c r="AN434" s="59">
        <f t="shared" si="264"/>
        <v>0</v>
      </c>
      <c r="AO434" s="64"/>
      <c r="AP434" s="65"/>
      <c r="AQ434" s="72">
        <f t="shared" si="265"/>
        <v>0</v>
      </c>
      <c r="AR434" s="124">
        <f t="shared" si="228"/>
        <v>0</v>
      </c>
      <c r="AS434" s="116"/>
    </row>
    <row r="435" spans="2:45" x14ac:dyDescent="0.15">
      <c r="B435" s="6" t="s">
        <v>16</v>
      </c>
      <c r="C435" s="26"/>
      <c r="D435" s="27"/>
      <c r="E435" s="28">
        <f>2+1</f>
        <v>3</v>
      </c>
      <c r="F435" s="7">
        <f t="shared" si="261"/>
        <v>3</v>
      </c>
      <c r="G435" s="26"/>
      <c r="H435" s="123"/>
      <c r="I435" s="43"/>
      <c r="J435" s="59">
        <f t="shared" si="243"/>
        <v>0</v>
      </c>
      <c r="K435" s="26"/>
      <c r="L435" s="27"/>
      <c r="M435" s="28">
        <f>1+1+1</f>
        <v>3</v>
      </c>
      <c r="N435" s="59">
        <f t="shared" si="244"/>
        <v>3</v>
      </c>
      <c r="O435" s="64"/>
      <c r="P435" s="65">
        <v>1</v>
      </c>
      <c r="Q435" s="59">
        <f t="shared" si="245"/>
        <v>1</v>
      </c>
      <c r="R435" s="64">
        <v>1</v>
      </c>
      <c r="S435" s="65">
        <v>1</v>
      </c>
      <c r="T435" s="72">
        <f t="shared" si="246"/>
        <v>2</v>
      </c>
      <c r="U435" s="124">
        <f t="shared" si="223"/>
        <v>9</v>
      </c>
      <c r="V435" s="119">
        <v>45827</v>
      </c>
      <c r="W435" s="116"/>
      <c r="AC435" s="6"/>
      <c r="AD435" s="26"/>
      <c r="AE435" s="123"/>
      <c r="AF435" s="43"/>
      <c r="AG435" s="59">
        <f t="shared" si="262"/>
        <v>0</v>
      </c>
      <c r="AH435" s="26"/>
      <c r="AI435" s="27"/>
      <c r="AJ435" s="28"/>
      <c r="AK435" s="59">
        <f t="shared" si="263"/>
        <v>0</v>
      </c>
      <c r="AL435" s="64"/>
      <c r="AM435" s="65"/>
      <c r="AN435" s="59">
        <f t="shared" si="264"/>
        <v>0</v>
      </c>
      <c r="AO435" s="64"/>
      <c r="AP435" s="65"/>
      <c r="AQ435" s="72">
        <f t="shared" si="265"/>
        <v>0</v>
      </c>
      <c r="AR435" s="124">
        <f t="shared" si="228"/>
        <v>0</v>
      </c>
      <c r="AS435" s="116"/>
    </row>
    <row r="436" spans="2:45" x14ac:dyDescent="0.15">
      <c r="B436" s="6" t="s">
        <v>16</v>
      </c>
      <c r="C436" s="26">
        <v>1</v>
      </c>
      <c r="D436" s="27"/>
      <c r="E436" s="28"/>
      <c r="F436" s="7">
        <f t="shared" si="261"/>
        <v>1</v>
      </c>
      <c r="G436" s="26"/>
      <c r="H436" s="123">
        <v>2</v>
      </c>
      <c r="I436" s="43">
        <v>1</v>
      </c>
      <c r="J436" s="59">
        <f t="shared" si="243"/>
        <v>3</v>
      </c>
      <c r="K436" s="26"/>
      <c r="L436" s="27">
        <v>2</v>
      </c>
      <c r="M436" s="28"/>
      <c r="N436" s="59">
        <f t="shared" si="244"/>
        <v>2</v>
      </c>
      <c r="O436" s="64">
        <v>1</v>
      </c>
      <c r="P436" s="65">
        <v>1</v>
      </c>
      <c r="Q436" s="59">
        <f t="shared" si="245"/>
        <v>2</v>
      </c>
      <c r="R436" s="64"/>
      <c r="S436" s="65">
        <v>1</v>
      </c>
      <c r="T436" s="72">
        <f t="shared" si="246"/>
        <v>1</v>
      </c>
      <c r="U436" s="124">
        <f t="shared" si="223"/>
        <v>9</v>
      </c>
      <c r="V436" s="119">
        <v>45828</v>
      </c>
      <c r="W436" s="116"/>
      <c r="AC436" s="6"/>
      <c r="AD436" s="26"/>
      <c r="AE436" s="123"/>
      <c r="AF436" s="43"/>
      <c r="AG436" s="59">
        <f t="shared" si="262"/>
        <v>0</v>
      </c>
      <c r="AH436" s="26"/>
      <c r="AI436" s="27"/>
      <c r="AJ436" s="28"/>
      <c r="AK436" s="59">
        <f t="shared" si="263"/>
        <v>0</v>
      </c>
      <c r="AL436" s="64"/>
      <c r="AM436" s="65"/>
      <c r="AN436" s="59">
        <f t="shared" si="264"/>
        <v>0</v>
      </c>
      <c r="AO436" s="64"/>
      <c r="AP436" s="65"/>
      <c r="AQ436" s="72">
        <f t="shared" si="265"/>
        <v>0</v>
      </c>
      <c r="AR436" s="124">
        <f t="shared" si="228"/>
        <v>0</v>
      </c>
      <c r="AS436" s="116"/>
    </row>
    <row r="437" spans="2:45" ht="14.25" thickBot="1" x14ac:dyDescent="0.2">
      <c r="B437" s="6" t="s">
        <v>16</v>
      </c>
      <c r="C437" s="26"/>
      <c r="D437" s="27"/>
      <c r="E437" s="28"/>
      <c r="F437" s="7">
        <f t="shared" si="261"/>
        <v>0</v>
      </c>
      <c r="G437" s="29"/>
      <c r="H437" s="126"/>
      <c r="I437" s="44"/>
      <c r="J437" s="125">
        <f t="shared" si="243"/>
        <v>0</v>
      </c>
      <c r="K437" s="29"/>
      <c r="L437" s="30"/>
      <c r="M437" s="31">
        <v>1</v>
      </c>
      <c r="N437" s="125">
        <f t="shared" si="244"/>
        <v>1</v>
      </c>
      <c r="O437" s="66">
        <v>2</v>
      </c>
      <c r="P437" s="67">
        <v>2</v>
      </c>
      <c r="Q437" s="125">
        <f t="shared" si="245"/>
        <v>4</v>
      </c>
      <c r="R437" s="66"/>
      <c r="S437" s="67"/>
      <c r="T437" s="127">
        <f t="shared" si="246"/>
        <v>0</v>
      </c>
      <c r="U437" s="128">
        <f t="shared" si="223"/>
        <v>5</v>
      </c>
      <c r="V437" s="119">
        <v>45829</v>
      </c>
      <c r="W437" s="116"/>
      <c r="AC437" s="6"/>
      <c r="AD437" s="29"/>
      <c r="AE437" s="126"/>
      <c r="AF437" s="44"/>
      <c r="AG437" s="125">
        <f t="shared" si="262"/>
        <v>0</v>
      </c>
      <c r="AH437" s="29"/>
      <c r="AI437" s="30"/>
      <c r="AJ437" s="31"/>
      <c r="AK437" s="125">
        <f t="shared" si="263"/>
        <v>0</v>
      </c>
      <c r="AL437" s="66"/>
      <c r="AM437" s="67"/>
      <c r="AN437" s="125">
        <f t="shared" si="264"/>
        <v>0</v>
      </c>
      <c r="AO437" s="66"/>
      <c r="AP437" s="67"/>
      <c r="AQ437" s="127">
        <f t="shared" si="265"/>
        <v>0</v>
      </c>
      <c r="AR437" s="128">
        <f t="shared" si="228"/>
        <v>0</v>
      </c>
      <c r="AS437" s="116"/>
    </row>
    <row r="438" spans="2:45" ht="14.25" thickBot="1" x14ac:dyDescent="0.2">
      <c r="B438" s="5" t="s">
        <v>2</v>
      </c>
      <c r="C438" s="32">
        <f>SUM(C413:C437)</f>
        <v>13</v>
      </c>
      <c r="D438" s="33">
        <f t="shared" ref="D438:U438" si="270">SUM(D413:D437)</f>
        <v>3</v>
      </c>
      <c r="E438" s="34">
        <f t="shared" si="270"/>
        <v>17</v>
      </c>
      <c r="F438" s="4">
        <f t="shared" si="270"/>
        <v>33</v>
      </c>
      <c r="G438" s="32">
        <f t="shared" si="270"/>
        <v>12</v>
      </c>
      <c r="H438" s="132">
        <f t="shared" si="270"/>
        <v>9</v>
      </c>
      <c r="I438" s="34">
        <f t="shared" si="270"/>
        <v>13</v>
      </c>
      <c r="J438" s="4">
        <f t="shared" si="270"/>
        <v>34</v>
      </c>
      <c r="K438" s="32">
        <f t="shared" si="270"/>
        <v>14</v>
      </c>
      <c r="L438" s="33">
        <f t="shared" si="270"/>
        <v>11</v>
      </c>
      <c r="M438" s="34">
        <f t="shared" si="270"/>
        <v>13</v>
      </c>
      <c r="N438" s="4">
        <f t="shared" si="270"/>
        <v>38</v>
      </c>
      <c r="O438" s="68">
        <f t="shared" si="270"/>
        <v>25</v>
      </c>
      <c r="P438" s="69">
        <f t="shared" si="270"/>
        <v>22</v>
      </c>
      <c r="Q438" s="4">
        <f t="shared" si="270"/>
        <v>47</v>
      </c>
      <c r="R438" s="68">
        <f t="shared" si="270"/>
        <v>15</v>
      </c>
      <c r="S438" s="69">
        <f t="shared" si="270"/>
        <v>13</v>
      </c>
      <c r="T438" s="58">
        <f t="shared" si="270"/>
        <v>28</v>
      </c>
      <c r="U438" s="88">
        <f t="shared" si="270"/>
        <v>180</v>
      </c>
      <c r="V438" s="116"/>
      <c r="W438" s="116"/>
      <c r="AC438" s="5" t="s">
        <v>2</v>
      </c>
      <c r="AD438" s="32">
        <f t="shared" ref="AD438:AF438" si="271">SUM(AD413:AD437)</f>
        <v>50</v>
      </c>
      <c r="AE438" s="132">
        <f t="shared" si="271"/>
        <v>30</v>
      </c>
      <c r="AF438" s="34">
        <f t="shared" si="271"/>
        <v>60</v>
      </c>
      <c r="AG438" s="4">
        <f t="shared" si="262"/>
        <v>140</v>
      </c>
      <c r="AH438" s="32">
        <f>SUM(AH413:AH437)</f>
        <v>30</v>
      </c>
      <c r="AI438" s="33">
        <f t="shared" ref="AI438:AJ438" si="272">SUM(AI413:AI437)</f>
        <v>0</v>
      </c>
      <c r="AJ438" s="34">
        <f t="shared" si="272"/>
        <v>20</v>
      </c>
      <c r="AK438" s="4">
        <f t="shared" si="263"/>
        <v>50</v>
      </c>
      <c r="AL438" s="68">
        <f t="shared" ref="AL438:AM438" si="273">SUM(AL413:AL437)</f>
        <v>60</v>
      </c>
      <c r="AM438" s="69">
        <f t="shared" si="273"/>
        <v>60</v>
      </c>
      <c r="AN438" s="4">
        <f t="shared" si="264"/>
        <v>120</v>
      </c>
      <c r="AO438" s="68">
        <f>SUM(AO413:AO437)</f>
        <v>10</v>
      </c>
      <c r="AP438" s="69">
        <f t="shared" ref="AP438" si="274">SUM(AP413:AP437)</f>
        <v>10</v>
      </c>
      <c r="AQ438" s="58">
        <f t="shared" si="265"/>
        <v>20</v>
      </c>
      <c r="AR438" s="88">
        <f t="shared" si="228"/>
        <v>330</v>
      </c>
      <c r="AS438" s="116"/>
    </row>
    <row r="439" spans="2:45" ht="14.25" thickBot="1" x14ac:dyDescent="0.2">
      <c r="B439" s="3" t="s">
        <v>3</v>
      </c>
      <c r="C439" s="38">
        <f>+C412-C438</f>
        <v>8</v>
      </c>
      <c r="D439" s="39">
        <f t="shared" ref="D439:U439" si="275">+D412-D438</f>
        <v>4</v>
      </c>
      <c r="E439" s="40">
        <f t="shared" si="275"/>
        <v>5</v>
      </c>
      <c r="F439" s="2">
        <f t="shared" si="275"/>
        <v>17</v>
      </c>
      <c r="G439" s="70">
        <f t="shared" si="275"/>
        <v>36</v>
      </c>
      <c r="H439" s="86">
        <f t="shared" si="275"/>
        <v>51</v>
      </c>
      <c r="I439" s="85">
        <f t="shared" si="275"/>
        <v>36</v>
      </c>
      <c r="J439" s="61">
        <f t="shared" si="275"/>
        <v>123</v>
      </c>
      <c r="K439" s="70">
        <f t="shared" si="275"/>
        <v>43</v>
      </c>
      <c r="L439" s="84">
        <f t="shared" si="275"/>
        <v>40</v>
      </c>
      <c r="M439" s="85">
        <f t="shared" si="275"/>
        <v>37</v>
      </c>
      <c r="N439" s="61">
        <f t="shared" si="275"/>
        <v>120</v>
      </c>
      <c r="O439" s="81">
        <f t="shared" si="275"/>
        <v>34</v>
      </c>
      <c r="P439" s="71">
        <f t="shared" si="275"/>
        <v>36</v>
      </c>
      <c r="Q439" s="61">
        <f t="shared" si="275"/>
        <v>70</v>
      </c>
      <c r="R439" s="81">
        <f t="shared" si="275"/>
        <v>43</v>
      </c>
      <c r="S439" s="71">
        <f t="shared" si="275"/>
        <v>45</v>
      </c>
      <c r="T439" s="73">
        <f t="shared" si="275"/>
        <v>88</v>
      </c>
      <c r="U439" s="88">
        <f t="shared" si="275"/>
        <v>418</v>
      </c>
      <c r="V439" s="116"/>
      <c r="W439" s="116"/>
      <c r="AC439" s="3" t="s">
        <v>3</v>
      </c>
      <c r="AD439" s="70">
        <f>+AD412-AD438</f>
        <v>0</v>
      </c>
      <c r="AE439" s="86">
        <f>+AE412-AE438</f>
        <v>50</v>
      </c>
      <c r="AF439" s="85">
        <f t="shared" ref="AF439" si="276">+AF412-AF438</f>
        <v>20</v>
      </c>
      <c r="AG439" s="61">
        <f t="shared" si="262"/>
        <v>70</v>
      </c>
      <c r="AH439" s="70">
        <f>+AH412-AH438</f>
        <v>20</v>
      </c>
      <c r="AI439" s="84">
        <f t="shared" ref="AI439:AJ439" si="277">+AI412-AI438</f>
        <v>50</v>
      </c>
      <c r="AJ439" s="85">
        <f t="shared" si="277"/>
        <v>30</v>
      </c>
      <c r="AK439" s="61">
        <f t="shared" si="263"/>
        <v>100</v>
      </c>
      <c r="AL439" s="81">
        <f>+AL412-AL438</f>
        <v>40</v>
      </c>
      <c r="AM439" s="71">
        <f>+AM412-AM438</f>
        <v>40</v>
      </c>
      <c r="AN439" s="61">
        <f t="shared" si="264"/>
        <v>80</v>
      </c>
      <c r="AO439" s="81">
        <f>+AO412-AO438</f>
        <v>40</v>
      </c>
      <c r="AP439" s="71">
        <f t="shared" ref="AP439" si="278">+AP412-AP438</f>
        <v>40</v>
      </c>
      <c r="AQ439" s="73">
        <f t="shared" si="265"/>
        <v>80</v>
      </c>
      <c r="AR439" s="88">
        <f t="shared" si="228"/>
        <v>330</v>
      </c>
      <c r="AS439" s="116"/>
    </row>
    <row r="442" spans="2:45" ht="18.75" x14ac:dyDescent="0.2">
      <c r="B442" s="89" t="s">
        <v>7</v>
      </c>
      <c r="C442" s="90"/>
      <c r="D442" s="90"/>
      <c r="E442" s="90"/>
      <c r="F442" s="90"/>
      <c r="G442" s="90"/>
      <c r="H442" s="90"/>
      <c r="I442" s="90"/>
      <c r="J442" s="90"/>
      <c r="K442" s="90"/>
      <c r="L442" s="90"/>
      <c r="M442" s="90"/>
      <c r="N442" s="90"/>
      <c r="O442" s="89"/>
      <c r="P442" s="90"/>
      <c r="Q442" s="90"/>
      <c r="R442" s="90"/>
      <c r="S442" s="90"/>
      <c r="T442" s="90"/>
      <c r="U442" s="90"/>
      <c r="V442" s="90"/>
      <c r="W442" s="90"/>
      <c r="X442" s="90"/>
      <c r="Y442" s="90"/>
      <c r="Z442" s="90"/>
      <c r="AA442" s="90"/>
      <c r="AC442" s="89" t="s">
        <v>7</v>
      </c>
      <c r="AD442" s="90"/>
      <c r="AE442" s="90"/>
      <c r="AF442" s="90"/>
      <c r="AG442" s="90"/>
      <c r="AH442" s="90"/>
      <c r="AI442" s="89"/>
      <c r="AJ442" s="90"/>
      <c r="AK442" s="90"/>
      <c r="AL442" s="90"/>
      <c r="AM442" s="90"/>
      <c r="AN442" s="90"/>
      <c r="AO442" s="90"/>
      <c r="AP442" s="90"/>
      <c r="AQ442" s="90"/>
      <c r="AR442" s="90"/>
      <c r="AS442" s="90"/>
    </row>
    <row r="443" spans="2:45" ht="18" thickBot="1" x14ac:dyDescent="0.25">
      <c r="B443" s="91" t="s">
        <v>70</v>
      </c>
      <c r="C443" s="90"/>
      <c r="D443" s="90"/>
      <c r="E443" s="90"/>
      <c r="F443" s="90"/>
      <c r="G443" s="90"/>
      <c r="H443" s="90"/>
      <c r="I443" s="91"/>
      <c r="J443" s="90"/>
      <c r="K443" s="90"/>
      <c r="L443" s="90"/>
      <c r="M443" s="90"/>
      <c r="N443" s="90"/>
      <c r="O443" s="91"/>
      <c r="P443" s="90"/>
      <c r="Q443" s="90"/>
      <c r="R443" s="90"/>
      <c r="S443" s="90"/>
      <c r="T443" s="90"/>
      <c r="U443" s="91"/>
      <c r="V443" s="91"/>
      <c r="W443" s="91"/>
      <c r="X443" s="91"/>
      <c r="Y443" s="90"/>
      <c r="Z443" s="90"/>
      <c r="AA443" s="90"/>
      <c r="AC443" s="91" t="s">
        <v>70</v>
      </c>
      <c r="AD443" s="90"/>
      <c r="AE443" s="90"/>
      <c r="AF443" s="90"/>
      <c r="AG443" s="90"/>
      <c r="AH443" s="90"/>
      <c r="AI443" s="91"/>
      <c r="AJ443" s="90"/>
      <c r="AK443" s="90"/>
      <c r="AL443" s="90"/>
      <c r="AM443" s="90"/>
      <c r="AN443" s="90"/>
      <c r="AO443" s="91"/>
      <c r="AP443" s="91"/>
      <c r="AQ443" s="91"/>
      <c r="AR443" s="91"/>
      <c r="AS443" s="90"/>
    </row>
    <row r="444" spans="2:45" ht="14.25" thickBot="1" x14ac:dyDescent="0.2">
      <c r="B444" s="92"/>
      <c r="C444" s="205" t="s">
        <v>8</v>
      </c>
      <c r="D444" s="206"/>
      <c r="E444" s="206"/>
      <c r="F444" s="207"/>
      <c r="G444" s="205" t="s">
        <v>63</v>
      </c>
      <c r="H444" s="206"/>
      <c r="I444" s="206"/>
      <c r="J444" s="206"/>
      <c r="K444" s="205" t="s">
        <v>61</v>
      </c>
      <c r="L444" s="206"/>
      <c r="M444" s="206"/>
      <c r="N444" s="207"/>
      <c r="O444" s="205" t="s">
        <v>65</v>
      </c>
      <c r="P444" s="206"/>
      <c r="Q444" s="207"/>
      <c r="R444" s="208" t="s">
        <v>68</v>
      </c>
      <c r="S444" s="209"/>
      <c r="T444" s="210"/>
      <c r="U444" s="93"/>
      <c r="V444" s="116"/>
      <c r="AC444" s="92"/>
      <c r="AD444" s="205" t="s">
        <v>63</v>
      </c>
      <c r="AE444" s="206"/>
      <c r="AF444" s="206"/>
      <c r="AG444" s="206"/>
      <c r="AH444" s="205" t="s">
        <v>61</v>
      </c>
      <c r="AI444" s="206"/>
      <c r="AJ444" s="206"/>
      <c r="AK444" s="207"/>
      <c r="AL444" s="205" t="s">
        <v>65</v>
      </c>
      <c r="AM444" s="206"/>
      <c r="AN444" s="207"/>
      <c r="AO444" s="208" t="s">
        <v>68</v>
      </c>
      <c r="AP444" s="209"/>
      <c r="AQ444" s="210"/>
      <c r="AR444" s="93"/>
      <c r="AS444" s="116"/>
    </row>
    <row r="445" spans="2:45" ht="14.25" thickBot="1" x14ac:dyDescent="0.2">
      <c r="B445" s="94"/>
      <c r="C445" s="95" t="s">
        <v>6</v>
      </c>
      <c r="D445" s="96" t="s">
        <v>9</v>
      </c>
      <c r="E445" s="97" t="s">
        <v>10</v>
      </c>
      <c r="F445" s="98" t="s">
        <v>0</v>
      </c>
      <c r="G445" s="104" t="s">
        <v>9</v>
      </c>
      <c r="H445" s="107" t="s">
        <v>50</v>
      </c>
      <c r="I445" s="108" t="s">
        <v>6</v>
      </c>
      <c r="J445" s="94" t="s">
        <v>0</v>
      </c>
      <c r="K445" s="104" t="s">
        <v>9</v>
      </c>
      <c r="L445" s="105" t="s">
        <v>13</v>
      </c>
      <c r="M445" s="106" t="s">
        <v>62</v>
      </c>
      <c r="N445" s="98" t="s">
        <v>0</v>
      </c>
      <c r="O445" s="109" t="s">
        <v>69</v>
      </c>
      <c r="P445" s="110" t="s">
        <v>10</v>
      </c>
      <c r="Q445" s="103" t="s">
        <v>0</v>
      </c>
      <c r="R445" s="111" t="s">
        <v>62</v>
      </c>
      <c r="S445" s="110" t="s">
        <v>10</v>
      </c>
      <c r="T445" s="103" t="s">
        <v>0</v>
      </c>
      <c r="U445" s="112" t="s">
        <v>0</v>
      </c>
      <c r="V445" s="116"/>
      <c r="AC445" s="94"/>
      <c r="AD445" s="104" t="s">
        <v>9</v>
      </c>
      <c r="AE445" s="107" t="s">
        <v>50</v>
      </c>
      <c r="AF445" s="108" t="s">
        <v>6</v>
      </c>
      <c r="AG445" s="94" t="s">
        <v>0</v>
      </c>
      <c r="AH445" s="104" t="s">
        <v>9</v>
      </c>
      <c r="AI445" s="105" t="s">
        <v>13</v>
      </c>
      <c r="AJ445" s="106" t="s">
        <v>62</v>
      </c>
      <c r="AK445" s="98" t="s">
        <v>0</v>
      </c>
      <c r="AL445" s="109" t="s">
        <v>69</v>
      </c>
      <c r="AM445" s="110" t="s">
        <v>10</v>
      </c>
      <c r="AN445" s="103" t="s">
        <v>0</v>
      </c>
      <c r="AO445" s="111" t="s">
        <v>62</v>
      </c>
      <c r="AP445" s="110" t="s">
        <v>10</v>
      </c>
      <c r="AQ445" s="103" t="s">
        <v>0</v>
      </c>
      <c r="AR445" s="112" t="s">
        <v>0</v>
      </c>
      <c r="AS445" s="116"/>
    </row>
    <row r="446" spans="2:45" x14ac:dyDescent="0.15">
      <c r="B446" s="46" t="s">
        <v>3</v>
      </c>
      <c r="C446" s="47">
        <f>C439</f>
        <v>8</v>
      </c>
      <c r="D446" s="50">
        <f t="shared" ref="D446:U446" si="279">D439</f>
        <v>4</v>
      </c>
      <c r="E446" s="48">
        <f t="shared" si="279"/>
        <v>5</v>
      </c>
      <c r="F446" s="49">
        <f t="shared" si="279"/>
        <v>17</v>
      </c>
      <c r="G446" s="47">
        <f t="shared" si="279"/>
        <v>36</v>
      </c>
      <c r="H446" s="79">
        <f t="shared" si="279"/>
        <v>51</v>
      </c>
      <c r="I446" s="48">
        <f t="shared" si="279"/>
        <v>36</v>
      </c>
      <c r="J446" s="49">
        <f t="shared" si="279"/>
        <v>123</v>
      </c>
      <c r="K446" s="47">
        <f t="shared" si="279"/>
        <v>43</v>
      </c>
      <c r="L446" s="50">
        <f t="shared" si="279"/>
        <v>40</v>
      </c>
      <c r="M446" s="48">
        <f t="shared" si="279"/>
        <v>37</v>
      </c>
      <c r="N446" s="49">
        <f t="shared" si="279"/>
        <v>120</v>
      </c>
      <c r="O446" s="83">
        <f t="shared" si="279"/>
        <v>34</v>
      </c>
      <c r="P446" s="82">
        <f t="shared" si="279"/>
        <v>36</v>
      </c>
      <c r="Q446" s="74">
        <f t="shared" si="279"/>
        <v>70</v>
      </c>
      <c r="R446" s="80">
        <f t="shared" si="279"/>
        <v>43</v>
      </c>
      <c r="S446" s="48">
        <f t="shared" si="279"/>
        <v>45</v>
      </c>
      <c r="T446" s="87">
        <f t="shared" si="279"/>
        <v>88</v>
      </c>
      <c r="U446" s="133">
        <f t="shared" si="279"/>
        <v>418</v>
      </c>
      <c r="V446" s="138"/>
      <c r="AC446" s="46" t="s">
        <v>3</v>
      </c>
      <c r="AD446" s="47">
        <f t="shared" ref="AD446:AK446" si="280">AD439</f>
        <v>0</v>
      </c>
      <c r="AE446" s="79">
        <f t="shared" si="280"/>
        <v>50</v>
      </c>
      <c r="AF446" s="48">
        <f t="shared" si="280"/>
        <v>20</v>
      </c>
      <c r="AG446" s="49">
        <f t="shared" si="280"/>
        <v>70</v>
      </c>
      <c r="AH446" s="47">
        <f t="shared" si="280"/>
        <v>20</v>
      </c>
      <c r="AI446" s="50">
        <f t="shared" si="280"/>
        <v>50</v>
      </c>
      <c r="AJ446" s="48">
        <f t="shared" si="280"/>
        <v>30</v>
      </c>
      <c r="AK446" s="49">
        <f t="shared" si="280"/>
        <v>100</v>
      </c>
      <c r="AL446" s="83">
        <f t="shared" ref="AL446:AR446" si="281">AL439</f>
        <v>40</v>
      </c>
      <c r="AM446" s="82">
        <f t="shared" si="281"/>
        <v>40</v>
      </c>
      <c r="AN446" s="74">
        <f t="shared" si="281"/>
        <v>80</v>
      </c>
      <c r="AO446" s="80">
        <f t="shared" si="281"/>
        <v>40</v>
      </c>
      <c r="AP446" s="48">
        <f t="shared" si="281"/>
        <v>40</v>
      </c>
      <c r="AQ446" s="87">
        <f t="shared" si="281"/>
        <v>80</v>
      </c>
      <c r="AR446" s="133">
        <f t="shared" si="281"/>
        <v>330</v>
      </c>
      <c r="AS446" s="138"/>
    </row>
    <row r="447" spans="2:45" x14ac:dyDescent="0.15">
      <c r="B447" s="11" t="s">
        <v>4</v>
      </c>
      <c r="C447" s="26"/>
      <c r="D447" s="27"/>
      <c r="E447" s="28"/>
      <c r="F447" s="8">
        <f t="shared" ref="F447" si="282">SUM(C447:E447)</f>
        <v>0</v>
      </c>
      <c r="G447" s="26"/>
      <c r="H447" s="123"/>
      <c r="I447" s="43"/>
      <c r="J447" s="59">
        <f t="shared" ref="J447" si="283">SUM(G447:I447)</f>
        <v>0</v>
      </c>
      <c r="K447" s="26"/>
      <c r="L447" s="27"/>
      <c r="M447" s="28"/>
      <c r="N447" s="59">
        <f t="shared" ref="N447" si="284">SUM(K447:M447)</f>
        <v>0</v>
      </c>
      <c r="O447" s="64">
        <v>30</v>
      </c>
      <c r="P447" s="65">
        <v>30</v>
      </c>
      <c r="Q447" s="59">
        <f t="shared" ref="Q447" si="285">SUM(O447:P447)</f>
        <v>60</v>
      </c>
      <c r="R447" s="64"/>
      <c r="S447" s="65"/>
      <c r="T447" s="72">
        <f t="shared" ref="T447" si="286">SUM(R447:S447)</f>
        <v>0</v>
      </c>
      <c r="U447" s="124">
        <f t="shared" ref="U447:U477" si="287">T447+Q447+J447+N447+F447</f>
        <v>60</v>
      </c>
      <c r="V447" s="119">
        <v>45839</v>
      </c>
      <c r="AC447" s="11" t="s">
        <v>4</v>
      </c>
      <c r="AD447" s="26"/>
      <c r="AE447" s="123"/>
      <c r="AF447" s="43"/>
      <c r="AG447" s="59">
        <f t="shared" ref="AG447:AG448" si="288">SUM(AD447:AF447)</f>
        <v>0</v>
      </c>
      <c r="AH447" s="26"/>
      <c r="AI447" s="27"/>
      <c r="AJ447" s="28"/>
      <c r="AK447" s="59">
        <f t="shared" ref="AK447:AK448" si="289">SUM(AH447:AJ447)</f>
        <v>0</v>
      </c>
      <c r="AL447" s="64"/>
      <c r="AM447" s="65"/>
      <c r="AN447" s="59">
        <f t="shared" ref="AN447:AN448" si="290">SUM(AL447:AM447)</f>
        <v>0</v>
      </c>
      <c r="AO447" s="64"/>
      <c r="AP447" s="65"/>
      <c r="AQ447" s="72">
        <f t="shared" ref="AQ447:AQ448" si="291">SUM(AO447:AP447)</f>
        <v>0</v>
      </c>
      <c r="AR447" s="124">
        <f t="shared" ref="AR447:AR479" si="292">AQ447+AN447+AG447+AK447</f>
        <v>0</v>
      </c>
      <c r="AS447" s="116"/>
    </row>
    <row r="448" spans="2:45" x14ac:dyDescent="0.15">
      <c r="B448" s="11" t="s">
        <v>4</v>
      </c>
      <c r="C448" s="26"/>
      <c r="D448" s="27"/>
      <c r="E448" s="28"/>
      <c r="F448" s="8">
        <f t="shared" ref="F448:F450" si="293">SUM(C448:E448)</f>
        <v>0</v>
      </c>
      <c r="G448" s="26">
        <v>30</v>
      </c>
      <c r="H448" s="123"/>
      <c r="I448" s="43">
        <v>40</v>
      </c>
      <c r="J448" s="59">
        <f t="shared" ref="J448:J450" si="294">SUM(G448:I448)</f>
        <v>70</v>
      </c>
      <c r="K448" s="26"/>
      <c r="L448" s="27"/>
      <c r="M448" s="28"/>
      <c r="N448" s="59">
        <f t="shared" ref="N448:N450" si="295">SUM(K448:M448)</f>
        <v>0</v>
      </c>
      <c r="O448" s="64"/>
      <c r="P448" s="65"/>
      <c r="Q448" s="59">
        <f t="shared" ref="Q448:Q450" si="296">SUM(O448:P448)</f>
        <v>0</v>
      </c>
      <c r="R448" s="64"/>
      <c r="S448" s="65"/>
      <c r="T448" s="72">
        <f t="shared" ref="T448:T450" si="297">SUM(R448:S448)</f>
        <v>0</v>
      </c>
      <c r="U448" s="124">
        <f t="shared" si="287"/>
        <v>70</v>
      </c>
      <c r="V448" s="119">
        <v>45841</v>
      </c>
      <c r="AC448" s="11" t="s">
        <v>4</v>
      </c>
      <c r="AD448" s="26">
        <v>50</v>
      </c>
      <c r="AE448" s="123">
        <v>70</v>
      </c>
      <c r="AF448" s="43">
        <v>70</v>
      </c>
      <c r="AG448" s="59">
        <f t="shared" si="288"/>
        <v>190</v>
      </c>
      <c r="AH448" s="26">
        <v>50</v>
      </c>
      <c r="AI448" s="27"/>
      <c r="AJ448" s="28">
        <v>50</v>
      </c>
      <c r="AK448" s="59">
        <f t="shared" si="289"/>
        <v>100</v>
      </c>
      <c r="AL448" s="64">
        <v>100</v>
      </c>
      <c r="AM448" s="65">
        <v>100</v>
      </c>
      <c r="AN448" s="59">
        <f t="shared" si="290"/>
        <v>200</v>
      </c>
      <c r="AO448" s="64"/>
      <c r="AP448" s="65"/>
      <c r="AQ448" s="72">
        <f t="shared" si="291"/>
        <v>0</v>
      </c>
      <c r="AR448" s="124">
        <f t="shared" si="292"/>
        <v>490</v>
      </c>
      <c r="AS448" s="119">
        <v>45839</v>
      </c>
    </row>
    <row r="449" spans="2:45" x14ac:dyDescent="0.15">
      <c r="B449" s="11" t="s">
        <v>4</v>
      </c>
      <c r="C449" s="26"/>
      <c r="D449" s="27"/>
      <c r="E449" s="28"/>
      <c r="F449" s="8">
        <f t="shared" si="293"/>
        <v>0</v>
      </c>
      <c r="G449" s="26">
        <v>20</v>
      </c>
      <c r="H449" s="123">
        <v>20</v>
      </c>
      <c r="I449" s="43">
        <v>20</v>
      </c>
      <c r="J449" s="59">
        <f t="shared" si="294"/>
        <v>60</v>
      </c>
      <c r="K449" s="26">
        <v>20</v>
      </c>
      <c r="L449" s="27"/>
      <c r="M449" s="28">
        <v>20</v>
      </c>
      <c r="N449" s="59">
        <f t="shared" si="295"/>
        <v>40</v>
      </c>
      <c r="O449" s="64">
        <v>20</v>
      </c>
      <c r="P449" s="65">
        <v>20</v>
      </c>
      <c r="Q449" s="59">
        <f t="shared" si="296"/>
        <v>40</v>
      </c>
      <c r="R449" s="64"/>
      <c r="S449" s="65"/>
      <c r="T449" s="72">
        <f t="shared" si="297"/>
        <v>0</v>
      </c>
      <c r="U449" s="124">
        <f t="shared" si="287"/>
        <v>140</v>
      </c>
      <c r="V449" s="119">
        <v>45843</v>
      </c>
      <c r="AC449" s="11" t="s">
        <v>4</v>
      </c>
      <c r="AD449" s="26"/>
      <c r="AE449" s="123"/>
      <c r="AF449" s="43"/>
      <c r="AG449" s="59">
        <f t="shared" ref="AG449:AG450" si="298">SUM(AD449:AF449)</f>
        <v>0</v>
      </c>
      <c r="AH449" s="26"/>
      <c r="AI449" s="27"/>
      <c r="AJ449" s="28"/>
      <c r="AK449" s="59">
        <f t="shared" ref="AK449:AK450" si="299">SUM(AH449:AJ449)</f>
        <v>0</v>
      </c>
      <c r="AL449" s="64"/>
      <c r="AM449" s="65"/>
      <c r="AN449" s="59">
        <f t="shared" ref="AN449:AN450" si="300">SUM(AL449:AM449)</f>
        <v>0</v>
      </c>
      <c r="AO449" s="64"/>
      <c r="AP449" s="65"/>
      <c r="AQ449" s="72">
        <f t="shared" ref="AQ449:AQ450" si="301">SUM(AO449:AP449)</f>
        <v>0</v>
      </c>
      <c r="AR449" s="124">
        <f t="shared" si="292"/>
        <v>0</v>
      </c>
      <c r="AS449" s="116"/>
    </row>
    <row r="450" spans="2:45" x14ac:dyDescent="0.15">
      <c r="B450" s="11" t="s">
        <v>4</v>
      </c>
      <c r="C450" s="26"/>
      <c r="D450" s="27"/>
      <c r="E450" s="28"/>
      <c r="F450" s="8">
        <f t="shared" si="293"/>
        <v>0</v>
      </c>
      <c r="G450" s="26"/>
      <c r="H450" s="123"/>
      <c r="I450" s="43">
        <v>20</v>
      </c>
      <c r="J450" s="59">
        <f t="shared" si="294"/>
        <v>20</v>
      </c>
      <c r="K450" s="26"/>
      <c r="L450" s="27"/>
      <c r="M450" s="28"/>
      <c r="N450" s="59">
        <f t="shared" si="295"/>
        <v>0</v>
      </c>
      <c r="O450" s="64">
        <v>20</v>
      </c>
      <c r="P450" s="65">
        <v>20</v>
      </c>
      <c r="Q450" s="59">
        <f t="shared" si="296"/>
        <v>40</v>
      </c>
      <c r="R450" s="64">
        <v>20</v>
      </c>
      <c r="S450" s="65">
        <v>20</v>
      </c>
      <c r="T450" s="72">
        <f t="shared" si="297"/>
        <v>40</v>
      </c>
      <c r="U450" s="124">
        <f t="shared" si="287"/>
        <v>100</v>
      </c>
      <c r="V450" s="119">
        <v>45847</v>
      </c>
      <c r="AC450" s="11" t="s">
        <v>4</v>
      </c>
      <c r="AD450" s="26"/>
      <c r="AE450" s="123"/>
      <c r="AF450" s="43"/>
      <c r="AG450" s="59">
        <f t="shared" si="298"/>
        <v>0</v>
      </c>
      <c r="AH450" s="26"/>
      <c r="AI450" s="27"/>
      <c r="AJ450" s="28"/>
      <c r="AK450" s="59">
        <f t="shared" si="299"/>
        <v>0</v>
      </c>
      <c r="AL450" s="64"/>
      <c r="AM450" s="65"/>
      <c r="AN450" s="59">
        <f t="shared" si="300"/>
        <v>0</v>
      </c>
      <c r="AO450" s="64"/>
      <c r="AP450" s="65"/>
      <c r="AQ450" s="72">
        <f t="shared" si="301"/>
        <v>0</v>
      </c>
      <c r="AR450" s="124">
        <f t="shared" si="292"/>
        <v>0</v>
      </c>
      <c r="AS450" s="116"/>
    </row>
    <row r="451" spans="2:45" ht="14.25" thickBot="1" x14ac:dyDescent="0.2">
      <c r="B451" s="11" t="s">
        <v>4</v>
      </c>
      <c r="C451" s="29"/>
      <c r="D451" s="30"/>
      <c r="E451" s="31">
        <v>1</v>
      </c>
      <c r="F451" s="54">
        <f t="shared" ref="F451" si="302">SUM(C451:E451)</f>
        <v>1</v>
      </c>
      <c r="G451" s="29"/>
      <c r="H451" s="126"/>
      <c r="I451" s="44"/>
      <c r="J451" s="125">
        <f t="shared" ref="J451:J477" si="303">SUM(G451:I451)</f>
        <v>0</v>
      </c>
      <c r="K451" s="29"/>
      <c r="L451" s="30"/>
      <c r="M451" s="31"/>
      <c r="N451" s="125">
        <f t="shared" ref="N451:N477" si="304">SUM(K451:M451)</f>
        <v>0</v>
      </c>
      <c r="O451" s="66"/>
      <c r="P451" s="67"/>
      <c r="Q451" s="125">
        <f t="shared" ref="Q451:Q477" si="305">SUM(O451:P451)</f>
        <v>0</v>
      </c>
      <c r="R451" s="66"/>
      <c r="S451" s="67"/>
      <c r="T451" s="127">
        <f t="shared" ref="T451:T477" si="306">SUM(R451:S451)</f>
        <v>0</v>
      </c>
      <c r="U451" s="128">
        <f t="shared" si="287"/>
        <v>1</v>
      </c>
      <c r="V451" s="116"/>
      <c r="AC451" s="11" t="s">
        <v>4</v>
      </c>
      <c r="AD451" s="29"/>
      <c r="AE451" s="126"/>
      <c r="AF451" s="44"/>
      <c r="AG451" s="125">
        <f t="shared" ref="AG451:AG452" si="307">SUM(AD451:AF451)</f>
        <v>0</v>
      </c>
      <c r="AH451" s="29"/>
      <c r="AI451" s="30"/>
      <c r="AJ451" s="31"/>
      <c r="AK451" s="125">
        <f t="shared" ref="AK451:AK452" si="308">SUM(AH451:AJ451)</f>
        <v>0</v>
      </c>
      <c r="AL451" s="66"/>
      <c r="AM451" s="67"/>
      <c r="AN451" s="125">
        <f t="shared" ref="AN451:AN452" si="309">SUM(AL451:AM451)</f>
        <v>0</v>
      </c>
      <c r="AO451" s="66"/>
      <c r="AP451" s="67"/>
      <c r="AQ451" s="127">
        <f t="shared" ref="AQ451:AQ452" si="310">SUM(AO451:AP451)</f>
        <v>0</v>
      </c>
      <c r="AR451" s="128">
        <f t="shared" si="292"/>
        <v>0</v>
      </c>
      <c r="AS451" s="116"/>
    </row>
    <row r="452" spans="2:45" ht="14.25" thickBot="1" x14ac:dyDescent="0.2">
      <c r="B452" s="5" t="s">
        <v>1</v>
      </c>
      <c r="C452" s="32">
        <f>SUM(C446:C451)</f>
        <v>8</v>
      </c>
      <c r="D452" s="33">
        <f t="shared" ref="D452:U452" si="311">SUM(D446:D451)</f>
        <v>4</v>
      </c>
      <c r="E452" s="34">
        <f t="shared" si="311"/>
        <v>6</v>
      </c>
      <c r="F452" s="4">
        <f t="shared" si="311"/>
        <v>18</v>
      </c>
      <c r="G452" s="32">
        <f t="shared" si="311"/>
        <v>86</v>
      </c>
      <c r="H452" s="132">
        <f t="shared" si="311"/>
        <v>71</v>
      </c>
      <c r="I452" s="34">
        <f t="shared" si="311"/>
        <v>116</v>
      </c>
      <c r="J452" s="4">
        <f t="shared" si="311"/>
        <v>273</v>
      </c>
      <c r="K452" s="32">
        <f t="shared" si="311"/>
        <v>63</v>
      </c>
      <c r="L452" s="33">
        <f t="shared" si="311"/>
        <v>40</v>
      </c>
      <c r="M452" s="34">
        <f t="shared" si="311"/>
        <v>57</v>
      </c>
      <c r="N452" s="4">
        <f t="shared" si="311"/>
        <v>160</v>
      </c>
      <c r="O452" s="68">
        <f t="shared" si="311"/>
        <v>104</v>
      </c>
      <c r="P452" s="69">
        <f t="shared" si="311"/>
        <v>106</v>
      </c>
      <c r="Q452" s="4">
        <f t="shared" si="311"/>
        <v>210</v>
      </c>
      <c r="R452" s="68">
        <f t="shared" si="311"/>
        <v>63</v>
      </c>
      <c r="S452" s="34">
        <f t="shared" si="311"/>
        <v>65</v>
      </c>
      <c r="T452" s="58">
        <f t="shared" si="311"/>
        <v>128</v>
      </c>
      <c r="U452" s="88">
        <f t="shared" si="311"/>
        <v>789</v>
      </c>
      <c r="V452" s="116"/>
      <c r="AC452" s="5" t="s">
        <v>1</v>
      </c>
      <c r="AD452" s="32">
        <f t="shared" ref="AD452:AF452" si="312">SUM(AD446:AD451)</f>
        <v>50</v>
      </c>
      <c r="AE452" s="132">
        <f t="shared" si="312"/>
        <v>120</v>
      </c>
      <c r="AF452" s="34">
        <f t="shared" si="312"/>
        <v>90</v>
      </c>
      <c r="AG452" s="4">
        <f t="shared" si="307"/>
        <v>260</v>
      </c>
      <c r="AH452" s="32">
        <f>SUM(AH446:AH451)</f>
        <v>70</v>
      </c>
      <c r="AI452" s="33">
        <f t="shared" ref="AI452:AJ452" si="313">SUM(AI446:AI451)</f>
        <v>50</v>
      </c>
      <c r="AJ452" s="34">
        <f t="shared" si="313"/>
        <v>80</v>
      </c>
      <c r="AK452" s="4">
        <f t="shared" si="308"/>
        <v>200</v>
      </c>
      <c r="AL452" s="68">
        <f t="shared" ref="AL452:AM452" si="314">SUM(AL446:AL451)</f>
        <v>140</v>
      </c>
      <c r="AM452" s="69">
        <f t="shared" si="314"/>
        <v>140</v>
      </c>
      <c r="AN452" s="4">
        <f t="shared" si="309"/>
        <v>280</v>
      </c>
      <c r="AO452" s="68">
        <f>SUM(AO446:AO451)</f>
        <v>40</v>
      </c>
      <c r="AP452" s="34">
        <f t="shared" ref="AP452" si="315">SUM(AP446:AP451)</f>
        <v>40</v>
      </c>
      <c r="AQ452" s="58">
        <f t="shared" si="310"/>
        <v>80</v>
      </c>
      <c r="AR452" s="88">
        <f t="shared" si="292"/>
        <v>820</v>
      </c>
      <c r="AS452" s="116"/>
    </row>
    <row r="453" spans="2:45" x14ac:dyDescent="0.15">
      <c r="B453" s="6" t="s">
        <v>16</v>
      </c>
      <c r="C453" s="26"/>
      <c r="D453" s="27"/>
      <c r="E453" s="28">
        <v>1</v>
      </c>
      <c r="F453" s="7">
        <f t="shared" ref="F453:F457" si="316">SUM(C453:E453)</f>
        <v>1</v>
      </c>
      <c r="G453" s="26">
        <v>3</v>
      </c>
      <c r="H453" s="123">
        <v>4</v>
      </c>
      <c r="I453" s="43">
        <v>4</v>
      </c>
      <c r="J453" s="59">
        <f t="shared" ref="J453:J457" si="317">SUM(G453:I453)</f>
        <v>11</v>
      </c>
      <c r="K453" s="26">
        <v>1</v>
      </c>
      <c r="L453" s="27"/>
      <c r="M453" s="28">
        <v>1</v>
      </c>
      <c r="N453" s="59">
        <f t="shared" ref="N453:N457" si="318">SUM(K453:M453)</f>
        <v>2</v>
      </c>
      <c r="O453" s="64">
        <v>1</v>
      </c>
      <c r="P453" s="65">
        <v>6</v>
      </c>
      <c r="Q453" s="59">
        <f t="shared" ref="Q453:Q457" si="319">SUM(O453:P453)</f>
        <v>7</v>
      </c>
      <c r="R453" s="64">
        <v>1</v>
      </c>
      <c r="S453" s="65">
        <v>1</v>
      </c>
      <c r="T453" s="72">
        <f t="shared" ref="T453:T457" si="320">SUM(R453:S453)</f>
        <v>2</v>
      </c>
      <c r="U453" s="124">
        <f t="shared" si="287"/>
        <v>23</v>
      </c>
      <c r="V453" s="119">
        <v>45831</v>
      </c>
      <c r="AC453" s="6" t="s">
        <v>74</v>
      </c>
      <c r="AD453" s="26"/>
      <c r="AE453" s="123"/>
      <c r="AF453" s="43">
        <v>20</v>
      </c>
      <c r="AG453" s="59">
        <f t="shared" ref="AG453" si="321">SUM(AD453:AF453)</f>
        <v>20</v>
      </c>
      <c r="AH453" s="26"/>
      <c r="AI453" s="27"/>
      <c r="AJ453" s="28"/>
      <c r="AK453" s="59">
        <f t="shared" ref="AK453" si="322">SUM(AH453:AJ453)</f>
        <v>0</v>
      </c>
      <c r="AL453" s="64">
        <v>20</v>
      </c>
      <c r="AM453" s="65">
        <v>20</v>
      </c>
      <c r="AN453" s="59">
        <f t="shared" ref="AN453" si="323">SUM(AL453:AM453)</f>
        <v>40</v>
      </c>
      <c r="AO453" s="64">
        <v>20</v>
      </c>
      <c r="AP453" s="65">
        <v>20</v>
      </c>
      <c r="AQ453" s="72">
        <f t="shared" ref="AQ453" si="324">SUM(AO453:AP453)</f>
        <v>40</v>
      </c>
      <c r="AR453" s="124">
        <f t="shared" si="292"/>
        <v>100</v>
      </c>
      <c r="AS453" s="119">
        <v>45847</v>
      </c>
    </row>
    <row r="454" spans="2:45" x14ac:dyDescent="0.15">
      <c r="B454" s="6" t="s">
        <v>16</v>
      </c>
      <c r="C454" s="26"/>
      <c r="D454" s="27"/>
      <c r="E454" s="28">
        <f>1+1</f>
        <v>2</v>
      </c>
      <c r="F454" s="7">
        <f t="shared" si="316"/>
        <v>2</v>
      </c>
      <c r="G454" s="26">
        <v>1</v>
      </c>
      <c r="H454" s="123"/>
      <c r="I454" s="43"/>
      <c r="J454" s="59">
        <f t="shared" si="317"/>
        <v>1</v>
      </c>
      <c r="K454" s="26">
        <v>2</v>
      </c>
      <c r="L454" s="27"/>
      <c r="M454" s="28"/>
      <c r="N454" s="59">
        <f t="shared" si="318"/>
        <v>2</v>
      </c>
      <c r="O454" s="64">
        <v>2</v>
      </c>
      <c r="P454" s="65">
        <v>2</v>
      </c>
      <c r="Q454" s="59">
        <f t="shared" si="319"/>
        <v>4</v>
      </c>
      <c r="R454" s="64"/>
      <c r="S454" s="65"/>
      <c r="T454" s="72">
        <f t="shared" si="320"/>
        <v>0</v>
      </c>
      <c r="U454" s="124">
        <f t="shared" si="287"/>
        <v>9</v>
      </c>
      <c r="V454" s="119">
        <v>45832</v>
      </c>
      <c r="AC454" s="6"/>
      <c r="AD454" s="26"/>
      <c r="AE454" s="123"/>
      <c r="AF454" s="43"/>
      <c r="AG454" s="59">
        <f t="shared" ref="AG454:AG479" si="325">SUM(AD454:AF454)</f>
        <v>0</v>
      </c>
      <c r="AH454" s="26"/>
      <c r="AI454" s="27"/>
      <c r="AJ454" s="28"/>
      <c r="AK454" s="59">
        <f t="shared" ref="AK454:AK479" si="326">SUM(AH454:AJ454)</f>
        <v>0</v>
      </c>
      <c r="AL454" s="64"/>
      <c r="AM454" s="65"/>
      <c r="AN454" s="59">
        <f t="shared" ref="AN454:AN479" si="327">SUM(AL454:AM454)</f>
        <v>0</v>
      </c>
      <c r="AO454" s="64"/>
      <c r="AP454" s="65"/>
      <c r="AQ454" s="72">
        <f t="shared" ref="AQ454:AQ479" si="328">SUM(AO454:AP454)</f>
        <v>0</v>
      </c>
      <c r="AR454" s="124">
        <f t="shared" si="292"/>
        <v>0</v>
      </c>
      <c r="AS454" s="116"/>
    </row>
    <row r="455" spans="2:45" x14ac:dyDescent="0.15">
      <c r="B455" s="6" t="s">
        <v>16</v>
      </c>
      <c r="C455" s="26"/>
      <c r="D455" s="27"/>
      <c r="E455" s="28"/>
      <c r="F455" s="7">
        <f t="shared" si="316"/>
        <v>0</v>
      </c>
      <c r="G455" s="26">
        <v>1</v>
      </c>
      <c r="H455" s="123">
        <v>1</v>
      </c>
      <c r="I455" s="43">
        <f>1+2+1+1</f>
        <v>5</v>
      </c>
      <c r="J455" s="59">
        <f t="shared" si="317"/>
        <v>7</v>
      </c>
      <c r="K455" s="26">
        <f>1+1</f>
        <v>2</v>
      </c>
      <c r="L455" s="27"/>
      <c r="M455" s="28"/>
      <c r="N455" s="59">
        <f t="shared" si="318"/>
        <v>2</v>
      </c>
      <c r="O455" s="64">
        <f>1+1+1</f>
        <v>3</v>
      </c>
      <c r="P455" s="65">
        <v>1</v>
      </c>
      <c r="Q455" s="59">
        <f t="shared" si="319"/>
        <v>4</v>
      </c>
      <c r="R455" s="64">
        <v>1</v>
      </c>
      <c r="S455" s="65"/>
      <c r="T455" s="72">
        <f t="shared" si="320"/>
        <v>1</v>
      </c>
      <c r="U455" s="124">
        <f t="shared" si="287"/>
        <v>14</v>
      </c>
      <c r="V455" s="119">
        <v>45833</v>
      </c>
      <c r="AC455" s="6"/>
      <c r="AD455" s="26"/>
      <c r="AE455" s="123"/>
      <c r="AF455" s="43"/>
      <c r="AG455" s="59">
        <f t="shared" si="325"/>
        <v>0</v>
      </c>
      <c r="AH455" s="26"/>
      <c r="AI455" s="27"/>
      <c r="AJ455" s="28"/>
      <c r="AK455" s="59">
        <f t="shared" si="326"/>
        <v>0</v>
      </c>
      <c r="AL455" s="64"/>
      <c r="AM455" s="65"/>
      <c r="AN455" s="59">
        <f t="shared" si="327"/>
        <v>0</v>
      </c>
      <c r="AO455" s="64"/>
      <c r="AP455" s="65"/>
      <c r="AQ455" s="72">
        <f t="shared" si="328"/>
        <v>0</v>
      </c>
      <c r="AR455" s="124">
        <f t="shared" si="292"/>
        <v>0</v>
      </c>
      <c r="AS455" s="116"/>
    </row>
    <row r="456" spans="2:45" x14ac:dyDescent="0.15">
      <c r="B456" s="6" t="s">
        <v>16</v>
      </c>
      <c r="C456" s="26">
        <v>2</v>
      </c>
      <c r="D456" s="27"/>
      <c r="E456" s="28"/>
      <c r="F456" s="7">
        <f t="shared" si="316"/>
        <v>2</v>
      </c>
      <c r="G456" s="26">
        <v>1</v>
      </c>
      <c r="H456" s="123"/>
      <c r="I456" s="43">
        <v>1</v>
      </c>
      <c r="J456" s="59">
        <f t="shared" si="317"/>
        <v>2</v>
      </c>
      <c r="K456" s="26"/>
      <c r="L456" s="27"/>
      <c r="M456" s="28"/>
      <c r="N456" s="59">
        <f t="shared" si="318"/>
        <v>0</v>
      </c>
      <c r="O456" s="64">
        <v>1</v>
      </c>
      <c r="P456" s="65">
        <f>2+2</f>
        <v>4</v>
      </c>
      <c r="Q456" s="59">
        <f t="shared" si="319"/>
        <v>5</v>
      </c>
      <c r="R456" s="64"/>
      <c r="S456" s="65">
        <v>2</v>
      </c>
      <c r="T456" s="72">
        <f t="shared" si="320"/>
        <v>2</v>
      </c>
      <c r="U456" s="124">
        <f t="shared" si="287"/>
        <v>11</v>
      </c>
      <c r="V456" s="119">
        <v>45834</v>
      </c>
      <c r="AC456" s="6"/>
      <c r="AD456" s="26"/>
      <c r="AE456" s="123"/>
      <c r="AF456" s="43"/>
      <c r="AG456" s="59">
        <f t="shared" si="325"/>
        <v>0</v>
      </c>
      <c r="AH456" s="26"/>
      <c r="AI456" s="27"/>
      <c r="AJ456" s="28"/>
      <c r="AK456" s="59">
        <f t="shared" si="326"/>
        <v>0</v>
      </c>
      <c r="AL456" s="64"/>
      <c r="AM456" s="65"/>
      <c r="AN456" s="59">
        <f t="shared" si="327"/>
        <v>0</v>
      </c>
      <c r="AO456" s="64"/>
      <c r="AP456" s="65"/>
      <c r="AQ456" s="72">
        <f t="shared" si="328"/>
        <v>0</v>
      </c>
      <c r="AR456" s="124">
        <f t="shared" si="292"/>
        <v>0</v>
      </c>
      <c r="AS456" s="116"/>
    </row>
    <row r="457" spans="2:45" x14ac:dyDescent="0.15">
      <c r="B457" s="6" t="s">
        <v>16</v>
      </c>
      <c r="C457" s="26">
        <f>1+1</f>
        <v>2</v>
      </c>
      <c r="D457" s="27"/>
      <c r="E457" s="28">
        <f>1+1</f>
        <v>2</v>
      </c>
      <c r="F457" s="7">
        <f t="shared" si="316"/>
        <v>4</v>
      </c>
      <c r="G457" s="26">
        <v>1</v>
      </c>
      <c r="H457" s="123"/>
      <c r="I457" s="43"/>
      <c r="J457" s="59">
        <f t="shared" si="317"/>
        <v>1</v>
      </c>
      <c r="K457" s="26"/>
      <c r="L457" s="27">
        <v>1</v>
      </c>
      <c r="M457" s="28"/>
      <c r="N457" s="59">
        <f t="shared" si="318"/>
        <v>1</v>
      </c>
      <c r="O457" s="64">
        <v>1</v>
      </c>
      <c r="P457" s="65">
        <v>2</v>
      </c>
      <c r="Q457" s="59">
        <f t="shared" si="319"/>
        <v>3</v>
      </c>
      <c r="R457" s="64">
        <v>1</v>
      </c>
      <c r="S457" s="65">
        <v>1</v>
      </c>
      <c r="T457" s="72">
        <f t="shared" si="320"/>
        <v>2</v>
      </c>
      <c r="U457" s="124">
        <f t="shared" si="287"/>
        <v>11</v>
      </c>
      <c r="V457" s="119">
        <v>45835</v>
      </c>
      <c r="AC457" s="6"/>
      <c r="AD457" s="26"/>
      <c r="AE457" s="123"/>
      <c r="AF457" s="43"/>
      <c r="AG457" s="59">
        <f t="shared" si="325"/>
        <v>0</v>
      </c>
      <c r="AH457" s="26"/>
      <c r="AI457" s="27"/>
      <c r="AJ457" s="28"/>
      <c r="AK457" s="59">
        <f t="shared" si="326"/>
        <v>0</v>
      </c>
      <c r="AL457" s="64"/>
      <c r="AM457" s="65"/>
      <c r="AN457" s="59">
        <f t="shared" si="327"/>
        <v>0</v>
      </c>
      <c r="AO457" s="64"/>
      <c r="AP457" s="65"/>
      <c r="AQ457" s="72">
        <f t="shared" si="328"/>
        <v>0</v>
      </c>
      <c r="AR457" s="124">
        <f t="shared" si="292"/>
        <v>0</v>
      </c>
      <c r="AS457" s="116"/>
    </row>
    <row r="458" spans="2:45" x14ac:dyDescent="0.15">
      <c r="B458" s="6" t="s">
        <v>16</v>
      </c>
      <c r="C458" s="26">
        <v>1</v>
      </c>
      <c r="D458" s="27"/>
      <c r="E458" s="28"/>
      <c r="F458" s="7">
        <f t="shared" ref="F458:F477" si="329">SUM(C458:E458)</f>
        <v>1</v>
      </c>
      <c r="G458" s="26">
        <f>2+5</f>
        <v>7</v>
      </c>
      <c r="H458" s="123">
        <v>2</v>
      </c>
      <c r="I458" s="43">
        <f>1+3+1</f>
        <v>5</v>
      </c>
      <c r="J458" s="59">
        <f t="shared" si="303"/>
        <v>14</v>
      </c>
      <c r="K458" s="26">
        <v>2</v>
      </c>
      <c r="L458" s="27"/>
      <c r="M458" s="28">
        <v>1</v>
      </c>
      <c r="N458" s="59">
        <f t="shared" si="304"/>
        <v>3</v>
      </c>
      <c r="O458" s="64">
        <f>10+1</f>
        <v>11</v>
      </c>
      <c r="P458" s="65">
        <v>6</v>
      </c>
      <c r="Q458" s="59">
        <f t="shared" si="305"/>
        <v>17</v>
      </c>
      <c r="R458" s="64">
        <v>2</v>
      </c>
      <c r="S458" s="65">
        <v>3</v>
      </c>
      <c r="T458" s="72">
        <f t="shared" si="306"/>
        <v>5</v>
      </c>
      <c r="U458" s="124">
        <f t="shared" si="287"/>
        <v>40</v>
      </c>
      <c r="V458" s="119">
        <v>45838</v>
      </c>
      <c r="AC458" s="6"/>
      <c r="AD458" s="26"/>
      <c r="AE458" s="123"/>
      <c r="AF458" s="43"/>
      <c r="AG458" s="59">
        <f t="shared" si="325"/>
        <v>0</v>
      </c>
      <c r="AH458" s="26"/>
      <c r="AI458" s="27"/>
      <c r="AJ458" s="28"/>
      <c r="AK458" s="59">
        <f t="shared" si="326"/>
        <v>0</v>
      </c>
      <c r="AL458" s="64"/>
      <c r="AM458" s="65"/>
      <c r="AN458" s="59">
        <f t="shared" si="327"/>
        <v>0</v>
      </c>
      <c r="AO458" s="64"/>
      <c r="AP458" s="65"/>
      <c r="AQ458" s="72">
        <f t="shared" si="328"/>
        <v>0</v>
      </c>
      <c r="AR458" s="124">
        <f t="shared" si="292"/>
        <v>0</v>
      </c>
      <c r="AS458" s="116"/>
    </row>
    <row r="459" spans="2:45" x14ac:dyDescent="0.15">
      <c r="B459" s="6" t="s">
        <v>16</v>
      </c>
      <c r="C459" s="26"/>
      <c r="D459" s="27"/>
      <c r="E459" s="28"/>
      <c r="F459" s="7">
        <f t="shared" si="329"/>
        <v>0</v>
      </c>
      <c r="G459" s="26">
        <f>1+4</f>
        <v>5</v>
      </c>
      <c r="H459" s="123">
        <f>1+4</f>
        <v>5</v>
      </c>
      <c r="I459" s="43">
        <f>1+4</f>
        <v>5</v>
      </c>
      <c r="J459" s="59">
        <f t="shared" si="303"/>
        <v>15</v>
      </c>
      <c r="K459" s="26"/>
      <c r="L459" s="27">
        <v>2</v>
      </c>
      <c r="M459" s="28">
        <v>1</v>
      </c>
      <c r="N459" s="59">
        <f t="shared" si="304"/>
        <v>3</v>
      </c>
      <c r="O459" s="64">
        <f>1+3</f>
        <v>4</v>
      </c>
      <c r="P459" s="65">
        <f>2+3</f>
        <v>5</v>
      </c>
      <c r="Q459" s="59">
        <f t="shared" si="305"/>
        <v>9</v>
      </c>
      <c r="R459" s="64">
        <v>3</v>
      </c>
      <c r="S459" s="65">
        <v>2</v>
      </c>
      <c r="T459" s="72">
        <f t="shared" si="306"/>
        <v>5</v>
      </c>
      <c r="U459" s="124">
        <f t="shared" si="287"/>
        <v>32</v>
      </c>
      <c r="V459" s="119">
        <v>45839</v>
      </c>
      <c r="AC459" s="6"/>
      <c r="AD459" s="26"/>
      <c r="AE459" s="123"/>
      <c r="AF459" s="43"/>
      <c r="AG459" s="59">
        <f t="shared" si="325"/>
        <v>0</v>
      </c>
      <c r="AH459" s="26"/>
      <c r="AI459" s="27"/>
      <c r="AJ459" s="28"/>
      <c r="AK459" s="59">
        <f t="shared" si="326"/>
        <v>0</v>
      </c>
      <c r="AL459" s="64"/>
      <c r="AM459" s="65"/>
      <c r="AN459" s="59">
        <f t="shared" si="327"/>
        <v>0</v>
      </c>
      <c r="AO459" s="64"/>
      <c r="AP459" s="65"/>
      <c r="AQ459" s="72">
        <f t="shared" si="328"/>
        <v>0</v>
      </c>
      <c r="AR459" s="124">
        <f t="shared" si="292"/>
        <v>0</v>
      </c>
      <c r="AS459" s="116"/>
    </row>
    <row r="460" spans="2:45" x14ac:dyDescent="0.15">
      <c r="B460" s="6" t="s">
        <v>16</v>
      </c>
      <c r="C460" s="26">
        <v>2</v>
      </c>
      <c r="D460" s="27"/>
      <c r="E460" s="28"/>
      <c r="F460" s="7">
        <f t="shared" ref="F460:F461" si="330">SUM(C460:E460)</f>
        <v>2</v>
      </c>
      <c r="G460" s="26">
        <v>1</v>
      </c>
      <c r="H460" s="123"/>
      <c r="I460" s="43"/>
      <c r="J460" s="59">
        <f t="shared" ref="J460:J461" si="331">SUM(G460:I460)</f>
        <v>1</v>
      </c>
      <c r="K460" s="26"/>
      <c r="L460" s="27"/>
      <c r="M460" s="28">
        <v>1</v>
      </c>
      <c r="N460" s="59">
        <f t="shared" ref="N460:N461" si="332">SUM(K460:M460)</f>
        <v>1</v>
      </c>
      <c r="O460" s="64">
        <f>1+2</f>
        <v>3</v>
      </c>
      <c r="P460" s="65">
        <v>1</v>
      </c>
      <c r="Q460" s="59">
        <f t="shared" ref="Q460:Q461" si="333">SUM(O460:P460)</f>
        <v>4</v>
      </c>
      <c r="R460" s="64"/>
      <c r="S460" s="65">
        <v>4</v>
      </c>
      <c r="T460" s="72">
        <f t="shared" si="306"/>
        <v>4</v>
      </c>
      <c r="U460" s="124">
        <f t="shared" si="287"/>
        <v>12</v>
      </c>
      <c r="V460" s="119">
        <v>45840</v>
      </c>
      <c r="AC460" s="6"/>
      <c r="AD460" s="26"/>
      <c r="AE460" s="123"/>
      <c r="AF460" s="43"/>
      <c r="AG460" s="59">
        <f t="shared" si="325"/>
        <v>0</v>
      </c>
      <c r="AH460" s="26"/>
      <c r="AI460" s="27"/>
      <c r="AJ460" s="28"/>
      <c r="AK460" s="59">
        <f t="shared" si="326"/>
        <v>0</v>
      </c>
      <c r="AL460" s="64"/>
      <c r="AM460" s="65"/>
      <c r="AN460" s="59">
        <f t="shared" si="327"/>
        <v>0</v>
      </c>
      <c r="AO460" s="64"/>
      <c r="AP460" s="65"/>
      <c r="AQ460" s="72">
        <f t="shared" si="328"/>
        <v>0</v>
      </c>
      <c r="AR460" s="124">
        <f t="shared" si="292"/>
        <v>0</v>
      </c>
      <c r="AS460" s="116"/>
    </row>
    <row r="461" spans="2:45" x14ac:dyDescent="0.15">
      <c r="B461" s="6" t="s">
        <v>16</v>
      </c>
      <c r="C461" s="26"/>
      <c r="D461" s="27"/>
      <c r="E461" s="28"/>
      <c r="F461" s="7">
        <f t="shared" si="330"/>
        <v>0</v>
      </c>
      <c r="G461" s="26">
        <v>6</v>
      </c>
      <c r="H461" s="123">
        <v>1</v>
      </c>
      <c r="I461" s="43">
        <f>32+2</f>
        <v>34</v>
      </c>
      <c r="J461" s="59">
        <f t="shared" si="331"/>
        <v>41</v>
      </c>
      <c r="K461" s="26"/>
      <c r="L461" s="27"/>
      <c r="M461" s="28"/>
      <c r="N461" s="59">
        <f t="shared" si="332"/>
        <v>0</v>
      </c>
      <c r="O461" s="64">
        <v>3</v>
      </c>
      <c r="P461" s="65">
        <v>5</v>
      </c>
      <c r="Q461" s="59">
        <f t="shared" si="333"/>
        <v>8</v>
      </c>
      <c r="R461" s="64"/>
      <c r="S461" s="65">
        <v>4</v>
      </c>
      <c r="T461" s="72">
        <f t="shared" si="306"/>
        <v>4</v>
      </c>
      <c r="U461" s="124">
        <f>T461+Q461+J461+N461+F461</f>
        <v>53</v>
      </c>
      <c r="V461" s="119">
        <v>45841</v>
      </c>
      <c r="AC461" s="6"/>
      <c r="AD461" s="26"/>
      <c r="AE461" s="123"/>
      <c r="AF461" s="43"/>
      <c r="AG461" s="59">
        <f t="shared" si="325"/>
        <v>0</v>
      </c>
      <c r="AH461" s="26"/>
      <c r="AI461" s="27"/>
      <c r="AJ461" s="28"/>
      <c r="AK461" s="59">
        <f t="shared" si="326"/>
        <v>0</v>
      </c>
      <c r="AL461" s="64"/>
      <c r="AM461" s="65"/>
      <c r="AN461" s="59">
        <f t="shared" si="327"/>
        <v>0</v>
      </c>
      <c r="AO461" s="64"/>
      <c r="AP461" s="65"/>
      <c r="AQ461" s="72">
        <f t="shared" si="328"/>
        <v>0</v>
      </c>
      <c r="AR461" s="124">
        <f t="shared" si="292"/>
        <v>0</v>
      </c>
      <c r="AS461" s="116"/>
    </row>
    <row r="462" spans="2:45" x14ac:dyDescent="0.15">
      <c r="B462" s="6" t="s">
        <v>16</v>
      </c>
      <c r="C462" s="26">
        <v>1</v>
      </c>
      <c r="D462" s="27"/>
      <c r="E462" s="28"/>
      <c r="F462" s="7">
        <f t="shared" si="329"/>
        <v>1</v>
      </c>
      <c r="G462" s="26">
        <v>1</v>
      </c>
      <c r="H462" s="123">
        <v>1</v>
      </c>
      <c r="I462" s="43">
        <v>2</v>
      </c>
      <c r="J462" s="59">
        <f t="shared" si="303"/>
        <v>4</v>
      </c>
      <c r="K462" s="26"/>
      <c r="L462" s="27">
        <v>1</v>
      </c>
      <c r="M462" s="28">
        <v>1</v>
      </c>
      <c r="N462" s="59">
        <f t="shared" si="304"/>
        <v>2</v>
      </c>
      <c r="O462" s="64"/>
      <c r="P462" s="65"/>
      <c r="Q462" s="59">
        <f t="shared" si="305"/>
        <v>0</v>
      </c>
      <c r="R462" s="64"/>
      <c r="S462" s="65"/>
      <c r="T462" s="72">
        <f t="shared" si="306"/>
        <v>0</v>
      </c>
      <c r="U462" s="124">
        <f t="shared" si="287"/>
        <v>7</v>
      </c>
      <c r="V462" s="119">
        <v>45842</v>
      </c>
      <c r="AC462" s="6"/>
      <c r="AD462" s="26"/>
      <c r="AE462" s="123"/>
      <c r="AF462" s="43"/>
      <c r="AG462" s="59">
        <f t="shared" si="325"/>
        <v>0</v>
      </c>
      <c r="AH462" s="26"/>
      <c r="AI462" s="27"/>
      <c r="AJ462" s="28"/>
      <c r="AK462" s="59">
        <f t="shared" si="326"/>
        <v>0</v>
      </c>
      <c r="AL462" s="64"/>
      <c r="AM462" s="65"/>
      <c r="AN462" s="59">
        <f t="shared" si="327"/>
        <v>0</v>
      </c>
      <c r="AO462" s="64"/>
      <c r="AP462" s="65"/>
      <c r="AQ462" s="72">
        <f t="shared" si="328"/>
        <v>0</v>
      </c>
      <c r="AR462" s="124">
        <f t="shared" si="292"/>
        <v>0</v>
      </c>
      <c r="AS462" s="116"/>
    </row>
    <row r="463" spans="2:45" x14ac:dyDescent="0.15">
      <c r="B463" s="6" t="s">
        <v>16</v>
      </c>
      <c r="C463" s="26"/>
      <c r="D463" s="27"/>
      <c r="E463" s="28"/>
      <c r="F463" s="7">
        <f t="shared" si="329"/>
        <v>0</v>
      </c>
      <c r="G463" s="26">
        <v>5</v>
      </c>
      <c r="H463" s="123"/>
      <c r="I463" s="43"/>
      <c r="J463" s="59">
        <f t="shared" si="303"/>
        <v>5</v>
      </c>
      <c r="K463" s="26">
        <v>1</v>
      </c>
      <c r="L463" s="27"/>
      <c r="M463" s="28">
        <v>1</v>
      </c>
      <c r="N463" s="59">
        <f t="shared" si="304"/>
        <v>2</v>
      </c>
      <c r="O463" s="64">
        <v>1</v>
      </c>
      <c r="P463" s="65">
        <v>2</v>
      </c>
      <c r="Q463" s="59">
        <f t="shared" si="305"/>
        <v>3</v>
      </c>
      <c r="R463" s="64">
        <v>1</v>
      </c>
      <c r="S463" s="65">
        <v>2</v>
      </c>
      <c r="T463" s="72">
        <f t="shared" si="306"/>
        <v>3</v>
      </c>
      <c r="U463" s="124">
        <f t="shared" si="287"/>
        <v>13</v>
      </c>
      <c r="V463" s="119">
        <v>45843</v>
      </c>
      <c r="AC463" s="6"/>
      <c r="AD463" s="26"/>
      <c r="AE463" s="123"/>
      <c r="AF463" s="43"/>
      <c r="AG463" s="59">
        <f t="shared" si="325"/>
        <v>0</v>
      </c>
      <c r="AH463" s="26"/>
      <c r="AI463" s="27"/>
      <c r="AJ463" s="28"/>
      <c r="AK463" s="59">
        <f t="shared" si="326"/>
        <v>0</v>
      </c>
      <c r="AL463" s="64"/>
      <c r="AM463" s="65"/>
      <c r="AN463" s="59">
        <f t="shared" si="327"/>
        <v>0</v>
      </c>
      <c r="AO463" s="64"/>
      <c r="AP463" s="65"/>
      <c r="AQ463" s="72">
        <f t="shared" si="328"/>
        <v>0</v>
      </c>
      <c r="AR463" s="124">
        <f t="shared" si="292"/>
        <v>0</v>
      </c>
      <c r="AS463" s="116"/>
    </row>
    <row r="464" spans="2:45" x14ac:dyDescent="0.15">
      <c r="B464" s="6" t="s">
        <v>16</v>
      </c>
      <c r="C464" s="26"/>
      <c r="D464" s="27">
        <v>1</v>
      </c>
      <c r="E464" s="28">
        <v>1</v>
      </c>
      <c r="F464" s="7">
        <f t="shared" si="329"/>
        <v>2</v>
      </c>
      <c r="G464" s="26">
        <f>2+1+2+3</f>
        <v>8</v>
      </c>
      <c r="H464" s="123"/>
      <c r="I464" s="43">
        <f>2+1</f>
        <v>3</v>
      </c>
      <c r="J464" s="59">
        <f t="shared" si="303"/>
        <v>11</v>
      </c>
      <c r="K464" s="26">
        <f>2+1</f>
        <v>3</v>
      </c>
      <c r="L464" s="27">
        <v>1</v>
      </c>
      <c r="M464" s="28">
        <f>2+3</f>
        <v>5</v>
      </c>
      <c r="N464" s="59">
        <f t="shared" ref="N464:N465" si="334">SUM(K464:M464)</f>
        <v>9</v>
      </c>
      <c r="O464" s="64">
        <f>5+5+2</f>
        <v>12</v>
      </c>
      <c r="P464" s="65">
        <f>8+6+4</f>
        <v>18</v>
      </c>
      <c r="Q464" s="59">
        <f t="shared" ref="Q464:Q465" si="335">SUM(O464:P464)</f>
        <v>30</v>
      </c>
      <c r="R464" s="64">
        <f>2+2</f>
        <v>4</v>
      </c>
      <c r="S464" s="65">
        <f>2+2+3+1</f>
        <v>8</v>
      </c>
      <c r="T464" s="72">
        <f t="shared" si="306"/>
        <v>12</v>
      </c>
      <c r="U464" s="124">
        <f t="shared" si="287"/>
        <v>64</v>
      </c>
      <c r="V464" s="119">
        <v>45845</v>
      </c>
      <c r="AC464" s="6"/>
      <c r="AD464" s="26"/>
      <c r="AE464" s="123"/>
      <c r="AF464" s="43"/>
      <c r="AG464" s="59">
        <f t="shared" si="325"/>
        <v>0</v>
      </c>
      <c r="AH464" s="26"/>
      <c r="AI464" s="27"/>
      <c r="AJ464" s="28"/>
      <c r="AK464" s="59">
        <f t="shared" si="326"/>
        <v>0</v>
      </c>
      <c r="AL464" s="64"/>
      <c r="AM464" s="65"/>
      <c r="AN464" s="59">
        <f t="shared" si="327"/>
        <v>0</v>
      </c>
      <c r="AO464" s="64"/>
      <c r="AP464" s="65"/>
      <c r="AQ464" s="72">
        <f t="shared" si="328"/>
        <v>0</v>
      </c>
      <c r="AR464" s="124">
        <f t="shared" si="292"/>
        <v>0</v>
      </c>
      <c r="AS464" s="116"/>
    </row>
    <row r="465" spans="2:45" x14ac:dyDescent="0.15">
      <c r="B465" s="6" t="s">
        <v>16</v>
      </c>
      <c r="C465" s="26"/>
      <c r="D465" s="27">
        <v>1</v>
      </c>
      <c r="E465" s="28"/>
      <c r="F465" s="7">
        <f t="shared" ref="F465" si="336">SUM(C465:E465)</f>
        <v>1</v>
      </c>
      <c r="G465" s="26">
        <f>1+4</f>
        <v>5</v>
      </c>
      <c r="H465" s="123"/>
      <c r="I465" s="43">
        <v>1</v>
      </c>
      <c r="J465" s="59">
        <f t="shared" ref="J465" si="337">SUM(G465:I465)</f>
        <v>6</v>
      </c>
      <c r="K465" s="26">
        <v>3</v>
      </c>
      <c r="L465" s="27">
        <v>3</v>
      </c>
      <c r="M465" s="28">
        <v>3</v>
      </c>
      <c r="N465" s="59">
        <f t="shared" si="334"/>
        <v>9</v>
      </c>
      <c r="O465" s="64">
        <v>2</v>
      </c>
      <c r="P465" s="65">
        <v>1</v>
      </c>
      <c r="Q465" s="59">
        <f t="shared" si="335"/>
        <v>3</v>
      </c>
      <c r="R465" s="64"/>
      <c r="S465" s="65"/>
      <c r="T465" s="72">
        <f t="shared" ref="T465" si="338">SUM(R465:S465)</f>
        <v>0</v>
      </c>
      <c r="U465" s="124">
        <f t="shared" si="287"/>
        <v>19</v>
      </c>
      <c r="V465" s="119">
        <v>45846</v>
      </c>
      <c r="AC465" s="6"/>
      <c r="AD465" s="26"/>
      <c r="AE465" s="123"/>
      <c r="AF465" s="43"/>
      <c r="AG465" s="59">
        <f t="shared" si="325"/>
        <v>0</v>
      </c>
      <c r="AH465" s="26"/>
      <c r="AI465" s="27"/>
      <c r="AJ465" s="28"/>
      <c r="AK465" s="59">
        <f t="shared" si="326"/>
        <v>0</v>
      </c>
      <c r="AL465" s="64"/>
      <c r="AM465" s="65"/>
      <c r="AN465" s="59">
        <f t="shared" si="327"/>
        <v>0</v>
      </c>
      <c r="AO465" s="64"/>
      <c r="AP465" s="65"/>
      <c r="AQ465" s="72">
        <f t="shared" si="328"/>
        <v>0</v>
      </c>
      <c r="AR465" s="124">
        <f t="shared" si="292"/>
        <v>0</v>
      </c>
      <c r="AS465" s="116"/>
    </row>
    <row r="466" spans="2:45" x14ac:dyDescent="0.15">
      <c r="B466" s="6" t="s">
        <v>16</v>
      </c>
      <c r="C466" s="26"/>
      <c r="D466" s="27"/>
      <c r="E466" s="28"/>
      <c r="F466" s="7">
        <f t="shared" si="329"/>
        <v>0</v>
      </c>
      <c r="G466" s="26">
        <v>3</v>
      </c>
      <c r="H466" s="123">
        <f>3+1</f>
        <v>4</v>
      </c>
      <c r="I466" s="43">
        <v>2</v>
      </c>
      <c r="J466" s="59">
        <f t="shared" si="303"/>
        <v>9</v>
      </c>
      <c r="K466" s="26">
        <v>1</v>
      </c>
      <c r="L466" s="27">
        <v>1</v>
      </c>
      <c r="M466" s="28">
        <v>1</v>
      </c>
      <c r="N466" s="59">
        <f t="shared" si="304"/>
        <v>3</v>
      </c>
      <c r="O466" s="64">
        <f>1+2+1</f>
        <v>4</v>
      </c>
      <c r="P466" s="65">
        <f>2+2</f>
        <v>4</v>
      </c>
      <c r="Q466" s="59">
        <f t="shared" si="305"/>
        <v>8</v>
      </c>
      <c r="R466" s="64">
        <v>1</v>
      </c>
      <c r="S466" s="65">
        <v>1</v>
      </c>
      <c r="T466" s="72">
        <f t="shared" si="306"/>
        <v>2</v>
      </c>
      <c r="U466" s="124">
        <f t="shared" si="287"/>
        <v>22</v>
      </c>
      <c r="V466" s="119">
        <v>45847</v>
      </c>
      <c r="AC466" s="6"/>
      <c r="AD466" s="26"/>
      <c r="AE466" s="123"/>
      <c r="AF466" s="43"/>
      <c r="AG466" s="59">
        <f t="shared" si="325"/>
        <v>0</v>
      </c>
      <c r="AH466" s="26"/>
      <c r="AI466" s="27"/>
      <c r="AJ466" s="28"/>
      <c r="AK466" s="59">
        <f t="shared" si="326"/>
        <v>0</v>
      </c>
      <c r="AL466" s="64"/>
      <c r="AM466" s="65"/>
      <c r="AN466" s="59">
        <f t="shared" si="327"/>
        <v>0</v>
      </c>
      <c r="AO466" s="64"/>
      <c r="AP466" s="65"/>
      <c r="AQ466" s="72">
        <f t="shared" si="328"/>
        <v>0</v>
      </c>
      <c r="AR466" s="124">
        <f t="shared" si="292"/>
        <v>0</v>
      </c>
      <c r="AS466" s="116"/>
    </row>
    <row r="467" spans="2:45" x14ac:dyDescent="0.15">
      <c r="B467" s="6" t="s">
        <v>16</v>
      </c>
      <c r="C467" s="26"/>
      <c r="D467" s="27">
        <v>1</v>
      </c>
      <c r="E467" s="28"/>
      <c r="F467" s="7">
        <f t="shared" si="329"/>
        <v>1</v>
      </c>
      <c r="G467" s="26">
        <v>7</v>
      </c>
      <c r="H467" s="123">
        <v>1</v>
      </c>
      <c r="I467" s="43">
        <f>1+1</f>
        <v>2</v>
      </c>
      <c r="J467" s="59">
        <f t="shared" si="303"/>
        <v>10</v>
      </c>
      <c r="K467" s="26">
        <v>1</v>
      </c>
      <c r="L467" s="27">
        <v>2</v>
      </c>
      <c r="M467" s="28">
        <f>1+2</f>
        <v>3</v>
      </c>
      <c r="N467" s="59">
        <f t="shared" si="304"/>
        <v>6</v>
      </c>
      <c r="O467" s="64">
        <f>1+2</f>
        <v>3</v>
      </c>
      <c r="P467" s="65">
        <v>4</v>
      </c>
      <c r="Q467" s="59">
        <f t="shared" si="305"/>
        <v>7</v>
      </c>
      <c r="R467" s="64">
        <v>1</v>
      </c>
      <c r="S467" s="65">
        <v>2</v>
      </c>
      <c r="T467" s="72">
        <f t="shared" si="306"/>
        <v>3</v>
      </c>
      <c r="U467" s="124">
        <f t="shared" si="287"/>
        <v>27</v>
      </c>
      <c r="V467" s="119">
        <v>45848</v>
      </c>
      <c r="AC467" s="6"/>
      <c r="AD467" s="26"/>
      <c r="AE467" s="123"/>
      <c r="AF467" s="43"/>
      <c r="AG467" s="59">
        <f t="shared" si="325"/>
        <v>0</v>
      </c>
      <c r="AH467" s="26"/>
      <c r="AI467" s="27"/>
      <c r="AJ467" s="28"/>
      <c r="AK467" s="59">
        <f t="shared" si="326"/>
        <v>0</v>
      </c>
      <c r="AL467" s="64"/>
      <c r="AM467" s="65"/>
      <c r="AN467" s="59">
        <f t="shared" si="327"/>
        <v>0</v>
      </c>
      <c r="AO467" s="64"/>
      <c r="AP467" s="65"/>
      <c r="AQ467" s="72">
        <f t="shared" si="328"/>
        <v>0</v>
      </c>
      <c r="AR467" s="124">
        <f t="shared" si="292"/>
        <v>0</v>
      </c>
      <c r="AS467" s="116"/>
    </row>
    <row r="468" spans="2:45" x14ac:dyDescent="0.15">
      <c r="B468" s="6" t="s">
        <v>16</v>
      </c>
      <c r="C468" s="26"/>
      <c r="D468" s="27">
        <v>1</v>
      </c>
      <c r="E468" s="28"/>
      <c r="F468" s="7">
        <f t="shared" si="329"/>
        <v>1</v>
      </c>
      <c r="G468" s="26"/>
      <c r="H468" s="123">
        <v>2</v>
      </c>
      <c r="I468" s="43">
        <v>2</v>
      </c>
      <c r="J468" s="59">
        <f t="shared" si="303"/>
        <v>4</v>
      </c>
      <c r="K468" s="26">
        <v>1</v>
      </c>
      <c r="L468" s="27">
        <v>1</v>
      </c>
      <c r="M468" s="28">
        <f>1+2</f>
        <v>3</v>
      </c>
      <c r="N468" s="59">
        <f t="shared" si="304"/>
        <v>5</v>
      </c>
      <c r="O468" s="64">
        <f>2+4</f>
        <v>6</v>
      </c>
      <c r="P468" s="65">
        <v>3</v>
      </c>
      <c r="Q468" s="59">
        <f t="shared" si="305"/>
        <v>9</v>
      </c>
      <c r="R468" s="64">
        <v>3</v>
      </c>
      <c r="S468" s="65">
        <v>1</v>
      </c>
      <c r="T468" s="72">
        <f t="shared" si="306"/>
        <v>4</v>
      </c>
      <c r="U468" s="124">
        <f t="shared" si="287"/>
        <v>23</v>
      </c>
      <c r="V468" s="119">
        <v>45849</v>
      </c>
      <c r="AC468" s="6"/>
      <c r="AD468" s="26"/>
      <c r="AE468" s="123"/>
      <c r="AF468" s="43"/>
      <c r="AG468" s="59">
        <f t="shared" si="325"/>
        <v>0</v>
      </c>
      <c r="AH468" s="26"/>
      <c r="AI468" s="27"/>
      <c r="AJ468" s="28"/>
      <c r="AK468" s="59">
        <f t="shared" si="326"/>
        <v>0</v>
      </c>
      <c r="AL468" s="64"/>
      <c r="AM468" s="65"/>
      <c r="AN468" s="59">
        <f t="shared" si="327"/>
        <v>0</v>
      </c>
      <c r="AO468" s="64"/>
      <c r="AP468" s="65"/>
      <c r="AQ468" s="72">
        <f t="shared" si="328"/>
        <v>0</v>
      </c>
      <c r="AR468" s="124">
        <f t="shared" si="292"/>
        <v>0</v>
      </c>
      <c r="AS468" s="116"/>
    </row>
    <row r="469" spans="2:45" x14ac:dyDescent="0.15">
      <c r="B469" s="6"/>
      <c r="C469" s="26"/>
      <c r="D469" s="27"/>
      <c r="E469" s="28"/>
      <c r="F469" s="7">
        <f t="shared" si="329"/>
        <v>0</v>
      </c>
      <c r="G469" s="26"/>
      <c r="H469" s="123"/>
      <c r="I469" s="43"/>
      <c r="J469" s="59">
        <f t="shared" si="303"/>
        <v>0</v>
      </c>
      <c r="K469" s="26"/>
      <c r="L469" s="27"/>
      <c r="M469" s="28"/>
      <c r="N469" s="59">
        <f t="shared" si="304"/>
        <v>0</v>
      </c>
      <c r="O469" s="64"/>
      <c r="P469" s="65"/>
      <c r="Q469" s="59">
        <f t="shared" si="305"/>
        <v>0</v>
      </c>
      <c r="R469" s="64"/>
      <c r="S469" s="65"/>
      <c r="T469" s="72">
        <f t="shared" si="306"/>
        <v>0</v>
      </c>
      <c r="U469" s="124">
        <f t="shared" si="287"/>
        <v>0</v>
      </c>
      <c r="V469" s="116"/>
      <c r="AC469" s="6"/>
      <c r="AD469" s="26"/>
      <c r="AE469" s="123"/>
      <c r="AF469" s="43"/>
      <c r="AG469" s="59">
        <f t="shared" si="325"/>
        <v>0</v>
      </c>
      <c r="AH469" s="26"/>
      <c r="AI469" s="27"/>
      <c r="AJ469" s="28"/>
      <c r="AK469" s="59">
        <f t="shared" si="326"/>
        <v>0</v>
      </c>
      <c r="AL469" s="64"/>
      <c r="AM469" s="65"/>
      <c r="AN469" s="59">
        <f t="shared" si="327"/>
        <v>0</v>
      </c>
      <c r="AO469" s="64"/>
      <c r="AP469" s="65"/>
      <c r="AQ469" s="72">
        <f t="shared" si="328"/>
        <v>0</v>
      </c>
      <c r="AR469" s="124">
        <f t="shared" si="292"/>
        <v>0</v>
      </c>
      <c r="AS469" s="116"/>
    </row>
    <row r="470" spans="2:45" x14ac:dyDescent="0.15">
      <c r="B470" s="6"/>
      <c r="C470" s="26"/>
      <c r="D470" s="27"/>
      <c r="E470" s="28"/>
      <c r="F470" s="7">
        <f t="shared" si="329"/>
        <v>0</v>
      </c>
      <c r="G470" s="26"/>
      <c r="H470" s="123"/>
      <c r="I470" s="43"/>
      <c r="J470" s="59">
        <f t="shared" si="303"/>
        <v>0</v>
      </c>
      <c r="K470" s="26"/>
      <c r="L470" s="27"/>
      <c r="M470" s="28"/>
      <c r="N470" s="59">
        <f t="shared" si="304"/>
        <v>0</v>
      </c>
      <c r="O470" s="64"/>
      <c r="P470" s="65"/>
      <c r="Q470" s="59">
        <f t="shared" si="305"/>
        <v>0</v>
      </c>
      <c r="R470" s="64"/>
      <c r="S470" s="65"/>
      <c r="T470" s="72">
        <f t="shared" si="306"/>
        <v>0</v>
      </c>
      <c r="U470" s="124">
        <f t="shared" si="287"/>
        <v>0</v>
      </c>
      <c r="V470" s="116"/>
      <c r="AC470" s="6"/>
      <c r="AD470" s="26"/>
      <c r="AE470" s="123"/>
      <c r="AF470" s="43"/>
      <c r="AG470" s="59">
        <f t="shared" si="325"/>
        <v>0</v>
      </c>
      <c r="AH470" s="26"/>
      <c r="AI470" s="27"/>
      <c r="AJ470" s="28"/>
      <c r="AK470" s="59">
        <f t="shared" si="326"/>
        <v>0</v>
      </c>
      <c r="AL470" s="64"/>
      <c r="AM470" s="65"/>
      <c r="AN470" s="59">
        <f t="shared" si="327"/>
        <v>0</v>
      </c>
      <c r="AO470" s="64"/>
      <c r="AP470" s="65"/>
      <c r="AQ470" s="72">
        <f t="shared" si="328"/>
        <v>0</v>
      </c>
      <c r="AR470" s="124">
        <f t="shared" si="292"/>
        <v>0</v>
      </c>
      <c r="AS470" s="116"/>
    </row>
    <row r="471" spans="2:45" x14ac:dyDescent="0.15">
      <c r="B471" s="6"/>
      <c r="C471" s="26"/>
      <c r="D471" s="27"/>
      <c r="E471" s="28"/>
      <c r="F471" s="7">
        <f t="shared" si="329"/>
        <v>0</v>
      </c>
      <c r="G471" s="26"/>
      <c r="H471" s="123"/>
      <c r="I471" s="43"/>
      <c r="J471" s="59">
        <f t="shared" si="303"/>
        <v>0</v>
      </c>
      <c r="K471" s="26"/>
      <c r="L471" s="27"/>
      <c r="M471" s="28"/>
      <c r="N471" s="59">
        <f t="shared" si="304"/>
        <v>0</v>
      </c>
      <c r="O471" s="64"/>
      <c r="P471" s="65"/>
      <c r="Q471" s="59">
        <f t="shared" si="305"/>
        <v>0</v>
      </c>
      <c r="R471" s="64"/>
      <c r="S471" s="65"/>
      <c r="T471" s="72">
        <f t="shared" si="306"/>
        <v>0</v>
      </c>
      <c r="U471" s="124">
        <f t="shared" si="287"/>
        <v>0</v>
      </c>
      <c r="V471" s="116"/>
      <c r="AC471" s="6"/>
      <c r="AD471" s="26"/>
      <c r="AE471" s="123"/>
      <c r="AF471" s="43"/>
      <c r="AG471" s="59">
        <f t="shared" si="325"/>
        <v>0</v>
      </c>
      <c r="AH471" s="26"/>
      <c r="AI471" s="27"/>
      <c r="AJ471" s="28"/>
      <c r="AK471" s="59">
        <f t="shared" si="326"/>
        <v>0</v>
      </c>
      <c r="AL471" s="64"/>
      <c r="AM471" s="65"/>
      <c r="AN471" s="59">
        <f t="shared" si="327"/>
        <v>0</v>
      </c>
      <c r="AO471" s="64"/>
      <c r="AP471" s="65"/>
      <c r="AQ471" s="72">
        <f t="shared" si="328"/>
        <v>0</v>
      </c>
      <c r="AR471" s="124">
        <f t="shared" si="292"/>
        <v>0</v>
      </c>
      <c r="AS471" s="116"/>
    </row>
    <row r="472" spans="2:45" x14ac:dyDescent="0.15">
      <c r="B472" s="6"/>
      <c r="C472" s="26"/>
      <c r="D472" s="27"/>
      <c r="E472" s="28"/>
      <c r="F472" s="7">
        <f t="shared" si="329"/>
        <v>0</v>
      </c>
      <c r="G472" s="26"/>
      <c r="H472" s="123"/>
      <c r="I472" s="43"/>
      <c r="J472" s="59">
        <f t="shared" si="303"/>
        <v>0</v>
      </c>
      <c r="K472" s="26"/>
      <c r="L472" s="27"/>
      <c r="M472" s="28"/>
      <c r="N472" s="59">
        <f t="shared" si="304"/>
        <v>0</v>
      </c>
      <c r="O472" s="64"/>
      <c r="P472" s="65"/>
      <c r="Q472" s="59">
        <f t="shared" si="305"/>
        <v>0</v>
      </c>
      <c r="R472" s="64"/>
      <c r="S472" s="65"/>
      <c r="T472" s="72">
        <f t="shared" si="306"/>
        <v>0</v>
      </c>
      <c r="U472" s="124">
        <f t="shared" si="287"/>
        <v>0</v>
      </c>
      <c r="V472" s="116"/>
      <c r="AC472" s="6"/>
      <c r="AD472" s="26"/>
      <c r="AE472" s="123"/>
      <c r="AF472" s="43"/>
      <c r="AG472" s="59">
        <f t="shared" si="325"/>
        <v>0</v>
      </c>
      <c r="AH472" s="26"/>
      <c r="AI472" s="27"/>
      <c r="AJ472" s="28"/>
      <c r="AK472" s="59">
        <f t="shared" si="326"/>
        <v>0</v>
      </c>
      <c r="AL472" s="64"/>
      <c r="AM472" s="65"/>
      <c r="AN472" s="59">
        <f t="shared" si="327"/>
        <v>0</v>
      </c>
      <c r="AO472" s="64"/>
      <c r="AP472" s="65"/>
      <c r="AQ472" s="72">
        <f t="shared" si="328"/>
        <v>0</v>
      </c>
      <c r="AR472" s="124">
        <f t="shared" si="292"/>
        <v>0</v>
      </c>
      <c r="AS472" s="116"/>
    </row>
    <row r="473" spans="2:45" x14ac:dyDescent="0.15">
      <c r="B473" s="6"/>
      <c r="C473" s="26"/>
      <c r="D473" s="27"/>
      <c r="E473" s="28"/>
      <c r="F473" s="7">
        <f t="shared" si="329"/>
        <v>0</v>
      </c>
      <c r="G473" s="26"/>
      <c r="H473" s="123"/>
      <c r="I473" s="43"/>
      <c r="J473" s="59">
        <f t="shared" si="303"/>
        <v>0</v>
      </c>
      <c r="K473" s="26"/>
      <c r="L473" s="27"/>
      <c r="M473" s="28"/>
      <c r="N473" s="59">
        <f t="shared" si="304"/>
        <v>0</v>
      </c>
      <c r="O473" s="64"/>
      <c r="P473" s="65"/>
      <c r="Q473" s="59">
        <f t="shared" si="305"/>
        <v>0</v>
      </c>
      <c r="R473" s="64"/>
      <c r="S473" s="65"/>
      <c r="T473" s="72">
        <f t="shared" si="306"/>
        <v>0</v>
      </c>
      <c r="U473" s="124">
        <f t="shared" si="287"/>
        <v>0</v>
      </c>
      <c r="V473" s="116"/>
      <c r="AC473" s="6"/>
      <c r="AD473" s="26"/>
      <c r="AE473" s="123"/>
      <c r="AF473" s="43"/>
      <c r="AG473" s="59">
        <f t="shared" si="325"/>
        <v>0</v>
      </c>
      <c r="AH473" s="26"/>
      <c r="AI473" s="27"/>
      <c r="AJ473" s="28"/>
      <c r="AK473" s="59">
        <f t="shared" si="326"/>
        <v>0</v>
      </c>
      <c r="AL473" s="64"/>
      <c r="AM473" s="65"/>
      <c r="AN473" s="59">
        <f t="shared" si="327"/>
        <v>0</v>
      </c>
      <c r="AO473" s="64"/>
      <c r="AP473" s="65"/>
      <c r="AQ473" s="72">
        <f t="shared" si="328"/>
        <v>0</v>
      </c>
      <c r="AR473" s="124">
        <f t="shared" si="292"/>
        <v>0</v>
      </c>
      <c r="AS473" s="116"/>
    </row>
    <row r="474" spans="2:45" x14ac:dyDescent="0.15">
      <c r="B474" s="6"/>
      <c r="C474" s="26"/>
      <c r="D474" s="27"/>
      <c r="E474" s="28"/>
      <c r="F474" s="7">
        <f t="shared" si="329"/>
        <v>0</v>
      </c>
      <c r="G474" s="26"/>
      <c r="H474" s="123"/>
      <c r="I474" s="43"/>
      <c r="J474" s="59">
        <f t="shared" si="303"/>
        <v>0</v>
      </c>
      <c r="K474" s="26"/>
      <c r="L474" s="27"/>
      <c r="M474" s="28"/>
      <c r="N474" s="59">
        <f t="shared" si="304"/>
        <v>0</v>
      </c>
      <c r="O474" s="64"/>
      <c r="P474" s="65"/>
      <c r="Q474" s="59">
        <f t="shared" si="305"/>
        <v>0</v>
      </c>
      <c r="R474" s="64"/>
      <c r="S474" s="65"/>
      <c r="T474" s="72">
        <f t="shared" si="306"/>
        <v>0</v>
      </c>
      <c r="U474" s="124">
        <f t="shared" si="287"/>
        <v>0</v>
      </c>
      <c r="V474" s="116"/>
      <c r="AC474" s="6"/>
      <c r="AD474" s="26"/>
      <c r="AE474" s="123"/>
      <c r="AF474" s="43"/>
      <c r="AG474" s="59">
        <f t="shared" si="325"/>
        <v>0</v>
      </c>
      <c r="AH474" s="26"/>
      <c r="AI474" s="27"/>
      <c r="AJ474" s="28"/>
      <c r="AK474" s="59">
        <f t="shared" si="326"/>
        <v>0</v>
      </c>
      <c r="AL474" s="64"/>
      <c r="AM474" s="65"/>
      <c r="AN474" s="59">
        <f t="shared" si="327"/>
        <v>0</v>
      </c>
      <c r="AO474" s="64"/>
      <c r="AP474" s="65"/>
      <c r="AQ474" s="72">
        <f t="shared" si="328"/>
        <v>0</v>
      </c>
      <c r="AR474" s="124">
        <f t="shared" si="292"/>
        <v>0</v>
      </c>
      <c r="AS474" s="116"/>
    </row>
    <row r="475" spans="2:45" x14ac:dyDescent="0.15">
      <c r="B475" s="6"/>
      <c r="C475" s="26"/>
      <c r="D475" s="27"/>
      <c r="E475" s="28"/>
      <c r="F475" s="7">
        <f t="shared" si="329"/>
        <v>0</v>
      </c>
      <c r="G475" s="26"/>
      <c r="H475" s="123"/>
      <c r="I475" s="43"/>
      <c r="J475" s="59">
        <f t="shared" si="303"/>
        <v>0</v>
      </c>
      <c r="K475" s="26"/>
      <c r="L475" s="27"/>
      <c r="M475" s="28"/>
      <c r="N475" s="59">
        <f t="shared" si="304"/>
        <v>0</v>
      </c>
      <c r="O475" s="64"/>
      <c r="P475" s="65"/>
      <c r="Q475" s="59">
        <f t="shared" si="305"/>
        <v>0</v>
      </c>
      <c r="R475" s="64"/>
      <c r="S475" s="65"/>
      <c r="T475" s="72">
        <f t="shared" si="306"/>
        <v>0</v>
      </c>
      <c r="U475" s="124">
        <f t="shared" si="287"/>
        <v>0</v>
      </c>
      <c r="V475" s="116"/>
      <c r="AC475" s="6"/>
      <c r="AD475" s="26"/>
      <c r="AE475" s="123"/>
      <c r="AF475" s="43"/>
      <c r="AG475" s="59">
        <f t="shared" si="325"/>
        <v>0</v>
      </c>
      <c r="AH475" s="26"/>
      <c r="AI475" s="27"/>
      <c r="AJ475" s="28"/>
      <c r="AK475" s="59">
        <f t="shared" si="326"/>
        <v>0</v>
      </c>
      <c r="AL475" s="64"/>
      <c r="AM475" s="65"/>
      <c r="AN475" s="59">
        <f t="shared" si="327"/>
        <v>0</v>
      </c>
      <c r="AO475" s="64"/>
      <c r="AP475" s="65"/>
      <c r="AQ475" s="72">
        <f t="shared" si="328"/>
        <v>0</v>
      </c>
      <c r="AR475" s="124">
        <f t="shared" si="292"/>
        <v>0</v>
      </c>
      <c r="AS475" s="116"/>
    </row>
    <row r="476" spans="2:45" x14ac:dyDescent="0.15">
      <c r="B476" s="6"/>
      <c r="C476" s="26"/>
      <c r="D476" s="27"/>
      <c r="E476" s="28"/>
      <c r="F476" s="7">
        <f t="shared" si="329"/>
        <v>0</v>
      </c>
      <c r="G476" s="26"/>
      <c r="H476" s="123"/>
      <c r="I476" s="43"/>
      <c r="J476" s="59">
        <f t="shared" si="303"/>
        <v>0</v>
      </c>
      <c r="K476" s="26"/>
      <c r="L476" s="27"/>
      <c r="M476" s="28"/>
      <c r="N476" s="59">
        <f t="shared" si="304"/>
        <v>0</v>
      </c>
      <c r="O476" s="64"/>
      <c r="P476" s="65"/>
      <c r="Q476" s="59">
        <f t="shared" si="305"/>
        <v>0</v>
      </c>
      <c r="R476" s="64"/>
      <c r="S476" s="65"/>
      <c r="T476" s="72">
        <f t="shared" si="306"/>
        <v>0</v>
      </c>
      <c r="U476" s="124">
        <f t="shared" si="287"/>
        <v>0</v>
      </c>
      <c r="V476" s="116"/>
      <c r="AC476" s="6"/>
      <c r="AD476" s="26"/>
      <c r="AE476" s="123"/>
      <c r="AF476" s="43"/>
      <c r="AG476" s="59">
        <f t="shared" si="325"/>
        <v>0</v>
      </c>
      <c r="AH476" s="26"/>
      <c r="AI476" s="27"/>
      <c r="AJ476" s="28"/>
      <c r="AK476" s="59">
        <f t="shared" si="326"/>
        <v>0</v>
      </c>
      <c r="AL476" s="64"/>
      <c r="AM476" s="65"/>
      <c r="AN476" s="59">
        <f t="shared" si="327"/>
        <v>0</v>
      </c>
      <c r="AO476" s="64"/>
      <c r="AP476" s="65"/>
      <c r="AQ476" s="72">
        <f t="shared" si="328"/>
        <v>0</v>
      </c>
      <c r="AR476" s="124">
        <f t="shared" si="292"/>
        <v>0</v>
      </c>
      <c r="AS476" s="116"/>
    </row>
    <row r="477" spans="2:45" ht="14.25" thickBot="1" x14ac:dyDescent="0.2">
      <c r="B477" s="6"/>
      <c r="C477" s="26"/>
      <c r="D477" s="27"/>
      <c r="E477" s="28"/>
      <c r="F477" s="7">
        <f t="shared" si="329"/>
        <v>0</v>
      </c>
      <c r="G477" s="29"/>
      <c r="H477" s="126"/>
      <c r="I477" s="44"/>
      <c r="J477" s="125">
        <f t="shared" si="303"/>
        <v>0</v>
      </c>
      <c r="K477" s="29"/>
      <c r="L477" s="30"/>
      <c r="M477" s="31"/>
      <c r="N477" s="125">
        <f t="shared" si="304"/>
        <v>0</v>
      </c>
      <c r="O477" s="66"/>
      <c r="P477" s="67"/>
      <c r="Q477" s="125">
        <f t="shared" si="305"/>
        <v>0</v>
      </c>
      <c r="R477" s="66"/>
      <c r="S477" s="67"/>
      <c r="T477" s="127">
        <f t="shared" si="306"/>
        <v>0</v>
      </c>
      <c r="U477" s="128">
        <f t="shared" si="287"/>
        <v>0</v>
      </c>
      <c r="V477" s="116"/>
      <c r="AC477" s="6"/>
      <c r="AD477" s="29"/>
      <c r="AE477" s="126"/>
      <c r="AF477" s="44"/>
      <c r="AG477" s="125">
        <f t="shared" si="325"/>
        <v>0</v>
      </c>
      <c r="AH477" s="29"/>
      <c r="AI477" s="30"/>
      <c r="AJ477" s="31"/>
      <c r="AK477" s="125">
        <f t="shared" si="326"/>
        <v>0</v>
      </c>
      <c r="AL477" s="66"/>
      <c r="AM477" s="67"/>
      <c r="AN477" s="125">
        <f t="shared" si="327"/>
        <v>0</v>
      </c>
      <c r="AO477" s="66"/>
      <c r="AP477" s="67"/>
      <c r="AQ477" s="127">
        <f t="shared" si="328"/>
        <v>0</v>
      </c>
      <c r="AR477" s="128">
        <f t="shared" si="292"/>
        <v>0</v>
      </c>
      <c r="AS477" s="116"/>
    </row>
    <row r="478" spans="2:45" ht="14.25" thickBot="1" x14ac:dyDescent="0.2">
      <c r="B478" s="5" t="s">
        <v>2</v>
      </c>
      <c r="C478" s="142">
        <f>SUM(C453:C477)</f>
        <v>8</v>
      </c>
      <c r="D478" s="152">
        <f t="shared" ref="D478:F478" si="339">SUM(D453:D477)</f>
        <v>4</v>
      </c>
      <c r="E478" s="143">
        <f t="shared" si="339"/>
        <v>6</v>
      </c>
      <c r="F478" s="4">
        <f t="shared" si="339"/>
        <v>18</v>
      </c>
      <c r="G478" s="32">
        <f>SUM(G453:G477)</f>
        <v>55</v>
      </c>
      <c r="H478" s="132">
        <f t="shared" ref="H478:U478" si="340">SUM(H453:H477)</f>
        <v>21</v>
      </c>
      <c r="I478" s="34">
        <f t="shared" si="340"/>
        <v>66</v>
      </c>
      <c r="J478" s="4">
        <f t="shared" si="340"/>
        <v>142</v>
      </c>
      <c r="K478" s="32">
        <f t="shared" si="340"/>
        <v>17</v>
      </c>
      <c r="L478" s="33">
        <f t="shared" si="340"/>
        <v>12</v>
      </c>
      <c r="M478" s="34">
        <f t="shared" si="340"/>
        <v>21</v>
      </c>
      <c r="N478" s="4">
        <f t="shared" si="340"/>
        <v>50</v>
      </c>
      <c r="O478" s="68">
        <f t="shared" si="340"/>
        <v>57</v>
      </c>
      <c r="P478" s="69">
        <f t="shared" si="340"/>
        <v>64</v>
      </c>
      <c r="Q478" s="4">
        <f t="shared" si="340"/>
        <v>121</v>
      </c>
      <c r="R478" s="68">
        <f t="shared" si="340"/>
        <v>18</v>
      </c>
      <c r="S478" s="69">
        <f t="shared" si="340"/>
        <v>31</v>
      </c>
      <c r="T478" s="58">
        <f t="shared" si="340"/>
        <v>49</v>
      </c>
      <c r="U478" s="88">
        <f t="shared" si="340"/>
        <v>380</v>
      </c>
      <c r="V478" s="116"/>
      <c r="AC478" s="5" t="s">
        <v>2</v>
      </c>
      <c r="AD478" s="32">
        <f t="shared" ref="AD478:AF478" si="341">SUM(AD453:AD477)</f>
        <v>0</v>
      </c>
      <c r="AE478" s="132">
        <f t="shared" si="341"/>
        <v>0</v>
      </c>
      <c r="AF478" s="34">
        <f t="shared" si="341"/>
        <v>20</v>
      </c>
      <c r="AG478" s="4">
        <f t="shared" si="325"/>
        <v>20</v>
      </c>
      <c r="AH478" s="32">
        <f>SUM(AH453:AH477)</f>
        <v>0</v>
      </c>
      <c r="AI478" s="33">
        <f t="shared" ref="AI478:AJ478" si="342">SUM(AI453:AI477)</f>
        <v>0</v>
      </c>
      <c r="AJ478" s="34">
        <f t="shared" si="342"/>
        <v>0</v>
      </c>
      <c r="AK478" s="4">
        <f t="shared" si="326"/>
        <v>0</v>
      </c>
      <c r="AL478" s="68">
        <f t="shared" ref="AL478:AM478" si="343">SUM(AL453:AL477)</f>
        <v>20</v>
      </c>
      <c r="AM478" s="69">
        <f t="shared" si="343"/>
        <v>20</v>
      </c>
      <c r="AN478" s="4">
        <f t="shared" si="327"/>
        <v>40</v>
      </c>
      <c r="AO478" s="68">
        <f>SUM(AO453:AO477)</f>
        <v>20</v>
      </c>
      <c r="AP478" s="69">
        <f t="shared" ref="AP478" si="344">SUM(AP453:AP477)</f>
        <v>20</v>
      </c>
      <c r="AQ478" s="58">
        <f t="shared" si="328"/>
        <v>40</v>
      </c>
      <c r="AR478" s="88">
        <f t="shared" si="292"/>
        <v>100</v>
      </c>
      <c r="AS478" s="116"/>
    </row>
    <row r="479" spans="2:45" ht="14.25" thickBot="1" x14ac:dyDescent="0.2">
      <c r="B479" s="3" t="s">
        <v>3</v>
      </c>
      <c r="C479" s="147">
        <f>+C452-C478</f>
        <v>0</v>
      </c>
      <c r="D479" s="153">
        <f t="shared" ref="D479:F479" si="345">+D452-D478</f>
        <v>0</v>
      </c>
      <c r="E479" s="148">
        <f t="shared" si="345"/>
        <v>0</v>
      </c>
      <c r="F479" s="2">
        <f t="shared" si="345"/>
        <v>0</v>
      </c>
      <c r="G479" s="70">
        <f>+G452-G478</f>
        <v>31</v>
      </c>
      <c r="H479" s="86">
        <f t="shared" ref="H479:U479" si="346">+H452-H478</f>
        <v>50</v>
      </c>
      <c r="I479" s="85">
        <f t="shared" si="346"/>
        <v>50</v>
      </c>
      <c r="J479" s="61">
        <f t="shared" si="346"/>
        <v>131</v>
      </c>
      <c r="K479" s="70">
        <f t="shared" si="346"/>
        <v>46</v>
      </c>
      <c r="L479" s="84">
        <f t="shared" si="346"/>
        <v>28</v>
      </c>
      <c r="M479" s="85">
        <f t="shared" si="346"/>
        <v>36</v>
      </c>
      <c r="N479" s="61">
        <f t="shared" si="346"/>
        <v>110</v>
      </c>
      <c r="O479" s="81">
        <f t="shared" si="346"/>
        <v>47</v>
      </c>
      <c r="P479" s="71">
        <f t="shared" si="346"/>
        <v>42</v>
      </c>
      <c r="Q479" s="61">
        <f t="shared" si="346"/>
        <v>89</v>
      </c>
      <c r="R479" s="81">
        <f t="shared" si="346"/>
        <v>45</v>
      </c>
      <c r="S479" s="71">
        <f t="shared" si="346"/>
        <v>34</v>
      </c>
      <c r="T479" s="73">
        <f t="shared" si="346"/>
        <v>79</v>
      </c>
      <c r="U479" s="88">
        <f t="shared" si="346"/>
        <v>409</v>
      </c>
      <c r="V479" s="116"/>
      <c r="AC479" s="3" t="s">
        <v>3</v>
      </c>
      <c r="AD479" s="70">
        <f>+AD452-AD478</f>
        <v>50</v>
      </c>
      <c r="AE479" s="86">
        <f>+AE452-AE478</f>
        <v>120</v>
      </c>
      <c r="AF479" s="85">
        <f t="shared" ref="AF479" si="347">+AF452-AF478</f>
        <v>70</v>
      </c>
      <c r="AG479" s="61">
        <f t="shared" si="325"/>
        <v>240</v>
      </c>
      <c r="AH479" s="70">
        <f>+AH452-AH478</f>
        <v>70</v>
      </c>
      <c r="AI479" s="84">
        <f t="shared" ref="AI479:AJ479" si="348">+AI452-AI478</f>
        <v>50</v>
      </c>
      <c r="AJ479" s="85">
        <f t="shared" si="348"/>
        <v>80</v>
      </c>
      <c r="AK479" s="61">
        <f t="shared" si="326"/>
        <v>200</v>
      </c>
      <c r="AL479" s="81">
        <f>+AL452-AL478</f>
        <v>120</v>
      </c>
      <c r="AM479" s="71">
        <f>+AM452-AM478</f>
        <v>120</v>
      </c>
      <c r="AN479" s="61">
        <f t="shared" si="327"/>
        <v>240</v>
      </c>
      <c r="AO479" s="81">
        <f>+AO452-AO478</f>
        <v>20</v>
      </c>
      <c r="AP479" s="71">
        <f t="shared" ref="AP479" si="349">+AP452-AP478</f>
        <v>20</v>
      </c>
      <c r="AQ479" s="73">
        <f t="shared" si="328"/>
        <v>40</v>
      </c>
      <c r="AR479" s="151">
        <f t="shared" si="292"/>
        <v>720</v>
      </c>
      <c r="AS479" s="116"/>
    </row>
    <row r="482" spans="2:45" ht="18.75" x14ac:dyDescent="0.2">
      <c r="B482" s="89" t="s">
        <v>7</v>
      </c>
      <c r="C482" s="90"/>
      <c r="D482" s="90"/>
      <c r="E482" s="90"/>
      <c r="F482" s="90"/>
      <c r="G482" s="90"/>
      <c r="H482" s="90"/>
      <c r="I482" s="90"/>
      <c r="J482" s="90"/>
      <c r="K482" s="90"/>
      <c r="L482" s="90"/>
      <c r="M482" s="90"/>
      <c r="N482" s="90"/>
      <c r="O482" s="89"/>
      <c r="P482" s="90"/>
      <c r="Q482" s="90"/>
      <c r="R482" s="90"/>
      <c r="S482" s="90"/>
      <c r="T482" s="90"/>
      <c r="U482" s="90"/>
      <c r="V482" s="90"/>
      <c r="W482" s="90"/>
      <c r="X482" s="90"/>
      <c r="Y482" s="90"/>
      <c r="Z482" s="90"/>
      <c r="AA482" s="90"/>
      <c r="AC482" s="89" t="s">
        <v>7</v>
      </c>
      <c r="AD482" s="90"/>
      <c r="AE482" s="90"/>
      <c r="AF482" s="90"/>
      <c r="AG482" s="90"/>
      <c r="AH482" s="90"/>
      <c r="AI482" s="89"/>
      <c r="AJ482" s="90"/>
      <c r="AK482" s="90"/>
      <c r="AL482" s="90"/>
      <c r="AM482" s="90"/>
      <c r="AN482" s="90"/>
      <c r="AO482" s="90"/>
      <c r="AP482" s="90"/>
      <c r="AQ482" s="90"/>
      <c r="AR482" s="90"/>
      <c r="AS482" s="90"/>
    </row>
    <row r="483" spans="2:45" ht="18" thickBot="1" x14ac:dyDescent="0.25">
      <c r="B483" s="91" t="s">
        <v>70</v>
      </c>
      <c r="C483" s="90"/>
      <c r="D483" s="90"/>
      <c r="E483" s="90"/>
      <c r="F483" s="90"/>
      <c r="G483" s="90"/>
      <c r="H483" s="90"/>
      <c r="I483" s="91"/>
      <c r="J483" s="90"/>
      <c r="K483" s="90"/>
      <c r="L483" s="90"/>
      <c r="M483" s="90"/>
      <c r="N483" s="90"/>
      <c r="O483" s="91"/>
      <c r="P483" s="90"/>
      <c r="Q483" s="90"/>
      <c r="R483" s="90"/>
      <c r="S483" s="90"/>
      <c r="T483" s="90"/>
      <c r="U483" s="91"/>
      <c r="V483" s="91"/>
      <c r="W483" s="91"/>
      <c r="X483" s="91"/>
      <c r="Y483" s="90"/>
      <c r="Z483" s="90"/>
      <c r="AA483" s="90"/>
      <c r="AC483" s="91" t="s">
        <v>70</v>
      </c>
      <c r="AD483" s="90"/>
      <c r="AE483" s="90"/>
      <c r="AF483" s="90"/>
      <c r="AG483" s="90"/>
      <c r="AH483" s="90"/>
      <c r="AI483" s="91"/>
      <c r="AJ483" s="90"/>
      <c r="AK483" s="90"/>
      <c r="AL483" s="90"/>
      <c r="AM483" s="90"/>
      <c r="AN483" s="90"/>
      <c r="AO483" s="91"/>
      <c r="AP483" s="91"/>
      <c r="AQ483" s="91"/>
      <c r="AR483" s="91"/>
      <c r="AS483" s="90"/>
    </row>
    <row r="484" spans="2:45" ht="14.25" thickBot="1" x14ac:dyDescent="0.2">
      <c r="B484" s="92"/>
      <c r="C484" s="205" t="s">
        <v>63</v>
      </c>
      <c r="D484" s="206"/>
      <c r="E484" s="206"/>
      <c r="F484" s="206"/>
      <c r="G484" s="205" t="s">
        <v>61</v>
      </c>
      <c r="H484" s="206"/>
      <c r="I484" s="206"/>
      <c r="J484" s="207"/>
      <c r="K484" s="205" t="s">
        <v>65</v>
      </c>
      <c r="L484" s="206"/>
      <c r="M484" s="207"/>
      <c r="N484" s="208" t="s">
        <v>68</v>
      </c>
      <c r="O484" s="209"/>
      <c r="P484" s="210"/>
      <c r="Q484" s="93"/>
      <c r="R484" s="116"/>
      <c r="AC484" s="92"/>
      <c r="AD484" s="205" t="s">
        <v>63</v>
      </c>
      <c r="AE484" s="206"/>
      <c r="AF484" s="206"/>
      <c r="AG484" s="206"/>
      <c r="AH484" s="205" t="s">
        <v>61</v>
      </c>
      <c r="AI484" s="206"/>
      <c r="AJ484" s="206"/>
      <c r="AK484" s="207"/>
      <c r="AL484" s="205" t="s">
        <v>65</v>
      </c>
      <c r="AM484" s="206"/>
      <c r="AN484" s="207"/>
      <c r="AO484" s="208" t="s">
        <v>68</v>
      </c>
      <c r="AP484" s="209"/>
      <c r="AQ484" s="210"/>
      <c r="AR484" s="93"/>
      <c r="AS484" s="116"/>
    </row>
    <row r="485" spans="2:45" ht="14.25" thickBot="1" x14ac:dyDescent="0.2">
      <c r="B485" s="94"/>
      <c r="C485" s="104" t="s">
        <v>9</v>
      </c>
      <c r="D485" s="107" t="s">
        <v>50</v>
      </c>
      <c r="E485" s="108" t="s">
        <v>6</v>
      </c>
      <c r="F485" s="94" t="s">
        <v>0</v>
      </c>
      <c r="G485" s="104" t="s">
        <v>9</v>
      </c>
      <c r="H485" s="105" t="s">
        <v>13</v>
      </c>
      <c r="I485" s="106" t="s">
        <v>62</v>
      </c>
      <c r="J485" s="98" t="s">
        <v>0</v>
      </c>
      <c r="K485" s="109" t="s">
        <v>69</v>
      </c>
      <c r="L485" s="110" t="s">
        <v>10</v>
      </c>
      <c r="M485" s="103" t="s">
        <v>0</v>
      </c>
      <c r="N485" s="111" t="s">
        <v>62</v>
      </c>
      <c r="O485" s="110" t="s">
        <v>10</v>
      </c>
      <c r="P485" s="103" t="s">
        <v>0</v>
      </c>
      <c r="Q485" s="112" t="s">
        <v>0</v>
      </c>
      <c r="R485" s="116"/>
      <c r="AC485" s="94"/>
      <c r="AD485" s="104" t="s">
        <v>9</v>
      </c>
      <c r="AE485" s="107" t="s">
        <v>50</v>
      </c>
      <c r="AF485" s="108" t="s">
        <v>6</v>
      </c>
      <c r="AG485" s="94" t="s">
        <v>0</v>
      </c>
      <c r="AH485" s="104" t="s">
        <v>9</v>
      </c>
      <c r="AI485" s="105" t="s">
        <v>13</v>
      </c>
      <c r="AJ485" s="106" t="s">
        <v>62</v>
      </c>
      <c r="AK485" s="98" t="s">
        <v>0</v>
      </c>
      <c r="AL485" s="109" t="s">
        <v>69</v>
      </c>
      <c r="AM485" s="110" t="s">
        <v>10</v>
      </c>
      <c r="AN485" s="103" t="s">
        <v>0</v>
      </c>
      <c r="AO485" s="111" t="s">
        <v>62</v>
      </c>
      <c r="AP485" s="110" t="s">
        <v>10</v>
      </c>
      <c r="AQ485" s="103" t="s">
        <v>0</v>
      </c>
      <c r="AR485" s="112" t="s">
        <v>0</v>
      </c>
      <c r="AS485" s="116"/>
    </row>
    <row r="486" spans="2:45" x14ac:dyDescent="0.15">
      <c r="B486" s="46" t="s">
        <v>3</v>
      </c>
      <c r="C486" s="47">
        <f>G479</f>
        <v>31</v>
      </c>
      <c r="D486" s="79">
        <f t="shared" ref="D486:Q486" si="350">H479</f>
        <v>50</v>
      </c>
      <c r="E486" s="48">
        <f t="shared" si="350"/>
        <v>50</v>
      </c>
      <c r="F486" s="49">
        <f t="shared" si="350"/>
        <v>131</v>
      </c>
      <c r="G486" s="47">
        <f t="shared" si="350"/>
        <v>46</v>
      </c>
      <c r="H486" s="50">
        <f t="shared" si="350"/>
        <v>28</v>
      </c>
      <c r="I486" s="48">
        <f t="shared" si="350"/>
        <v>36</v>
      </c>
      <c r="J486" s="49">
        <f t="shared" si="350"/>
        <v>110</v>
      </c>
      <c r="K486" s="83">
        <f t="shared" si="350"/>
        <v>47</v>
      </c>
      <c r="L486" s="82">
        <f t="shared" si="350"/>
        <v>42</v>
      </c>
      <c r="M486" s="74">
        <f t="shared" si="350"/>
        <v>89</v>
      </c>
      <c r="N486" s="80">
        <f t="shared" si="350"/>
        <v>45</v>
      </c>
      <c r="O486" s="48">
        <f t="shared" si="350"/>
        <v>34</v>
      </c>
      <c r="P486" s="87">
        <f t="shared" si="350"/>
        <v>79</v>
      </c>
      <c r="Q486" s="133">
        <f t="shared" si="350"/>
        <v>409</v>
      </c>
      <c r="R486" s="138"/>
      <c r="AC486" s="46" t="s">
        <v>3</v>
      </c>
      <c r="AD486" s="47">
        <f t="shared" ref="AD486:AK486" si="351">AD479</f>
        <v>50</v>
      </c>
      <c r="AE486" s="79">
        <f t="shared" si="351"/>
        <v>120</v>
      </c>
      <c r="AF486" s="48">
        <f t="shared" si="351"/>
        <v>70</v>
      </c>
      <c r="AG486" s="49">
        <f t="shared" si="351"/>
        <v>240</v>
      </c>
      <c r="AH486" s="47">
        <f t="shared" si="351"/>
        <v>70</v>
      </c>
      <c r="AI486" s="50">
        <f t="shared" si="351"/>
        <v>50</v>
      </c>
      <c r="AJ486" s="48">
        <f t="shared" si="351"/>
        <v>80</v>
      </c>
      <c r="AK486" s="49">
        <f t="shared" si="351"/>
        <v>200</v>
      </c>
      <c r="AL486" s="83">
        <f t="shared" ref="AL486:AR486" si="352">AL479</f>
        <v>120</v>
      </c>
      <c r="AM486" s="82">
        <f t="shared" si="352"/>
        <v>120</v>
      </c>
      <c r="AN486" s="74">
        <f t="shared" si="352"/>
        <v>240</v>
      </c>
      <c r="AO486" s="80">
        <f t="shared" si="352"/>
        <v>20</v>
      </c>
      <c r="AP486" s="48">
        <f t="shared" si="352"/>
        <v>20</v>
      </c>
      <c r="AQ486" s="87">
        <f t="shared" si="352"/>
        <v>40</v>
      </c>
      <c r="AR486" s="133">
        <f t="shared" si="352"/>
        <v>720</v>
      </c>
      <c r="AS486" s="138"/>
    </row>
    <row r="487" spans="2:45" x14ac:dyDescent="0.15">
      <c r="B487" s="11" t="s">
        <v>4</v>
      </c>
      <c r="C487" s="26">
        <v>20</v>
      </c>
      <c r="D487" s="123"/>
      <c r="E487" s="43"/>
      <c r="F487" s="59">
        <f t="shared" ref="F487" si="353">SUM(C487:E487)</f>
        <v>20</v>
      </c>
      <c r="G487" s="26">
        <v>20</v>
      </c>
      <c r="H487" s="27"/>
      <c r="I487" s="28">
        <v>20</v>
      </c>
      <c r="J487" s="59">
        <f t="shared" ref="J487" si="354">SUM(G487:I487)</f>
        <v>40</v>
      </c>
      <c r="K487" s="64"/>
      <c r="L487" s="65">
        <v>20</v>
      </c>
      <c r="M487" s="59">
        <f t="shared" ref="M487" si="355">SUM(K487:L487)</f>
        <v>20</v>
      </c>
      <c r="N487" s="64"/>
      <c r="O487" s="65"/>
      <c r="P487" s="72">
        <f t="shared" ref="P487" si="356">SUM(N487:O487)</f>
        <v>0</v>
      </c>
      <c r="Q487" s="124">
        <f t="shared" ref="Q487:Q517" si="357">P487+M487+F487+J487</f>
        <v>80</v>
      </c>
      <c r="R487" s="119">
        <v>45853</v>
      </c>
      <c r="AC487" s="11" t="s">
        <v>4</v>
      </c>
      <c r="AD487" s="26"/>
      <c r="AE487" s="123"/>
      <c r="AF487" s="43"/>
      <c r="AG487" s="59">
        <f t="shared" ref="AG487:AG497" si="358">SUM(AD487:AF487)</f>
        <v>0</v>
      </c>
      <c r="AH487" s="26"/>
      <c r="AI487" s="27"/>
      <c r="AJ487" s="28"/>
      <c r="AK487" s="59">
        <f t="shared" ref="AK487:AK497" si="359">SUM(AH487:AJ487)</f>
        <v>0</v>
      </c>
      <c r="AL487" s="64"/>
      <c r="AM487" s="65"/>
      <c r="AN487" s="59">
        <f t="shared" ref="AN487:AN497" si="360">SUM(AL487:AM487)</f>
        <v>0</v>
      </c>
      <c r="AO487" s="64"/>
      <c r="AP487" s="65"/>
      <c r="AQ487" s="72">
        <f t="shared" ref="AQ487:AQ497" si="361">SUM(AO487:AP487)</f>
        <v>0</v>
      </c>
      <c r="AR487" s="124">
        <f t="shared" ref="AR487:AR519" si="362">AQ487+AN487+AG487+AK487</f>
        <v>0</v>
      </c>
      <c r="AS487" s="116"/>
    </row>
    <row r="488" spans="2:45" x14ac:dyDescent="0.15">
      <c r="B488" s="11" t="s">
        <v>4</v>
      </c>
      <c r="C488" s="26"/>
      <c r="D488" s="123"/>
      <c r="E488" s="43"/>
      <c r="F488" s="59">
        <f t="shared" ref="F488:F489" si="363">SUM(C488:E488)</f>
        <v>0</v>
      </c>
      <c r="G488" s="26"/>
      <c r="H488" s="27"/>
      <c r="I488" s="28">
        <v>30</v>
      </c>
      <c r="J488" s="59">
        <f t="shared" ref="J488:J489" si="364">SUM(G488:I488)</f>
        <v>30</v>
      </c>
      <c r="K488" s="64">
        <v>30</v>
      </c>
      <c r="L488" s="65">
        <v>30</v>
      </c>
      <c r="M488" s="59">
        <f t="shared" ref="M488:M489" si="365">SUM(K488:L488)</f>
        <v>60</v>
      </c>
      <c r="N488" s="64"/>
      <c r="O488" s="65"/>
      <c r="P488" s="72">
        <f t="shared" ref="P488:P489" si="366">SUM(N488:O488)</f>
        <v>0</v>
      </c>
      <c r="Q488" s="124">
        <f t="shared" si="357"/>
        <v>90</v>
      </c>
      <c r="R488" s="119">
        <v>45857</v>
      </c>
      <c r="AC488" s="11" t="s">
        <v>4</v>
      </c>
      <c r="AD488" s="26"/>
      <c r="AE488" s="123"/>
      <c r="AF488" s="43"/>
      <c r="AG488" s="59">
        <f t="shared" ref="AG488" si="367">SUM(AD488:AF488)</f>
        <v>0</v>
      </c>
      <c r="AH488" s="26"/>
      <c r="AI488" s="27"/>
      <c r="AJ488" s="28"/>
      <c r="AK488" s="59">
        <f t="shared" ref="AK488" si="368">SUM(AH488:AJ488)</f>
        <v>0</v>
      </c>
      <c r="AL488" s="64"/>
      <c r="AM488" s="65"/>
      <c r="AN488" s="59">
        <f t="shared" ref="AN488" si="369">SUM(AL488:AM488)</f>
        <v>0</v>
      </c>
      <c r="AO488" s="64"/>
      <c r="AP488" s="65"/>
      <c r="AQ488" s="72">
        <f t="shared" ref="AQ488" si="370">SUM(AO488:AP488)</f>
        <v>0</v>
      </c>
      <c r="AR488" s="124">
        <f t="shared" ref="AR488" si="371">AQ488+AN488+AG488+AK488</f>
        <v>0</v>
      </c>
      <c r="AS488" s="116"/>
    </row>
    <row r="489" spans="2:45" x14ac:dyDescent="0.15">
      <c r="B489" s="11" t="s">
        <v>4</v>
      </c>
      <c r="C489" s="26">
        <v>20</v>
      </c>
      <c r="D489" s="123">
        <v>20</v>
      </c>
      <c r="E489" s="43">
        <v>20</v>
      </c>
      <c r="F489" s="59">
        <f t="shared" si="363"/>
        <v>60</v>
      </c>
      <c r="G489" s="26">
        <v>20</v>
      </c>
      <c r="H489" s="27"/>
      <c r="I489" s="28"/>
      <c r="J489" s="59">
        <f t="shared" si="364"/>
        <v>20</v>
      </c>
      <c r="K489" s="64">
        <v>20</v>
      </c>
      <c r="L489" s="65"/>
      <c r="M489" s="59">
        <f t="shared" si="365"/>
        <v>20</v>
      </c>
      <c r="N489" s="64"/>
      <c r="O489" s="65"/>
      <c r="P489" s="72">
        <f t="shared" si="366"/>
        <v>0</v>
      </c>
      <c r="Q489" s="124">
        <f t="shared" si="357"/>
        <v>100</v>
      </c>
      <c r="R489" s="119">
        <v>45862</v>
      </c>
      <c r="AC489" s="11" t="s">
        <v>4</v>
      </c>
      <c r="AD489" s="26"/>
      <c r="AE489" s="123"/>
      <c r="AF489" s="43"/>
      <c r="AG489" s="59">
        <f t="shared" si="358"/>
        <v>0</v>
      </c>
      <c r="AH489" s="26"/>
      <c r="AI489" s="27"/>
      <c r="AJ489" s="28"/>
      <c r="AK489" s="59">
        <f t="shared" si="359"/>
        <v>0</v>
      </c>
      <c r="AL489" s="64"/>
      <c r="AM489" s="65"/>
      <c r="AN489" s="59">
        <f t="shared" si="360"/>
        <v>0</v>
      </c>
      <c r="AO489" s="64"/>
      <c r="AP489" s="65"/>
      <c r="AQ489" s="72">
        <f t="shared" si="361"/>
        <v>0</v>
      </c>
      <c r="AR489" s="124">
        <f t="shared" si="362"/>
        <v>0</v>
      </c>
      <c r="AS489" s="116"/>
    </row>
    <row r="490" spans="2:45" x14ac:dyDescent="0.15">
      <c r="B490" s="11" t="s">
        <v>4</v>
      </c>
      <c r="C490" s="26">
        <v>10</v>
      </c>
      <c r="D490" s="123"/>
      <c r="E490" s="43">
        <v>20</v>
      </c>
      <c r="F490" s="59">
        <f t="shared" ref="F490" si="372">SUM(C490:E490)</f>
        <v>30</v>
      </c>
      <c r="G490" s="26">
        <v>20</v>
      </c>
      <c r="H490" s="27"/>
      <c r="I490" s="28"/>
      <c r="J490" s="59">
        <f t="shared" ref="J490" si="373">SUM(G490:I490)</f>
        <v>20</v>
      </c>
      <c r="K490" s="64">
        <v>20</v>
      </c>
      <c r="L490" s="65">
        <v>20</v>
      </c>
      <c r="M490" s="59">
        <f t="shared" ref="M490" si="374">SUM(K490:L490)</f>
        <v>40</v>
      </c>
      <c r="N490" s="64"/>
      <c r="O490" s="65"/>
      <c r="P490" s="72">
        <f t="shared" ref="P490" si="375">SUM(N490:O490)</f>
        <v>0</v>
      </c>
      <c r="Q490" s="124">
        <f t="shared" si="357"/>
        <v>90</v>
      </c>
      <c r="R490" s="119">
        <v>45867</v>
      </c>
      <c r="AC490" s="11" t="s">
        <v>4</v>
      </c>
      <c r="AD490" s="26"/>
      <c r="AE490" s="123"/>
      <c r="AF490" s="43"/>
      <c r="AG490" s="59">
        <f t="shared" si="358"/>
        <v>0</v>
      </c>
      <c r="AH490" s="26"/>
      <c r="AI490" s="27"/>
      <c r="AJ490" s="28"/>
      <c r="AK490" s="59">
        <f t="shared" si="359"/>
        <v>0</v>
      </c>
      <c r="AL490" s="64"/>
      <c r="AM490" s="65"/>
      <c r="AN490" s="59">
        <f t="shared" si="360"/>
        <v>0</v>
      </c>
      <c r="AO490" s="64"/>
      <c r="AP490" s="65"/>
      <c r="AQ490" s="72">
        <f t="shared" si="361"/>
        <v>0</v>
      </c>
      <c r="AR490" s="124">
        <f t="shared" si="362"/>
        <v>0</v>
      </c>
      <c r="AS490" s="116"/>
    </row>
    <row r="491" spans="2:45" ht="14.25" thickBot="1" x14ac:dyDescent="0.2">
      <c r="B491" s="11" t="s">
        <v>4</v>
      </c>
      <c r="C491" s="29"/>
      <c r="D491" s="126"/>
      <c r="E491" s="44"/>
      <c r="F491" s="125">
        <f t="shared" ref="F491" si="376">SUM(C491:E491)</f>
        <v>0</v>
      </c>
      <c r="G491" s="29"/>
      <c r="H491" s="30">
        <v>30</v>
      </c>
      <c r="I491" s="31"/>
      <c r="J491" s="125">
        <f t="shared" ref="J491" si="377">SUM(G491:I491)</f>
        <v>30</v>
      </c>
      <c r="K491" s="66"/>
      <c r="L491" s="67"/>
      <c r="M491" s="125">
        <f t="shared" ref="M491" si="378">SUM(K491:L491)</f>
        <v>0</v>
      </c>
      <c r="N491" s="66"/>
      <c r="O491" s="67"/>
      <c r="P491" s="127">
        <f t="shared" ref="P491" si="379">SUM(N491:O491)</f>
        <v>0</v>
      </c>
      <c r="Q491" s="128">
        <f t="shared" si="357"/>
        <v>30</v>
      </c>
      <c r="R491" s="119">
        <v>45869</v>
      </c>
      <c r="AC491" s="11" t="s">
        <v>42</v>
      </c>
      <c r="AD491" s="29"/>
      <c r="AE491" s="126"/>
      <c r="AF491" s="44"/>
      <c r="AG491" s="125">
        <f t="shared" si="358"/>
        <v>0</v>
      </c>
      <c r="AH491" s="29"/>
      <c r="AI491" s="30"/>
      <c r="AJ491" s="31"/>
      <c r="AK491" s="125">
        <f t="shared" si="359"/>
        <v>0</v>
      </c>
      <c r="AL491" s="66">
        <v>20</v>
      </c>
      <c r="AM491" s="67">
        <v>20</v>
      </c>
      <c r="AN491" s="125">
        <f t="shared" si="360"/>
        <v>40</v>
      </c>
      <c r="AO491" s="66">
        <v>20</v>
      </c>
      <c r="AP491" s="67">
        <v>20</v>
      </c>
      <c r="AQ491" s="127">
        <f t="shared" si="361"/>
        <v>40</v>
      </c>
      <c r="AR491" s="128">
        <f t="shared" si="362"/>
        <v>80</v>
      </c>
      <c r="AS491" s="119">
        <v>45871</v>
      </c>
    </row>
    <row r="492" spans="2:45" ht="14.25" thickBot="1" x14ac:dyDescent="0.2">
      <c r="B492" s="5" t="s">
        <v>1</v>
      </c>
      <c r="C492" s="32">
        <f>SUM(C486:C491)</f>
        <v>81</v>
      </c>
      <c r="D492" s="132">
        <f t="shared" ref="D492:Q492" si="380">SUM(D486:D491)</f>
        <v>70</v>
      </c>
      <c r="E492" s="34">
        <f t="shared" si="380"/>
        <v>90</v>
      </c>
      <c r="F492" s="4">
        <f t="shared" si="380"/>
        <v>241</v>
      </c>
      <c r="G492" s="32">
        <f t="shared" si="380"/>
        <v>106</v>
      </c>
      <c r="H492" s="33">
        <f t="shared" si="380"/>
        <v>58</v>
      </c>
      <c r="I492" s="34">
        <f t="shared" si="380"/>
        <v>86</v>
      </c>
      <c r="J492" s="4">
        <f t="shared" si="380"/>
        <v>250</v>
      </c>
      <c r="K492" s="68">
        <f t="shared" si="380"/>
        <v>117</v>
      </c>
      <c r="L492" s="69">
        <f t="shared" si="380"/>
        <v>112</v>
      </c>
      <c r="M492" s="4">
        <f t="shared" si="380"/>
        <v>229</v>
      </c>
      <c r="N492" s="68">
        <f t="shared" si="380"/>
        <v>45</v>
      </c>
      <c r="O492" s="34">
        <f t="shared" si="380"/>
        <v>34</v>
      </c>
      <c r="P492" s="58">
        <f t="shared" si="380"/>
        <v>79</v>
      </c>
      <c r="Q492" s="88">
        <f t="shared" si="380"/>
        <v>799</v>
      </c>
      <c r="R492" s="116"/>
      <c r="AC492" s="5" t="s">
        <v>1</v>
      </c>
      <c r="AD492" s="32">
        <f t="shared" ref="AD492:AF492" si="381">SUM(AD486:AD491)</f>
        <v>50</v>
      </c>
      <c r="AE492" s="132">
        <f t="shared" si="381"/>
        <v>120</v>
      </c>
      <c r="AF492" s="34">
        <f t="shared" si="381"/>
        <v>70</v>
      </c>
      <c r="AG492" s="4">
        <f t="shared" si="358"/>
        <v>240</v>
      </c>
      <c r="AH492" s="32">
        <f>SUM(AH486:AH491)</f>
        <v>70</v>
      </c>
      <c r="AI492" s="33">
        <f t="shared" ref="AI492:AJ492" si="382">SUM(AI486:AI491)</f>
        <v>50</v>
      </c>
      <c r="AJ492" s="34">
        <f t="shared" si="382"/>
        <v>80</v>
      </c>
      <c r="AK492" s="4">
        <f t="shared" si="359"/>
        <v>200</v>
      </c>
      <c r="AL492" s="68">
        <f t="shared" ref="AL492:AM492" si="383">SUM(AL486:AL491)</f>
        <v>140</v>
      </c>
      <c r="AM492" s="69">
        <f t="shared" si="383"/>
        <v>140</v>
      </c>
      <c r="AN492" s="4">
        <f t="shared" si="360"/>
        <v>280</v>
      </c>
      <c r="AO492" s="68">
        <f>SUM(AO486:AO491)</f>
        <v>40</v>
      </c>
      <c r="AP492" s="34">
        <f t="shared" ref="AP492" si="384">SUM(AP486:AP491)</f>
        <v>40</v>
      </c>
      <c r="AQ492" s="58">
        <f t="shared" si="361"/>
        <v>80</v>
      </c>
      <c r="AR492" s="88">
        <f t="shared" si="362"/>
        <v>800</v>
      </c>
      <c r="AS492" s="116"/>
    </row>
    <row r="493" spans="2:45" x14ac:dyDescent="0.15">
      <c r="B493" s="6" t="s">
        <v>16</v>
      </c>
      <c r="C493" s="26">
        <f>1+2</f>
        <v>3</v>
      </c>
      <c r="D493" s="123">
        <v>1</v>
      </c>
      <c r="E493" s="43">
        <f>1+3</f>
        <v>4</v>
      </c>
      <c r="F493" s="59">
        <f t="shared" ref="F493:F511" si="385">SUM(C493:E493)</f>
        <v>8</v>
      </c>
      <c r="G493" s="26">
        <f>2+1</f>
        <v>3</v>
      </c>
      <c r="H493" s="27">
        <f>1+4</f>
        <v>5</v>
      </c>
      <c r="I493" s="28">
        <f>1+1+4</f>
        <v>6</v>
      </c>
      <c r="J493" s="59">
        <f t="shared" ref="J493:J511" si="386">SUM(G493:I493)</f>
        <v>14</v>
      </c>
      <c r="K493" s="64">
        <f>1+1+2+2</f>
        <v>6</v>
      </c>
      <c r="L493" s="65">
        <f>1+1+1+3+6</f>
        <v>12</v>
      </c>
      <c r="M493" s="59">
        <f t="shared" ref="M493:M511" si="387">SUM(K493:L493)</f>
        <v>18</v>
      </c>
      <c r="N493" s="64">
        <f>1+1</f>
        <v>2</v>
      </c>
      <c r="O493" s="65">
        <f>1+1+1+2</f>
        <v>5</v>
      </c>
      <c r="P493" s="72">
        <f t="shared" ref="P493:P511" si="388">SUM(N493:O493)</f>
        <v>7</v>
      </c>
      <c r="Q493" s="124">
        <f>P493+M493+F493+J493</f>
        <v>47</v>
      </c>
      <c r="R493" s="119">
        <v>45852</v>
      </c>
      <c r="AC493" s="6" t="s">
        <v>74</v>
      </c>
      <c r="AD493" s="26"/>
      <c r="AE493" s="123"/>
      <c r="AF493" s="43"/>
      <c r="AG493" s="59">
        <f t="shared" si="358"/>
        <v>0</v>
      </c>
      <c r="AH493" s="26"/>
      <c r="AI493" s="27"/>
      <c r="AJ493" s="28"/>
      <c r="AK493" s="59">
        <f t="shared" si="359"/>
        <v>0</v>
      </c>
      <c r="AL493" s="64">
        <v>20</v>
      </c>
      <c r="AM493" s="65">
        <v>20</v>
      </c>
      <c r="AN493" s="59">
        <f t="shared" si="360"/>
        <v>40</v>
      </c>
      <c r="AO493" s="64">
        <v>20</v>
      </c>
      <c r="AP493" s="65">
        <v>20</v>
      </c>
      <c r="AQ493" s="72">
        <f t="shared" si="361"/>
        <v>40</v>
      </c>
      <c r="AR493" s="124">
        <f t="shared" si="362"/>
        <v>80</v>
      </c>
      <c r="AS493" s="119">
        <v>45847</v>
      </c>
    </row>
    <row r="494" spans="2:45" x14ac:dyDescent="0.15">
      <c r="B494" s="6" t="s">
        <v>16</v>
      </c>
      <c r="C494" s="26">
        <f>1+1</f>
        <v>2</v>
      </c>
      <c r="D494" s="123"/>
      <c r="E494" s="43">
        <v>2</v>
      </c>
      <c r="F494" s="59">
        <f t="shared" si="385"/>
        <v>4</v>
      </c>
      <c r="G494" s="26">
        <f>2+2</f>
        <v>4</v>
      </c>
      <c r="H494" s="27"/>
      <c r="I494" s="28">
        <f>1+4</f>
        <v>5</v>
      </c>
      <c r="J494" s="59">
        <f t="shared" si="386"/>
        <v>9</v>
      </c>
      <c r="K494" s="64">
        <v>2</v>
      </c>
      <c r="L494" s="65">
        <f>1+2</f>
        <v>3</v>
      </c>
      <c r="M494" s="59">
        <f t="shared" si="387"/>
        <v>5</v>
      </c>
      <c r="N494" s="64">
        <f>1+1</f>
        <v>2</v>
      </c>
      <c r="O494" s="65">
        <v>1</v>
      </c>
      <c r="P494" s="72">
        <f t="shared" si="388"/>
        <v>3</v>
      </c>
      <c r="Q494" s="124">
        <f t="shared" si="357"/>
        <v>21</v>
      </c>
      <c r="R494" s="119">
        <v>45853</v>
      </c>
      <c r="AC494" s="6" t="s">
        <v>74</v>
      </c>
      <c r="AD494" s="26">
        <v>20</v>
      </c>
      <c r="AE494" s="123"/>
      <c r="AF494" s="43"/>
      <c r="AG494" s="59">
        <f t="shared" si="358"/>
        <v>20</v>
      </c>
      <c r="AH494" s="26">
        <v>20</v>
      </c>
      <c r="AI494" s="27"/>
      <c r="AJ494" s="28">
        <v>20</v>
      </c>
      <c r="AK494" s="59">
        <f t="shared" si="359"/>
        <v>40</v>
      </c>
      <c r="AL494" s="64"/>
      <c r="AM494" s="65">
        <v>20</v>
      </c>
      <c r="AN494" s="59">
        <f t="shared" si="360"/>
        <v>20</v>
      </c>
      <c r="AO494" s="64"/>
      <c r="AP494" s="65"/>
      <c r="AQ494" s="72">
        <f t="shared" si="361"/>
        <v>0</v>
      </c>
      <c r="AR494" s="124">
        <f t="shared" si="362"/>
        <v>80</v>
      </c>
      <c r="AS494" s="119">
        <v>45853</v>
      </c>
    </row>
    <row r="495" spans="2:45" x14ac:dyDescent="0.15">
      <c r="B495" s="6" t="s">
        <v>16</v>
      </c>
      <c r="C495" s="26">
        <f>1+3</f>
        <v>4</v>
      </c>
      <c r="D495" s="123">
        <v>1</v>
      </c>
      <c r="E495" s="43">
        <v>2</v>
      </c>
      <c r="F495" s="59">
        <f t="shared" si="385"/>
        <v>7</v>
      </c>
      <c r="G495" s="26"/>
      <c r="H495" s="27">
        <v>1</v>
      </c>
      <c r="I495" s="28">
        <v>3</v>
      </c>
      <c r="J495" s="59">
        <f t="shared" si="386"/>
        <v>4</v>
      </c>
      <c r="K495" s="64">
        <v>6</v>
      </c>
      <c r="L495" s="65">
        <f>1+5</f>
        <v>6</v>
      </c>
      <c r="M495" s="59">
        <f t="shared" si="387"/>
        <v>12</v>
      </c>
      <c r="N495" s="64">
        <v>2</v>
      </c>
      <c r="O495" s="65">
        <v>1</v>
      </c>
      <c r="P495" s="72">
        <f t="shared" si="388"/>
        <v>3</v>
      </c>
      <c r="Q495" s="124">
        <f t="shared" si="357"/>
        <v>26</v>
      </c>
      <c r="R495" s="119">
        <v>45854</v>
      </c>
      <c r="AC495" s="6" t="s">
        <v>74</v>
      </c>
      <c r="AD495" s="26"/>
      <c r="AE495" s="123"/>
      <c r="AF495" s="43"/>
      <c r="AG495" s="59">
        <f t="shared" si="358"/>
        <v>0</v>
      </c>
      <c r="AH495" s="26"/>
      <c r="AI495" s="27"/>
      <c r="AJ495" s="28">
        <v>30</v>
      </c>
      <c r="AK495" s="59">
        <f t="shared" si="359"/>
        <v>30</v>
      </c>
      <c r="AL495" s="64">
        <v>30</v>
      </c>
      <c r="AM495" s="65">
        <v>30</v>
      </c>
      <c r="AN495" s="59">
        <f t="shared" si="360"/>
        <v>60</v>
      </c>
      <c r="AO495" s="64"/>
      <c r="AP495" s="65"/>
      <c r="AQ495" s="72">
        <f t="shared" si="361"/>
        <v>0</v>
      </c>
      <c r="AR495" s="124">
        <f t="shared" si="362"/>
        <v>90</v>
      </c>
      <c r="AS495" s="119">
        <v>45857</v>
      </c>
    </row>
    <row r="496" spans="2:45" x14ac:dyDescent="0.15">
      <c r="B496" s="6" t="s">
        <v>16</v>
      </c>
      <c r="C496" s="26"/>
      <c r="D496" s="123">
        <f>1+1</f>
        <v>2</v>
      </c>
      <c r="E496" s="43"/>
      <c r="F496" s="59">
        <f t="shared" si="385"/>
        <v>2</v>
      </c>
      <c r="G496" s="26">
        <v>2</v>
      </c>
      <c r="H496" s="27"/>
      <c r="I496" s="28">
        <v>1</v>
      </c>
      <c r="J496" s="59">
        <f t="shared" si="386"/>
        <v>3</v>
      </c>
      <c r="K496" s="64">
        <f>2+2</f>
        <v>4</v>
      </c>
      <c r="L496" s="65">
        <v>2</v>
      </c>
      <c r="M496" s="59">
        <f t="shared" si="387"/>
        <v>6</v>
      </c>
      <c r="N496" s="64">
        <f>1+1</f>
        <v>2</v>
      </c>
      <c r="O496" s="65">
        <v>1</v>
      </c>
      <c r="P496" s="72">
        <f t="shared" si="388"/>
        <v>3</v>
      </c>
      <c r="Q496" s="124">
        <f t="shared" si="357"/>
        <v>14</v>
      </c>
      <c r="R496" s="119">
        <v>45855</v>
      </c>
      <c r="AC496" s="6" t="s">
        <v>74</v>
      </c>
      <c r="AD496" s="26">
        <v>20</v>
      </c>
      <c r="AE496" s="123">
        <v>20</v>
      </c>
      <c r="AF496" s="43">
        <v>20</v>
      </c>
      <c r="AG496" s="59">
        <f t="shared" si="358"/>
        <v>60</v>
      </c>
      <c r="AH496" s="26">
        <v>20</v>
      </c>
      <c r="AI496" s="27"/>
      <c r="AJ496" s="28"/>
      <c r="AK496" s="59">
        <f t="shared" si="359"/>
        <v>20</v>
      </c>
      <c r="AL496" s="64">
        <v>20</v>
      </c>
      <c r="AM496" s="65"/>
      <c r="AN496" s="59">
        <f t="shared" si="360"/>
        <v>20</v>
      </c>
      <c r="AO496" s="64"/>
      <c r="AP496" s="65"/>
      <c r="AQ496" s="72">
        <f t="shared" si="361"/>
        <v>0</v>
      </c>
      <c r="AR496" s="124">
        <f t="shared" si="362"/>
        <v>100</v>
      </c>
      <c r="AS496" s="119">
        <v>45862</v>
      </c>
    </row>
    <row r="497" spans="2:45" x14ac:dyDescent="0.15">
      <c r="B497" s="6" t="s">
        <v>16</v>
      </c>
      <c r="C497" s="26"/>
      <c r="D497" s="123">
        <v>1</v>
      </c>
      <c r="E497" s="43"/>
      <c r="F497" s="59">
        <f t="shared" si="385"/>
        <v>1</v>
      </c>
      <c r="G497" s="26"/>
      <c r="H497" s="27">
        <v>1</v>
      </c>
      <c r="I497" s="28"/>
      <c r="J497" s="59">
        <f t="shared" si="386"/>
        <v>1</v>
      </c>
      <c r="K497" s="64"/>
      <c r="L497" s="65"/>
      <c r="M497" s="59">
        <f t="shared" si="387"/>
        <v>0</v>
      </c>
      <c r="N497" s="64">
        <f>2+5</f>
        <v>7</v>
      </c>
      <c r="O497" s="65">
        <v>2</v>
      </c>
      <c r="P497" s="72">
        <f t="shared" si="388"/>
        <v>9</v>
      </c>
      <c r="Q497" s="124">
        <f t="shared" si="357"/>
        <v>11</v>
      </c>
      <c r="R497" s="119">
        <v>45856</v>
      </c>
      <c r="AC497" s="6" t="s">
        <v>74</v>
      </c>
      <c r="AD497" s="26">
        <v>10</v>
      </c>
      <c r="AE497" s="123"/>
      <c r="AF497" s="43">
        <v>20</v>
      </c>
      <c r="AG497" s="59">
        <f t="shared" si="358"/>
        <v>30</v>
      </c>
      <c r="AH497" s="26">
        <v>20</v>
      </c>
      <c r="AI497" s="27"/>
      <c r="AJ497" s="28"/>
      <c r="AK497" s="59">
        <f t="shared" si="359"/>
        <v>20</v>
      </c>
      <c r="AL497" s="64">
        <v>20</v>
      </c>
      <c r="AM497" s="65">
        <v>20</v>
      </c>
      <c r="AN497" s="59">
        <f t="shared" si="360"/>
        <v>40</v>
      </c>
      <c r="AO497" s="64"/>
      <c r="AP497" s="65"/>
      <c r="AQ497" s="72">
        <f t="shared" si="361"/>
        <v>0</v>
      </c>
      <c r="AR497" s="124">
        <f t="shared" si="362"/>
        <v>90</v>
      </c>
      <c r="AS497" s="119">
        <v>45867</v>
      </c>
    </row>
    <row r="498" spans="2:45" x14ac:dyDescent="0.15">
      <c r="B498" s="6" t="s">
        <v>16</v>
      </c>
      <c r="C498" s="26">
        <v>1</v>
      </c>
      <c r="D498" s="123"/>
      <c r="E498" s="43">
        <v>1</v>
      </c>
      <c r="F498" s="59">
        <f t="shared" si="385"/>
        <v>2</v>
      </c>
      <c r="G498" s="26">
        <v>1</v>
      </c>
      <c r="H498" s="27"/>
      <c r="I498" s="28"/>
      <c r="J498" s="59">
        <f t="shared" si="386"/>
        <v>1</v>
      </c>
      <c r="K498" s="64">
        <v>2</v>
      </c>
      <c r="L498" s="65">
        <v>1</v>
      </c>
      <c r="M498" s="59">
        <f t="shared" si="387"/>
        <v>3</v>
      </c>
      <c r="N498" s="64">
        <v>2</v>
      </c>
      <c r="O498" s="65"/>
      <c r="P498" s="72">
        <f t="shared" si="388"/>
        <v>2</v>
      </c>
      <c r="Q498" s="124">
        <f t="shared" si="357"/>
        <v>8</v>
      </c>
      <c r="R498" s="119">
        <v>45857</v>
      </c>
      <c r="AC498" s="6" t="s">
        <v>74</v>
      </c>
      <c r="AD498" s="26"/>
      <c r="AE498" s="123"/>
      <c r="AF498" s="43"/>
      <c r="AG498" s="59">
        <f t="shared" ref="AG498:AG519" si="389">SUM(AD498:AF498)</f>
        <v>0</v>
      </c>
      <c r="AH498" s="26"/>
      <c r="AI498" s="27">
        <v>30</v>
      </c>
      <c r="AJ498" s="28"/>
      <c r="AK498" s="59">
        <f t="shared" ref="AK498:AK519" si="390">SUM(AH498:AJ498)</f>
        <v>30</v>
      </c>
      <c r="AL498" s="64"/>
      <c r="AM498" s="65"/>
      <c r="AN498" s="59">
        <f t="shared" ref="AN498:AN519" si="391">SUM(AL498:AM498)</f>
        <v>0</v>
      </c>
      <c r="AO498" s="64"/>
      <c r="AP498" s="65"/>
      <c r="AQ498" s="72">
        <f t="shared" ref="AQ498:AQ519" si="392">SUM(AO498:AP498)</f>
        <v>0</v>
      </c>
      <c r="AR498" s="124">
        <f t="shared" si="362"/>
        <v>30</v>
      </c>
      <c r="AS498" s="119">
        <v>45869</v>
      </c>
    </row>
    <row r="499" spans="2:45" x14ac:dyDescent="0.15">
      <c r="B499" s="6" t="s">
        <v>16</v>
      </c>
      <c r="C499" s="26">
        <f>1+1+4</f>
        <v>6</v>
      </c>
      <c r="D499" s="123">
        <f>1+1+3</f>
        <v>5</v>
      </c>
      <c r="E499" s="43">
        <f>1+3+2+2</f>
        <v>8</v>
      </c>
      <c r="F499" s="59">
        <f t="shared" si="385"/>
        <v>19</v>
      </c>
      <c r="G499" s="26">
        <f>1+3+9+1</f>
        <v>14</v>
      </c>
      <c r="H499" s="27">
        <f>3+2</f>
        <v>5</v>
      </c>
      <c r="I499" s="28">
        <f>4+4+1</f>
        <v>9</v>
      </c>
      <c r="J499" s="59">
        <f t="shared" si="386"/>
        <v>28</v>
      </c>
      <c r="K499" s="64">
        <f>1+2+1+12+1</f>
        <v>17</v>
      </c>
      <c r="L499" s="65">
        <f>2+3+1+2+2</f>
        <v>10</v>
      </c>
      <c r="M499" s="59">
        <f t="shared" si="387"/>
        <v>27</v>
      </c>
      <c r="N499" s="64">
        <f>1+6+1+2</f>
        <v>10</v>
      </c>
      <c r="O499" s="65">
        <f>3+1+1</f>
        <v>5</v>
      </c>
      <c r="P499" s="72">
        <f t="shared" si="388"/>
        <v>15</v>
      </c>
      <c r="Q499" s="124">
        <f t="shared" si="357"/>
        <v>89</v>
      </c>
      <c r="R499" s="119">
        <v>45860</v>
      </c>
      <c r="AC499" s="6" t="s">
        <v>74</v>
      </c>
      <c r="AD499" s="26"/>
      <c r="AE499" s="123">
        <v>30</v>
      </c>
      <c r="AF499" s="43">
        <v>30</v>
      </c>
      <c r="AG499" s="59">
        <f t="shared" ref="AG499" si="393">SUM(AD499:AF499)</f>
        <v>60</v>
      </c>
      <c r="AH499" s="26">
        <v>0</v>
      </c>
      <c r="AI499" s="27">
        <v>20</v>
      </c>
      <c r="AJ499" s="28"/>
      <c r="AK499" s="59">
        <f t="shared" ref="AK499" si="394">SUM(AH499:AJ499)</f>
        <v>20</v>
      </c>
      <c r="AL499" s="64">
        <v>10</v>
      </c>
      <c r="AM499" s="65">
        <v>10</v>
      </c>
      <c r="AN499" s="59">
        <f t="shared" ref="AN499" si="395">SUM(AL499:AM499)</f>
        <v>20</v>
      </c>
      <c r="AO499" s="64"/>
      <c r="AP499" s="65"/>
      <c r="AQ499" s="72">
        <f t="shared" ref="AQ499" si="396">SUM(AO499:AP499)</f>
        <v>0</v>
      </c>
      <c r="AR499" s="124">
        <f t="shared" si="362"/>
        <v>100</v>
      </c>
      <c r="AS499" s="119">
        <v>45870</v>
      </c>
    </row>
    <row r="500" spans="2:45" x14ac:dyDescent="0.15">
      <c r="B500" s="6" t="s">
        <v>16</v>
      </c>
      <c r="C500" s="26">
        <f>6+1+1</f>
        <v>8</v>
      </c>
      <c r="D500" s="123">
        <v>1</v>
      </c>
      <c r="E500" s="43">
        <f>1+2</f>
        <v>3</v>
      </c>
      <c r="F500" s="59">
        <f t="shared" si="385"/>
        <v>12</v>
      </c>
      <c r="G500" s="26">
        <f>1+2</f>
        <v>3</v>
      </c>
      <c r="H500" s="27">
        <v>1</v>
      </c>
      <c r="I500" s="28">
        <f>1+1</f>
        <v>2</v>
      </c>
      <c r="J500" s="59">
        <f t="shared" si="386"/>
        <v>6</v>
      </c>
      <c r="K500" s="64">
        <v>4</v>
      </c>
      <c r="L500" s="65">
        <f>1+1+1</f>
        <v>3</v>
      </c>
      <c r="M500" s="59">
        <f t="shared" si="387"/>
        <v>7</v>
      </c>
      <c r="N500" s="64">
        <v>3</v>
      </c>
      <c r="O500" s="65">
        <v>3</v>
      </c>
      <c r="P500" s="72">
        <f t="shared" si="388"/>
        <v>6</v>
      </c>
      <c r="Q500" s="124">
        <f t="shared" si="357"/>
        <v>31</v>
      </c>
      <c r="R500" s="119">
        <v>45861</v>
      </c>
      <c r="AC500" s="6" t="s">
        <v>74</v>
      </c>
      <c r="AD500" s="26"/>
      <c r="AE500" s="123"/>
      <c r="AF500" s="43"/>
      <c r="AG500" s="59">
        <f t="shared" si="389"/>
        <v>0</v>
      </c>
      <c r="AH500" s="26"/>
      <c r="AI500" s="27"/>
      <c r="AJ500" s="28"/>
      <c r="AK500" s="59">
        <f t="shared" si="390"/>
        <v>0</v>
      </c>
      <c r="AL500" s="64"/>
      <c r="AM500" s="65"/>
      <c r="AN500" s="59">
        <f t="shared" si="391"/>
        <v>0</v>
      </c>
      <c r="AO500" s="64">
        <v>20</v>
      </c>
      <c r="AP500" s="65">
        <v>20</v>
      </c>
      <c r="AQ500" s="72">
        <f t="shared" si="392"/>
        <v>40</v>
      </c>
      <c r="AR500" s="124">
        <f t="shared" si="362"/>
        <v>40</v>
      </c>
      <c r="AS500" s="119">
        <v>45874</v>
      </c>
    </row>
    <row r="501" spans="2:45" x14ac:dyDescent="0.15">
      <c r="B501" s="6" t="s">
        <v>16</v>
      </c>
      <c r="C501" s="26">
        <f>2+1</f>
        <v>3</v>
      </c>
      <c r="D501" s="123">
        <v>2</v>
      </c>
      <c r="E501" s="43">
        <f>1+1</f>
        <v>2</v>
      </c>
      <c r="F501" s="59">
        <f t="shared" si="385"/>
        <v>7</v>
      </c>
      <c r="G501" s="26">
        <v>3</v>
      </c>
      <c r="H501" s="27">
        <v>2</v>
      </c>
      <c r="I501" s="28">
        <v>2</v>
      </c>
      <c r="J501" s="59">
        <f t="shared" si="386"/>
        <v>7</v>
      </c>
      <c r="K501" s="64">
        <f>5+2</f>
        <v>7</v>
      </c>
      <c r="L501" s="65">
        <f>2+1</f>
        <v>3</v>
      </c>
      <c r="M501" s="59">
        <f t="shared" si="387"/>
        <v>10</v>
      </c>
      <c r="N501" s="64">
        <v>3</v>
      </c>
      <c r="O501" s="65">
        <v>1</v>
      </c>
      <c r="P501" s="72">
        <f t="shared" si="388"/>
        <v>4</v>
      </c>
      <c r="Q501" s="124">
        <f t="shared" si="357"/>
        <v>28</v>
      </c>
      <c r="R501" s="119">
        <v>45862</v>
      </c>
      <c r="AC501" s="6" t="s">
        <v>74</v>
      </c>
      <c r="AD501" s="26"/>
      <c r="AE501" s="123"/>
      <c r="AF501" s="43"/>
      <c r="AG501" s="59">
        <f t="shared" si="389"/>
        <v>0</v>
      </c>
      <c r="AH501" s="26">
        <v>10</v>
      </c>
      <c r="AI501" s="27"/>
      <c r="AJ501" s="28">
        <v>30</v>
      </c>
      <c r="AK501" s="59">
        <f t="shared" si="390"/>
        <v>40</v>
      </c>
      <c r="AL501" s="64"/>
      <c r="AM501" s="65"/>
      <c r="AN501" s="59">
        <f t="shared" si="391"/>
        <v>0</v>
      </c>
      <c r="AO501" s="64"/>
      <c r="AP501" s="65"/>
      <c r="AQ501" s="72">
        <f t="shared" si="392"/>
        <v>0</v>
      </c>
      <c r="AR501" s="124">
        <f t="shared" si="362"/>
        <v>40</v>
      </c>
      <c r="AS501" s="119">
        <v>45899</v>
      </c>
    </row>
    <row r="502" spans="2:45" x14ac:dyDescent="0.15">
      <c r="B502" s="6" t="s">
        <v>16</v>
      </c>
      <c r="C502" s="26">
        <v>3</v>
      </c>
      <c r="D502" s="123">
        <f>1+1</f>
        <v>2</v>
      </c>
      <c r="E502" s="43">
        <f>2+1</f>
        <v>3</v>
      </c>
      <c r="F502" s="59">
        <f t="shared" si="385"/>
        <v>8</v>
      </c>
      <c r="G502" s="26">
        <v>3</v>
      </c>
      <c r="H502" s="27">
        <v>1</v>
      </c>
      <c r="I502" s="28">
        <v>3</v>
      </c>
      <c r="J502" s="59">
        <f t="shared" si="386"/>
        <v>7</v>
      </c>
      <c r="K502" s="64">
        <v>3</v>
      </c>
      <c r="L502" s="65">
        <v>5</v>
      </c>
      <c r="M502" s="59">
        <f t="shared" si="387"/>
        <v>8</v>
      </c>
      <c r="N502" s="64">
        <v>1</v>
      </c>
      <c r="O502" s="65">
        <f>1+1</f>
        <v>2</v>
      </c>
      <c r="P502" s="72">
        <f t="shared" si="388"/>
        <v>3</v>
      </c>
      <c r="Q502" s="124">
        <f>P502+M502+F502+J502</f>
        <v>26</v>
      </c>
      <c r="R502" s="119">
        <v>45863</v>
      </c>
      <c r="AC502" s="6"/>
      <c r="AD502" s="26"/>
      <c r="AE502" s="123"/>
      <c r="AF502" s="43"/>
      <c r="AG502" s="59">
        <f t="shared" si="389"/>
        <v>0</v>
      </c>
      <c r="AH502" s="26"/>
      <c r="AI502" s="27"/>
      <c r="AJ502" s="28"/>
      <c r="AK502" s="59">
        <f t="shared" si="390"/>
        <v>0</v>
      </c>
      <c r="AL502" s="64"/>
      <c r="AM502" s="65"/>
      <c r="AN502" s="59">
        <f t="shared" si="391"/>
        <v>0</v>
      </c>
      <c r="AO502" s="64"/>
      <c r="AP502" s="65"/>
      <c r="AQ502" s="72">
        <f t="shared" si="392"/>
        <v>0</v>
      </c>
      <c r="AR502" s="124">
        <f t="shared" si="362"/>
        <v>0</v>
      </c>
      <c r="AS502" s="116"/>
    </row>
    <row r="503" spans="2:45" x14ac:dyDescent="0.15">
      <c r="B503" s="6" t="s">
        <v>16</v>
      </c>
      <c r="C503" s="26">
        <f>5+3+2+1</f>
        <v>11</v>
      </c>
      <c r="D503" s="123">
        <f>6+1+2</f>
        <v>9</v>
      </c>
      <c r="E503" s="43">
        <f>6+1+1+2</f>
        <v>10</v>
      </c>
      <c r="F503" s="59">
        <f t="shared" si="385"/>
        <v>30</v>
      </c>
      <c r="G503" s="26">
        <f>4+1+5+1</f>
        <v>11</v>
      </c>
      <c r="H503" s="27">
        <f>2+1+1</f>
        <v>4</v>
      </c>
      <c r="I503" s="28">
        <f>2+2+3+1</f>
        <v>8</v>
      </c>
      <c r="J503" s="59">
        <f t="shared" si="386"/>
        <v>23</v>
      </c>
      <c r="K503" s="64">
        <f>5+2+4+4</f>
        <v>15</v>
      </c>
      <c r="L503" s="65">
        <f>5+5+8+3+1</f>
        <v>22</v>
      </c>
      <c r="M503" s="59">
        <f t="shared" si="387"/>
        <v>37</v>
      </c>
      <c r="N503" s="64">
        <f>1+2+2</f>
        <v>5</v>
      </c>
      <c r="O503" s="65">
        <f>4+3+5</f>
        <v>12</v>
      </c>
      <c r="P503" s="72">
        <f t="shared" si="388"/>
        <v>17</v>
      </c>
      <c r="Q503" s="124">
        <f t="shared" si="357"/>
        <v>107</v>
      </c>
      <c r="R503" s="119">
        <v>45866</v>
      </c>
      <c r="AC503" s="6"/>
      <c r="AD503" s="26"/>
      <c r="AE503" s="123"/>
      <c r="AF503" s="43"/>
      <c r="AG503" s="59">
        <f t="shared" si="389"/>
        <v>0</v>
      </c>
      <c r="AH503" s="26"/>
      <c r="AI503" s="27"/>
      <c r="AJ503" s="28"/>
      <c r="AK503" s="59">
        <f t="shared" si="390"/>
        <v>0</v>
      </c>
      <c r="AL503" s="64"/>
      <c r="AM503" s="65"/>
      <c r="AN503" s="59">
        <f t="shared" si="391"/>
        <v>0</v>
      </c>
      <c r="AO503" s="64"/>
      <c r="AP503" s="65"/>
      <c r="AQ503" s="72">
        <f t="shared" si="392"/>
        <v>0</v>
      </c>
      <c r="AR503" s="124">
        <f t="shared" si="362"/>
        <v>0</v>
      </c>
      <c r="AS503" s="116"/>
    </row>
    <row r="504" spans="2:45" x14ac:dyDescent="0.15">
      <c r="B504" s="6" t="s">
        <v>16</v>
      </c>
      <c r="C504" s="26"/>
      <c r="D504" s="123">
        <v>1</v>
      </c>
      <c r="E504" s="43">
        <v>1</v>
      </c>
      <c r="F504" s="59">
        <f t="shared" si="385"/>
        <v>2</v>
      </c>
      <c r="G504" s="26"/>
      <c r="H504" s="27">
        <v>6</v>
      </c>
      <c r="I504" s="28">
        <v>1</v>
      </c>
      <c r="J504" s="59">
        <f t="shared" si="386"/>
        <v>7</v>
      </c>
      <c r="K504" s="64">
        <v>3</v>
      </c>
      <c r="L504" s="65">
        <v>2</v>
      </c>
      <c r="M504" s="59">
        <f t="shared" si="387"/>
        <v>5</v>
      </c>
      <c r="N504" s="64"/>
      <c r="O504" s="65">
        <v>1</v>
      </c>
      <c r="P504" s="72">
        <f t="shared" si="388"/>
        <v>1</v>
      </c>
      <c r="Q504" s="124">
        <f t="shared" si="357"/>
        <v>15</v>
      </c>
      <c r="R504" s="119">
        <v>45867</v>
      </c>
      <c r="AC504" s="6"/>
      <c r="AD504" s="26"/>
      <c r="AE504" s="123"/>
      <c r="AF504" s="43"/>
      <c r="AG504" s="59">
        <f t="shared" si="389"/>
        <v>0</v>
      </c>
      <c r="AH504" s="26"/>
      <c r="AI504" s="27"/>
      <c r="AJ504" s="28"/>
      <c r="AK504" s="59">
        <f t="shared" si="390"/>
        <v>0</v>
      </c>
      <c r="AL504" s="64"/>
      <c r="AM504" s="65"/>
      <c r="AN504" s="59">
        <f t="shared" si="391"/>
        <v>0</v>
      </c>
      <c r="AO504" s="64"/>
      <c r="AP504" s="65"/>
      <c r="AQ504" s="72">
        <f t="shared" si="392"/>
        <v>0</v>
      </c>
      <c r="AR504" s="124">
        <f t="shared" si="362"/>
        <v>0</v>
      </c>
      <c r="AS504" s="116"/>
    </row>
    <row r="505" spans="2:45" x14ac:dyDescent="0.15">
      <c r="B505" s="6" t="s">
        <v>16</v>
      </c>
      <c r="C505" s="26">
        <v>2</v>
      </c>
      <c r="D505" s="123">
        <v>2</v>
      </c>
      <c r="E505" s="43"/>
      <c r="F505" s="59">
        <f t="shared" si="385"/>
        <v>4</v>
      </c>
      <c r="G505" s="26">
        <f>1+2</f>
        <v>3</v>
      </c>
      <c r="H505" s="27">
        <f>1+1</f>
        <v>2</v>
      </c>
      <c r="I505" s="28">
        <v>5</v>
      </c>
      <c r="J505" s="59">
        <f t="shared" si="386"/>
        <v>10</v>
      </c>
      <c r="K505" s="64">
        <f>1+1</f>
        <v>2</v>
      </c>
      <c r="L505" s="65">
        <f>1+2+1</f>
        <v>4</v>
      </c>
      <c r="M505" s="59">
        <f t="shared" si="387"/>
        <v>6</v>
      </c>
      <c r="N505" s="64"/>
      <c r="O505" s="65"/>
      <c r="P505" s="72">
        <f t="shared" si="388"/>
        <v>0</v>
      </c>
      <c r="Q505" s="124">
        <f t="shared" si="357"/>
        <v>20</v>
      </c>
      <c r="R505" s="119">
        <v>45868</v>
      </c>
      <c r="AC505" s="6"/>
      <c r="AD505" s="26"/>
      <c r="AE505" s="123"/>
      <c r="AF505" s="43"/>
      <c r="AG505" s="59">
        <f t="shared" si="389"/>
        <v>0</v>
      </c>
      <c r="AH505" s="26"/>
      <c r="AI505" s="27"/>
      <c r="AJ505" s="28"/>
      <c r="AK505" s="59">
        <f t="shared" si="390"/>
        <v>0</v>
      </c>
      <c r="AL505" s="64"/>
      <c r="AM505" s="65"/>
      <c r="AN505" s="59">
        <f t="shared" si="391"/>
        <v>0</v>
      </c>
      <c r="AO505" s="64"/>
      <c r="AP505" s="65"/>
      <c r="AQ505" s="72">
        <f t="shared" si="392"/>
        <v>0</v>
      </c>
      <c r="AR505" s="124">
        <f t="shared" si="362"/>
        <v>0</v>
      </c>
      <c r="AS505" s="116"/>
    </row>
    <row r="506" spans="2:45" x14ac:dyDescent="0.15">
      <c r="B506" s="6" t="s">
        <v>16</v>
      </c>
      <c r="C506" s="26">
        <v>1</v>
      </c>
      <c r="D506" s="123">
        <v>2</v>
      </c>
      <c r="E506" s="43">
        <v>1</v>
      </c>
      <c r="F506" s="59">
        <f t="shared" si="385"/>
        <v>4</v>
      </c>
      <c r="G506" s="26">
        <v>1</v>
      </c>
      <c r="H506" s="27">
        <f>1+1</f>
        <v>2</v>
      </c>
      <c r="I506" s="28"/>
      <c r="J506" s="59">
        <f t="shared" si="386"/>
        <v>3</v>
      </c>
      <c r="K506" s="64">
        <v>2</v>
      </c>
      <c r="L506" s="65">
        <v>2</v>
      </c>
      <c r="M506" s="59">
        <f t="shared" si="387"/>
        <v>4</v>
      </c>
      <c r="N506" s="64">
        <f>1+1</f>
        <v>2</v>
      </c>
      <c r="O506" s="65"/>
      <c r="P506" s="72">
        <f t="shared" si="388"/>
        <v>2</v>
      </c>
      <c r="Q506" s="124">
        <f t="shared" si="357"/>
        <v>13</v>
      </c>
      <c r="R506" s="119">
        <v>45869</v>
      </c>
      <c r="AC506" s="6"/>
      <c r="AD506" s="26"/>
      <c r="AE506" s="123"/>
      <c r="AF506" s="43"/>
      <c r="AG506" s="59">
        <f t="shared" si="389"/>
        <v>0</v>
      </c>
      <c r="AH506" s="26"/>
      <c r="AI506" s="27"/>
      <c r="AJ506" s="28"/>
      <c r="AK506" s="59">
        <f t="shared" si="390"/>
        <v>0</v>
      </c>
      <c r="AL506" s="64"/>
      <c r="AM506" s="65"/>
      <c r="AN506" s="59">
        <f t="shared" si="391"/>
        <v>0</v>
      </c>
      <c r="AO506" s="64"/>
      <c r="AP506" s="65"/>
      <c r="AQ506" s="72">
        <f t="shared" si="392"/>
        <v>0</v>
      </c>
      <c r="AR506" s="124">
        <f t="shared" si="362"/>
        <v>0</v>
      </c>
      <c r="AS506" s="116"/>
    </row>
    <row r="507" spans="2:45" x14ac:dyDescent="0.15">
      <c r="B507" s="6"/>
      <c r="C507" s="26"/>
      <c r="D507" s="123"/>
      <c r="E507" s="43"/>
      <c r="F507" s="59">
        <f t="shared" ref="F507" si="397">SUM(C507:E507)</f>
        <v>0</v>
      </c>
      <c r="G507" s="26"/>
      <c r="H507" s="27"/>
      <c r="I507" s="28"/>
      <c r="J507" s="59">
        <f t="shared" ref="J507" si="398">SUM(G507:I507)</f>
        <v>0</v>
      </c>
      <c r="K507" s="64"/>
      <c r="L507" s="65"/>
      <c r="M507" s="59">
        <f t="shared" ref="M507" si="399">SUM(K507:L507)</f>
        <v>0</v>
      </c>
      <c r="N507" s="64"/>
      <c r="O507" s="65"/>
      <c r="P507" s="72">
        <f t="shared" ref="P507" si="400">SUM(N507:O507)</f>
        <v>0</v>
      </c>
      <c r="Q507" s="124">
        <f t="shared" ref="Q507" si="401">P507+M507+F507+J507</f>
        <v>0</v>
      </c>
      <c r="R507" s="116"/>
      <c r="AC507" s="6"/>
      <c r="AD507" s="26"/>
      <c r="AE507" s="123"/>
      <c r="AF507" s="43"/>
      <c r="AG507" s="59">
        <f t="shared" si="389"/>
        <v>0</v>
      </c>
      <c r="AH507" s="26"/>
      <c r="AI507" s="27"/>
      <c r="AJ507" s="28"/>
      <c r="AK507" s="59">
        <f t="shared" si="390"/>
        <v>0</v>
      </c>
      <c r="AL507" s="64"/>
      <c r="AM507" s="65"/>
      <c r="AN507" s="59">
        <f t="shared" si="391"/>
        <v>0</v>
      </c>
      <c r="AO507" s="64"/>
      <c r="AP507" s="65"/>
      <c r="AQ507" s="72">
        <f t="shared" si="392"/>
        <v>0</v>
      </c>
      <c r="AR507" s="124">
        <f t="shared" si="362"/>
        <v>0</v>
      </c>
      <c r="AS507" s="116"/>
    </row>
    <row r="508" spans="2:45" x14ac:dyDescent="0.15">
      <c r="B508" s="6"/>
      <c r="C508" s="26"/>
      <c r="D508" s="123"/>
      <c r="E508" s="43"/>
      <c r="F508" s="59">
        <f t="shared" si="385"/>
        <v>0</v>
      </c>
      <c r="G508" s="26"/>
      <c r="H508" s="27"/>
      <c r="I508" s="28"/>
      <c r="J508" s="59">
        <f t="shared" si="386"/>
        <v>0</v>
      </c>
      <c r="K508" s="64"/>
      <c r="L508" s="65"/>
      <c r="M508" s="59">
        <f t="shared" si="387"/>
        <v>0</v>
      </c>
      <c r="N508" s="64"/>
      <c r="O508" s="65"/>
      <c r="P508" s="72">
        <f t="shared" si="388"/>
        <v>0</v>
      </c>
      <c r="Q508" s="124">
        <f t="shared" si="357"/>
        <v>0</v>
      </c>
      <c r="R508" s="116"/>
      <c r="AC508" s="6"/>
      <c r="AD508" s="26"/>
      <c r="AE508" s="123"/>
      <c r="AF508" s="43"/>
      <c r="AG508" s="59">
        <f t="shared" si="389"/>
        <v>0</v>
      </c>
      <c r="AH508" s="26"/>
      <c r="AI508" s="27"/>
      <c r="AJ508" s="28"/>
      <c r="AK508" s="59">
        <f t="shared" si="390"/>
        <v>0</v>
      </c>
      <c r="AL508" s="64"/>
      <c r="AM508" s="65"/>
      <c r="AN508" s="59">
        <f t="shared" si="391"/>
        <v>0</v>
      </c>
      <c r="AO508" s="64"/>
      <c r="AP508" s="65"/>
      <c r="AQ508" s="72">
        <f t="shared" si="392"/>
        <v>0</v>
      </c>
      <c r="AR508" s="124">
        <f t="shared" si="362"/>
        <v>0</v>
      </c>
      <c r="AS508" s="116"/>
    </row>
    <row r="509" spans="2:45" x14ac:dyDescent="0.15">
      <c r="B509" s="6"/>
      <c r="C509" s="26"/>
      <c r="D509" s="123"/>
      <c r="E509" s="43"/>
      <c r="F509" s="59">
        <f t="shared" si="385"/>
        <v>0</v>
      </c>
      <c r="G509" s="26"/>
      <c r="H509" s="27"/>
      <c r="I509" s="28"/>
      <c r="J509" s="59">
        <f t="shared" si="386"/>
        <v>0</v>
      </c>
      <c r="K509" s="64"/>
      <c r="L509" s="65"/>
      <c r="M509" s="59">
        <f t="shared" si="387"/>
        <v>0</v>
      </c>
      <c r="N509" s="64"/>
      <c r="O509" s="65"/>
      <c r="P509" s="72">
        <f t="shared" si="388"/>
        <v>0</v>
      </c>
      <c r="Q509" s="124">
        <f t="shared" si="357"/>
        <v>0</v>
      </c>
      <c r="R509" s="116"/>
      <c r="AC509" s="6"/>
      <c r="AD509" s="26"/>
      <c r="AE509" s="123"/>
      <c r="AF509" s="43"/>
      <c r="AG509" s="59">
        <f t="shared" si="389"/>
        <v>0</v>
      </c>
      <c r="AH509" s="26"/>
      <c r="AI509" s="27"/>
      <c r="AJ509" s="28"/>
      <c r="AK509" s="59">
        <f t="shared" si="390"/>
        <v>0</v>
      </c>
      <c r="AL509" s="64"/>
      <c r="AM509" s="65"/>
      <c r="AN509" s="59">
        <f t="shared" si="391"/>
        <v>0</v>
      </c>
      <c r="AO509" s="64"/>
      <c r="AP509" s="65"/>
      <c r="AQ509" s="72">
        <f t="shared" si="392"/>
        <v>0</v>
      </c>
      <c r="AR509" s="124">
        <f t="shared" si="362"/>
        <v>0</v>
      </c>
      <c r="AS509" s="116"/>
    </row>
    <row r="510" spans="2:45" x14ac:dyDescent="0.15">
      <c r="B510" s="6"/>
      <c r="C510" s="26"/>
      <c r="D510" s="123"/>
      <c r="E510" s="43"/>
      <c r="F510" s="59">
        <f t="shared" si="385"/>
        <v>0</v>
      </c>
      <c r="G510" s="26"/>
      <c r="H510" s="27"/>
      <c r="I510" s="28"/>
      <c r="J510" s="59">
        <f t="shared" si="386"/>
        <v>0</v>
      </c>
      <c r="K510" s="64"/>
      <c r="L510" s="65"/>
      <c r="M510" s="59">
        <f t="shared" si="387"/>
        <v>0</v>
      </c>
      <c r="N510" s="64"/>
      <c r="O510" s="65"/>
      <c r="P510" s="72">
        <f t="shared" si="388"/>
        <v>0</v>
      </c>
      <c r="Q510" s="124">
        <f t="shared" si="357"/>
        <v>0</v>
      </c>
      <c r="R510" s="116"/>
      <c r="AC510" s="6"/>
      <c r="AD510" s="26"/>
      <c r="AE510" s="123"/>
      <c r="AF510" s="43"/>
      <c r="AG510" s="59">
        <f t="shared" si="389"/>
        <v>0</v>
      </c>
      <c r="AH510" s="26"/>
      <c r="AI510" s="27"/>
      <c r="AJ510" s="28"/>
      <c r="AK510" s="59">
        <f t="shared" si="390"/>
        <v>0</v>
      </c>
      <c r="AL510" s="64"/>
      <c r="AM510" s="65"/>
      <c r="AN510" s="59">
        <f t="shared" si="391"/>
        <v>0</v>
      </c>
      <c r="AO510" s="64"/>
      <c r="AP510" s="65"/>
      <c r="AQ510" s="72">
        <f t="shared" si="392"/>
        <v>0</v>
      </c>
      <c r="AR510" s="124">
        <f t="shared" si="362"/>
        <v>0</v>
      </c>
      <c r="AS510" s="116"/>
    </row>
    <row r="511" spans="2:45" x14ac:dyDescent="0.15">
      <c r="B511" s="6"/>
      <c r="C511" s="26"/>
      <c r="D511" s="123"/>
      <c r="E511" s="43"/>
      <c r="F511" s="59">
        <f t="shared" si="385"/>
        <v>0</v>
      </c>
      <c r="G511" s="26"/>
      <c r="H511" s="27"/>
      <c r="I511" s="28"/>
      <c r="J511" s="59">
        <f t="shared" si="386"/>
        <v>0</v>
      </c>
      <c r="K511" s="64"/>
      <c r="L511" s="65"/>
      <c r="M511" s="59">
        <f t="shared" si="387"/>
        <v>0</v>
      </c>
      <c r="N511" s="64"/>
      <c r="O511" s="65"/>
      <c r="P511" s="72">
        <f t="shared" si="388"/>
        <v>0</v>
      </c>
      <c r="Q511" s="124">
        <f t="shared" si="357"/>
        <v>0</v>
      </c>
      <c r="R511" s="116"/>
      <c r="AC511" s="6"/>
      <c r="AD511" s="26"/>
      <c r="AE511" s="123"/>
      <c r="AF511" s="43"/>
      <c r="AG511" s="59">
        <f t="shared" si="389"/>
        <v>0</v>
      </c>
      <c r="AH511" s="26"/>
      <c r="AI511" s="27"/>
      <c r="AJ511" s="28"/>
      <c r="AK511" s="59">
        <f t="shared" si="390"/>
        <v>0</v>
      </c>
      <c r="AL511" s="64"/>
      <c r="AM511" s="65"/>
      <c r="AN511" s="59">
        <f t="shared" si="391"/>
        <v>0</v>
      </c>
      <c r="AO511" s="64"/>
      <c r="AP511" s="65"/>
      <c r="AQ511" s="72">
        <f t="shared" si="392"/>
        <v>0</v>
      </c>
      <c r="AR511" s="124">
        <f t="shared" si="362"/>
        <v>0</v>
      </c>
      <c r="AS511" s="116"/>
    </row>
    <row r="512" spans="2:45" x14ac:dyDescent="0.15">
      <c r="B512" s="6"/>
      <c r="C512" s="26"/>
      <c r="D512" s="123"/>
      <c r="E512" s="43"/>
      <c r="F512" s="59">
        <f t="shared" ref="F512:F517" si="402">SUM(C512:E512)</f>
        <v>0</v>
      </c>
      <c r="G512" s="26"/>
      <c r="H512" s="27"/>
      <c r="I512" s="28"/>
      <c r="J512" s="59">
        <f t="shared" ref="J512:J517" si="403">SUM(G512:I512)</f>
        <v>0</v>
      </c>
      <c r="K512" s="64"/>
      <c r="L512" s="65"/>
      <c r="M512" s="59">
        <f t="shared" ref="M512:M517" si="404">SUM(K512:L512)</f>
        <v>0</v>
      </c>
      <c r="N512" s="64"/>
      <c r="O512" s="65"/>
      <c r="P512" s="72">
        <f t="shared" ref="P512:P517" si="405">SUM(N512:O512)</f>
        <v>0</v>
      </c>
      <c r="Q512" s="124">
        <f t="shared" si="357"/>
        <v>0</v>
      </c>
      <c r="R512" s="116"/>
      <c r="AC512" s="6"/>
      <c r="AD512" s="26"/>
      <c r="AE512" s="123"/>
      <c r="AF512" s="43"/>
      <c r="AG512" s="59">
        <f t="shared" si="389"/>
        <v>0</v>
      </c>
      <c r="AH512" s="26"/>
      <c r="AI512" s="27"/>
      <c r="AJ512" s="28"/>
      <c r="AK512" s="59">
        <f t="shared" si="390"/>
        <v>0</v>
      </c>
      <c r="AL512" s="64"/>
      <c r="AM512" s="65"/>
      <c r="AN512" s="59">
        <f t="shared" si="391"/>
        <v>0</v>
      </c>
      <c r="AO512" s="64"/>
      <c r="AP512" s="65"/>
      <c r="AQ512" s="72">
        <f t="shared" si="392"/>
        <v>0</v>
      </c>
      <c r="AR512" s="124">
        <f t="shared" si="362"/>
        <v>0</v>
      </c>
      <c r="AS512" s="116"/>
    </row>
    <row r="513" spans="2:45" x14ac:dyDescent="0.15">
      <c r="B513" s="6"/>
      <c r="C513" s="26"/>
      <c r="D513" s="123"/>
      <c r="E513" s="43"/>
      <c r="F513" s="59">
        <f t="shared" si="402"/>
        <v>0</v>
      </c>
      <c r="G513" s="26"/>
      <c r="H513" s="27"/>
      <c r="I513" s="28"/>
      <c r="J513" s="59">
        <f t="shared" si="403"/>
        <v>0</v>
      </c>
      <c r="K513" s="64"/>
      <c r="L513" s="65"/>
      <c r="M513" s="59">
        <f t="shared" si="404"/>
        <v>0</v>
      </c>
      <c r="N513" s="64"/>
      <c r="O513" s="65"/>
      <c r="P513" s="72">
        <f t="shared" si="405"/>
        <v>0</v>
      </c>
      <c r="Q513" s="124">
        <f t="shared" si="357"/>
        <v>0</v>
      </c>
      <c r="R513" s="116"/>
      <c r="AC513" s="6"/>
      <c r="AD513" s="26"/>
      <c r="AE513" s="123"/>
      <c r="AF513" s="43"/>
      <c r="AG513" s="59">
        <f t="shared" si="389"/>
        <v>0</v>
      </c>
      <c r="AH513" s="26"/>
      <c r="AI513" s="27"/>
      <c r="AJ513" s="28"/>
      <c r="AK513" s="59">
        <f t="shared" si="390"/>
        <v>0</v>
      </c>
      <c r="AL513" s="64"/>
      <c r="AM513" s="65"/>
      <c r="AN513" s="59">
        <f t="shared" si="391"/>
        <v>0</v>
      </c>
      <c r="AO513" s="64"/>
      <c r="AP513" s="65"/>
      <c r="AQ513" s="72">
        <f t="shared" si="392"/>
        <v>0</v>
      </c>
      <c r="AR513" s="124">
        <f t="shared" si="362"/>
        <v>0</v>
      </c>
      <c r="AS513" s="116"/>
    </row>
    <row r="514" spans="2:45" x14ac:dyDescent="0.15">
      <c r="B514" s="6"/>
      <c r="C514" s="26"/>
      <c r="D514" s="123"/>
      <c r="E514" s="43"/>
      <c r="F514" s="59">
        <f t="shared" si="402"/>
        <v>0</v>
      </c>
      <c r="G514" s="26"/>
      <c r="H514" s="27"/>
      <c r="I514" s="28"/>
      <c r="J514" s="59">
        <f t="shared" si="403"/>
        <v>0</v>
      </c>
      <c r="K514" s="64"/>
      <c r="L514" s="65"/>
      <c r="M514" s="59">
        <f t="shared" si="404"/>
        <v>0</v>
      </c>
      <c r="N514" s="64"/>
      <c r="O514" s="65"/>
      <c r="P514" s="72">
        <f t="shared" si="405"/>
        <v>0</v>
      </c>
      <c r="Q514" s="124">
        <f t="shared" si="357"/>
        <v>0</v>
      </c>
      <c r="R514" s="116"/>
      <c r="AC514" s="6"/>
      <c r="AD514" s="26"/>
      <c r="AE514" s="123"/>
      <c r="AF514" s="43"/>
      <c r="AG514" s="59">
        <f t="shared" si="389"/>
        <v>0</v>
      </c>
      <c r="AH514" s="26"/>
      <c r="AI514" s="27"/>
      <c r="AJ514" s="28"/>
      <c r="AK514" s="59">
        <f t="shared" si="390"/>
        <v>0</v>
      </c>
      <c r="AL514" s="64"/>
      <c r="AM514" s="65"/>
      <c r="AN514" s="59">
        <f t="shared" si="391"/>
        <v>0</v>
      </c>
      <c r="AO514" s="64"/>
      <c r="AP514" s="65"/>
      <c r="AQ514" s="72">
        <f t="shared" si="392"/>
        <v>0</v>
      </c>
      <c r="AR514" s="124">
        <f t="shared" si="362"/>
        <v>0</v>
      </c>
      <c r="AS514" s="116"/>
    </row>
    <row r="515" spans="2:45" x14ac:dyDescent="0.15">
      <c r="B515" s="6"/>
      <c r="C515" s="26"/>
      <c r="D515" s="123"/>
      <c r="E515" s="43"/>
      <c r="F515" s="59">
        <f t="shared" si="402"/>
        <v>0</v>
      </c>
      <c r="G515" s="26"/>
      <c r="H515" s="27"/>
      <c r="I515" s="28"/>
      <c r="J515" s="59">
        <f t="shared" si="403"/>
        <v>0</v>
      </c>
      <c r="K515" s="64"/>
      <c r="L515" s="65"/>
      <c r="M515" s="59">
        <f t="shared" si="404"/>
        <v>0</v>
      </c>
      <c r="N515" s="64"/>
      <c r="O515" s="65"/>
      <c r="P515" s="72">
        <f t="shared" si="405"/>
        <v>0</v>
      </c>
      <c r="Q515" s="124">
        <f t="shared" si="357"/>
        <v>0</v>
      </c>
      <c r="R515" s="116"/>
      <c r="AC515" s="6"/>
      <c r="AD515" s="26"/>
      <c r="AE515" s="123"/>
      <c r="AF515" s="43"/>
      <c r="AG515" s="59">
        <f t="shared" si="389"/>
        <v>0</v>
      </c>
      <c r="AH515" s="26"/>
      <c r="AI515" s="27"/>
      <c r="AJ515" s="28"/>
      <c r="AK515" s="59">
        <f t="shared" si="390"/>
        <v>0</v>
      </c>
      <c r="AL515" s="64"/>
      <c r="AM515" s="65"/>
      <c r="AN515" s="59">
        <f t="shared" si="391"/>
        <v>0</v>
      </c>
      <c r="AO515" s="64"/>
      <c r="AP515" s="65"/>
      <c r="AQ515" s="72">
        <f t="shared" si="392"/>
        <v>0</v>
      </c>
      <c r="AR515" s="124">
        <f t="shared" si="362"/>
        <v>0</v>
      </c>
      <c r="AS515" s="116"/>
    </row>
    <row r="516" spans="2:45" x14ac:dyDescent="0.15">
      <c r="B516" s="6"/>
      <c r="C516" s="26"/>
      <c r="D516" s="123"/>
      <c r="E516" s="43"/>
      <c r="F516" s="59">
        <f t="shared" si="402"/>
        <v>0</v>
      </c>
      <c r="G516" s="26"/>
      <c r="H516" s="27"/>
      <c r="I516" s="28"/>
      <c r="J516" s="59">
        <f t="shared" si="403"/>
        <v>0</v>
      </c>
      <c r="K516" s="64"/>
      <c r="L516" s="65"/>
      <c r="M516" s="59">
        <f t="shared" si="404"/>
        <v>0</v>
      </c>
      <c r="N516" s="64"/>
      <c r="O516" s="65"/>
      <c r="P516" s="72">
        <f t="shared" si="405"/>
        <v>0</v>
      </c>
      <c r="Q516" s="124">
        <f t="shared" si="357"/>
        <v>0</v>
      </c>
      <c r="R516" s="116"/>
      <c r="AC516" s="6"/>
      <c r="AD516" s="26"/>
      <c r="AE516" s="123"/>
      <c r="AF516" s="43"/>
      <c r="AG516" s="59">
        <f t="shared" si="389"/>
        <v>0</v>
      </c>
      <c r="AH516" s="26"/>
      <c r="AI516" s="27"/>
      <c r="AJ516" s="28"/>
      <c r="AK516" s="59">
        <f t="shared" si="390"/>
        <v>0</v>
      </c>
      <c r="AL516" s="64"/>
      <c r="AM516" s="65"/>
      <c r="AN516" s="59">
        <f t="shared" si="391"/>
        <v>0</v>
      </c>
      <c r="AO516" s="64"/>
      <c r="AP516" s="65"/>
      <c r="AQ516" s="72">
        <f t="shared" si="392"/>
        <v>0</v>
      </c>
      <c r="AR516" s="124">
        <f t="shared" si="362"/>
        <v>0</v>
      </c>
      <c r="AS516" s="116"/>
    </row>
    <row r="517" spans="2:45" ht="14.25" thickBot="1" x14ac:dyDescent="0.2">
      <c r="B517" s="6"/>
      <c r="C517" s="29"/>
      <c r="D517" s="126"/>
      <c r="E517" s="44"/>
      <c r="F517" s="125">
        <f t="shared" si="402"/>
        <v>0</v>
      </c>
      <c r="G517" s="29"/>
      <c r="H517" s="30"/>
      <c r="I517" s="31"/>
      <c r="J517" s="125">
        <f t="shared" si="403"/>
        <v>0</v>
      </c>
      <c r="K517" s="66"/>
      <c r="L517" s="67"/>
      <c r="M517" s="125">
        <f t="shared" si="404"/>
        <v>0</v>
      </c>
      <c r="N517" s="66"/>
      <c r="O517" s="67"/>
      <c r="P517" s="127">
        <f t="shared" si="405"/>
        <v>0</v>
      </c>
      <c r="Q517" s="128">
        <f t="shared" si="357"/>
        <v>0</v>
      </c>
      <c r="R517" s="116"/>
      <c r="AC517" s="6"/>
      <c r="AD517" s="29"/>
      <c r="AE517" s="126"/>
      <c r="AF517" s="44"/>
      <c r="AG517" s="125">
        <f t="shared" si="389"/>
        <v>0</v>
      </c>
      <c r="AH517" s="29"/>
      <c r="AI517" s="30"/>
      <c r="AJ517" s="31"/>
      <c r="AK517" s="125">
        <f t="shared" si="390"/>
        <v>0</v>
      </c>
      <c r="AL517" s="66"/>
      <c r="AM517" s="67"/>
      <c r="AN517" s="125">
        <f t="shared" si="391"/>
        <v>0</v>
      </c>
      <c r="AO517" s="66"/>
      <c r="AP517" s="67"/>
      <c r="AQ517" s="127">
        <f t="shared" si="392"/>
        <v>0</v>
      </c>
      <c r="AR517" s="128">
        <f t="shared" si="362"/>
        <v>0</v>
      </c>
      <c r="AS517" s="116"/>
    </row>
    <row r="518" spans="2:45" ht="14.25" thickBot="1" x14ac:dyDescent="0.2">
      <c r="B518" s="5" t="s">
        <v>2</v>
      </c>
      <c r="C518" s="32">
        <f>SUM(C493:C517)</f>
        <v>44</v>
      </c>
      <c r="D518" s="132">
        <f t="shared" ref="D518:Q518" si="406">SUM(D493:D517)</f>
        <v>29</v>
      </c>
      <c r="E518" s="34">
        <f t="shared" si="406"/>
        <v>37</v>
      </c>
      <c r="F518" s="4">
        <f t="shared" si="406"/>
        <v>110</v>
      </c>
      <c r="G518" s="32">
        <f t="shared" si="406"/>
        <v>48</v>
      </c>
      <c r="H518" s="33">
        <f t="shared" si="406"/>
        <v>30</v>
      </c>
      <c r="I518" s="34">
        <f t="shared" si="406"/>
        <v>45</v>
      </c>
      <c r="J518" s="4">
        <f t="shared" si="406"/>
        <v>123</v>
      </c>
      <c r="K518" s="68">
        <f t="shared" si="406"/>
        <v>73</v>
      </c>
      <c r="L518" s="69">
        <f t="shared" si="406"/>
        <v>75</v>
      </c>
      <c r="M518" s="4">
        <f t="shared" si="406"/>
        <v>148</v>
      </c>
      <c r="N518" s="68">
        <f t="shared" si="406"/>
        <v>41</v>
      </c>
      <c r="O518" s="145">
        <f t="shared" si="406"/>
        <v>34</v>
      </c>
      <c r="P518" s="58">
        <f t="shared" si="406"/>
        <v>75</v>
      </c>
      <c r="Q518" s="88">
        <f t="shared" si="406"/>
        <v>456</v>
      </c>
      <c r="R518" s="116"/>
      <c r="AC518" s="5" t="s">
        <v>2</v>
      </c>
      <c r="AD518" s="142">
        <f t="shared" ref="AD518:AF518" si="407">SUM(AD493:AD517)</f>
        <v>50</v>
      </c>
      <c r="AE518" s="132">
        <f t="shared" si="407"/>
        <v>50</v>
      </c>
      <c r="AF518" s="143">
        <f t="shared" si="407"/>
        <v>70</v>
      </c>
      <c r="AG518" s="4">
        <f t="shared" si="389"/>
        <v>170</v>
      </c>
      <c r="AH518" s="142">
        <f>SUM(AH493:AH517)</f>
        <v>70</v>
      </c>
      <c r="AI518" s="152">
        <f t="shared" ref="AI518:AJ518" si="408">SUM(AI493:AI517)</f>
        <v>50</v>
      </c>
      <c r="AJ518" s="143">
        <f t="shared" si="408"/>
        <v>80</v>
      </c>
      <c r="AK518" s="4">
        <f t="shared" si="390"/>
        <v>200</v>
      </c>
      <c r="AL518" s="68">
        <f t="shared" ref="AL518:AM518" si="409">SUM(AL493:AL517)</f>
        <v>100</v>
      </c>
      <c r="AM518" s="69">
        <f t="shared" si="409"/>
        <v>100</v>
      </c>
      <c r="AN518" s="4">
        <f t="shared" si="391"/>
        <v>200</v>
      </c>
      <c r="AO518" s="157">
        <f t="shared" ref="AO518:AP518" si="410">SUM(AO493:AO517)</f>
        <v>40</v>
      </c>
      <c r="AP518" s="145">
        <f t="shared" si="410"/>
        <v>40</v>
      </c>
      <c r="AQ518" s="146">
        <f t="shared" si="392"/>
        <v>80</v>
      </c>
      <c r="AR518" s="88">
        <f t="shared" si="362"/>
        <v>650</v>
      </c>
      <c r="AS518" s="116"/>
    </row>
    <row r="519" spans="2:45" ht="14.25" thickBot="1" x14ac:dyDescent="0.2">
      <c r="B519" s="3" t="s">
        <v>3</v>
      </c>
      <c r="C519" s="70">
        <f>+C492-C518</f>
        <v>37</v>
      </c>
      <c r="D519" s="86">
        <f t="shared" ref="D519:Q519" si="411">+D492-D518</f>
        <v>41</v>
      </c>
      <c r="E519" s="85">
        <f t="shared" si="411"/>
        <v>53</v>
      </c>
      <c r="F519" s="61">
        <f t="shared" si="411"/>
        <v>131</v>
      </c>
      <c r="G519" s="70">
        <f t="shared" si="411"/>
        <v>58</v>
      </c>
      <c r="H519" s="84">
        <f t="shared" si="411"/>
        <v>28</v>
      </c>
      <c r="I519" s="85">
        <f t="shared" si="411"/>
        <v>41</v>
      </c>
      <c r="J519" s="61">
        <f t="shared" si="411"/>
        <v>127</v>
      </c>
      <c r="K519" s="81">
        <f t="shared" si="411"/>
        <v>44</v>
      </c>
      <c r="L519" s="71">
        <f t="shared" si="411"/>
        <v>37</v>
      </c>
      <c r="M519" s="61">
        <f t="shared" si="411"/>
        <v>81</v>
      </c>
      <c r="N519" s="81">
        <f t="shared" si="411"/>
        <v>4</v>
      </c>
      <c r="O519" s="137">
        <f t="shared" si="411"/>
        <v>0</v>
      </c>
      <c r="P519" s="73">
        <f t="shared" si="411"/>
        <v>4</v>
      </c>
      <c r="Q519" s="88">
        <f t="shared" si="411"/>
        <v>343</v>
      </c>
      <c r="R519" s="116"/>
      <c r="AC519" s="3" t="s">
        <v>3</v>
      </c>
      <c r="AD519" s="136">
        <f>+AD492-AD518</f>
        <v>0</v>
      </c>
      <c r="AE519" s="86">
        <f>+AE492-AE518</f>
        <v>70</v>
      </c>
      <c r="AF519" s="155">
        <f t="shared" ref="AF519" si="412">+AF492-AF518</f>
        <v>0</v>
      </c>
      <c r="AG519" s="61">
        <f t="shared" si="389"/>
        <v>70</v>
      </c>
      <c r="AH519" s="136">
        <f>+AH492-AH518</f>
        <v>0</v>
      </c>
      <c r="AI519" s="156">
        <f t="shared" ref="AI519:AJ519" si="413">+AI492-AI518</f>
        <v>0</v>
      </c>
      <c r="AJ519" s="155">
        <f t="shared" si="413"/>
        <v>0</v>
      </c>
      <c r="AK519" s="61">
        <f t="shared" si="390"/>
        <v>0</v>
      </c>
      <c r="AL519" s="81">
        <f>+AL492-AL518</f>
        <v>40</v>
      </c>
      <c r="AM519" s="71">
        <f>+AM492-AM518</f>
        <v>40</v>
      </c>
      <c r="AN519" s="61">
        <f t="shared" si="391"/>
        <v>80</v>
      </c>
      <c r="AO519" s="158">
        <f>+AO492-AO518</f>
        <v>0</v>
      </c>
      <c r="AP519" s="137">
        <f>+AP492-AP518</f>
        <v>0</v>
      </c>
      <c r="AQ519" s="150">
        <f t="shared" si="392"/>
        <v>0</v>
      </c>
      <c r="AR519" s="151">
        <f t="shared" si="362"/>
        <v>150</v>
      </c>
      <c r="AS519" s="116"/>
    </row>
    <row r="520" spans="2:45" x14ac:dyDescent="0.15">
      <c r="C520" s="154" t="s">
        <v>75</v>
      </c>
      <c r="N520" s="154" t="s">
        <v>75</v>
      </c>
      <c r="O520" s="154" t="s">
        <v>75</v>
      </c>
    </row>
    <row r="522" spans="2:45" ht="18.75" x14ac:dyDescent="0.2">
      <c r="B522" s="89" t="s">
        <v>7</v>
      </c>
      <c r="C522" s="90"/>
      <c r="D522" s="90"/>
      <c r="E522" s="90"/>
      <c r="F522" s="90"/>
      <c r="G522" s="90"/>
      <c r="H522" s="90"/>
      <c r="I522" s="90"/>
      <c r="J522" s="90"/>
      <c r="K522" s="90"/>
      <c r="L522" s="90"/>
      <c r="M522" s="90"/>
      <c r="N522" s="90"/>
      <c r="O522" s="89"/>
      <c r="P522" s="90"/>
      <c r="Q522" s="90"/>
      <c r="R522" s="90"/>
      <c r="S522" s="90"/>
      <c r="T522" s="90"/>
      <c r="U522" s="90"/>
      <c r="AC522" s="89" t="s">
        <v>7</v>
      </c>
      <c r="AD522" s="90"/>
      <c r="AE522" s="90"/>
      <c r="AF522" s="90"/>
      <c r="AG522" s="90"/>
      <c r="AH522" s="90"/>
      <c r="AI522" s="89"/>
      <c r="AJ522" s="90"/>
      <c r="AK522" s="90"/>
      <c r="AL522" s="90"/>
      <c r="AM522" s="90"/>
      <c r="AN522" s="90"/>
      <c r="AO522" s="90"/>
      <c r="AP522" s="90"/>
      <c r="AQ522" s="90"/>
      <c r="AR522" s="90"/>
      <c r="AS522" s="90"/>
    </row>
    <row r="523" spans="2:45" ht="18" thickBot="1" x14ac:dyDescent="0.25">
      <c r="B523" s="91" t="s">
        <v>70</v>
      </c>
      <c r="C523" s="90"/>
      <c r="D523" s="90"/>
      <c r="E523" s="90"/>
      <c r="F523" s="90"/>
      <c r="G523" s="90"/>
      <c r="H523" s="90"/>
      <c r="I523" s="91"/>
      <c r="J523" s="90"/>
      <c r="K523" s="90"/>
      <c r="L523" s="90"/>
      <c r="M523" s="90"/>
      <c r="N523" s="90"/>
      <c r="O523" s="91"/>
      <c r="P523" s="90"/>
      <c r="Q523" s="90"/>
      <c r="R523" s="90"/>
      <c r="S523" s="90"/>
      <c r="T523" s="90"/>
      <c r="U523" s="91"/>
      <c r="AC523" s="91" t="s">
        <v>70</v>
      </c>
      <c r="AD523" s="90"/>
      <c r="AE523" s="90"/>
      <c r="AF523" s="90"/>
      <c r="AG523" s="90"/>
      <c r="AH523" s="90"/>
      <c r="AI523" s="91"/>
      <c r="AJ523" s="90"/>
      <c r="AK523" s="90"/>
      <c r="AL523" s="90"/>
      <c r="AM523" s="90"/>
      <c r="AN523" s="90"/>
      <c r="AO523" s="91"/>
      <c r="AP523" s="91"/>
      <c r="AQ523" s="91"/>
      <c r="AR523" s="91"/>
      <c r="AS523" s="90"/>
    </row>
    <row r="524" spans="2:45" ht="14.25" thickBot="1" x14ac:dyDescent="0.2">
      <c r="B524" s="92"/>
      <c r="C524" s="205" t="s">
        <v>63</v>
      </c>
      <c r="D524" s="206"/>
      <c r="E524" s="206"/>
      <c r="F524" s="206"/>
      <c r="G524" s="205" t="s">
        <v>61</v>
      </c>
      <c r="H524" s="206"/>
      <c r="I524" s="206"/>
      <c r="J524" s="207"/>
      <c r="K524" s="205" t="s">
        <v>65</v>
      </c>
      <c r="L524" s="206"/>
      <c r="M524" s="207"/>
      <c r="N524" s="208" t="s">
        <v>68</v>
      </c>
      <c r="O524" s="209"/>
      <c r="P524" s="210"/>
      <c r="Q524" s="93"/>
      <c r="R524" s="116"/>
      <c r="AC524" s="92"/>
      <c r="AD524" s="205" t="s">
        <v>63</v>
      </c>
      <c r="AE524" s="206"/>
      <c r="AF524" s="206"/>
      <c r="AG524" s="206"/>
      <c r="AH524" s="205" t="s">
        <v>61</v>
      </c>
      <c r="AI524" s="206"/>
      <c r="AJ524" s="206"/>
      <c r="AK524" s="207"/>
      <c r="AL524" s="205" t="s">
        <v>65</v>
      </c>
      <c r="AM524" s="206"/>
      <c r="AN524" s="207"/>
      <c r="AO524" s="208" t="s">
        <v>68</v>
      </c>
      <c r="AP524" s="209"/>
      <c r="AQ524" s="210"/>
      <c r="AR524" s="93"/>
      <c r="AS524" s="116"/>
    </row>
    <row r="525" spans="2:45" ht="14.25" thickBot="1" x14ac:dyDescent="0.2">
      <c r="B525" s="94"/>
      <c r="C525" s="104" t="s">
        <v>9</v>
      </c>
      <c r="D525" s="107" t="s">
        <v>50</v>
      </c>
      <c r="E525" s="108" t="s">
        <v>6</v>
      </c>
      <c r="F525" s="94" t="s">
        <v>0</v>
      </c>
      <c r="G525" s="104" t="s">
        <v>9</v>
      </c>
      <c r="H525" s="105" t="s">
        <v>13</v>
      </c>
      <c r="I525" s="106" t="s">
        <v>62</v>
      </c>
      <c r="J525" s="98" t="s">
        <v>0</v>
      </c>
      <c r="K525" s="109" t="s">
        <v>69</v>
      </c>
      <c r="L525" s="110" t="s">
        <v>10</v>
      </c>
      <c r="M525" s="103" t="s">
        <v>0</v>
      </c>
      <c r="N525" s="111" t="s">
        <v>62</v>
      </c>
      <c r="O525" s="110" t="s">
        <v>10</v>
      </c>
      <c r="P525" s="103" t="s">
        <v>0</v>
      </c>
      <c r="Q525" s="112" t="s">
        <v>0</v>
      </c>
      <c r="R525" s="116"/>
      <c r="AC525" s="94"/>
      <c r="AD525" s="104" t="s">
        <v>9</v>
      </c>
      <c r="AE525" s="107" t="s">
        <v>50</v>
      </c>
      <c r="AF525" s="108" t="s">
        <v>6</v>
      </c>
      <c r="AG525" s="94" t="s">
        <v>0</v>
      </c>
      <c r="AH525" s="104" t="s">
        <v>9</v>
      </c>
      <c r="AI525" s="105" t="s">
        <v>13</v>
      </c>
      <c r="AJ525" s="106" t="s">
        <v>62</v>
      </c>
      <c r="AK525" s="98" t="s">
        <v>0</v>
      </c>
      <c r="AL525" s="109" t="s">
        <v>69</v>
      </c>
      <c r="AM525" s="110" t="s">
        <v>10</v>
      </c>
      <c r="AN525" s="103" t="s">
        <v>0</v>
      </c>
      <c r="AO525" s="111" t="s">
        <v>62</v>
      </c>
      <c r="AP525" s="110" t="s">
        <v>10</v>
      </c>
      <c r="AQ525" s="103" t="s">
        <v>0</v>
      </c>
      <c r="AR525" s="112" t="s">
        <v>0</v>
      </c>
      <c r="AS525" s="116"/>
    </row>
    <row r="526" spans="2:45" x14ac:dyDescent="0.15">
      <c r="B526" s="46" t="s">
        <v>3</v>
      </c>
      <c r="C526" s="47">
        <f>C519</f>
        <v>37</v>
      </c>
      <c r="D526" s="79">
        <f t="shared" ref="D526:Q526" si="414">D519</f>
        <v>41</v>
      </c>
      <c r="E526" s="48">
        <f t="shared" si="414"/>
        <v>53</v>
      </c>
      <c r="F526" s="49">
        <f t="shared" si="414"/>
        <v>131</v>
      </c>
      <c r="G526" s="47">
        <f t="shared" si="414"/>
        <v>58</v>
      </c>
      <c r="H526" s="50">
        <f t="shared" si="414"/>
        <v>28</v>
      </c>
      <c r="I526" s="48">
        <f t="shared" si="414"/>
        <v>41</v>
      </c>
      <c r="J526" s="49">
        <f t="shared" si="414"/>
        <v>127</v>
      </c>
      <c r="K526" s="83">
        <f t="shared" si="414"/>
        <v>44</v>
      </c>
      <c r="L526" s="82">
        <f t="shared" si="414"/>
        <v>37</v>
      </c>
      <c r="M526" s="74">
        <f t="shared" si="414"/>
        <v>81</v>
      </c>
      <c r="N526" s="80">
        <f t="shared" si="414"/>
        <v>4</v>
      </c>
      <c r="O526" s="48">
        <f t="shared" si="414"/>
        <v>0</v>
      </c>
      <c r="P526" s="87">
        <f t="shared" si="414"/>
        <v>4</v>
      </c>
      <c r="Q526" s="133">
        <f t="shared" si="414"/>
        <v>343</v>
      </c>
      <c r="R526" s="138"/>
      <c r="AC526" s="46" t="s">
        <v>3</v>
      </c>
      <c r="AD526" s="47">
        <f t="shared" ref="AD526:AR526" si="415">AD519</f>
        <v>0</v>
      </c>
      <c r="AE526" s="79">
        <f t="shared" si="415"/>
        <v>70</v>
      </c>
      <c r="AF526" s="48">
        <f t="shared" si="415"/>
        <v>0</v>
      </c>
      <c r="AG526" s="49">
        <f t="shared" si="415"/>
        <v>70</v>
      </c>
      <c r="AH526" s="47">
        <f t="shared" si="415"/>
        <v>0</v>
      </c>
      <c r="AI526" s="50">
        <f t="shared" si="415"/>
        <v>0</v>
      </c>
      <c r="AJ526" s="48">
        <f t="shared" si="415"/>
        <v>0</v>
      </c>
      <c r="AK526" s="49">
        <f t="shared" si="415"/>
        <v>0</v>
      </c>
      <c r="AL526" s="83">
        <f t="shared" si="415"/>
        <v>40</v>
      </c>
      <c r="AM526" s="82">
        <f t="shared" si="415"/>
        <v>40</v>
      </c>
      <c r="AN526" s="74">
        <f t="shared" si="415"/>
        <v>80</v>
      </c>
      <c r="AO526" s="80">
        <f t="shared" si="415"/>
        <v>0</v>
      </c>
      <c r="AP526" s="48">
        <f t="shared" si="415"/>
        <v>0</v>
      </c>
      <c r="AQ526" s="87">
        <f t="shared" si="415"/>
        <v>0</v>
      </c>
      <c r="AR526" s="133">
        <f t="shared" si="415"/>
        <v>150</v>
      </c>
      <c r="AS526" s="138"/>
    </row>
    <row r="527" spans="2:45" x14ac:dyDescent="0.15">
      <c r="B527" s="11" t="s">
        <v>4</v>
      </c>
      <c r="C527" s="26"/>
      <c r="D527" s="123">
        <v>30</v>
      </c>
      <c r="E527" s="43">
        <v>30</v>
      </c>
      <c r="F527" s="59">
        <f t="shared" ref="F527" si="416">SUM(C527:E527)</f>
        <v>60</v>
      </c>
      <c r="G527" s="26">
        <v>0</v>
      </c>
      <c r="H527" s="27">
        <v>20</v>
      </c>
      <c r="I527" s="28"/>
      <c r="J527" s="59">
        <f t="shared" ref="J527" si="417">SUM(G527:I527)</f>
        <v>20</v>
      </c>
      <c r="K527" s="64">
        <v>10</v>
      </c>
      <c r="L527" s="65">
        <v>10</v>
      </c>
      <c r="M527" s="59">
        <f t="shared" ref="M527" si="418">SUM(K527:L527)</f>
        <v>20</v>
      </c>
      <c r="N527" s="64"/>
      <c r="O527" s="65"/>
      <c r="P527" s="72">
        <f t="shared" ref="P527" si="419">SUM(N527:O527)</f>
        <v>0</v>
      </c>
      <c r="Q527" s="124">
        <f t="shared" ref="Q527:Q528" si="420">P527+M527+F527+J527</f>
        <v>100</v>
      </c>
      <c r="R527" s="119">
        <v>45870</v>
      </c>
      <c r="AC527" s="11" t="s">
        <v>4</v>
      </c>
      <c r="AD527" s="26"/>
      <c r="AE527" s="123"/>
      <c r="AF527" s="43"/>
      <c r="AG527" s="59">
        <f t="shared" ref="AG527:AG532" si="421">SUM(AD527:AF527)</f>
        <v>0</v>
      </c>
      <c r="AH527" s="26"/>
      <c r="AI527" s="27"/>
      <c r="AJ527" s="28"/>
      <c r="AK527" s="59">
        <f t="shared" ref="AK527:AK532" si="422">SUM(AH527:AJ527)</f>
        <v>0</v>
      </c>
      <c r="AL527" s="64"/>
      <c r="AM527" s="65"/>
      <c r="AN527" s="59">
        <f t="shared" ref="AN527:AN532" si="423">SUM(AL527:AM527)</f>
        <v>0</v>
      </c>
      <c r="AO527" s="64"/>
      <c r="AP527" s="65"/>
      <c r="AQ527" s="72">
        <f t="shared" ref="AQ527:AQ532" si="424">SUM(AO527:AP527)</f>
        <v>0</v>
      </c>
      <c r="AR527" s="124">
        <f t="shared" ref="AR527:AR559" si="425">AQ527+AN527+AG527+AK527</f>
        <v>0</v>
      </c>
      <c r="AS527" s="116"/>
    </row>
    <row r="528" spans="2:45" x14ac:dyDescent="0.15">
      <c r="B528" s="11" t="s">
        <v>4</v>
      </c>
      <c r="C528" s="26"/>
      <c r="D528" s="123"/>
      <c r="E528" s="43"/>
      <c r="F528" s="59">
        <f t="shared" ref="F528" si="426">SUM(C528:E528)</f>
        <v>0</v>
      </c>
      <c r="G528" s="26"/>
      <c r="H528" s="27"/>
      <c r="I528" s="28"/>
      <c r="J528" s="59">
        <f t="shared" ref="J528" si="427">SUM(G528:I528)</f>
        <v>0</v>
      </c>
      <c r="K528" s="64"/>
      <c r="L528" s="65"/>
      <c r="M528" s="59">
        <f t="shared" ref="M528" si="428">SUM(K528:L528)</f>
        <v>0</v>
      </c>
      <c r="N528" s="64">
        <v>20</v>
      </c>
      <c r="O528" s="65">
        <v>20</v>
      </c>
      <c r="P528" s="72">
        <f t="shared" ref="P528" si="429">SUM(N528:O528)</f>
        <v>40</v>
      </c>
      <c r="Q528" s="124">
        <f t="shared" si="420"/>
        <v>40</v>
      </c>
      <c r="R528" s="119">
        <v>45874</v>
      </c>
      <c r="AC528" s="11" t="s">
        <v>4</v>
      </c>
      <c r="AD528" s="26"/>
      <c r="AE528" s="123"/>
      <c r="AF528" s="43"/>
      <c r="AG528" s="59">
        <f t="shared" si="421"/>
        <v>0</v>
      </c>
      <c r="AH528" s="26"/>
      <c r="AI528" s="27"/>
      <c r="AJ528" s="28"/>
      <c r="AK528" s="59">
        <f t="shared" si="422"/>
        <v>0</v>
      </c>
      <c r="AL528" s="64"/>
      <c r="AM528" s="65"/>
      <c r="AN528" s="59">
        <f t="shared" si="423"/>
        <v>0</v>
      </c>
      <c r="AO528" s="64"/>
      <c r="AP528" s="65"/>
      <c r="AQ528" s="72">
        <f t="shared" si="424"/>
        <v>0</v>
      </c>
      <c r="AR528" s="124">
        <f t="shared" si="425"/>
        <v>0</v>
      </c>
      <c r="AS528" s="116"/>
    </row>
    <row r="529" spans="2:45" x14ac:dyDescent="0.15">
      <c r="B529" s="11" t="s">
        <v>42</v>
      </c>
      <c r="C529" s="26">
        <v>-3</v>
      </c>
      <c r="D529" s="123">
        <v>0</v>
      </c>
      <c r="E529" s="43">
        <v>1</v>
      </c>
      <c r="F529" s="59">
        <f t="shared" ref="F529" si="430">SUM(C529:E529)</f>
        <v>-2</v>
      </c>
      <c r="G529" s="26">
        <v>-1</v>
      </c>
      <c r="H529" s="27">
        <v>0</v>
      </c>
      <c r="I529" s="28">
        <v>-2</v>
      </c>
      <c r="J529" s="59">
        <f t="shared" ref="J529:J531" si="431">SUM(G529:I529)</f>
        <v>-3</v>
      </c>
      <c r="K529" s="64">
        <v>4</v>
      </c>
      <c r="L529" s="65">
        <v>-4</v>
      </c>
      <c r="M529" s="59">
        <f t="shared" ref="M529:M531" si="432">SUM(K529:L529)</f>
        <v>0</v>
      </c>
      <c r="N529" s="64"/>
      <c r="O529" s="65">
        <v>0</v>
      </c>
      <c r="P529" s="72">
        <f t="shared" ref="P529:P531" si="433">SUM(N529:O529)</f>
        <v>0</v>
      </c>
      <c r="Q529" s="124">
        <f t="shared" ref="Q529:Q531" si="434">P529+M529+F529+J529</f>
        <v>-5</v>
      </c>
      <c r="R529" s="119">
        <v>45895</v>
      </c>
      <c r="AC529" s="11" t="s">
        <v>4</v>
      </c>
      <c r="AD529" s="26"/>
      <c r="AE529" s="123"/>
      <c r="AF529" s="43"/>
      <c r="AG529" s="59">
        <f t="shared" si="421"/>
        <v>0</v>
      </c>
      <c r="AH529" s="26"/>
      <c r="AI529" s="27"/>
      <c r="AJ529" s="28"/>
      <c r="AK529" s="59">
        <f t="shared" si="422"/>
        <v>0</v>
      </c>
      <c r="AL529" s="64"/>
      <c r="AM529" s="65"/>
      <c r="AN529" s="59">
        <f t="shared" si="423"/>
        <v>0</v>
      </c>
      <c r="AO529" s="64"/>
      <c r="AP529" s="65"/>
      <c r="AQ529" s="72">
        <f t="shared" si="424"/>
        <v>0</v>
      </c>
      <c r="AR529" s="124">
        <f t="shared" si="425"/>
        <v>0</v>
      </c>
      <c r="AS529" s="116"/>
    </row>
    <row r="530" spans="2:45" x14ac:dyDescent="0.15">
      <c r="B530" s="11" t="s">
        <v>4</v>
      </c>
      <c r="C530" s="26"/>
      <c r="D530" s="123"/>
      <c r="E530" s="43"/>
      <c r="F530" s="59">
        <f t="shared" ref="F530" si="435">SUM(C530:E530)</f>
        <v>0</v>
      </c>
      <c r="G530" s="26">
        <v>10</v>
      </c>
      <c r="H530" s="27"/>
      <c r="I530" s="28">
        <v>30</v>
      </c>
      <c r="J530" s="59">
        <f t="shared" ref="J530" si="436">SUM(G530:I530)</f>
        <v>40</v>
      </c>
      <c r="K530" s="64"/>
      <c r="L530" s="65"/>
      <c r="M530" s="59">
        <f t="shared" ref="M530" si="437">SUM(K530:L530)</f>
        <v>0</v>
      </c>
      <c r="N530" s="64"/>
      <c r="O530" s="65"/>
      <c r="P530" s="72">
        <f t="shared" ref="P530" si="438">SUM(N530:O530)</f>
        <v>0</v>
      </c>
      <c r="Q530" s="124">
        <f t="shared" si="434"/>
        <v>40</v>
      </c>
      <c r="R530" s="119">
        <v>45899</v>
      </c>
      <c r="AC530" s="11" t="s">
        <v>4</v>
      </c>
      <c r="AD530" s="26"/>
      <c r="AE530" s="123"/>
      <c r="AF530" s="43"/>
      <c r="AG530" s="59">
        <f t="shared" si="421"/>
        <v>0</v>
      </c>
      <c r="AH530" s="26"/>
      <c r="AI530" s="27"/>
      <c r="AJ530" s="28"/>
      <c r="AK530" s="59">
        <f t="shared" si="422"/>
        <v>0</v>
      </c>
      <c r="AL530" s="64"/>
      <c r="AM530" s="65"/>
      <c r="AN530" s="59">
        <f t="shared" si="423"/>
        <v>0</v>
      </c>
      <c r="AO530" s="64"/>
      <c r="AP530" s="65"/>
      <c r="AQ530" s="72">
        <f t="shared" si="424"/>
        <v>0</v>
      </c>
      <c r="AR530" s="124">
        <f t="shared" si="425"/>
        <v>0</v>
      </c>
      <c r="AS530" s="116"/>
    </row>
    <row r="531" spans="2:45" ht="14.25" thickBot="1" x14ac:dyDescent="0.2">
      <c r="B531" s="11" t="s">
        <v>4</v>
      </c>
      <c r="C531" s="29"/>
      <c r="D531" s="126"/>
      <c r="E531" s="44"/>
      <c r="F531" s="125">
        <f t="shared" ref="F531" si="439">SUM(C531:E531)</f>
        <v>0</v>
      </c>
      <c r="G531" s="29"/>
      <c r="H531" s="30"/>
      <c r="I531" s="31"/>
      <c r="J531" s="125">
        <f t="shared" si="431"/>
        <v>0</v>
      </c>
      <c r="K531" s="66"/>
      <c r="L531" s="67"/>
      <c r="M531" s="125">
        <f t="shared" si="432"/>
        <v>0</v>
      </c>
      <c r="N531" s="66"/>
      <c r="O531" s="67"/>
      <c r="P531" s="127">
        <f t="shared" si="433"/>
        <v>0</v>
      </c>
      <c r="Q531" s="128">
        <f t="shared" si="434"/>
        <v>0</v>
      </c>
      <c r="R531" s="116"/>
      <c r="AC531" s="11" t="s">
        <v>4</v>
      </c>
      <c r="AD531" s="29"/>
      <c r="AE531" s="126"/>
      <c r="AF531" s="44"/>
      <c r="AG531" s="125">
        <f t="shared" si="421"/>
        <v>0</v>
      </c>
      <c r="AH531" s="29"/>
      <c r="AI531" s="30"/>
      <c r="AJ531" s="31"/>
      <c r="AK531" s="125">
        <f t="shared" si="422"/>
        <v>0</v>
      </c>
      <c r="AL531" s="66"/>
      <c r="AM531" s="67"/>
      <c r="AN531" s="125">
        <f t="shared" si="423"/>
        <v>0</v>
      </c>
      <c r="AO531" s="66"/>
      <c r="AP531" s="67"/>
      <c r="AQ531" s="127">
        <f t="shared" si="424"/>
        <v>0</v>
      </c>
      <c r="AR531" s="128">
        <f t="shared" si="425"/>
        <v>0</v>
      </c>
      <c r="AS531" s="116"/>
    </row>
    <row r="532" spans="2:45" ht="14.25" thickBot="1" x14ac:dyDescent="0.2">
      <c r="B532" s="5" t="s">
        <v>1</v>
      </c>
      <c r="C532" s="32">
        <f>SUM(C526:C531)</f>
        <v>34</v>
      </c>
      <c r="D532" s="132">
        <f t="shared" ref="D532:Q532" si="440">SUM(D526:D531)</f>
        <v>71</v>
      </c>
      <c r="E532" s="34">
        <f t="shared" si="440"/>
        <v>84</v>
      </c>
      <c r="F532" s="4">
        <f t="shared" si="440"/>
        <v>189</v>
      </c>
      <c r="G532" s="32">
        <f t="shared" si="440"/>
        <v>67</v>
      </c>
      <c r="H532" s="33">
        <f t="shared" si="440"/>
        <v>48</v>
      </c>
      <c r="I532" s="34">
        <f t="shared" si="440"/>
        <v>69</v>
      </c>
      <c r="J532" s="4">
        <f t="shared" si="440"/>
        <v>184</v>
      </c>
      <c r="K532" s="68">
        <f t="shared" si="440"/>
        <v>58</v>
      </c>
      <c r="L532" s="69">
        <f t="shared" si="440"/>
        <v>43</v>
      </c>
      <c r="M532" s="4">
        <f t="shared" si="440"/>
        <v>101</v>
      </c>
      <c r="N532" s="68">
        <f t="shared" si="440"/>
        <v>24</v>
      </c>
      <c r="O532" s="34">
        <f t="shared" si="440"/>
        <v>20</v>
      </c>
      <c r="P532" s="58">
        <f t="shared" si="440"/>
        <v>44</v>
      </c>
      <c r="Q532" s="88">
        <f t="shared" si="440"/>
        <v>518</v>
      </c>
      <c r="R532" s="116"/>
      <c r="AC532" s="5" t="s">
        <v>1</v>
      </c>
      <c r="AD532" s="32">
        <f t="shared" ref="AD532:AF532" si="441">SUM(AD526:AD531)</f>
        <v>0</v>
      </c>
      <c r="AE532" s="132">
        <f t="shared" si="441"/>
        <v>70</v>
      </c>
      <c r="AF532" s="34">
        <f t="shared" si="441"/>
        <v>0</v>
      </c>
      <c r="AG532" s="4">
        <f t="shared" si="421"/>
        <v>70</v>
      </c>
      <c r="AH532" s="32">
        <f>SUM(AH526:AH531)</f>
        <v>0</v>
      </c>
      <c r="AI532" s="33">
        <f t="shared" ref="AI532:AJ532" si="442">SUM(AI526:AI531)</f>
        <v>0</v>
      </c>
      <c r="AJ532" s="34">
        <f t="shared" si="442"/>
        <v>0</v>
      </c>
      <c r="AK532" s="4">
        <f t="shared" si="422"/>
        <v>0</v>
      </c>
      <c r="AL532" s="68">
        <f t="shared" ref="AL532:AM532" si="443">SUM(AL526:AL531)</f>
        <v>40</v>
      </c>
      <c r="AM532" s="69">
        <f t="shared" si="443"/>
        <v>40</v>
      </c>
      <c r="AN532" s="4">
        <f t="shared" si="423"/>
        <v>80</v>
      </c>
      <c r="AO532" s="68">
        <f>SUM(AO526:AO531)</f>
        <v>0</v>
      </c>
      <c r="AP532" s="34">
        <f t="shared" ref="AP532" si="444">SUM(AP526:AP531)</f>
        <v>0</v>
      </c>
      <c r="AQ532" s="58">
        <f t="shared" si="424"/>
        <v>0</v>
      </c>
      <c r="AR532" s="88">
        <f t="shared" si="425"/>
        <v>150</v>
      </c>
      <c r="AS532" s="116"/>
    </row>
    <row r="533" spans="2:45" x14ac:dyDescent="0.15">
      <c r="B533" s="6" t="s">
        <v>16</v>
      </c>
      <c r="C533" s="26">
        <v>1</v>
      </c>
      <c r="D533" s="123"/>
      <c r="E533" s="43"/>
      <c r="F533" s="59">
        <f t="shared" ref="F533" si="445">SUM(C533:E533)</f>
        <v>1</v>
      </c>
      <c r="G533" s="26"/>
      <c r="H533" s="27"/>
      <c r="I533" s="28">
        <v>1</v>
      </c>
      <c r="J533" s="59">
        <f t="shared" ref="J533" si="446">SUM(G533:I533)</f>
        <v>1</v>
      </c>
      <c r="K533" s="64">
        <f>1+2</f>
        <v>3</v>
      </c>
      <c r="L533" s="65">
        <v>3</v>
      </c>
      <c r="M533" s="59">
        <f t="shared" ref="M533" si="447">SUM(K533:L533)</f>
        <v>6</v>
      </c>
      <c r="N533" s="64">
        <v>1</v>
      </c>
      <c r="O533" s="65"/>
      <c r="P533" s="72">
        <f t="shared" ref="P533" si="448">SUM(N533:O533)</f>
        <v>1</v>
      </c>
      <c r="Q533" s="124">
        <f t="shared" ref="Q533" si="449">P533+M533+F533+J533</f>
        <v>9</v>
      </c>
      <c r="R533" s="119">
        <v>45870</v>
      </c>
      <c r="AC533" s="6"/>
      <c r="AD533" s="26"/>
      <c r="AE533" s="123"/>
      <c r="AF533" s="43"/>
      <c r="AG533" s="59">
        <f t="shared" ref="AG533:AG539" si="450">SUM(AD533:AF533)</f>
        <v>0</v>
      </c>
      <c r="AH533" s="26"/>
      <c r="AI533" s="27"/>
      <c r="AJ533" s="28"/>
      <c r="AK533" s="59">
        <f t="shared" ref="AK533:AK539" si="451">SUM(AH533:AJ533)</f>
        <v>0</v>
      </c>
      <c r="AL533" s="64"/>
      <c r="AM533" s="65"/>
      <c r="AN533" s="59">
        <f t="shared" ref="AN533:AN539" si="452">SUM(AL533:AM533)</f>
        <v>0</v>
      </c>
      <c r="AO533" s="64"/>
      <c r="AP533" s="65"/>
      <c r="AQ533" s="72">
        <f t="shared" ref="AQ533:AQ539" si="453">SUM(AO533:AP533)</f>
        <v>0</v>
      </c>
      <c r="AR533" s="124">
        <f t="shared" ref="AR533:AR539" si="454">AQ533+AN533+AG533+AK533</f>
        <v>0</v>
      </c>
      <c r="AS533" s="116"/>
    </row>
    <row r="534" spans="2:45" x14ac:dyDescent="0.15">
      <c r="B534" s="6" t="s">
        <v>16</v>
      </c>
      <c r="C534" s="26">
        <f>1+1</f>
        <v>2</v>
      </c>
      <c r="D534" s="123">
        <v>3</v>
      </c>
      <c r="E534" s="43">
        <f>1+1</f>
        <v>2</v>
      </c>
      <c r="F534" s="59">
        <f t="shared" ref="F534:F544" si="455">SUM(C534:E534)</f>
        <v>7</v>
      </c>
      <c r="G534" s="26">
        <v>2</v>
      </c>
      <c r="H534" s="27">
        <v>1</v>
      </c>
      <c r="I534" s="28">
        <f>2+3</f>
        <v>5</v>
      </c>
      <c r="J534" s="59">
        <f t="shared" ref="J534:J544" si="456">SUM(G534:I534)</f>
        <v>8</v>
      </c>
      <c r="K534" s="64">
        <v>5</v>
      </c>
      <c r="L534" s="65">
        <f>2+1</f>
        <v>3</v>
      </c>
      <c r="M534" s="59">
        <f t="shared" ref="M534:M544" si="457">SUM(K534:L534)</f>
        <v>8</v>
      </c>
      <c r="N534" s="64"/>
      <c r="O534" s="65"/>
      <c r="P534" s="72">
        <f t="shared" ref="P534:P544" si="458">SUM(N534:O534)</f>
        <v>0</v>
      </c>
      <c r="Q534" s="124">
        <f t="shared" ref="Q534:Q544" si="459">P534+M534+F534+J534</f>
        <v>23</v>
      </c>
      <c r="R534" s="119">
        <v>45873</v>
      </c>
      <c r="AC534" s="6"/>
      <c r="AD534" s="26"/>
      <c r="AE534" s="123"/>
      <c r="AF534" s="43"/>
      <c r="AG534" s="59">
        <f t="shared" si="450"/>
        <v>0</v>
      </c>
      <c r="AH534" s="26"/>
      <c r="AI534" s="27"/>
      <c r="AJ534" s="28"/>
      <c r="AK534" s="59">
        <f t="shared" si="451"/>
        <v>0</v>
      </c>
      <c r="AL534" s="64"/>
      <c r="AM534" s="65"/>
      <c r="AN534" s="59">
        <f t="shared" si="452"/>
        <v>0</v>
      </c>
      <c r="AO534" s="64"/>
      <c r="AP534" s="65"/>
      <c r="AQ534" s="72">
        <f t="shared" si="453"/>
        <v>0</v>
      </c>
      <c r="AR534" s="124">
        <f t="shared" si="454"/>
        <v>0</v>
      </c>
      <c r="AS534" s="116"/>
    </row>
    <row r="535" spans="2:45" x14ac:dyDescent="0.15">
      <c r="B535" s="6" t="s">
        <v>16</v>
      </c>
      <c r="C535" s="26">
        <v>4</v>
      </c>
      <c r="D535" s="123"/>
      <c r="E535" s="43">
        <v>2</v>
      </c>
      <c r="F535" s="59">
        <f t="shared" si="455"/>
        <v>6</v>
      </c>
      <c r="G535" s="26"/>
      <c r="H535" s="27"/>
      <c r="I535" s="28"/>
      <c r="J535" s="59">
        <f t="shared" si="456"/>
        <v>0</v>
      </c>
      <c r="K535" s="64">
        <v>3</v>
      </c>
      <c r="L535" s="65">
        <v>1</v>
      </c>
      <c r="M535" s="59">
        <f t="shared" si="457"/>
        <v>4</v>
      </c>
      <c r="N535" s="64"/>
      <c r="O535" s="65"/>
      <c r="P535" s="72">
        <f t="shared" si="458"/>
        <v>0</v>
      </c>
      <c r="Q535" s="124">
        <f t="shared" si="459"/>
        <v>10</v>
      </c>
      <c r="R535" s="119">
        <v>45874</v>
      </c>
      <c r="AC535" s="6"/>
      <c r="AD535" s="26"/>
      <c r="AE535" s="123"/>
      <c r="AF535" s="43"/>
      <c r="AG535" s="59">
        <f t="shared" si="450"/>
        <v>0</v>
      </c>
      <c r="AH535" s="26"/>
      <c r="AI535" s="27"/>
      <c r="AJ535" s="28"/>
      <c r="AK535" s="59">
        <f t="shared" si="451"/>
        <v>0</v>
      </c>
      <c r="AL535" s="64"/>
      <c r="AM535" s="65"/>
      <c r="AN535" s="59">
        <f t="shared" si="452"/>
        <v>0</v>
      </c>
      <c r="AO535" s="64"/>
      <c r="AP535" s="65"/>
      <c r="AQ535" s="72">
        <f t="shared" si="453"/>
        <v>0</v>
      </c>
      <c r="AR535" s="124">
        <f t="shared" si="454"/>
        <v>0</v>
      </c>
      <c r="AS535" s="116"/>
    </row>
    <row r="536" spans="2:45" x14ac:dyDescent="0.15">
      <c r="B536" s="6" t="s">
        <v>16</v>
      </c>
      <c r="C536" s="26">
        <f>1+1</f>
        <v>2</v>
      </c>
      <c r="D536" s="123">
        <v>1</v>
      </c>
      <c r="E536" s="43">
        <f>2+3+1</f>
        <v>6</v>
      </c>
      <c r="F536" s="59">
        <f t="shared" si="455"/>
        <v>9</v>
      </c>
      <c r="G536" s="26">
        <f>4+2</f>
        <v>6</v>
      </c>
      <c r="H536" s="27">
        <v>2</v>
      </c>
      <c r="I536" s="28">
        <f>1+1+1</f>
        <v>3</v>
      </c>
      <c r="J536" s="59">
        <f t="shared" si="456"/>
        <v>11</v>
      </c>
      <c r="K536" s="64">
        <f>2+2</f>
        <v>4</v>
      </c>
      <c r="L536" s="65">
        <f>1+1</f>
        <v>2</v>
      </c>
      <c r="M536" s="59">
        <f t="shared" si="457"/>
        <v>6</v>
      </c>
      <c r="N536" s="64">
        <v>2</v>
      </c>
      <c r="O536" s="65">
        <v>1</v>
      </c>
      <c r="P536" s="72">
        <f t="shared" si="458"/>
        <v>3</v>
      </c>
      <c r="Q536" s="124">
        <f t="shared" si="459"/>
        <v>29</v>
      </c>
      <c r="R536" s="119">
        <v>45875</v>
      </c>
      <c r="AC536" s="6"/>
      <c r="AD536" s="26"/>
      <c r="AE536" s="123"/>
      <c r="AF536" s="43"/>
      <c r="AG536" s="59">
        <f t="shared" si="450"/>
        <v>0</v>
      </c>
      <c r="AH536" s="26"/>
      <c r="AI536" s="27"/>
      <c r="AJ536" s="28"/>
      <c r="AK536" s="59">
        <f t="shared" si="451"/>
        <v>0</v>
      </c>
      <c r="AL536" s="64"/>
      <c r="AM536" s="65"/>
      <c r="AN536" s="59">
        <f t="shared" si="452"/>
        <v>0</v>
      </c>
      <c r="AO536" s="64"/>
      <c r="AP536" s="65"/>
      <c r="AQ536" s="72">
        <f t="shared" si="453"/>
        <v>0</v>
      </c>
      <c r="AR536" s="124">
        <f t="shared" si="454"/>
        <v>0</v>
      </c>
      <c r="AS536" s="116"/>
    </row>
    <row r="537" spans="2:45" x14ac:dyDescent="0.15">
      <c r="B537" s="6" t="s">
        <v>16</v>
      </c>
      <c r="C537" s="26">
        <v>1</v>
      </c>
      <c r="D537" s="123">
        <v>1</v>
      </c>
      <c r="E537" s="43">
        <v>3</v>
      </c>
      <c r="F537" s="59">
        <f t="shared" si="455"/>
        <v>5</v>
      </c>
      <c r="G537" s="26">
        <v>3</v>
      </c>
      <c r="H537" s="27"/>
      <c r="I537" s="28">
        <v>1</v>
      </c>
      <c r="J537" s="59">
        <f t="shared" si="456"/>
        <v>4</v>
      </c>
      <c r="K537" s="64">
        <v>2</v>
      </c>
      <c r="L537" s="65"/>
      <c r="M537" s="59">
        <f t="shared" si="457"/>
        <v>2</v>
      </c>
      <c r="N537" s="64">
        <v>1</v>
      </c>
      <c r="O537" s="65">
        <v>2</v>
      </c>
      <c r="P537" s="72">
        <f t="shared" si="458"/>
        <v>3</v>
      </c>
      <c r="Q537" s="124">
        <f t="shared" si="459"/>
        <v>14</v>
      </c>
      <c r="R537" s="119">
        <v>45876</v>
      </c>
      <c r="AC537" s="6"/>
      <c r="AD537" s="26"/>
      <c r="AE537" s="123"/>
      <c r="AF537" s="43"/>
      <c r="AG537" s="59">
        <f t="shared" si="450"/>
        <v>0</v>
      </c>
      <c r="AH537" s="26"/>
      <c r="AI537" s="27"/>
      <c r="AJ537" s="28"/>
      <c r="AK537" s="59">
        <f t="shared" si="451"/>
        <v>0</v>
      </c>
      <c r="AL537" s="64"/>
      <c r="AM537" s="65"/>
      <c r="AN537" s="59">
        <f t="shared" si="452"/>
        <v>0</v>
      </c>
      <c r="AO537" s="64"/>
      <c r="AP537" s="65"/>
      <c r="AQ537" s="72">
        <f t="shared" si="453"/>
        <v>0</v>
      </c>
      <c r="AR537" s="124">
        <f t="shared" si="454"/>
        <v>0</v>
      </c>
      <c r="AS537" s="116"/>
    </row>
    <row r="538" spans="2:45" x14ac:dyDescent="0.15">
      <c r="B538" s="6" t="s">
        <v>16</v>
      </c>
      <c r="C538" s="26">
        <v>2</v>
      </c>
      <c r="D538" s="123">
        <v>1</v>
      </c>
      <c r="E538" s="43">
        <v>1</v>
      </c>
      <c r="F538" s="59">
        <f t="shared" si="455"/>
        <v>4</v>
      </c>
      <c r="G538" s="26">
        <v>1</v>
      </c>
      <c r="H538" s="27">
        <v>1</v>
      </c>
      <c r="I538" s="28"/>
      <c r="J538" s="59">
        <f t="shared" si="456"/>
        <v>2</v>
      </c>
      <c r="K538" s="64">
        <v>1</v>
      </c>
      <c r="L538" s="65">
        <v>1</v>
      </c>
      <c r="M538" s="59">
        <f t="shared" si="457"/>
        <v>2</v>
      </c>
      <c r="N538" s="64"/>
      <c r="O538" s="65"/>
      <c r="P538" s="72">
        <f t="shared" si="458"/>
        <v>0</v>
      </c>
      <c r="Q538" s="124">
        <f t="shared" si="459"/>
        <v>8</v>
      </c>
      <c r="R538" s="119">
        <v>45877</v>
      </c>
      <c r="AC538" s="6"/>
      <c r="AD538" s="26"/>
      <c r="AE538" s="123"/>
      <c r="AF538" s="43"/>
      <c r="AG538" s="59">
        <f t="shared" si="450"/>
        <v>0</v>
      </c>
      <c r="AH538" s="26"/>
      <c r="AI538" s="27"/>
      <c r="AJ538" s="28"/>
      <c r="AK538" s="59">
        <f t="shared" si="451"/>
        <v>0</v>
      </c>
      <c r="AL538" s="64"/>
      <c r="AM538" s="65"/>
      <c r="AN538" s="59">
        <f t="shared" si="452"/>
        <v>0</v>
      </c>
      <c r="AO538" s="64"/>
      <c r="AP538" s="65"/>
      <c r="AQ538" s="72">
        <f t="shared" si="453"/>
        <v>0</v>
      </c>
      <c r="AR538" s="124">
        <f t="shared" si="454"/>
        <v>0</v>
      </c>
      <c r="AS538" s="116"/>
    </row>
    <row r="539" spans="2:45" x14ac:dyDescent="0.15">
      <c r="B539" s="6" t="s">
        <v>16</v>
      </c>
      <c r="C539" s="26">
        <v>1</v>
      </c>
      <c r="D539" s="123"/>
      <c r="E539" s="43">
        <v>1</v>
      </c>
      <c r="F539" s="59">
        <f t="shared" si="455"/>
        <v>2</v>
      </c>
      <c r="G539" s="26">
        <v>2</v>
      </c>
      <c r="H539" s="27"/>
      <c r="I539" s="28"/>
      <c r="J539" s="59">
        <f t="shared" si="456"/>
        <v>2</v>
      </c>
      <c r="K539" s="64"/>
      <c r="L539" s="65">
        <f>1+1+1</f>
        <v>3</v>
      </c>
      <c r="M539" s="59">
        <f t="shared" si="457"/>
        <v>3</v>
      </c>
      <c r="N539" s="64">
        <v>1</v>
      </c>
      <c r="O539" s="65"/>
      <c r="P539" s="72">
        <f t="shared" si="458"/>
        <v>1</v>
      </c>
      <c r="Q539" s="124">
        <f t="shared" si="459"/>
        <v>8</v>
      </c>
      <c r="R539" s="119">
        <v>45878</v>
      </c>
      <c r="AC539" s="6"/>
      <c r="AD539" s="26"/>
      <c r="AE539" s="123"/>
      <c r="AF539" s="43"/>
      <c r="AG539" s="59">
        <f t="shared" si="450"/>
        <v>0</v>
      </c>
      <c r="AH539" s="26"/>
      <c r="AI539" s="27"/>
      <c r="AJ539" s="28"/>
      <c r="AK539" s="59">
        <f t="shared" si="451"/>
        <v>0</v>
      </c>
      <c r="AL539" s="64"/>
      <c r="AM539" s="65"/>
      <c r="AN539" s="59">
        <f t="shared" si="452"/>
        <v>0</v>
      </c>
      <c r="AO539" s="64"/>
      <c r="AP539" s="65"/>
      <c r="AQ539" s="72">
        <f t="shared" si="453"/>
        <v>0</v>
      </c>
      <c r="AR539" s="124">
        <f t="shared" si="454"/>
        <v>0</v>
      </c>
      <c r="AS539" s="116"/>
    </row>
    <row r="540" spans="2:45" x14ac:dyDescent="0.15">
      <c r="B540" s="6" t="s">
        <v>16</v>
      </c>
      <c r="C540" s="26">
        <f>1+4+3+1</f>
        <v>9</v>
      </c>
      <c r="D540" s="123">
        <f>1+1</f>
        <v>2</v>
      </c>
      <c r="E540" s="43">
        <f>5+4+3+1</f>
        <v>13</v>
      </c>
      <c r="F540" s="59">
        <f t="shared" si="455"/>
        <v>24</v>
      </c>
      <c r="G540" s="26">
        <f>4+1+3</f>
        <v>8</v>
      </c>
      <c r="H540" s="27">
        <v>1</v>
      </c>
      <c r="I540" s="28">
        <f>3+2</f>
        <v>5</v>
      </c>
      <c r="J540" s="59">
        <f t="shared" si="456"/>
        <v>14</v>
      </c>
      <c r="K540" s="64">
        <f>1+2</f>
        <v>3</v>
      </c>
      <c r="L540" s="65">
        <f>2+2</f>
        <v>4</v>
      </c>
      <c r="M540" s="59">
        <f t="shared" si="457"/>
        <v>7</v>
      </c>
      <c r="N540" s="64"/>
      <c r="O540" s="65">
        <v>1</v>
      </c>
      <c r="P540" s="72">
        <f t="shared" si="458"/>
        <v>1</v>
      </c>
      <c r="Q540" s="124">
        <f t="shared" si="459"/>
        <v>46</v>
      </c>
      <c r="R540" s="119">
        <v>45887</v>
      </c>
      <c r="AC540" s="6"/>
      <c r="AD540" s="26"/>
      <c r="AE540" s="123"/>
      <c r="AF540" s="43"/>
      <c r="AG540" s="59">
        <f t="shared" ref="AG540:AG557" si="460">SUM(AD540:AF540)</f>
        <v>0</v>
      </c>
      <c r="AH540" s="26"/>
      <c r="AI540" s="27"/>
      <c r="AJ540" s="28"/>
      <c r="AK540" s="59">
        <f t="shared" ref="AK540:AK557" si="461">SUM(AH540:AJ540)</f>
        <v>0</v>
      </c>
      <c r="AL540" s="64"/>
      <c r="AM540" s="65"/>
      <c r="AN540" s="59">
        <f t="shared" ref="AN540:AN557" si="462">SUM(AL540:AM540)</f>
        <v>0</v>
      </c>
      <c r="AO540" s="64"/>
      <c r="AP540" s="65"/>
      <c r="AQ540" s="72">
        <f t="shared" ref="AQ540:AQ557" si="463">SUM(AO540:AP540)</f>
        <v>0</v>
      </c>
      <c r="AR540" s="124">
        <f t="shared" si="425"/>
        <v>0</v>
      </c>
      <c r="AS540" s="116"/>
    </row>
    <row r="541" spans="2:45" x14ac:dyDescent="0.15">
      <c r="B541" s="6" t="s">
        <v>16</v>
      </c>
      <c r="C541" s="26">
        <v>1</v>
      </c>
      <c r="D541" s="123">
        <v>1</v>
      </c>
      <c r="E541" s="43">
        <f>2+1</f>
        <v>3</v>
      </c>
      <c r="F541" s="59">
        <f t="shared" si="455"/>
        <v>5</v>
      </c>
      <c r="G541" s="26"/>
      <c r="H541" s="27">
        <v>1</v>
      </c>
      <c r="I541" s="28"/>
      <c r="J541" s="59">
        <f t="shared" si="456"/>
        <v>1</v>
      </c>
      <c r="K541" s="64">
        <v>2</v>
      </c>
      <c r="L541" s="65">
        <v>2</v>
      </c>
      <c r="M541" s="59">
        <f t="shared" si="457"/>
        <v>4</v>
      </c>
      <c r="N541" s="64"/>
      <c r="O541" s="65"/>
      <c r="P541" s="72">
        <f t="shared" si="458"/>
        <v>0</v>
      </c>
      <c r="Q541" s="124">
        <f t="shared" si="459"/>
        <v>10</v>
      </c>
      <c r="R541" s="119">
        <v>45888</v>
      </c>
      <c r="AC541" s="6"/>
      <c r="AD541" s="26"/>
      <c r="AE541" s="123"/>
      <c r="AF541" s="43"/>
      <c r="AG541" s="59">
        <f t="shared" si="460"/>
        <v>0</v>
      </c>
      <c r="AH541" s="26"/>
      <c r="AI541" s="27"/>
      <c r="AJ541" s="28"/>
      <c r="AK541" s="59">
        <f t="shared" si="461"/>
        <v>0</v>
      </c>
      <c r="AL541" s="64"/>
      <c r="AM541" s="65"/>
      <c r="AN541" s="59">
        <f t="shared" si="462"/>
        <v>0</v>
      </c>
      <c r="AO541" s="64"/>
      <c r="AP541" s="65"/>
      <c r="AQ541" s="72">
        <f t="shared" si="463"/>
        <v>0</v>
      </c>
      <c r="AR541" s="124">
        <f t="shared" si="425"/>
        <v>0</v>
      </c>
      <c r="AS541" s="116"/>
    </row>
    <row r="542" spans="2:45" x14ac:dyDescent="0.15">
      <c r="B542" s="6" t="s">
        <v>16</v>
      </c>
      <c r="C542" s="26"/>
      <c r="D542" s="123"/>
      <c r="E542" s="43">
        <v>1</v>
      </c>
      <c r="F542" s="59">
        <f t="shared" si="455"/>
        <v>1</v>
      </c>
      <c r="G542" s="26">
        <v>1</v>
      </c>
      <c r="H542" s="27">
        <v>2</v>
      </c>
      <c r="I542" s="28"/>
      <c r="J542" s="59">
        <f t="shared" si="456"/>
        <v>3</v>
      </c>
      <c r="K542" s="64">
        <v>1</v>
      </c>
      <c r="L542" s="65"/>
      <c r="M542" s="59">
        <f t="shared" si="457"/>
        <v>1</v>
      </c>
      <c r="N542" s="64"/>
      <c r="O542" s="65">
        <v>1</v>
      </c>
      <c r="P542" s="72">
        <f t="shared" si="458"/>
        <v>1</v>
      </c>
      <c r="Q542" s="124">
        <f t="shared" si="459"/>
        <v>6</v>
      </c>
      <c r="R542" s="119">
        <v>45889</v>
      </c>
      <c r="AC542" s="6"/>
      <c r="AD542" s="26"/>
      <c r="AE542" s="123"/>
      <c r="AF542" s="43"/>
      <c r="AG542" s="59">
        <f t="shared" si="460"/>
        <v>0</v>
      </c>
      <c r="AH542" s="26"/>
      <c r="AI542" s="27"/>
      <c r="AJ542" s="28"/>
      <c r="AK542" s="59">
        <f t="shared" si="461"/>
        <v>0</v>
      </c>
      <c r="AL542" s="64"/>
      <c r="AM542" s="65"/>
      <c r="AN542" s="59">
        <f t="shared" si="462"/>
        <v>0</v>
      </c>
      <c r="AO542" s="64"/>
      <c r="AP542" s="65"/>
      <c r="AQ542" s="72">
        <f t="shared" si="463"/>
        <v>0</v>
      </c>
      <c r="AR542" s="124">
        <f t="shared" si="425"/>
        <v>0</v>
      </c>
      <c r="AS542" s="116"/>
    </row>
    <row r="543" spans="2:45" x14ac:dyDescent="0.15">
      <c r="B543" s="6" t="s">
        <v>16</v>
      </c>
      <c r="C543" s="26"/>
      <c r="D543" s="123">
        <v>2</v>
      </c>
      <c r="E543" s="43"/>
      <c r="F543" s="59">
        <f t="shared" si="455"/>
        <v>2</v>
      </c>
      <c r="G543" s="26"/>
      <c r="H543" s="27"/>
      <c r="I543" s="28"/>
      <c r="J543" s="59">
        <f t="shared" si="456"/>
        <v>0</v>
      </c>
      <c r="K543" s="64"/>
      <c r="L543" s="65"/>
      <c r="M543" s="59">
        <f t="shared" si="457"/>
        <v>0</v>
      </c>
      <c r="N543" s="64"/>
      <c r="O543" s="65"/>
      <c r="P543" s="72">
        <f t="shared" si="458"/>
        <v>0</v>
      </c>
      <c r="Q543" s="124">
        <f t="shared" si="459"/>
        <v>2</v>
      </c>
      <c r="R543" s="119">
        <v>45890</v>
      </c>
      <c r="AC543" s="6"/>
      <c r="AD543" s="26"/>
      <c r="AE543" s="123"/>
      <c r="AF543" s="43"/>
      <c r="AG543" s="59">
        <f t="shared" si="460"/>
        <v>0</v>
      </c>
      <c r="AH543" s="26"/>
      <c r="AI543" s="27"/>
      <c r="AJ543" s="28"/>
      <c r="AK543" s="59">
        <f t="shared" si="461"/>
        <v>0</v>
      </c>
      <c r="AL543" s="64"/>
      <c r="AM543" s="65"/>
      <c r="AN543" s="59">
        <f t="shared" si="462"/>
        <v>0</v>
      </c>
      <c r="AO543" s="64"/>
      <c r="AP543" s="65"/>
      <c r="AQ543" s="72">
        <f t="shared" si="463"/>
        <v>0</v>
      </c>
      <c r="AR543" s="124">
        <f t="shared" si="425"/>
        <v>0</v>
      </c>
      <c r="AS543" s="116"/>
    </row>
    <row r="544" spans="2:45" x14ac:dyDescent="0.15">
      <c r="B544" s="6" t="s">
        <v>16</v>
      </c>
      <c r="C544" s="26"/>
      <c r="D544" s="123"/>
      <c r="E544" s="43">
        <v>1</v>
      </c>
      <c r="F544" s="59">
        <f t="shared" si="455"/>
        <v>1</v>
      </c>
      <c r="G544" s="26"/>
      <c r="H544" s="27"/>
      <c r="I544" s="28"/>
      <c r="J544" s="59">
        <f t="shared" si="456"/>
        <v>0</v>
      </c>
      <c r="K544" s="64"/>
      <c r="L544" s="65"/>
      <c r="M544" s="59">
        <f t="shared" si="457"/>
        <v>0</v>
      </c>
      <c r="N544" s="64"/>
      <c r="O544" s="65"/>
      <c r="P544" s="72">
        <f t="shared" si="458"/>
        <v>0</v>
      </c>
      <c r="Q544" s="124">
        <f t="shared" si="459"/>
        <v>1</v>
      </c>
      <c r="R544" s="119">
        <v>45891</v>
      </c>
      <c r="AC544" s="6"/>
      <c r="AD544" s="26"/>
      <c r="AE544" s="123"/>
      <c r="AF544" s="43"/>
      <c r="AG544" s="59">
        <f t="shared" si="460"/>
        <v>0</v>
      </c>
      <c r="AH544" s="26"/>
      <c r="AI544" s="27"/>
      <c r="AJ544" s="28"/>
      <c r="AK544" s="59">
        <f t="shared" si="461"/>
        <v>0</v>
      </c>
      <c r="AL544" s="64"/>
      <c r="AM544" s="65"/>
      <c r="AN544" s="59">
        <f t="shared" si="462"/>
        <v>0</v>
      </c>
      <c r="AO544" s="64"/>
      <c r="AP544" s="65"/>
      <c r="AQ544" s="72">
        <f t="shared" si="463"/>
        <v>0</v>
      </c>
      <c r="AR544" s="124">
        <f t="shared" si="425"/>
        <v>0</v>
      </c>
      <c r="AS544" s="116"/>
    </row>
    <row r="545" spans="2:45" x14ac:dyDescent="0.15">
      <c r="B545" s="6" t="s">
        <v>16</v>
      </c>
      <c r="C545" s="26">
        <f>1+1</f>
        <v>2</v>
      </c>
      <c r="D545" s="123">
        <v>1</v>
      </c>
      <c r="E545" s="43">
        <f>1+1</f>
        <v>2</v>
      </c>
      <c r="F545" s="59">
        <f t="shared" ref="F545:F551" si="464">SUM(C545:E545)</f>
        <v>5</v>
      </c>
      <c r="G545" s="26">
        <f>1+1+1</f>
        <v>3</v>
      </c>
      <c r="H545" s="27">
        <f>1+1</f>
        <v>2</v>
      </c>
      <c r="I545" s="28">
        <f>1+1</f>
        <v>2</v>
      </c>
      <c r="J545" s="59">
        <f t="shared" ref="J545:J557" si="465">SUM(G545:I545)</f>
        <v>7</v>
      </c>
      <c r="K545" s="64">
        <f>3+-2+1+1</f>
        <v>3</v>
      </c>
      <c r="L545" s="65">
        <v>1</v>
      </c>
      <c r="M545" s="59">
        <f t="shared" ref="M545:M557" si="466">SUM(K545:L545)</f>
        <v>4</v>
      </c>
      <c r="N545" s="64"/>
      <c r="O545" s="65"/>
      <c r="P545" s="72">
        <f t="shared" ref="P545:P557" si="467">SUM(N545:O545)</f>
        <v>0</v>
      </c>
      <c r="Q545" s="124">
        <f t="shared" ref="Q545:Q557" si="468">P545+M545+F545+J545</f>
        <v>16</v>
      </c>
      <c r="R545" s="119">
        <v>45894</v>
      </c>
      <c r="AC545" s="6"/>
      <c r="AD545" s="26"/>
      <c r="AE545" s="123"/>
      <c r="AF545" s="43"/>
      <c r="AG545" s="59">
        <f t="shared" si="460"/>
        <v>0</v>
      </c>
      <c r="AH545" s="26"/>
      <c r="AI545" s="27"/>
      <c r="AJ545" s="28"/>
      <c r="AK545" s="59">
        <f t="shared" si="461"/>
        <v>0</v>
      </c>
      <c r="AL545" s="64"/>
      <c r="AM545" s="65"/>
      <c r="AN545" s="59">
        <f t="shared" si="462"/>
        <v>0</v>
      </c>
      <c r="AO545" s="64"/>
      <c r="AP545" s="65"/>
      <c r="AQ545" s="72">
        <f t="shared" si="463"/>
        <v>0</v>
      </c>
      <c r="AR545" s="124">
        <f t="shared" si="425"/>
        <v>0</v>
      </c>
      <c r="AS545" s="116"/>
    </row>
    <row r="546" spans="2:45" x14ac:dyDescent="0.15">
      <c r="B546" s="6" t="s">
        <v>16</v>
      </c>
      <c r="C546" s="26"/>
      <c r="D546" s="123"/>
      <c r="E546" s="43"/>
      <c r="F546" s="59">
        <f t="shared" si="464"/>
        <v>0</v>
      </c>
      <c r="G546" s="26">
        <v>1</v>
      </c>
      <c r="H546" s="27"/>
      <c r="I546" s="28"/>
      <c r="J546" s="59">
        <f t="shared" si="465"/>
        <v>1</v>
      </c>
      <c r="K546" s="64">
        <f>1+2</f>
        <v>3</v>
      </c>
      <c r="L546" s="65"/>
      <c r="M546" s="59">
        <f t="shared" si="466"/>
        <v>3</v>
      </c>
      <c r="N546" s="64"/>
      <c r="O546" s="65">
        <v>1</v>
      </c>
      <c r="P546" s="72">
        <f t="shared" si="467"/>
        <v>1</v>
      </c>
      <c r="Q546" s="124">
        <f t="shared" si="468"/>
        <v>5</v>
      </c>
      <c r="R546" s="119">
        <v>45895</v>
      </c>
      <c r="AC546" s="6"/>
      <c r="AD546" s="26"/>
      <c r="AE546" s="123"/>
      <c r="AF546" s="43"/>
      <c r="AG546" s="59">
        <f t="shared" si="460"/>
        <v>0</v>
      </c>
      <c r="AH546" s="26"/>
      <c r="AI546" s="27"/>
      <c r="AJ546" s="28"/>
      <c r="AK546" s="59">
        <f t="shared" si="461"/>
        <v>0</v>
      </c>
      <c r="AL546" s="64"/>
      <c r="AM546" s="65"/>
      <c r="AN546" s="59">
        <f t="shared" si="462"/>
        <v>0</v>
      </c>
      <c r="AO546" s="64"/>
      <c r="AP546" s="65"/>
      <c r="AQ546" s="72">
        <f t="shared" si="463"/>
        <v>0</v>
      </c>
      <c r="AR546" s="124">
        <f t="shared" si="425"/>
        <v>0</v>
      </c>
      <c r="AS546" s="116"/>
    </row>
    <row r="547" spans="2:45" x14ac:dyDescent="0.15">
      <c r="B547" s="6" t="s">
        <v>16</v>
      </c>
      <c r="C547" s="26"/>
      <c r="D547" s="123"/>
      <c r="E547" s="43">
        <v>1</v>
      </c>
      <c r="F547" s="59">
        <f t="shared" si="464"/>
        <v>1</v>
      </c>
      <c r="G547" s="26"/>
      <c r="H547" s="27"/>
      <c r="I547" s="28"/>
      <c r="J547" s="59">
        <f t="shared" si="465"/>
        <v>0</v>
      </c>
      <c r="K547" s="64"/>
      <c r="L547" s="65"/>
      <c r="M547" s="59">
        <f t="shared" si="466"/>
        <v>0</v>
      </c>
      <c r="N547" s="64"/>
      <c r="O547" s="65"/>
      <c r="P547" s="72">
        <f t="shared" si="467"/>
        <v>0</v>
      </c>
      <c r="Q547" s="124">
        <f t="shared" si="468"/>
        <v>1</v>
      </c>
      <c r="R547" s="119">
        <v>45896</v>
      </c>
      <c r="AC547" s="6"/>
      <c r="AD547" s="26"/>
      <c r="AE547" s="123"/>
      <c r="AF547" s="43"/>
      <c r="AG547" s="59">
        <f t="shared" si="460"/>
        <v>0</v>
      </c>
      <c r="AH547" s="26"/>
      <c r="AI547" s="27"/>
      <c r="AJ547" s="28"/>
      <c r="AK547" s="59">
        <f t="shared" si="461"/>
        <v>0</v>
      </c>
      <c r="AL547" s="64"/>
      <c r="AM547" s="65"/>
      <c r="AN547" s="59">
        <f t="shared" si="462"/>
        <v>0</v>
      </c>
      <c r="AO547" s="64"/>
      <c r="AP547" s="65"/>
      <c r="AQ547" s="72">
        <f t="shared" si="463"/>
        <v>0</v>
      </c>
      <c r="AR547" s="124">
        <f t="shared" si="425"/>
        <v>0</v>
      </c>
      <c r="AS547" s="116"/>
    </row>
    <row r="548" spans="2:45" x14ac:dyDescent="0.15">
      <c r="B548" s="6" t="s">
        <v>16</v>
      </c>
      <c r="C548" s="26"/>
      <c r="D548" s="123"/>
      <c r="E548" s="43"/>
      <c r="F548" s="59">
        <f t="shared" si="464"/>
        <v>0</v>
      </c>
      <c r="G548" s="26"/>
      <c r="H548" s="27"/>
      <c r="I548" s="28">
        <v>1</v>
      </c>
      <c r="J548" s="59">
        <f t="shared" si="465"/>
        <v>1</v>
      </c>
      <c r="K548" s="64"/>
      <c r="L548" s="65">
        <v>1</v>
      </c>
      <c r="M548" s="59">
        <f t="shared" si="466"/>
        <v>1</v>
      </c>
      <c r="N548" s="64"/>
      <c r="O548" s="65"/>
      <c r="P548" s="72">
        <f t="shared" si="467"/>
        <v>0</v>
      </c>
      <c r="Q548" s="124">
        <f t="shared" si="468"/>
        <v>2</v>
      </c>
      <c r="R548" s="119">
        <v>45897</v>
      </c>
      <c r="AC548" s="6"/>
      <c r="AD548" s="26"/>
      <c r="AE548" s="123"/>
      <c r="AF548" s="43"/>
      <c r="AG548" s="59">
        <f t="shared" si="460"/>
        <v>0</v>
      </c>
      <c r="AH548" s="26"/>
      <c r="AI548" s="27"/>
      <c r="AJ548" s="28"/>
      <c r="AK548" s="59">
        <f t="shared" si="461"/>
        <v>0</v>
      </c>
      <c r="AL548" s="64"/>
      <c r="AM548" s="65"/>
      <c r="AN548" s="59">
        <f t="shared" si="462"/>
        <v>0</v>
      </c>
      <c r="AO548" s="64"/>
      <c r="AP548" s="65"/>
      <c r="AQ548" s="72">
        <f t="shared" si="463"/>
        <v>0</v>
      </c>
      <c r="AR548" s="124">
        <f t="shared" si="425"/>
        <v>0</v>
      </c>
      <c r="AS548" s="116"/>
    </row>
    <row r="549" spans="2:45" x14ac:dyDescent="0.15">
      <c r="B549" s="6" t="s">
        <v>16</v>
      </c>
      <c r="C549" s="26">
        <v>1</v>
      </c>
      <c r="D549" s="123"/>
      <c r="E549" s="43"/>
      <c r="F549" s="59">
        <f t="shared" si="464"/>
        <v>1</v>
      </c>
      <c r="G549" s="26"/>
      <c r="H549" s="27"/>
      <c r="I549" s="28">
        <v>1</v>
      </c>
      <c r="J549" s="59">
        <f t="shared" si="465"/>
        <v>1</v>
      </c>
      <c r="K549" s="64">
        <v>2</v>
      </c>
      <c r="L549" s="65"/>
      <c r="M549" s="59">
        <f t="shared" si="466"/>
        <v>2</v>
      </c>
      <c r="N549" s="64"/>
      <c r="O549" s="65">
        <v>1</v>
      </c>
      <c r="P549" s="72">
        <f t="shared" si="467"/>
        <v>1</v>
      </c>
      <c r="Q549" s="124">
        <f t="shared" si="468"/>
        <v>5</v>
      </c>
      <c r="R549" s="119">
        <v>45898</v>
      </c>
      <c r="AC549" s="6"/>
      <c r="AD549" s="26"/>
      <c r="AE549" s="123"/>
      <c r="AF549" s="43"/>
      <c r="AG549" s="59">
        <f t="shared" si="460"/>
        <v>0</v>
      </c>
      <c r="AH549" s="26"/>
      <c r="AI549" s="27"/>
      <c r="AJ549" s="28"/>
      <c r="AK549" s="59">
        <f t="shared" si="461"/>
        <v>0</v>
      </c>
      <c r="AL549" s="64"/>
      <c r="AM549" s="65"/>
      <c r="AN549" s="59">
        <f t="shared" si="462"/>
        <v>0</v>
      </c>
      <c r="AO549" s="64"/>
      <c r="AP549" s="65"/>
      <c r="AQ549" s="72">
        <f t="shared" si="463"/>
        <v>0</v>
      </c>
      <c r="AR549" s="124">
        <f t="shared" si="425"/>
        <v>0</v>
      </c>
      <c r="AS549" s="116"/>
    </row>
    <row r="550" spans="2:45" x14ac:dyDescent="0.15">
      <c r="B550" s="6" t="s">
        <v>16</v>
      </c>
      <c r="C550" s="26">
        <v>1</v>
      </c>
      <c r="D550" s="123"/>
      <c r="E550" s="43"/>
      <c r="F550" s="59">
        <f t="shared" si="464"/>
        <v>1</v>
      </c>
      <c r="G550" s="26"/>
      <c r="H550" s="27"/>
      <c r="I550" s="28">
        <v>1</v>
      </c>
      <c r="J550" s="59">
        <f t="shared" si="465"/>
        <v>1</v>
      </c>
      <c r="K550" s="64">
        <v>4</v>
      </c>
      <c r="L550" s="65">
        <v>2</v>
      </c>
      <c r="M550" s="59">
        <f t="shared" si="466"/>
        <v>6</v>
      </c>
      <c r="N550" s="64">
        <v>1</v>
      </c>
      <c r="O550" s="65">
        <v>2</v>
      </c>
      <c r="P550" s="72">
        <f t="shared" si="467"/>
        <v>3</v>
      </c>
      <c r="Q550" s="124">
        <f t="shared" si="468"/>
        <v>11</v>
      </c>
      <c r="R550" s="119">
        <v>45901</v>
      </c>
      <c r="AC550" s="6"/>
      <c r="AD550" s="26"/>
      <c r="AE550" s="123"/>
      <c r="AF550" s="43"/>
      <c r="AG550" s="59">
        <f t="shared" si="460"/>
        <v>0</v>
      </c>
      <c r="AH550" s="26"/>
      <c r="AI550" s="27"/>
      <c r="AJ550" s="28"/>
      <c r="AK550" s="59">
        <f t="shared" si="461"/>
        <v>0</v>
      </c>
      <c r="AL550" s="64"/>
      <c r="AM550" s="65"/>
      <c r="AN550" s="59">
        <f t="shared" si="462"/>
        <v>0</v>
      </c>
      <c r="AO550" s="64"/>
      <c r="AP550" s="65"/>
      <c r="AQ550" s="72">
        <f t="shared" si="463"/>
        <v>0</v>
      </c>
      <c r="AR550" s="124">
        <f t="shared" si="425"/>
        <v>0</v>
      </c>
      <c r="AS550" s="116"/>
    </row>
    <row r="551" spans="2:45" x14ac:dyDescent="0.15">
      <c r="B551" s="6" t="s">
        <v>16</v>
      </c>
      <c r="C551" s="26"/>
      <c r="D551" s="123">
        <v>1</v>
      </c>
      <c r="E551" s="43">
        <v>1</v>
      </c>
      <c r="F551" s="59">
        <f t="shared" si="464"/>
        <v>2</v>
      </c>
      <c r="G551" s="26"/>
      <c r="H551" s="27"/>
      <c r="I551" s="28"/>
      <c r="J551" s="59">
        <f t="shared" si="465"/>
        <v>0</v>
      </c>
      <c r="K551" s="64"/>
      <c r="L551" s="65"/>
      <c r="M551" s="59">
        <f t="shared" si="466"/>
        <v>0</v>
      </c>
      <c r="N551" s="64"/>
      <c r="O551" s="65"/>
      <c r="P551" s="72">
        <f t="shared" si="467"/>
        <v>0</v>
      </c>
      <c r="Q551" s="124">
        <f t="shared" si="468"/>
        <v>2</v>
      </c>
      <c r="R551" s="119">
        <v>45902</v>
      </c>
      <c r="AC551" s="6"/>
      <c r="AD551" s="26"/>
      <c r="AE551" s="123"/>
      <c r="AF551" s="43"/>
      <c r="AG551" s="59">
        <f t="shared" si="460"/>
        <v>0</v>
      </c>
      <c r="AH551" s="26"/>
      <c r="AI551" s="27"/>
      <c r="AJ551" s="28"/>
      <c r="AK551" s="59">
        <f t="shared" si="461"/>
        <v>0</v>
      </c>
      <c r="AL551" s="64"/>
      <c r="AM551" s="65"/>
      <c r="AN551" s="59">
        <f t="shared" si="462"/>
        <v>0</v>
      </c>
      <c r="AO551" s="64"/>
      <c r="AP551" s="65"/>
      <c r="AQ551" s="72">
        <f t="shared" si="463"/>
        <v>0</v>
      </c>
      <c r="AR551" s="124">
        <f t="shared" si="425"/>
        <v>0</v>
      </c>
      <c r="AS551" s="116"/>
    </row>
    <row r="552" spans="2:45" x14ac:dyDescent="0.15">
      <c r="B552" s="6" t="s">
        <v>16</v>
      </c>
      <c r="C552" s="26"/>
      <c r="D552" s="123"/>
      <c r="E552" s="43"/>
      <c r="F552" s="59">
        <f t="shared" ref="F552:F557" si="469">SUM(C552:E552)</f>
        <v>0</v>
      </c>
      <c r="G552" s="26"/>
      <c r="H552" s="27"/>
      <c r="I552" s="28"/>
      <c r="J552" s="59">
        <f t="shared" si="465"/>
        <v>0</v>
      </c>
      <c r="K552" s="64"/>
      <c r="L552" s="65">
        <v>1</v>
      </c>
      <c r="M552" s="59">
        <f t="shared" si="466"/>
        <v>1</v>
      </c>
      <c r="N552" s="64"/>
      <c r="O552" s="65"/>
      <c r="P552" s="72">
        <f t="shared" si="467"/>
        <v>0</v>
      </c>
      <c r="Q552" s="124">
        <f t="shared" si="468"/>
        <v>1</v>
      </c>
      <c r="R552" s="119">
        <v>45903</v>
      </c>
      <c r="AC552" s="6"/>
      <c r="AD552" s="26"/>
      <c r="AE552" s="123"/>
      <c r="AF552" s="43"/>
      <c r="AG552" s="59">
        <f t="shared" si="460"/>
        <v>0</v>
      </c>
      <c r="AH552" s="26"/>
      <c r="AI552" s="27"/>
      <c r="AJ552" s="28"/>
      <c r="AK552" s="59">
        <f t="shared" si="461"/>
        <v>0</v>
      </c>
      <c r="AL552" s="64"/>
      <c r="AM552" s="65"/>
      <c r="AN552" s="59">
        <f t="shared" si="462"/>
        <v>0</v>
      </c>
      <c r="AO552" s="64"/>
      <c r="AP552" s="65"/>
      <c r="AQ552" s="72">
        <f t="shared" si="463"/>
        <v>0</v>
      </c>
      <c r="AR552" s="124">
        <f t="shared" si="425"/>
        <v>0</v>
      </c>
      <c r="AS552" s="116"/>
    </row>
    <row r="553" spans="2:45" x14ac:dyDescent="0.15">
      <c r="B553" s="6" t="s">
        <v>16</v>
      </c>
      <c r="C553" s="26"/>
      <c r="D553" s="123"/>
      <c r="E553" s="43"/>
      <c r="F553" s="59">
        <f t="shared" si="469"/>
        <v>0</v>
      </c>
      <c r="G553" s="26">
        <v>3</v>
      </c>
      <c r="H553" s="27"/>
      <c r="I553" s="28"/>
      <c r="J553" s="59">
        <f t="shared" si="465"/>
        <v>3</v>
      </c>
      <c r="K553" s="64">
        <v>1</v>
      </c>
      <c r="L553" s="65"/>
      <c r="M553" s="59">
        <f t="shared" si="466"/>
        <v>1</v>
      </c>
      <c r="N553" s="64"/>
      <c r="O553" s="65"/>
      <c r="P553" s="72">
        <f t="shared" si="467"/>
        <v>0</v>
      </c>
      <c r="Q553" s="124">
        <f t="shared" si="468"/>
        <v>4</v>
      </c>
      <c r="R553" s="119">
        <v>45905</v>
      </c>
      <c r="AC553" s="6"/>
      <c r="AD553" s="26"/>
      <c r="AE553" s="123"/>
      <c r="AF553" s="43"/>
      <c r="AG553" s="59">
        <f t="shared" si="460"/>
        <v>0</v>
      </c>
      <c r="AH553" s="26"/>
      <c r="AI553" s="27"/>
      <c r="AJ553" s="28"/>
      <c r="AK553" s="59">
        <f t="shared" si="461"/>
        <v>0</v>
      </c>
      <c r="AL553" s="64"/>
      <c r="AM553" s="65"/>
      <c r="AN553" s="59">
        <f t="shared" si="462"/>
        <v>0</v>
      </c>
      <c r="AO553" s="64"/>
      <c r="AP553" s="65"/>
      <c r="AQ553" s="72">
        <f t="shared" si="463"/>
        <v>0</v>
      </c>
      <c r="AR553" s="124">
        <f t="shared" si="425"/>
        <v>0</v>
      </c>
      <c r="AS553" s="116"/>
    </row>
    <row r="554" spans="2:45" x14ac:dyDescent="0.15">
      <c r="B554" s="6" t="s">
        <v>16</v>
      </c>
      <c r="C554" s="26">
        <v>1</v>
      </c>
      <c r="D554" s="123">
        <v>1</v>
      </c>
      <c r="E554" s="43"/>
      <c r="F554" s="59">
        <f t="shared" si="469"/>
        <v>2</v>
      </c>
      <c r="G554" s="26"/>
      <c r="H554" s="27"/>
      <c r="I554" s="28">
        <v>2</v>
      </c>
      <c r="J554" s="59">
        <f t="shared" si="465"/>
        <v>2</v>
      </c>
      <c r="K554" s="64">
        <v>1</v>
      </c>
      <c r="L554" s="65"/>
      <c r="M554" s="59">
        <f t="shared" si="466"/>
        <v>1</v>
      </c>
      <c r="N554" s="64"/>
      <c r="O554" s="65">
        <v>1</v>
      </c>
      <c r="P554" s="72">
        <f t="shared" si="467"/>
        <v>1</v>
      </c>
      <c r="Q554" s="124">
        <f t="shared" si="468"/>
        <v>6</v>
      </c>
      <c r="R554" s="119">
        <v>45906</v>
      </c>
      <c r="AC554" s="6"/>
      <c r="AD554" s="26"/>
      <c r="AE554" s="123"/>
      <c r="AF554" s="43"/>
      <c r="AG554" s="59">
        <f t="shared" si="460"/>
        <v>0</v>
      </c>
      <c r="AH554" s="26"/>
      <c r="AI554" s="27"/>
      <c r="AJ554" s="28"/>
      <c r="AK554" s="59">
        <f t="shared" si="461"/>
        <v>0</v>
      </c>
      <c r="AL554" s="64"/>
      <c r="AM554" s="65"/>
      <c r="AN554" s="59">
        <f t="shared" si="462"/>
        <v>0</v>
      </c>
      <c r="AO554" s="64"/>
      <c r="AP554" s="65"/>
      <c r="AQ554" s="72">
        <f t="shared" si="463"/>
        <v>0</v>
      </c>
      <c r="AR554" s="124">
        <f t="shared" si="425"/>
        <v>0</v>
      </c>
      <c r="AS554" s="116"/>
    </row>
    <row r="555" spans="2:45" x14ac:dyDescent="0.15">
      <c r="B555" s="6" t="s">
        <v>16</v>
      </c>
      <c r="C555" s="26"/>
      <c r="D555" s="123"/>
      <c r="E555" s="43"/>
      <c r="F555" s="59">
        <f t="shared" si="469"/>
        <v>0</v>
      </c>
      <c r="G555" s="26"/>
      <c r="H555" s="27"/>
      <c r="I555" s="28">
        <v>1</v>
      </c>
      <c r="J555" s="59">
        <f t="shared" si="465"/>
        <v>1</v>
      </c>
      <c r="K555" s="64">
        <v>2</v>
      </c>
      <c r="L555" s="65"/>
      <c r="M555" s="59">
        <f t="shared" si="466"/>
        <v>2</v>
      </c>
      <c r="N555" s="64"/>
      <c r="O555" s="65"/>
      <c r="P555" s="72">
        <f t="shared" si="467"/>
        <v>0</v>
      </c>
      <c r="Q555" s="124">
        <f t="shared" si="468"/>
        <v>3</v>
      </c>
      <c r="R555" s="119">
        <v>45908</v>
      </c>
      <c r="AC555" s="6"/>
      <c r="AD555" s="26"/>
      <c r="AE555" s="123"/>
      <c r="AF555" s="43"/>
      <c r="AG555" s="59">
        <f t="shared" si="460"/>
        <v>0</v>
      </c>
      <c r="AH555" s="26"/>
      <c r="AI555" s="27"/>
      <c r="AJ555" s="28"/>
      <c r="AK555" s="59">
        <f t="shared" si="461"/>
        <v>0</v>
      </c>
      <c r="AL555" s="64"/>
      <c r="AM555" s="65"/>
      <c r="AN555" s="59">
        <f t="shared" si="462"/>
        <v>0</v>
      </c>
      <c r="AO555" s="64"/>
      <c r="AP555" s="65"/>
      <c r="AQ555" s="72">
        <f t="shared" si="463"/>
        <v>0</v>
      </c>
      <c r="AR555" s="124">
        <f t="shared" si="425"/>
        <v>0</v>
      </c>
      <c r="AS555" s="116"/>
    </row>
    <row r="556" spans="2:45" x14ac:dyDescent="0.15">
      <c r="B556" s="6" t="s">
        <v>16</v>
      </c>
      <c r="C556" s="26"/>
      <c r="D556" s="123"/>
      <c r="E556" s="43"/>
      <c r="F556" s="59">
        <f t="shared" si="469"/>
        <v>0</v>
      </c>
      <c r="G556" s="26">
        <v>1</v>
      </c>
      <c r="H556" s="27"/>
      <c r="I556" s="28"/>
      <c r="J556" s="59">
        <f t="shared" si="465"/>
        <v>1</v>
      </c>
      <c r="K556" s="64"/>
      <c r="L556" s="65"/>
      <c r="M556" s="59">
        <f t="shared" si="466"/>
        <v>0</v>
      </c>
      <c r="N556" s="64"/>
      <c r="O556" s="65"/>
      <c r="P556" s="72">
        <f t="shared" si="467"/>
        <v>0</v>
      </c>
      <c r="Q556" s="124">
        <f t="shared" si="468"/>
        <v>1</v>
      </c>
      <c r="R556" s="119">
        <v>45909</v>
      </c>
      <c r="AC556" s="6"/>
      <c r="AD556" s="26"/>
      <c r="AE556" s="123"/>
      <c r="AF556" s="43"/>
      <c r="AG556" s="59">
        <f t="shared" si="460"/>
        <v>0</v>
      </c>
      <c r="AH556" s="26"/>
      <c r="AI556" s="27"/>
      <c r="AJ556" s="28"/>
      <c r="AK556" s="59">
        <f t="shared" si="461"/>
        <v>0</v>
      </c>
      <c r="AL556" s="64"/>
      <c r="AM556" s="65"/>
      <c r="AN556" s="59">
        <f t="shared" si="462"/>
        <v>0</v>
      </c>
      <c r="AO556" s="64"/>
      <c r="AP556" s="65"/>
      <c r="AQ556" s="72">
        <f t="shared" si="463"/>
        <v>0</v>
      </c>
      <c r="AR556" s="124">
        <f t="shared" si="425"/>
        <v>0</v>
      </c>
      <c r="AS556" s="116"/>
    </row>
    <row r="557" spans="2:45" ht="14.25" thickBot="1" x14ac:dyDescent="0.2">
      <c r="B557" s="6" t="s">
        <v>16</v>
      </c>
      <c r="C557" s="29"/>
      <c r="D557" s="126"/>
      <c r="E557" s="44">
        <v>1</v>
      </c>
      <c r="F557" s="125">
        <f t="shared" si="469"/>
        <v>1</v>
      </c>
      <c r="G557" s="29"/>
      <c r="H557" s="30"/>
      <c r="I557" s="31"/>
      <c r="J557" s="125">
        <f t="shared" si="465"/>
        <v>0</v>
      </c>
      <c r="K557" s="66"/>
      <c r="L557" s="67"/>
      <c r="M557" s="125">
        <f t="shared" si="466"/>
        <v>0</v>
      </c>
      <c r="N557" s="66"/>
      <c r="O557" s="67"/>
      <c r="P557" s="127">
        <f t="shared" si="467"/>
        <v>0</v>
      </c>
      <c r="Q557" s="128">
        <f t="shared" si="468"/>
        <v>1</v>
      </c>
      <c r="R557" s="119">
        <v>45910</v>
      </c>
      <c r="AC557" s="6"/>
      <c r="AD557" s="29"/>
      <c r="AE557" s="126"/>
      <c r="AF557" s="44"/>
      <c r="AG557" s="125">
        <f t="shared" si="460"/>
        <v>0</v>
      </c>
      <c r="AH557" s="29"/>
      <c r="AI557" s="30"/>
      <c r="AJ557" s="31"/>
      <c r="AK557" s="125">
        <f t="shared" si="461"/>
        <v>0</v>
      </c>
      <c r="AL557" s="66"/>
      <c r="AM557" s="67"/>
      <c r="AN557" s="125">
        <f t="shared" si="462"/>
        <v>0</v>
      </c>
      <c r="AO557" s="66"/>
      <c r="AP557" s="67"/>
      <c r="AQ557" s="127">
        <f t="shared" si="463"/>
        <v>0</v>
      </c>
      <c r="AR557" s="128">
        <f t="shared" si="425"/>
        <v>0</v>
      </c>
      <c r="AS557" s="116"/>
    </row>
    <row r="558" spans="2:45" ht="14.25" thickBot="1" x14ac:dyDescent="0.2">
      <c r="B558" s="5" t="s">
        <v>2</v>
      </c>
      <c r="C558" s="32">
        <f>SUM(C533:C557)</f>
        <v>28</v>
      </c>
      <c r="D558" s="132">
        <f t="shared" ref="D558:Q558" si="470">SUM(D533:D557)</f>
        <v>14</v>
      </c>
      <c r="E558" s="34">
        <f t="shared" si="470"/>
        <v>38</v>
      </c>
      <c r="F558" s="4">
        <f t="shared" si="470"/>
        <v>80</v>
      </c>
      <c r="G558" s="32">
        <f t="shared" si="470"/>
        <v>31</v>
      </c>
      <c r="H558" s="33">
        <f t="shared" si="470"/>
        <v>10</v>
      </c>
      <c r="I558" s="34">
        <f t="shared" si="470"/>
        <v>23</v>
      </c>
      <c r="J558" s="4">
        <f t="shared" si="470"/>
        <v>64</v>
      </c>
      <c r="K558" s="68">
        <f t="shared" si="470"/>
        <v>40</v>
      </c>
      <c r="L558" s="69">
        <f t="shared" si="470"/>
        <v>24</v>
      </c>
      <c r="M558" s="4">
        <f t="shared" si="470"/>
        <v>64</v>
      </c>
      <c r="N558" s="68">
        <f t="shared" si="470"/>
        <v>6</v>
      </c>
      <c r="O558" s="69">
        <f t="shared" si="470"/>
        <v>10</v>
      </c>
      <c r="P558" s="58">
        <f t="shared" si="470"/>
        <v>16</v>
      </c>
      <c r="Q558" s="88">
        <f t="shared" si="470"/>
        <v>224</v>
      </c>
      <c r="R558" s="116"/>
      <c r="AC558" s="5" t="s">
        <v>2</v>
      </c>
      <c r="AD558" s="142">
        <f t="shared" ref="AD558:AF558" si="471">SUM(AD533:AD557)</f>
        <v>0</v>
      </c>
      <c r="AE558" s="132">
        <f t="shared" si="471"/>
        <v>0</v>
      </c>
      <c r="AF558" s="143">
        <f t="shared" si="471"/>
        <v>0</v>
      </c>
      <c r="AG558" s="4">
        <f t="shared" ref="AG558:AG559" si="472">SUM(AD558:AF558)</f>
        <v>0</v>
      </c>
      <c r="AH558" s="142">
        <f>SUM(AH533:AH557)</f>
        <v>0</v>
      </c>
      <c r="AI558" s="152">
        <f t="shared" ref="AI558:AJ558" si="473">SUM(AI533:AI557)</f>
        <v>0</v>
      </c>
      <c r="AJ558" s="143">
        <f t="shared" si="473"/>
        <v>0</v>
      </c>
      <c r="AK558" s="144">
        <f t="shared" ref="AK558:AK559" si="474">SUM(AH558:AJ558)</f>
        <v>0</v>
      </c>
      <c r="AL558" s="68">
        <f t="shared" ref="AL558:AM558" si="475">SUM(AL533:AL557)</f>
        <v>0</v>
      </c>
      <c r="AM558" s="69">
        <f t="shared" si="475"/>
        <v>0</v>
      </c>
      <c r="AN558" s="4">
        <f t="shared" ref="AN558:AN559" si="476">SUM(AL558:AM558)</f>
        <v>0</v>
      </c>
      <c r="AO558" s="157">
        <f t="shared" ref="AO558:AP558" si="477">SUM(AO533:AO557)</f>
        <v>0</v>
      </c>
      <c r="AP558" s="145">
        <f t="shared" si="477"/>
        <v>0</v>
      </c>
      <c r="AQ558" s="146">
        <f t="shared" ref="AQ558:AQ559" si="478">SUM(AO558:AP558)</f>
        <v>0</v>
      </c>
      <c r="AR558" s="88">
        <f t="shared" si="425"/>
        <v>0</v>
      </c>
      <c r="AS558" s="116"/>
    </row>
    <row r="559" spans="2:45" ht="14.25" thickBot="1" x14ac:dyDescent="0.2">
      <c r="B559" s="3" t="s">
        <v>3</v>
      </c>
      <c r="C559" s="70">
        <f>+C532-C558</f>
        <v>6</v>
      </c>
      <c r="D559" s="86">
        <f t="shared" ref="D559:Q559" si="479">+D532-D558</f>
        <v>57</v>
      </c>
      <c r="E559" s="85">
        <f t="shared" si="479"/>
        <v>46</v>
      </c>
      <c r="F559" s="61">
        <f t="shared" si="479"/>
        <v>109</v>
      </c>
      <c r="G559" s="70">
        <f t="shared" si="479"/>
        <v>36</v>
      </c>
      <c r="H559" s="84">
        <f t="shared" si="479"/>
        <v>38</v>
      </c>
      <c r="I559" s="85">
        <f t="shared" si="479"/>
        <v>46</v>
      </c>
      <c r="J559" s="61">
        <f t="shared" si="479"/>
        <v>120</v>
      </c>
      <c r="K559" s="81">
        <f t="shared" si="479"/>
        <v>18</v>
      </c>
      <c r="L559" s="71">
        <f t="shared" si="479"/>
        <v>19</v>
      </c>
      <c r="M559" s="61">
        <f t="shared" si="479"/>
        <v>37</v>
      </c>
      <c r="N559" s="81">
        <f t="shared" si="479"/>
        <v>18</v>
      </c>
      <c r="O559" s="71">
        <f t="shared" si="479"/>
        <v>10</v>
      </c>
      <c r="P559" s="73">
        <f t="shared" si="479"/>
        <v>28</v>
      </c>
      <c r="Q559" s="88">
        <f t="shared" si="479"/>
        <v>294</v>
      </c>
      <c r="R559" s="116"/>
      <c r="AC559" s="3" t="s">
        <v>3</v>
      </c>
      <c r="AD559" s="136">
        <f>+AD532-AD558</f>
        <v>0</v>
      </c>
      <c r="AE559" s="86">
        <f>+AE532-AE558</f>
        <v>70</v>
      </c>
      <c r="AF559" s="155">
        <f t="shared" ref="AF559" si="480">+AF532-AF558</f>
        <v>0</v>
      </c>
      <c r="AG559" s="61">
        <f t="shared" si="472"/>
        <v>70</v>
      </c>
      <c r="AH559" s="136">
        <f>+AH532-AH558</f>
        <v>0</v>
      </c>
      <c r="AI559" s="156">
        <f t="shared" ref="AI559:AJ559" si="481">+AI532-AI558</f>
        <v>0</v>
      </c>
      <c r="AJ559" s="155">
        <f t="shared" si="481"/>
        <v>0</v>
      </c>
      <c r="AK559" s="159">
        <f t="shared" si="474"/>
        <v>0</v>
      </c>
      <c r="AL559" s="81">
        <f>+AL532-AL558</f>
        <v>40</v>
      </c>
      <c r="AM559" s="71">
        <f>+AM532-AM558</f>
        <v>40</v>
      </c>
      <c r="AN559" s="61">
        <f t="shared" si="476"/>
        <v>80</v>
      </c>
      <c r="AO559" s="158">
        <f>+AO532-AO558</f>
        <v>0</v>
      </c>
      <c r="AP559" s="137">
        <f>+AP532-AP558</f>
        <v>0</v>
      </c>
      <c r="AQ559" s="150">
        <f t="shared" si="478"/>
        <v>0</v>
      </c>
      <c r="AR559" s="151">
        <f t="shared" si="425"/>
        <v>150</v>
      </c>
      <c r="AS559" s="116"/>
    </row>
    <row r="560" spans="2:45" x14ac:dyDescent="0.15">
      <c r="C560" s="154" t="s">
        <v>75</v>
      </c>
      <c r="D560" s="154"/>
      <c r="E560" s="154" t="s">
        <v>75</v>
      </c>
      <c r="F560" s="154"/>
      <c r="G560" s="154" t="s">
        <v>75</v>
      </c>
      <c r="H560" s="154" t="s">
        <v>75</v>
      </c>
      <c r="I560" s="154" t="s">
        <v>75</v>
      </c>
      <c r="J560" s="154"/>
      <c r="K560" s="154"/>
      <c r="L560" s="154"/>
      <c r="M560" s="154"/>
      <c r="N560" s="154" t="s">
        <v>75</v>
      </c>
      <c r="O560" s="154" t="s">
        <v>75</v>
      </c>
    </row>
    <row r="562" spans="2:45" ht="18.75" x14ac:dyDescent="0.2">
      <c r="B562" s="89" t="s">
        <v>7</v>
      </c>
      <c r="C562" s="90"/>
      <c r="D562" s="90"/>
      <c r="E562" s="90"/>
      <c r="F562" s="90"/>
      <c r="G562" s="90"/>
      <c r="H562" s="90"/>
      <c r="I562" s="90"/>
      <c r="J562" s="90"/>
      <c r="K562" s="90"/>
      <c r="L562" s="90"/>
      <c r="M562" s="90"/>
      <c r="N562" s="90"/>
      <c r="O562" s="89"/>
      <c r="P562" s="90"/>
      <c r="Q562" s="90"/>
      <c r="R562" s="90"/>
      <c r="S562" s="90"/>
      <c r="T562" s="90"/>
      <c r="U562" s="90"/>
      <c r="AC562" s="89" t="s">
        <v>7</v>
      </c>
      <c r="AD562" s="90"/>
      <c r="AE562" s="90"/>
      <c r="AF562" s="90"/>
      <c r="AG562" s="90"/>
      <c r="AH562" s="90"/>
      <c r="AI562" s="89"/>
      <c r="AJ562" s="90"/>
      <c r="AK562" s="90"/>
      <c r="AL562" s="90"/>
      <c r="AM562" s="90"/>
      <c r="AN562" s="90"/>
      <c r="AO562" s="90"/>
      <c r="AP562" s="90"/>
      <c r="AQ562" s="90"/>
      <c r="AR562" s="90"/>
      <c r="AS562" s="90"/>
    </row>
    <row r="563" spans="2:45" ht="18" thickBot="1" x14ac:dyDescent="0.25">
      <c r="B563" s="91" t="s">
        <v>70</v>
      </c>
      <c r="C563" s="90"/>
      <c r="D563" s="90"/>
      <c r="E563" s="90"/>
      <c r="F563" s="90"/>
      <c r="G563" s="90"/>
      <c r="H563" s="90"/>
      <c r="I563" s="91"/>
      <c r="J563" s="90"/>
      <c r="K563" s="90"/>
      <c r="L563" s="90"/>
      <c r="M563" s="90"/>
      <c r="N563" s="90"/>
      <c r="O563" s="91"/>
      <c r="P563" s="90"/>
      <c r="Q563" s="90"/>
      <c r="R563" s="90"/>
      <c r="S563" s="90"/>
      <c r="T563" s="90"/>
      <c r="U563" s="91"/>
      <c r="AC563" s="91" t="s">
        <v>70</v>
      </c>
      <c r="AD563" s="90"/>
      <c r="AE563" s="90"/>
      <c r="AF563" s="90"/>
      <c r="AG563" s="90"/>
      <c r="AH563" s="90"/>
      <c r="AI563" s="91"/>
      <c r="AJ563" s="90"/>
      <c r="AK563" s="90"/>
      <c r="AL563" s="90"/>
      <c r="AM563" s="90"/>
      <c r="AN563" s="90"/>
      <c r="AO563" s="91"/>
      <c r="AP563" s="91"/>
      <c r="AQ563" s="91"/>
      <c r="AR563" s="91"/>
      <c r="AS563" s="90"/>
    </row>
    <row r="564" spans="2:45" ht="14.25" thickBot="1" x14ac:dyDescent="0.2">
      <c r="B564" s="92"/>
      <c r="C564" s="205" t="s">
        <v>63</v>
      </c>
      <c r="D564" s="206"/>
      <c r="E564" s="206"/>
      <c r="F564" s="206"/>
      <c r="G564" s="205" t="s">
        <v>61</v>
      </c>
      <c r="H564" s="206"/>
      <c r="I564" s="206"/>
      <c r="J564" s="207"/>
      <c r="K564" s="205" t="s">
        <v>65</v>
      </c>
      <c r="L564" s="206"/>
      <c r="M564" s="207"/>
      <c r="N564" s="208" t="s">
        <v>68</v>
      </c>
      <c r="O564" s="209"/>
      <c r="P564" s="210"/>
      <c r="Q564" s="93"/>
      <c r="R564" s="116"/>
      <c r="AC564" s="92"/>
      <c r="AD564" s="205" t="s">
        <v>63</v>
      </c>
      <c r="AE564" s="206"/>
      <c r="AF564" s="206"/>
      <c r="AG564" s="206"/>
      <c r="AH564" s="205" t="s">
        <v>61</v>
      </c>
      <c r="AI564" s="206"/>
      <c r="AJ564" s="206"/>
      <c r="AK564" s="207"/>
      <c r="AL564" s="205" t="s">
        <v>65</v>
      </c>
      <c r="AM564" s="206"/>
      <c r="AN564" s="207"/>
      <c r="AO564" s="208" t="s">
        <v>68</v>
      </c>
      <c r="AP564" s="209"/>
      <c r="AQ564" s="210"/>
      <c r="AR564" s="93"/>
      <c r="AS564" s="116"/>
    </row>
    <row r="565" spans="2:45" ht="14.25" thickBot="1" x14ac:dyDescent="0.2">
      <c r="B565" s="94"/>
      <c r="C565" s="104" t="s">
        <v>9</v>
      </c>
      <c r="D565" s="107" t="s">
        <v>50</v>
      </c>
      <c r="E565" s="108" t="s">
        <v>6</v>
      </c>
      <c r="F565" s="94" t="s">
        <v>0</v>
      </c>
      <c r="G565" s="104" t="s">
        <v>9</v>
      </c>
      <c r="H565" s="105" t="s">
        <v>13</v>
      </c>
      <c r="I565" s="106" t="s">
        <v>62</v>
      </c>
      <c r="J565" s="98" t="s">
        <v>0</v>
      </c>
      <c r="K565" s="109" t="s">
        <v>69</v>
      </c>
      <c r="L565" s="110" t="s">
        <v>10</v>
      </c>
      <c r="M565" s="103" t="s">
        <v>0</v>
      </c>
      <c r="N565" s="111" t="s">
        <v>62</v>
      </c>
      <c r="O565" s="110" t="s">
        <v>10</v>
      </c>
      <c r="P565" s="103" t="s">
        <v>0</v>
      </c>
      <c r="Q565" s="112" t="s">
        <v>0</v>
      </c>
      <c r="R565" s="116"/>
      <c r="AC565" s="94"/>
      <c r="AD565" s="104" t="s">
        <v>9</v>
      </c>
      <c r="AE565" s="107" t="s">
        <v>50</v>
      </c>
      <c r="AF565" s="108" t="s">
        <v>6</v>
      </c>
      <c r="AG565" s="94" t="s">
        <v>0</v>
      </c>
      <c r="AH565" s="104" t="s">
        <v>9</v>
      </c>
      <c r="AI565" s="105" t="s">
        <v>13</v>
      </c>
      <c r="AJ565" s="106" t="s">
        <v>62</v>
      </c>
      <c r="AK565" s="98" t="s">
        <v>0</v>
      </c>
      <c r="AL565" s="109" t="s">
        <v>69</v>
      </c>
      <c r="AM565" s="110" t="s">
        <v>10</v>
      </c>
      <c r="AN565" s="103" t="s">
        <v>0</v>
      </c>
      <c r="AO565" s="111" t="s">
        <v>62</v>
      </c>
      <c r="AP565" s="110" t="s">
        <v>10</v>
      </c>
      <c r="AQ565" s="103" t="s">
        <v>0</v>
      </c>
      <c r="AR565" s="112" t="s">
        <v>0</v>
      </c>
      <c r="AS565" s="116"/>
    </row>
    <row r="566" spans="2:45" x14ac:dyDescent="0.15">
      <c r="B566" s="46" t="s">
        <v>3</v>
      </c>
      <c r="C566" s="47">
        <f>C559</f>
        <v>6</v>
      </c>
      <c r="D566" s="79">
        <f t="shared" ref="D566:Q566" si="482">D559</f>
        <v>57</v>
      </c>
      <c r="E566" s="48">
        <f t="shared" si="482"/>
        <v>46</v>
      </c>
      <c r="F566" s="49">
        <f t="shared" si="482"/>
        <v>109</v>
      </c>
      <c r="G566" s="47">
        <f t="shared" si="482"/>
        <v>36</v>
      </c>
      <c r="H566" s="50">
        <f t="shared" si="482"/>
        <v>38</v>
      </c>
      <c r="I566" s="48">
        <f t="shared" si="482"/>
        <v>46</v>
      </c>
      <c r="J566" s="49">
        <f t="shared" si="482"/>
        <v>120</v>
      </c>
      <c r="K566" s="83">
        <f t="shared" si="482"/>
        <v>18</v>
      </c>
      <c r="L566" s="82">
        <f t="shared" si="482"/>
        <v>19</v>
      </c>
      <c r="M566" s="74">
        <f t="shared" si="482"/>
        <v>37</v>
      </c>
      <c r="N566" s="80">
        <f t="shared" si="482"/>
        <v>18</v>
      </c>
      <c r="O566" s="48">
        <f t="shared" si="482"/>
        <v>10</v>
      </c>
      <c r="P566" s="87">
        <f t="shared" si="482"/>
        <v>28</v>
      </c>
      <c r="Q566" s="133">
        <f t="shared" si="482"/>
        <v>294</v>
      </c>
      <c r="R566" s="138"/>
      <c r="AC566" s="46" t="s">
        <v>3</v>
      </c>
      <c r="AD566" s="47">
        <f t="shared" ref="AD566:AR566" si="483">AD559</f>
        <v>0</v>
      </c>
      <c r="AE566" s="79">
        <f t="shared" si="483"/>
        <v>70</v>
      </c>
      <c r="AF566" s="48">
        <f t="shared" si="483"/>
        <v>0</v>
      </c>
      <c r="AG566" s="49">
        <f t="shared" si="483"/>
        <v>70</v>
      </c>
      <c r="AH566" s="47">
        <f t="shared" si="483"/>
        <v>0</v>
      </c>
      <c r="AI566" s="50">
        <f t="shared" si="483"/>
        <v>0</v>
      </c>
      <c r="AJ566" s="48">
        <f t="shared" si="483"/>
        <v>0</v>
      </c>
      <c r="AK566" s="49">
        <f t="shared" si="483"/>
        <v>0</v>
      </c>
      <c r="AL566" s="83">
        <f t="shared" si="483"/>
        <v>40</v>
      </c>
      <c r="AM566" s="82">
        <f t="shared" si="483"/>
        <v>40</v>
      </c>
      <c r="AN566" s="74">
        <f t="shared" si="483"/>
        <v>80</v>
      </c>
      <c r="AO566" s="80">
        <f t="shared" si="483"/>
        <v>0</v>
      </c>
      <c r="AP566" s="48">
        <f t="shared" si="483"/>
        <v>0</v>
      </c>
      <c r="AQ566" s="87">
        <f t="shared" si="483"/>
        <v>0</v>
      </c>
      <c r="AR566" s="133">
        <f t="shared" si="483"/>
        <v>150</v>
      </c>
      <c r="AS566" s="138"/>
    </row>
    <row r="567" spans="2:45" x14ac:dyDescent="0.15">
      <c r="B567" s="186" t="s">
        <v>4</v>
      </c>
      <c r="C567" s="187">
        <v>10</v>
      </c>
      <c r="D567" s="188"/>
      <c r="E567" s="189">
        <v>10</v>
      </c>
      <c r="F567" s="190">
        <f t="shared" ref="F567:F571" si="484">SUM(C567:E567)</f>
        <v>20</v>
      </c>
      <c r="G567" s="187"/>
      <c r="H567" s="191"/>
      <c r="I567" s="192"/>
      <c r="J567" s="190">
        <f t="shared" ref="J567:J571" si="485">SUM(G567:I567)</f>
        <v>0</v>
      </c>
      <c r="K567" s="193">
        <v>10</v>
      </c>
      <c r="L567" s="194"/>
      <c r="M567" s="190">
        <f t="shared" ref="M567:M571" si="486">SUM(K567:L567)</f>
        <v>10</v>
      </c>
      <c r="N567" s="193"/>
      <c r="O567" s="194"/>
      <c r="P567" s="195">
        <f t="shared" ref="P567:P571" si="487">SUM(N567:O567)</f>
        <v>0</v>
      </c>
      <c r="Q567" s="196">
        <f t="shared" ref="Q567:Q571" si="488">P567+M567+F567+J567</f>
        <v>30</v>
      </c>
      <c r="R567" s="197">
        <v>46128</v>
      </c>
      <c r="AC567" s="11" t="s">
        <v>77</v>
      </c>
      <c r="AD567" s="26"/>
      <c r="AE567" s="123">
        <v>50</v>
      </c>
      <c r="AF567" s="43">
        <v>40</v>
      </c>
      <c r="AG567" s="59">
        <f t="shared" ref="AG567:AG599" si="489">SUM(AD567:AF567)</f>
        <v>90</v>
      </c>
      <c r="AH567" s="26">
        <v>30</v>
      </c>
      <c r="AI567" s="27">
        <v>30</v>
      </c>
      <c r="AJ567" s="28">
        <v>40</v>
      </c>
      <c r="AK567" s="59">
        <f t="shared" ref="AK567:AK599" si="490">SUM(AH567:AJ567)</f>
        <v>100</v>
      </c>
      <c r="AL567" s="64">
        <v>10</v>
      </c>
      <c r="AM567" s="65">
        <v>10</v>
      </c>
      <c r="AN567" s="59">
        <f t="shared" ref="AN567:AN599" si="491">SUM(AL567:AM567)</f>
        <v>20</v>
      </c>
      <c r="AO567" s="64"/>
      <c r="AP567" s="65"/>
      <c r="AQ567" s="72">
        <f t="shared" ref="AQ567:AQ599" si="492">SUM(AO567:AP567)</f>
        <v>0</v>
      </c>
      <c r="AR567" s="124">
        <f t="shared" ref="AR567:AR599" si="493">AQ567+AN567+AG567+AK567</f>
        <v>210</v>
      </c>
      <c r="AS567" s="119">
        <v>45953</v>
      </c>
    </row>
    <row r="568" spans="2:45" x14ac:dyDescent="0.15">
      <c r="B568" s="186" t="s">
        <v>4</v>
      </c>
      <c r="C568" s="187"/>
      <c r="D568" s="188"/>
      <c r="E568" s="189"/>
      <c r="F568" s="190">
        <f t="shared" si="484"/>
        <v>0</v>
      </c>
      <c r="G568" s="187"/>
      <c r="H568" s="191"/>
      <c r="I568" s="192"/>
      <c r="J568" s="190">
        <f t="shared" si="485"/>
        <v>0</v>
      </c>
      <c r="K568" s="193"/>
      <c r="L568" s="194"/>
      <c r="M568" s="190">
        <f t="shared" si="486"/>
        <v>0</v>
      </c>
      <c r="N568" s="193"/>
      <c r="O568" s="194"/>
      <c r="P568" s="195">
        <f t="shared" si="487"/>
        <v>0</v>
      </c>
      <c r="Q568" s="196">
        <f t="shared" si="488"/>
        <v>0</v>
      </c>
      <c r="R568" s="198"/>
      <c r="AC568" s="11" t="s">
        <v>4</v>
      </c>
      <c r="AD568" s="26"/>
      <c r="AE568" s="123"/>
      <c r="AF568" s="43"/>
      <c r="AG568" s="59">
        <f t="shared" si="489"/>
        <v>0</v>
      </c>
      <c r="AH568" s="26"/>
      <c r="AI568" s="27"/>
      <c r="AJ568" s="28"/>
      <c r="AK568" s="59">
        <f t="shared" si="490"/>
        <v>0</v>
      </c>
      <c r="AL568" s="64"/>
      <c r="AM568" s="65"/>
      <c r="AN568" s="59">
        <f t="shared" si="491"/>
        <v>0</v>
      </c>
      <c r="AO568" s="64"/>
      <c r="AP568" s="65"/>
      <c r="AQ568" s="72">
        <f t="shared" si="492"/>
        <v>0</v>
      </c>
      <c r="AR568" s="124">
        <f t="shared" si="493"/>
        <v>0</v>
      </c>
      <c r="AS568" s="116"/>
    </row>
    <row r="569" spans="2:45" x14ac:dyDescent="0.15">
      <c r="B569" s="11" t="s">
        <v>4</v>
      </c>
      <c r="C569" s="26"/>
      <c r="D569" s="123"/>
      <c r="E569" s="43"/>
      <c r="F569" s="59">
        <f t="shared" si="484"/>
        <v>0</v>
      </c>
      <c r="G569" s="26"/>
      <c r="H569" s="27"/>
      <c r="I569" s="28"/>
      <c r="J569" s="59">
        <f t="shared" si="485"/>
        <v>0</v>
      </c>
      <c r="K569" s="64"/>
      <c r="L569" s="65"/>
      <c r="M569" s="59">
        <f t="shared" si="486"/>
        <v>0</v>
      </c>
      <c r="N569" s="64"/>
      <c r="O569" s="65"/>
      <c r="P569" s="72">
        <f t="shared" si="487"/>
        <v>0</v>
      </c>
      <c r="Q569" s="124">
        <f t="shared" si="488"/>
        <v>0</v>
      </c>
      <c r="R569" s="116"/>
      <c r="AC569" s="11" t="s">
        <v>4</v>
      </c>
      <c r="AD569" s="26"/>
      <c r="AE569" s="123"/>
      <c r="AF569" s="43"/>
      <c r="AG569" s="59">
        <f t="shared" si="489"/>
        <v>0</v>
      </c>
      <c r="AH569" s="26"/>
      <c r="AI569" s="27"/>
      <c r="AJ569" s="28"/>
      <c r="AK569" s="59">
        <f t="shared" si="490"/>
        <v>0</v>
      </c>
      <c r="AL569" s="64"/>
      <c r="AM569" s="65"/>
      <c r="AN569" s="59">
        <f t="shared" si="491"/>
        <v>0</v>
      </c>
      <c r="AO569" s="64"/>
      <c r="AP569" s="65"/>
      <c r="AQ569" s="72">
        <f t="shared" si="492"/>
        <v>0</v>
      </c>
      <c r="AR569" s="124">
        <f t="shared" si="493"/>
        <v>0</v>
      </c>
      <c r="AS569" s="116"/>
    </row>
    <row r="570" spans="2:45" x14ac:dyDescent="0.15">
      <c r="B570" s="11" t="s">
        <v>4</v>
      </c>
      <c r="C570" s="26"/>
      <c r="D570" s="123"/>
      <c r="E570" s="43"/>
      <c r="F570" s="59">
        <f t="shared" si="484"/>
        <v>0</v>
      </c>
      <c r="G570" s="26"/>
      <c r="H570" s="27"/>
      <c r="I570" s="28"/>
      <c r="J570" s="59">
        <f t="shared" si="485"/>
        <v>0</v>
      </c>
      <c r="K570" s="64"/>
      <c r="L570" s="65"/>
      <c r="M570" s="59">
        <f t="shared" si="486"/>
        <v>0</v>
      </c>
      <c r="N570" s="64"/>
      <c r="O570" s="65"/>
      <c r="P570" s="72">
        <f t="shared" si="487"/>
        <v>0</v>
      </c>
      <c r="Q570" s="124">
        <f t="shared" si="488"/>
        <v>0</v>
      </c>
      <c r="R570" s="116"/>
      <c r="AC570" s="11" t="s">
        <v>4</v>
      </c>
      <c r="AD570" s="26"/>
      <c r="AE570" s="123"/>
      <c r="AF570" s="43"/>
      <c r="AG570" s="59">
        <f t="shared" si="489"/>
        <v>0</v>
      </c>
      <c r="AH570" s="26"/>
      <c r="AI570" s="27"/>
      <c r="AJ570" s="28"/>
      <c r="AK570" s="59">
        <f t="shared" si="490"/>
        <v>0</v>
      </c>
      <c r="AL570" s="64"/>
      <c r="AM570" s="65"/>
      <c r="AN570" s="59">
        <f t="shared" si="491"/>
        <v>0</v>
      </c>
      <c r="AO570" s="64"/>
      <c r="AP570" s="65"/>
      <c r="AQ570" s="72">
        <f t="shared" si="492"/>
        <v>0</v>
      </c>
      <c r="AR570" s="124">
        <f t="shared" si="493"/>
        <v>0</v>
      </c>
      <c r="AS570" s="116"/>
    </row>
    <row r="571" spans="2:45" ht="14.25" thickBot="1" x14ac:dyDescent="0.2">
      <c r="B571" s="11" t="s">
        <v>4</v>
      </c>
      <c r="C571" s="29"/>
      <c r="D571" s="126"/>
      <c r="E571" s="44"/>
      <c r="F571" s="125">
        <f t="shared" si="484"/>
        <v>0</v>
      </c>
      <c r="G571" s="29"/>
      <c r="H571" s="30"/>
      <c r="I571" s="31"/>
      <c r="J571" s="125">
        <f t="shared" si="485"/>
        <v>0</v>
      </c>
      <c r="K571" s="66"/>
      <c r="L571" s="67"/>
      <c r="M571" s="125">
        <f t="shared" si="486"/>
        <v>0</v>
      </c>
      <c r="N571" s="66"/>
      <c r="O571" s="67"/>
      <c r="P571" s="127">
        <f t="shared" si="487"/>
        <v>0</v>
      </c>
      <c r="Q571" s="128">
        <f t="shared" si="488"/>
        <v>0</v>
      </c>
      <c r="R571" s="116"/>
      <c r="AC571" s="11" t="s">
        <v>4</v>
      </c>
      <c r="AD571" s="29"/>
      <c r="AE571" s="126"/>
      <c r="AF571" s="44"/>
      <c r="AG571" s="125">
        <f t="shared" si="489"/>
        <v>0</v>
      </c>
      <c r="AH571" s="29"/>
      <c r="AI571" s="30"/>
      <c r="AJ571" s="31"/>
      <c r="AK571" s="125">
        <f t="shared" si="490"/>
        <v>0</v>
      </c>
      <c r="AL571" s="66"/>
      <c r="AM571" s="67"/>
      <c r="AN571" s="125">
        <f t="shared" si="491"/>
        <v>0</v>
      </c>
      <c r="AO571" s="66"/>
      <c r="AP571" s="67"/>
      <c r="AQ571" s="127">
        <f t="shared" si="492"/>
        <v>0</v>
      </c>
      <c r="AR571" s="128">
        <f t="shared" si="493"/>
        <v>0</v>
      </c>
      <c r="AS571" s="116"/>
    </row>
    <row r="572" spans="2:45" ht="14.25" thickBot="1" x14ac:dyDescent="0.2">
      <c r="B572" s="5" t="s">
        <v>1</v>
      </c>
      <c r="C572" s="32">
        <f>SUM(C566:C571)</f>
        <v>16</v>
      </c>
      <c r="D572" s="132">
        <f t="shared" ref="D572:Q572" si="494">SUM(D566:D571)</f>
        <v>57</v>
      </c>
      <c r="E572" s="34">
        <f t="shared" si="494"/>
        <v>56</v>
      </c>
      <c r="F572" s="4">
        <f t="shared" si="494"/>
        <v>129</v>
      </c>
      <c r="G572" s="32">
        <f t="shared" si="494"/>
        <v>36</v>
      </c>
      <c r="H572" s="33">
        <f t="shared" si="494"/>
        <v>38</v>
      </c>
      <c r="I572" s="34">
        <f t="shared" si="494"/>
        <v>46</v>
      </c>
      <c r="J572" s="4">
        <f t="shared" si="494"/>
        <v>120</v>
      </c>
      <c r="K572" s="68">
        <f t="shared" si="494"/>
        <v>28</v>
      </c>
      <c r="L572" s="69">
        <f t="shared" si="494"/>
        <v>19</v>
      </c>
      <c r="M572" s="4">
        <f t="shared" si="494"/>
        <v>47</v>
      </c>
      <c r="N572" s="68">
        <f t="shared" si="494"/>
        <v>18</v>
      </c>
      <c r="O572" s="34">
        <f t="shared" si="494"/>
        <v>10</v>
      </c>
      <c r="P572" s="58">
        <f t="shared" si="494"/>
        <v>28</v>
      </c>
      <c r="Q572" s="88">
        <f t="shared" si="494"/>
        <v>324</v>
      </c>
      <c r="R572" s="116"/>
      <c r="AC572" s="5" t="s">
        <v>1</v>
      </c>
      <c r="AD572" s="32">
        <f t="shared" ref="AD572:AF572" si="495">SUM(AD566:AD571)</f>
        <v>0</v>
      </c>
      <c r="AE572" s="132">
        <f t="shared" si="495"/>
        <v>120</v>
      </c>
      <c r="AF572" s="34">
        <f t="shared" si="495"/>
        <v>40</v>
      </c>
      <c r="AG572" s="4">
        <f t="shared" si="489"/>
        <v>160</v>
      </c>
      <c r="AH572" s="32">
        <f>SUM(AH566:AH571)</f>
        <v>30</v>
      </c>
      <c r="AI572" s="33">
        <f t="shared" ref="AI572:AJ572" si="496">SUM(AI566:AI571)</f>
        <v>30</v>
      </c>
      <c r="AJ572" s="34">
        <f t="shared" si="496"/>
        <v>40</v>
      </c>
      <c r="AK572" s="4">
        <f t="shared" si="490"/>
        <v>100</v>
      </c>
      <c r="AL572" s="68">
        <f t="shared" ref="AL572:AM572" si="497">SUM(AL566:AL571)</f>
        <v>50</v>
      </c>
      <c r="AM572" s="69">
        <f t="shared" si="497"/>
        <v>50</v>
      </c>
      <c r="AN572" s="4">
        <f t="shared" si="491"/>
        <v>100</v>
      </c>
      <c r="AO572" s="68">
        <f>SUM(AO566:AO571)</f>
        <v>0</v>
      </c>
      <c r="AP572" s="34">
        <f t="shared" ref="AP572" si="498">SUM(AP566:AP571)</f>
        <v>0</v>
      </c>
      <c r="AQ572" s="58">
        <f t="shared" si="492"/>
        <v>0</v>
      </c>
      <c r="AR572" s="88">
        <f t="shared" si="493"/>
        <v>360</v>
      </c>
      <c r="AS572" s="116"/>
    </row>
    <row r="573" spans="2:45" x14ac:dyDescent="0.15">
      <c r="B573" s="6" t="s">
        <v>16</v>
      </c>
      <c r="C573" s="26"/>
      <c r="D573" s="123"/>
      <c r="E573" s="43"/>
      <c r="F573" s="59">
        <f t="shared" ref="F573:F597" si="499">SUM(C573:E573)</f>
        <v>0</v>
      </c>
      <c r="G573" s="26"/>
      <c r="H573" s="27">
        <v>1</v>
      </c>
      <c r="I573" s="28"/>
      <c r="J573" s="59">
        <f t="shared" ref="J573:J597" si="500">SUM(G573:I573)</f>
        <v>1</v>
      </c>
      <c r="K573" s="64">
        <v>2</v>
      </c>
      <c r="L573" s="65"/>
      <c r="M573" s="59">
        <f t="shared" ref="M573:M597" si="501">SUM(K573:L573)</f>
        <v>2</v>
      </c>
      <c r="N573" s="64"/>
      <c r="O573" s="65"/>
      <c r="P573" s="72">
        <f t="shared" ref="P573:P597" si="502">SUM(N573:O573)</f>
        <v>0</v>
      </c>
      <c r="Q573" s="124">
        <f t="shared" ref="Q573:Q597" si="503">P573+M573+F573+J573</f>
        <v>3</v>
      </c>
      <c r="R573" s="119">
        <v>45911</v>
      </c>
      <c r="AC573" s="6"/>
      <c r="AD573" s="26"/>
      <c r="AE573" s="123"/>
      <c r="AF573" s="43"/>
      <c r="AG573" s="59">
        <f t="shared" ref="AG573:AG574" si="504">SUM(AD573:AF573)</f>
        <v>0</v>
      </c>
      <c r="AH573" s="26"/>
      <c r="AI573" s="27"/>
      <c r="AJ573" s="28"/>
      <c r="AK573" s="59">
        <f t="shared" ref="AK573:AK574" si="505">SUM(AH573:AJ573)</f>
        <v>0</v>
      </c>
      <c r="AL573" s="64"/>
      <c r="AM573" s="65"/>
      <c r="AN573" s="59">
        <f t="shared" ref="AN573:AN574" si="506">SUM(AL573:AM573)</f>
        <v>0</v>
      </c>
      <c r="AO573" s="64"/>
      <c r="AP573" s="65"/>
      <c r="AQ573" s="72">
        <f t="shared" ref="AQ573:AQ574" si="507">SUM(AO573:AP573)</f>
        <v>0</v>
      </c>
      <c r="AR573" s="124">
        <f t="shared" ref="AR573:AR574" si="508">AQ573+AN573+AG573+AK573</f>
        <v>0</v>
      </c>
      <c r="AS573" s="116"/>
    </row>
    <row r="574" spans="2:45" x14ac:dyDescent="0.15">
      <c r="B574" s="6" t="s">
        <v>16</v>
      </c>
      <c r="C574" s="26"/>
      <c r="D574" s="123"/>
      <c r="E574" s="43"/>
      <c r="F574" s="59">
        <f t="shared" si="499"/>
        <v>0</v>
      </c>
      <c r="G574" s="26">
        <v>1</v>
      </c>
      <c r="H574" s="27">
        <v>2</v>
      </c>
      <c r="I574" s="28">
        <v>1</v>
      </c>
      <c r="J574" s="59">
        <f t="shared" si="500"/>
        <v>4</v>
      </c>
      <c r="K574" s="64">
        <v>2</v>
      </c>
      <c r="L574" s="65">
        <v>2</v>
      </c>
      <c r="M574" s="59">
        <f t="shared" si="501"/>
        <v>4</v>
      </c>
      <c r="N574" s="64"/>
      <c r="O574" s="65"/>
      <c r="P574" s="72">
        <f t="shared" si="502"/>
        <v>0</v>
      </c>
      <c r="Q574" s="124">
        <f t="shared" si="503"/>
        <v>8</v>
      </c>
      <c r="R574" s="119">
        <v>45916</v>
      </c>
      <c r="AC574" s="6"/>
      <c r="AD574" s="26"/>
      <c r="AE574" s="123"/>
      <c r="AF574" s="43"/>
      <c r="AG574" s="59">
        <f t="shared" si="504"/>
        <v>0</v>
      </c>
      <c r="AH574" s="26"/>
      <c r="AI574" s="27"/>
      <c r="AJ574" s="28"/>
      <c r="AK574" s="59">
        <f t="shared" si="505"/>
        <v>0</v>
      </c>
      <c r="AL574" s="64"/>
      <c r="AM574" s="65"/>
      <c r="AN574" s="59">
        <f t="shared" si="506"/>
        <v>0</v>
      </c>
      <c r="AO574" s="64"/>
      <c r="AP574" s="65"/>
      <c r="AQ574" s="72">
        <f t="shared" si="507"/>
        <v>0</v>
      </c>
      <c r="AR574" s="124">
        <f t="shared" si="508"/>
        <v>0</v>
      </c>
      <c r="AS574" s="116"/>
    </row>
    <row r="575" spans="2:45" x14ac:dyDescent="0.15">
      <c r="B575" s="6" t="s">
        <v>16</v>
      </c>
      <c r="C575" s="26"/>
      <c r="D575" s="123"/>
      <c r="E575" s="43">
        <v>1</v>
      </c>
      <c r="F575" s="59">
        <f t="shared" si="499"/>
        <v>1</v>
      </c>
      <c r="G575" s="26"/>
      <c r="H575" s="27"/>
      <c r="I575" s="28"/>
      <c r="J575" s="59">
        <f t="shared" si="500"/>
        <v>0</v>
      </c>
      <c r="K575" s="64"/>
      <c r="L575" s="65"/>
      <c r="M575" s="59">
        <f t="shared" si="501"/>
        <v>0</v>
      </c>
      <c r="N575" s="64"/>
      <c r="O575" s="65"/>
      <c r="P575" s="72">
        <f t="shared" si="502"/>
        <v>0</v>
      </c>
      <c r="Q575" s="124">
        <f t="shared" si="503"/>
        <v>1</v>
      </c>
      <c r="R575" s="119">
        <v>45919</v>
      </c>
      <c r="AC575" s="6"/>
      <c r="AD575" s="26"/>
      <c r="AE575" s="123"/>
      <c r="AF575" s="43"/>
      <c r="AG575" s="59">
        <f t="shared" si="489"/>
        <v>0</v>
      </c>
      <c r="AH575" s="26"/>
      <c r="AI575" s="27"/>
      <c r="AJ575" s="28"/>
      <c r="AK575" s="59">
        <f t="shared" si="490"/>
        <v>0</v>
      </c>
      <c r="AL575" s="64"/>
      <c r="AM575" s="65"/>
      <c r="AN575" s="59">
        <f t="shared" si="491"/>
        <v>0</v>
      </c>
      <c r="AO575" s="64"/>
      <c r="AP575" s="65"/>
      <c r="AQ575" s="72">
        <f t="shared" si="492"/>
        <v>0</v>
      </c>
      <c r="AR575" s="124">
        <f t="shared" si="493"/>
        <v>0</v>
      </c>
      <c r="AS575" s="116"/>
    </row>
    <row r="576" spans="2:45" x14ac:dyDescent="0.15">
      <c r="B576" s="6" t="s">
        <v>16</v>
      </c>
      <c r="C576" s="26">
        <v>1</v>
      </c>
      <c r="D576" s="123"/>
      <c r="E576" s="43"/>
      <c r="F576" s="59">
        <f t="shared" si="499"/>
        <v>1</v>
      </c>
      <c r="G576" s="26"/>
      <c r="H576" s="27"/>
      <c r="I576" s="28"/>
      <c r="J576" s="59">
        <f t="shared" si="500"/>
        <v>0</v>
      </c>
      <c r="K576" s="64"/>
      <c r="L576" s="65"/>
      <c r="M576" s="59">
        <f t="shared" si="501"/>
        <v>0</v>
      </c>
      <c r="N576" s="64"/>
      <c r="O576" s="65"/>
      <c r="P576" s="72">
        <f t="shared" si="502"/>
        <v>0</v>
      </c>
      <c r="Q576" s="124">
        <f t="shared" si="503"/>
        <v>1</v>
      </c>
      <c r="R576" s="119">
        <v>45922</v>
      </c>
      <c r="AC576" s="6"/>
      <c r="AD576" s="26"/>
      <c r="AE576" s="123"/>
      <c r="AF576" s="43"/>
      <c r="AG576" s="59">
        <f t="shared" si="489"/>
        <v>0</v>
      </c>
      <c r="AH576" s="26"/>
      <c r="AI576" s="27"/>
      <c r="AJ576" s="28"/>
      <c r="AK576" s="59">
        <f t="shared" si="490"/>
        <v>0</v>
      </c>
      <c r="AL576" s="64"/>
      <c r="AM576" s="65"/>
      <c r="AN576" s="59">
        <f t="shared" si="491"/>
        <v>0</v>
      </c>
      <c r="AO576" s="64"/>
      <c r="AP576" s="65"/>
      <c r="AQ576" s="72">
        <f t="shared" si="492"/>
        <v>0</v>
      </c>
      <c r="AR576" s="124">
        <f t="shared" si="493"/>
        <v>0</v>
      </c>
      <c r="AS576" s="116"/>
    </row>
    <row r="577" spans="2:45" x14ac:dyDescent="0.15">
      <c r="B577" s="6" t="s">
        <v>16</v>
      </c>
      <c r="C577" s="26"/>
      <c r="D577" s="123"/>
      <c r="E577" s="43"/>
      <c r="F577" s="59">
        <f t="shared" si="499"/>
        <v>0</v>
      </c>
      <c r="G577" s="26"/>
      <c r="H577" s="27">
        <v>1</v>
      </c>
      <c r="I577" s="28"/>
      <c r="J577" s="59">
        <f t="shared" si="500"/>
        <v>1</v>
      </c>
      <c r="K577" s="64"/>
      <c r="L577" s="65"/>
      <c r="M577" s="59">
        <f t="shared" si="501"/>
        <v>0</v>
      </c>
      <c r="N577" s="64"/>
      <c r="O577" s="65"/>
      <c r="P577" s="72">
        <f t="shared" si="502"/>
        <v>0</v>
      </c>
      <c r="Q577" s="124">
        <f t="shared" si="503"/>
        <v>1</v>
      </c>
      <c r="R577" s="119">
        <v>45926</v>
      </c>
      <c r="AC577" s="6"/>
      <c r="AD577" s="26"/>
      <c r="AE577" s="123"/>
      <c r="AF577" s="43"/>
      <c r="AG577" s="59">
        <f t="shared" si="489"/>
        <v>0</v>
      </c>
      <c r="AH577" s="26"/>
      <c r="AI577" s="27"/>
      <c r="AJ577" s="28"/>
      <c r="AK577" s="59">
        <f t="shared" si="490"/>
        <v>0</v>
      </c>
      <c r="AL577" s="64"/>
      <c r="AM577" s="65"/>
      <c r="AN577" s="59">
        <f t="shared" si="491"/>
        <v>0</v>
      </c>
      <c r="AO577" s="64"/>
      <c r="AP577" s="65"/>
      <c r="AQ577" s="72">
        <f t="shared" si="492"/>
        <v>0</v>
      </c>
      <c r="AR577" s="124">
        <f t="shared" si="493"/>
        <v>0</v>
      </c>
      <c r="AS577" s="116"/>
    </row>
    <row r="578" spans="2:45" x14ac:dyDescent="0.15">
      <c r="B578" s="6" t="s">
        <v>16</v>
      </c>
      <c r="C578" s="26"/>
      <c r="D578" s="123"/>
      <c r="E578" s="43"/>
      <c r="F578" s="59">
        <f t="shared" si="499"/>
        <v>0</v>
      </c>
      <c r="G578" s="26"/>
      <c r="H578" s="27"/>
      <c r="I578" s="28">
        <v>1</v>
      </c>
      <c r="J578" s="59">
        <f t="shared" si="500"/>
        <v>1</v>
      </c>
      <c r="K578" s="64"/>
      <c r="L578" s="65"/>
      <c r="M578" s="59">
        <f t="shared" si="501"/>
        <v>0</v>
      </c>
      <c r="N578" s="64"/>
      <c r="O578" s="65"/>
      <c r="P578" s="72">
        <f t="shared" si="502"/>
        <v>0</v>
      </c>
      <c r="Q578" s="124">
        <f t="shared" si="503"/>
        <v>1</v>
      </c>
      <c r="R578" s="119">
        <v>45936</v>
      </c>
      <c r="AC578" s="6"/>
      <c r="AD578" s="26"/>
      <c r="AE578" s="123"/>
      <c r="AF578" s="43"/>
      <c r="AG578" s="59">
        <f t="shared" si="489"/>
        <v>0</v>
      </c>
      <c r="AH578" s="26"/>
      <c r="AI578" s="27"/>
      <c r="AJ578" s="28"/>
      <c r="AK578" s="59">
        <f t="shared" si="490"/>
        <v>0</v>
      </c>
      <c r="AL578" s="64"/>
      <c r="AM578" s="65"/>
      <c r="AN578" s="59">
        <f t="shared" si="491"/>
        <v>0</v>
      </c>
      <c r="AO578" s="64"/>
      <c r="AP578" s="65"/>
      <c r="AQ578" s="72">
        <f t="shared" si="492"/>
        <v>0</v>
      </c>
      <c r="AR578" s="124">
        <f t="shared" si="493"/>
        <v>0</v>
      </c>
      <c r="AS578" s="116"/>
    </row>
    <row r="579" spans="2:45" x14ac:dyDescent="0.15">
      <c r="B579" s="6" t="s">
        <v>16</v>
      </c>
      <c r="C579" s="26"/>
      <c r="D579" s="123"/>
      <c r="E579" s="43"/>
      <c r="F579" s="59">
        <f t="shared" si="499"/>
        <v>0</v>
      </c>
      <c r="G579" s="26"/>
      <c r="H579" s="27"/>
      <c r="I579" s="28"/>
      <c r="J579" s="59">
        <f t="shared" si="500"/>
        <v>0</v>
      </c>
      <c r="K579" s="64">
        <v>1</v>
      </c>
      <c r="L579" s="65"/>
      <c r="M579" s="59">
        <f t="shared" si="501"/>
        <v>1</v>
      </c>
      <c r="N579" s="64"/>
      <c r="O579" s="65"/>
      <c r="P579" s="72">
        <f t="shared" si="502"/>
        <v>0</v>
      </c>
      <c r="Q579" s="124">
        <f t="shared" si="503"/>
        <v>1</v>
      </c>
      <c r="R579" s="119">
        <v>45944</v>
      </c>
      <c r="AC579" s="6"/>
      <c r="AD579" s="26"/>
      <c r="AE579" s="123"/>
      <c r="AF579" s="43"/>
      <c r="AG579" s="59">
        <f t="shared" si="489"/>
        <v>0</v>
      </c>
      <c r="AH579" s="26"/>
      <c r="AI579" s="27"/>
      <c r="AJ579" s="28"/>
      <c r="AK579" s="59">
        <f t="shared" si="490"/>
        <v>0</v>
      </c>
      <c r="AL579" s="64"/>
      <c r="AM579" s="65"/>
      <c r="AN579" s="59">
        <f t="shared" si="491"/>
        <v>0</v>
      </c>
      <c r="AO579" s="64"/>
      <c r="AP579" s="65"/>
      <c r="AQ579" s="72">
        <f t="shared" si="492"/>
        <v>0</v>
      </c>
      <c r="AR579" s="124">
        <f t="shared" si="493"/>
        <v>0</v>
      </c>
      <c r="AS579" s="116"/>
    </row>
    <row r="580" spans="2:45" x14ac:dyDescent="0.15">
      <c r="B580" s="6" t="s">
        <v>76</v>
      </c>
      <c r="C580" s="26"/>
      <c r="D580" s="123">
        <v>50</v>
      </c>
      <c r="E580" s="43">
        <v>40</v>
      </c>
      <c r="F580" s="59">
        <f t="shared" si="499"/>
        <v>90</v>
      </c>
      <c r="G580" s="26">
        <v>30</v>
      </c>
      <c r="H580" s="27">
        <v>30</v>
      </c>
      <c r="I580" s="28">
        <v>40</v>
      </c>
      <c r="J580" s="59">
        <f t="shared" si="500"/>
        <v>100</v>
      </c>
      <c r="K580" s="64">
        <v>10</v>
      </c>
      <c r="L580" s="65">
        <v>10</v>
      </c>
      <c r="M580" s="59">
        <f t="shared" si="501"/>
        <v>20</v>
      </c>
      <c r="N580" s="64"/>
      <c r="O580" s="65"/>
      <c r="P580" s="72">
        <f t="shared" si="502"/>
        <v>0</v>
      </c>
      <c r="Q580" s="124">
        <f t="shared" si="503"/>
        <v>210</v>
      </c>
      <c r="R580" s="119">
        <v>45953</v>
      </c>
      <c r="AC580" s="6"/>
      <c r="AD580" s="26"/>
      <c r="AE580" s="123"/>
      <c r="AF580" s="43"/>
      <c r="AG580" s="59">
        <f t="shared" si="489"/>
        <v>0</v>
      </c>
      <c r="AH580" s="26"/>
      <c r="AI580" s="27"/>
      <c r="AJ580" s="28"/>
      <c r="AK580" s="59">
        <f t="shared" si="490"/>
        <v>0</v>
      </c>
      <c r="AL580" s="64"/>
      <c r="AM580" s="65"/>
      <c r="AN580" s="59">
        <f t="shared" si="491"/>
        <v>0</v>
      </c>
      <c r="AO580" s="64"/>
      <c r="AP580" s="65"/>
      <c r="AQ580" s="72">
        <f t="shared" si="492"/>
        <v>0</v>
      </c>
      <c r="AR580" s="124">
        <f t="shared" si="493"/>
        <v>0</v>
      </c>
      <c r="AS580" s="116"/>
    </row>
    <row r="581" spans="2:45" x14ac:dyDescent="0.15">
      <c r="B581" s="6" t="s">
        <v>16</v>
      </c>
      <c r="C581" s="26"/>
      <c r="D581" s="123"/>
      <c r="E581" s="43"/>
      <c r="F581" s="59">
        <f t="shared" si="499"/>
        <v>0</v>
      </c>
      <c r="G581" s="26"/>
      <c r="H581" s="27"/>
      <c r="I581" s="28"/>
      <c r="J581" s="59">
        <f t="shared" si="500"/>
        <v>0</v>
      </c>
      <c r="K581" s="64"/>
      <c r="L581" s="65"/>
      <c r="M581" s="59">
        <f t="shared" si="501"/>
        <v>0</v>
      </c>
      <c r="N581" s="64">
        <v>1</v>
      </c>
      <c r="O581" s="65"/>
      <c r="P581" s="72">
        <f t="shared" si="502"/>
        <v>1</v>
      </c>
      <c r="Q581" s="124">
        <f t="shared" si="503"/>
        <v>1</v>
      </c>
      <c r="R581" s="119">
        <v>45992</v>
      </c>
      <c r="AC581" s="6"/>
      <c r="AD581" s="26"/>
      <c r="AE581" s="123"/>
      <c r="AF581" s="43"/>
      <c r="AG581" s="59">
        <f t="shared" si="489"/>
        <v>0</v>
      </c>
      <c r="AH581" s="26"/>
      <c r="AI581" s="27"/>
      <c r="AJ581" s="28"/>
      <c r="AK581" s="59">
        <f t="shared" si="490"/>
        <v>0</v>
      </c>
      <c r="AL581" s="64"/>
      <c r="AM581" s="65"/>
      <c r="AN581" s="59">
        <f t="shared" si="491"/>
        <v>0</v>
      </c>
      <c r="AO581" s="64"/>
      <c r="AP581" s="65"/>
      <c r="AQ581" s="72">
        <f t="shared" si="492"/>
        <v>0</v>
      </c>
      <c r="AR581" s="124">
        <f t="shared" si="493"/>
        <v>0</v>
      </c>
      <c r="AS581" s="116"/>
    </row>
    <row r="582" spans="2:45" x14ac:dyDescent="0.15">
      <c r="B582" s="6" t="s">
        <v>16</v>
      </c>
      <c r="C582" s="26"/>
      <c r="D582" s="123"/>
      <c r="E582" s="43"/>
      <c r="F582" s="59">
        <f t="shared" si="499"/>
        <v>0</v>
      </c>
      <c r="G582" s="26"/>
      <c r="H582" s="27"/>
      <c r="I582" s="28"/>
      <c r="J582" s="59">
        <f t="shared" si="500"/>
        <v>0</v>
      </c>
      <c r="K582" s="64"/>
      <c r="L582" s="65"/>
      <c r="M582" s="59">
        <f t="shared" si="501"/>
        <v>0</v>
      </c>
      <c r="N582" s="64">
        <v>1</v>
      </c>
      <c r="O582" s="65"/>
      <c r="P582" s="72">
        <f t="shared" si="502"/>
        <v>1</v>
      </c>
      <c r="Q582" s="124">
        <f t="shared" si="503"/>
        <v>1</v>
      </c>
      <c r="R582" s="119">
        <v>46006</v>
      </c>
      <c r="AC582" s="6"/>
      <c r="AD582" s="26"/>
      <c r="AE582" s="123"/>
      <c r="AF582" s="43"/>
      <c r="AG582" s="59">
        <f t="shared" si="489"/>
        <v>0</v>
      </c>
      <c r="AH582" s="26"/>
      <c r="AI582" s="27"/>
      <c r="AJ582" s="28"/>
      <c r="AK582" s="59">
        <f t="shared" si="490"/>
        <v>0</v>
      </c>
      <c r="AL582" s="64"/>
      <c r="AM582" s="65"/>
      <c r="AN582" s="59">
        <f t="shared" si="491"/>
        <v>0</v>
      </c>
      <c r="AO582" s="64"/>
      <c r="AP582" s="65"/>
      <c r="AQ582" s="72">
        <f t="shared" si="492"/>
        <v>0</v>
      </c>
      <c r="AR582" s="124">
        <f t="shared" si="493"/>
        <v>0</v>
      </c>
      <c r="AS582" s="116"/>
    </row>
    <row r="583" spans="2:45" x14ac:dyDescent="0.15">
      <c r="B583" s="6" t="s">
        <v>16</v>
      </c>
      <c r="C583" s="26"/>
      <c r="D583" s="123"/>
      <c r="E583" s="43"/>
      <c r="F583" s="59">
        <f t="shared" si="499"/>
        <v>0</v>
      </c>
      <c r="G583" s="26"/>
      <c r="H583" s="27"/>
      <c r="I583" s="28"/>
      <c r="J583" s="59">
        <f t="shared" si="500"/>
        <v>0</v>
      </c>
      <c r="K583" s="64"/>
      <c r="L583" s="65">
        <v>1</v>
      </c>
      <c r="M583" s="59">
        <f t="shared" si="501"/>
        <v>1</v>
      </c>
      <c r="N583" s="64"/>
      <c r="O583" s="65"/>
      <c r="P583" s="72">
        <f t="shared" si="502"/>
        <v>0</v>
      </c>
      <c r="Q583" s="124">
        <f t="shared" si="503"/>
        <v>1</v>
      </c>
      <c r="R583" s="119">
        <v>46013</v>
      </c>
      <c r="AC583" s="6"/>
      <c r="AD583" s="26"/>
      <c r="AE583" s="123"/>
      <c r="AF583" s="43"/>
      <c r="AG583" s="59">
        <f t="shared" si="489"/>
        <v>0</v>
      </c>
      <c r="AH583" s="26"/>
      <c r="AI583" s="27"/>
      <c r="AJ583" s="28"/>
      <c r="AK583" s="59">
        <f t="shared" si="490"/>
        <v>0</v>
      </c>
      <c r="AL583" s="64"/>
      <c r="AM583" s="65"/>
      <c r="AN583" s="59">
        <f t="shared" si="491"/>
        <v>0</v>
      </c>
      <c r="AO583" s="64"/>
      <c r="AP583" s="65"/>
      <c r="AQ583" s="72">
        <f t="shared" si="492"/>
        <v>0</v>
      </c>
      <c r="AR583" s="124">
        <f t="shared" si="493"/>
        <v>0</v>
      </c>
      <c r="AS583" s="116"/>
    </row>
    <row r="584" spans="2:45" x14ac:dyDescent="0.15">
      <c r="B584" s="6" t="s">
        <v>78</v>
      </c>
      <c r="C584" s="26">
        <v>1</v>
      </c>
      <c r="D584" s="123"/>
      <c r="E584" s="43">
        <v>1</v>
      </c>
      <c r="F584" s="59">
        <f t="shared" si="499"/>
        <v>2</v>
      </c>
      <c r="G584" s="26"/>
      <c r="H584" s="27"/>
      <c r="I584" s="28"/>
      <c r="J584" s="59">
        <f t="shared" si="500"/>
        <v>0</v>
      </c>
      <c r="K584" s="64"/>
      <c r="L584" s="65"/>
      <c r="M584" s="59">
        <f t="shared" si="501"/>
        <v>0</v>
      </c>
      <c r="N584" s="64"/>
      <c r="O584" s="65"/>
      <c r="P584" s="72">
        <f t="shared" si="502"/>
        <v>0</v>
      </c>
      <c r="Q584" s="124">
        <f t="shared" si="503"/>
        <v>2</v>
      </c>
      <c r="R584" s="119">
        <v>46017</v>
      </c>
      <c r="AC584" s="6"/>
      <c r="AD584" s="26"/>
      <c r="AE584" s="123"/>
      <c r="AF584" s="43"/>
      <c r="AG584" s="59">
        <f t="shared" si="489"/>
        <v>0</v>
      </c>
      <c r="AH584" s="26"/>
      <c r="AI584" s="27"/>
      <c r="AJ584" s="28"/>
      <c r="AK584" s="59">
        <f t="shared" si="490"/>
        <v>0</v>
      </c>
      <c r="AL584" s="64"/>
      <c r="AM584" s="65"/>
      <c r="AN584" s="59">
        <f t="shared" si="491"/>
        <v>0</v>
      </c>
      <c r="AO584" s="64"/>
      <c r="AP584" s="65"/>
      <c r="AQ584" s="72">
        <f t="shared" si="492"/>
        <v>0</v>
      </c>
      <c r="AR584" s="124">
        <f t="shared" si="493"/>
        <v>0</v>
      </c>
      <c r="AS584" s="116"/>
    </row>
    <row r="585" spans="2:45" x14ac:dyDescent="0.15">
      <c r="B585" s="6" t="s">
        <v>16</v>
      </c>
      <c r="C585" s="26"/>
      <c r="D585" s="123"/>
      <c r="E585" s="43">
        <v>1</v>
      </c>
      <c r="F585" s="59">
        <f t="shared" si="499"/>
        <v>1</v>
      </c>
      <c r="G585" s="26"/>
      <c r="H585" s="27"/>
      <c r="I585" s="28"/>
      <c r="J585" s="59">
        <f t="shared" si="500"/>
        <v>0</v>
      </c>
      <c r="K585" s="64"/>
      <c r="L585" s="65"/>
      <c r="M585" s="59">
        <f t="shared" si="501"/>
        <v>0</v>
      </c>
      <c r="N585" s="64"/>
      <c r="O585" s="65"/>
      <c r="P585" s="72">
        <f t="shared" si="502"/>
        <v>0</v>
      </c>
      <c r="Q585" s="124">
        <f t="shared" si="503"/>
        <v>1</v>
      </c>
      <c r="R585" s="119">
        <v>46036</v>
      </c>
      <c r="AC585" s="6"/>
      <c r="AD585" s="26"/>
      <c r="AE585" s="123"/>
      <c r="AF585" s="43"/>
      <c r="AG585" s="59">
        <f t="shared" si="489"/>
        <v>0</v>
      </c>
      <c r="AH585" s="26"/>
      <c r="AI585" s="27"/>
      <c r="AJ585" s="28"/>
      <c r="AK585" s="59">
        <f t="shared" si="490"/>
        <v>0</v>
      </c>
      <c r="AL585" s="64"/>
      <c r="AM585" s="65"/>
      <c r="AN585" s="59">
        <f t="shared" si="491"/>
        <v>0</v>
      </c>
      <c r="AO585" s="64"/>
      <c r="AP585" s="65"/>
      <c r="AQ585" s="72">
        <f t="shared" si="492"/>
        <v>0</v>
      </c>
      <c r="AR585" s="124">
        <f t="shared" si="493"/>
        <v>0</v>
      </c>
      <c r="AS585" s="116"/>
    </row>
    <row r="586" spans="2:45" x14ac:dyDescent="0.15">
      <c r="B586" s="6" t="s">
        <v>16</v>
      </c>
      <c r="C586" s="26">
        <v>1</v>
      </c>
      <c r="D586" s="123"/>
      <c r="E586" s="43"/>
      <c r="F586" s="59">
        <f t="shared" si="499"/>
        <v>1</v>
      </c>
      <c r="G586" s="26"/>
      <c r="H586" s="27"/>
      <c r="I586" s="28"/>
      <c r="J586" s="59">
        <f t="shared" si="500"/>
        <v>0</v>
      </c>
      <c r="K586" s="64"/>
      <c r="L586" s="65"/>
      <c r="M586" s="59">
        <f t="shared" si="501"/>
        <v>0</v>
      </c>
      <c r="N586" s="64"/>
      <c r="O586" s="65"/>
      <c r="P586" s="72">
        <f t="shared" si="502"/>
        <v>0</v>
      </c>
      <c r="Q586" s="124">
        <f t="shared" si="503"/>
        <v>1</v>
      </c>
      <c r="R586" s="119">
        <v>46057</v>
      </c>
      <c r="AC586" s="6"/>
      <c r="AD586" s="26"/>
      <c r="AE586" s="123"/>
      <c r="AF586" s="43"/>
      <c r="AG586" s="59">
        <f t="shared" si="489"/>
        <v>0</v>
      </c>
      <c r="AH586" s="26"/>
      <c r="AI586" s="27"/>
      <c r="AJ586" s="28"/>
      <c r="AK586" s="59">
        <f t="shared" si="490"/>
        <v>0</v>
      </c>
      <c r="AL586" s="64"/>
      <c r="AM586" s="65"/>
      <c r="AN586" s="59">
        <f t="shared" si="491"/>
        <v>0</v>
      </c>
      <c r="AO586" s="64"/>
      <c r="AP586" s="65"/>
      <c r="AQ586" s="72">
        <f t="shared" si="492"/>
        <v>0</v>
      </c>
      <c r="AR586" s="124">
        <f t="shared" si="493"/>
        <v>0</v>
      </c>
      <c r="AS586" s="116"/>
    </row>
    <row r="587" spans="2:45" x14ac:dyDescent="0.15">
      <c r="B587" s="6" t="s">
        <v>87</v>
      </c>
      <c r="C587" s="26">
        <v>1</v>
      </c>
      <c r="D587" s="123">
        <v>0</v>
      </c>
      <c r="E587" s="43">
        <v>0</v>
      </c>
      <c r="F587" s="59">
        <f t="shared" si="499"/>
        <v>1</v>
      </c>
      <c r="G587" s="26">
        <v>0</v>
      </c>
      <c r="H587" s="27">
        <v>0</v>
      </c>
      <c r="I587" s="28">
        <v>0</v>
      </c>
      <c r="J587" s="59">
        <f t="shared" si="500"/>
        <v>0</v>
      </c>
      <c r="K587" s="64">
        <v>0</v>
      </c>
      <c r="L587" s="65">
        <v>0</v>
      </c>
      <c r="M587" s="59">
        <f t="shared" si="501"/>
        <v>0</v>
      </c>
      <c r="N587" s="64">
        <v>1</v>
      </c>
      <c r="O587" s="65">
        <v>0</v>
      </c>
      <c r="P587" s="72">
        <f t="shared" si="502"/>
        <v>1</v>
      </c>
      <c r="Q587" s="124">
        <f t="shared" si="503"/>
        <v>2</v>
      </c>
      <c r="R587" s="119">
        <v>46087</v>
      </c>
      <c r="AC587" s="6"/>
      <c r="AD587" s="26"/>
      <c r="AE587" s="123"/>
      <c r="AF587" s="43"/>
      <c r="AG587" s="59">
        <f t="shared" si="489"/>
        <v>0</v>
      </c>
      <c r="AH587" s="26"/>
      <c r="AI587" s="27"/>
      <c r="AJ587" s="28"/>
      <c r="AK587" s="59">
        <f t="shared" si="490"/>
        <v>0</v>
      </c>
      <c r="AL587" s="64"/>
      <c r="AM587" s="65"/>
      <c r="AN587" s="59">
        <f t="shared" si="491"/>
        <v>0</v>
      </c>
      <c r="AO587" s="64"/>
      <c r="AP587" s="65"/>
      <c r="AQ587" s="72">
        <f t="shared" si="492"/>
        <v>0</v>
      </c>
      <c r="AR587" s="124">
        <f t="shared" si="493"/>
        <v>0</v>
      </c>
      <c r="AS587" s="116"/>
    </row>
    <row r="588" spans="2:45" x14ac:dyDescent="0.15">
      <c r="B588" s="6" t="s">
        <v>16</v>
      </c>
      <c r="C588" s="26"/>
      <c r="D588" s="123"/>
      <c r="E588" s="43">
        <v>1</v>
      </c>
      <c r="F588" s="59">
        <f t="shared" si="499"/>
        <v>1</v>
      </c>
      <c r="G588" s="26"/>
      <c r="H588" s="27"/>
      <c r="I588" s="28"/>
      <c r="J588" s="59">
        <f t="shared" si="500"/>
        <v>0</v>
      </c>
      <c r="K588" s="64"/>
      <c r="L588" s="65"/>
      <c r="M588" s="59">
        <f t="shared" si="501"/>
        <v>0</v>
      </c>
      <c r="N588" s="64"/>
      <c r="O588" s="65"/>
      <c r="P588" s="72">
        <f t="shared" si="502"/>
        <v>0</v>
      </c>
      <c r="Q588" s="124">
        <f t="shared" si="503"/>
        <v>1</v>
      </c>
      <c r="R588" s="119">
        <v>46104</v>
      </c>
      <c r="AC588" s="6"/>
      <c r="AD588" s="26"/>
      <c r="AE588" s="123"/>
      <c r="AF588" s="43"/>
      <c r="AG588" s="59">
        <f t="shared" si="489"/>
        <v>0</v>
      </c>
      <c r="AH588" s="26"/>
      <c r="AI588" s="27"/>
      <c r="AJ588" s="28"/>
      <c r="AK588" s="59">
        <f t="shared" si="490"/>
        <v>0</v>
      </c>
      <c r="AL588" s="64"/>
      <c r="AM588" s="65"/>
      <c r="AN588" s="59">
        <f t="shared" si="491"/>
        <v>0</v>
      </c>
      <c r="AO588" s="64"/>
      <c r="AP588" s="65"/>
      <c r="AQ588" s="72">
        <f t="shared" si="492"/>
        <v>0</v>
      </c>
      <c r="AR588" s="124">
        <f t="shared" si="493"/>
        <v>0</v>
      </c>
      <c r="AS588" s="116"/>
    </row>
    <row r="589" spans="2:45" x14ac:dyDescent="0.15">
      <c r="B589" s="6" t="s">
        <v>16</v>
      </c>
      <c r="C589" s="26">
        <v>1</v>
      </c>
      <c r="D589" s="123"/>
      <c r="E589" s="43"/>
      <c r="F589" s="59">
        <f t="shared" si="499"/>
        <v>1</v>
      </c>
      <c r="G589" s="26"/>
      <c r="H589" s="27"/>
      <c r="I589" s="28"/>
      <c r="J589" s="59">
        <f t="shared" si="500"/>
        <v>0</v>
      </c>
      <c r="K589" s="64"/>
      <c r="L589" s="65"/>
      <c r="M589" s="59">
        <f t="shared" si="501"/>
        <v>0</v>
      </c>
      <c r="N589" s="64"/>
      <c r="O589" s="65"/>
      <c r="P589" s="72">
        <f t="shared" si="502"/>
        <v>0</v>
      </c>
      <c r="Q589" s="124">
        <f t="shared" si="503"/>
        <v>1</v>
      </c>
      <c r="R589" s="119">
        <v>46105</v>
      </c>
      <c r="AC589" s="6"/>
      <c r="AD589" s="26"/>
      <c r="AE589" s="123"/>
      <c r="AF589" s="43"/>
      <c r="AG589" s="59">
        <f t="shared" si="489"/>
        <v>0</v>
      </c>
      <c r="AH589" s="26"/>
      <c r="AI589" s="27"/>
      <c r="AJ589" s="28"/>
      <c r="AK589" s="59">
        <f t="shared" si="490"/>
        <v>0</v>
      </c>
      <c r="AL589" s="64"/>
      <c r="AM589" s="65"/>
      <c r="AN589" s="59">
        <f t="shared" si="491"/>
        <v>0</v>
      </c>
      <c r="AO589" s="64"/>
      <c r="AP589" s="65"/>
      <c r="AQ589" s="72">
        <f t="shared" si="492"/>
        <v>0</v>
      </c>
      <c r="AR589" s="124">
        <f t="shared" si="493"/>
        <v>0</v>
      </c>
      <c r="AS589" s="116"/>
    </row>
    <row r="590" spans="2:45" x14ac:dyDescent="0.15">
      <c r="B590" s="6" t="s">
        <v>16</v>
      </c>
      <c r="C590" s="26">
        <v>1</v>
      </c>
      <c r="D590" s="123"/>
      <c r="E590" s="43"/>
      <c r="F590" s="59">
        <f t="shared" si="499"/>
        <v>1</v>
      </c>
      <c r="G590" s="26">
        <v>1</v>
      </c>
      <c r="H590" s="27"/>
      <c r="I590" s="28"/>
      <c r="J590" s="59">
        <f t="shared" si="500"/>
        <v>1</v>
      </c>
      <c r="K590" s="64"/>
      <c r="L590" s="65"/>
      <c r="M590" s="59">
        <f t="shared" si="501"/>
        <v>0</v>
      </c>
      <c r="N590" s="64">
        <v>1</v>
      </c>
      <c r="O590" s="65"/>
      <c r="P590" s="72">
        <f t="shared" si="502"/>
        <v>1</v>
      </c>
      <c r="Q590" s="124">
        <f t="shared" si="503"/>
        <v>3</v>
      </c>
      <c r="R590" s="119">
        <v>46111</v>
      </c>
      <c r="AC590" s="6"/>
      <c r="AD590" s="26"/>
      <c r="AE590" s="123"/>
      <c r="AF590" s="43"/>
      <c r="AG590" s="59">
        <f t="shared" si="489"/>
        <v>0</v>
      </c>
      <c r="AH590" s="26"/>
      <c r="AI590" s="27"/>
      <c r="AJ590" s="28"/>
      <c r="AK590" s="59">
        <f t="shared" si="490"/>
        <v>0</v>
      </c>
      <c r="AL590" s="64"/>
      <c r="AM590" s="65"/>
      <c r="AN590" s="59">
        <f t="shared" si="491"/>
        <v>0</v>
      </c>
      <c r="AO590" s="64"/>
      <c r="AP590" s="65"/>
      <c r="AQ590" s="72">
        <f t="shared" si="492"/>
        <v>0</v>
      </c>
      <c r="AR590" s="124">
        <f t="shared" si="493"/>
        <v>0</v>
      </c>
      <c r="AS590" s="116"/>
    </row>
    <row r="591" spans="2:45" x14ac:dyDescent="0.15">
      <c r="B591" s="6" t="s">
        <v>16</v>
      </c>
      <c r="C591" s="26"/>
      <c r="D591" s="123"/>
      <c r="E591" s="43"/>
      <c r="F591" s="59">
        <f t="shared" si="499"/>
        <v>0</v>
      </c>
      <c r="G591" s="26"/>
      <c r="H591" s="27"/>
      <c r="I591" s="28"/>
      <c r="J591" s="59">
        <f t="shared" si="500"/>
        <v>0</v>
      </c>
      <c r="K591" s="64">
        <v>2</v>
      </c>
      <c r="L591" s="65">
        <v>1</v>
      </c>
      <c r="M591" s="59">
        <f t="shared" si="501"/>
        <v>3</v>
      </c>
      <c r="N591" s="64">
        <v>1</v>
      </c>
      <c r="O591" s="65">
        <v>1</v>
      </c>
      <c r="P591" s="72">
        <f t="shared" si="502"/>
        <v>2</v>
      </c>
      <c r="Q591" s="124">
        <f t="shared" si="503"/>
        <v>5</v>
      </c>
      <c r="R591" s="119">
        <v>46118</v>
      </c>
      <c r="AC591" s="6"/>
      <c r="AD591" s="26"/>
      <c r="AE591" s="123"/>
      <c r="AF591" s="43"/>
      <c r="AG591" s="59">
        <f t="shared" si="489"/>
        <v>0</v>
      </c>
      <c r="AH591" s="26"/>
      <c r="AI591" s="27"/>
      <c r="AJ591" s="28"/>
      <c r="AK591" s="59">
        <f t="shared" si="490"/>
        <v>0</v>
      </c>
      <c r="AL591" s="64"/>
      <c r="AM591" s="65"/>
      <c r="AN591" s="59">
        <f t="shared" si="491"/>
        <v>0</v>
      </c>
      <c r="AO591" s="64"/>
      <c r="AP591" s="65"/>
      <c r="AQ591" s="72">
        <f t="shared" si="492"/>
        <v>0</v>
      </c>
      <c r="AR591" s="124">
        <f t="shared" si="493"/>
        <v>0</v>
      </c>
      <c r="AS591" s="116"/>
    </row>
    <row r="592" spans="2:45" x14ac:dyDescent="0.15">
      <c r="B592" s="6" t="s">
        <v>16</v>
      </c>
      <c r="C592" s="26"/>
      <c r="D592" s="123"/>
      <c r="E592" s="43">
        <v>1</v>
      </c>
      <c r="F592" s="59">
        <f t="shared" si="499"/>
        <v>1</v>
      </c>
      <c r="G592" s="26"/>
      <c r="H592" s="27"/>
      <c r="I592" s="28"/>
      <c r="J592" s="59">
        <f t="shared" si="500"/>
        <v>0</v>
      </c>
      <c r="K592" s="64"/>
      <c r="L592" s="65"/>
      <c r="M592" s="59">
        <f t="shared" si="501"/>
        <v>0</v>
      </c>
      <c r="N592" s="64"/>
      <c r="O592" s="65"/>
      <c r="P592" s="72">
        <f t="shared" si="502"/>
        <v>0</v>
      </c>
      <c r="Q592" s="124">
        <f t="shared" si="503"/>
        <v>1</v>
      </c>
      <c r="R592" s="119">
        <v>46125</v>
      </c>
      <c r="AC592" s="6"/>
      <c r="AD592" s="26"/>
      <c r="AE592" s="123"/>
      <c r="AF592" s="43"/>
      <c r="AG592" s="59">
        <f t="shared" si="489"/>
        <v>0</v>
      </c>
      <c r="AH592" s="26"/>
      <c r="AI592" s="27"/>
      <c r="AJ592" s="28"/>
      <c r="AK592" s="59">
        <f t="shared" si="490"/>
        <v>0</v>
      </c>
      <c r="AL592" s="64"/>
      <c r="AM592" s="65"/>
      <c r="AN592" s="59">
        <f t="shared" si="491"/>
        <v>0</v>
      </c>
      <c r="AO592" s="64"/>
      <c r="AP592" s="65"/>
      <c r="AQ592" s="72">
        <f t="shared" si="492"/>
        <v>0</v>
      </c>
      <c r="AR592" s="124">
        <f t="shared" si="493"/>
        <v>0</v>
      </c>
      <c r="AS592" s="116"/>
    </row>
    <row r="593" spans="1:45" x14ac:dyDescent="0.15">
      <c r="B593" s="6" t="s">
        <v>16</v>
      </c>
      <c r="C593" s="26"/>
      <c r="D593" s="123"/>
      <c r="E593" s="43">
        <v>1</v>
      </c>
      <c r="F593" s="59">
        <f t="shared" si="499"/>
        <v>1</v>
      </c>
      <c r="G593" s="26"/>
      <c r="H593" s="27"/>
      <c r="I593" s="28"/>
      <c r="J593" s="59">
        <f t="shared" si="500"/>
        <v>0</v>
      </c>
      <c r="K593" s="64"/>
      <c r="L593" s="65">
        <v>1</v>
      </c>
      <c r="M593" s="59">
        <f t="shared" si="501"/>
        <v>1</v>
      </c>
      <c r="N593" s="64"/>
      <c r="O593" s="65"/>
      <c r="P593" s="72">
        <f t="shared" si="502"/>
        <v>0</v>
      </c>
      <c r="Q593" s="124">
        <f t="shared" si="503"/>
        <v>2</v>
      </c>
      <c r="R593" s="119">
        <v>46127</v>
      </c>
      <c r="AC593" s="6"/>
      <c r="AD593" s="26"/>
      <c r="AE593" s="123"/>
      <c r="AF593" s="43"/>
      <c r="AG593" s="59">
        <f t="shared" si="489"/>
        <v>0</v>
      </c>
      <c r="AH593" s="26"/>
      <c r="AI593" s="27"/>
      <c r="AJ593" s="28"/>
      <c r="AK593" s="59">
        <f t="shared" si="490"/>
        <v>0</v>
      </c>
      <c r="AL593" s="64"/>
      <c r="AM593" s="65"/>
      <c r="AN593" s="59">
        <f t="shared" si="491"/>
        <v>0</v>
      </c>
      <c r="AO593" s="64"/>
      <c r="AP593" s="65"/>
      <c r="AQ593" s="72">
        <f t="shared" si="492"/>
        <v>0</v>
      </c>
      <c r="AR593" s="124">
        <f t="shared" si="493"/>
        <v>0</v>
      </c>
      <c r="AS593" s="116"/>
    </row>
    <row r="594" spans="1:45" x14ac:dyDescent="0.15">
      <c r="B594" s="6" t="s">
        <v>16</v>
      </c>
      <c r="C594" s="26">
        <v>1</v>
      </c>
      <c r="D594" s="123"/>
      <c r="E594" s="43"/>
      <c r="F594" s="59">
        <f t="shared" si="499"/>
        <v>1</v>
      </c>
      <c r="G594" s="26"/>
      <c r="H594" s="27"/>
      <c r="I594" s="28"/>
      <c r="J594" s="59">
        <f t="shared" si="500"/>
        <v>0</v>
      </c>
      <c r="K594" s="64"/>
      <c r="L594" s="65">
        <v>1</v>
      </c>
      <c r="M594" s="59">
        <f t="shared" si="501"/>
        <v>1</v>
      </c>
      <c r="N594" s="64">
        <v>1</v>
      </c>
      <c r="O594" s="65">
        <v>1</v>
      </c>
      <c r="P594" s="72">
        <f t="shared" si="502"/>
        <v>2</v>
      </c>
      <c r="Q594" s="124">
        <f t="shared" si="503"/>
        <v>4</v>
      </c>
      <c r="R594" s="119">
        <v>46132</v>
      </c>
      <c r="AC594" s="6"/>
      <c r="AD594" s="26"/>
      <c r="AE594" s="123"/>
      <c r="AF594" s="43"/>
      <c r="AG594" s="59">
        <f t="shared" si="489"/>
        <v>0</v>
      </c>
      <c r="AH594" s="26"/>
      <c r="AI594" s="27"/>
      <c r="AJ594" s="28"/>
      <c r="AK594" s="59">
        <f t="shared" si="490"/>
        <v>0</v>
      </c>
      <c r="AL594" s="64"/>
      <c r="AM594" s="65"/>
      <c r="AN594" s="59">
        <f t="shared" si="491"/>
        <v>0</v>
      </c>
      <c r="AO594" s="64"/>
      <c r="AP594" s="65"/>
      <c r="AQ594" s="72">
        <f t="shared" si="492"/>
        <v>0</v>
      </c>
      <c r="AR594" s="124">
        <f t="shared" si="493"/>
        <v>0</v>
      </c>
      <c r="AS594" s="116"/>
    </row>
    <row r="595" spans="1:45" x14ac:dyDescent="0.15">
      <c r="B595" s="6" t="s">
        <v>16</v>
      </c>
      <c r="C595" s="26">
        <v>1</v>
      </c>
      <c r="D595" s="123"/>
      <c r="E595" s="43"/>
      <c r="F595" s="59">
        <f t="shared" si="499"/>
        <v>1</v>
      </c>
      <c r="G595" s="26"/>
      <c r="H595" s="27"/>
      <c r="I595" s="28">
        <v>1</v>
      </c>
      <c r="J595" s="59">
        <f t="shared" si="500"/>
        <v>1</v>
      </c>
      <c r="K595" s="64"/>
      <c r="L595" s="65"/>
      <c r="M595" s="59">
        <f t="shared" si="501"/>
        <v>0</v>
      </c>
      <c r="N595" s="64"/>
      <c r="O595" s="65"/>
      <c r="P595" s="72">
        <f t="shared" si="502"/>
        <v>0</v>
      </c>
      <c r="Q595" s="124">
        <f t="shared" si="503"/>
        <v>2</v>
      </c>
      <c r="R595" s="119">
        <v>46135</v>
      </c>
      <c r="AC595" s="6"/>
      <c r="AD595" s="26"/>
      <c r="AE595" s="123"/>
      <c r="AF595" s="43"/>
      <c r="AG595" s="59">
        <f t="shared" si="489"/>
        <v>0</v>
      </c>
      <c r="AH595" s="26"/>
      <c r="AI595" s="27"/>
      <c r="AJ595" s="28"/>
      <c r="AK595" s="59">
        <f t="shared" si="490"/>
        <v>0</v>
      </c>
      <c r="AL595" s="64"/>
      <c r="AM595" s="65"/>
      <c r="AN595" s="59">
        <f t="shared" si="491"/>
        <v>0</v>
      </c>
      <c r="AO595" s="64"/>
      <c r="AP595" s="65"/>
      <c r="AQ595" s="72">
        <f t="shared" si="492"/>
        <v>0</v>
      </c>
      <c r="AR595" s="124">
        <f t="shared" si="493"/>
        <v>0</v>
      </c>
      <c r="AS595" s="116"/>
    </row>
    <row r="596" spans="1:45" x14ac:dyDescent="0.15">
      <c r="B596" s="6" t="s">
        <v>16</v>
      </c>
      <c r="C596" s="26">
        <v>1</v>
      </c>
      <c r="D596" s="123">
        <v>1</v>
      </c>
      <c r="E596" s="43"/>
      <c r="F596" s="59">
        <f t="shared" si="499"/>
        <v>2</v>
      </c>
      <c r="G596" s="26">
        <v>2</v>
      </c>
      <c r="H596" s="27"/>
      <c r="I596" s="28"/>
      <c r="J596" s="59">
        <f t="shared" si="500"/>
        <v>2</v>
      </c>
      <c r="K596" s="64"/>
      <c r="L596" s="65">
        <v>1</v>
      </c>
      <c r="M596" s="59">
        <f t="shared" si="501"/>
        <v>1</v>
      </c>
      <c r="N596" s="64"/>
      <c r="O596" s="65">
        <v>2</v>
      </c>
      <c r="P596" s="72">
        <f t="shared" si="502"/>
        <v>2</v>
      </c>
      <c r="Q596" s="124">
        <f t="shared" si="503"/>
        <v>7</v>
      </c>
      <c r="R596" s="119">
        <v>46139</v>
      </c>
      <c r="AC596" s="6"/>
      <c r="AD596" s="26"/>
      <c r="AE596" s="123"/>
      <c r="AF596" s="43"/>
      <c r="AG596" s="59">
        <f t="shared" si="489"/>
        <v>0</v>
      </c>
      <c r="AH596" s="26"/>
      <c r="AI596" s="27"/>
      <c r="AJ596" s="28"/>
      <c r="AK596" s="59">
        <f t="shared" si="490"/>
        <v>0</v>
      </c>
      <c r="AL596" s="64"/>
      <c r="AM596" s="65"/>
      <c r="AN596" s="59">
        <f t="shared" si="491"/>
        <v>0</v>
      </c>
      <c r="AO596" s="64"/>
      <c r="AP596" s="65"/>
      <c r="AQ596" s="72">
        <f t="shared" si="492"/>
        <v>0</v>
      </c>
      <c r="AR596" s="124">
        <f t="shared" si="493"/>
        <v>0</v>
      </c>
      <c r="AS596" s="116"/>
    </row>
    <row r="597" spans="1:45" ht="14.25" thickBot="1" x14ac:dyDescent="0.2">
      <c r="B597" s="6" t="s">
        <v>16</v>
      </c>
      <c r="C597" s="29">
        <v>1</v>
      </c>
      <c r="D597" s="126"/>
      <c r="E597" s="44"/>
      <c r="F597" s="125">
        <f t="shared" si="499"/>
        <v>1</v>
      </c>
      <c r="G597" s="29"/>
      <c r="H597" s="30"/>
      <c r="I597" s="31"/>
      <c r="J597" s="125">
        <f t="shared" si="500"/>
        <v>0</v>
      </c>
      <c r="K597" s="66">
        <v>1</v>
      </c>
      <c r="L597" s="67"/>
      <c r="M597" s="125">
        <f t="shared" si="501"/>
        <v>1</v>
      </c>
      <c r="N597" s="66"/>
      <c r="O597" s="67"/>
      <c r="P597" s="127">
        <f t="shared" si="502"/>
        <v>0</v>
      </c>
      <c r="Q597" s="128">
        <f t="shared" si="503"/>
        <v>2</v>
      </c>
      <c r="R597" s="119">
        <v>46140</v>
      </c>
      <c r="AC597" s="6"/>
      <c r="AD597" s="29"/>
      <c r="AE597" s="126"/>
      <c r="AF597" s="44"/>
      <c r="AG597" s="125">
        <f t="shared" si="489"/>
        <v>0</v>
      </c>
      <c r="AH597" s="29"/>
      <c r="AI597" s="30"/>
      <c r="AJ597" s="31"/>
      <c r="AK597" s="125">
        <f t="shared" si="490"/>
        <v>0</v>
      </c>
      <c r="AL597" s="66"/>
      <c r="AM597" s="67"/>
      <c r="AN597" s="125">
        <f t="shared" si="491"/>
        <v>0</v>
      </c>
      <c r="AO597" s="66"/>
      <c r="AP597" s="67"/>
      <c r="AQ597" s="127">
        <f t="shared" si="492"/>
        <v>0</v>
      </c>
      <c r="AR597" s="128">
        <f t="shared" si="493"/>
        <v>0</v>
      </c>
      <c r="AS597" s="116"/>
    </row>
    <row r="598" spans="1:45" ht="14.25" thickBot="1" x14ac:dyDescent="0.2">
      <c r="B598" s="5" t="s">
        <v>2</v>
      </c>
      <c r="C598" s="32">
        <f>SUM(C573:C597)</f>
        <v>10</v>
      </c>
      <c r="D598" s="132">
        <f t="shared" ref="D598:Q598" si="509">SUM(D573:D597)</f>
        <v>51</v>
      </c>
      <c r="E598" s="34">
        <f t="shared" si="509"/>
        <v>46</v>
      </c>
      <c r="F598" s="4">
        <f t="shared" si="509"/>
        <v>107</v>
      </c>
      <c r="G598" s="32">
        <f t="shared" si="509"/>
        <v>34</v>
      </c>
      <c r="H598" s="33">
        <f t="shared" si="509"/>
        <v>34</v>
      </c>
      <c r="I598" s="34">
        <f t="shared" si="509"/>
        <v>43</v>
      </c>
      <c r="J598" s="4">
        <f t="shared" si="509"/>
        <v>111</v>
      </c>
      <c r="K598" s="68">
        <f t="shared" si="509"/>
        <v>18</v>
      </c>
      <c r="L598" s="69">
        <f t="shared" si="509"/>
        <v>17</v>
      </c>
      <c r="M598" s="4">
        <f t="shared" si="509"/>
        <v>35</v>
      </c>
      <c r="N598" s="68">
        <f t="shared" si="509"/>
        <v>6</v>
      </c>
      <c r="O598" s="69">
        <f t="shared" si="509"/>
        <v>4</v>
      </c>
      <c r="P598" s="58">
        <f t="shared" si="509"/>
        <v>10</v>
      </c>
      <c r="Q598" s="88">
        <f t="shared" si="509"/>
        <v>263</v>
      </c>
      <c r="R598" s="116"/>
      <c r="AC598" s="5" t="s">
        <v>2</v>
      </c>
      <c r="AD598" s="32">
        <f t="shared" ref="AD598:AF598" si="510">SUM(AD573:AD597)</f>
        <v>0</v>
      </c>
      <c r="AE598" s="132">
        <f t="shared" si="510"/>
        <v>0</v>
      </c>
      <c r="AF598" s="34">
        <f t="shared" si="510"/>
        <v>0</v>
      </c>
      <c r="AG598" s="4">
        <f t="shared" si="489"/>
        <v>0</v>
      </c>
      <c r="AH598" s="32">
        <f>SUM(AH573:AH597)</f>
        <v>0</v>
      </c>
      <c r="AI598" s="33">
        <f t="shared" ref="AI598:AJ598" si="511">SUM(AI573:AI597)</f>
        <v>0</v>
      </c>
      <c r="AJ598" s="34">
        <f t="shared" si="511"/>
        <v>0</v>
      </c>
      <c r="AK598" s="4">
        <f t="shared" si="490"/>
        <v>0</v>
      </c>
      <c r="AL598" s="68">
        <f t="shared" ref="AL598:AM598" si="512">SUM(AL573:AL597)</f>
        <v>0</v>
      </c>
      <c r="AM598" s="69">
        <f t="shared" si="512"/>
        <v>0</v>
      </c>
      <c r="AN598" s="4">
        <f t="shared" si="491"/>
        <v>0</v>
      </c>
      <c r="AO598" s="68">
        <f t="shared" ref="AO598:AP598" si="513">SUM(AO573:AO597)</f>
        <v>0</v>
      </c>
      <c r="AP598" s="69">
        <f t="shared" si="513"/>
        <v>0</v>
      </c>
      <c r="AQ598" s="58">
        <f t="shared" si="492"/>
        <v>0</v>
      </c>
      <c r="AR598" s="88">
        <f t="shared" si="493"/>
        <v>0</v>
      </c>
      <c r="AS598" s="116"/>
    </row>
    <row r="599" spans="1:45" ht="14.25" thickBot="1" x14ac:dyDescent="0.2">
      <c r="B599" s="3" t="s">
        <v>3</v>
      </c>
      <c r="C599" s="70">
        <f>+C572-C598</f>
        <v>6</v>
      </c>
      <c r="D599" s="86">
        <f t="shared" ref="D599:Q599" si="514">+D572-D598</f>
        <v>6</v>
      </c>
      <c r="E599" s="85">
        <f t="shared" si="514"/>
        <v>10</v>
      </c>
      <c r="F599" s="61">
        <f t="shared" si="514"/>
        <v>22</v>
      </c>
      <c r="G599" s="70">
        <f t="shared" si="514"/>
        <v>2</v>
      </c>
      <c r="H599" s="84">
        <f t="shared" si="514"/>
        <v>4</v>
      </c>
      <c r="I599" s="85">
        <f t="shared" si="514"/>
        <v>3</v>
      </c>
      <c r="J599" s="61">
        <f t="shared" si="514"/>
        <v>9</v>
      </c>
      <c r="K599" s="81">
        <f t="shared" si="514"/>
        <v>10</v>
      </c>
      <c r="L599" s="71">
        <f t="shared" si="514"/>
        <v>2</v>
      </c>
      <c r="M599" s="61">
        <f t="shared" si="514"/>
        <v>12</v>
      </c>
      <c r="N599" s="81">
        <f t="shared" si="514"/>
        <v>12</v>
      </c>
      <c r="O599" s="71">
        <f t="shared" si="514"/>
        <v>6</v>
      </c>
      <c r="P599" s="73">
        <f t="shared" si="514"/>
        <v>18</v>
      </c>
      <c r="Q599" s="88">
        <f t="shared" si="514"/>
        <v>61</v>
      </c>
      <c r="R599" s="116"/>
      <c r="AC599" s="3" t="s">
        <v>3</v>
      </c>
      <c r="AD599" s="70">
        <f>+AD572-AD598</f>
        <v>0</v>
      </c>
      <c r="AE599" s="86">
        <f>+AE572-AE598</f>
        <v>120</v>
      </c>
      <c r="AF599" s="85">
        <f t="shared" ref="AF599" si="515">+AF572-AF598</f>
        <v>40</v>
      </c>
      <c r="AG599" s="61">
        <f t="shared" si="489"/>
        <v>160</v>
      </c>
      <c r="AH599" s="70">
        <f>+AH572-AH598</f>
        <v>30</v>
      </c>
      <c r="AI599" s="84">
        <f t="shared" ref="AI599:AJ599" si="516">+AI572-AI598</f>
        <v>30</v>
      </c>
      <c r="AJ599" s="85">
        <f t="shared" si="516"/>
        <v>40</v>
      </c>
      <c r="AK599" s="61">
        <f t="shared" si="490"/>
        <v>100</v>
      </c>
      <c r="AL599" s="81">
        <f>+AL572-AL598</f>
        <v>50</v>
      </c>
      <c r="AM599" s="71">
        <f>+AM572-AM598</f>
        <v>50</v>
      </c>
      <c r="AN599" s="61">
        <f t="shared" si="491"/>
        <v>100</v>
      </c>
      <c r="AO599" s="81">
        <f>+AO572-AO598</f>
        <v>0</v>
      </c>
      <c r="AP599" s="71">
        <f>+AP572-AP598</f>
        <v>0</v>
      </c>
      <c r="AQ599" s="73">
        <f t="shared" si="492"/>
        <v>0</v>
      </c>
      <c r="AR599" s="151">
        <f t="shared" si="493"/>
        <v>360</v>
      </c>
      <c r="AS599" s="116"/>
    </row>
    <row r="600" spans="1:45" x14ac:dyDescent="0.15">
      <c r="A600" s="161"/>
      <c r="B600" s="162"/>
      <c r="C600" s="163" t="s">
        <v>75</v>
      </c>
      <c r="D600" s="163"/>
      <c r="E600" s="163" t="s">
        <v>75</v>
      </c>
      <c r="F600" s="163"/>
      <c r="G600" s="163" t="s">
        <v>75</v>
      </c>
      <c r="H600" s="163" t="s">
        <v>75</v>
      </c>
      <c r="I600" s="163" t="s">
        <v>75</v>
      </c>
      <c r="J600" s="163"/>
      <c r="K600" s="163"/>
      <c r="L600" s="163"/>
      <c r="M600" s="163"/>
      <c r="N600" s="163" t="s">
        <v>75</v>
      </c>
      <c r="O600" s="163" t="s">
        <v>75</v>
      </c>
      <c r="P600" s="161"/>
      <c r="Q600" s="217" t="s">
        <v>79</v>
      </c>
      <c r="R600" s="217"/>
      <c r="S600" s="217"/>
      <c r="T600" s="217"/>
      <c r="U600" s="217"/>
      <c r="V600" s="217"/>
      <c r="W600" s="217"/>
      <c r="X600" s="217"/>
      <c r="Y600" s="217"/>
      <c r="Z600" s="217"/>
      <c r="AA600" s="217"/>
      <c r="AB600" s="217"/>
      <c r="AC600" s="217"/>
      <c r="AD600" s="161"/>
      <c r="AE600" s="161"/>
      <c r="AF600" s="161"/>
      <c r="AG600" s="161"/>
      <c r="AH600" s="161"/>
      <c r="AI600" s="161"/>
      <c r="AJ600" s="161"/>
      <c r="AK600" s="161"/>
      <c r="AL600" s="161"/>
      <c r="AM600" s="161"/>
      <c r="AN600" s="161"/>
      <c r="AO600" s="161"/>
      <c r="AP600" s="161"/>
      <c r="AQ600" s="161"/>
      <c r="AR600" s="161"/>
    </row>
    <row r="601" spans="1:45" x14ac:dyDescent="0.15">
      <c r="A601" s="161"/>
      <c r="B601" s="162"/>
      <c r="C601" s="161"/>
      <c r="D601" s="161"/>
      <c r="E601" s="161"/>
      <c r="F601" s="161"/>
      <c r="G601" s="161"/>
      <c r="H601" s="161"/>
      <c r="I601" s="161"/>
      <c r="J601" s="161"/>
      <c r="K601" s="161"/>
      <c r="L601" s="161"/>
      <c r="M601" s="161"/>
      <c r="N601" s="161"/>
      <c r="O601" s="161"/>
      <c r="P601" s="161"/>
      <c r="Q601" s="217"/>
      <c r="R601" s="217"/>
      <c r="S601" s="217"/>
      <c r="T601" s="217"/>
      <c r="U601" s="217"/>
      <c r="V601" s="217"/>
      <c r="W601" s="217"/>
      <c r="X601" s="217"/>
      <c r="Y601" s="217"/>
      <c r="Z601" s="217"/>
      <c r="AA601" s="217"/>
      <c r="AB601" s="217"/>
      <c r="AC601" s="217"/>
      <c r="AD601" s="161"/>
      <c r="AE601" s="161"/>
      <c r="AF601" s="161"/>
      <c r="AG601" s="161"/>
      <c r="AH601" s="161"/>
      <c r="AI601" s="161"/>
      <c r="AJ601" s="161"/>
      <c r="AK601" s="161"/>
      <c r="AL601" s="161"/>
      <c r="AM601" s="161"/>
      <c r="AN601" s="161"/>
      <c r="AO601" s="161"/>
      <c r="AP601" s="161"/>
      <c r="AQ601" s="161"/>
      <c r="AR601" s="161"/>
    </row>
    <row r="602" spans="1:45" ht="18.75" x14ac:dyDescent="0.2">
      <c r="B602" s="89" t="s">
        <v>7</v>
      </c>
      <c r="C602" s="90"/>
      <c r="D602" s="90"/>
      <c r="E602" s="90"/>
      <c r="F602" s="90"/>
      <c r="G602" s="90"/>
      <c r="H602" s="90"/>
      <c r="I602" s="90"/>
      <c r="J602" s="90"/>
      <c r="K602" s="90"/>
      <c r="L602" s="90"/>
      <c r="M602" s="90"/>
      <c r="N602" s="90"/>
      <c r="O602" s="89"/>
      <c r="P602" s="90"/>
      <c r="Q602" s="90"/>
      <c r="R602" s="90"/>
      <c r="S602" s="90"/>
      <c r="T602" s="90"/>
      <c r="U602" s="90"/>
      <c r="AC602" s="89" t="s">
        <v>7</v>
      </c>
      <c r="AD602" s="90"/>
      <c r="AE602" s="90"/>
      <c r="AF602" s="90"/>
      <c r="AG602" s="90"/>
      <c r="AH602" s="90"/>
      <c r="AI602" s="89"/>
      <c r="AJ602" s="90"/>
      <c r="AK602" s="90"/>
      <c r="AL602" s="90"/>
      <c r="AM602" s="90"/>
      <c r="AN602" s="90"/>
      <c r="AO602" s="90"/>
      <c r="AP602" s="90"/>
      <c r="AQ602" s="90"/>
      <c r="AR602" s="90"/>
    </row>
    <row r="603" spans="1:45" ht="18" thickBot="1" x14ac:dyDescent="0.25">
      <c r="B603" s="91" t="s">
        <v>70</v>
      </c>
      <c r="C603" s="90"/>
      <c r="D603" s="90"/>
      <c r="E603" s="90"/>
      <c r="F603" s="90"/>
      <c r="G603" s="90"/>
      <c r="H603" s="90"/>
      <c r="I603" s="91"/>
      <c r="J603" s="90"/>
      <c r="K603" s="90"/>
      <c r="L603" s="90"/>
      <c r="M603" s="90"/>
      <c r="N603" s="90"/>
      <c r="O603" s="91"/>
      <c r="P603" s="90"/>
      <c r="Q603" s="90"/>
      <c r="R603" s="90"/>
      <c r="S603" s="90"/>
      <c r="T603" s="90"/>
      <c r="U603" s="91"/>
      <c r="AC603" s="91" t="s">
        <v>70</v>
      </c>
      <c r="AD603" s="90"/>
      <c r="AE603" s="90"/>
      <c r="AF603" s="90"/>
      <c r="AG603" s="90"/>
      <c r="AH603" s="90"/>
      <c r="AI603" s="91"/>
      <c r="AJ603" s="90"/>
      <c r="AK603" s="90"/>
      <c r="AL603" s="90"/>
      <c r="AM603" s="90"/>
      <c r="AN603" s="90"/>
      <c r="AO603" s="91"/>
      <c r="AP603" s="91"/>
      <c r="AQ603" s="91"/>
      <c r="AR603" s="91"/>
    </row>
    <row r="604" spans="1:45" ht="14.25" thickBot="1" x14ac:dyDescent="0.2">
      <c r="B604" s="92"/>
      <c r="C604" s="205" t="s">
        <v>63</v>
      </c>
      <c r="D604" s="206"/>
      <c r="E604" s="206"/>
      <c r="F604" s="206"/>
      <c r="G604" s="205" t="s">
        <v>61</v>
      </c>
      <c r="H604" s="206"/>
      <c r="I604" s="206"/>
      <c r="J604" s="207"/>
      <c r="K604" s="205" t="s">
        <v>65</v>
      </c>
      <c r="L604" s="206"/>
      <c r="M604" s="207"/>
      <c r="N604" s="208" t="s">
        <v>68</v>
      </c>
      <c r="O604" s="209"/>
      <c r="P604" s="210"/>
      <c r="Q604" s="93"/>
      <c r="R604" s="116"/>
      <c r="AC604" s="92"/>
      <c r="AD604" s="205" t="s">
        <v>63</v>
      </c>
      <c r="AE604" s="206"/>
      <c r="AF604" s="206"/>
      <c r="AG604" s="206"/>
      <c r="AH604" s="205" t="s">
        <v>61</v>
      </c>
      <c r="AI604" s="206"/>
      <c r="AJ604" s="206"/>
      <c r="AK604" s="207"/>
      <c r="AL604" s="205" t="s">
        <v>65</v>
      </c>
      <c r="AM604" s="206"/>
      <c r="AN604" s="207"/>
      <c r="AO604" s="208" t="s">
        <v>68</v>
      </c>
      <c r="AP604" s="209"/>
      <c r="AQ604" s="210"/>
      <c r="AR604" s="93"/>
    </row>
    <row r="605" spans="1:45" ht="14.25" thickBot="1" x14ac:dyDescent="0.2">
      <c r="B605" s="94"/>
      <c r="C605" s="104" t="s">
        <v>9</v>
      </c>
      <c r="D605" s="107" t="s">
        <v>50</v>
      </c>
      <c r="E605" s="108" t="s">
        <v>6</v>
      </c>
      <c r="F605" s="94" t="s">
        <v>0</v>
      </c>
      <c r="G605" s="104" t="s">
        <v>9</v>
      </c>
      <c r="H605" s="105" t="s">
        <v>13</v>
      </c>
      <c r="I605" s="106" t="s">
        <v>62</v>
      </c>
      <c r="J605" s="98" t="s">
        <v>0</v>
      </c>
      <c r="K605" s="109" t="s">
        <v>69</v>
      </c>
      <c r="L605" s="110" t="s">
        <v>10</v>
      </c>
      <c r="M605" s="103" t="s">
        <v>0</v>
      </c>
      <c r="N605" s="111" t="s">
        <v>62</v>
      </c>
      <c r="O605" s="110" t="s">
        <v>10</v>
      </c>
      <c r="P605" s="103" t="s">
        <v>0</v>
      </c>
      <c r="Q605" s="112" t="s">
        <v>0</v>
      </c>
      <c r="R605" s="116"/>
      <c r="AC605" s="94"/>
      <c r="AD605" s="104" t="s">
        <v>9</v>
      </c>
      <c r="AE605" s="107" t="s">
        <v>50</v>
      </c>
      <c r="AF605" s="108" t="s">
        <v>6</v>
      </c>
      <c r="AG605" s="94" t="s">
        <v>0</v>
      </c>
      <c r="AH605" s="104" t="s">
        <v>9</v>
      </c>
      <c r="AI605" s="105" t="s">
        <v>13</v>
      </c>
      <c r="AJ605" s="106" t="s">
        <v>62</v>
      </c>
      <c r="AK605" s="98" t="s">
        <v>0</v>
      </c>
      <c r="AL605" s="109" t="s">
        <v>69</v>
      </c>
      <c r="AM605" s="110" t="s">
        <v>10</v>
      </c>
      <c r="AN605" s="103" t="s">
        <v>0</v>
      </c>
      <c r="AO605" s="111" t="s">
        <v>62</v>
      </c>
      <c r="AP605" s="110" t="s">
        <v>10</v>
      </c>
      <c r="AQ605" s="103" t="s">
        <v>0</v>
      </c>
      <c r="AR605" s="112" t="s">
        <v>0</v>
      </c>
    </row>
    <row r="606" spans="1:45" x14ac:dyDescent="0.15">
      <c r="B606" s="46" t="s">
        <v>3</v>
      </c>
      <c r="C606" s="47">
        <f>C599</f>
        <v>6</v>
      </c>
      <c r="D606" s="79">
        <f t="shared" ref="D606:Q606" si="517">D599</f>
        <v>6</v>
      </c>
      <c r="E606" s="48">
        <f t="shared" si="517"/>
        <v>10</v>
      </c>
      <c r="F606" s="49">
        <f t="shared" si="517"/>
        <v>22</v>
      </c>
      <c r="G606" s="47">
        <f t="shared" si="517"/>
        <v>2</v>
      </c>
      <c r="H606" s="50">
        <f t="shared" si="517"/>
        <v>4</v>
      </c>
      <c r="I606" s="48">
        <f t="shared" si="517"/>
        <v>3</v>
      </c>
      <c r="J606" s="49">
        <f t="shared" si="517"/>
        <v>9</v>
      </c>
      <c r="K606" s="83">
        <f t="shared" si="517"/>
        <v>10</v>
      </c>
      <c r="L606" s="82">
        <f t="shared" si="517"/>
        <v>2</v>
      </c>
      <c r="M606" s="74">
        <f t="shared" si="517"/>
        <v>12</v>
      </c>
      <c r="N606" s="80">
        <f t="shared" si="517"/>
        <v>12</v>
      </c>
      <c r="O606" s="48">
        <f t="shared" si="517"/>
        <v>6</v>
      </c>
      <c r="P606" s="87">
        <f t="shared" si="517"/>
        <v>18</v>
      </c>
      <c r="Q606" s="133">
        <f t="shared" si="517"/>
        <v>61</v>
      </c>
      <c r="R606" s="138"/>
      <c r="AC606" s="46" t="s">
        <v>3</v>
      </c>
      <c r="AD606" s="47">
        <f t="shared" ref="AD606:AR606" si="518">AD599</f>
        <v>0</v>
      </c>
      <c r="AE606" s="79">
        <f t="shared" si="518"/>
        <v>120</v>
      </c>
      <c r="AF606" s="48">
        <f t="shared" si="518"/>
        <v>40</v>
      </c>
      <c r="AG606" s="49">
        <f t="shared" si="518"/>
        <v>160</v>
      </c>
      <c r="AH606" s="47">
        <f t="shared" si="518"/>
        <v>30</v>
      </c>
      <c r="AI606" s="50">
        <f t="shared" si="518"/>
        <v>30</v>
      </c>
      <c r="AJ606" s="48">
        <f t="shared" si="518"/>
        <v>40</v>
      </c>
      <c r="AK606" s="49">
        <f t="shared" si="518"/>
        <v>100</v>
      </c>
      <c r="AL606" s="83">
        <f t="shared" si="518"/>
        <v>50</v>
      </c>
      <c r="AM606" s="82">
        <f t="shared" si="518"/>
        <v>50</v>
      </c>
      <c r="AN606" s="74">
        <f t="shared" si="518"/>
        <v>100</v>
      </c>
      <c r="AO606" s="80">
        <f t="shared" si="518"/>
        <v>0</v>
      </c>
      <c r="AP606" s="48">
        <f t="shared" si="518"/>
        <v>0</v>
      </c>
      <c r="AQ606" s="87">
        <f t="shared" si="518"/>
        <v>0</v>
      </c>
      <c r="AR606" s="133">
        <f t="shared" si="518"/>
        <v>360</v>
      </c>
    </row>
    <row r="607" spans="1:45" x14ac:dyDescent="0.15">
      <c r="B607" s="186" t="s">
        <v>4</v>
      </c>
      <c r="C607" s="187"/>
      <c r="D607" s="188"/>
      <c r="E607" s="189"/>
      <c r="F607" s="190">
        <f t="shared" ref="F607:F611" si="519">SUM(C607:E607)</f>
        <v>0</v>
      </c>
      <c r="G607" s="187">
        <v>10</v>
      </c>
      <c r="H607" s="191"/>
      <c r="I607" s="192">
        <v>10</v>
      </c>
      <c r="J607" s="190">
        <f t="shared" ref="J607:J611" si="520">SUM(G607:I607)</f>
        <v>20</v>
      </c>
      <c r="K607" s="193"/>
      <c r="L607" s="194">
        <v>10</v>
      </c>
      <c r="M607" s="190">
        <f t="shared" ref="M607:M611" si="521">SUM(K607:L607)</f>
        <v>10</v>
      </c>
      <c r="N607" s="193"/>
      <c r="O607" s="194"/>
      <c r="P607" s="195">
        <f t="shared" ref="P607:P611" si="522">SUM(N607:O607)</f>
        <v>0</v>
      </c>
      <c r="Q607" s="196">
        <f t="shared" ref="Q607:Q611" si="523">P607+M607+F607+J607</f>
        <v>30</v>
      </c>
      <c r="R607" s="197">
        <v>46153</v>
      </c>
      <c r="S607" s="201"/>
      <c r="AC607" s="11" t="s">
        <v>4</v>
      </c>
      <c r="AD607" s="26">
        <v>50</v>
      </c>
      <c r="AE607" s="123"/>
      <c r="AF607" s="43"/>
      <c r="AG607" s="59">
        <f t="shared" ref="AG607" si="524">SUM(AD607:AF607)</f>
        <v>50</v>
      </c>
      <c r="AH607" s="26"/>
      <c r="AI607" s="27"/>
      <c r="AJ607" s="28"/>
      <c r="AK607" s="59">
        <f t="shared" ref="AK607" si="525">SUM(AH607:AJ607)</f>
        <v>0</v>
      </c>
      <c r="AL607" s="64"/>
      <c r="AM607" s="65"/>
      <c r="AN607" s="59">
        <f t="shared" ref="AN607" si="526">SUM(AL607:AM607)</f>
        <v>0</v>
      </c>
      <c r="AO607" s="64"/>
      <c r="AP607" s="65"/>
      <c r="AQ607" s="72">
        <f t="shared" ref="AQ607" si="527">SUM(AO607:AP607)</f>
        <v>0</v>
      </c>
      <c r="AR607" s="124">
        <f t="shared" ref="AR607" si="528">AQ607+AN607+AG607+AK607</f>
        <v>50</v>
      </c>
      <c r="AS607" s="135">
        <v>46114</v>
      </c>
    </row>
    <row r="608" spans="1:45" x14ac:dyDescent="0.15">
      <c r="B608" s="11" t="s">
        <v>4</v>
      </c>
      <c r="C608" s="26">
        <v>10</v>
      </c>
      <c r="D608" s="123">
        <v>10</v>
      </c>
      <c r="E608" s="43"/>
      <c r="F608" s="59">
        <f t="shared" si="519"/>
        <v>20</v>
      </c>
      <c r="G608" s="26"/>
      <c r="H608" s="27">
        <v>10</v>
      </c>
      <c r="I608" s="28"/>
      <c r="J608" s="59">
        <f t="shared" si="520"/>
        <v>10</v>
      </c>
      <c r="K608" s="64">
        <v>10</v>
      </c>
      <c r="L608" s="65">
        <v>10</v>
      </c>
      <c r="M608" s="59">
        <f t="shared" si="521"/>
        <v>20</v>
      </c>
      <c r="N608" s="64"/>
      <c r="O608" s="65"/>
      <c r="P608" s="72">
        <f t="shared" si="522"/>
        <v>0</v>
      </c>
      <c r="Q608" s="124">
        <f t="shared" si="523"/>
        <v>50</v>
      </c>
      <c r="R608" s="119">
        <v>46170</v>
      </c>
      <c r="AC608" s="11" t="s">
        <v>4</v>
      </c>
      <c r="AD608" s="26">
        <v>50</v>
      </c>
      <c r="AE608" s="123"/>
      <c r="AF608" s="43">
        <v>50</v>
      </c>
      <c r="AG608" s="59">
        <f t="shared" ref="AG608:AG639" si="529">SUM(AD608:AF608)</f>
        <v>100</v>
      </c>
      <c r="AH608" s="26"/>
      <c r="AI608" s="27"/>
      <c r="AJ608" s="28"/>
      <c r="AK608" s="59">
        <f t="shared" ref="AK608:AK639" si="530">SUM(AH608:AJ608)</f>
        <v>0</v>
      </c>
      <c r="AL608" s="64"/>
      <c r="AM608" s="65"/>
      <c r="AN608" s="59">
        <f t="shared" ref="AN608:AN639" si="531">SUM(AL608:AM608)</f>
        <v>0</v>
      </c>
      <c r="AO608" s="64"/>
      <c r="AP608" s="65"/>
      <c r="AQ608" s="72">
        <f t="shared" ref="AQ608:AQ639" si="532">SUM(AO608:AP608)</f>
        <v>0</v>
      </c>
      <c r="AR608" s="124">
        <f t="shared" ref="AR608:AR639" si="533">AQ608+AN608+AG608+AK608</f>
        <v>100</v>
      </c>
      <c r="AS608" s="135">
        <v>46175</v>
      </c>
    </row>
    <row r="609" spans="2:45" x14ac:dyDescent="0.15">
      <c r="B609" s="11" t="s">
        <v>4</v>
      </c>
      <c r="C609" s="26"/>
      <c r="D609" s="123"/>
      <c r="E609" s="43">
        <v>10</v>
      </c>
      <c r="F609" s="59">
        <f t="shared" si="519"/>
        <v>10</v>
      </c>
      <c r="G609" s="26"/>
      <c r="H609" s="27"/>
      <c r="I609" s="28"/>
      <c r="J609" s="59">
        <f t="shared" si="520"/>
        <v>0</v>
      </c>
      <c r="K609" s="64"/>
      <c r="L609" s="65"/>
      <c r="M609" s="59">
        <f t="shared" si="521"/>
        <v>0</v>
      </c>
      <c r="N609" s="64"/>
      <c r="O609" s="65"/>
      <c r="P609" s="72">
        <f t="shared" si="522"/>
        <v>0</v>
      </c>
      <c r="Q609" s="124">
        <f t="shared" si="523"/>
        <v>10</v>
      </c>
      <c r="R609" s="119">
        <v>46176</v>
      </c>
      <c r="AC609" s="11" t="s">
        <v>4</v>
      </c>
      <c r="AD609" s="26"/>
      <c r="AE609" s="123"/>
      <c r="AF609" s="43"/>
      <c r="AG609" s="59">
        <f t="shared" si="529"/>
        <v>0</v>
      </c>
      <c r="AH609" s="26"/>
      <c r="AI609" s="27"/>
      <c r="AJ609" s="28"/>
      <c r="AK609" s="59">
        <f t="shared" si="530"/>
        <v>0</v>
      </c>
      <c r="AL609" s="64"/>
      <c r="AM609" s="65"/>
      <c r="AN609" s="59">
        <f t="shared" si="531"/>
        <v>0</v>
      </c>
      <c r="AO609" s="64"/>
      <c r="AP609" s="65"/>
      <c r="AQ609" s="72">
        <f t="shared" si="532"/>
        <v>0</v>
      </c>
      <c r="AR609" s="124">
        <f t="shared" si="533"/>
        <v>0</v>
      </c>
    </row>
    <row r="610" spans="2:45" x14ac:dyDescent="0.15">
      <c r="B610" s="11" t="s">
        <v>4</v>
      </c>
      <c r="C610" s="26"/>
      <c r="D610" s="123"/>
      <c r="E610" s="43"/>
      <c r="F610" s="59">
        <f t="shared" si="519"/>
        <v>0</v>
      </c>
      <c r="G610" s="26"/>
      <c r="H610" s="27"/>
      <c r="I610" s="28">
        <v>10</v>
      </c>
      <c r="J610" s="59">
        <f t="shared" si="520"/>
        <v>10</v>
      </c>
      <c r="K610" s="64"/>
      <c r="L610" s="65"/>
      <c r="M610" s="59">
        <f t="shared" si="521"/>
        <v>0</v>
      </c>
      <c r="N610" s="64"/>
      <c r="O610" s="65"/>
      <c r="P610" s="72">
        <f t="shared" si="522"/>
        <v>0</v>
      </c>
      <c r="Q610" s="124">
        <f t="shared" si="523"/>
        <v>10</v>
      </c>
      <c r="R610" s="119">
        <v>46178</v>
      </c>
      <c r="AC610" s="11" t="s">
        <v>4</v>
      </c>
      <c r="AD610" s="26"/>
      <c r="AE610" s="123"/>
      <c r="AF610" s="43"/>
      <c r="AG610" s="59">
        <f t="shared" si="529"/>
        <v>0</v>
      </c>
      <c r="AH610" s="26"/>
      <c r="AI610" s="27"/>
      <c r="AJ610" s="28"/>
      <c r="AK610" s="59">
        <f t="shared" si="530"/>
        <v>0</v>
      </c>
      <c r="AL610" s="64"/>
      <c r="AM610" s="65"/>
      <c r="AN610" s="59">
        <f t="shared" si="531"/>
        <v>0</v>
      </c>
      <c r="AO610" s="64"/>
      <c r="AP610" s="65"/>
      <c r="AQ610" s="72">
        <f t="shared" si="532"/>
        <v>0</v>
      </c>
      <c r="AR610" s="124">
        <f t="shared" si="533"/>
        <v>0</v>
      </c>
    </row>
    <row r="611" spans="2:45" ht="14.25" thickBot="1" x14ac:dyDescent="0.2">
      <c r="B611" s="11" t="s">
        <v>4</v>
      </c>
      <c r="C611" s="29">
        <v>10</v>
      </c>
      <c r="D611" s="126"/>
      <c r="E611" s="44"/>
      <c r="F611" s="125">
        <f t="shared" si="519"/>
        <v>10</v>
      </c>
      <c r="G611" s="29">
        <v>10</v>
      </c>
      <c r="H611" s="30">
        <v>10</v>
      </c>
      <c r="I611" s="31"/>
      <c r="J611" s="125">
        <f t="shared" si="520"/>
        <v>20</v>
      </c>
      <c r="K611" s="66"/>
      <c r="L611" s="67">
        <v>10</v>
      </c>
      <c r="M611" s="125">
        <f t="shared" si="521"/>
        <v>10</v>
      </c>
      <c r="N611" s="66"/>
      <c r="O611" s="67"/>
      <c r="P611" s="127">
        <f t="shared" si="522"/>
        <v>0</v>
      </c>
      <c r="Q611" s="128">
        <f t="shared" si="523"/>
        <v>40</v>
      </c>
      <c r="R611" s="119">
        <v>46185</v>
      </c>
      <c r="AC611" s="11" t="s">
        <v>4</v>
      </c>
      <c r="AD611" s="29"/>
      <c r="AE611" s="126"/>
      <c r="AF611" s="44"/>
      <c r="AG611" s="125">
        <f t="shared" si="529"/>
        <v>0</v>
      </c>
      <c r="AH611" s="29"/>
      <c r="AI611" s="30"/>
      <c r="AJ611" s="31"/>
      <c r="AK611" s="125">
        <f t="shared" si="530"/>
        <v>0</v>
      </c>
      <c r="AL611" s="66"/>
      <c r="AM611" s="67"/>
      <c r="AN611" s="125">
        <f t="shared" si="531"/>
        <v>0</v>
      </c>
      <c r="AO611" s="66"/>
      <c r="AP611" s="67"/>
      <c r="AQ611" s="127">
        <f t="shared" si="532"/>
        <v>0</v>
      </c>
      <c r="AR611" s="128">
        <f t="shared" si="533"/>
        <v>0</v>
      </c>
    </row>
    <row r="612" spans="2:45" ht="14.25" thickBot="1" x14ac:dyDescent="0.2">
      <c r="B612" s="5" t="s">
        <v>1</v>
      </c>
      <c r="C612" s="32">
        <f>SUM(C606:C611)</f>
        <v>26</v>
      </c>
      <c r="D612" s="132">
        <f t="shared" ref="D612:Q612" si="534">SUM(D606:D611)</f>
        <v>16</v>
      </c>
      <c r="E612" s="34">
        <f t="shared" si="534"/>
        <v>20</v>
      </c>
      <c r="F612" s="4">
        <f t="shared" si="534"/>
        <v>62</v>
      </c>
      <c r="G612" s="32">
        <f t="shared" si="534"/>
        <v>22</v>
      </c>
      <c r="H612" s="33">
        <f t="shared" si="534"/>
        <v>24</v>
      </c>
      <c r="I612" s="34">
        <f t="shared" si="534"/>
        <v>23</v>
      </c>
      <c r="J612" s="4">
        <f t="shared" si="534"/>
        <v>69</v>
      </c>
      <c r="K612" s="68">
        <f t="shared" si="534"/>
        <v>20</v>
      </c>
      <c r="L612" s="69">
        <f t="shared" si="534"/>
        <v>32</v>
      </c>
      <c r="M612" s="4">
        <f t="shared" si="534"/>
        <v>52</v>
      </c>
      <c r="N612" s="68">
        <f t="shared" si="534"/>
        <v>12</v>
      </c>
      <c r="O612" s="34">
        <f t="shared" si="534"/>
        <v>6</v>
      </c>
      <c r="P612" s="58">
        <f t="shared" si="534"/>
        <v>18</v>
      </c>
      <c r="Q612" s="88">
        <f t="shared" si="534"/>
        <v>201</v>
      </c>
      <c r="R612" s="116"/>
      <c r="AC612" s="5" t="s">
        <v>1</v>
      </c>
      <c r="AD612" s="32">
        <f t="shared" ref="AD612:AF612" si="535">SUM(AD606:AD611)</f>
        <v>100</v>
      </c>
      <c r="AE612" s="132">
        <f t="shared" si="535"/>
        <v>120</v>
      </c>
      <c r="AF612" s="34">
        <f t="shared" si="535"/>
        <v>90</v>
      </c>
      <c r="AG612" s="4">
        <f t="shared" si="529"/>
        <v>310</v>
      </c>
      <c r="AH612" s="32">
        <f>SUM(AH606:AH611)</f>
        <v>30</v>
      </c>
      <c r="AI612" s="33">
        <f t="shared" ref="AI612:AJ612" si="536">SUM(AI606:AI611)</f>
        <v>30</v>
      </c>
      <c r="AJ612" s="34">
        <f t="shared" si="536"/>
        <v>40</v>
      </c>
      <c r="AK612" s="4">
        <f t="shared" si="530"/>
        <v>100</v>
      </c>
      <c r="AL612" s="68">
        <f t="shared" ref="AL612:AM612" si="537">SUM(AL606:AL611)</f>
        <v>50</v>
      </c>
      <c r="AM612" s="69">
        <f t="shared" si="537"/>
        <v>50</v>
      </c>
      <c r="AN612" s="4">
        <f t="shared" si="531"/>
        <v>100</v>
      </c>
      <c r="AO612" s="68">
        <f>SUM(AO606:AO611)</f>
        <v>0</v>
      </c>
      <c r="AP612" s="34">
        <f t="shared" ref="AP612" si="538">SUM(AP606:AP611)</f>
        <v>0</v>
      </c>
      <c r="AQ612" s="58">
        <f t="shared" si="532"/>
        <v>0</v>
      </c>
      <c r="AR612" s="88">
        <f t="shared" si="533"/>
        <v>510</v>
      </c>
    </row>
    <row r="613" spans="2:45" x14ac:dyDescent="0.15">
      <c r="B613" s="6" t="s">
        <v>16</v>
      </c>
      <c r="C613" s="26"/>
      <c r="D613" s="123">
        <v>1</v>
      </c>
      <c r="E613" s="43"/>
      <c r="F613" s="59">
        <f t="shared" ref="F613:F626" si="539">SUM(C613:E613)</f>
        <v>1</v>
      </c>
      <c r="G613" s="26">
        <v>1</v>
      </c>
      <c r="H613" s="27"/>
      <c r="I613" s="28">
        <v>1</v>
      </c>
      <c r="J613" s="59">
        <f t="shared" ref="J613:J626" si="540">SUM(G613:I613)</f>
        <v>2</v>
      </c>
      <c r="K613" s="64">
        <v>1</v>
      </c>
      <c r="L613" s="65"/>
      <c r="M613" s="59">
        <f t="shared" ref="M613:M626" si="541">SUM(K613:L613)</f>
        <v>1</v>
      </c>
      <c r="N613" s="64"/>
      <c r="O613" s="65"/>
      <c r="P613" s="72">
        <f t="shared" ref="P613:P626" si="542">SUM(N613:O613)</f>
        <v>0</v>
      </c>
      <c r="Q613" s="124">
        <f t="shared" ref="Q613:Q626" si="543">P613+M613+F613+J613</f>
        <v>4</v>
      </c>
      <c r="R613" s="119">
        <v>46149</v>
      </c>
      <c r="AC613" s="199" t="s">
        <v>89</v>
      </c>
      <c r="AD613" s="187">
        <v>10</v>
      </c>
      <c r="AE613" s="188"/>
      <c r="AF613" s="189">
        <v>10</v>
      </c>
      <c r="AG613" s="190">
        <f t="shared" si="529"/>
        <v>20</v>
      </c>
      <c r="AH613" s="187"/>
      <c r="AI613" s="191"/>
      <c r="AJ613" s="192"/>
      <c r="AK613" s="190">
        <f t="shared" si="530"/>
        <v>0</v>
      </c>
      <c r="AL613" s="193">
        <v>10</v>
      </c>
      <c r="AM613" s="194"/>
      <c r="AN613" s="190">
        <f t="shared" si="531"/>
        <v>10</v>
      </c>
      <c r="AO613" s="193"/>
      <c r="AP613" s="194"/>
      <c r="AQ613" s="195">
        <f t="shared" si="532"/>
        <v>0</v>
      </c>
      <c r="AR613" s="196">
        <f t="shared" si="533"/>
        <v>30</v>
      </c>
      <c r="AS613" s="197">
        <v>46127</v>
      </c>
    </row>
    <row r="614" spans="2:45" x14ac:dyDescent="0.15">
      <c r="B614" s="6" t="s">
        <v>16</v>
      </c>
      <c r="C614" s="26">
        <v>1</v>
      </c>
      <c r="D614" s="123"/>
      <c r="E614" s="43">
        <v>1</v>
      </c>
      <c r="F614" s="59">
        <f t="shared" si="539"/>
        <v>2</v>
      </c>
      <c r="G614" s="26"/>
      <c r="H614" s="27"/>
      <c r="I614" s="28">
        <v>2</v>
      </c>
      <c r="J614" s="59">
        <f t="shared" si="540"/>
        <v>2</v>
      </c>
      <c r="K614" s="64"/>
      <c r="L614" s="65"/>
      <c r="M614" s="59">
        <f t="shared" si="541"/>
        <v>0</v>
      </c>
      <c r="N614" s="64"/>
      <c r="O614" s="65"/>
      <c r="P614" s="72">
        <f t="shared" si="542"/>
        <v>0</v>
      </c>
      <c r="Q614" s="124">
        <f t="shared" si="543"/>
        <v>4</v>
      </c>
      <c r="R614" s="119">
        <v>46153</v>
      </c>
      <c r="AC614" s="6" t="s">
        <v>89</v>
      </c>
      <c r="AD614" s="26"/>
      <c r="AE614" s="123"/>
      <c r="AF614" s="43"/>
      <c r="AG614" s="59">
        <f t="shared" si="529"/>
        <v>0</v>
      </c>
      <c r="AH614" s="26">
        <v>10</v>
      </c>
      <c r="AI614" s="27"/>
      <c r="AJ614" s="28">
        <v>10</v>
      </c>
      <c r="AK614" s="59">
        <f t="shared" si="530"/>
        <v>20</v>
      </c>
      <c r="AL614" s="64"/>
      <c r="AM614" s="65">
        <v>10</v>
      </c>
      <c r="AN614" s="59">
        <f t="shared" si="531"/>
        <v>10</v>
      </c>
      <c r="AO614" s="64"/>
      <c r="AP614" s="65"/>
      <c r="AQ614" s="72">
        <f t="shared" si="532"/>
        <v>0</v>
      </c>
      <c r="AR614" s="124">
        <f t="shared" si="533"/>
        <v>30</v>
      </c>
      <c r="AS614" s="119">
        <v>46153</v>
      </c>
    </row>
    <row r="615" spans="2:45" x14ac:dyDescent="0.15">
      <c r="B615" s="6" t="s">
        <v>16</v>
      </c>
      <c r="C615" s="26"/>
      <c r="D615" s="123"/>
      <c r="E615" s="43"/>
      <c r="F615" s="59">
        <f t="shared" si="539"/>
        <v>0</v>
      </c>
      <c r="G615" s="26"/>
      <c r="H615" s="27"/>
      <c r="I615" s="28"/>
      <c r="J615" s="59">
        <f t="shared" si="540"/>
        <v>0</v>
      </c>
      <c r="K615" s="64">
        <v>1</v>
      </c>
      <c r="L615" s="65"/>
      <c r="M615" s="59">
        <f t="shared" si="541"/>
        <v>1</v>
      </c>
      <c r="N615" s="64"/>
      <c r="O615" s="65"/>
      <c r="P615" s="72">
        <f t="shared" si="542"/>
        <v>0</v>
      </c>
      <c r="Q615" s="124">
        <f t="shared" si="543"/>
        <v>1</v>
      </c>
      <c r="R615" s="119">
        <v>46155</v>
      </c>
      <c r="AC615" s="6" t="s">
        <v>88</v>
      </c>
      <c r="AD615" s="26">
        <v>10</v>
      </c>
      <c r="AE615" s="123">
        <v>10</v>
      </c>
      <c r="AF615" s="43"/>
      <c r="AG615" s="59">
        <f t="shared" ref="AG615" si="544">SUM(AD615:AF615)</f>
        <v>20</v>
      </c>
      <c r="AH615" s="26"/>
      <c r="AI615" s="27">
        <v>10</v>
      </c>
      <c r="AJ615" s="28"/>
      <c r="AK615" s="59">
        <f t="shared" ref="AK615" si="545">SUM(AH615:AJ615)</f>
        <v>10</v>
      </c>
      <c r="AL615" s="64">
        <v>10</v>
      </c>
      <c r="AM615" s="65">
        <v>10</v>
      </c>
      <c r="AN615" s="59">
        <f t="shared" ref="AN615" si="546">SUM(AL615:AM615)</f>
        <v>20</v>
      </c>
      <c r="AO615" s="64"/>
      <c r="AP615" s="65"/>
      <c r="AQ615" s="72">
        <f t="shared" ref="AQ615" si="547">SUM(AO615:AP615)</f>
        <v>0</v>
      </c>
      <c r="AR615" s="124">
        <f t="shared" ref="AR615" si="548">AQ615+AN615+AG615+AK615</f>
        <v>50</v>
      </c>
      <c r="AS615" s="135">
        <v>46170</v>
      </c>
    </row>
    <row r="616" spans="2:45" x14ac:dyDescent="0.15">
      <c r="B616" s="6" t="s">
        <v>16</v>
      </c>
      <c r="C616" s="26"/>
      <c r="D616" s="123"/>
      <c r="E616" s="43"/>
      <c r="F616" s="59">
        <f t="shared" si="539"/>
        <v>0</v>
      </c>
      <c r="G616" s="26"/>
      <c r="H616" s="27"/>
      <c r="I616" s="28">
        <v>1</v>
      </c>
      <c r="J616" s="59">
        <f t="shared" si="540"/>
        <v>1</v>
      </c>
      <c r="K616" s="64"/>
      <c r="L616" s="65"/>
      <c r="M616" s="59">
        <f t="shared" si="541"/>
        <v>0</v>
      </c>
      <c r="N616" s="64"/>
      <c r="O616" s="65"/>
      <c r="P616" s="72">
        <f t="shared" si="542"/>
        <v>0</v>
      </c>
      <c r="Q616" s="124">
        <f t="shared" si="543"/>
        <v>1</v>
      </c>
      <c r="R616" s="119">
        <v>46156</v>
      </c>
      <c r="AC616" s="6" t="s">
        <v>90</v>
      </c>
      <c r="AD616" s="26"/>
      <c r="AE616" s="123"/>
      <c r="AF616" s="43">
        <v>10</v>
      </c>
      <c r="AG616" s="59">
        <f t="shared" si="529"/>
        <v>10</v>
      </c>
      <c r="AH616" s="26"/>
      <c r="AI616" s="27"/>
      <c r="AJ616" s="28"/>
      <c r="AK616" s="59">
        <f t="shared" si="530"/>
        <v>0</v>
      </c>
      <c r="AL616" s="64"/>
      <c r="AM616" s="65"/>
      <c r="AN616" s="59">
        <f t="shared" si="531"/>
        <v>0</v>
      </c>
      <c r="AO616" s="64"/>
      <c r="AP616" s="65"/>
      <c r="AQ616" s="72">
        <f t="shared" si="532"/>
        <v>0</v>
      </c>
      <c r="AR616" s="124">
        <f t="shared" si="533"/>
        <v>10</v>
      </c>
      <c r="AS616" s="135">
        <v>46176</v>
      </c>
    </row>
    <row r="617" spans="2:45" x14ac:dyDescent="0.15">
      <c r="B617" s="6" t="s">
        <v>16</v>
      </c>
      <c r="C617" s="26"/>
      <c r="D617" s="123"/>
      <c r="E617" s="43"/>
      <c r="F617" s="59">
        <f t="shared" si="539"/>
        <v>0</v>
      </c>
      <c r="G617" s="26"/>
      <c r="H617" s="27"/>
      <c r="I617" s="28"/>
      <c r="J617" s="59">
        <f t="shared" si="540"/>
        <v>0</v>
      </c>
      <c r="K617" s="64"/>
      <c r="L617" s="65"/>
      <c r="M617" s="59">
        <f t="shared" si="541"/>
        <v>0</v>
      </c>
      <c r="N617" s="64">
        <v>1</v>
      </c>
      <c r="O617" s="65">
        <v>1</v>
      </c>
      <c r="P617" s="72">
        <f t="shared" si="542"/>
        <v>2</v>
      </c>
      <c r="Q617" s="124">
        <f t="shared" si="543"/>
        <v>2</v>
      </c>
      <c r="R617" s="119">
        <v>46157</v>
      </c>
      <c r="AC617" s="6" t="s">
        <v>90</v>
      </c>
      <c r="AD617" s="26"/>
      <c r="AE617" s="123"/>
      <c r="AF617" s="43"/>
      <c r="AG617" s="59">
        <f t="shared" si="529"/>
        <v>0</v>
      </c>
      <c r="AH617" s="26"/>
      <c r="AI617" s="27"/>
      <c r="AJ617" s="28">
        <v>10</v>
      </c>
      <c r="AK617" s="59">
        <f t="shared" si="530"/>
        <v>10</v>
      </c>
      <c r="AL617" s="64"/>
      <c r="AM617" s="65"/>
      <c r="AN617" s="59">
        <f t="shared" si="531"/>
        <v>0</v>
      </c>
      <c r="AO617" s="64"/>
      <c r="AP617" s="65"/>
      <c r="AQ617" s="72">
        <f t="shared" si="532"/>
        <v>0</v>
      </c>
      <c r="AR617" s="124">
        <f t="shared" si="533"/>
        <v>10</v>
      </c>
      <c r="AS617" s="135">
        <v>46178</v>
      </c>
    </row>
    <row r="618" spans="2:45" x14ac:dyDescent="0.15">
      <c r="B618" s="6" t="s">
        <v>16</v>
      </c>
      <c r="C618" s="26">
        <v>1</v>
      </c>
      <c r="D618" s="123"/>
      <c r="E618" s="43">
        <v>1</v>
      </c>
      <c r="F618" s="59">
        <f t="shared" si="539"/>
        <v>2</v>
      </c>
      <c r="G618" s="26">
        <v>2</v>
      </c>
      <c r="H618" s="27"/>
      <c r="I618" s="28">
        <v>1</v>
      </c>
      <c r="J618" s="59">
        <f t="shared" si="540"/>
        <v>3</v>
      </c>
      <c r="K618" s="64"/>
      <c r="L618" s="65">
        <v>2</v>
      </c>
      <c r="M618" s="59">
        <f t="shared" si="541"/>
        <v>2</v>
      </c>
      <c r="N618" s="64"/>
      <c r="O618" s="65">
        <v>2</v>
      </c>
      <c r="P618" s="72">
        <f t="shared" si="542"/>
        <v>2</v>
      </c>
      <c r="Q618" s="124">
        <f t="shared" si="543"/>
        <v>9</v>
      </c>
      <c r="R618" s="119">
        <v>46160</v>
      </c>
      <c r="AC618" s="6" t="s">
        <v>90</v>
      </c>
      <c r="AD618" s="26">
        <v>10</v>
      </c>
      <c r="AE618" s="123"/>
      <c r="AF618" s="43"/>
      <c r="AG618" s="59">
        <f t="shared" si="529"/>
        <v>10</v>
      </c>
      <c r="AH618" s="26">
        <v>10</v>
      </c>
      <c r="AI618" s="27">
        <v>10</v>
      </c>
      <c r="AJ618" s="28"/>
      <c r="AK618" s="59">
        <f t="shared" si="530"/>
        <v>20</v>
      </c>
      <c r="AL618" s="64"/>
      <c r="AM618" s="65">
        <v>10</v>
      </c>
      <c r="AN618" s="59">
        <f t="shared" si="531"/>
        <v>10</v>
      </c>
      <c r="AO618" s="64"/>
      <c r="AP618" s="65"/>
      <c r="AQ618" s="72">
        <f t="shared" si="532"/>
        <v>0</v>
      </c>
      <c r="AR618" s="124">
        <f t="shared" si="533"/>
        <v>40</v>
      </c>
      <c r="AS618" s="135">
        <v>46185</v>
      </c>
    </row>
    <row r="619" spans="2:45" x14ac:dyDescent="0.15">
      <c r="B619" s="6" t="s">
        <v>16</v>
      </c>
      <c r="C619" s="26"/>
      <c r="D619" s="123"/>
      <c r="E619" s="43">
        <v>1</v>
      </c>
      <c r="F619" s="59">
        <f t="shared" si="539"/>
        <v>1</v>
      </c>
      <c r="G619" s="26"/>
      <c r="H619" s="27"/>
      <c r="I619" s="28"/>
      <c r="J619" s="59">
        <f t="shared" si="540"/>
        <v>0</v>
      </c>
      <c r="K619" s="64">
        <v>3</v>
      </c>
      <c r="L619" s="65">
        <v>1</v>
      </c>
      <c r="M619" s="59">
        <f t="shared" si="541"/>
        <v>4</v>
      </c>
      <c r="N619" s="64"/>
      <c r="O619" s="65"/>
      <c r="P619" s="72">
        <f t="shared" si="542"/>
        <v>0</v>
      </c>
      <c r="Q619" s="124">
        <f t="shared" si="543"/>
        <v>5</v>
      </c>
      <c r="R619" s="119">
        <v>46162</v>
      </c>
      <c r="AC619" s="6"/>
      <c r="AD619" s="26"/>
      <c r="AE619" s="123"/>
      <c r="AF619" s="43"/>
      <c r="AG619" s="59">
        <f t="shared" si="529"/>
        <v>0</v>
      </c>
      <c r="AH619" s="26"/>
      <c r="AI619" s="27"/>
      <c r="AJ619" s="28"/>
      <c r="AK619" s="59">
        <f t="shared" si="530"/>
        <v>0</v>
      </c>
      <c r="AL619" s="64"/>
      <c r="AM619" s="65"/>
      <c r="AN619" s="59">
        <f t="shared" si="531"/>
        <v>0</v>
      </c>
      <c r="AO619" s="64"/>
      <c r="AP619" s="65"/>
      <c r="AQ619" s="72">
        <f t="shared" si="532"/>
        <v>0</v>
      </c>
      <c r="AR619" s="124">
        <f t="shared" si="533"/>
        <v>0</v>
      </c>
    </row>
    <row r="620" spans="2:45" x14ac:dyDescent="0.15">
      <c r="B620" s="6" t="s">
        <v>16</v>
      </c>
      <c r="C620" s="26"/>
      <c r="D620" s="123">
        <v>1</v>
      </c>
      <c r="E620" s="43">
        <v>1</v>
      </c>
      <c r="F620" s="59">
        <f t="shared" si="539"/>
        <v>2</v>
      </c>
      <c r="G620" s="26"/>
      <c r="H620" s="27"/>
      <c r="I620" s="28"/>
      <c r="J620" s="59">
        <f t="shared" si="540"/>
        <v>0</v>
      </c>
      <c r="K620" s="64"/>
      <c r="L620" s="65"/>
      <c r="M620" s="59">
        <f t="shared" si="541"/>
        <v>0</v>
      </c>
      <c r="N620" s="64"/>
      <c r="O620" s="65"/>
      <c r="P620" s="72">
        <f t="shared" si="542"/>
        <v>0</v>
      </c>
      <c r="Q620" s="124">
        <f t="shared" si="543"/>
        <v>2</v>
      </c>
      <c r="R620" s="119">
        <v>46163</v>
      </c>
      <c r="AC620" s="6"/>
      <c r="AD620" s="26"/>
      <c r="AE620" s="123"/>
      <c r="AF620" s="43"/>
      <c r="AG620" s="59">
        <f t="shared" si="529"/>
        <v>0</v>
      </c>
      <c r="AH620" s="26"/>
      <c r="AI620" s="27"/>
      <c r="AJ620" s="28"/>
      <c r="AK620" s="59">
        <f t="shared" si="530"/>
        <v>0</v>
      </c>
      <c r="AL620" s="64"/>
      <c r="AM620" s="65"/>
      <c r="AN620" s="59">
        <f t="shared" si="531"/>
        <v>0</v>
      </c>
      <c r="AO620" s="64"/>
      <c r="AP620" s="65"/>
      <c r="AQ620" s="72">
        <f t="shared" si="532"/>
        <v>0</v>
      </c>
      <c r="AR620" s="124">
        <f t="shared" si="533"/>
        <v>0</v>
      </c>
    </row>
    <row r="621" spans="2:45" x14ac:dyDescent="0.15">
      <c r="B621" s="6" t="s">
        <v>16</v>
      </c>
      <c r="C621" s="26">
        <v>3</v>
      </c>
      <c r="D621" s="123">
        <v>1</v>
      </c>
      <c r="E621" s="43"/>
      <c r="F621" s="59">
        <f t="shared" si="539"/>
        <v>4</v>
      </c>
      <c r="G621" s="26"/>
      <c r="H621" s="27"/>
      <c r="I621" s="28"/>
      <c r="J621" s="59">
        <f t="shared" si="540"/>
        <v>0</v>
      </c>
      <c r="K621" s="64"/>
      <c r="L621" s="65">
        <v>2</v>
      </c>
      <c r="M621" s="59">
        <f t="shared" si="541"/>
        <v>2</v>
      </c>
      <c r="N621" s="64"/>
      <c r="O621" s="65"/>
      <c r="P621" s="72">
        <f t="shared" si="542"/>
        <v>0</v>
      </c>
      <c r="Q621" s="124">
        <f t="shared" si="543"/>
        <v>6</v>
      </c>
      <c r="R621" s="119">
        <v>46167</v>
      </c>
      <c r="AC621" s="6"/>
      <c r="AD621" s="26"/>
      <c r="AE621" s="123"/>
      <c r="AF621" s="43"/>
      <c r="AG621" s="59">
        <f t="shared" si="529"/>
        <v>0</v>
      </c>
      <c r="AH621" s="26"/>
      <c r="AI621" s="27"/>
      <c r="AJ621" s="28"/>
      <c r="AK621" s="59">
        <f t="shared" si="530"/>
        <v>0</v>
      </c>
      <c r="AL621" s="64"/>
      <c r="AM621" s="65"/>
      <c r="AN621" s="59">
        <f t="shared" si="531"/>
        <v>0</v>
      </c>
      <c r="AO621" s="64"/>
      <c r="AP621" s="65"/>
      <c r="AQ621" s="72">
        <f t="shared" si="532"/>
        <v>0</v>
      </c>
      <c r="AR621" s="124">
        <f t="shared" si="533"/>
        <v>0</v>
      </c>
    </row>
    <row r="622" spans="2:45" x14ac:dyDescent="0.15">
      <c r="B622" s="6" t="s">
        <v>16</v>
      </c>
      <c r="C622" s="26"/>
      <c r="D622" s="123"/>
      <c r="E622" s="43"/>
      <c r="F622" s="59">
        <f t="shared" si="539"/>
        <v>0</v>
      </c>
      <c r="G622" s="26">
        <v>1</v>
      </c>
      <c r="H622" s="27"/>
      <c r="I622" s="28">
        <v>1</v>
      </c>
      <c r="J622" s="59">
        <f t="shared" si="540"/>
        <v>2</v>
      </c>
      <c r="K622" s="64">
        <v>1</v>
      </c>
      <c r="L622" s="65">
        <v>1</v>
      </c>
      <c r="M622" s="59">
        <f t="shared" si="541"/>
        <v>2</v>
      </c>
      <c r="N622" s="64"/>
      <c r="O622" s="65"/>
      <c r="P622" s="72">
        <f t="shared" si="542"/>
        <v>0</v>
      </c>
      <c r="Q622" s="124">
        <f t="shared" si="543"/>
        <v>4</v>
      </c>
      <c r="R622" s="119">
        <v>46168</v>
      </c>
      <c r="AC622" s="6"/>
      <c r="AD622" s="26"/>
      <c r="AE622" s="123"/>
      <c r="AF622" s="43"/>
      <c r="AG622" s="59">
        <f t="shared" si="529"/>
        <v>0</v>
      </c>
      <c r="AH622" s="26"/>
      <c r="AI622" s="27"/>
      <c r="AJ622" s="28"/>
      <c r="AK622" s="59">
        <f t="shared" si="530"/>
        <v>0</v>
      </c>
      <c r="AL622" s="64"/>
      <c r="AM622" s="65"/>
      <c r="AN622" s="59">
        <f t="shared" si="531"/>
        <v>0</v>
      </c>
      <c r="AO622" s="64"/>
      <c r="AP622" s="65"/>
      <c r="AQ622" s="72">
        <f t="shared" si="532"/>
        <v>0</v>
      </c>
      <c r="AR622" s="124">
        <f t="shared" si="533"/>
        <v>0</v>
      </c>
    </row>
    <row r="623" spans="2:45" x14ac:dyDescent="0.15">
      <c r="B623" s="6" t="s">
        <v>16</v>
      </c>
      <c r="C623" s="26"/>
      <c r="D623" s="123"/>
      <c r="E623" s="43"/>
      <c r="F623" s="59">
        <f t="shared" si="539"/>
        <v>0</v>
      </c>
      <c r="G623" s="26"/>
      <c r="H623" s="27">
        <v>1</v>
      </c>
      <c r="I623" s="28">
        <v>1</v>
      </c>
      <c r="J623" s="59">
        <f t="shared" si="540"/>
        <v>2</v>
      </c>
      <c r="K623" s="64"/>
      <c r="L623" s="65">
        <v>2</v>
      </c>
      <c r="M623" s="59">
        <f t="shared" si="541"/>
        <v>2</v>
      </c>
      <c r="N623" s="64"/>
      <c r="O623" s="65"/>
      <c r="P623" s="72">
        <f t="shared" si="542"/>
        <v>0</v>
      </c>
      <c r="Q623" s="124">
        <f t="shared" si="543"/>
        <v>4</v>
      </c>
      <c r="R623" s="119">
        <v>46169</v>
      </c>
      <c r="AC623" s="6"/>
      <c r="AD623" s="26"/>
      <c r="AE623" s="123"/>
      <c r="AF623" s="43"/>
      <c r="AG623" s="59">
        <f t="shared" si="529"/>
        <v>0</v>
      </c>
      <c r="AH623" s="26"/>
      <c r="AI623" s="27"/>
      <c r="AJ623" s="28"/>
      <c r="AK623" s="59">
        <f t="shared" si="530"/>
        <v>0</v>
      </c>
      <c r="AL623" s="64"/>
      <c r="AM623" s="65"/>
      <c r="AN623" s="59">
        <f t="shared" si="531"/>
        <v>0</v>
      </c>
      <c r="AO623" s="64"/>
      <c r="AP623" s="65"/>
      <c r="AQ623" s="72">
        <f t="shared" si="532"/>
        <v>0</v>
      </c>
      <c r="AR623" s="124">
        <f t="shared" si="533"/>
        <v>0</v>
      </c>
    </row>
    <row r="624" spans="2:45" x14ac:dyDescent="0.15">
      <c r="B624" s="6" t="s">
        <v>16</v>
      </c>
      <c r="C624" s="26">
        <v>1</v>
      </c>
      <c r="D624" s="123"/>
      <c r="E624" s="43"/>
      <c r="F624" s="59">
        <f t="shared" si="539"/>
        <v>1</v>
      </c>
      <c r="G624" s="26">
        <v>1</v>
      </c>
      <c r="H624" s="27">
        <v>2</v>
      </c>
      <c r="I624" s="28"/>
      <c r="J624" s="59">
        <f t="shared" si="540"/>
        <v>3</v>
      </c>
      <c r="K624" s="64">
        <v>1</v>
      </c>
      <c r="L624" s="65"/>
      <c r="M624" s="59">
        <f t="shared" si="541"/>
        <v>1</v>
      </c>
      <c r="N624" s="64">
        <v>1</v>
      </c>
      <c r="O624" s="65">
        <v>1</v>
      </c>
      <c r="P624" s="72">
        <f t="shared" si="542"/>
        <v>2</v>
      </c>
      <c r="Q624" s="124">
        <f t="shared" si="543"/>
        <v>7</v>
      </c>
      <c r="R624" s="119">
        <v>46170</v>
      </c>
      <c r="AC624" s="6"/>
      <c r="AD624" s="26"/>
      <c r="AE624" s="123"/>
      <c r="AF624" s="43"/>
      <c r="AG624" s="59">
        <f t="shared" si="529"/>
        <v>0</v>
      </c>
      <c r="AH624" s="26"/>
      <c r="AI624" s="27"/>
      <c r="AJ624" s="28"/>
      <c r="AK624" s="59">
        <f t="shared" si="530"/>
        <v>0</v>
      </c>
      <c r="AL624" s="64"/>
      <c r="AM624" s="65"/>
      <c r="AN624" s="59">
        <f t="shared" si="531"/>
        <v>0</v>
      </c>
      <c r="AO624" s="64"/>
      <c r="AP624" s="65"/>
      <c r="AQ624" s="72">
        <f t="shared" si="532"/>
        <v>0</v>
      </c>
      <c r="AR624" s="124">
        <f t="shared" si="533"/>
        <v>0</v>
      </c>
    </row>
    <row r="625" spans="2:44" x14ac:dyDescent="0.15">
      <c r="B625" s="6" t="s">
        <v>16</v>
      </c>
      <c r="C625" s="26"/>
      <c r="D625" s="123"/>
      <c r="E625" s="43"/>
      <c r="F625" s="59">
        <f t="shared" si="539"/>
        <v>0</v>
      </c>
      <c r="G625" s="26"/>
      <c r="H625" s="27"/>
      <c r="I625" s="28"/>
      <c r="J625" s="59">
        <f t="shared" si="540"/>
        <v>0</v>
      </c>
      <c r="K625" s="64"/>
      <c r="L625" s="65">
        <v>1</v>
      </c>
      <c r="M625" s="59">
        <f t="shared" si="541"/>
        <v>1</v>
      </c>
      <c r="N625" s="64">
        <v>1</v>
      </c>
      <c r="O625" s="65">
        <v>1</v>
      </c>
      <c r="P625" s="72">
        <f t="shared" si="542"/>
        <v>2</v>
      </c>
      <c r="Q625" s="124">
        <f t="shared" si="543"/>
        <v>3</v>
      </c>
      <c r="R625" s="119">
        <v>46171</v>
      </c>
      <c r="AC625" s="6"/>
      <c r="AD625" s="26"/>
      <c r="AE625" s="123"/>
      <c r="AF625" s="43"/>
      <c r="AG625" s="59">
        <f t="shared" si="529"/>
        <v>0</v>
      </c>
      <c r="AH625" s="26"/>
      <c r="AI625" s="27"/>
      <c r="AJ625" s="28"/>
      <c r="AK625" s="59">
        <f t="shared" si="530"/>
        <v>0</v>
      </c>
      <c r="AL625" s="64"/>
      <c r="AM625" s="65"/>
      <c r="AN625" s="59">
        <f t="shared" si="531"/>
        <v>0</v>
      </c>
      <c r="AO625" s="64"/>
      <c r="AP625" s="65"/>
      <c r="AQ625" s="72">
        <f t="shared" si="532"/>
        <v>0</v>
      </c>
      <c r="AR625" s="124">
        <f t="shared" si="533"/>
        <v>0</v>
      </c>
    </row>
    <row r="626" spans="2:44" x14ac:dyDescent="0.15">
      <c r="B626" s="6" t="s">
        <v>16</v>
      </c>
      <c r="C626" s="26">
        <v>1</v>
      </c>
      <c r="D626" s="123">
        <v>1</v>
      </c>
      <c r="E626" s="43">
        <v>2</v>
      </c>
      <c r="F626" s="59">
        <f t="shared" si="539"/>
        <v>4</v>
      </c>
      <c r="G626" s="26"/>
      <c r="H626" s="27">
        <v>2</v>
      </c>
      <c r="I626" s="28">
        <v>1</v>
      </c>
      <c r="J626" s="59">
        <f t="shared" si="540"/>
        <v>3</v>
      </c>
      <c r="K626" s="64">
        <v>1</v>
      </c>
      <c r="L626" s="65">
        <v>2</v>
      </c>
      <c r="M626" s="59">
        <f t="shared" si="541"/>
        <v>3</v>
      </c>
      <c r="N626" s="64">
        <v>2</v>
      </c>
      <c r="O626" s="65">
        <v>1</v>
      </c>
      <c r="P626" s="72">
        <f t="shared" si="542"/>
        <v>3</v>
      </c>
      <c r="Q626" s="124">
        <f t="shared" si="543"/>
        <v>13</v>
      </c>
      <c r="R626" s="119">
        <v>46174</v>
      </c>
      <c r="AC626" s="6"/>
      <c r="AD626" s="26"/>
      <c r="AE626" s="123"/>
      <c r="AF626" s="43"/>
      <c r="AG626" s="59">
        <f t="shared" si="529"/>
        <v>0</v>
      </c>
      <c r="AH626" s="26"/>
      <c r="AI626" s="27"/>
      <c r="AJ626" s="28"/>
      <c r="AK626" s="59">
        <f t="shared" si="530"/>
        <v>0</v>
      </c>
      <c r="AL626" s="64"/>
      <c r="AM626" s="65"/>
      <c r="AN626" s="59">
        <f t="shared" si="531"/>
        <v>0</v>
      </c>
      <c r="AO626" s="64"/>
      <c r="AP626" s="65"/>
      <c r="AQ626" s="72">
        <f t="shared" si="532"/>
        <v>0</v>
      </c>
      <c r="AR626" s="124">
        <f t="shared" si="533"/>
        <v>0</v>
      </c>
    </row>
    <row r="627" spans="2:44" x14ac:dyDescent="0.15">
      <c r="B627" s="6" t="s">
        <v>16</v>
      </c>
      <c r="C627" s="26"/>
      <c r="D627" s="123"/>
      <c r="E627" s="43"/>
      <c r="F627" s="59">
        <f t="shared" ref="F627:F636" si="549">SUM(C627:E627)</f>
        <v>0</v>
      </c>
      <c r="G627" s="26"/>
      <c r="H627" s="27">
        <v>2</v>
      </c>
      <c r="I627" s="28"/>
      <c r="J627" s="59">
        <f t="shared" ref="J627:J636" si="550">SUM(G627:I627)</f>
        <v>2</v>
      </c>
      <c r="K627" s="64"/>
      <c r="L627" s="65"/>
      <c r="M627" s="59">
        <f t="shared" ref="M627:M636" si="551">SUM(K627:L627)</f>
        <v>0</v>
      </c>
      <c r="N627" s="64"/>
      <c r="O627" s="65"/>
      <c r="P627" s="72">
        <f t="shared" ref="P627:P636" si="552">SUM(N627:O627)</f>
        <v>0</v>
      </c>
      <c r="Q627" s="124">
        <f t="shared" ref="Q627:Q636" si="553">P627+M627+F627+J627</f>
        <v>2</v>
      </c>
      <c r="R627" s="119">
        <v>46175</v>
      </c>
      <c r="AC627" s="6"/>
      <c r="AD627" s="26"/>
      <c r="AE627" s="123"/>
      <c r="AF627" s="43"/>
      <c r="AG627" s="59">
        <f t="shared" si="529"/>
        <v>0</v>
      </c>
      <c r="AH627" s="26"/>
      <c r="AI627" s="27"/>
      <c r="AJ627" s="28"/>
      <c r="AK627" s="59">
        <f t="shared" si="530"/>
        <v>0</v>
      </c>
      <c r="AL627" s="64"/>
      <c r="AM627" s="65"/>
      <c r="AN627" s="59">
        <f t="shared" si="531"/>
        <v>0</v>
      </c>
      <c r="AO627" s="64"/>
      <c r="AP627" s="65"/>
      <c r="AQ627" s="72">
        <f t="shared" si="532"/>
        <v>0</v>
      </c>
      <c r="AR627" s="124">
        <f t="shared" si="533"/>
        <v>0</v>
      </c>
    </row>
    <row r="628" spans="2:44" x14ac:dyDescent="0.15">
      <c r="B628" s="6" t="s">
        <v>16</v>
      </c>
      <c r="C628" s="26"/>
      <c r="D628" s="123">
        <v>1</v>
      </c>
      <c r="E628" s="43"/>
      <c r="F628" s="59">
        <f t="shared" si="549"/>
        <v>1</v>
      </c>
      <c r="G628" s="26"/>
      <c r="H628" s="27"/>
      <c r="I628" s="28"/>
      <c r="J628" s="59">
        <f t="shared" si="550"/>
        <v>0</v>
      </c>
      <c r="K628" s="64"/>
      <c r="L628" s="65">
        <v>1</v>
      </c>
      <c r="M628" s="59">
        <f t="shared" si="551"/>
        <v>1</v>
      </c>
      <c r="N628" s="64">
        <v>1</v>
      </c>
      <c r="O628" s="65"/>
      <c r="P628" s="72">
        <f t="shared" si="552"/>
        <v>1</v>
      </c>
      <c r="Q628" s="124">
        <f t="shared" si="553"/>
        <v>3</v>
      </c>
      <c r="R628" s="119">
        <v>46176</v>
      </c>
      <c r="AC628" s="6"/>
      <c r="AD628" s="26"/>
      <c r="AE628" s="123"/>
      <c r="AF628" s="43"/>
      <c r="AG628" s="59">
        <f t="shared" si="529"/>
        <v>0</v>
      </c>
      <c r="AH628" s="26"/>
      <c r="AI628" s="27"/>
      <c r="AJ628" s="28"/>
      <c r="AK628" s="59">
        <f t="shared" si="530"/>
        <v>0</v>
      </c>
      <c r="AL628" s="64"/>
      <c r="AM628" s="65"/>
      <c r="AN628" s="59">
        <f t="shared" si="531"/>
        <v>0</v>
      </c>
      <c r="AO628" s="64"/>
      <c r="AP628" s="65"/>
      <c r="AQ628" s="72">
        <f t="shared" si="532"/>
        <v>0</v>
      </c>
      <c r="AR628" s="124">
        <f t="shared" si="533"/>
        <v>0</v>
      </c>
    </row>
    <row r="629" spans="2:44" x14ac:dyDescent="0.15">
      <c r="B629" s="6" t="s">
        <v>16</v>
      </c>
      <c r="C629" s="26"/>
      <c r="D629" s="123"/>
      <c r="E629" s="43"/>
      <c r="F629" s="59">
        <f t="shared" si="549"/>
        <v>0</v>
      </c>
      <c r="G629" s="26"/>
      <c r="H629" s="27"/>
      <c r="I629" s="28">
        <v>2</v>
      </c>
      <c r="J629" s="59">
        <f t="shared" si="550"/>
        <v>2</v>
      </c>
      <c r="K629" s="64">
        <v>2</v>
      </c>
      <c r="L629" s="65"/>
      <c r="M629" s="59">
        <f t="shared" si="551"/>
        <v>2</v>
      </c>
      <c r="N629" s="64"/>
      <c r="O629" s="65"/>
      <c r="P629" s="72">
        <f t="shared" si="552"/>
        <v>0</v>
      </c>
      <c r="Q629" s="124">
        <f t="shared" si="553"/>
        <v>4</v>
      </c>
      <c r="R629" s="119">
        <v>46177</v>
      </c>
      <c r="AC629" s="6"/>
      <c r="AD629" s="26"/>
      <c r="AE629" s="123"/>
      <c r="AF629" s="43"/>
      <c r="AG629" s="59">
        <f t="shared" si="529"/>
        <v>0</v>
      </c>
      <c r="AH629" s="26"/>
      <c r="AI629" s="27"/>
      <c r="AJ629" s="28"/>
      <c r="AK629" s="59">
        <f t="shared" si="530"/>
        <v>0</v>
      </c>
      <c r="AL629" s="64"/>
      <c r="AM629" s="65"/>
      <c r="AN629" s="59">
        <f t="shared" si="531"/>
        <v>0</v>
      </c>
      <c r="AO629" s="64"/>
      <c r="AP629" s="65"/>
      <c r="AQ629" s="72">
        <f t="shared" si="532"/>
        <v>0</v>
      </c>
      <c r="AR629" s="124">
        <f t="shared" si="533"/>
        <v>0</v>
      </c>
    </row>
    <row r="630" spans="2:44" x14ac:dyDescent="0.15">
      <c r="B630" s="6" t="s">
        <v>16</v>
      </c>
      <c r="C630" s="26"/>
      <c r="D630" s="123"/>
      <c r="E630" s="43">
        <v>1</v>
      </c>
      <c r="F630" s="59">
        <f t="shared" si="549"/>
        <v>1</v>
      </c>
      <c r="G630" s="26"/>
      <c r="H630" s="27"/>
      <c r="I630" s="28"/>
      <c r="J630" s="59">
        <f t="shared" si="550"/>
        <v>0</v>
      </c>
      <c r="K630" s="64"/>
      <c r="L630" s="65">
        <v>1</v>
      </c>
      <c r="M630" s="59">
        <f t="shared" si="551"/>
        <v>1</v>
      </c>
      <c r="N630" s="64">
        <v>1</v>
      </c>
      <c r="O630" s="65"/>
      <c r="P630" s="72">
        <f t="shared" si="552"/>
        <v>1</v>
      </c>
      <c r="Q630" s="124">
        <f t="shared" si="553"/>
        <v>3</v>
      </c>
      <c r="R630" s="119">
        <v>46178</v>
      </c>
      <c r="AC630" s="6"/>
      <c r="AD630" s="26"/>
      <c r="AE630" s="123"/>
      <c r="AF630" s="43"/>
      <c r="AG630" s="59">
        <f t="shared" si="529"/>
        <v>0</v>
      </c>
      <c r="AH630" s="26"/>
      <c r="AI630" s="27"/>
      <c r="AJ630" s="28"/>
      <c r="AK630" s="59">
        <f t="shared" si="530"/>
        <v>0</v>
      </c>
      <c r="AL630" s="64"/>
      <c r="AM630" s="65"/>
      <c r="AN630" s="59">
        <f t="shared" si="531"/>
        <v>0</v>
      </c>
      <c r="AO630" s="64"/>
      <c r="AP630" s="65"/>
      <c r="AQ630" s="72">
        <f t="shared" si="532"/>
        <v>0</v>
      </c>
      <c r="AR630" s="124">
        <f t="shared" si="533"/>
        <v>0</v>
      </c>
    </row>
    <row r="631" spans="2:44" x14ac:dyDescent="0.15">
      <c r="B631" s="6" t="s">
        <v>16</v>
      </c>
      <c r="C631" s="26">
        <v>2</v>
      </c>
      <c r="D631" s="123"/>
      <c r="E631" s="43">
        <v>1</v>
      </c>
      <c r="F631" s="59">
        <f t="shared" si="549"/>
        <v>3</v>
      </c>
      <c r="G631" s="26">
        <v>1</v>
      </c>
      <c r="H631" s="27"/>
      <c r="I631" s="28"/>
      <c r="J631" s="59">
        <f t="shared" si="550"/>
        <v>1</v>
      </c>
      <c r="K631" s="64"/>
      <c r="L631" s="65"/>
      <c r="M631" s="59">
        <f t="shared" si="551"/>
        <v>0</v>
      </c>
      <c r="N631" s="64"/>
      <c r="O631" s="65"/>
      <c r="P631" s="72">
        <f t="shared" si="552"/>
        <v>0</v>
      </c>
      <c r="Q631" s="124">
        <f t="shared" si="553"/>
        <v>4</v>
      </c>
      <c r="R631" s="119">
        <v>46181</v>
      </c>
      <c r="AC631" s="6"/>
      <c r="AD631" s="26"/>
      <c r="AE631" s="123"/>
      <c r="AF631" s="43"/>
      <c r="AG631" s="59">
        <f t="shared" si="529"/>
        <v>0</v>
      </c>
      <c r="AH631" s="26"/>
      <c r="AI631" s="27"/>
      <c r="AJ631" s="28"/>
      <c r="AK631" s="59">
        <f t="shared" si="530"/>
        <v>0</v>
      </c>
      <c r="AL631" s="64"/>
      <c r="AM631" s="65"/>
      <c r="AN631" s="59">
        <f t="shared" si="531"/>
        <v>0</v>
      </c>
      <c r="AO631" s="64"/>
      <c r="AP631" s="65"/>
      <c r="AQ631" s="72">
        <f t="shared" si="532"/>
        <v>0</v>
      </c>
      <c r="AR631" s="124">
        <f t="shared" si="533"/>
        <v>0</v>
      </c>
    </row>
    <row r="632" spans="2:44" x14ac:dyDescent="0.15">
      <c r="B632" s="6" t="s">
        <v>16</v>
      </c>
      <c r="C632" s="26"/>
      <c r="D632" s="123"/>
      <c r="E632" s="43"/>
      <c r="F632" s="59">
        <f t="shared" si="549"/>
        <v>0</v>
      </c>
      <c r="G632" s="26"/>
      <c r="H632" s="27"/>
      <c r="I632" s="28"/>
      <c r="J632" s="59">
        <f t="shared" si="550"/>
        <v>0</v>
      </c>
      <c r="K632" s="64"/>
      <c r="L632" s="65">
        <v>1</v>
      </c>
      <c r="M632" s="59">
        <f t="shared" si="551"/>
        <v>1</v>
      </c>
      <c r="N632" s="64"/>
      <c r="O632" s="65"/>
      <c r="P632" s="72">
        <f t="shared" si="552"/>
        <v>0</v>
      </c>
      <c r="Q632" s="124">
        <f t="shared" si="553"/>
        <v>1</v>
      </c>
      <c r="R632" s="119">
        <v>46182</v>
      </c>
      <c r="AC632" s="6"/>
      <c r="AD632" s="26"/>
      <c r="AE632" s="123"/>
      <c r="AF632" s="43"/>
      <c r="AG632" s="59">
        <f t="shared" si="529"/>
        <v>0</v>
      </c>
      <c r="AH632" s="26"/>
      <c r="AI632" s="27"/>
      <c r="AJ632" s="28"/>
      <c r="AK632" s="59">
        <f t="shared" si="530"/>
        <v>0</v>
      </c>
      <c r="AL632" s="64"/>
      <c r="AM632" s="65"/>
      <c r="AN632" s="59">
        <f t="shared" si="531"/>
        <v>0</v>
      </c>
      <c r="AO632" s="64"/>
      <c r="AP632" s="65"/>
      <c r="AQ632" s="72">
        <f t="shared" si="532"/>
        <v>0</v>
      </c>
      <c r="AR632" s="124">
        <f t="shared" si="533"/>
        <v>0</v>
      </c>
    </row>
    <row r="633" spans="2:44" x14ac:dyDescent="0.15">
      <c r="B633" s="6" t="s">
        <v>16</v>
      </c>
      <c r="C633" s="26"/>
      <c r="D633" s="123"/>
      <c r="E633" s="43"/>
      <c r="F633" s="59">
        <f t="shared" si="549"/>
        <v>0</v>
      </c>
      <c r="G633" s="26"/>
      <c r="H633" s="27"/>
      <c r="I633" s="28"/>
      <c r="J633" s="59">
        <f t="shared" si="550"/>
        <v>0</v>
      </c>
      <c r="K633" s="64"/>
      <c r="L633" s="65"/>
      <c r="M633" s="59">
        <f t="shared" si="551"/>
        <v>0</v>
      </c>
      <c r="N633" s="64">
        <v>1</v>
      </c>
      <c r="O633" s="65"/>
      <c r="P633" s="72">
        <f t="shared" si="552"/>
        <v>1</v>
      </c>
      <c r="Q633" s="124">
        <f t="shared" si="553"/>
        <v>1</v>
      </c>
      <c r="R633" s="119">
        <v>46183</v>
      </c>
      <c r="AC633" s="6"/>
      <c r="AD633" s="26"/>
      <c r="AE633" s="123"/>
      <c r="AF633" s="43"/>
      <c r="AG633" s="59">
        <f t="shared" si="529"/>
        <v>0</v>
      </c>
      <c r="AH633" s="26"/>
      <c r="AI633" s="27"/>
      <c r="AJ633" s="28"/>
      <c r="AK633" s="59">
        <f t="shared" si="530"/>
        <v>0</v>
      </c>
      <c r="AL633" s="64"/>
      <c r="AM633" s="65"/>
      <c r="AN633" s="59">
        <f t="shared" si="531"/>
        <v>0</v>
      </c>
      <c r="AO633" s="64"/>
      <c r="AP633" s="65"/>
      <c r="AQ633" s="72">
        <f t="shared" si="532"/>
        <v>0</v>
      </c>
      <c r="AR633" s="124">
        <f t="shared" si="533"/>
        <v>0</v>
      </c>
    </row>
    <row r="634" spans="2:44" x14ac:dyDescent="0.15">
      <c r="B634" s="6" t="s">
        <v>16</v>
      </c>
      <c r="C634" s="26"/>
      <c r="D634" s="123"/>
      <c r="E634" s="43"/>
      <c r="F634" s="59">
        <f t="shared" si="549"/>
        <v>0</v>
      </c>
      <c r="G634" s="26"/>
      <c r="H634" s="27">
        <v>1</v>
      </c>
      <c r="I634" s="28"/>
      <c r="J634" s="59">
        <f t="shared" si="550"/>
        <v>1</v>
      </c>
      <c r="K634" s="64"/>
      <c r="L634" s="65"/>
      <c r="M634" s="59">
        <f t="shared" si="551"/>
        <v>0</v>
      </c>
      <c r="N634" s="64">
        <v>1</v>
      </c>
      <c r="O634" s="65"/>
      <c r="P634" s="72">
        <f t="shared" si="552"/>
        <v>1</v>
      </c>
      <c r="Q634" s="124">
        <f t="shared" si="553"/>
        <v>2</v>
      </c>
      <c r="R634" s="119">
        <v>46184</v>
      </c>
      <c r="AC634" s="6"/>
      <c r="AD634" s="26"/>
      <c r="AE634" s="123"/>
      <c r="AF634" s="43"/>
      <c r="AG634" s="59">
        <f t="shared" si="529"/>
        <v>0</v>
      </c>
      <c r="AH634" s="26"/>
      <c r="AI634" s="27"/>
      <c r="AJ634" s="28"/>
      <c r="AK634" s="59">
        <f t="shared" si="530"/>
        <v>0</v>
      </c>
      <c r="AL634" s="64"/>
      <c r="AM634" s="65"/>
      <c r="AN634" s="59">
        <f t="shared" si="531"/>
        <v>0</v>
      </c>
      <c r="AO634" s="64"/>
      <c r="AP634" s="65"/>
      <c r="AQ634" s="72">
        <f t="shared" si="532"/>
        <v>0</v>
      </c>
      <c r="AR634" s="124">
        <f t="shared" si="533"/>
        <v>0</v>
      </c>
    </row>
    <row r="635" spans="2:44" x14ac:dyDescent="0.15">
      <c r="B635" s="6" t="s">
        <v>16</v>
      </c>
      <c r="C635" s="26"/>
      <c r="D635" s="123"/>
      <c r="E635" s="43"/>
      <c r="F635" s="59">
        <f t="shared" si="549"/>
        <v>0</v>
      </c>
      <c r="G635" s="26">
        <v>1</v>
      </c>
      <c r="H635" s="27"/>
      <c r="I635" s="28"/>
      <c r="J635" s="59">
        <f t="shared" si="550"/>
        <v>1</v>
      </c>
      <c r="K635" s="64"/>
      <c r="L635" s="65"/>
      <c r="M635" s="59">
        <f t="shared" si="551"/>
        <v>0</v>
      </c>
      <c r="N635" s="64">
        <v>2</v>
      </c>
      <c r="O635" s="65"/>
      <c r="P635" s="72">
        <f t="shared" si="552"/>
        <v>2</v>
      </c>
      <c r="Q635" s="124">
        <f t="shared" si="553"/>
        <v>3</v>
      </c>
      <c r="R635" s="119">
        <v>46185</v>
      </c>
      <c r="AC635" s="6"/>
      <c r="AD635" s="26"/>
      <c r="AE635" s="123"/>
      <c r="AF635" s="43"/>
      <c r="AG635" s="59">
        <f t="shared" si="529"/>
        <v>0</v>
      </c>
      <c r="AH635" s="26"/>
      <c r="AI635" s="27"/>
      <c r="AJ635" s="28"/>
      <c r="AK635" s="59">
        <f t="shared" si="530"/>
        <v>0</v>
      </c>
      <c r="AL635" s="64"/>
      <c r="AM635" s="65"/>
      <c r="AN635" s="59">
        <f t="shared" si="531"/>
        <v>0</v>
      </c>
      <c r="AO635" s="64"/>
      <c r="AP635" s="65"/>
      <c r="AQ635" s="72">
        <f t="shared" si="532"/>
        <v>0</v>
      </c>
      <c r="AR635" s="124">
        <f t="shared" si="533"/>
        <v>0</v>
      </c>
    </row>
    <row r="636" spans="2:44" x14ac:dyDescent="0.15">
      <c r="B636" s="6" t="s">
        <v>16</v>
      </c>
      <c r="C636" s="26"/>
      <c r="D636" s="123">
        <v>1</v>
      </c>
      <c r="E636" s="43"/>
      <c r="F636" s="59">
        <f t="shared" si="549"/>
        <v>1</v>
      </c>
      <c r="G636" s="26">
        <v>1</v>
      </c>
      <c r="H636" s="27"/>
      <c r="I636" s="28"/>
      <c r="J636" s="59">
        <f t="shared" si="550"/>
        <v>1</v>
      </c>
      <c r="K636" s="64"/>
      <c r="L636" s="65"/>
      <c r="M636" s="59">
        <f t="shared" si="551"/>
        <v>0</v>
      </c>
      <c r="N636" s="64">
        <v>1</v>
      </c>
      <c r="O636" s="65"/>
      <c r="P636" s="72">
        <f t="shared" si="552"/>
        <v>1</v>
      </c>
      <c r="Q636" s="124">
        <f t="shared" si="553"/>
        <v>3</v>
      </c>
      <c r="R636" s="119">
        <v>46188</v>
      </c>
      <c r="AC636" s="6"/>
      <c r="AD636" s="26"/>
      <c r="AE636" s="123"/>
      <c r="AF636" s="43"/>
      <c r="AG636" s="59">
        <f t="shared" si="529"/>
        <v>0</v>
      </c>
      <c r="AH636" s="26"/>
      <c r="AI636" s="27"/>
      <c r="AJ636" s="28"/>
      <c r="AK636" s="59">
        <f t="shared" si="530"/>
        <v>0</v>
      </c>
      <c r="AL636" s="64"/>
      <c r="AM636" s="65"/>
      <c r="AN636" s="59">
        <f t="shared" si="531"/>
        <v>0</v>
      </c>
      <c r="AO636" s="64"/>
      <c r="AP636" s="65"/>
      <c r="AQ636" s="72">
        <f t="shared" si="532"/>
        <v>0</v>
      </c>
      <c r="AR636" s="124">
        <f t="shared" si="533"/>
        <v>0</v>
      </c>
    </row>
    <row r="637" spans="2:44" ht="14.25" thickBot="1" x14ac:dyDescent="0.2">
      <c r="B637" s="6" t="s">
        <v>16</v>
      </c>
      <c r="C637" s="26"/>
      <c r="D637" s="123"/>
      <c r="E637" s="43"/>
      <c r="F637" s="59">
        <f t="shared" ref="F637" si="554">SUM(C637:E637)</f>
        <v>0</v>
      </c>
      <c r="G637" s="26"/>
      <c r="H637" s="27"/>
      <c r="I637" s="28">
        <v>1</v>
      </c>
      <c r="J637" s="59">
        <f t="shared" ref="J637" si="555">SUM(G637:I637)</f>
        <v>1</v>
      </c>
      <c r="K637" s="64"/>
      <c r="L637" s="65"/>
      <c r="M637" s="59">
        <f t="shared" ref="M637" si="556">SUM(K637:L637)</f>
        <v>0</v>
      </c>
      <c r="N637" s="64"/>
      <c r="O637" s="65"/>
      <c r="P637" s="72">
        <f t="shared" ref="P637" si="557">SUM(N637:O637)</f>
        <v>0</v>
      </c>
      <c r="Q637" s="124">
        <f t="shared" ref="Q637" si="558">P637+M637+F637+J637</f>
        <v>1</v>
      </c>
      <c r="R637" s="119">
        <v>46191</v>
      </c>
      <c r="AC637" s="6"/>
      <c r="AD637" s="26"/>
      <c r="AE637" s="123"/>
      <c r="AF637" s="43"/>
      <c r="AG637" s="59">
        <f t="shared" ref="AG637" si="559">SUM(AD637:AF637)</f>
        <v>0</v>
      </c>
      <c r="AH637" s="26"/>
      <c r="AI637" s="27"/>
      <c r="AJ637" s="28"/>
      <c r="AK637" s="59">
        <f t="shared" ref="AK637" si="560">SUM(AH637:AJ637)</f>
        <v>0</v>
      </c>
      <c r="AL637" s="64"/>
      <c r="AM637" s="65"/>
      <c r="AN637" s="59">
        <f t="shared" ref="AN637" si="561">SUM(AL637:AM637)</f>
        <v>0</v>
      </c>
      <c r="AO637" s="64"/>
      <c r="AP637" s="65"/>
      <c r="AQ637" s="72">
        <f t="shared" ref="AQ637" si="562">SUM(AO637:AP637)</f>
        <v>0</v>
      </c>
      <c r="AR637" s="124">
        <f t="shared" ref="AR637" si="563">AQ637+AN637+AG637+AK637</f>
        <v>0</v>
      </c>
    </row>
    <row r="638" spans="2:44" ht="14.25" thickBot="1" x14ac:dyDescent="0.2">
      <c r="B638" s="5" t="s">
        <v>2</v>
      </c>
      <c r="C638" s="32">
        <f>SUM(C613:C637)</f>
        <v>9</v>
      </c>
      <c r="D638" s="132">
        <f t="shared" ref="D638:Q638" si="564">SUM(D613:D637)</f>
        <v>6</v>
      </c>
      <c r="E638" s="34">
        <f t="shared" si="564"/>
        <v>8</v>
      </c>
      <c r="F638" s="4">
        <f t="shared" si="564"/>
        <v>23</v>
      </c>
      <c r="G638" s="32">
        <f t="shared" si="564"/>
        <v>8</v>
      </c>
      <c r="H638" s="33">
        <f t="shared" si="564"/>
        <v>8</v>
      </c>
      <c r="I638" s="34">
        <f t="shared" si="564"/>
        <v>11</v>
      </c>
      <c r="J638" s="4">
        <f t="shared" si="564"/>
        <v>27</v>
      </c>
      <c r="K638" s="68">
        <f t="shared" si="564"/>
        <v>10</v>
      </c>
      <c r="L638" s="69">
        <f t="shared" si="564"/>
        <v>14</v>
      </c>
      <c r="M638" s="4">
        <f t="shared" si="564"/>
        <v>24</v>
      </c>
      <c r="N638" s="157">
        <f t="shared" si="564"/>
        <v>12</v>
      </c>
      <c r="O638" s="145">
        <f t="shared" si="564"/>
        <v>6</v>
      </c>
      <c r="P638" s="58">
        <f t="shared" si="564"/>
        <v>18</v>
      </c>
      <c r="Q638" s="88">
        <f t="shared" si="564"/>
        <v>92</v>
      </c>
      <c r="R638" s="116"/>
      <c r="AC638" s="5" t="s">
        <v>2</v>
      </c>
      <c r="AD638" s="32">
        <f t="shared" ref="AD638:AF638" si="565">SUM(AD613:AD637)</f>
        <v>30</v>
      </c>
      <c r="AE638" s="132">
        <f t="shared" si="565"/>
        <v>10</v>
      </c>
      <c r="AF638" s="34">
        <f t="shared" si="565"/>
        <v>20</v>
      </c>
      <c r="AG638" s="4">
        <f t="shared" si="529"/>
        <v>60</v>
      </c>
      <c r="AH638" s="32">
        <f>SUM(AH613:AH637)</f>
        <v>20</v>
      </c>
      <c r="AI638" s="33">
        <f t="shared" ref="AI638:AJ638" si="566">SUM(AI613:AI637)</f>
        <v>20</v>
      </c>
      <c r="AJ638" s="34">
        <f t="shared" si="566"/>
        <v>20</v>
      </c>
      <c r="AK638" s="4">
        <f t="shared" si="530"/>
        <v>60</v>
      </c>
      <c r="AL638" s="68">
        <f t="shared" ref="AL638:AM638" si="567">SUM(AL613:AL637)</f>
        <v>20</v>
      </c>
      <c r="AM638" s="69">
        <f t="shared" si="567"/>
        <v>30</v>
      </c>
      <c r="AN638" s="4">
        <f t="shared" si="531"/>
        <v>50</v>
      </c>
      <c r="AO638" s="157">
        <f t="shared" ref="AO638:AP638" si="568">SUM(AO613:AO637)</f>
        <v>0</v>
      </c>
      <c r="AP638" s="145">
        <f t="shared" si="568"/>
        <v>0</v>
      </c>
      <c r="AQ638" s="58">
        <f t="shared" si="532"/>
        <v>0</v>
      </c>
      <c r="AR638" s="88">
        <f t="shared" si="533"/>
        <v>170</v>
      </c>
    </row>
    <row r="639" spans="2:44" ht="14.25" thickBot="1" x14ac:dyDescent="0.2">
      <c r="B639" s="3" t="s">
        <v>3</v>
      </c>
      <c r="C639" s="70">
        <f>+C612-C638</f>
        <v>17</v>
      </c>
      <c r="D639" s="86">
        <f t="shared" ref="D639:Q639" si="569">+D612-D638</f>
        <v>10</v>
      </c>
      <c r="E639" s="85">
        <f t="shared" si="569"/>
        <v>12</v>
      </c>
      <c r="F639" s="61">
        <f t="shared" si="569"/>
        <v>39</v>
      </c>
      <c r="G639" s="70">
        <f t="shared" si="569"/>
        <v>14</v>
      </c>
      <c r="H639" s="84">
        <f t="shared" si="569"/>
        <v>16</v>
      </c>
      <c r="I639" s="85">
        <f t="shared" si="569"/>
        <v>12</v>
      </c>
      <c r="J639" s="61">
        <f t="shared" si="569"/>
        <v>42</v>
      </c>
      <c r="K639" s="81">
        <f t="shared" si="569"/>
        <v>10</v>
      </c>
      <c r="L639" s="71">
        <f t="shared" si="569"/>
        <v>18</v>
      </c>
      <c r="M639" s="61">
        <f t="shared" si="569"/>
        <v>28</v>
      </c>
      <c r="N639" s="158">
        <f t="shared" si="569"/>
        <v>0</v>
      </c>
      <c r="O639" s="137">
        <f t="shared" si="569"/>
        <v>0</v>
      </c>
      <c r="P639" s="73">
        <f t="shared" si="569"/>
        <v>0</v>
      </c>
      <c r="Q639" s="88">
        <f t="shared" si="569"/>
        <v>109</v>
      </c>
      <c r="R639" s="116"/>
      <c r="AC639" s="3" t="s">
        <v>3</v>
      </c>
      <c r="AD639" s="70">
        <f>+AD612-AD638</f>
        <v>70</v>
      </c>
      <c r="AE639" s="86">
        <f>+AE612-AE638</f>
        <v>110</v>
      </c>
      <c r="AF639" s="85">
        <f t="shared" ref="AF639" si="570">+AF612-AF638</f>
        <v>70</v>
      </c>
      <c r="AG639" s="61">
        <f t="shared" si="529"/>
        <v>250</v>
      </c>
      <c r="AH639" s="70">
        <f>+AH612-AH638</f>
        <v>10</v>
      </c>
      <c r="AI639" s="84">
        <f t="shared" ref="AI639:AJ639" si="571">+AI612-AI638</f>
        <v>10</v>
      </c>
      <c r="AJ639" s="85">
        <f t="shared" si="571"/>
        <v>20</v>
      </c>
      <c r="AK639" s="61">
        <f t="shared" si="530"/>
        <v>40</v>
      </c>
      <c r="AL639" s="81">
        <f>+AL612-AL638</f>
        <v>30</v>
      </c>
      <c r="AM639" s="71">
        <f>+AM612-AM638</f>
        <v>20</v>
      </c>
      <c r="AN639" s="61">
        <f t="shared" si="531"/>
        <v>50</v>
      </c>
      <c r="AO639" s="158">
        <f>+AO612-AO638</f>
        <v>0</v>
      </c>
      <c r="AP639" s="137">
        <f>+AP612-AP638</f>
        <v>0</v>
      </c>
      <c r="AQ639" s="73">
        <f t="shared" si="532"/>
        <v>0</v>
      </c>
      <c r="AR639" s="151">
        <f t="shared" si="533"/>
        <v>340</v>
      </c>
    </row>
    <row r="642" spans="2:44" ht="18.75" x14ac:dyDescent="0.2">
      <c r="B642" s="89" t="s">
        <v>7</v>
      </c>
      <c r="C642" s="90"/>
      <c r="D642" s="90"/>
      <c r="E642" s="90"/>
      <c r="F642" s="90"/>
      <c r="G642" s="90"/>
      <c r="H642" s="90"/>
      <c r="I642" s="90"/>
      <c r="J642" s="90"/>
      <c r="K642" s="90"/>
      <c r="L642" s="90"/>
      <c r="M642" s="90"/>
      <c r="N642" s="90"/>
      <c r="O642" s="89"/>
      <c r="P642" s="90"/>
      <c r="Q642" s="90"/>
      <c r="AC642" s="89" t="s">
        <v>7</v>
      </c>
      <c r="AD642" s="90"/>
      <c r="AE642" s="90"/>
      <c r="AF642" s="90"/>
      <c r="AG642" s="90"/>
      <c r="AH642" s="90"/>
      <c r="AI642" s="89"/>
      <c r="AJ642" s="90"/>
      <c r="AK642" s="90"/>
      <c r="AL642" s="90"/>
      <c r="AM642" s="90"/>
      <c r="AN642" s="90"/>
      <c r="AO642" s="90"/>
      <c r="AP642" s="90"/>
      <c r="AQ642" s="90"/>
      <c r="AR642" s="90"/>
    </row>
    <row r="643" spans="2:44" ht="18" thickBot="1" x14ac:dyDescent="0.25">
      <c r="B643" s="91" t="s">
        <v>70</v>
      </c>
      <c r="C643" s="90"/>
      <c r="D643" s="90"/>
      <c r="E643" s="90"/>
      <c r="F643" s="90"/>
      <c r="G643" s="90"/>
      <c r="H643" s="90"/>
      <c r="I643" s="91"/>
      <c r="J643" s="90"/>
      <c r="K643" s="90"/>
      <c r="L643" s="90"/>
      <c r="M643" s="90"/>
      <c r="N643" s="90"/>
      <c r="O643" s="91"/>
      <c r="P643" s="90"/>
      <c r="Q643" s="90"/>
      <c r="AC643" s="91" t="s">
        <v>70</v>
      </c>
      <c r="AD643" s="90"/>
      <c r="AE643" s="90"/>
      <c r="AF643" s="90"/>
      <c r="AG643" s="90"/>
      <c r="AH643" s="90"/>
      <c r="AI643" s="91"/>
      <c r="AJ643" s="90"/>
      <c r="AK643" s="90"/>
      <c r="AL643" s="90"/>
      <c r="AM643" s="90"/>
      <c r="AN643" s="90"/>
      <c r="AO643" s="91"/>
      <c r="AP643" s="91"/>
      <c r="AQ643" s="91"/>
      <c r="AR643" s="91"/>
    </row>
    <row r="644" spans="2:44" ht="14.25" thickBot="1" x14ac:dyDescent="0.2">
      <c r="B644" s="92"/>
      <c r="C644" s="205" t="s">
        <v>63</v>
      </c>
      <c r="D644" s="206"/>
      <c r="E644" s="206"/>
      <c r="F644" s="206"/>
      <c r="G644" s="205" t="s">
        <v>61</v>
      </c>
      <c r="H644" s="206"/>
      <c r="I644" s="206"/>
      <c r="J644" s="207"/>
      <c r="K644" s="205" t="s">
        <v>65</v>
      </c>
      <c r="L644" s="206"/>
      <c r="M644" s="207"/>
      <c r="N644" s="208" t="s">
        <v>68</v>
      </c>
      <c r="O644" s="209"/>
      <c r="P644" s="210"/>
      <c r="Q644" s="93"/>
      <c r="AC644" s="92"/>
      <c r="AD644" s="205" t="s">
        <v>63</v>
      </c>
      <c r="AE644" s="206"/>
      <c r="AF644" s="206"/>
      <c r="AG644" s="206"/>
      <c r="AH644" s="205" t="s">
        <v>61</v>
      </c>
      <c r="AI644" s="206"/>
      <c r="AJ644" s="206"/>
      <c r="AK644" s="207"/>
      <c r="AL644" s="205" t="s">
        <v>65</v>
      </c>
      <c r="AM644" s="206"/>
      <c r="AN644" s="207"/>
      <c r="AO644" s="208" t="s">
        <v>68</v>
      </c>
      <c r="AP644" s="209"/>
      <c r="AQ644" s="210"/>
      <c r="AR644" s="93"/>
    </row>
    <row r="645" spans="2:44" ht="14.25" thickBot="1" x14ac:dyDescent="0.2">
      <c r="B645" s="94"/>
      <c r="C645" s="104" t="s">
        <v>9</v>
      </c>
      <c r="D645" s="107" t="s">
        <v>50</v>
      </c>
      <c r="E645" s="108" t="s">
        <v>6</v>
      </c>
      <c r="F645" s="94" t="s">
        <v>0</v>
      </c>
      <c r="G645" s="104" t="s">
        <v>9</v>
      </c>
      <c r="H645" s="105" t="s">
        <v>13</v>
      </c>
      <c r="I645" s="106" t="s">
        <v>62</v>
      </c>
      <c r="J645" s="98" t="s">
        <v>0</v>
      </c>
      <c r="K645" s="109" t="s">
        <v>69</v>
      </c>
      <c r="L645" s="110" t="s">
        <v>10</v>
      </c>
      <c r="M645" s="103" t="s">
        <v>0</v>
      </c>
      <c r="N645" s="111" t="s">
        <v>62</v>
      </c>
      <c r="O645" s="110" t="s">
        <v>10</v>
      </c>
      <c r="P645" s="103" t="s">
        <v>0</v>
      </c>
      <c r="Q645" s="112" t="s">
        <v>0</v>
      </c>
      <c r="AC645" s="94"/>
      <c r="AD645" s="104" t="s">
        <v>9</v>
      </c>
      <c r="AE645" s="107" t="s">
        <v>50</v>
      </c>
      <c r="AF645" s="108" t="s">
        <v>6</v>
      </c>
      <c r="AG645" s="94" t="s">
        <v>0</v>
      </c>
      <c r="AH645" s="104" t="s">
        <v>9</v>
      </c>
      <c r="AI645" s="105" t="s">
        <v>13</v>
      </c>
      <c r="AJ645" s="106" t="s">
        <v>62</v>
      </c>
      <c r="AK645" s="98" t="s">
        <v>0</v>
      </c>
      <c r="AL645" s="109" t="s">
        <v>69</v>
      </c>
      <c r="AM645" s="110" t="s">
        <v>10</v>
      </c>
      <c r="AN645" s="103" t="s">
        <v>0</v>
      </c>
      <c r="AO645" s="111" t="s">
        <v>62</v>
      </c>
      <c r="AP645" s="110" t="s">
        <v>10</v>
      </c>
      <c r="AQ645" s="103" t="s">
        <v>0</v>
      </c>
      <c r="AR645" s="112" t="s">
        <v>0</v>
      </c>
    </row>
    <row r="646" spans="2:44" x14ac:dyDescent="0.15">
      <c r="B646" s="46" t="s">
        <v>3</v>
      </c>
      <c r="C646" s="47">
        <f>C639</f>
        <v>17</v>
      </c>
      <c r="D646" s="79">
        <f t="shared" ref="D646:Q646" si="572">D639</f>
        <v>10</v>
      </c>
      <c r="E646" s="48">
        <f t="shared" si="572"/>
        <v>12</v>
      </c>
      <c r="F646" s="49">
        <f t="shared" si="572"/>
        <v>39</v>
      </c>
      <c r="G646" s="47">
        <f t="shared" si="572"/>
        <v>14</v>
      </c>
      <c r="H646" s="50">
        <f t="shared" si="572"/>
        <v>16</v>
      </c>
      <c r="I646" s="48">
        <f t="shared" si="572"/>
        <v>12</v>
      </c>
      <c r="J646" s="49">
        <f t="shared" si="572"/>
        <v>42</v>
      </c>
      <c r="K646" s="83">
        <f t="shared" si="572"/>
        <v>10</v>
      </c>
      <c r="L646" s="82">
        <f t="shared" si="572"/>
        <v>18</v>
      </c>
      <c r="M646" s="74">
        <f t="shared" si="572"/>
        <v>28</v>
      </c>
      <c r="N646" s="80">
        <f t="shared" si="572"/>
        <v>0</v>
      </c>
      <c r="O646" s="48">
        <f t="shared" si="572"/>
        <v>0</v>
      </c>
      <c r="P646" s="87">
        <f t="shared" si="572"/>
        <v>0</v>
      </c>
      <c r="Q646" s="133">
        <f t="shared" si="572"/>
        <v>109</v>
      </c>
      <c r="AC646" s="46" t="s">
        <v>3</v>
      </c>
      <c r="AD646" s="47">
        <f t="shared" ref="AD646:AR646" si="573">AD639</f>
        <v>70</v>
      </c>
      <c r="AE646" s="79">
        <f t="shared" si="573"/>
        <v>110</v>
      </c>
      <c r="AF646" s="48">
        <f t="shared" si="573"/>
        <v>70</v>
      </c>
      <c r="AG646" s="49">
        <f t="shared" si="573"/>
        <v>250</v>
      </c>
      <c r="AH646" s="47">
        <f t="shared" si="573"/>
        <v>10</v>
      </c>
      <c r="AI646" s="50">
        <f t="shared" si="573"/>
        <v>10</v>
      </c>
      <c r="AJ646" s="48">
        <f t="shared" si="573"/>
        <v>20</v>
      </c>
      <c r="AK646" s="49">
        <f t="shared" si="573"/>
        <v>40</v>
      </c>
      <c r="AL646" s="83">
        <f t="shared" si="573"/>
        <v>30</v>
      </c>
      <c r="AM646" s="82">
        <f t="shared" si="573"/>
        <v>20</v>
      </c>
      <c r="AN646" s="74">
        <f t="shared" si="573"/>
        <v>50</v>
      </c>
      <c r="AO646" s="80">
        <f t="shared" si="573"/>
        <v>0</v>
      </c>
      <c r="AP646" s="48">
        <f t="shared" si="573"/>
        <v>0</v>
      </c>
      <c r="AQ646" s="87">
        <f t="shared" si="573"/>
        <v>0</v>
      </c>
      <c r="AR646" s="133">
        <f t="shared" si="573"/>
        <v>340</v>
      </c>
    </row>
    <row r="647" spans="2:44" x14ac:dyDescent="0.15">
      <c r="B647" s="186" t="s">
        <v>4</v>
      </c>
      <c r="C647" s="187"/>
      <c r="D647" s="188"/>
      <c r="E647" s="189"/>
      <c r="F647" s="190">
        <f t="shared" ref="F647:F651" si="574">SUM(C647:E647)</f>
        <v>0</v>
      </c>
      <c r="G647" s="187"/>
      <c r="H647" s="191"/>
      <c r="I647" s="192"/>
      <c r="J647" s="190">
        <f t="shared" ref="J647:J651" si="575">SUM(G647:I647)</f>
        <v>0</v>
      </c>
      <c r="K647" s="193"/>
      <c r="L647" s="194"/>
      <c r="M647" s="190">
        <f t="shared" ref="M647:M651" si="576">SUM(K647:L647)</f>
        <v>0</v>
      </c>
      <c r="N647" s="193"/>
      <c r="O647" s="194"/>
      <c r="P647" s="195">
        <f t="shared" ref="P647:P651" si="577">SUM(N647:O647)</f>
        <v>0</v>
      </c>
      <c r="Q647" s="196">
        <f t="shared" ref="Q647:Q651" si="578">P647+M647+F647+J647</f>
        <v>0</v>
      </c>
      <c r="AC647" s="11" t="s">
        <v>4</v>
      </c>
      <c r="AD647" s="26"/>
      <c r="AE647" s="123"/>
      <c r="AF647" s="43"/>
      <c r="AG647" s="59">
        <f t="shared" ref="AG647:AG648" si="579">SUM(AD647:AF647)</f>
        <v>0</v>
      </c>
      <c r="AH647" s="26"/>
      <c r="AI647" s="27"/>
      <c r="AJ647" s="28"/>
      <c r="AK647" s="59">
        <f t="shared" ref="AK647:AK648" si="580">SUM(AH647:AJ647)</f>
        <v>0</v>
      </c>
      <c r="AL647" s="64"/>
      <c r="AM647" s="65"/>
      <c r="AN647" s="59">
        <f t="shared" ref="AN647:AN648" si="581">SUM(AL647:AM647)</f>
        <v>0</v>
      </c>
      <c r="AO647" s="64"/>
      <c r="AP647" s="65"/>
      <c r="AQ647" s="72">
        <f t="shared" ref="AQ647:AQ648" si="582">SUM(AO647:AP647)</f>
        <v>0</v>
      </c>
      <c r="AR647" s="124">
        <f t="shared" ref="AR647:AR648" si="583">AQ647+AN647+AG647+AK647</f>
        <v>0</v>
      </c>
    </row>
    <row r="648" spans="2:44" x14ac:dyDescent="0.15">
      <c r="B648" s="11" t="s">
        <v>4</v>
      </c>
      <c r="C648" s="26"/>
      <c r="D648" s="123"/>
      <c r="E648" s="43"/>
      <c r="F648" s="59">
        <f t="shared" si="574"/>
        <v>0</v>
      </c>
      <c r="G648" s="26"/>
      <c r="H648" s="27"/>
      <c r="I648" s="28"/>
      <c r="J648" s="59">
        <f t="shared" si="575"/>
        <v>0</v>
      </c>
      <c r="K648" s="64"/>
      <c r="L648" s="65"/>
      <c r="M648" s="59">
        <f t="shared" si="576"/>
        <v>0</v>
      </c>
      <c r="N648" s="64"/>
      <c r="O648" s="65"/>
      <c r="P648" s="72">
        <f t="shared" si="577"/>
        <v>0</v>
      </c>
      <c r="Q648" s="124">
        <f t="shared" si="578"/>
        <v>0</v>
      </c>
      <c r="AC648" s="11" t="s">
        <v>4</v>
      </c>
      <c r="AD648" s="26"/>
      <c r="AE648" s="123"/>
      <c r="AF648" s="43"/>
      <c r="AG648" s="59">
        <f t="shared" si="579"/>
        <v>0</v>
      </c>
      <c r="AH648" s="26"/>
      <c r="AI648" s="27"/>
      <c r="AJ648" s="28"/>
      <c r="AK648" s="59">
        <f t="shared" si="580"/>
        <v>0</v>
      </c>
      <c r="AL648" s="64"/>
      <c r="AM648" s="65"/>
      <c r="AN648" s="59">
        <f t="shared" si="581"/>
        <v>0</v>
      </c>
      <c r="AO648" s="64"/>
      <c r="AP648" s="65"/>
      <c r="AQ648" s="72">
        <f t="shared" si="582"/>
        <v>0</v>
      </c>
      <c r="AR648" s="124">
        <f t="shared" si="583"/>
        <v>0</v>
      </c>
    </row>
    <row r="649" spans="2:44" x14ac:dyDescent="0.15">
      <c r="B649" s="11" t="s">
        <v>4</v>
      </c>
      <c r="C649" s="26"/>
      <c r="D649" s="123"/>
      <c r="E649" s="43"/>
      <c r="F649" s="59">
        <f t="shared" si="574"/>
        <v>0</v>
      </c>
      <c r="G649" s="26"/>
      <c r="H649" s="27"/>
      <c r="I649" s="28"/>
      <c r="J649" s="59">
        <f t="shared" si="575"/>
        <v>0</v>
      </c>
      <c r="K649" s="64"/>
      <c r="L649" s="65"/>
      <c r="M649" s="59">
        <f t="shared" si="576"/>
        <v>0</v>
      </c>
      <c r="N649" s="64"/>
      <c r="O649" s="65"/>
      <c r="P649" s="72">
        <f t="shared" si="577"/>
        <v>0</v>
      </c>
      <c r="Q649" s="124">
        <f t="shared" si="578"/>
        <v>0</v>
      </c>
      <c r="AC649" s="11" t="s">
        <v>4</v>
      </c>
      <c r="AD649" s="26"/>
      <c r="AE649" s="123"/>
      <c r="AF649" s="43"/>
      <c r="AG649" s="59">
        <f t="shared" ref="AG649:AG679" si="584">SUM(AD649:AF649)</f>
        <v>0</v>
      </c>
      <c r="AH649" s="26"/>
      <c r="AI649" s="27"/>
      <c r="AJ649" s="28"/>
      <c r="AK649" s="59">
        <f t="shared" ref="AK649:AK679" si="585">SUM(AH649:AJ649)</f>
        <v>0</v>
      </c>
      <c r="AL649" s="64"/>
      <c r="AM649" s="65"/>
      <c r="AN649" s="59">
        <f t="shared" ref="AN649:AN679" si="586">SUM(AL649:AM649)</f>
        <v>0</v>
      </c>
      <c r="AO649" s="64"/>
      <c r="AP649" s="65"/>
      <c r="AQ649" s="72">
        <f t="shared" ref="AQ649:AQ679" si="587">SUM(AO649:AP649)</f>
        <v>0</v>
      </c>
      <c r="AR649" s="124">
        <f t="shared" ref="AR649:AR679" si="588">AQ649+AN649+AG649+AK649</f>
        <v>0</v>
      </c>
    </row>
    <row r="650" spans="2:44" x14ac:dyDescent="0.15">
      <c r="B650" s="11" t="s">
        <v>4</v>
      </c>
      <c r="C650" s="26"/>
      <c r="D650" s="123"/>
      <c r="E650" s="43"/>
      <c r="F650" s="59">
        <f t="shared" si="574"/>
        <v>0</v>
      </c>
      <c r="G650" s="26"/>
      <c r="H650" s="27"/>
      <c r="I650" s="28"/>
      <c r="J650" s="59">
        <f t="shared" si="575"/>
        <v>0</v>
      </c>
      <c r="K650" s="64"/>
      <c r="L650" s="65"/>
      <c r="M650" s="59">
        <f t="shared" si="576"/>
        <v>0</v>
      </c>
      <c r="N650" s="64"/>
      <c r="O650" s="65"/>
      <c r="P650" s="72">
        <f t="shared" si="577"/>
        <v>0</v>
      </c>
      <c r="Q650" s="124">
        <f t="shared" si="578"/>
        <v>0</v>
      </c>
      <c r="AC650" s="11" t="s">
        <v>4</v>
      </c>
      <c r="AD650" s="26"/>
      <c r="AE650" s="123"/>
      <c r="AF650" s="43"/>
      <c r="AG650" s="59">
        <f t="shared" si="584"/>
        <v>0</v>
      </c>
      <c r="AH650" s="26"/>
      <c r="AI650" s="27"/>
      <c r="AJ650" s="28"/>
      <c r="AK650" s="59">
        <f t="shared" si="585"/>
        <v>0</v>
      </c>
      <c r="AL650" s="64"/>
      <c r="AM650" s="65"/>
      <c r="AN650" s="59">
        <f t="shared" si="586"/>
        <v>0</v>
      </c>
      <c r="AO650" s="64"/>
      <c r="AP650" s="65"/>
      <c r="AQ650" s="72">
        <f t="shared" si="587"/>
        <v>0</v>
      </c>
      <c r="AR650" s="124">
        <f t="shared" si="588"/>
        <v>0</v>
      </c>
    </row>
    <row r="651" spans="2:44" ht="14.25" thickBot="1" x14ac:dyDescent="0.2">
      <c r="B651" s="11" t="s">
        <v>4</v>
      </c>
      <c r="C651" s="29"/>
      <c r="D651" s="126"/>
      <c r="E651" s="44"/>
      <c r="F651" s="125">
        <f t="shared" si="574"/>
        <v>0</v>
      </c>
      <c r="G651" s="29"/>
      <c r="H651" s="30"/>
      <c r="I651" s="31"/>
      <c r="J651" s="125">
        <f t="shared" si="575"/>
        <v>0</v>
      </c>
      <c r="K651" s="66"/>
      <c r="L651" s="67"/>
      <c r="M651" s="125">
        <f t="shared" si="576"/>
        <v>0</v>
      </c>
      <c r="N651" s="66"/>
      <c r="O651" s="67"/>
      <c r="P651" s="127">
        <f t="shared" si="577"/>
        <v>0</v>
      </c>
      <c r="Q651" s="128">
        <f t="shared" si="578"/>
        <v>0</v>
      </c>
      <c r="AC651" s="11" t="s">
        <v>4</v>
      </c>
      <c r="AD651" s="29"/>
      <c r="AE651" s="126"/>
      <c r="AF651" s="44"/>
      <c r="AG651" s="125">
        <f t="shared" si="584"/>
        <v>0</v>
      </c>
      <c r="AH651" s="29"/>
      <c r="AI651" s="30"/>
      <c r="AJ651" s="31"/>
      <c r="AK651" s="125">
        <f t="shared" si="585"/>
        <v>0</v>
      </c>
      <c r="AL651" s="66"/>
      <c r="AM651" s="67"/>
      <c r="AN651" s="125">
        <f t="shared" si="586"/>
        <v>0</v>
      </c>
      <c r="AO651" s="66"/>
      <c r="AP651" s="67"/>
      <c r="AQ651" s="127">
        <f t="shared" si="587"/>
        <v>0</v>
      </c>
      <c r="AR651" s="128">
        <f t="shared" si="588"/>
        <v>0</v>
      </c>
    </row>
    <row r="652" spans="2:44" ht="14.25" thickBot="1" x14ac:dyDescent="0.2">
      <c r="B652" s="5" t="s">
        <v>1</v>
      </c>
      <c r="C652" s="32">
        <f>SUM(C646:C651)</f>
        <v>17</v>
      </c>
      <c r="D652" s="132">
        <f t="shared" ref="D652:Q652" si="589">SUM(D646:D651)</f>
        <v>10</v>
      </c>
      <c r="E652" s="34">
        <f t="shared" si="589"/>
        <v>12</v>
      </c>
      <c r="F652" s="4">
        <f t="shared" si="589"/>
        <v>39</v>
      </c>
      <c r="G652" s="32">
        <f t="shared" si="589"/>
        <v>14</v>
      </c>
      <c r="H652" s="33">
        <f t="shared" si="589"/>
        <v>16</v>
      </c>
      <c r="I652" s="34">
        <f t="shared" si="589"/>
        <v>12</v>
      </c>
      <c r="J652" s="4">
        <f t="shared" si="589"/>
        <v>42</v>
      </c>
      <c r="K652" s="68">
        <f t="shared" si="589"/>
        <v>10</v>
      </c>
      <c r="L652" s="69">
        <f t="shared" si="589"/>
        <v>18</v>
      </c>
      <c r="M652" s="4">
        <f t="shared" si="589"/>
        <v>28</v>
      </c>
      <c r="N652" s="68">
        <f t="shared" si="589"/>
        <v>0</v>
      </c>
      <c r="O652" s="34">
        <f t="shared" si="589"/>
        <v>0</v>
      </c>
      <c r="P652" s="58">
        <f t="shared" si="589"/>
        <v>0</v>
      </c>
      <c r="Q652" s="88">
        <f t="shared" si="589"/>
        <v>109</v>
      </c>
      <c r="AC652" s="5" t="s">
        <v>1</v>
      </c>
      <c r="AD652" s="32">
        <f t="shared" ref="AD652:AF652" si="590">SUM(AD646:AD651)</f>
        <v>70</v>
      </c>
      <c r="AE652" s="132">
        <f t="shared" si="590"/>
        <v>110</v>
      </c>
      <c r="AF652" s="34">
        <f t="shared" si="590"/>
        <v>70</v>
      </c>
      <c r="AG652" s="4">
        <f t="shared" si="584"/>
        <v>250</v>
      </c>
      <c r="AH652" s="32">
        <f>SUM(AH646:AH651)</f>
        <v>10</v>
      </c>
      <c r="AI652" s="33">
        <f t="shared" ref="AI652:AJ652" si="591">SUM(AI646:AI651)</f>
        <v>10</v>
      </c>
      <c r="AJ652" s="34">
        <f t="shared" si="591"/>
        <v>20</v>
      </c>
      <c r="AK652" s="4">
        <f t="shared" si="585"/>
        <v>40</v>
      </c>
      <c r="AL652" s="68">
        <f t="shared" ref="AL652:AM652" si="592">SUM(AL646:AL651)</f>
        <v>30</v>
      </c>
      <c r="AM652" s="69">
        <f t="shared" si="592"/>
        <v>20</v>
      </c>
      <c r="AN652" s="4">
        <f t="shared" si="586"/>
        <v>50</v>
      </c>
      <c r="AO652" s="68">
        <f>SUM(AO646:AO651)</f>
        <v>0</v>
      </c>
      <c r="AP652" s="34">
        <f t="shared" ref="AP652" si="593">SUM(AP646:AP651)</f>
        <v>0</v>
      </c>
      <c r="AQ652" s="58">
        <f t="shared" si="587"/>
        <v>0</v>
      </c>
      <c r="AR652" s="88">
        <f t="shared" si="588"/>
        <v>340</v>
      </c>
    </row>
    <row r="653" spans="2:44" x14ac:dyDescent="0.15">
      <c r="B653" s="6" t="s">
        <v>92</v>
      </c>
      <c r="C653" s="26">
        <v>1</v>
      </c>
      <c r="D653" s="123">
        <v>1</v>
      </c>
      <c r="E653" s="43"/>
      <c r="F653" s="59">
        <f t="shared" ref="F653:F675" si="594">SUM(C653:E653)</f>
        <v>2</v>
      </c>
      <c r="G653" s="26">
        <v>2</v>
      </c>
      <c r="H653" s="27">
        <v>3</v>
      </c>
      <c r="I653" s="28">
        <v>1</v>
      </c>
      <c r="J653" s="59">
        <f t="shared" ref="J653:J675" si="595">SUM(G653:I653)</f>
        <v>6</v>
      </c>
      <c r="K653" s="64">
        <v>2</v>
      </c>
      <c r="L653" s="65">
        <v>5</v>
      </c>
      <c r="M653" s="59">
        <f t="shared" ref="M653:M675" si="596">SUM(K653:L653)</f>
        <v>7</v>
      </c>
      <c r="N653" s="64"/>
      <c r="O653" s="65"/>
      <c r="P653" s="72">
        <f t="shared" ref="P653:P675" si="597">SUM(N653:O653)</f>
        <v>0</v>
      </c>
      <c r="Q653" s="124">
        <f t="shared" ref="Q653:Q675" si="598">P653+M653+F653+J653</f>
        <v>15</v>
      </c>
      <c r="R653" s="135">
        <v>46218</v>
      </c>
      <c r="AC653" s="6"/>
      <c r="AD653" s="26"/>
      <c r="AE653" s="123"/>
      <c r="AF653" s="43"/>
      <c r="AG653" s="59">
        <f t="shared" ref="AG653:AG659" si="599">SUM(AD653:AF653)</f>
        <v>0</v>
      </c>
      <c r="AH653" s="26"/>
      <c r="AI653" s="27"/>
      <c r="AJ653" s="28"/>
      <c r="AK653" s="59">
        <f t="shared" ref="AK653:AK659" si="600">SUM(AH653:AJ653)</f>
        <v>0</v>
      </c>
      <c r="AL653" s="64"/>
      <c r="AM653" s="65"/>
      <c r="AN653" s="59">
        <f t="shared" ref="AN653:AN659" si="601">SUM(AL653:AM653)</f>
        <v>0</v>
      </c>
      <c r="AO653" s="64"/>
      <c r="AP653" s="65"/>
      <c r="AQ653" s="72">
        <f t="shared" ref="AQ653:AQ659" si="602">SUM(AO653:AP653)</f>
        <v>0</v>
      </c>
      <c r="AR653" s="124">
        <f t="shared" ref="AR653:AR659" si="603">AQ653+AN653+AG653+AK653</f>
        <v>0</v>
      </c>
    </row>
    <row r="654" spans="2:44" x14ac:dyDescent="0.15">
      <c r="B654" s="6"/>
      <c r="C654" s="26"/>
      <c r="D654" s="123"/>
      <c r="E654" s="43"/>
      <c r="F654" s="59">
        <f t="shared" si="594"/>
        <v>0</v>
      </c>
      <c r="G654" s="26"/>
      <c r="H654" s="27"/>
      <c r="I654" s="28"/>
      <c r="J654" s="59">
        <f t="shared" si="595"/>
        <v>0</v>
      </c>
      <c r="K654" s="64"/>
      <c r="L654" s="65"/>
      <c r="M654" s="59">
        <f t="shared" si="596"/>
        <v>0</v>
      </c>
      <c r="N654" s="64"/>
      <c r="O654" s="65"/>
      <c r="P654" s="72">
        <f t="shared" si="597"/>
        <v>0</v>
      </c>
      <c r="Q654" s="124">
        <f t="shared" si="598"/>
        <v>0</v>
      </c>
      <c r="AC654" s="6"/>
      <c r="AD654" s="26"/>
      <c r="AE654" s="123"/>
      <c r="AF654" s="43"/>
      <c r="AG654" s="59">
        <f t="shared" si="599"/>
        <v>0</v>
      </c>
      <c r="AH654" s="26"/>
      <c r="AI654" s="27"/>
      <c r="AJ654" s="28"/>
      <c r="AK654" s="59">
        <f t="shared" si="600"/>
        <v>0</v>
      </c>
      <c r="AL654" s="64"/>
      <c r="AM654" s="65"/>
      <c r="AN654" s="59">
        <f t="shared" si="601"/>
        <v>0</v>
      </c>
      <c r="AO654" s="64"/>
      <c r="AP654" s="65"/>
      <c r="AQ654" s="72">
        <f t="shared" si="602"/>
        <v>0</v>
      </c>
      <c r="AR654" s="124">
        <f t="shared" si="603"/>
        <v>0</v>
      </c>
    </row>
    <row r="655" spans="2:44" x14ac:dyDescent="0.15">
      <c r="B655" s="6"/>
      <c r="C655" s="26"/>
      <c r="D655" s="123"/>
      <c r="E655" s="43"/>
      <c r="F655" s="59">
        <f t="shared" si="594"/>
        <v>0</v>
      </c>
      <c r="G655" s="26"/>
      <c r="H655" s="27"/>
      <c r="I655" s="28"/>
      <c r="J655" s="59">
        <f t="shared" si="595"/>
        <v>0</v>
      </c>
      <c r="K655" s="64"/>
      <c r="L655" s="65"/>
      <c r="M655" s="59">
        <f t="shared" si="596"/>
        <v>0</v>
      </c>
      <c r="N655" s="64"/>
      <c r="O655" s="65"/>
      <c r="P655" s="72">
        <f t="shared" si="597"/>
        <v>0</v>
      </c>
      <c r="Q655" s="124">
        <f t="shared" si="598"/>
        <v>0</v>
      </c>
      <c r="AC655" s="6"/>
      <c r="AD655" s="26"/>
      <c r="AE655" s="123"/>
      <c r="AF655" s="43"/>
      <c r="AG655" s="59">
        <f t="shared" si="599"/>
        <v>0</v>
      </c>
      <c r="AH655" s="26"/>
      <c r="AI655" s="27"/>
      <c r="AJ655" s="28"/>
      <c r="AK655" s="59">
        <f t="shared" si="600"/>
        <v>0</v>
      </c>
      <c r="AL655" s="64"/>
      <c r="AM655" s="65"/>
      <c r="AN655" s="59">
        <f t="shared" si="601"/>
        <v>0</v>
      </c>
      <c r="AO655" s="64"/>
      <c r="AP655" s="65"/>
      <c r="AQ655" s="72">
        <f t="shared" si="602"/>
        <v>0</v>
      </c>
      <c r="AR655" s="124">
        <f t="shared" si="603"/>
        <v>0</v>
      </c>
    </row>
    <row r="656" spans="2:44" x14ac:dyDescent="0.15">
      <c r="B656" s="6"/>
      <c r="C656" s="26"/>
      <c r="D656" s="123"/>
      <c r="E656" s="43"/>
      <c r="F656" s="59">
        <f t="shared" si="594"/>
        <v>0</v>
      </c>
      <c r="G656" s="26"/>
      <c r="H656" s="27"/>
      <c r="I656" s="28"/>
      <c r="J656" s="59">
        <f t="shared" si="595"/>
        <v>0</v>
      </c>
      <c r="K656" s="64"/>
      <c r="L656" s="65"/>
      <c r="M656" s="59">
        <f t="shared" si="596"/>
        <v>0</v>
      </c>
      <c r="N656" s="64"/>
      <c r="O656" s="65"/>
      <c r="P656" s="72">
        <f t="shared" si="597"/>
        <v>0</v>
      </c>
      <c r="Q656" s="124">
        <f t="shared" si="598"/>
        <v>0</v>
      </c>
      <c r="AC656" s="6"/>
      <c r="AD656" s="26"/>
      <c r="AE656" s="123"/>
      <c r="AF656" s="43"/>
      <c r="AG656" s="59">
        <f t="shared" si="599"/>
        <v>0</v>
      </c>
      <c r="AH656" s="26"/>
      <c r="AI656" s="27"/>
      <c r="AJ656" s="28"/>
      <c r="AK656" s="59">
        <f t="shared" si="600"/>
        <v>0</v>
      </c>
      <c r="AL656" s="64"/>
      <c r="AM656" s="65"/>
      <c r="AN656" s="59">
        <f t="shared" si="601"/>
        <v>0</v>
      </c>
      <c r="AO656" s="64"/>
      <c r="AP656" s="65"/>
      <c r="AQ656" s="72">
        <f t="shared" si="602"/>
        <v>0</v>
      </c>
      <c r="AR656" s="124">
        <f t="shared" si="603"/>
        <v>0</v>
      </c>
    </row>
    <row r="657" spans="2:44" x14ac:dyDescent="0.15">
      <c r="B657" s="6"/>
      <c r="C657" s="26"/>
      <c r="D657" s="123"/>
      <c r="E657" s="43"/>
      <c r="F657" s="59">
        <f t="shared" si="594"/>
        <v>0</v>
      </c>
      <c r="G657" s="26"/>
      <c r="H657" s="27"/>
      <c r="I657" s="28"/>
      <c r="J657" s="59">
        <f t="shared" si="595"/>
        <v>0</v>
      </c>
      <c r="K657" s="64"/>
      <c r="L657" s="65"/>
      <c r="M657" s="59">
        <f t="shared" si="596"/>
        <v>0</v>
      </c>
      <c r="N657" s="64"/>
      <c r="O657" s="65"/>
      <c r="P657" s="72">
        <f t="shared" si="597"/>
        <v>0</v>
      </c>
      <c r="Q657" s="124">
        <f t="shared" si="598"/>
        <v>0</v>
      </c>
      <c r="AC657" s="6"/>
      <c r="AD657" s="26"/>
      <c r="AE657" s="123"/>
      <c r="AF657" s="43"/>
      <c r="AG657" s="59">
        <f t="shared" si="599"/>
        <v>0</v>
      </c>
      <c r="AH657" s="26"/>
      <c r="AI657" s="27"/>
      <c r="AJ657" s="28"/>
      <c r="AK657" s="59">
        <f t="shared" si="600"/>
        <v>0</v>
      </c>
      <c r="AL657" s="64"/>
      <c r="AM657" s="65"/>
      <c r="AN657" s="59">
        <f t="shared" si="601"/>
        <v>0</v>
      </c>
      <c r="AO657" s="64"/>
      <c r="AP657" s="65"/>
      <c r="AQ657" s="72">
        <f t="shared" si="602"/>
        <v>0</v>
      </c>
      <c r="AR657" s="124">
        <f t="shared" si="603"/>
        <v>0</v>
      </c>
    </row>
    <row r="658" spans="2:44" x14ac:dyDescent="0.15">
      <c r="B658" s="6"/>
      <c r="C658" s="26"/>
      <c r="D658" s="123"/>
      <c r="E658" s="43"/>
      <c r="F658" s="59">
        <f t="shared" si="594"/>
        <v>0</v>
      </c>
      <c r="G658" s="26"/>
      <c r="H658" s="27"/>
      <c r="I658" s="28"/>
      <c r="J658" s="59">
        <f t="shared" si="595"/>
        <v>0</v>
      </c>
      <c r="K658" s="64"/>
      <c r="L658" s="65"/>
      <c r="M658" s="59">
        <f t="shared" si="596"/>
        <v>0</v>
      </c>
      <c r="N658" s="64"/>
      <c r="O658" s="65"/>
      <c r="P658" s="72">
        <f t="shared" si="597"/>
        <v>0</v>
      </c>
      <c r="Q658" s="124">
        <f t="shared" si="598"/>
        <v>0</v>
      </c>
      <c r="AC658" s="6"/>
      <c r="AD658" s="26"/>
      <c r="AE658" s="123"/>
      <c r="AF658" s="43"/>
      <c r="AG658" s="59">
        <f t="shared" si="599"/>
        <v>0</v>
      </c>
      <c r="AH658" s="26"/>
      <c r="AI658" s="27"/>
      <c r="AJ658" s="28"/>
      <c r="AK658" s="59">
        <f t="shared" si="600"/>
        <v>0</v>
      </c>
      <c r="AL658" s="64"/>
      <c r="AM658" s="65"/>
      <c r="AN658" s="59">
        <f t="shared" si="601"/>
        <v>0</v>
      </c>
      <c r="AO658" s="64"/>
      <c r="AP658" s="65"/>
      <c r="AQ658" s="72">
        <f t="shared" si="602"/>
        <v>0</v>
      </c>
      <c r="AR658" s="124">
        <f t="shared" si="603"/>
        <v>0</v>
      </c>
    </row>
    <row r="659" spans="2:44" x14ac:dyDescent="0.15">
      <c r="B659" s="6"/>
      <c r="C659" s="26"/>
      <c r="D659" s="123"/>
      <c r="E659" s="43"/>
      <c r="F659" s="59">
        <f t="shared" si="594"/>
        <v>0</v>
      </c>
      <c r="G659" s="26"/>
      <c r="H659" s="27"/>
      <c r="I659" s="28"/>
      <c r="J659" s="59">
        <f t="shared" si="595"/>
        <v>0</v>
      </c>
      <c r="K659" s="64"/>
      <c r="L659" s="65"/>
      <c r="M659" s="59">
        <f t="shared" si="596"/>
        <v>0</v>
      </c>
      <c r="N659" s="64"/>
      <c r="O659" s="65"/>
      <c r="P659" s="72">
        <f t="shared" si="597"/>
        <v>0</v>
      </c>
      <c r="Q659" s="124">
        <f t="shared" si="598"/>
        <v>0</v>
      </c>
      <c r="AC659" s="6"/>
      <c r="AD659" s="26"/>
      <c r="AE659" s="123"/>
      <c r="AF659" s="43"/>
      <c r="AG659" s="59">
        <f t="shared" si="599"/>
        <v>0</v>
      </c>
      <c r="AH659" s="26"/>
      <c r="AI659" s="27"/>
      <c r="AJ659" s="28"/>
      <c r="AK659" s="59">
        <f t="shared" si="600"/>
        <v>0</v>
      </c>
      <c r="AL659" s="64"/>
      <c r="AM659" s="65"/>
      <c r="AN659" s="59">
        <f t="shared" si="601"/>
        <v>0</v>
      </c>
      <c r="AO659" s="64"/>
      <c r="AP659" s="65"/>
      <c r="AQ659" s="72">
        <f t="shared" si="602"/>
        <v>0</v>
      </c>
      <c r="AR659" s="124">
        <f t="shared" si="603"/>
        <v>0</v>
      </c>
    </row>
    <row r="660" spans="2:44" x14ac:dyDescent="0.15">
      <c r="B660" s="6"/>
      <c r="C660" s="26"/>
      <c r="D660" s="123"/>
      <c r="E660" s="43"/>
      <c r="F660" s="59">
        <f t="shared" si="594"/>
        <v>0</v>
      </c>
      <c r="G660" s="26"/>
      <c r="H660" s="27"/>
      <c r="I660" s="28"/>
      <c r="J660" s="59">
        <f t="shared" si="595"/>
        <v>0</v>
      </c>
      <c r="K660" s="64"/>
      <c r="L660" s="65"/>
      <c r="M660" s="59">
        <f t="shared" si="596"/>
        <v>0</v>
      </c>
      <c r="N660" s="64"/>
      <c r="O660" s="65"/>
      <c r="P660" s="72">
        <f t="shared" si="597"/>
        <v>0</v>
      </c>
      <c r="Q660" s="124">
        <f t="shared" si="598"/>
        <v>0</v>
      </c>
      <c r="AC660" s="6"/>
      <c r="AD660" s="26"/>
      <c r="AE660" s="123"/>
      <c r="AF660" s="43"/>
      <c r="AG660" s="59">
        <f t="shared" si="584"/>
        <v>0</v>
      </c>
      <c r="AH660" s="26"/>
      <c r="AI660" s="27"/>
      <c r="AJ660" s="28"/>
      <c r="AK660" s="59">
        <f t="shared" si="585"/>
        <v>0</v>
      </c>
      <c r="AL660" s="64"/>
      <c r="AM660" s="65"/>
      <c r="AN660" s="59">
        <f t="shared" si="586"/>
        <v>0</v>
      </c>
      <c r="AO660" s="64"/>
      <c r="AP660" s="65"/>
      <c r="AQ660" s="72">
        <f t="shared" si="587"/>
        <v>0</v>
      </c>
      <c r="AR660" s="124">
        <f t="shared" si="588"/>
        <v>0</v>
      </c>
    </row>
    <row r="661" spans="2:44" x14ac:dyDescent="0.15">
      <c r="B661" s="6"/>
      <c r="C661" s="26"/>
      <c r="D661" s="123"/>
      <c r="E661" s="43"/>
      <c r="F661" s="59">
        <f t="shared" si="594"/>
        <v>0</v>
      </c>
      <c r="G661" s="26"/>
      <c r="H661" s="27"/>
      <c r="I661" s="28"/>
      <c r="J661" s="59">
        <f t="shared" si="595"/>
        <v>0</v>
      </c>
      <c r="K661" s="64"/>
      <c r="L661" s="65"/>
      <c r="M661" s="59">
        <f t="shared" si="596"/>
        <v>0</v>
      </c>
      <c r="N661" s="64"/>
      <c r="O661" s="65"/>
      <c r="P661" s="72">
        <f t="shared" si="597"/>
        <v>0</v>
      </c>
      <c r="Q661" s="124">
        <f t="shared" si="598"/>
        <v>0</v>
      </c>
      <c r="AC661" s="6"/>
      <c r="AD661" s="26"/>
      <c r="AE661" s="123"/>
      <c r="AF661" s="43"/>
      <c r="AG661" s="59">
        <f t="shared" si="584"/>
        <v>0</v>
      </c>
      <c r="AH661" s="26"/>
      <c r="AI661" s="27"/>
      <c r="AJ661" s="28"/>
      <c r="AK661" s="59">
        <f t="shared" si="585"/>
        <v>0</v>
      </c>
      <c r="AL661" s="64"/>
      <c r="AM661" s="65"/>
      <c r="AN661" s="59">
        <f t="shared" si="586"/>
        <v>0</v>
      </c>
      <c r="AO661" s="64"/>
      <c r="AP661" s="65"/>
      <c r="AQ661" s="72">
        <f t="shared" si="587"/>
        <v>0</v>
      </c>
      <c r="AR661" s="124">
        <f t="shared" si="588"/>
        <v>0</v>
      </c>
    </row>
    <row r="662" spans="2:44" x14ac:dyDescent="0.15">
      <c r="B662" s="6"/>
      <c r="C662" s="26"/>
      <c r="D662" s="123"/>
      <c r="E662" s="43"/>
      <c r="F662" s="59">
        <f t="shared" si="594"/>
        <v>0</v>
      </c>
      <c r="G662" s="26"/>
      <c r="H662" s="27"/>
      <c r="I662" s="28"/>
      <c r="J662" s="59">
        <f t="shared" si="595"/>
        <v>0</v>
      </c>
      <c r="K662" s="64"/>
      <c r="L662" s="65"/>
      <c r="M662" s="59">
        <f t="shared" si="596"/>
        <v>0</v>
      </c>
      <c r="N662" s="64"/>
      <c r="O662" s="65"/>
      <c r="P662" s="72">
        <f t="shared" si="597"/>
        <v>0</v>
      </c>
      <c r="Q662" s="124">
        <f t="shared" si="598"/>
        <v>0</v>
      </c>
      <c r="AC662" s="6"/>
      <c r="AD662" s="26"/>
      <c r="AE662" s="123"/>
      <c r="AF662" s="43"/>
      <c r="AG662" s="59">
        <f t="shared" si="584"/>
        <v>0</v>
      </c>
      <c r="AH662" s="26"/>
      <c r="AI662" s="27"/>
      <c r="AJ662" s="28"/>
      <c r="AK662" s="59">
        <f t="shared" si="585"/>
        <v>0</v>
      </c>
      <c r="AL662" s="64"/>
      <c r="AM662" s="65"/>
      <c r="AN662" s="59">
        <f t="shared" si="586"/>
        <v>0</v>
      </c>
      <c r="AO662" s="64"/>
      <c r="AP662" s="65"/>
      <c r="AQ662" s="72">
        <f t="shared" si="587"/>
        <v>0</v>
      </c>
      <c r="AR662" s="124">
        <f t="shared" si="588"/>
        <v>0</v>
      </c>
    </row>
    <row r="663" spans="2:44" x14ac:dyDescent="0.15">
      <c r="B663" s="6"/>
      <c r="C663" s="26"/>
      <c r="D663" s="123"/>
      <c r="E663" s="43"/>
      <c r="F663" s="59">
        <f t="shared" si="594"/>
        <v>0</v>
      </c>
      <c r="G663" s="26"/>
      <c r="H663" s="27"/>
      <c r="I663" s="28"/>
      <c r="J663" s="59">
        <f t="shared" si="595"/>
        <v>0</v>
      </c>
      <c r="K663" s="64"/>
      <c r="L663" s="65"/>
      <c r="M663" s="59">
        <f t="shared" si="596"/>
        <v>0</v>
      </c>
      <c r="N663" s="64"/>
      <c r="O663" s="65"/>
      <c r="P663" s="72">
        <f t="shared" si="597"/>
        <v>0</v>
      </c>
      <c r="Q663" s="124">
        <f t="shared" si="598"/>
        <v>0</v>
      </c>
      <c r="AC663" s="6"/>
      <c r="AD663" s="26"/>
      <c r="AE663" s="123"/>
      <c r="AF663" s="43"/>
      <c r="AG663" s="59">
        <f t="shared" si="584"/>
        <v>0</v>
      </c>
      <c r="AH663" s="26"/>
      <c r="AI663" s="27"/>
      <c r="AJ663" s="28"/>
      <c r="AK663" s="59">
        <f t="shared" si="585"/>
        <v>0</v>
      </c>
      <c r="AL663" s="64"/>
      <c r="AM663" s="65"/>
      <c r="AN663" s="59">
        <f t="shared" si="586"/>
        <v>0</v>
      </c>
      <c r="AO663" s="64"/>
      <c r="AP663" s="65"/>
      <c r="AQ663" s="72">
        <f t="shared" si="587"/>
        <v>0</v>
      </c>
      <c r="AR663" s="124">
        <f t="shared" si="588"/>
        <v>0</v>
      </c>
    </row>
    <row r="664" spans="2:44" x14ac:dyDescent="0.15">
      <c r="B664" s="6"/>
      <c r="C664" s="26"/>
      <c r="D664" s="123"/>
      <c r="E664" s="43"/>
      <c r="F664" s="59">
        <f t="shared" si="594"/>
        <v>0</v>
      </c>
      <c r="G664" s="26"/>
      <c r="H664" s="27"/>
      <c r="I664" s="28"/>
      <c r="J664" s="59">
        <f t="shared" si="595"/>
        <v>0</v>
      </c>
      <c r="K664" s="64"/>
      <c r="L664" s="65"/>
      <c r="M664" s="59">
        <f t="shared" si="596"/>
        <v>0</v>
      </c>
      <c r="N664" s="64"/>
      <c r="O664" s="65"/>
      <c r="P664" s="72">
        <f t="shared" si="597"/>
        <v>0</v>
      </c>
      <c r="Q664" s="124">
        <f t="shared" si="598"/>
        <v>0</v>
      </c>
      <c r="AC664" s="6"/>
      <c r="AD664" s="26"/>
      <c r="AE664" s="123"/>
      <c r="AF664" s="43"/>
      <c r="AG664" s="59">
        <f t="shared" si="584"/>
        <v>0</v>
      </c>
      <c r="AH664" s="26"/>
      <c r="AI664" s="27"/>
      <c r="AJ664" s="28"/>
      <c r="AK664" s="59">
        <f t="shared" si="585"/>
        <v>0</v>
      </c>
      <c r="AL664" s="64"/>
      <c r="AM664" s="65"/>
      <c r="AN664" s="59">
        <f t="shared" si="586"/>
        <v>0</v>
      </c>
      <c r="AO664" s="64"/>
      <c r="AP664" s="65"/>
      <c r="AQ664" s="72">
        <f t="shared" si="587"/>
        <v>0</v>
      </c>
      <c r="AR664" s="124">
        <f t="shared" si="588"/>
        <v>0</v>
      </c>
    </row>
    <row r="665" spans="2:44" x14ac:dyDescent="0.15">
      <c r="B665" s="6"/>
      <c r="C665" s="26"/>
      <c r="D665" s="123"/>
      <c r="E665" s="43"/>
      <c r="F665" s="59">
        <f t="shared" si="594"/>
        <v>0</v>
      </c>
      <c r="G665" s="26"/>
      <c r="H665" s="27"/>
      <c r="I665" s="28"/>
      <c r="J665" s="59">
        <f t="shared" si="595"/>
        <v>0</v>
      </c>
      <c r="K665" s="64"/>
      <c r="L665" s="65"/>
      <c r="M665" s="59">
        <f t="shared" si="596"/>
        <v>0</v>
      </c>
      <c r="N665" s="64"/>
      <c r="O665" s="65"/>
      <c r="P665" s="72">
        <f t="shared" si="597"/>
        <v>0</v>
      </c>
      <c r="Q665" s="124">
        <f t="shared" si="598"/>
        <v>0</v>
      </c>
      <c r="AC665" s="6"/>
      <c r="AD665" s="26"/>
      <c r="AE665" s="123"/>
      <c r="AF665" s="43"/>
      <c r="AG665" s="59">
        <f t="shared" si="584"/>
        <v>0</v>
      </c>
      <c r="AH665" s="26"/>
      <c r="AI665" s="27"/>
      <c r="AJ665" s="28"/>
      <c r="AK665" s="59">
        <f t="shared" si="585"/>
        <v>0</v>
      </c>
      <c r="AL665" s="64"/>
      <c r="AM665" s="65"/>
      <c r="AN665" s="59">
        <f t="shared" si="586"/>
        <v>0</v>
      </c>
      <c r="AO665" s="64"/>
      <c r="AP665" s="65"/>
      <c r="AQ665" s="72">
        <f t="shared" si="587"/>
        <v>0</v>
      </c>
      <c r="AR665" s="124">
        <f t="shared" si="588"/>
        <v>0</v>
      </c>
    </row>
    <row r="666" spans="2:44" x14ac:dyDescent="0.15">
      <c r="B666" s="6"/>
      <c r="C666" s="26"/>
      <c r="D666" s="123"/>
      <c r="E666" s="43"/>
      <c r="F666" s="59">
        <f t="shared" si="594"/>
        <v>0</v>
      </c>
      <c r="G666" s="26"/>
      <c r="H666" s="27"/>
      <c r="I666" s="28"/>
      <c r="J666" s="59">
        <f t="shared" si="595"/>
        <v>0</v>
      </c>
      <c r="K666" s="64"/>
      <c r="L666" s="65"/>
      <c r="M666" s="59">
        <f t="shared" si="596"/>
        <v>0</v>
      </c>
      <c r="N666" s="64"/>
      <c r="O666" s="65"/>
      <c r="P666" s="72">
        <f t="shared" si="597"/>
        <v>0</v>
      </c>
      <c r="Q666" s="124">
        <f t="shared" si="598"/>
        <v>0</v>
      </c>
      <c r="AC666" s="6"/>
      <c r="AD666" s="26"/>
      <c r="AE666" s="123"/>
      <c r="AF666" s="43"/>
      <c r="AG666" s="59">
        <f t="shared" si="584"/>
        <v>0</v>
      </c>
      <c r="AH666" s="26"/>
      <c r="AI666" s="27"/>
      <c r="AJ666" s="28"/>
      <c r="AK666" s="59">
        <f t="shared" si="585"/>
        <v>0</v>
      </c>
      <c r="AL666" s="64"/>
      <c r="AM666" s="65"/>
      <c r="AN666" s="59">
        <f t="shared" si="586"/>
        <v>0</v>
      </c>
      <c r="AO666" s="64"/>
      <c r="AP666" s="65"/>
      <c r="AQ666" s="72">
        <f t="shared" si="587"/>
        <v>0</v>
      </c>
      <c r="AR666" s="124">
        <f t="shared" si="588"/>
        <v>0</v>
      </c>
    </row>
    <row r="667" spans="2:44" x14ac:dyDescent="0.15">
      <c r="B667" s="6"/>
      <c r="C667" s="26"/>
      <c r="D667" s="123"/>
      <c r="E667" s="43"/>
      <c r="F667" s="59">
        <f t="shared" si="594"/>
        <v>0</v>
      </c>
      <c r="G667" s="26"/>
      <c r="H667" s="27"/>
      <c r="I667" s="28"/>
      <c r="J667" s="59">
        <f t="shared" si="595"/>
        <v>0</v>
      </c>
      <c r="K667" s="64"/>
      <c r="L667" s="65"/>
      <c r="M667" s="59">
        <f t="shared" si="596"/>
        <v>0</v>
      </c>
      <c r="N667" s="64"/>
      <c r="O667" s="65"/>
      <c r="P667" s="72">
        <f t="shared" si="597"/>
        <v>0</v>
      </c>
      <c r="Q667" s="124">
        <f t="shared" si="598"/>
        <v>0</v>
      </c>
      <c r="AC667" s="6"/>
      <c r="AD667" s="26"/>
      <c r="AE667" s="123"/>
      <c r="AF667" s="43"/>
      <c r="AG667" s="59">
        <f t="shared" si="584"/>
        <v>0</v>
      </c>
      <c r="AH667" s="26"/>
      <c r="AI667" s="27"/>
      <c r="AJ667" s="28"/>
      <c r="AK667" s="59">
        <f t="shared" si="585"/>
        <v>0</v>
      </c>
      <c r="AL667" s="64"/>
      <c r="AM667" s="65"/>
      <c r="AN667" s="59">
        <f t="shared" si="586"/>
        <v>0</v>
      </c>
      <c r="AO667" s="64"/>
      <c r="AP667" s="65"/>
      <c r="AQ667" s="72">
        <f t="shared" si="587"/>
        <v>0</v>
      </c>
      <c r="AR667" s="124">
        <f t="shared" si="588"/>
        <v>0</v>
      </c>
    </row>
    <row r="668" spans="2:44" x14ac:dyDescent="0.15">
      <c r="B668" s="6"/>
      <c r="C668" s="26"/>
      <c r="D668" s="123"/>
      <c r="E668" s="43"/>
      <c r="F668" s="59">
        <f t="shared" si="594"/>
        <v>0</v>
      </c>
      <c r="G668" s="26"/>
      <c r="H668" s="27"/>
      <c r="I668" s="28"/>
      <c r="J668" s="59">
        <f t="shared" si="595"/>
        <v>0</v>
      </c>
      <c r="K668" s="64"/>
      <c r="L668" s="65"/>
      <c r="M668" s="59">
        <f t="shared" si="596"/>
        <v>0</v>
      </c>
      <c r="N668" s="64"/>
      <c r="O668" s="65"/>
      <c r="P668" s="72">
        <f t="shared" si="597"/>
        <v>0</v>
      </c>
      <c r="Q668" s="124">
        <f t="shared" si="598"/>
        <v>0</v>
      </c>
      <c r="AC668" s="6"/>
      <c r="AD668" s="26"/>
      <c r="AE668" s="123"/>
      <c r="AF668" s="43"/>
      <c r="AG668" s="59">
        <f t="shared" si="584"/>
        <v>0</v>
      </c>
      <c r="AH668" s="26"/>
      <c r="AI668" s="27"/>
      <c r="AJ668" s="28"/>
      <c r="AK668" s="59">
        <f t="shared" si="585"/>
        <v>0</v>
      </c>
      <c r="AL668" s="64"/>
      <c r="AM668" s="65"/>
      <c r="AN668" s="59">
        <f t="shared" si="586"/>
        <v>0</v>
      </c>
      <c r="AO668" s="64"/>
      <c r="AP668" s="65"/>
      <c r="AQ668" s="72">
        <f t="shared" si="587"/>
        <v>0</v>
      </c>
      <c r="AR668" s="124">
        <f t="shared" si="588"/>
        <v>0</v>
      </c>
    </row>
    <row r="669" spans="2:44" x14ac:dyDescent="0.15">
      <c r="B669" s="6"/>
      <c r="C669" s="26"/>
      <c r="D669" s="123"/>
      <c r="E669" s="43"/>
      <c r="F669" s="59">
        <f t="shared" si="594"/>
        <v>0</v>
      </c>
      <c r="G669" s="26"/>
      <c r="H669" s="27"/>
      <c r="I669" s="28"/>
      <c r="J669" s="59">
        <f t="shared" si="595"/>
        <v>0</v>
      </c>
      <c r="K669" s="64"/>
      <c r="L669" s="65"/>
      <c r="M669" s="59">
        <f t="shared" si="596"/>
        <v>0</v>
      </c>
      <c r="N669" s="64"/>
      <c r="O669" s="65"/>
      <c r="P669" s="72">
        <f t="shared" si="597"/>
        <v>0</v>
      </c>
      <c r="Q669" s="124">
        <f t="shared" si="598"/>
        <v>0</v>
      </c>
      <c r="AC669" s="6"/>
      <c r="AD669" s="26"/>
      <c r="AE669" s="123"/>
      <c r="AF669" s="43"/>
      <c r="AG669" s="59">
        <f t="shared" si="584"/>
        <v>0</v>
      </c>
      <c r="AH669" s="26"/>
      <c r="AI669" s="27"/>
      <c r="AJ669" s="28"/>
      <c r="AK669" s="59">
        <f t="shared" si="585"/>
        <v>0</v>
      </c>
      <c r="AL669" s="64"/>
      <c r="AM669" s="65"/>
      <c r="AN669" s="59">
        <f t="shared" si="586"/>
        <v>0</v>
      </c>
      <c r="AO669" s="64"/>
      <c r="AP669" s="65"/>
      <c r="AQ669" s="72">
        <f t="shared" si="587"/>
        <v>0</v>
      </c>
      <c r="AR669" s="124">
        <f t="shared" si="588"/>
        <v>0</v>
      </c>
    </row>
    <row r="670" spans="2:44" x14ac:dyDescent="0.15">
      <c r="B670" s="6"/>
      <c r="C670" s="26"/>
      <c r="D670" s="123"/>
      <c r="E670" s="43"/>
      <c r="F670" s="59">
        <f t="shared" si="594"/>
        <v>0</v>
      </c>
      <c r="G670" s="26"/>
      <c r="H670" s="27"/>
      <c r="I670" s="28"/>
      <c r="J670" s="59">
        <f t="shared" si="595"/>
        <v>0</v>
      </c>
      <c r="K670" s="64"/>
      <c r="L670" s="65"/>
      <c r="M670" s="59">
        <f t="shared" si="596"/>
        <v>0</v>
      </c>
      <c r="N670" s="64"/>
      <c r="O670" s="65"/>
      <c r="P670" s="72">
        <f t="shared" si="597"/>
        <v>0</v>
      </c>
      <c r="Q670" s="124">
        <f t="shared" si="598"/>
        <v>0</v>
      </c>
      <c r="AC670" s="6"/>
      <c r="AD670" s="26"/>
      <c r="AE670" s="123"/>
      <c r="AF670" s="43"/>
      <c r="AG670" s="59">
        <f t="shared" si="584"/>
        <v>0</v>
      </c>
      <c r="AH670" s="26"/>
      <c r="AI670" s="27"/>
      <c r="AJ670" s="28"/>
      <c r="AK670" s="59">
        <f t="shared" si="585"/>
        <v>0</v>
      </c>
      <c r="AL670" s="64"/>
      <c r="AM670" s="65"/>
      <c r="AN670" s="59">
        <f t="shared" si="586"/>
        <v>0</v>
      </c>
      <c r="AO670" s="64"/>
      <c r="AP670" s="65"/>
      <c r="AQ670" s="72">
        <f t="shared" si="587"/>
        <v>0</v>
      </c>
      <c r="AR670" s="124">
        <f t="shared" si="588"/>
        <v>0</v>
      </c>
    </row>
    <row r="671" spans="2:44" x14ac:dyDescent="0.15">
      <c r="B671" s="6"/>
      <c r="C671" s="26"/>
      <c r="D671" s="123"/>
      <c r="E671" s="43"/>
      <c r="F671" s="59">
        <f t="shared" si="594"/>
        <v>0</v>
      </c>
      <c r="G671" s="26"/>
      <c r="H671" s="27"/>
      <c r="I671" s="28"/>
      <c r="J671" s="59">
        <f t="shared" si="595"/>
        <v>0</v>
      </c>
      <c r="K671" s="64"/>
      <c r="L671" s="65"/>
      <c r="M671" s="59">
        <f t="shared" si="596"/>
        <v>0</v>
      </c>
      <c r="N671" s="64"/>
      <c r="O671" s="65"/>
      <c r="P671" s="72">
        <f t="shared" si="597"/>
        <v>0</v>
      </c>
      <c r="Q671" s="124">
        <f t="shared" si="598"/>
        <v>0</v>
      </c>
      <c r="AC671" s="6"/>
      <c r="AD671" s="26"/>
      <c r="AE671" s="123"/>
      <c r="AF671" s="43"/>
      <c r="AG671" s="59">
        <f t="shared" si="584"/>
        <v>0</v>
      </c>
      <c r="AH671" s="26"/>
      <c r="AI671" s="27"/>
      <c r="AJ671" s="28"/>
      <c r="AK671" s="59">
        <f t="shared" si="585"/>
        <v>0</v>
      </c>
      <c r="AL671" s="64"/>
      <c r="AM671" s="65"/>
      <c r="AN671" s="59">
        <f t="shared" si="586"/>
        <v>0</v>
      </c>
      <c r="AO671" s="64"/>
      <c r="AP671" s="65"/>
      <c r="AQ671" s="72">
        <f t="shared" si="587"/>
        <v>0</v>
      </c>
      <c r="AR671" s="124">
        <f t="shared" si="588"/>
        <v>0</v>
      </c>
    </row>
    <row r="672" spans="2:44" x14ac:dyDescent="0.15">
      <c r="B672" s="6"/>
      <c r="C672" s="26"/>
      <c r="D672" s="123"/>
      <c r="E672" s="43"/>
      <c r="F672" s="59">
        <f t="shared" si="594"/>
        <v>0</v>
      </c>
      <c r="G672" s="26"/>
      <c r="H672" s="27"/>
      <c r="I672" s="28"/>
      <c r="J672" s="59">
        <f t="shared" si="595"/>
        <v>0</v>
      </c>
      <c r="K672" s="64"/>
      <c r="L672" s="65"/>
      <c r="M672" s="59">
        <f t="shared" si="596"/>
        <v>0</v>
      </c>
      <c r="N672" s="64"/>
      <c r="O672" s="65"/>
      <c r="P672" s="72">
        <f t="shared" si="597"/>
        <v>0</v>
      </c>
      <c r="Q672" s="124">
        <f t="shared" si="598"/>
        <v>0</v>
      </c>
      <c r="AC672" s="6"/>
      <c r="AD672" s="26"/>
      <c r="AE672" s="123"/>
      <c r="AF672" s="43"/>
      <c r="AG672" s="59">
        <f t="shared" si="584"/>
        <v>0</v>
      </c>
      <c r="AH672" s="26"/>
      <c r="AI672" s="27"/>
      <c r="AJ672" s="28"/>
      <c r="AK672" s="59">
        <f t="shared" si="585"/>
        <v>0</v>
      </c>
      <c r="AL672" s="64"/>
      <c r="AM672" s="65"/>
      <c r="AN672" s="59">
        <f t="shared" si="586"/>
        <v>0</v>
      </c>
      <c r="AO672" s="64"/>
      <c r="AP672" s="65"/>
      <c r="AQ672" s="72">
        <f t="shared" si="587"/>
        <v>0</v>
      </c>
      <c r="AR672" s="124">
        <f t="shared" si="588"/>
        <v>0</v>
      </c>
    </row>
    <row r="673" spans="2:44" x14ac:dyDescent="0.15">
      <c r="B673" s="6"/>
      <c r="C673" s="26"/>
      <c r="D673" s="123"/>
      <c r="E673" s="43"/>
      <c r="F673" s="59">
        <f t="shared" si="594"/>
        <v>0</v>
      </c>
      <c r="G673" s="26"/>
      <c r="H673" s="27"/>
      <c r="I673" s="28"/>
      <c r="J673" s="59">
        <f t="shared" si="595"/>
        <v>0</v>
      </c>
      <c r="K673" s="64"/>
      <c r="L673" s="65"/>
      <c r="M673" s="59">
        <f t="shared" si="596"/>
        <v>0</v>
      </c>
      <c r="N673" s="64"/>
      <c r="O673" s="65"/>
      <c r="P673" s="72">
        <f t="shared" si="597"/>
        <v>0</v>
      </c>
      <c r="Q673" s="124">
        <f t="shared" si="598"/>
        <v>0</v>
      </c>
      <c r="AC673" s="6"/>
      <c r="AD673" s="26"/>
      <c r="AE673" s="123"/>
      <c r="AF673" s="43"/>
      <c r="AG673" s="59">
        <f t="shared" si="584"/>
        <v>0</v>
      </c>
      <c r="AH673" s="26"/>
      <c r="AI673" s="27"/>
      <c r="AJ673" s="28"/>
      <c r="AK673" s="59">
        <f t="shared" si="585"/>
        <v>0</v>
      </c>
      <c r="AL673" s="64"/>
      <c r="AM673" s="65"/>
      <c r="AN673" s="59">
        <f t="shared" si="586"/>
        <v>0</v>
      </c>
      <c r="AO673" s="64"/>
      <c r="AP673" s="65"/>
      <c r="AQ673" s="72">
        <f t="shared" si="587"/>
        <v>0</v>
      </c>
      <c r="AR673" s="124">
        <f t="shared" si="588"/>
        <v>0</v>
      </c>
    </row>
    <row r="674" spans="2:44" x14ac:dyDescent="0.15">
      <c r="B674" s="6"/>
      <c r="C674" s="26"/>
      <c r="D674" s="123"/>
      <c r="E674" s="43"/>
      <c r="F674" s="59">
        <f t="shared" si="594"/>
        <v>0</v>
      </c>
      <c r="G674" s="26"/>
      <c r="H674" s="27"/>
      <c r="I674" s="28"/>
      <c r="J674" s="59">
        <f t="shared" si="595"/>
        <v>0</v>
      </c>
      <c r="K674" s="64"/>
      <c r="L674" s="65"/>
      <c r="M674" s="59">
        <f t="shared" si="596"/>
        <v>0</v>
      </c>
      <c r="N674" s="64"/>
      <c r="O674" s="65"/>
      <c r="P674" s="72">
        <f t="shared" si="597"/>
        <v>0</v>
      </c>
      <c r="Q674" s="124">
        <f t="shared" si="598"/>
        <v>0</v>
      </c>
      <c r="AC674" s="6"/>
      <c r="AD674" s="26"/>
      <c r="AE674" s="123"/>
      <c r="AF674" s="43"/>
      <c r="AG674" s="59">
        <f t="shared" si="584"/>
        <v>0</v>
      </c>
      <c r="AH674" s="26"/>
      <c r="AI674" s="27"/>
      <c r="AJ674" s="28"/>
      <c r="AK674" s="59">
        <f t="shared" si="585"/>
        <v>0</v>
      </c>
      <c r="AL674" s="64"/>
      <c r="AM674" s="65"/>
      <c r="AN674" s="59">
        <f t="shared" si="586"/>
        <v>0</v>
      </c>
      <c r="AO674" s="64"/>
      <c r="AP674" s="65"/>
      <c r="AQ674" s="72">
        <f t="shared" si="587"/>
        <v>0</v>
      </c>
      <c r="AR674" s="124">
        <f t="shared" si="588"/>
        <v>0</v>
      </c>
    </row>
    <row r="675" spans="2:44" x14ac:dyDescent="0.15">
      <c r="B675" s="6"/>
      <c r="C675" s="26"/>
      <c r="D675" s="123"/>
      <c r="E675" s="43"/>
      <c r="F675" s="59">
        <f t="shared" si="594"/>
        <v>0</v>
      </c>
      <c r="G675" s="26"/>
      <c r="H675" s="27"/>
      <c r="I675" s="28"/>
      <c r="J675" s="59">
        <f t="shared" si="595"/>
        <v>0</v>
      </c>
      <c r="K675" s="64"/>
      <c r="L675" s="65"/>
      <c r="M675" s="59">
        <f t="shared" si="596"/>
        <v>0</v>
      </c>
      <c r="N675" s="64"/>
      <c r="O675" s="65"/>
      <c r="P675" s="72">
        <f t="shared" si="597"/>
        <v>0</v>
      </c>
      <c r="Q675" s="124">
        <f t="shared" si="598"/>
        <v>0</v>
      </c>
      <c r="AC675" s="6"/>
      <c r="AD675" s="26"/>
      <c r="AE675" s="123"/>
      <c r="AF675" s="43"/>
      <c r="AG675" s="59">
        <f t="shared" si="584"/>
        <v>0</v>
      </c>
      <c r="AH675" s="26"/>
      <c r="AI675" s="27"/>
      <c r="AJ675" s="28"/>
      <c r="AK675" s="59">
        <f t="shared" si="585"/>
        <v>0</v>
      </c>
      <c r="AL675" s="64"/>
      <c r="AM675" s="65"/>
      <c r="AN675" s="59">
        <f t="shared" si="586"/>
        <v>0</v>
      </c>
      <c r="AO675" s="64"/>
      <c r="AP675" s="65"/>
      <c r="AQ675" s="72">
        <f t="shared" si="587"/>
        <v>0</v>
      </c>
      <c r="AR675" s="124">
        <f t="shared" si="588"/>
        <v>0</v>
      </c>
    </row>
    <row r="676" spans="2:44" x14ac:dyDescent="0.15">
      <c r="B676" s="6"/>
      <c r="C676" s="26"/>
      <c r="D676" s="123"/>
      <c r="E676" s="43"/>
      <c r="F676" s="59">
        <f t="shared" ref="F676:F677" si="604">SUM(C676:E676)</f>
        <v>0</v>
      </c>
      <c r="G676" s="26"/>
      <c r="H676" s="27"/>
      <c r="I676" s="28"/>
      <c r="J676" s="59">
        <f t="shared" ref="J676:J677" si="605">SUM(G676:I676)</f>
        <v>0</v>
      </c>
      <c r="K676" s="64"/>
      <c r="L676" s="65"/>
      <c r="M676" s="59">
        <f t="shared" ref="M676:M677" si="606">SUM(K676:L676)</f>
        <v>0</v>
      </c>
      <c r="N676" s="64"/>
      <c r="O676" s="65"/>
      <c r="P676" s="72">
        <f t="shared" ref="P676:P677" si="607">SUM(N676:O676)</f>
        <v>0</v>
      </c>
      <c r="Q676" s="124">
        <f t="shared" ref="Q676:Q677" si="608">P676+M676+F676+J676</f>
        <v>0</v>
      </c>
      <c r="AC676" s="6"/>
      <c r="AD676" s="26"/>
      <c r="AE676" s="123"/>
      <c r="AF676" s="43"/>
      <c r="AG676" s="59">
        <f t="shared" si="584"/>
        <v>0</v>
      </c>
      <c r="AH676" s="26"/>
      <c r="AI676" s="27"/>
      <c r="AJ676" s="28"/>
      <c r="AK676" s="59">
        <f t="shared" si="585"/>
        <v>0</v>
      </c>
      <c r="AL676" s="64"/>
      <c r="AM676" s="65"/>
      <c r="AN676" s="59">
        <f t="shared" si="586"/>
        <v>0</v>
      </c>
      <c r="AO676" s="64"/>
      <c r="AP676" s="65"/>
      <c r="AQ676" s="72">
        <f t="shared" si="587"/>
        <v>0</v>
      </c>
      <c r="AR676" s="124">
        <f t="shared" si="588"/>
        <v>0</v>
      </c>
    </row>
    <row r="677" spans="2:44" ht="14.25" thickBot="1" x14ac:dyDescent="0.2">
      <c r="B677" s="6"/>
      <c r="C677" s="26"/>
      <c r="D677" s="123"/>
      <c r="E677" s="43"/>
      <c r="F677" s="59">
        <f t="shared" si="604"/>
        <v>0</v>
      </c>
      <c r="G677" s="26"/>
      <c r="H677" s="27"/>
      <c r="I677" s="28"/>
      <c r="J677" s="59">
        <f t="shared" si="605"/>
        <v>0</v>
      </c>
      <c r="K677" s="64"/>
      <c r="L677" s="65"/>
      <c r="M677" s="59">
        <f t="shared" si="606"/>
        <v>0</v>
      </c>
      <c r="N677" s="64"/>
      <c r="O677" s="65"/>
      <c r="P677" s="72">
        <f t="shared" si="607"/>
        <v>0</v>
      </c>
      <c r="Q677" s="124">
        <f t="shared" si="608"/>
        <v>0</v>
      </c>
      <c r="AC677" s="6"/>
      <c r="AD677" s="26"/>
      <c r="AE677" s="123"/>
      <c r="AF677" s="43"/>
      <c r="AG677" s="59">
        <f t="shared" si="584"/>
        <v>0</v>
      </c>
      <c r="AH677" s="26"/>
      <c r="AI677" s="27"/>
      <c r="AJ677" s="28"/>
      <c r="AK677" s="59">
        <f t="shared" si="585"/>
        <v>0</v>
      </c>
      <c r="AL677" s="64"/>
      <c r="AM677" s="65"/>
      <c r="AN677" s="59">
        <f t="shared" si="586"/>
        <v>0</v>
      </c>
      <c r="AO677" s="64"/>
      <c r="AP677" s="65"/>
      <c r="AQ677" s="72">
        <f t="shared" si="587"/>
        <v>0</v>
      </c>
      <c r="AR677" s="124">
        <f t="shared" si="588"/>
        <v>0</v>
      </c>
    </row>
    <row r="678" spans="2:44" ht="14.25" thickBot="1" x14ac:dyDescent="0.2">
      <c r="B678" s="5" t="s">
        <v>2</v>
      </c>
      <c r="C678" s="32">
        <f>SUM(C653:C677)</f>
        <v>1</v>
      </c>
      <c r="D678" s="132">
        <f t="shared" ref="D678:Q678" si="609">SUM(D653:D677)</f>
        <v>1</v>
      </c>
      <c r="E678" s="34">
        <f t="shared" si="609"/>
        <v>0</v>
      </c>
      <c r="F678" s="4">
        <f t="shared" si="609"/>
        <v>2</v>
      </c>
      <c r="G678" s="32">
        <f t="shared" si="609"/>
        <v>2</v>
      </c>
      <c r="H678" s="33">
        <f t="shared" si="609"/>
        <v>3</v>
      </c>
      <c r="I678" s="34">
        <f t="shared" si="609"/>
        <v>1</v>
      </c>
      <c r="J678" s="4">
        <f t="shared" si="609"/>
        <v>6</v>
      </c>
      <c r="K678" s="68">
        <f t="shared" si="609"/>
        <v>2</v>
      </c>
      <c r="L678" s="69">
        <f t="shared" si="609"/>
        <v>5</v>
      </c>
      <c r="M678" s="4">
        <f t="shared" si="609"/>
        <v>7</v>
      </c>
      <c r="N678" s="157">
        <f t="shared" si="609"/>
        <v>0</v>
      </c>
      <c r="O678" s="145">
        <f t="shared" si="609"/>
        <v>0</v>
      </c>
      <c r="P678" s="58">
        <f t="shared" si="609"/>
        <v>0</v>
      </c>
      <c r="Q678" s="88">
        <f t="shared" si="609"/>
        <v>15</v>
      </c>
      <c r="AC678" s="5" t="s">
        <v>2</v>
      </c>
      <c r="AD678" s="32">
        <f t="shared" ref="AD678:AF678" si="610">SUM(AD653:AD677)</f>
        <v>0</v>
      </c>
      <c r="AE678" s="132">
        <f t="shared" si="610"/>
        <v>0</v>
      </c>
      <c r="AF678" s="34">
        <f t="shared" si="610"/>
        <v>0</v>
      </c>
      <c r="AG678" s="4">
        <f t="shared" si="584"/>
        <v>0</v>
      </c>
      <c r="AH678" s="32">
        <f>SUM(AH653:AH677)</f>
        <v>0</v>
      </c>
      <c r="AI678" s="33">
        <f t="shared" ref="AI678:AJ678" si="611">SUM(AI653:AI677)</f>
        <v>0</v>
      </c>
      <c r="AJ678" s="34">
        <f t="shared" si="611"/>
        <v>0</v>
      </c>
      <c r="AK678" s="4">
        <f t="shared" si="585"/>
        <v>0</v>
      </c>
      <c r="AL678" s="68">
        <f t="shared" ref="AL678:AM678" si="612">SUM(AL653:AL677)</f>
        <v>0</v>
      </c>
      <c r="AM678" s="69">
        <f t="shared" si="612"/>
        <v>0</v>
      </c>
      <c r="AN678" s="4">
        <f t="shared" si="586"/>
        <v>0</v>
      </c>
      <c r="AO678" s="157">
        <f t="shared" ref="AO678:AP678" si="613">SUM(AO653:AO677)</f>
        <v>0</v>
      </c>
      <c r="AP678" s="145">
        <f t="shared" si="613"/>
        <v>0</v>
      </c>
      <c r="AQ678" s="58">
        <f t="shared" si="587"/>
        <v>0</v>
      </c>
      <c r="AR678" s="88">
        <f t="shared" si="588"/>
        <v>0</v>
      </c>
    </row>
    <row r="679" spans="2:44" ht="14.25" thickBot="1" x14ac:dyDescent="0.2">
      <c r="B679" s="3" t="s">
        <v>3</v>
      </c>
      <c r="C679" s="70">
        <f>+C652-C678</f>
        <v>16</v>
      </c>
      <c r="D679" s="86">
        <f t="shared" ref="D679:Q679" si="614">+D652-D678</f>
        <v>9</v>
      </c>
      <c r="E679" s="85">
        <f t="shared" si="614"/>
        <v>12</v>
      </c>
      <c r="F679" s="61">
        <f t="shared" si="614"/>
        <v>37</v>
      </c>
      <c r="G679" s="70">
        <f t="shared" si="614"/>
        <v>12</v>
      </c>
      <c r="H679" s="84">
        <f t="shared" si="614"/>
        <v>13</v>
      </c>
      <c r="I679" s="85">
        <f t="shared" si="614"/>
        <v>11</v>
      </c>
      <c r="J679" s="61">
        <f t="shared" si="614"/>
        <v>36</v>
      </c>
      <c r="K679" s="81">
        <f t="shared" si="614"/>
        <v>8</v>
      </c>
      <c r="L679" s="71">
        <f t="shared" si="614"/>
        <v>13</v>
      </c>
      <c r="M679" s="61">
        <f t="shared" si="614"/>
        <v>21</v>
      </c>
      <c r="N679" s="158">
        <f t="shared" si="614"/>
        <v>0</v>
      </c>
      <c r="O679" s="137">
        <f t="shared" si="614"/>
        <v>0</v>
      </c>
      <c r="P679" s="73">
        <f t="shared" si="614"/>
        <v>0</v>
      </c>
      <c r="Q679" s="151">
        <f t="shared" si="614"/>
        <v>94</v>
      </c>
      <c r="AC679" s="3" t="s">
        <v>3</v>
      </c>
      <c r="AD679" s="70">
        <f>+AD652-AD678</f>
        <v>70</v>
      </c>
      <c r="AE679" s="86">
        <f>+AE652-AE678</f>
        <v>110</v>
      </c>
      <c r="AF679" s="85">
        <f t="shared" ref="AF679" si="615">+AF652-AF678</f>
        <v>70</v>
      </c>
      <c r="AG679" s="61">
        <f t="shared" si="584"/>
        <v>250</v>
      </c>
      <c r="AH679" s="70">
        <f>+AH652-AH678</f>
        <v>10</v>
      </c>
      <c r="AI679" s="84">
        <f t="shared" ref="AI679:AJ679" si="616">+AI652-AI678</f>
        <v>10</v>
      </c>
      <c r="AJ679" s="85">
        <f t="shared" si="616"/>
        <v>20</v>
      </c>
      <c r="AK679" s="61">
        <f t="shared" si="585"/>
        <v>40</v>
      </c>
      <c r="AL679" s="81">
        <f>+AL652-AL678</f>
        <v>30</v>
      </c>
      <c r="AM679" s="71">
        <f>+AM652-AM678</f>
        <v>20</v>
      </c>
      <c r="AN679" s="61">
        <f t="shared" si="586"/>
        <v>50</v>
      </c>
      <c r="AO679" s="158">
        <f>+AO652-AO678</f>
        <v>0</v>
      </c>
      <c r="AP679" s="137">
        <f>+AP652-AP678</f>
        <v>0</v>
      </c>
      <c r="AQ679" s="73">
        <f t="shared" si="587"/>
        <v>0</v>
      </c>
      <c r="AR679" s="151">
        <f t="shared" si="588"/>
        <v>340</v>
      </c>
    </row>
  </sheetData>
  <mergeCells count="89">
    <mergeCell ref="AH644:AK644"/>
    <mergeCell ref="AL644:AN644"/>
    <mergeCell ref="AO644:AQ644"/>
    <mergeCell ref="C644:F644"/>
    <mergeCell ref="G644:J644"/>
    <mergeCell ref="K644:M644"/>
    <mergeCell ref="N644:P644"/>
    <mergeCell ref="AD644:AG644"/>
    <mergeCell ref="AD604:AG604"/>
    <mergeCell ref="AH604:AK604"/>
    <mergeCell ref="AL604:AN604"/>
    <mergeCell ref="AO604:AQ604"/>
    <mergeCell ref="Q600:AC601"/>
    <mergeCell ref="C604:F604"/>
    <mergeCell ref="G604:J604"/>
    <mergeCell ref="K604:M604"/>
    <mergeCell ref="N604:P604"/>
    <mergeCell ref="X364:Z364"/>
    <mergeCell ref="C364:F364"/>
    <mergeCell ref="G364:I364"/>
    <mergeCell ref="J364:L364"/>
    <mergeCell ref="U364:W364"/>
    <mergeCell ref="O404:Q404"/>
    <mergeCell ref="R404:T404"/>
    <mergeCell ref="R444:T444"/>
    <mergeCell ref="K444:N444"/>
    <mergeCell ref="G444:J444"/>
    <mergeCell ref="O444:Q444"/>
    <mergeCell ref="Q364:T364"/>
    <mergeCell ref="J164:L164"/>
    <mergeCell ref="C244:F244"/>
    <mergeCell ref="G244:I244"/>
    <mergeCell ref="J244:L244"/>
    <mergeCell ref="C204:F204"/>
    <mergeCell ref="G204:I204"/>
    <mergeCell ref="J204:L204"/>
    <mergeCell ref="C324:F324"/>
    <mergeCell ref="G324:I324"/>
    <mergeCell ref="J324:L324"/>
    <mergeCell ref="C4:F4"/>
    <mergeCell ref="G4:I4"/>
    <mergeCell ref="C44:F44"/>
    <mergeCell ref="G44:I44"/>
    <mergeCell ref="C84:F84"/>
    <mergeCell ref="G84:I84"/>
    <mergeCell ref="C284:F284"/>
    <mergeCell ref="C124:F124"/>
    <mergeCell ref="G124:I124"/>
    <mergeCell ref="G284:I284"/>
    <mergeCell ref="J284:L284"/>
    <mergeCell ref="C164:F164"/>
    <mergeCell ref="G164:I164"/>
    <mergeCell ref="M364:P364"/>
    <mergeCell ref="AO404:AQ404"/>
    <mergeCell ref="AL444:AN444"/>
    <mergeCell ref="AO444:AQ444"/>
    <mergeCell ref="AH404:AK404"/>
    <mergeCell ref="AD404:AG404"/>
    <mergeCell ref="AL404:AN404"/>
    <mergeCell ref="AH444:AK444"/>
    <mergeCell ref="AD444:AG444"/>
    <mergeCell ref="G484:J484"/>
    <mergeCell ref="C484:F484"/>
    <mergeCell ref="C404:F404"/>
    <mergeCell ref="K404:N404"/>
    <mergeCell ref="G404:J404"/>
    <mergeCell ref="C444:F444"/>
    <mergeCell ref="AH484:AK484"/>
    <mergeCell ref="AD484:AG484"/>
    <mergeCell ref="AL484:AN484"/>
    <mergeCell ref="AO484:AQ484"/>
    <mergeCell ref="K484:M484"/>
    <mergeCell ref="N484:P484"/>
    <mergeCell ref="AH524:AK524"/>
    <mergeCell ref="AL524:AN524"/>
    <mergeCell ref="AO524:AQ524"/>
    <mergeCell ref="C524:F524"/>
    <mergeCell ref="G524:J524"/>
    <mergeCell ref="K524:M524"/>
    <mergeCell ref="N524:P524"/>
    <mergeCell ref="AD524:AG524"/>
    <mergeCell ref="AH564:AK564"/>
    <mergeCell ref="AL564:AN564"/>
    <mergeCell ref="AO564:AQ564"/>
    <mergeCell ref="C564:F564"/>
    <mergeCell ref="G564:J564"/>
    <mergeCell ref="K564:M564"/>
    <mergeCell ref="N564:P564"/>
    <mergeCell ref="AD564:AG564"/>
  </mergeCells>
  <phoneticPr fontId="1"/>
  <pageMargins left="0.78700000000000003" right="0.78700000000000003" top="0.98399999999999999" bottom="0.98399999999999999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93F99-4113-4CD2-8516-6F4124F7825C}">
  <dimension ref="B1:AF78"/>
  <sheetViews>
    <sheetView tabSelected="1" topLeftCell="B52" zoomScale="90" zoomScaleNormal="90" workbookViewId="0">
      <selection activeCell="B60" sqref="B60"/>
    </sheetView>
  </sheetViews>
  <sheetFormatPr defaultRowHeight="13.5" x14ac:dyDescent="0.15"/>
  <cols>
    <col min="2" max="2" width="21.75" style="1" customWidth="1"/>
    <col min="3" max="14" width="6.5" customWidth="1"/>
    <col min="15" max="15" width="8.625" customWidth="1"/>
    <col min="16" max="16" width="13" customWidth="1"/>
    <col min="17" max="17" width="19.125" customWidth="1"/>
    <col min="18" max="29" width="6.5" customWidth="1"/>
  </cols>
  <sheetData>
    <row r="1" spans="2:31" ht="18.75" x14ac:dyDescent="0.2">
      <c r="B1" s="89" t="s">
        <v>85</v>
      </c>
      <c r="C1" s="90"/>
      <c r="D1" s="90"/>
      <c r="E1" s="90"/>
      <c r="F1" s="90"/>
      <c r="G1" s="90"/>
      <c r="H1" s="90"/>
      <c r="I1" s="90"/>
      <c r="J1" s="90"/>
      <c r="K1" s="90"/>
      <c r="L1" s="89"/>
      <c r="M1" s="90"/>
      <c r="N1" s="90"/>
      <c r="O1" s="90"/>
      <c r="Q1" s="179" t="s">
        <v>86</v>
      </c>
      <c r="R1" s="180"/>
      <c r="S1" s="180"/>
      <c r="T1" s="180"/>
      <c r="U1" s="180"/>
      <c r="V1" s="180"/>
      <c r="W1" s="180"/>
      <c r="X1" s="180"/>
      <c r="Y1" s="180"/>
      <c r="Z1" s="180"/>
      <c r="AA1" s="179"/>
      <c r="AB1" s="180"/>
      <c r="AC1" s="180"/>
      <c r="AD1" s="180"/>
    </row>
    <row r="2" spans="2:31" ht="18" thickBot="1" x14ac:dyDescent="0.25">
      <c r="B2" s="177" t="s">
        <v>84</v>
      </c>
      <c r="C2" s="90"/>
      <c r="D2" s="90"/>
      <c r="E2" s="90"/>
      <c r="F2" s="90"/>
      <c r="G2" s="91"/>
      <c r="H2" s="90"/>
      <c r="I2" s="90"/>
      <c r="J2" s="90"/>
      <c r="K2" s="90"/>
      <c r="L2" s="91"/>
      <c r="M2" s="90"/>
      <c r="N2" s="90"/>
      <c r="O2" s="91"/>
      <c r="P2" s="178"/>
      <c r="Q2" s="181" t="s">
        <v>84</v>
      </c>
      <c r="R2" s="180"/>
      <c r="S2" s="180"/>
      <c r="T2" s="180"/>
      <c r="U2" s="180"/>
      <c r="V2" s="182"/>
      <c r="W2" s="180"/>
      <c r="X2" s="180"/>
      <c r="Y2" s="180"/>
      <c r="Z2" s="180"/>
      <c r="AA2" s="182"/>
      <c r="AB2" s="180"/>
      <c r="AC2" s="180"/>
      <c r="AD2" s="182"/>
    </row>
    <row r="3" spans="2:31" ht="14.25" thickBot="1" x14ac:dyDescent="0.2">
      <c r="B3" s="92"/>
      <c r="C3" s="205" t="s">
        <v>80</v>
      </c>
      <c r="D3" s="206"/>
      <c r="E3" s="207"/>
      <c r="F3" s="205" t="s">
        <v>81</v>
      </c>
      <c r="G3" s="206"/>
      <c r="H3" s="206"/>
      <c r="I3" s="205" t="s">
        <v>82</v>
      </c>
      <c r="J3" s="206"/>
      <c r="K3" s="207"/>
      <c r="L3" s="205" t="s">
        <v>83</v>
      </c>
      <c r="M3" s="206"/>
      <c r="N3" s="207"/>
      <c r="O3" s="93"/>
      <c r="P3" s="116"/>
      <c r="Q3" s="92"/>
      <c r="R3" s="205" t="s">
        <v>80</v>
      </c>
      <c r="S3" s="206"/>
      <c r="T3" s="207"/>
      <c r="U3" s="205" t="s">
        <v>81</v>
      </c>
      <c r="V3" s="206"/>
      <c r="W3" s="206"/>
      <c r="X3" s="205" t="s">
        <v>82</v>
      </c>
      <c r="Y3" s="206"/>
      <c r="Z3" s="207"/>
      <c r="AA3" s="205" t="s">
        <v>83</v>
      </c>
      <c r="AB3" s="206"/>
      <c r="AC3" s="207"/>
      <c r="AD3" s="93"/>
    </row>
    <row r="4" spans="2:31" ht="14.25" thickBot="1" x14ac:dyDescent="0.2">
      <c r="B4" s="94"/>
      <c r="C4" s="172" t="s">
        <v>13</v>
      </c>
      <c r="D4" s="173" t="s">
        <v>62</v>
      </c>
      <c r="E4" s="160" t="s">
        <v>0</v>
      </c>
      <c r="F4" s="174" t="s">
        <v>69</v>
      </c>
      <c r="G4" s="175" t="s">
        <v>6</v>
      </c>
      <c r="H4" s="103" t="s">
        <v>0</v>
      </c>
      <c r="I4" s="173" t="s">
        <v>62</v>
      </c>
      <c r="J4" s="175" t="s">
        <v>6</v>
      </c>
      <c r="K4" s="160" t="s">
        <v>0</v>
      </c>
      <c r="L4" s="200" t="s">
        <v>69</v>
      </c>
      <c r="M4" s="110" t="s">
        <v>10</v>
      </c>
      <c r="N4" s="103" t="s">
        <v>0</v>
      </c>
      <c r="O4" s="112" t="s">
        <v>0</v>
      </c>
      <c r="P4" s="116"/>
      <c r="Q4" s="94"/>
      <c r="R4" s="172" t="s">
        <v>13</v>
      </c>
      <c r="S4" s="173" t="s">
        <v>62</v>
      </c>
      <c r="T4" s="160" t="s">
        <v>0</v>
      </c>
      <c r="U4" s="174" t="s">
        <v>69</v>
      </c>
      <c r="V4" s="175" t="s">
        <v>6</v>
      </c>
      <c r="W4" s="103" t="s">
        <v>0</v>
      </c>
      <c r="X4" s="173" t="s">
        <v>62</v>
      </c>
      <c r="Y4" s="175" t="s">
        <v>6</v>
      </c>
      <c r="Z4" s="160" t="s">
        <v>0</v>
      </c>
      <c r="AA4" s="200" t="s">
        <v>69</v>
      </c>
      <c r="AB4" s="110" t="s">
        <v>10</v>
      </c>
      <c r="AC4" s="103" t="s">
        <v>0</v>
      </c>
      <c r="AD4" s="112" t="s">
        <v>0</v>
      </c>
    </row>
    <row r="5" spans="2:31" x14ac:dyDescent="0.15">
      <c r="B5" s="184" t="s">
        <v>5</v>
      </c>
      <c r="C5" s="129">
        <v>10</v>
      </c>
      <c r="D5" s="28">
        <v>10</v>
      </c>
      <c r="E5" s="59">
        <f>C5+D5</f>
        <v>20</v>
      </c>
      <c r="F5" s="129">
        <v>10</v>
      </c>
      <c r="G5" s="28">
        <v>10</v>
      </c>
      <c r="H5" s="59">
        <f>F5+G5</f>
        <v>20</v>
      </c>
      <c r="I5" s="129">
        <v>10</v>
      </c>
      <c r="J5" s="28">
        <v>10</v>
      </c>
      <c r="K5" s="59">
        <f>I5+J5</f>
        <v>20</v>
      </c>
      <c r="L5" s="62">
        <v>10</v>
      </c>
      <c r="M5" s="63">
        <v>10</v>
      </c>
      <c r="N5" s="59">
        <f>L5+M5</f>
        <v>20</v>
      </c>
      <c r="O5" s="185">
        <f>E5+H5+K5+N5</f>
        <v>80</v>
      </c>
      <c r="P5" s="119">
        <v>46114</v>
      </c>
      <c r="Q5" s="184" t="s">
        <v>5</v>
      </c>
      <c r="R5" s="129">
        <v>50</v>
      </c>
      <c r="S5" s="28">
        <v>50</v>
      </c>
      <c r="T5" s="59">
        <f>R5+S5</f>
        <v>100</v>
      </c>
      <c r="U5" s="129">
        <v>30</v>
      </c>
      <c r="V5" s="28">
        <v>30</v>
      </c>
      <c r="W5" s="59">
        <f>U5+V5</f>
        <v>60</v>
      </c>
      <c r="X5" s="129">
        <v>30</v>
      </c>
      <c r="Y5" s="28">
        <v>30</v>
      </c>
      <c r="Z5" s="59">
        <f>X5+Y5</f>
        <v>60</v>
      </c>
      <c r="AA5" s="62">
        <v>30</v>
      </c>
      <c r="AB5" s="63">
        <v>30</v>
      </c>
      <c r="AC5" s="59">
        <f>AA5+AB5</f>
        <v>60</v>
      </c>
      <c r="AD5" s="185">
        <f>T5+W5+Z5+AC5</f>
        <v>280</v>
      </c>
      <c r="AE5" s="135">
        <v>46114</v>
      </c>
    </row>
    <row r="6" spans="2:31" x14ac:dyDescent="0.15">
      <c r="B6" s="11" t="s">
        <v>4</v>
      </c>
      <c r="C6" s="26"/>
      <c r="D6" s="28">
        <v>10</v>
      </c>
      <c r="E6" s="8">
        <f>SUM(C6:D6)</f>
        <v>10</v>
      </c>
      <c r="F6" s="26"/>
      <c r="G6" s="43"/>
      <c r="H6" s="59">
        <f t="shared" ref="H6:H36" si="0">SUM(F6:G6)</f>
        <v>0</v>
      </c>
      <c r="I6" s="26"/>
      <c r="J6" s="28"/>
      <c r="K6" s="59">
        <f t="shared" ref="K6:K36" si="1">SUM(I6:J6)</f>
        <v>0</v>
      </c>
      <c r="L6" s="64"/>
      <c r="M6" s="65"/>
      <c r="N6" s="59">
        <f t="shared" ref="N6:N36" si="2">SUM(L6:M6)</f>
        <v>0</v>
      </c>
      <c r="O6" s="124">
        <f>E6+H6+K6+N6</f>
        <v>10</v>
      </c>
      <c r="P6" s="119">
        <v>46130</v>
      </c>
      <c r="Q6" s="11" t="s">
        <v>4</v>
      </c>
      <c r="R6" s="26">
        <v>50</v>
      </c>
      <c r="S6" s="28">
        <v>50</v>
      </c>
      <c r="T6" s="8">
        <f>SUM(R6:S6)</f>
        <v>100</v>
      </c>
      <c r="U6" s="26">
        <v>30</v>
      </c>
      <c r="V6" s="43">
        <v>30</v>
      </c>
      <c r="W6" s="59">
        <f t="shared" ref="W6:W36" si="3">SUM(U6:V6)</f>
        <v>60</v>
      </c>
      <c r="X6" s="26">
        <v>30</v>
      </c>
      <c r="Y6" s="28">
        <v>30</v>
      </c>
      <c r="Z6" s="59">
        <f t="shared" ref="Z6:Z36" si="4">SUM(X6:Y6)</f>
        <v>60</v>
      </c>
      <c r="AA6" s="64">
        <v>50</v>
      </c>
      <c r="AB6" s="65">
        <v>50</v>
      </c>
      <c r="AC6" s="59">
        <f t="shared" ref="AC6:AC36" si="5">SUM(AA6:AB6)</f>
        <v>100</v>
      </c>
      <c r="AD6" s="124">
        <f>T6+W6+Z6+AC6</f>
        <v>320</v>
      </c>
      <c r="AE6" s="135">
        <v>46175</v>
      </c>
    </row>
    <row r="7" spans="2:31" x14ac:dyDescent="0.15">
      <c r="B7" s="11" t="s">
        <v>4</v>
      </c>
      <c r="C7" s="26"/>
      <c r="D7" s="28"/>
      <c r="E7" s="8">
        <f>SUM(C7:D7)</f>
        <v>0</v>
      </c>
      <c r="F7" s="26"/>
      <c r="G7" s="43">
        <v>10</v>
      </c>
      <c r="H7" s="59">
        <f t="shared" si="0"/>
        <v>10</v>
      </c>
      <c r="I7" s="26"/>
      <c r="J7" s="28"/>
      <c r="K7" s="59">
        <f t="shared" si="1"/>
        <v>0</v>
      </c>
      <c r="L7" s="64"/>
      <c r="M7" s="65"/>
      <c r="N7" s="59">
        <f t="shared" si="2"/>
        <v>0</v>
      </c>
      <c r="O7" s="124">
        <f t="shared" ref="O7:O36" si="6">E7+H7+K7+N7</f>
        <v>10</v>
      </c>
      <c r="P7" s="119">
        <v>46156</v>
      </c>
      <c r="Q7" s="11" t="s">
        <v>4</v>
      </c>
      <c r="R7" s="26"/>
      <c r="S7" s="28"/>
      <c r="T7" s="8">
        <f>SUM(R7:S7)</f>
        <v>0</v>
      </c>
      <c r="U7" s="26"/>
      <c r="V7" s="43"/>
      <c r="W7" s="59">
        <f t="shared" ref="W7" si="7">SUM(U7:V7)</f>
        <v>0</v>
      </c>
      <c r="X7" s="26"/>
      <c r="Y7" s="28"/>
      <c r="Z7" s="59">
        <f t="shared" ref="Z7" si="8">SUM(X7:Y7)</f>
        <v>0</v>
      </c>
      <c r="AA7" s="64"/>
      <c r="AB7" s="65"/>
      <c r="AC7" s="59">
        <f t="shared" ref="AC7" si="9">SUM(AA7:AB7)</f>
        <v>0</v>
      </c>
      <c r="AD7" s="124">
        <f t="shared" ref="AD7" si="10">T7+W7+Z7+AC7</f>
        <v>0</v>
      </c>
    </row>
    <row r="8" spans="2:31" x14ac:dyDescent="0.15">
      <c r="B8" s="11" t="s">
        <v>4</v>
      </c>
      <c r="C8" s="26">
        <v>10</v>
      </c>
      <c r="D8" s="28"/>
      <c r="E8" s="8">
        <f>SUM(C8:D8)</f>
        <v>10</v>
      </c>
      <c r="F8" s="26"/>
      <c r="G8" s="43"/>
      <c r="H8" s="59">
        <f t="shared" si="0"/>
        <v>0</v>
      </c>
      <c r="I8" s="26">
        <v>10</v>
      </c>
      <c r="J8" s="28"/>
      <c r="K8" s="59">
        <f t="shared" si="1"/>
        <v>10</v>
      </c>
      <c r="L8" s="64"/>
      <c r="M8" s="65"/>
      <c r="N8" s="59">
        <f t="shared" si="2"/>
        <v>0</v>
      </c>
      <c r="O8" s="124">
        <f t="shared" si="6"/>
        <v>20</v>
      </c>
      <c r="P8" s="119">
        <v>46170</v>
      </c>
      <c r="Q8" s="11" t="s">
        <v>4</v>
      </c>
      <c r="R8" s="26"/>
      <c r="S8" s="28"/>
      <c r="T8" s="8">
        <f>SUM(R8:S8)</f>
        <v>0</v>
      </c>
      <c r="U8" s="26"/>
      <c r="V8" s="43"/>
      <c r="W8" s="59">
        <f t="shared" si="3"/>
        <v>0</v>
      </c>
      <c r="X8" s="26"/>
      <c r="Y8" s="28"/>
      <c r="Z8" s="59">
        <f t="shared" si="4"/>
        <v>0</v>
      </c>
      <c r="AA8" s="64"/>
      <c r="AB8" s="65"/>
      <c r="AC8" s="59">
        <f t="shared" si="5"/>
        <v>0</v>
      </c>
      <c r="AD8" s="124">
        <f t="shared" ref="AD8:AD10" si="11">T8+W8+Z8+AC8</f>
        <v>0</v>
      </c>
    </row>
    <row r="9" spans="2:31" x14ac:dyDescent="0.15">
      <c r="B9" s="11" t="s">
        <v>4</v>
      </c>
      <c r="C9" s="26">
        <v>10</v>
      </c>
      <c r="D9" s="28">
        <v>10</v>
      </c>
      <c r="E9" s="8">
        <f>SUM(C9:D9)</f>
        <v>20</v>
      </c>
      <c r="F9" s="26"/>
      <c r="G9" s="43">
        <v>10</v>
      </c>
      <c r="H9" s="59">
        <f t="shared" si="0"/>
        <v>10</v>
      </c>
      <c r="I9" s="26"/>
      <c r="J9" s="28"/>
      <c r="K9" s="59">
        <f t="shared" si="1"/>
        <v>0</v>
      </c>
      <c r="L9" s="64"/>
      <c r="M9" s="65"/>
      <c r="N9" s="59">
        <f t="shared" si="2"/>
        <v>0</v>
      </c>
      <c r="O9" s="124">
        <f t="shared" si="6"/>
        <v>30</v>
      </c>
      <c r="P9" s="119">
        <v>46172</v>
      </c>
      <c r="Q9" s="11" t="s">
        <v>4</v>
      </c>
      <c r="R9" s="26"/>
      <c r="S9" s="28"/>
      <c r="T9" s="8">
        <f>SUM(R9:S9)</f>
        <v>0</v>
      </c>
      <c r="U9" s="26"/>
      <c r="V9" s="43"/>
      <c r="W9" s="59">
        <f t="shared" si="3"/>
        <v>0</v>
      </c>
      <c r="X9" s="26"/>
      <c r="Y9" s="28"/>
      <c r="Z9" s="59">
        <f t="shared" si="4"/>
        <v>0</v>
      </c>
      <c r="AA9" s="64"/>
      <c r="AB9" s="65"/>
      <c r="AC9" s="59">
        <f t="shared" si="5"/>
        <v>0</v>
      </c>
      <c r="AD9" s="124">
        <f t="shared" si="11"/>
        <v>0</v>
      </c>
    </row>
    <row r="10" spans="2:31" ht="14.25" thickBot="1" x14ac:dyDescent="0.2">
      <c r="B10" s="11" t="s">
        <v>4</v>
      </c>
      <c r="C10" s="29"/>
      <c r="D10" s="31"/>
      <c r="E10" s="54">
        <f>SUM(C10:D10)</f>
        <v>0</v>
      </c>
      <c r="F10" s="29">
        <v>10</v>
      </c>
      <c r="G10" s="44"/>
      <c r="H10" s="125">
        <f t="shared" si="0"/>
        <v>10</v>
      </c>
      <c r="I10" s="29"/>
      <c r="J10" s="31">
        <v>10</v>
      </c>
      <c r="K10" s="125">
        <f t="shared" si="1"/>
        <v>10</v>
      </c>
      <c r="L10" s="66"/>
      <c r="M10" s="67">
        <v>10</v>
      </c>
      <c r="N10" s="125">
        <f t="shared" si="2"/>
        <v>10</v>
      </c>
      <c r="O10" s="124">
        <f t="shared" si="6"/>
        <v>30</v>
      </c>
      <c r="P10" s="119">
        <v>46176</v>
      </c>
      <c r="Q10" s="11" t="s">
        <v>4</v>
      </c>
      <c r="R10" s="29"/>
      <c r="S10" s="31"/>
      <c r="T10" s="54">
        <f>SUM(R10:S10)</f>
        <v>0</v>
      </c>
      <c r="U10" s="29"/>
      <c r="V10" s="44"/>
      <c r="W10" s="125">
        <f t="shared" si="3"/>
        <v>0</v>
      </c>
      <c r="X10" s="29"/>
      <c r="Y10" s="31"/>
      <c r="Z10" s="125">
        <f t="shared" si="4"/>
        <v>0</v>
      </c>
      <c r="AA10" s="66"/>
      <c r="AB10" s="67"/>
      <c r="AC10" s="125">
        <f t="shared" si="5"/>
        <v>0</v>
      </c>
      <c r="AD10" s="124">
        <f t="shared" si="11"/>
        <v>0</v>
      </c>
    </row>
    <row r="11" spans="2:31" ht="14.25" thickBot="1" x14ac:dyDescent="0.2">
      <c r="B11" s="176" t="s">
        <v>1</v>
      </c>
      <c r="C11" s="70">
        <f>SUM(C5:C10)</f>
        <v>30</v>
      </c>
      <c r="D11" s="85">
        <f t="shared" ref="D11:G11" si="12">SUM(D5:D10)</f>
        <v>30</v>
      </c>
      <c r="E11" s="61">
        <f t="shared" si="12"/>
        <v>60</v>
      </c>
      <c r="F11" s="70">
        <f t="shared" si="12"/>
        <v>20</v>
      </c>
      <c r="G11" s="85">
        <f t="shared" si="12"/>
        <v>30</v>
      </c>
      <c r="H11" s="61">
        <f t="shared" si="0"/>
        <v>50</v>
      </c>
      <c r="I11" s="70">
        <f>SUM(I5:I10)</f>
        <v>20</v>
      </c>
      <c r="J11" s="85">
        <f t="shared" ref="J11" si="13">SUM(J5:J10)</f>
        <v>20</v>
      </c>
      <c r="K11" s="61">
        <f t="shared" si="1"/>
        <v>40</v>
      </c>
      <c r="L11" s="81">
        <f t="shared" ref="L11:M11" si="14">SUM(L5:L10)</f>
        <v>10</v>
      </c>
      <c r="M11" s="71">
        <f t="shared" si="14"/>
        <v>20</v>
      </c>
      <c r="N11" s="61">
        <f t="shared" si="2"/>
        <v>30</v>
      </c>
      <c r="O11" s="151">
        <f>E11+H11+K11+N11</f>
        <v>180</v>
      </c>
      <c r="P11" s="116"/>
      <c r="Q11" s="176" t="s">
        <v>1</v>
      </c>
      <c r="R11" s="70">
        <f>SUM(R5:R10)</f>
        <v>100</v>
      </c>
      <c r="S11" s="85">
        <f t="shared" ref="S11:V11" si="15">SUM(S5:S10)</f>
        <v>100</v>
      </c>
      <c r="T11" s="61">
        <f t="shared" si="15"/>
        <v>200</v>
      </c>
      <c r="U11" s="70">
        <f t="shared" si="15"/>
        <v>60</v>
      </c>
      <c r="V11" s="85">
        <f t="shared" si="15"/>
        <v>60</v>
      </c>
      <c r="W11" s="61">
        <f t="shared" si="3"/>
        <v>120</v>
      </c>
      <c r="X11" s="70">
        <f>SUM(X5:X10)</f>
        <v>60</v>
      </c>
      <c r="Y11" s="85">
        <f t="shared" ref="Y11" si="16">SUM(Y5:Y10)</f>
        <v>60</v>
      </c>
      <c r="Z11" s="61">
        <f t="shared" si="4"/>
        <v>120</v>
      </c>
      <c r="AA11" s="81">
        <f t="shared" ref="AA11:AB11" si="17">SUM(AA5:AA10)</f>
        <v>80</v>
      </c>
      <c r="AB11" s="71">
        <f t="shared" si="17"/>
        <v>80</v>
      </c>
      <c r="AC11" s="61">
        <f t="shared" si="5"/>
        <v>160</v>
      </c>
      <c r="AD11" s="151">
        <f>T11+W11+Z11+AC11</f>
        <v>600</v>
      </c>
    </row>
    <row r="12" spans="2:31" x14ac:dyDescent="0.15">
      <c r="B12" s="6" t="s">
        <v>16</v>
      </c>
      <c r="C12" s="26"/>
      <c r="D12" s="28"/>
      <c r="E12" s="7">
        <f t="shared" ref="E12:E36" si="18">SUM(C12:D12)</f>
        <v>0</v>
      </c>
      <c r="F12" s="26"/>
      <c r="G12" s="43">
        <v>1</v>
      </c>
      <c r="H12" s="59">
        <f t="shared" si="0"/>
        <v>1</v>
      </c>
      <c r="I12" s="26">
        <v>1</v>
      </c>
      <c r="J12" s="28"/>
      <c r="K12" s="59">
        <f t="shared" si="1"/>
        <v>1</v>
      </c>
      <c r="L12" s="64"/>
      <c r="M12" s="65"/>
      <c r="N12" s="59">
        <f t="shared" si="2"/>
        <v>0</v>
      </c>
      <c r="O12" s="124">
        <f t="shared" si="6"/>
        <v>2</v>
      </c>
      <c r="P12" s="119">
        <v>46127</v>
      </c>
      <c r="Q12" s="6" t="s">
        <v>88</v>
      </c>
      <c r="R12" s="26">
        <v>10</v>
      </c>
      <c r="S12" s="28">
        <v>10</v>
      </c>
      <c r="T12" s="7">
        <f t="shared" ref="T12:T36" si="19">SUM(R12:S12)</f>
        <v>20</v>
      </c>
      <c r="U12" s="26">
        <v>10</v>
      </c>
      <c r="V12" s="43">
        <v>10</v>
      </c>
      <c r="W12" s="59">
        <f t="shared" si="3"/>
        <v>20</v>
      </c>
      <c r="X12" s="26">
        <v>10</v>
      </c>
      <c r="Y12" s="28">
        <v>10</v>
      </c>
      <c r="Z12" s="59">
        <f t="shared" si="4"/>
        <v>20</v>
      </c>
      <c r="AA12" s="64">
        <v>10</v>
      </c>
      <c r="AB12" s="65">
        <v>10</v>
      </c>
      <c r="AC12" s="59">
        <f t="shared" si="5"/>
        <v>20</v>
      </c>
      <c r="AD12" s="124">
        <f t="shared" ref="AD12:AD36" si="20">T12+W12+Z12+AC12</f>
        <v>80</v>
      </c>
      <c r="AE12" s="135">
        <v>46114</v>
      </c>
    </row>
    <row r="13" spans="2:31" x14ac:dyDescent="0.15">
      <c r="B13" s="6" t="s">
        <v>16</v>
      </c>
      <c r="C13" s="26">
        <v>1</v>
      </c>
      <c r="D13" s="28">
        <v>4</v>
      </c>
      <c r="E13" s="7">
        <f t="shared" si="18"/>
        <v>5</v>
      </c>
      <c r="F13" s="26"/>
      <c r="G13" s="43"/>
      <c r="H13" s="59">
        <f t="shared" si="0"/>
        <v>0</v>
      </c>
      <c r="I13" s="26"/>
      <c r="J13" s="28"/>
      <c r="K13" s="59">
        <f t="shared" si="1"/>
        <v>0</v>
      </c>
      <c r="L13" s="64"/>
      <c r="M13" s="65">
        <v>1</v>
      </c>
      <c r="N13" s="59">
        <f t="shared" si="2"/>
        <v>1</v>
      </c>
      <c r="O13" s="124">
        <f t="shared" si="6"/>
        <v>6</v>
      </c>
      <c r="P13" s="119">
        <v>46129</v>
      </c>
      <c r="Q13" s="6" t="s">
        <v>88</v>
      </c>
      <c r="R13" s="26"/>
      <c r="S13" s="28">
        <v>10</v>
      </c>
      <c r="T13" s="7">
        <f t="shared" si="19"/>
        <v>10</v>
      </c>
      <c r="U13" s="26"/>
      <c r="V13" s="43"/>
      <c r="W13" s="59">
        <f t="shared" si="3"/>
        <v>0</v>
      </c>
      <c r="X13" s="26"/>
      <c r="Y13" s="28"/>
      <c r="Z13" s="59">
        <f t="shared" si="4"/>
        <v>0</v>
      </c>
      <c r="AA13" s="64"/>
      <c r="AB13" s="65"/>
      <c r="AC13" s="59">
        <f t="shared" si="5"/>
        <v>0</v>
      </c>
      <c r="AD13" s="124">
        <f t="shared" si="20"/>
        <v>10</v>
      </c>
      <c r="AE13" s="135">
        <v>46130</v>
      </c>
    </row>
    <row r="14" spans="2:31" x14ac:dyDescent="0.15">
      <c r="B14" s="6" t="s">
        <v>16</v>
      </c>
      <c r="C14" s="26"/>
      <c r="D14" s="28"/>
      <c r="E14" s="7">
        <f t="shared" si="18"/>
        <v>0</v>
      </c>
      <c r="F14" s="26"/>
      <c r="G14" s="43">
        <v>2</v>
      </c>
      <c r="H14" s="59">
        <f t="shared" si="0"/>
        <v>2</v>
      </c>
      <c r="I14" s="26"/>
      <c r="J14" s="28">
        <v>1</v>
      </c>
      <c r="K14" s="59">
        <f t="shared" si="1"/>
        <v>1</v>
      </c>
      <c r="L14" s="64"/>
      <c r="M14" s="65"/>
      <c r="N14" s="59">
        <f t="shared" si="2"/>
        <v>0</v>
      </c>
      <c r="O14" s="124">
        <f t="shared" si="6"/>
        <v>3</v>
      </c>
      <c r="P14" s="119">
        <v>46132</v>
      </c>
      <c r="Q14" s="199" t="s">
        <v>90</v>
      </c>
      <c r="R14" s="187"/>
      <c r="S14" s="192"/>
      <c r="T14" s="202">
        <f t="shared" si="19"/>
        <v>0</v>
      </c>
      <c r="U14" s="187"/>
      <c r="V14" s="189">
        <v>10</v>
      </c>
      <c r="W14" s="190">
        <f t="shared" si="3"/>
        <v>10</v>
      </c>
      <c r="X14" s="187"/>
      <c r="Y14" s="192"/>
      <c r="Z14" s="190">
        <f t="shared" si="4"/>
        <v>0</v>
      </c>
      <c r="AA14" s="193"/>
      <c r="AB14" s="194"/>
      <c r="AC14" s="190">
        <f t="shared" si="5"/>
        <v>0</v>
      </c>
      <c r="AD14" s="196">
        <f t="shared" si="20"/>
        <v>10</v>
      </c>
      <c r="AE14" s="203">
        <v>46156</v>
      </c>
    </row>
    <row r="15" spans="2:31" x14ac:dyDescent="0.15">
      <c r="B15" s="6" t="s">
        <v>16</v>
      </c>
      <c r="C15" s="26">
        <v>2</v>
      </c>
      <c r="D15" s="28"/>
      <c r="E15" s="7">
        <f t="shared" si="18"/>
        <v>2</v>
      </c>
      <c r="F15" s="26"/>
      <c r="G15" s="43">
        <v>4</v>
      </c>
      <c r="H15" s="59">
        <f t="shared" si="0"/>
        <v>4</v>
      </c>
      <c r="I15" s="26">
        <v>1</v>
      </c>
      <c r="J15" s="28"/>
      <c r="K15" s="59">
        <f t="shared" si="1"/>
        <v>1</v>
      </c>
      <c r="L15" s="64"/>
      <c r="M15" s="65"/>
      <c r="N15" s="59">
        <f t="shared" si="2"/>
        <v>0</v>
      </c>
      <c r="O15" s="124">
        <f t="shared" si="6"/>
        <v>7</v>
      </c>
      <c r="P15" s="119">
        <v>46139</v>
      </c>
      <c r="Q15" s="6" t="s">
        <v>90</v>
      </c>
      <c r="R15" s="26">
        <v>10</v>
      </c>
      <c r="S15" s="28"/>
      <c r="T15" s="7">
        <f t="shared" si="19"/>
        <v>10</v>
      </c>
      <c r="U15" s="26"/>
      <c r="V15" s="43"/>
      <c r="W15" s="59">
        <f t="shared" si="3"/>
        <v>0</v>
      </c>
      <c r="X15" s="26">
        <v>10</v>
      </c>
      <c r="Y15" s="28"/>
      <c r="Z15" s="59">
        <f t="shared" si="4"/>
        <v>10</v>
      </c>
      <c r="AA15" s="64"/>
      <c r="AB15" s="65"/>
      <c r="AC15" s="59">
        <f t="shared" si="5"/>
        <v>0</v>
      </c>
      <c r="AD15" s="124">
        <f t="shared" si="20"/>
        <v>20</v>
      </c>
      <c r="AE15" s="135">
        <v>46170</v>
      </c>
    </row>
    <row r="16" spans="2:31" x14ac:dyDescent="0.15">
      <c r="B16" s="6" t="s">
        <v>16</v>
      </c>
      <c r="C16" s="26"/>
      <c r="D16" s="28">
        <v>1</v>
      </c>
      <c r="E16" s="7">
        <f t="shared" si="18"/>
        <v>1</v>
      </c>
      <c r="F16" s="26"/>
      <c r="G16" s="43"/>
      <c r="H16" s="59">
        <f t="shared" si="0"/>
        <v>0</v>
      </c>
      <c r="I16" s="26"/>
      <c r="J16" s="28"/>
      <c r="K16" s="59">
        <f t="shared" si="1"/>
        <v>0</v>
      </c>
      <c r="L16" s="64"/>
      <c r="M16" s="65"/>
      <c r="N16" s="59">
        <f t="shared" si="2"/>
        <v>0</v>
      </c>
      <c r="O16" s="124">
        <f t="shared" si="6"/>
        <v>1</v>
      </c>
      <c r="P16" s="119">
        <v>46149</v>
      </c>
      <c r="Q16" s="6" t="s">
        <v>90</v>
      </c>
      <c r="R16" s="26">
        <v>10</v>
      </c>
      <c r="S16" s="28">
        <v>10</v>
      </c>
      <c r="T16" s="7">
        <f t="shared" si="19"/>
        <v>20</v>
      </c>
      <c r="U16" s="26"/>
      <c r="V16" s="43">
        <v>10</v>
      </c>
      <c r="W16" s="59">
        <f t="shared" si="3"/>
        <v>10</v>
      </c>
      <c r="X16" s="26"/>
      <c r="Y16" s="28"/>
      <c r="Z16" s="59">
        <f t="shared" si="4"/>
        <v>0</v>
      </c>
      <c r="AA16" s="64"/>
      <c r="AB16" s="65"/>
      <c r="AC16" s="59">
        <f t="shared" si="5"/>
        <v>0</v>
      </c>
      <c r="AD16" s="124">
        <f t="shared" si="20"/>
        <v>30</v>
      </c>
      <c r="AE16" s="135">
        <v>46172</v>
      </c>
    </row>
    <row r="17" spans="2:32" x14ac:dyDescent="0.15">
      <c r="B17" s="6" t="s">
        <v>16</v>
      </c>
      <c r="C17" s="26"/>
      <c r="D17" s="28"/>
      <c r="E17" s="7">
        <f t="shared" si="18"/>
        <v>0</v>
      </c>
      <c r="F17" s="26"/>
      <c r="G17" s="43"/>
      <c r="H17" s="59">
        <f t="shared" si="0"/>
        <v>0</v>
      </c>
      <c r="I17" s="26"/>
      <c r="J17" s="28"/>
      <c r="K17" s="59">
        <f t="shared" si="1"/>
        <v>0</v>
      </c>
      <c r="L17" s="64">
        <v>1</v>
      </c>
      <c r="M17" s="65"/>
      <c r="N17" s="59">
        <f t="shared" si="2"/>
        <v>1</v>
      </c>
      <c r="O17" s="124">
        <f t="shared" si="6"/>
        <v>1</v>
      </c>
      <c r="P17" s="119">
        <v>46153</v>
      </c>
      <c r="Q17" s="6" t="s">
        <v>90</v>
      </c>
      <c r="R17" s="26"/>
      <c r="S17" s="28"/>
      <c r="T17" s="7">
        <f t="shared" si="19"/>
        <v>0</v>
      </c>
      <c r="U17" s="26">
        <v>10</v>
      </c>
      <c r="V17" s="43"/>
      <c r="W17" s="59">
        <f t="shared" si="3"/>
        <v>10</v>
      </c>
      <c r="X17" s="26"/>
      <c r="Y17" s="28">
        <v>10</v>
      </c>
      <c r="Z17" s="59">
        <f t="shared" si="4"/>
        <v>10</v>
      </c>
      <c r="AA17" s="64"/>
      <c r="AB17" s="65">
        <v>10</v>
      </c>
      <c r="AC17" s="59">
        <f t="shared" si="5"/>
        <v>10</v>
      </c>
      <c r="AD17" s="124">
        <f t="shared" si="20"/>
        <v>30</v>
      </c>
      <c r="AE17" s="135">
        <v>46176</v>
      </c>
    </row>
    <row r="18" spans="2:32" x14ac:dyDescent="0.15">
      <c r="B18" s="6" t="s">
        <v>16</v>
      </c>
      <c r="C18" s="26"/>
      <c r="D18" s="28">
        <v>1</v>
      </c>
      <c r="E18" s="7">
        <f t="shared" si="18"/>
        <v>1</v>
      </c>
      <c r="F18" s="26"/>
      <c r="G18" s="43">
        <v>1</v>
      </c>
      <c r="H18" s="59">
        <f t="shared" si="0"/>
        <v>1</v>
      </c>
      <c r="I18" s="26"/>
      <c r="J18" s="28"/>
      <c r="K18" s="59">
        <f t="shared" si="1"/>
        <v>0</v>
      </c>
      <c r="L18" s="64"/>
      <c r="M18" s="65"/>
      <c r="N18" s="59">
        <f t="shared" si="2"/>
        <v>0</v>
      </c>
      <c r="O18" s="124">
        <f t="shared" si="6"/>
        <v>2</v>
      </c>
      <c r="P18" s="119">
        <v>46155</v>
      </c>
      <c r="Q18" s="199" t="s">
        <v>90</v>
      </c>
      <c r="R18" s="187"/>
      <c r="S18" s="192"/>
      <c r="T18" s="202">
        <f t="shared" si="19"/>
        <v>0</v>
      </c>
      <c r="U18" s="187">
        <v>10</v>
      </c>
      <c r="V18" s="189"/>
      <c r="W18" s="190">
        <f t="shared" si="3"/>
        <v>10</v>
      </c>
      <c r="X18" s="187"/>
      <c r="Y18" s="192"/>
      <c r="Z18" s="190">
        <f t="shared" si="4"/>
        <v>0</v>
      </c>
      <c r="AA18" s="193"/>
      <c r="AB18" s="194"/>
      <c r="AC18" s="190">
        <f t="shared" si="5"/>
        <v>0</v>
      </c>
      <c r="AD18" s="196">
        <f t="shared" si="20"/>
        <v>10</v>
      </c>
      <c r="AE18" s="203">
        <v>46182</v>
      </c>
      <c r="AF18" s="201"/>
    </row>
    <row r="19" spans="2:32" x14ac:dyDescent="0.15">
      <c r="B19" s="6" t="s">
        <v>16</v>
      </c>
      <c r="C19" s="26"/>
      <c r="D19" s="28"/>
      <c r="E19" s="7">
        <f t="shared" si="18"/>
        <v>0</v>
      </c>
      <c r="F19" s="26">
        <v>1</v>
      </c>
      <c r="G19" s="43"/>
      <c r="H19" s="59">
        <f t="shared" si="0"/>
        <v>1</v>
      </c>
      <c r="I19" s="26"/>
      <c r="J19" s="28">
        <v>1</v>
      </c>
      <c r="K19" s="59">
        <f t="shared" si="1"/>
        <v>1</v>
      </c>
      <c r="L19" s="64"/>
      <c r="M19" s="65">
        <v>1</v>
      </c>
      <c r="N19" s="59">
        <f t="shared" si="2"/>
        <v>1</v>
      </c>
      <c r="O19" s="124">
        <f t="shared" si="6"/>
        <v>3</v>
      </c>
      <c r="P19" s="119">
        <v>46156</v>
      </c>
      <c r="Q19" s="6"/>
      <c r="R19" s="26"/>
      <c r="S19" s="28"/>
      <c r="T19" s="7">
        <f t="shared" si="19"/>
        <v>0</v>
      </c>
      <c r="U19" s="26"/>
      <c r="V19" s="43"/>
      <c r="W19" s="59">
        <f t="shared" si="3"/>
        <v>0</v>
      </c>
      <c r="X19" s="26"/>
      <c r="Y19" s="28"/>
      <c r="Z19" s="59">
        <f t="shared" si="4"/>
        <v>0</v>
      </c>
      <c r="AA19" s="64"/>
      <c r="AB19" s="65"/>
      <c r="AC19" s="59">
        <f t="shared" si="5"/>
        <v>0</v>
      </c>
      <c r="AD19" s="124">
        <f t="shared" si="20"/>
        <v>0</v>
      </c>
    </row>
    <row r="20" spans="2:32" x14ac:dyDescent="0.15">
      <c r="B20" s="6" t="s">
        <v>16</v>
      </c>
      <c r="C20" s="26"/>
      <c r="D20" s="28">
        <v>1</v>
      </c>
      <c r="E20" s="7">
        <f t="shared" si="18"/>
        <v>1</v>
      </c>
      <c r="F20" s="26"/>
      <c r="G20" s="43"/>
      <c r="H20" s="59">
        <f t="shared" si="0"/>
        <v>0</v>
      </c>
      <c r="I20" s="26"/>
      <c r="J20" s="28"/>
      <c r="K20" s="59">
        <f t="shared" si="1"/>
        <v>0</v>
      </c>
      <c r="L20" s="64"/>
      <c r="M20" s="65"/>
      <c r="N20" s="59">
        <f t="shared" si="2"/>
        <v>0</v>
      </c>
      <c r="O20" s="124">
        <f t="shared" si="6"/>
        <v>1</v>
      </c>
      <c r="P20" s="119">
        <v>46157</v>
      </c>
      <c r="Q20" s="6"/>
      <c r="R20" s="26"/>
      <c r="S20" s="28"/>
      <c r="T20" s="7">
        <f t="shared" si="19"/>
        <v>0</v>
      </c>
      <c r="U20" s="26"/>
      <c r="V20" s="43"/>
      <c r="W20" s="59">
        <f t="shared" si="3"/>
        <v>0</v>
      </c>
      <c r="X20" s="26"/>
      <c r="Y20" s="28"/>
      <c r="Z20" s="59">
        <f t="shared" si="4"/>
        <v>0</v>
      </c>
      <c r="AA20" s="64"/>
      <c r="AB20" s="65"/>
      <c r="AC20" s="59">
        <f t="shared" si="5"/>
        <v>0</v>
      </c>
      <c r="AD20" s="124">
        <f t="shared" si="20"/>
        <v>0</v>
      </c>
    </row>
    <row r="21" spans="2:32" x14ac:dyDescent="0.15">
      <c r="B21" s="6" t="s">
        <v>16</v>
      </c>
      <c r="C21" s="26"/>
      <c r="D21" s="28"/>
      <c r="E21" s="7">
        <f t="shared" si="18"/>
        <v>0</v>
      </c>
      <c r="F21" s="26"/>
      <c r="G21" s="43">
        <v>1</v>
      </c>
      <c r="H21" s="59">
        <f t="shared" si="0"/>
        <v>1</v>
      </c>
      <c r="I21" s="26">
        <v>1</v>
      </c>
      <c r="J21" s="28"/>
      <c r="K21" s="59">
        <f t="shared" si="1"/>
        <v>1</v>
      </c>
      <c r="L21" s="64">
        <v>1</v>
      </c>
      <c r="M21" s="65">
        <v>1</v>
      </c>
      <c r="N21" s="59">
        <f t="shared" si="2"/>
        <v>2</v>
      </c>
      <c r="O21" s="124">
        <f t="shared" si="6"/>
        <v>4</v>
      </c>
      <c r="P21" s="119">
        <v>46160</v>
      </c>
      <c r="Q21" s="6"/>
      <c r="R21" s="26"/>
      <c r="S21" s="28"/>
      <c r="T21" s="7">
        <f t="shared" si="19"/>
        <v>0</v>
      </c>
      <c r="U21" s="26"/>
      <c r="V21" s="43"/>
      <c r="W21" s="59">
        <f t="shared" si="3"/>
        <v>0</v>
      </c>
      <c r="X21" s="26"/>
      <c r="Y21" s="28"/>
      <c r="Z21" s="59">
        <f t="shared" si="4"/>
        <v>0</v>
      </c>
      <c r="AA21" s="64"/>
      <c r="AB21" s="65"/>
      <c r="AC21" s="59">
        <f t="shared" si="5"/>
        <v>0</v>
      </c>
      <c r="AD21" s="124">
        <f t="shared" si="20"/>
        <v>0</v>
      </c>
    </row>
    <row r="22" spans="2:32" x14ac:dyDescent="0.15">
      <c r="B22" s="6" t="s">
        <v>16</v>
      </c>
      <c r="C22" s="26">
        <v>1</v>
      </c>
      <c r="D22" s="28"/>
      <c r="E22" s="7">
        <f t="shared" si="18"/>
        <v>1</v>
      </c>
      <c r="F22" s="26"/>
      <c r="G22" s="43"/>
      <c r="H22" s="59">
        <f t="shared" si="0"/>
        <v>0</v>
      </c>
      <c r="I22" s="26"/>
      <c r="J22" s="28"/>
      <c r="K22" s="59">
        <f t="shared" si="1"/>
        <v>0</v>
      </c>
      <c r="L22" s="64"/>
      <c r="M22" s="65"/>
      <c r="N22" s="59">
        <f t="shared" si="2"/>
        <v>0</v>
      </c>
      <c r="O22" s="124">
        <f t="shared" si="6"/>
        <v>1</v>
      </c>
      <c r="P22" s="119">
        <v>46161</v>
      </c>
      <c r="Q22" s="6"/>
      <c r="R22" s="26"/>
      <c r="S22" s="28"/>
      <c r="T22" s="7">
        <f t="shared" si="19"/>
        <v>0</v>
      </c>
      <c r="U22" s="26"/>
      <c r="V22" s="43"/>
      <c r="W22" s="59">
        <f t="shared" si="3"/>
        <v>0</v>
      </c>
      <c r="X22" s="26"/>
      <c r="Y22" s="28"/>
      <c r="Z22" s="59">
        <f t="shared" si="4"/>
        <v>0</v>
      </c>
      <c r="AA22" s="64"/>
      <c r="AB22" s="65"/>
      <c r="AC22" s="59">
        <f t="shared" si="5"/>
        <v>0</v>
      </c>
      <c r="AD22" s="124">
        <f t="shared" si="20"/>
        <v>0</v>
      </c>
    </row>
    <row r="23" spans="2:32" x14ac:dyDescent="0.15">
      <c r="B23" s="6" t="s">
        <v>16</v>
      </c>
      <c r="C23" s="26"/>
      <c r="D23" s="28">
        <v>1</v>
      </c>
      <c r="E23" s="7">
        <f t="shared" si="18"/>
        <v>1</v>
      </c>
      <c r="F23" s="26"/>
      <c r="G23" s="43">
        <v>1</v>
      </c>
      <c r="H23" s="59">
        <f t="shared" si="0"/>
        <v>1</v>
      </c>
      <c r="I23" s="26"/>
      <c r="J23" s="28"/>
      <c r="K23" s="59">
        <f t="shared" si="1"/>
        <v>0</v>
      </c>
      <c r="L23" s="64"/>
      <c r="M23" s="65">
        <v>1</v>
      </c>
      <c r="N23" s="59">
        <f t="shared" si="2"/>
        <v>1</v>
      </c>
      <c r="O23" s="124">
        <f t="shared" si="6"/>
        <v>3</v>
      </c>
      <c r="P23" s="119">
        <v>46162</v>
      </c>
      <c r="Q23" s="6"/>
      <c r="R23" s="26"/>
      <c r="S23" s="28"/>
      <c r="T23" s="7">
        <f t="shared" si="19"/>
        <v>0</v>
      </c>
      <c r="U23" s="26"/>
      <c r="V23" s="43"/>
      <c r="W23" s="59">
        <f t="shared" si="3"/>
        <v>0</v>
      </c>
      <c r="X23" s="26"/>
      <c r="Y23" s="28"/>
      <c r="Z23" s="59">
        <f t="shared" si="4"/>
        <v>0</v>
      </c>
      <c r="AA23" s="64"/>
      <c r="AB23" s="65"/>
      <c r="AC23" s="59">
        <f t="shared" si="5"/>
        <v>0</v>
      </c>
      <c r="AD23" s="124">
        <f t="shared" si="20"/>
        <v>0</v>
      </c>
    </row>
    <row r="24" spans="2:32" x14ac:dyDescent="0.15">
      <c r="B24" s="6" t="s">
        <v>16</v>
      </c>
      <c r="C24" s="26">
        <v>1</v>
      </c>
      <c r="D24" s="28"/>
      <c r="E24" s="7">
        <f t="shared" si="18"/>
        <v>1</v>
      </c>
      <c r="F24" s="26"/>
      <c r="G24" s="43"/>
      <c r="H24" s="59">
        <f t="shared" si="0"/>
        <v>0</v>
      </c>
      <c r="I24" s="26"/>
      <c r="J24" s="28"/>
      <c r="K24" s="59">
        <f t="shared" si="1"/>
        <v>0</v>
      </c>
      <c r="L24" s="64"/>
      <c r="M24" s="65"/>
      <c r="N24" s="59">
        <f t="shared" si="2"/>
        <v>0</v>
      </c>
      <c r="O24" s="124">
        <f t="shared" si="6"/>
        <v>1</v>
      </c>
      <c r="P24" s="119">
        <v>46163</v>
      </c>
      <c r="Q24" s="6"/>
      <c r="R24" s="26"/>
      <c r="S24" s="28"/>
      <c r="T24" s="7">
        <f t="shared" si="19"/>
        <v>0</v>
      </c>
      <c r="U24" s="26"/>
      <c r="V24" s="43"/>
      <c r="W24" s="59">
        <f t="shared" si="3"/>
        <v>0</v>
      </c>
      <c r="X24" s="26"/>
      <c r="Y24" s="28"/>
      <c r="Z24" s="59">
        <f t="shared" si="4"/>
        <v>0</v>
      </c>
      <c r="AA24" s="64"/>
      <c r="AB24" s="65"/>
      <c r="AC24" s="59">
        <f t="shared" si="5"/>
        <v>0</v>
      </c>
      <c r="AD24" s="124">
        <f t="shared" si="20"/>
        <v>0</v>
      </c>
    </row>
    <row r="25" spans="2:32" x14ac:dyDescent="0.15">
      <c r="B25" s="6" t="s">
        <v>16</v>
      </c>
      <c r="C25" s="26"/>
      <c r="D25" s="28"/>
      <c r="E25" s="7">
        <f t="shared" si="18"/>
        <v>0</v>
      </c>
      <c r="F25" s="26">
        <v>1</v>
      </c>
      <c r="G25" s="43"/>
      <c r="H25" s="59">
        <f t="shared" si="0"/>
        <v>1</v>
      </c>
      <c r="I25" s="26">
        <v>1</v>
      </c>
      <c r="J25" s="28"/>
      <c r="K25" s="59">
        <f t="shared" si="1"/>
        <v>1</v>
      </c>
      <c r="L25" s="64"/>
      <c r="M25" s="65"/>
      <c r="N25" s="59">
        <f t="shared" si="2"/>
        <v>0</v>
      </c>
      <c r="O25" s="124">
        <f t="shared" si="6"/>
        <v>2</v>
      </c>
      <c r="P25" s="119">
        <v>46164</v>
      </c>
      <c r="Q25" s="6"/>
      <c r="R25" s="26"/>
      <c r="S25" s="28"/>
      <c r="T25" s="7">
        <f t="shared" si="19"/>
        <v>0</v>
      </c>
      <c r="U25" s="26"/>
      <c r="V25" s="43"/>
      <c r="W25" s="59">
        <f t="shared" si="3"/>
        <v>0</v>
      </c>
      <c r="X25" s="26"/>
      <c r="Y25" s="28"/>
      <c r="Z25" s="59">
        <f t="shared" si="4"/>
        <v>0</v>
      </c>
      <c r="AA25" s="64"/>
      <c r="AB25" s="65"/>
      <c r="AC25" s="59">
        <f t="shared" si="5"/>
        <v>0</v>
      </c>
      <c r="AD25" s="124">
        <f t="shared" si="20"/>
        <v>0</v>
      </c>
    </row>
    <row r="26" spans="2:32" x14ac:dyDescent="0.15">
      <c r="B26" s="6" t="s">
        <v>16</v>
      </c>
      <c r="C26" s="26">
        <v>2</v>
      </c>
      <c r="D26" s="28">
        <v>2</v>
      </c>
      <c r="E26" s="7">
        <f t="shared" si="18"/>
        <v>4</v>
      </c>
      <c r="F26" s="26">
        <v>1</v>
      </c>
      <c r="G26" s="43"/>
      <c r="H26" s="59">
        <f t="shared" si="0"/>
        <v>1</v>
      </c>
      <c r="I26" s="26">
        <v>2</v>
      </c>
      <c r="J26" s="28">
        <v>1</v>
      </c>
      <c r="K26" s="59">
        <f t="shared" si="1"/>
        <v>3</v>
      </c>
      <c r="L26" s="64"/>
      <c r="M26" s="65"/>
      <c r="N26" s="59">
        <f t="shared" si="2"/>
        <v>0</v>
      </c>
      <c r="O26" s="124">
        <f t="shared" si="6"/>
        <v>8</v>
      </c>
      <c r="P26" s="119">
        <v>46167</v>
      </c>
      <c r="Q26" s="6"/>
      <c r="R26" s="26"/>
      <c r="S26" s="28"/>
      <c r="T26" s="7">
        <f t="shared" si="19"/>
        <v>0</v>
      </c>
      <c r="U26" s="26"/>
      <c r="V26" s="43"/>
      <c r="W26" s="59">
        <f t="shared" si="3"/>
        <v>0</v>
      </c>
      <c r="X26" s="26"/>
      <c r="Y26" s="28"/>
      <c r="Z26" s="59">
        <f t="shared" si="4"/>
        <v>0</v>
      </c>
      <c r="AA26" s="64"/>
      <c r="AB26" s="65"/>
      <c r="AC26" s="59">
        <f t="shared" si="5"/>
        <v>0</v>
      </c>
      <c r="AD26" s="124">
        <f t="shared" si="20"/>
        <v>0</v>
      </c>
    </row>
    <row r="27" spans="2:32" x14ac:dyDescent="0.15">
      <c r="B27" s="6" t="s">
        <v>16</v>
      </c>
      <c r="C27" s="26"/>
      <c r="D27" s="28">
        <v>2</v>
      </c>
      <c r="E27" s="7">
        <f t="shared" si="18"/>
        <v>2</v>
      </c>
      <c r="F27" s="26"/>
      <c r="G27" s="43">
        <v>2</v>
      </c>
      <c r="H27" s="59">
        <f t="shared" si="0"/>
        <v>2</v>
      </c>
      <c r="I27" s="26"/>
      <c r="J27" s="28"/>
      <c r="K27" s="59">
        <f t="shared" si="1"/>
        <v>0</v>
      </c>
      <c r="L27" s="64"/>
      <c r="M27" s="65"/>
      <c r="N27" s="59">
        <f t="shared" si="2"/>
        <v>0</v>
      </c>
      <c r="O27" s="124">
        <f t="shared" si="6"/>
        <v>4</v>
      </c>
      <c r="P27" s="119">
        <v>46168</v>
      </c>
      <c r="Q27" s="6"/>
      <c r="R27" s="26"/>
      <c r="S27" s="28"/>
      <c r="T27" s="7">
        <f t="shared" si="19"/>
        <v>0</v>
      </c>
      <c r="U27" s="26"/>
      <c r="V27" s="43"/>
      <c r="W27" s="59">
        <f t="shared" si="3"/>
        <v>0</v>
      </c>
      <c r="X27" s="26"/>
      <c r="Y27" s="28"/>
      <c r="Z27" s="59">
        <f t="shared" si="4"/>
        <v>0</v>
      </c>
      <c r="AA27" s="64"/>
      <c r="AB27" s="65"/>
      <c r="AC27" s="59">
        <f t="shared" si="5"/>
        <v>0</v>
      </c>
      <c r="AD27" s="124">
        <f t="shared" si="20"/>
        <v>0</v>
      </c>
    </row>
    <row r="28" spans="2:32" x14ac:dyDescent="0.15">
      <c r="B28" s="6" t="s">
        <v>16</v>
      </c>
      <c r="C28" s="26">
        <v>2</v>
      </c>
      <c r="D28" s="28">
        <v>1</v>
      </c>
      <c r="E28" s="7">
        <f t="shared" si="18"/>
        <v>3</v>
      </c>
      <c r="F28" s="26">
        <v>1</v>
      </c>
      <c r="G28" s="43">
        <v>2</v>
      </c>
      <c r="H28" s="59">
        <f t="shared" si="0"/>
        <v>3</v>
      </c>
      <c r="I28" s="26">
        <v>1</v>
      </c>
      <c r="J28" s="28"/>
      <c r="K28" s="59">
        <f t="shared" si="1"/>
        <v>1</v>
      </c>
      <c r="L28" s="64"/>
      <c r="M28" s="65"/>
      <c r="N28" s="59">
        <f t="shared" si="2"/>
        <v>0</v>
      </c>
      <c r="O28" s="124">
        <f t="shared" si="6"/>
        <v>7</v>
      </c>
      <c r="P28" s="119">
        <v>46169</v>
      </c>
      <c r="Q28" s="6"/>
      <c r="R28" s="26"/>
      <c r="S28" s="28"/>
      <c r="T28" s="7">
        <f t="shared" si="19"/>
        <v>0</v>
      </c>
      <c r="U28" s="26"/>
      <c r="V28" s="43"/>
      <c r="W28" s="59">
        <f t="shared" si="3"/>
        <v>0</v>
      </c>
      <c r="X28" s="26"/>
      <c r="Y28" s="28"/>
      <c r="Z28" s="59">
        <f t="shared" si="4"/>
        <v>0</v>
      </c>
      <c r="AA28" s="64"/>
      <c r="AB28" s="65"/>
      <c r="AC28" s="59">
        <f t="shared" si="5"/>
        <v>0</v>
      </c>
      <c r="AD28" s="124">
        <f t="shared" si="20"/>
        <v>0</v>
      </c>
    </row>
    <row r="29" spans="2:32" x14ac:dyDescent="0.15">
      <c r="B29" s="6" t="s">
        <v>16</v>
      </c>
      <c r="C29" s="26">
        <v>4</v>
      </c>
      <c r="D29" s="28"/>
      <c r="E29" s="7">
        <f t="shared" si="18"/>
        <v>4</v>
      </c>
      <c r="F29" s="26"/>
      <c r="G29" s="43">
        <v>1</v>
      </c>
      <c r="H29" s="59">
        <f t="shared" si="0"/>
        <v>1</v>
      </c>
      <c r="I29" s="26"/>
      <c r="J29" s="28"/>
      <c r="K29" s="59">
        <f t="shared" si="1"/>
        <v>0</v>
      </c>
      <c r="L29" s="64"/>
      <c r="M29" s="65"/>
      <c r="N29" s="59">
        <f t="shared" si="2"/>
        <v>0</v>
      </c>
      <c r="O29" s="124">
        <f t="shared" si="6"/>
        <v>5</v>
      </c>
      <c r="P29" s="119">
        <v>46170</v>
      </c>
      <c r="Q29" s="6"/>
      <c r="R29" s="26"/>
      <c r="S29" s="28"/>
      <c r="T29" s="7">
        <f t="shared" si="19"/>
        <v>0</v>
      </c>
      <c r="U29" s="26"/>
      <c r="V29" s="43"/>
      <c r="W29" s="59">
        <f t="shared" si="3"/>
        <v>0</v>
      </c>
      <c r="X29" s="26"/>
      <c r="Y29" s="28"/>
      <c r="Z29" s="59">
        <f t="shared" si="4"/>
        <v>0</v>
      </c>
      <c r="AA29" s="64"/>
      <c r="AB29" s="65"/>
      <c r="AC29" s="59">
        <f t="shared" si="5"/>
        <v>0</v>
      </c>
      <c r="AD29" s="124">
        <f t="shared" si="20"/>
        <v>0</v>
      </c>
    </row>
    <row r="30" spans="2:32" x14ac:dyDescent="0.15">
      <c r="B30" s="6" t="s">
        <v>16</v>
      </c>
      <c r="C30" s="26"/>
      <c r="D30" s="28"/>
      <c r="E30" s="7">
        <f t="shared" si="18"/>
        <v>0</v>
      </c>
      <c r="F30" s="26">
        <v>1</v>
      </c>
      <c r="G30" s="43"/>
      <c r="H30" s="59">
        <f t="shared" si="0"/>
        <v>1</v>
      </c>
      <c r="I30" s="26">
        <v>1</v>
      </c>
      <c r="J30" s="28">
        <v>1</v>
      </c>
      <c r="K30" s="59">
        <f t="shared" si="1"/>
        <v>2</v>
      </c>
      <c r="L30" s="64"/>
      <c r="M30" s="65"/>
      <c r="N30" s="59">
        <f t="shared" si="2"/>
        <v>0</v>
      </c>
      <c r="O30" s="124">
        <f t="shared" si="6"/>
        <v>3</v>
      </c>
      <c r="P30" s="119">
        <v>46171</v>
      </c>
      <c r="Q30" s="6"/>
      <c r="R30" s="26"/>
      <c r="S30" s="28"/>
      <c r="T30" s="7">
        <f t="shared" si="19"/>
        <v>0</v>
      </c>
      <c r="U30" s="26"/>
      <c r="V30" s="43"/>
      <c r="W30" s="59">
        <f t="shared" si="3"/>
        <v>0</v>
      </c>
      <c r="X30" s="26"/>
      <c r="Y30" s="28"/>
      <c r="Z30" s="59">
        <f t="shared" si="4"/>
        <v>0</v>
      </c>
      <c r="AA30" s="64"/>
      <c r="AB30" s="65"/>
      <c r="AC30" s="59">
        <f t="shared" si="5"/>
        <v>0</v>
      </c>
      <c r="AD30" s="124">
        <f t="shared" si="20"/>
        <v>0</v>
      </c>
    </row>
    <row r="31" spans="2:32" x14ac:dyDescent="0.15">
      <c r="B31" s="6" t="s">
        <v>16</v>
      </c>
      <c r="C31" s="26">
        <v>5</v>
      </c>
      <c r="D31" s="28">
        <v>3</v>
      </c>
      <c r="E31" s="7">
        <f t="shared" si="18"/>
        <v>8</v>
      </c>
      <c r="F31" s="26">
        <v>5</v>
      </c>
      <c r="G31" s="43"/>
      <c r="H31" s="59">
        <f t="shared" si="0"/>
        <v>5</v>
      </c>
      <c r="I31" s="26">
        <v>1</v>
      </c>
      <c r="J31" s="28">
        <v>1</v>
      </c>
      <c r="K31" s="59">
        <f t="shared" si="1"/>
        <v>2</v>
      </c>
      <c r="L31" s="64">
        <v>1</v>
      </c>
      <c r="M31" s="65">
        <v>3</v>
      </c>
      <c r="N31" s="59">
        <f t="shared" si="2"/>
        <v>4</v>
      </c>
      <c r="O31" s="124">
        <f t="shared" si="6"/>
        <v>19</v>
      </c>
      <c r="P31" s="119">
        <v>46174</v>
      </c>
      <c r="Q31" s="6"/>
      <c r="R31" s="26"/>
      <c r="S31" s="28"/>
      <c r="T31" s="7">
        <f t="shared" si="19"/>
        <v>0</v>
      </c>
      <c r="U31" s="26"/>
      <c r="V31" s="43"/>
      <c r="W31" s="59">
        <f t="shared" si="3"/>
        <v>0</v>
      </c>
      <c r="X31" s="26"/>
      <c r="Y31" s="28"/>
      <c r="Z31" s="59">
        <f t="shared" si="4"/>
        <v>0</v>
      </c>
      <c r="AA31" s="64"/>
      <c r="AB31" s="65"/>
      <c r="AC31" s="59">
        <f t="shared" si="5"/>
        <v>0</v>
      </c>
      <c r="AD31" s="124">
        <f t="shared" si="20"/>
        <v>0</v>
      </c>
    </row>
    <row r="32" spans="2:32" x14ac:dyDescent="0.15">
      <c r="B32" s="6" t="s">
        <v>16</v>
      </c>
      <c r="C32" s="26">
        <v>2</v>
      </c>
      <c r="D32" s="28">
        <v>1</v>
      </c>
      <c r="E32" s="7">
        <f t="shared" si="18"/>
        <v>3</v>
      </c>
      <c r="F32" s="26"/>
      <c r="G32" s="43"/>
      <c r="H32" s="59">
        <f t="shared" si="0"/>
        <v>0</v>
      </c>
      <c r="I32" s="26">
        <v>1</v>
      </c>
      <c r="J32" s="28"/>
      <c r="K32" s="59">
        <f t="shared" si="1"/>
        <v>1</v>
      </c>
      <c r="L32" s="64"/>
      <c r="M32" s="65"/>
      <c r="N32" s="59">
        <f t="shared" si="2"/>
        <v>0</v>
      </c>
      <c r="O32" s="124">
        <f t="shared" si="6"/>
        <v>4</v>
      </c>
      <c r="P32" s="119">
        <v>46175</v>
      </c>
      <c r="Q32" s="6"/>
      <c r="R32" s="26"/>
      <c r="S32" s="28"/>
      <c r="T32" s="7">
        <f t="shared" si="19"/>
        <v>0</v>
      </c>
      <c r="U32" s="26"/>
      <c r="V32" s="43"/>
      <c r="W32" s="59">
        <f t="shared" si="3"/>
        <v>0</v>
      </c>
      <c r="X32" s="26"/>
      <c r="Y32" s="28"/>
      <c r="Z32" s="59">
        <f t="shared" si="4"/>
        <v>0</v>
      </c>
      <c r="AA32" s="64"/>
      <c r="AB32" s="65"/>
      <c r="AC32" s="59">
        <f t="shared" si="5"/>
        <v>0</v>
      </c>
      <c r="AD32" s="124">
        <f t="shared" si="20"/>
        <v>0</v>
      </c>
    </row>
    <row r="33" spans="2:31" x14ac:dyDescent="0.15">
      <c r="B33" s="6" t="s">
        <v>16</v>
      </c>
      <c r="C33" s="26">
        <v>1</v>
      </c>
      <c r="D33" s="28">
        <v>2</v>
      </c>
      <c r="E33" s="7">
        <f t="shared" si="18"/>
        <v>3</v>
      </c>
      <c r="F33" s="26">
        <v>2</v>
      </c>
      <c r="G33" s="43">
        <v>2</v>
      </c>
      <c r="H33" s="59">
        <f t="shared" si="0"/>
        <v>4</v>
      </c>
      <c r="I33" s="26"/>
      <c r="J33" s="28"/>
      <c r="K33" s="59">
        <f t="shared" si="1"/>
        <v>0</v>
      </c>
      <c r="L33" s="64">
        <v>1</v>
      </c>
      <c r="M33" s="65">
        <v>1</v>
      </c>
      <c r="N33" s="59">
        <f t="shared" si="2"/>
        <v>2</v>
      </c>
      <c r="O33" s="124">
        <f t="shared" si="6"/>
        <v>9</v>
      </c>
      <c r="P33" s="119">
        <v>46176</v>
      </c>
      <c r="Q33" s="6"/>
      <c r="R33" s="26"/>
      <c r="S33" s="28"/>
      <c r="T33" s="7">
        <f t="shared" si="19"/>
        <v>0</v>
      </c>
      <c r="U33" s="26"/>
      <c r="V33" s="43"/>
      <c r="W33" s="59">
        <f t="shared" si="3"/>
        <v>0</v>
      </c>
      <c r="X33" s="26"/>
      <c r="Y33" s="28"/>
      <c r="Z33" s="59">
        <f t="shared" si="4"/>
        <v>0</v>
      </c>
      <c r="AA33" s="64"/>
      <c r="AB33" s="65"/>
      <c r="AC33" s="59">
        <f t="shared" si="5"/>
        <v>0</v>
      </c>
      <c r="AD33" s="124">
        <f t="shared" si="20"/>
        <v>0</v>
      </c>
    </row>
    <row r="34" spans="2:31" x14ac:dyDescent="0.15">
      <c r="B34" s="6" t="s">
        <v>16</v>
      </c>
      <c r="C34" s="26"/>
      <c r="D34" s="28"/>
      <c r="E34" s="7">
        <f t="shared" si="18"/>
        <v>0</v>
      </c>
      <c r="F34" s="26">
        <v>1</v>
      </c>
      <c r="G34" s="43">
        <v>1</v>
      </c>
      <c r="H34" s="59">
        <f t="shared" si="0"/>
        <v>2</v>
      </c>
      <c r="I34" s="26"/>
      <c r="J34" s="28"/>
      <c r="K34" s="59">
        <f t="shared" si="1"/>
        <v>0</v>
      </c>
      <c r="L34" s="64"/>
      <c r="M34" s="65">
        <v>2</v>
      </c>
      <c r="N34" s="59">
        <f t="shared" si="2"/>
        <v>2</v>
      </c>
      <c r="O34" s="124">
        <f t="shared" si="6"/>
        <v>4</v>
      </c>
      <c r="P34" s="119">
        <v>46177</v>
      </c>
      <c r="Q34" s="6"/>
      <c r="R34" s="26"/>
      <c r="S34" s="28"/>
      <c r="T34" s="7">
        <f t="shared" si="19"/>
        <v>0</v>
      </c>
      <c r="U34" s="26"/>
      <c r="V34" s="43"/>
      <c r="W34" s="59">
        <f t="shared" si="3"/>
        <v>0</v>
      </c>
      <c r="X34" s="26"/>
      <c r="Y34" s="28"/>
      <c r="Z34" s="59">
        <f t="shared" si="4"/>
        <v>0</v>
      </c>
      <c r="AA34" s="64"/>
      <c r="AB34" s="65"/>
      <c r="AC34" s="59">
        <f t="shared" si="5"/>
        <v>0</v>
      </c>
      <c r="AD34" s="124">
        <f t="shared" si="20"/>
        <v>0</v>
      </c>
    </row>
    <row r="35" spans="2:31" x14ac:dyDescent="0.15">
      <c r="B35" s="6" t="s">
        <v>16</v>
      </c>
      <c r="C35" s="26">
        <v>1</v>
      </c>
      <c r="D35" s="28">
        <v>2</v>
      </c>
      <c r="E35" s="7">
        <f t="shared" si="18"/>
        <v>3</v>
      </c>
      <c r="F35" s="26">
        <v>3</v>
      </c>
      <c r="G35" s="43"/>
      <c r="H35" s="59">
        <f t="shared" si="0"/>
        <v>3</v>
      </c>
      <c r="I35" s="26">
        <v>1</v>
      </c>
      <c r="J35" s="28">
        <v>1</v>
      </c>
      <c r="K35" s="59">
        <f t="shared" si="1"/>
        <v>2</v>
      </c>
      <c r="L35" s="64"/>
      <c r="M35" s="65">
        <v>1</v>
      </c>
      <c r="N35" s="59">
        <f t="shared" si="2"/>
        <v>1</v>
      </c>
      <c r="O35" s="124">
        <f t="shared" si="6"/>
        <v>9</v>
      </c>
      <c r="P35" s="119">
        <v>46178</v>
      </c>
      <c r="Q35" s="6"/>
      <c r="R35" s="26"/>
      <c r="S35" s="28"/>
      <c r="T35" s="7">
        <f t="shared" si="19"/>
        <v>0</v>
      </c>
      <c r="U35" s="26"/>
      <c r="V35" s="43"/>
      <c r="W35" s="59">
        <f t="shared" si="3"/>
        <v>0</v>
      </c>
      <c r="X35" s="26"/>
      <c r="Y35" s="28"/>
      <c r="Z35" s="59">
        <f t="shared" si="4"/>
        <v>0</v>
      </c>
      <c r="AA35" s="64"/>
      <c r="AB35" s="65"/>
      <c r="AC35" s="59">
        <f t="shared" si="5"/>
        <v>0</v>
      </c>
      <c r="AD35" s="124">
        <f t="shared" si="20"/>
        <v>0</v>
      </c>
    </row>
    <row r="36" spans="2:31" ht="14.25" thickBot="1" x14ac:dyDescent="0.2">
      <c r="B36" s="6" t="s">
        <v>16</v>
      </c>
      <c r="C36" s="26">
        <v>1</v>
      </c>
      <c r="D36" s="28">
        <v>1</v>
      </c>
      <c r="E36" s="7">
        <f t="shared" si="18"/>
        <v>2</v>
      </c>
      <c r="F36" s="29">
        <v>3</v>
      </c>
      <c r="G36" s="44"/>
      <c r="H36" s="125">
        <f t="shared" si="0"/>
        <v>3</v>
      </c>
      <c r="I36" s="29"/>
      <c r="J36" s="31"/>
      <c r="K36" s="125">
        <f t="shared" si="1"/>
        <v>0</v>
      </c>
      <c r="L36" s="66">
        <v>1</v>
      </c>
      <c r="M36" s="67"/>
      <c r="N36" s="125">
        <f t="shared" si="2"/>
        <v>1</v>
      </c>
      <c r="O36" s="124">
        <f t="shared" si="6"/>
        <v>6</v>
      </c>
      <c r="P36" s="119">
        <v>46181</v>
      </c>
      <c r="Q36" s="6"/>
      <c r="R36" s="26"/>
      <c r="S36" s="28"/>
      <c r="T36" s="7">
        <f t="shared" si="19"/>
        <v>0</v>
      </c>
      <c r="U36" s="29"/>
      <c r="V36" s="44"/>
      <c r="W36" s="125">
        <f t="shared" si="3"/>
        <v>0</v>
      </c>
      <c r="X36" s="29"/>
      <c r="Y36" s="31"/>
      <c r="Z36" s="125">
        <f t="shared" si="4"/>
        <v>0</v>
      </c>
      <c r="AA36" s="66"/>
      <c r="AB36" s="67"/>
      <c r="AC36" s="125">
        <f t="shared" si="5"/>
        <v>0</v>
      </c>
      <c r="AD36" s="124">
        <f t="shared" si="20"/>
        <v>0</v>
      </c>
    </row>
    <row r="37" spans="2:31" ht="14.25" thickBot="1" x14ac:dyDescent="0.2">
      <c r="B37" s="5" t="s">
        <v>2</v>
      </c>
      <c r="C37" s="32">
        <f>SUM(C12:C36)</f>
        <v>23</v>
      </c>
      <c r="D37" s="34">
        <f t="shared" ref="D37:O37" si="21">SUM(D12:D36)</f>
        <v>22</v>
      </c>
      <c r="E37" s="4">
        <f t="shared" si="21"/>
        <v>45</v>
      </c>
      <c r="F37" s="32">
        <f t="shared" si="21"/>
        <v>19</v>
      </c>
      <c r="G37" s="34">
        <f t="shared" si="21"/>
        <v>18</v>
      </c>
      <c r="H37" s="4">
        <f t="shared" si="21"/>
        <v>37</v>
      </c>
      <c r="I37" s="32">
        <f t="shared" si="21"/>
        <v>11</v>
      </c>
      <c r="J37" s="34">
        <f t="shared" si="21"/>
        <v>6</v>
      </c>
      <c r="K37" s="4">
        <f t="shared" si="21"/>
        <v>17</v>
      </c>
      <c r="L37" s="68">
        <f t="shared" si="21"/>
        <v>5</v>
      </c>
      <c r="M37" s="69">
        <f t="shared" si="21"/>
        <v>11</v>
      </c>
      <c r="N37" s="4">
        <f t="shared" si="21"/>
        <v>16</v>
      </c>
      <c r="O37" s="88">
        <f t="shared" si="21"/>
        <v>115</v>
      </c>
      <c r="P37" s="116"/>
      <c r="Q37" s="5" t="s">
        <v>2</v>
      </c>
      <c r="R37" s="32">
        <f>SUM(R12:R36)</f>
        <v>30</v>
      </c>
      <c r="S37" s="34">
        <f t="shared" ref="S37:AD37" si="22">SUM(S12:S36)</f>
        <v>30</v>
      </c>
      <c r="T37" s="4">
        <f t="shared" si="22"/>
        <v>60</v>
      </c>
      <c r="U37" s="32">
        <f t="shared" si="22"/>
        <v>30</v>
      </c>
      <c r="V37" s="34">
        <f t="shared" si="22"/>
        <v>30</v>
      </c>
      <c r="W37" s="4">
        <f t="shared" si="22"/>
        <v>60</v>
      </c>
      <c r="X37" s="32">
        <f t="shared" si="22"/>
        <v>20</v>
      </c>
      <c r="Y37" s="34">
        <f t="shared" si="22"/>
        <v>20</v>
      </c>
      <c r="Z37" s="4">
        <f t="shared" si="22"/>
        <v>40</v>
      </c>
      <c r="AA37" s="68">
        <f t="shared" si="22"/>
        <v>10</v>
      </c>
      <c r="AB37" s="69">
        <f t="shared" si="22"/>
        <v>20</v>
      </c>
      <c r="AC37" s="4">
        <f t="shared" si="22"/>
        <v>30</v>
      </c>
      <c r="AD37" s="88">
        <f t="shared" si="22"/>
        <v>190</v>
      </c>
    </row>
    <row r="38" spans="2:31" ht="14.25" thickBot="1" x14ac:dyDescent="0.2">
      <c r="B38" s="3" t="s">
        <v>3</v>
      </c>
      <c r="C38" s="38">
        <f>+C11-C37</f>
        <v>7</v>
      </c>
      <c r="D38" s="40">
        <f t="shared" ref="D38:O38" si="23">+D11-D37</f>
        <v>8</v>
      </c>
      <c r="E38" s="2">
        <f t="shared" si="23"/>
        <v>15</v>
      </c>
      <c r="F38" s="70">
        <f t="shared" si="23"/>
        <v>1</v>
      </c>
      <c r="G38" s="85">
        <f t="shared" si="23"/>
        <v>12</v>
      </c>
      <c r="H38" s="61">
        <f t="shared" si="23"/>
        <v>13</v>
      </c>
      <c r="I38" s="70">
        <f t="shared" si="23"/>
        <v>9</v>
      </c>
      <c r="J38" s="85">
        <f t="shared" si="23"/>
        <v>14</v>
      </c>
      <c r="K38" s="61">
        <f t="shared" si="23"/>
        <v>23</v>
      </c>
      <c r="L38" s="81">
        <f t="shared" si="23"/>
        <v>5</v>
      </c>
      <c r="M38" s="71">
        <f t="shared" si="23"/>
        <v>9</v>
      </c>
      <c r="N38" s="61">
        <f t="shared" si="23"/>
        <v>14</v>
      </c>
      <c r="O38" s="88">
        <f t="shared" si="23"/>
        <v>65</v>
      </c>
      <c r="P38" s="116"/>
      <c r="Q38" s="3" t="s">
        <v>3</v>
      </c>
      <c r="R38" s="38">
        <f>+R11-R37</f>
        <v>70</v>
      </c>
      <c r="S38" s="40">
        <f t="shared" ref="S38:AD38" si="24">+S11-S37</f>
        <v>70</v>
      </c>
      <c r="T38" s="2">
        <f t="shared" si="24"/>
        <v>140</v>
      </c>
      <c r="U38" s="70">
        <f t="shared" si="24"/>
        <v>30</v>
      </c>
      <c r="V38" s="85">
        <f t="shared" si="24"/>
        <v>30</v>
      </c>
      <c r="W38" s="61">
        <f t="shared" si="24"/>
        <v>60</v>
      </c>
      <c r="X38" s="70">
        <f t="shared" si="24"/>
        <v>40</v>
      </c>
      <c r="Y38" s="85">
        <f t="shared" si="24"/>
        <v>40</v>
      </c>
      <c r="Z38" s="61">
        <f t="shared" si="24"/>
        <v>80</v>
      </c>
      <c r="AA38" s="81">
        <f t="shared" si="24"/>
        <v>70</v>
      </c>
      <c r="AB38" s="71">
        <f t="shared" si="24"/>
        <v>60</v>
      </c>
      <c r="AC38" s="61">
        <f t="shared" si="24"/>
        <v>130</v>
      </c>
      <c r="AD38" s="88">
        <f t="shared" si="24"/>
        <v>410</v>
      </c>
    </row>
    <row r="39" spans="2:31" x14ac:dyDescent="0.15">
      <c r="Q39" s="1"/>
    </row>
    <row r="40" spans="2:31" x14ac:dyDescent="0.15">
      <c r="Q40" s="1"/>
    </row>
    <row r="41" spans="2:31" ht="18.75" x14ac:dyDescent="0.2">
      <c r="B41" s="89" t="s">
        <v>85</v>
      </c>
      <c r="C41" s="90"/>
      <c r="D41" s="90"/>
      <c r="E41" s="90"/>
      <c r="F41" s="90"/>
      <c r="G41" s="90"/>
      <c r="H41" s="90"/>
      <c r="I41" s="90"/>
      <c r="J41" s="90"/>
      <c r="K41" s="90"/>
      <c r="L41" s="89"/>
      <c r="M41" s="90"/>
      <c r="N41" s="90"/>
      <c r="O41" s="90"/>
      <c r="Q41" s="179" t="s">
        <v>86</v>
      </c>
      <c r="R41" s="180"/>
      <c r="S41" s="180"/>
      <c r="T41" s="180"/>
      <c r="U41" s="180"/>
      <c r="V41" s="180"/>
      <c r="W41" s="180"/>
      <c r="X41" s="180"/>
      <c r="Y41" s="180"/>
      <c r="Z41" s="180"/>
      <c r="AA41" s="179"/>
      <c r="AB41" s="180"/>
      <c r="AC41" s="180"/>
      <c r="AD41" s="180"/>
    </row>
    <row r="42" spans="2:31" ht="18" thickBot="1" x14ac:dyDescent="0.25">
      <c r="B42" s="177" t="s">
        <v>84</v>
      </c>
      <c r="C42" s="90"/>
      <c r="D42" s="90"/>
      <c r="E42" s="90"/>
      <c r="F42" s="90"/>
      <c r="G42" s="91"/>
      <c r="H42" s="90"/>
      <c r="I42" s="90"/>
      <c r="J42" s="90"/>
      <c r="K42" s="90"/>
      <c r="L42" s="91"/>
      <c r="M42" s="90"/>
      <c r="N42" s="90"/>
      <c r="O42" s="91"/>
      <c r="P42" s="178"/>
      <c r="Q42" s="181" t="s">
        <v>84</v>
      </c>
      <c r="R42" s="180"/>
      <c r="S42" s="180"/>
      <c r="T42" s="180"/>
      <c r="U42" s="180"/>
      <c r="V42" s="182"/>
      <c r="W42" s="180"/>
      <c r="X42" s="180"/>
      <c r="Y42" s="180"/>
      <c r="Z42" s="180"/>
      <c r="AA42" s="182"/>
      <c r="AB42" s="180"/>
      <c r="AC42" s="180"/>
      <c r="AD42" s="182"/>
    </row>
    <row r="43" spans="2:31" ht="14.25" thickBot="1" x14ac:dyDescent="0.2">
      <c r="B43" s="92"/>
      <c r="C43" s="205" t="s">
        <v>80</v>
      </c>
      <c r="D43" s="206"/>
      <c r="E43" s="207"/>
      <c r="F43" s="205" t="s">
        <v>81</v>
      </c>
      <c r="G43" s="206"/>
      <c r="H43" s="206"/>
      <c r="I43" s="205" t="s">
        <v>82</v>
      </c>
      <c r="J43" s="206"/>
      <c r="K43" s="207"/>
      <c r="L43" s="205" t="s">
        <v>83</v>
      </c>
      <c r="M43" s="206"/>
      <c r="N43" s="207"/>
      <c r="O43" s="93"/>
      <c r="P43" s="116"/>
      <c r="Q43" s="92"/>
      <c r="R43" s="205" t="s">
        <v>80</v>
      </c>
      <c r="S43" s="206"/>
      <c r="T43" s="207"/>
      <c r="U43" s="205" t="s">
        <v>81</v>
      </c>
      <c r="V43" s="206"/>
      <c r="W43" s="206"/>
      <c r="X43" s="205" t="s">
        <v>82</v>
      </c>
      <c r="Y43" s="206"/>
      <c r="Z43" s="207"/>
      <c r="AA43" s="205" t="s">
        <v>83</v>
      </c>
      <c r="AB43" s="206"/>
      <c r="AC43" s="207"/>
      <c r="AD43" s="93"/>
    </row>
    <row r="44" spans="2:31" ht="14.25" thickBot="1" x14ac:dyDescent="0.2">
      <c r="B44" s="94"/>
      <c r="C44" s="172" t="s">
        <v>13</v>
      </c>
      <c r="D44" s="173" t="s">
        <v>62</v>
      </c>
      <c r="E44" s="160" t="s">
        <v>0</v>
      </c>
      <c r="F44" s="174" t="s">
        <v>69</v>
      </c>
      <c r="G44" s="175" t="s">
        <v>6</v>
      </c>
      <c r="H44" s="103" t="s">
        <v>0</v>
      </c>
      <c r="I44" s="173" t="s">
        <v>62</v>
      </c>
      <c r="J44" s="175" t="s">
        <v>6</v>
      </c>
      <c r="K44" s="160" t="s">
        <v>0</v>
      </c>
      <c r="L44" s="200" t="s">
        <v>69</v>
      </c>
      <c r="M44" s="110" t="s">
        <v>10</v>
      </c>
      <c r="N44" s="103" t="s">
        <v>0</v>
      </c>
      <c r="O44" s="112" t="s">
        <v>0</v>
      </c>
      <c r="P44" s="116"/>
      <c r="Q44" s="94"/>
      <c r="R44" s="172" t="s">
        <v>13</v>
      </c>
      <c r="S44" s="173" t="s">
        <v>62</v>
      </c>
      <c r="T44" s="160" t="s">
        <v>0</v>
      </c>
      <c r="U44" s="174" t="s">
        <v>69</v>
      </c>
      <c r="V44" s="175" t="s">
        <v>6</v>
      </c>
      <c r="W44" s="103" t="s">
        <v>0</v>
      </c>
      <c r="X44" s="173" t="s">
        <v>62</v>
      </c>
      <c r="Y44" s="175" t="s">
        <v>6</v>
      </c>
      <c r="Z44" s="160" t="s">
        <v>0</v>
      </c>
      <c r="AA44" s="200" t="s">
        <v>69</v>
      </c>
      <c r="AB44" s="110" t="s">
        <v>10</v>
      </c>
      <c r="AC44" s="103" t="s">
        <v>0</v>
      </c>
      <c r="AD44" s="112" t="s">
        <v>0</v>
      </c>
    </row>
    <row r="45" spans="2:31" x14ac:dyDescent="0.15">
      <c r="B45" s="46" t="s">
        <v>3</v>
      </c>
      <c r="C45" s="171">
        <f>C38</f>
        <v>7</v>
      </c>
      <c r="D45" s="167">
        <f>D38</f>
        <v>8</v>
      </c>
      <c r="E45" s="74">
        <f>C45+D45</f>
        <v>15</v>
      </c>
      <c r="F45" s="171">
        <f>F38</f>
        <v>1</v>
      </c>
      <c r="G45" s="167">
        <f>G38</f>
        <v>12</v>
      </c>
      <c r="H45" s="74">
        <f>F45+G45</f>
        <v>13</v>
      </c>
      <c r="I45" s="171">
        <f>I38</f>
        <v>9</v>
      </c>
      <c r="J45" s="167">
        <f>J38</f>
        <v>14</v>
      </c>
      <c r="K45" s="74">
        <f>I45+J45</f>
        <v>23</v>
      </c>
      <c r="L45" s="83">
        <f>L38</f>
        <v>5</v>
      </c>
      <c r="M45" s="82">
        <f>M38</f>
        <v>9</v>
      </c>
      <c r="N45" s="74">
        <f>L45+M45</f>
        <v>14</v>
      </c>
      <c r="O45" s="133">
        <f>E45+H45+K45+N45</f>
        <v>65</v>
      </c>
      <c r="P45" s="138"/>
      <c r="Q45" s="46" t="s">
        <v>3</v>
      </c>
      <c r="R45" s="171">
        <f>R38</f>
        <v>70</v>
      </c>
      <c r="S45" s="167">
        <f>S38</f>
        <v>70</v>
      </c>
      <c r="T45" s="74">
        <f>R45+S45</f>
        <v>140</v>
      </c>
      <c r="U45" s="171">
        <f>U38</f>
        <v>30</v>
      </c>
      <c r="V45" s="167">
        <f>V38</f>
        <v>30</v>
      </c>
      <c r="W45" s="74">
        <f>U45+V45</f>
        <v>60</v>
      </c>
      <c r="X45" s="171">
        <f>X38</f>
        <v>40</v>
      </c>
      <c r="Y45" s="167">
        <f>Y38</f>
        <v>40</v>
      </c>
      <c r="Z45" s="74">
        <f>X45+Y45</f>
        <v>80</v>
      </c>
      <c r="AA45" s="83">
        <f>AA38</f>
        <v>70</v>
      </c>
      <c r="AB45" s="82">
        <f>AB38</f>
        <v>60</v>
      </c>
      <c r="AC45" s="74">
        <f>AA45+AB45</f>
        <v>130</v>
      </c>
      <c r="AD45" s="133">
        <f>T45+W45+Z45+AC45</f>
        <v>410</v>
      </c>
    </row>
    <row r="46" spans="2:31" x14ac:dyDescent="0.15">
      <c r="B46" s="186" t="s">
        <v>4</v>
      </c>
      <c r="C46" s="187"/>
      <c r="D46" s="192"/>
      <c r="E46" s="204">
        <f>SUM(C46:D46)</f>
        <v>0</v>
      </c>
      <c r="F46" s="187">
        <v>10</v>
      </c>
      <c r="G46" s="189"/>
      <c r="H46" s="190">
        <f t="shared" ref="H46:H76" si="25">SUM(F46:G46)</f>
        <v>10</v>
      </c>
      <c r="I46" s="187"/>
      <c r="J46" s="192"/>
      <c r="K46" s="190">
        <f t="shared" ref="K46:K76" si="26">SUM(I46:J46)</f>
        <v>0</v>
      </c>
      <c r="L46" s="193"/>
      <c r="M46" s="194"/>
      <c r="N46" s="190">
        <f t="shared" ref="N46:N76" si="27">SUM(L46:M46)</f>
        <v>0</v>
      </c>
      <c r="O46" s="196">
        <f>E46+H46+K46+N46</f>
        <v>10</v>
      </c>
      <c r="P46" s="197">
        <v>46182</v>
      </c>
      <c r="Q46" s="164" t="s">
        <v>4</v>
      </c>
      <c r="R46" s="165">
        <v>50</v>
      </c>
      <c r="S46" s="167">
        <v>50</v>
      </c>
      <c r="T46" s="55">
        <f>SUM(R46:S46)</f>
        <v>100</v>
      </c>
      <c r="U46" s="165">
        <v>30</v>
      </c>
      <c r="V46" s="166">
        <v>50</v>
      </c>
      <c r="W46" s="74">
        <f t="shared" ref="W46" si="28">SUM(U46:V46)</f>
        <v>80</v>
      </c>
      <c r="X46" s="165">
        <v>50</v>
      </c>
      <c r="Y46" s="167">
        <v>30</v>
      </c>
      <c r="Z46" s="74">
        <f t="shared" ref="Z46" si="29">SUM(X46:Y46)</f>
        <v>80</v>
      </c>
      <c r="AA46" s="168"/>
      <c r="AB46" s="169"/>
      <c r="AC46" s="74">
        <f t="shared" ref="AC46" si="30">SUM(AA46:AB46)</f>
        <v>0</v>
      </c>
      <c r="AD46" s="170">
        <f t="shared" ref="AD46" si="31">T46+W46+Z46+AC46</f>
        <v>260</v>
      </c>
      <c r="AE46" s="183">
        <v>46204</v>
      </c>
    </row>
    <row r="47" spans="2:31" x14ac:dyDescent="0.15">
      <c r="B47" s="11" t="s">
        <v>4</v>
      </c>
      <c r="C47" s="26">
        <v>10</v>
      </c>
      <c r="D47" s="28">
        <v>10</v>
      </c>
      <c r="E47" s="8">
        <f>SUM(C47:D47)</f>
        <v>20</v>
      </c>
      <c r="F47" s="26"/>
      <c r="G47" s="43"/>
      <c r="H47" s="59">
        <f t="shared" si="25"/>
        <v>0</v>
      </c>
      <c r="I47" s="26">
        <v>10</v>
      </c>
      <c r="J47" s="28"/>
      <c r="K47" s="59">
        <f t="shared" si="26"/>
        <v>10</v>
      </c>
      <c r="L47" s="64">
        <v>10</v>
      </c>
      <c r="M47" s="65">
        <v>10</v>
      </c>
      <c r="N47" s="59">
        <f t="shared" si="27"/>
        <v>20</v>
      </c>
      <c r="O47" s="124">
        <f t="shared" ref="O47:O50" si="32">E47+H47+K47+N47</f>
        <v>50</v>
      </c>
      <c r="P47" s="119">
        <v>46185</v>
      </c>
      <c r="Q47" s="11" t="s">
        <v>4</v>
      </c>
      <c r="R47" s="26"/>
      <c r="S47" s="28"/>
      <c r="T47" s="8">
        <f>SUM(R47:S47)</f>
        <v>0</v>
      </c>
      <c r="U47" s="26"/>
      <c r="V47" s="43"/>
      <c r="W47" s="59">
        <f t="shared" ref="W47:W76" si="33">SUM(U47:V47)</f>
        <v>0</v>
      </c>
      <c r="X47" s="26"/>
      <c r="Y47" s="28"/>
      <c r="Z47" s="59">
        <f t="shared" ref="Z47:Z76" si="34">SUM(X47:Y47)</f>
        <v>0</v>
      </c>
      <c r="AA47" s="64"/>
      <c r="AB47" s="65"/>
      <c r="AC47" s="59">
        <f t="shared" ref="AC47:AC76" si="35">SUM(AA47:AB47)</f>
        <v>0</v>
      </c>
      <c r="AD47" s="124">
        <f t="shared" ref="AD47:AD50" si="36">T47+W47+Z47+AC47</f>
        <v>0</v>
      </c>
    </row>
    <row r="48" spans="2:31" x14ac:dyDescent="0.15">
      <c r="B48" s="186" t="s">
        <v>4</v>
      </c>
      <c r="C48" s="187"/>
      <c r="D48" s="192"/>
      <c r="E48" s="204">
        <f>SUM(C48:D48)</f>
        <v>0</v>
      </c>
      <c r="F48" s="187"/>
      <c r="G48" s="189">
        <v>10</v>
      </c>
      <c r="H48" s="190">
        <f t="shared" si="25"/>
        <v>10</v>
      </c>
      <c r="I48" s="187"/>
      <c r="J48" s="192"/>
      <c r="K48" s="190">
        <f t="shared" si="26"/>
        <v>0</v>
      </c>
      <c r="L48" s="193"/>
      <c r="M48" s="194"/>
      <c r="N48" s="190">
        <f t="shared" si="27"/>
        <v>0</v>
      </c>
      <c r="O48" s="196">
        <f t="shared" si="32"/>
        <v>10</v>
      </c>
      <c r="P48" s="197">
        <v>46189</v>
      </c>
      <c r="Q48" s="11" t="s">
        <v>4</v>
      </c>
      <c r="R48" s="26"/>
      <c r="S48" s="28"/>
      <c r="T48" s="8">
        <f>SUM(R48:S48)</f>
        <v>0</v>
      </c>
      <c r="U48" s="26"/>
      <c r="V48" s="43"/>
      <c r="W48" s="59">
        <f t="shared" si="33"/>
        <v>0</v>
      </c>
      <c r="X48" s="26"/>
      <c r="Y48" s="28"/>
      <c r="Z48" s="59">
        <f t="shared" si="34"/>
        <v>0</v>
      </c>
      <c r="AA48" s="64"/>
      <c r="AB48" s="65"/>
      <c r="AC48" s="59">
        <f t="shared" si="35"/>
        <v>0</v>
      </c>
      <c r="AD48" s="124">
        <f t="shared" si="36"/>
        <v>0</v>
      </c>
    </row>
    <row r="49" spans="2:31" x14ac:dyDescent="0.15">
      <c r="B49" s="11" t="s">
        <v>4</v>
      </c>
      <c r="C49" s="26"/>
      <c r="D49" s="28"/>
      <c r="E49" s="8">
        <f>SUM(C49:D49)</f>
        <v>0</v>
      </c>
      <c r="F49" s="26"/>
      <c r="G49" s="43"/>
      <c r="H49" s="59">
        <f t="shared" si="25"/>
        <v>0</v>
      </c>
      <c r="I49" s="26"/>
      <c r="J49" s="28"/>
      <c r="K49" s="59">
        <f t="shared" si="26"/>
        <v>0</v>
      </c>
      <c r="L49" s="64"/>
      <c r="M49" s="65"/>
      <c r="N49" s="59">
        <f t="shared" si="27"/>
        <v>0</v>
      </c>
      <c r="O49" s="124">
        <f t="shared" si="32"/>
        <v>0</v>
      </c>
      <c r="P49" s="119"/>
      <c r="Q49" s="11" t="s">
        <v>4</v>
      </c>
      <c r="R49" s="26"/>
      <c r="S49" s="28"/>
      <c r="T49" s="8">
        <f>SUM(R49:S49)</f>
        <v>0</v>
      </c>
      <c r="U49" s="26"/>
      <c r="V49" s="43"/>
      <c r="W49" s="59">
        <f t="shared" si="33"/>
        <v>0</v>
      </c>
      <c r="X49" s="26"/>
      <c r="Y49" s="28"/>
      <c r="Z49" s="59">
        <f t="shared" si="34"/>
        <v>0</v>
      </c>
      <c r="AA49" s="64"/>
      <c r="AB49" s="65"/>
      <c r="AC49" s="59">
        <f t="shared" si="35"/>
        <v>0</v>
      </c>
      <c r="AD49" s="124">
        <f t="shared" si="36"/>
        <v>0</v>
      </c>
    </row>
    <row r="50" spans="2:31" ht="14.25" thickBot="1" x14ac:dyDescent="0.2">
      <c r="B50" s="11" t="s">
        <v>4</v>
      </c>
      <c r="C50" s="29"/>
      <c r="D50" s="31"/>
      <c r="E50" s="54">
        <f>SUM(C50:D50)</f>
        <v>0</v>
      </c>
      <c r="F50" s="29"/>
      <c r="G50" s="44"/>
      <c r="H50" s="125">
        <f t="shared" si="25"/>
        <v>0</v>
      </c>
      <c r="I50" s="29"/>
      <c r="J50" s="31"/>
      <c r="K50" s="125">
        <f t="shared" si="26"/>
        <v>0</v>
      </c>
      <c r="L50" s="66"/>
      <c r="M50" s="67"/>
      <c r="N50" s="125">
        <f t="shared" si="27"/>
        <v>0</v>
      </c>
      <c r="O50" s="124">
        <f t="shared" si="32"/>
        <v>0</v>
      </c>
      <c r="P50" s="116"/>
      <c r="Q50" s="11" t="s">
        <v>4</v>
      </c>
      <c r="R50" s="29"/>
      <c r="S50" s="31"/>
      <c r="T50" s="54">
        <f>SUM(R50:S50)</f>
        <v>0</v>
      </c>
      <c r="U50" s="29"/>
      <c r="V50" s="44"/>
      <c r="W50" s="125">
        <f t="shared" si="33"/>
        <v>0</v>
      </c>
      <c r="X50" s="29"/>
      <c r="Y50" s="31"/>
      <c r="Z50" s="125">
        <f t="shared" si="34"/>
        <v>0</v>
      </c>
      <c r="AA50" s="66"/>
      <c r="AB50" s="67"/>
      <c r="AC50" s="125">
        <f t="shared" si="35"/>
        <v>0</v>
      </c>
      <c r="AD50" s="124">
        <f t="shared" si="36"/>
        <v>0</v>
      </c>
    </row>
    <row r="51" spans="2:31" ht="14.25" thickBot="1" x14ac:dyDescent="0.2">
      <c r="B51" s="176" t="s">
        <v>1</v>
      </c>
      <c r="C51" s="70">
        <f>SUM(C45:C50)</f>
        <v>17</v>
      </c>
      <c r="D51" s="85">
        <f t="shared" ref="D51:G51" si="37">SUM(D45:D50)</f>
        <v>18</v>
      </c>
      <c r="E51" s="61">
        <f t="shared" si="37"/>
        <v>35</v>
      </c>
      <c r="F51" s="70">
        <f t="shared" si="37"/>
        <v>11</v>
      </c>
      <c r="G51" s="85">
        <f t="shared" si="37"/>
        <v>22</v>
      </c>
      <c r="H51" s="61">
        <f t="shared" si="25"/>
        <v>33</v>
      </c>
      <c r="I51" s="70">
        <f>SUM(I45:I50)</f>
        <v>19</v>
      </c>
      <c r="J51" s="85">
        <f t="shared" ref="J51" si="38">SUM(J45:J50)</f>
        <v>14</v>
      </c>
      <c r="K51" s="61">
        <f t="shared" si="26"/>
        <v>33</v>
      </c>
      <c r="L51" s="81">
        <f t="shared" ref="L51:M51" si="39">SUM(L45:L50)</f>
        <v>15</v>
      </c>
      <c r="M51" s="71">
        <f t="shared" si="39"/>
        <v>19</v>
      </c>
      <c r="N51" s="61">
        <f t="shared" si="27"/>
        <v>34</v>
      </c>
      <c r="O51" s="151">
        <f>E51+H51+K51+N51</f>
        <v>135</v>
      </c>
      <c r="P51" s="116"/>
      <c r="Q51" s="176" t="s">
        <v>1</v>
      </c>
      <c r="R51" s="70">
        <f>SUM(R45:R50)</f>
        <v>120</v>
      </c>
      <c r="S51" s="85">
        <f t="shared" ref="S51:V51" si="40">SUM(S45:S50)</f>
        <v>120</v>
      </c>
      <c r="T51" s="61">
        <f t="shared" si="40"/>
        <v>240</v>
      </c>
      <c r="U51" s="70">
        <f t="shared" si="40"/>
        <v>60</v>
      </c>
      <c r="V51" s="85">
        <f t="shared" si="40"/>
        <v>80</v>
      </c>
      <c r="W51" s="61">
        <f t="shared" si="33"/>
        <v>140</v>
      </c>
      <c r="X51" s="70">
        <f>SUM(X45:X50)</f>
        <v>90</v>
      </c>
      <c r="Y51" s="85">
        <f t="shared" ref="Y51" si="41">SUM(Y45:Y50)</f>
        <v>70</v>
      </c>
      <c r="Z51" s="61">
        <f t="shared" si="34"/>
        <v>160</v>
      </c>
      <c r="AA51" s="81">
        <f t="shared" ref="AA51:AB51" si="42">SUM(AA45:AA50)</f>
        <v>70</v>
      </c>
      <c r="AB51" s="71">
        <f t="shared" si="42"/>
        <v>60</v>
      </c>
      <c r="AC51" s="61">
        <f t="shared" si="35"/>
        <v>130</v>
      </c>
      <c r="AD51" s="151">
        <f>T51+W51+Z51+AC51</f>
        <v>670</v>
      </c>
    </row>
    <row r="52" spans="2:31" x14ac:dyDescent="0.15">
      <c r="B52" s="6" t="s">
        <v>16</v>
      </c>
      <c r="C52" s="26"/>
      <c r="D52" s="28"/>
      <c r="E52" s="7">
        <f t="shared" ref="E52:E76" si="43">SUM(C52:D52)</f>
        <v>0</v>
      </c>
      <c r="F52" s="26">
        <v>1</v>
      </c>
      <c r="G52" s="43"/>
      <c r="H52" s="59">
        <f t="shared" si="25"/>
        <v>1</v>
      </c>
      <c r="I52" s="26"/>
      <c r="J52" s="28"/>
      <c r="K52" s="59">
        <f t="shared" si="26"/>
        <v>0</v>
      </c>
      <c r="L52" s="64"/>
      <c r="M52" s="65"/>
      <c r="N52" s="59">
        <f t="shared" si="27"/>
        <v>0</v>
      </c>
      <c r="O52" s="124">
        <f t="shared" ref="O52:O76" si="44">E52+H52+K52+N52</f>
        <v>1</v>
      </c>
      <c r="P52" s="119">
        <v>46182</v>
      </c>
      <c r="Q52" s="6" t="s">
        <v>91</v>
      </c>
      <c r="R52" s="26">
        <v>10</v>
      </c>
      <c r="S52" s="28">
        <v>10</v>
      </c>
      <c r="T52" s="7">
        <f t="shared" ref="T52:T76" si="45">SUM(R52:S52)</f>
        <v>20</v>
      </c>
      <c r="U52" s="26"/>
      <c r="V52" s="43"/>
      <c r="W52" s="59">
        <f t="shared" si="33"/>
        <v>0</v>
      </c>
      <c r="X52" s="26">
        <v>10</v>
      </c>
      <c r="Y52" s="28"/>
      <c r="Z52" s="59">
        <f t="shared" si="34"/>
        <v>10</v>
      </c>
      <c r="AA52" s="64">
        <v>10</v>
      </c>
      <c r="AB52" s="65">
        <v>10</v>
      </c>
      <c r="AC52" s="59">
        <f t="shared" si="35"/>
        <v>20</v>
      </c>
      <c r="AD52" s="124">
        <f t="shared" ref="AD52:AD76" si="46">T52+W52+Z52+AC52</f>
        <v>50</v>
      </c>
      <c r="AE52" s="135">
        <v>46185</v>
      </c>
    </row>
    <row r="53" spans="2:31" x14ac:dyDescent="0.15">
      <c r="B53" s="6" t="s">
        <v>16</v>
      </c>
      <c r="C53" s="26">
        <v>1</v>
      </c>
      <c r="D53" s="28">
        <v>1</v>
      </c>
      <c r="E53" s="7">
        <f t="shared" si="43"/>
        <v>2</v>
      </c>
      <c r="F53" s="26"/>
      <c r="G53" s="43"/>
      <c r="H53" s="59">
        <f t="shared" si="25"/>
        <v>0</v>
      </c>
      <c r="I53" s="26">
        <v>1</v>
      </c>
      <c r="J53" s="28">
        <v>1</v>
      </c>
      <c r="K53" s="59">
        <f t="shared" si="26"/>
        <v>2</v>
      </c>
      <c r="L53" s="64"/>
      <c r="M53" s="65"/>
      <c r="N53" s="59">
        <f t="shared" si="27"/>
        <v>0</v>
      </c>
      <c r="O53" s="124">
        <f t="shared" si="44"/>
        <v>4</v>
      </c>
      <c r="P53" s="119">
        <v>46183</v>
      </c>
      <c r="Q53" s="199" t="s">
        <v>90</v>
      </c>
      <c r="R53" s="187"/>
      <c r="S53" s="192"/>
      <c r="T53" s="202">
        <f t="shared" si="45"/>
        <v>0</v>
      </c>
      <c r="U53" s="187"/>
      <c r="V53" s="189">
        <v>10</v>
      </c>
      <c r="W53" s="190">
        <f t="shared" si="33"/>
        <v>10</v>
      </c>
      <c r="X53" s="187"/>
      <c r="Y53" s="192"/>
      <c r="Z53" s="190">
        <f t="shared" si="34"/>
        <v>0</v>
      </c>
      <c r="AA53" s="193"/>
      <c r="AB53" s="194"/>
      <c r="AC53" s="190">
        <f t="shared" si="35"/>
        <v>0</v>
      </c>
      <c r="AD53" s="196">
        <f t="shared" si="46"/>
        <v>10</v>
      </c>
      <c r="AE53" s="203">
        <v>46189</v>
      </c>
    </row>
    <row r="54" spans="2:31" x14ac:dyDescent="0.15">
      <c r="B54" s="6" t="s">
        <v>16</v>
      </c>
      <c r="C54" s="26"/>
      <c r="D54" s="28">
        <v>1</v>
      </c>
      <c r="E54" s="7">
        <f t="shared" si="43"/>
        <v>1</v>
      </c>
      <c r="F54" s="26">
        <v>1</v>
      </c>
      <c r="G54" s="43">
        <v>2</v>
      </c>
      <c r="H54" s="59">
        <f t="shared" si="25"/>
        <v>3</v>
      </c>
      <c r="I54" s="26">
        <v>1</v>
      </c>
      <c r="J54" s="28">
        <v>1</v>
      </c>
      <c r="K54" s="59">
        <f t="shared" si="26"/>
        <v>2</v>
      </c>
      <c r="L54" s="64">
        <v>1</v>
      </c>
      <c r="M54" s="65"/>
      <c r="N54" s="59">
        <f t="shared" si="27"/>
        <v>1</v>
      </c>
      <c r="O54" s="124">
        <f t="shared" si="44"/>
        <v>7</v>
      </c>
      <c r="P54" s="119">
        <v>46184</v>
      </c>
      <c r="Q54" s="6"/>
      <c r="R54" s="26"/>
      <c r="S54" s="28"/>
      <c r="T54" s="7">
        <f t="shared" si="45"/>
        <v>0</v>
      </c>
      <c r="U54" s="26"/>
      <c r="V54" s="43"/>
      <c r="W54" s="59">
        <f t="shared" si="33"/>
        <v>0</v>
      </c>
      <c r="X54" s="26"/>
      <c r="Y54" s="28"/>
      <c r="Z54" s="59">
        <f t="shared" si="34"/>
        <v>0</v>
      </c>
      <c r="AA54" s="64"/>
      <c r="AB54" s="65"/>
      <c r="AC54" s="59">
        <f t="shared" si="35"/>
        <v>0</v>
      </c>
      <c r="AD54" s="124">
        <f t="shared" si="46"/>
        <v>0</v>
      </c>
    </row>
    <row r="55" spans="2:31" x14ac:dyDescent="0.15">
      <c r="B55" s="6" t="s">
        <v>16</v>
      </c>
      <c r="C55" s="26">
        <v>4</v>
      </c>
      <c r="D55" s="28"/>
      <c r="E55" s="7">
        <f t="shared" si="43"/>
        <v>4</v>
      </c>
      <c r="F55" s="26"/>
      <c r="G55" s="43">
        <v>1</v>
      </c>
      <c r="H55" s="59">
        <f t="shared" si="25"/>
        <v>1</v>
      </c>
      <c r="I55" s="26">
        <v>1</v>
      </c>
      <c r="J55" s="28"/>
      <c r="K55" s="59">
        <f t="shared" si="26"/>
        <v>1</v>
      </c>
      <c r="L55" s="64"/>
      <c r="M55" s="65"/>
      <c r="N55" s="59">
        <f t="shared" si="27"/>
        <v>0</v>
      </c>
      <c r="O55" s="124">
        <f t="shared" si="44"/>
        <v>6</v>
      </c>
      <c r="P55" s="119">
        <v>46185</v>
      </c>
      <c r="Q55" s="6"/>
      <c r="R55" s="26"/>
      <c r="S55" s="28"/>
      <c r="T55" s="7">
        <f t="shared" si="45"/>
        <v>0</v>
      </c>
      <c r="U55" s="26"/>
      <c r="V55" s="43"/>
      <c r="W55" s="59">
        <f t="shared" si="33"/>
        <v>0</v>
      </c>
      <c r="X55" s="26"/>
      <c r="Y55" s="28"/>
      <c r="Z55" s="59">
        <f t="shared" si="34"/>
        <v>0</v>
      </c>
      <c r="AA55" s="64"/>
      <c r="AB55" s="65"/>
      <c r="AC55" s="59">
        <f t="shared" si="35"/>
        <v>0</v>
      </c>
      <c r="AD55" s="124">
        <f t="shared" si="46"/>
        <v>0</v>
      </c>
    </row>
    <row r="56" spans="2:31" x14ac:dyDescent="0.15">
      <c r="B56" s="6" t="s">
        <v>16</v>
      </c>
      <c r="C56" s="26">
        <v>1</v>
      </c>
      <c r="D56" s="28">
        <v>4</v>
      </c>
      <c r="E56" s="7">
        <f t="shared" si="43"/>
        <v>5</v>
      </c>
      <c r="F56" s="26">
        <v>4</v>
      </c>
      <c r="G56" s="43">
        <v>1</v>
      </c>
      <c r="H56" s="59">
        <f t="shared" si="25"/>
        <v>5</v>
      </c>
      <c r="I56" s="26">
        <v>2</v>
      </c>
      <c r="J56" s="28">
        <v>1</v>
      </c>
      <c r="K56" s="59">
        <f t="shared" si="26"/>
        <v>3</v>
      </c>
      <c r="L56" s="64">
        <v>2</v>
      </c>
      <c r="M56" s="65">
        <v>4</v>
      </c>
      <c r="N56" s="59">
        <f t="shared" si="27"/>
        <v>6</v>
      </c>
      <c r="O56" s="124">
        <f t="shared" si="44"/>
        <v>19</v>
      </c>
      <c r="P56" s="119">
        <v>46188</v>
      </c>
      <c r="Q56" s="6"/>
      <c r="R56" s="26"/>
      <c r="S56" s="28"/>
      <c r="T56" s="7">
        <f t="shared" si="45"/>
        <v>0</v>
      </c>
      <c r="U56" s="26"/>
      <c r="V56" s="43"/>
      <c r="W56" s="59">
        <f t="shared" si="33"/>
        <v>0</v>
      </c>
      <c r="X56" s="26"/>
      <c r="Y56" s="28"/>
      <c r="Z56" s="59">
        <f t="shared" si="34"/>
        <v>0</v>
      </c>
      <c r="AA56" s="64"/>
      <c r="AB56" s="65"/>
      <c r="AC56" s="59">
        <f t="shared" si="35"/>
        <v>0</v>
      </c>
      <c r="AD56" s="124">
        <f t="shared" si="46"/>
        <v>0</v>
      </c>
    </row>
    <row r="57" spans="2:31" x14ac:dyDescent="0.15">
      <c r="B57" s="6" t="s">
        <v>16</v>
      </c>
      <c r="C57" s="26"/>
      <c r="D57" s="28">
        <v>1</v>
      </c>
      <c r="E57" s="7">
        <f t="shared" si="43"/>
        <v>1</v>
      </c>
      <c r="F57" s="26">
        <v>1</v>
      </c>
      <c r="G57" s="43">
        <v>1</v>
      </c>
      <c r="H57" s="59">
        <f t="shared" si="25"/>
        <v>2</v>
      </c>
      <c r="I57" s="26"/>
      <c r="J57" s="28"/>
      <c r="K57" s="59">
        <f t="shared" si="26"/>
        <v>0</v>
      </c>
      <c r="L57" s="64"/>
      <c r="M57" s="65">
        <v>1</v>
      </c>
      <c r="N57" s="59">
        <f t="shared" si="27"/>
        <v>1</v>
      </c>
      <c r="O57" s="124">
        <f t="shared" si="44"/>
        <v>4</v>
      </c>
      <c r="P57" s="119">
        <v>46189</v>
      </c>
      <c r="Q57" s="6"/>
      <c r="R57" s="26"/>
      <c r="S57" s="28"/>
      <c r="T57" s="7">
        <f t="shared" si="45"/>
        <v>0</v>
      </c>
      <c r="U57" s="26"/>
      <c r="V57" s="43"/>
      <c r="W57" s="59">
        <f t="shared" si="33"/>
        <v>0</v>
      </c>
      <c r="X57" s="26"/>
      <c r="Y57" s="28"/>
      <c r="Z57" s="59">
        <f t="shared" si="34"/>
        <v>0</v>
      </c>
      <c r="AA57" s="64"/>
      <c r="AB57" s="65"/>
      <c r="AC57" s="59">
        <f t="shared" si="35"/>
        <v>0</v>
      </c>
      <c r="AD57" s="124">
        <f t="shared" si="46"/>
        <v>0</v>
      </c>
    </row>
    <row r="58" spans="2:31" x14ac:dyDescent="0.15">
      <c r="B58" s="6" t="s">
        <v>16</v>
      </c>
      <c r="C58" s="26"/>
      <c r="D58" s="28">
        <v>1</v>
      </c>
      <c r="E58" s="7">
        <f t="shared" si="43"/>
        <v>1</v>
      </c>
      <c r="F58" s="26"/>
      <c r="G58" s="43"/>
      <c r="H58" s="59">
        <f t="shared" si="25"/>
        <v>0</v>
      </c>
      <c r="I58" s="26"/>
      <c r="J58" s="28"/>
      <c r="K58" s="59">
        <f t="shared" si="26"/>
        <v>0</v>
      </c>
      <c r="L58" s="64"/>
      <c r="M58" s="65"/>
      <c r="N58" s="59">
        <f t="shared" si="27"/>
        <v>0</v>
      </c>
      <c r="O58" s="124">
        <f t="shared" si="44"/>
        <v>1</v>
      </c>
      <c r="P58" s="119">
        <v>46190</v>
      </c>
      <c r="Q58" s="6"/>
      <c r="R58" s="26"/>
      <c r="S58" s="28"/>
      <c r="T58" s="7">
        <f t="shared" si="45"/>
        <v>0</v>
      </c>
      <c r="U58" s="26"/>
      <c r="V58" s="43"/>
      <c r="W58" s="59">
        <f t="shared" si="33"/>
        <v>0</v>
      </c>
      <c r="X58" s="26"/>
      <c r="Y58" s="28"/>
      <c r="Z58" s="59">
        <f t="shared" si="34"/>
        <v>0</v>
      </c>
      <c r="AA58" s="64"/>
      <c r="AB58" s="65"/>
      <c r="AC58" s="59">
        <f t="shared" si="35"/>
        <v>0</v>
      </c>
      <c r="AD58" s="124">
        <f t="shared" si="46"/>
        <v>0</v>
      </c>
    </row>
    <row r="59" spans="2:31" x14ac:dyDescent="0.15">
      <c r="B59" s="6" t="s">
        <v>16</v>
      </c>
      <c r="C59" s="26"/>
      <c r="D59" s="28"/>
      <c r="E59" s="7">
        <f t="shared" si="43"/>
        <v>0</v>
      </c>
      <c r="F59" s="26">
        <v>1</v>
      </c>
      <c r="G59" s="43">
        <v>2</v>
      </c>
      <c r="H59" s="59">
        <f t="shared" si="25"/>
        <v>3</v>
      </c>
      <c r="I59" s="26"/>
      <c r="J59" s="28"/>
      <c r="K59" s="59">
        <f t="shared" si="26"/>
        <v>0</v>
      </c>
      <c r="L59" s="64">
        <v>1</v>
      </c>
      <c r="M59" s="65">
        <v>1</v>
      </c>
      <c r="N59" s="59">
        <f t="shared" si="27"/>
        <v>2</v>
      </c>
      <c r="O59" s="124">
        <f t="shared" si="44"/>
        <v>5</v>
      </c>
      <c r="P59" s="119">
        <v>46191</v>
      </c>
      <c r="Q59" s="6"/>
      <c r="R59" s="26"/>
      <c r="S59" s="28"/>
      <c r="T59" s="7">
        <f t="shared" si="45"/>
        <v>0</v>
      </c>
      <c r="U59" s="26"/>
      <c r="V59" s="43"/>
      <c r="W59" s="59">
        <f t="shared" si="33"/>
        <v>0</v>
      </c>
      <c r="X59" s="26"/>
      <c r="Y59" s="28"/>
      <c r="Z59" s="59">
        <f t="shared" si="34"/>
        <v>0</v>
      </c>
      <c r="AA59" s="64"/>
      <c r="AB59" s="65"/>
      <c r="AC59" s="59">
        <f t="shared" si="35"/>
        <v>0</v>
      </c>
      <c r="AD59" s="124">
        <f t="shared" si="46"/>
        <v>0</v>
      </c>
    </row>
    <row r="60" spans="2:31" x14ac:dyDescent="0.15">
      <c r="B60" s="6" t="s">
        <v>92</v>
      </c>
      <c r="C60" s="26"/>
      <c r="D60" s="28"/>
      <c r="E60" s="7">
        <f t="shared" si="43"/>
        <v>0</v>
      </c>
      <c r="F60" s="26">
        <v>3</v>
      </c>
      <c r="G60" s="43">
        <v>2</v>
      </c>
      <c r="H60" s="59">
        <f t="shared" si="25"/>
        <v>5</v>
      </c>
      <c r="I60" s="26">
        <v>3</v>
      </c>
      <c r="J60" s="28"/>
      <c r="K60" s="59">
        <f t="shared" si="26"/>
        <v>3</v>
      </c>
      <c r="L60" s="64">
        <v>1</v>
      </c>
      <c r="M60" s="65">
        <v>2</v>
      </c>
      <c r="N60" s="59">
        <f t="shared" si="27"/>
        <v>3</v>
      </c>
      <c r="O60" s="124">
        <f t="shared" si="44"/>
        <v>11</v>
      </c>
      <c r="P60" s="119">
        <v>46218</v>
      </c>
      <c r="Q60" s="6"/>
      <c r="R60" s="26"/>
      <c r="S60" s="28"/>
      <c r="T60" s="7">
        <f t="shared" si="45"/>
        <v>0</v>
      </c>
      <c r="U60" s="26"/>
      <c r="V60" s="43"/>
      <c r="W60" s="59">
        <f t="shared" si="33"/>
        <v>0</v>
      </c>
      <c r="X60" s="26"/>
      <c r="Y60" s="28"/>
      <c r="Z60" s="59">
        <f t="shared" si="34"/>
        <v>0</v>
      </c>
      <c r="AA60" s="64"/>
      <c r="AB60" s="65"/>
      <c r="AC60" s="59">
        <f t="shared" si="35"/>
        <v>0</v>
      </c>
      <c r="AD60" s="124">
        <f t="shared" si="46"/>
        <v>0</v>
      </c>
    </row>
    <row r="61" spans="2:31" x14ac:dyDescent="0.15">
      <c r="B61" s="6"/>
      <c r="C61" s="26"/>
      <c r="D61" s="28"/>
      <c r="E61" s="7">
        <f t="shared" si="43"/>
        <v>0</v>
      </c>
      <c r="F61" s="26"/>
      <c r="G61" s="43"/>
      <c r="H61" s="59">
        <f t="shared" si="25"/>
        <v>0</v>
      </c>
      <c r="I61" s="26"/>
      <c r="J61" s="28"/>
      <c r="K61" s="59">
        <f t="shared" si="26"/>
        <v>0</v>
      </c>
      <c r="L61" s="64"/>
      <c r="M61" s="65"/>
      <c r="N61" s="59">
        <f t="shared" si="27"/>
        <v>0</v>
      </c>
      <c r="O61" s="124">
        <f t="shared" si="44"/>
        <v>0</v>
      </c>
      <c r="P61" s="119"/>
      <c r="Q61" s="6"/>
      <c r="R61" s="26"/>
      <c r="S61" s="28"/>
      <c r="T61" s="7">
        <f t="shared" si="45"/>
        <v>0</v>
      </c>
      <c r="U61" s="26"/>
      <c r="V61" s="43"/>
      <c r="W61" s="59">
        <f t="shared" si="33"/>
        <v>0</v>
      </c>
      <c r="X61" s="26"/>
      <c r="Y61" s="28"/>
      <c r="Z61" s="59">
        <f t="shared" si="34"/>
        <v>0</v>
      </c>
      <c r="AA61" s="64"/>
      <c r="AB61" s="65"/>
      <c r="AC61" s="59">
        <f t="shared" si="35"/>
        <v>0</v>
      </c>
      <c r="AD61" s="124">
        <f t="shared" si="46"/>
        <v>0</v>
      </c>
    </row>
    <row r="62" spans="2:31" x14ac:dyDescent="0.15">
      <c r="B62" s="6"/>
      <c r="C62" s="26"/>
      <c r="D62" s="28"/>
      <c r="E62" s="7">
        <f t="shared" si="43"/>
        <v>0</v>
      </c>
      <c r="F62" s="26"/>
      <c r="G62" s="43"/>
      <c r="H62" s="59">
        <f t="shared" si="25"/>
        <v>0</v>
      </c>
      <c r="I62" s="26"/>
      <c r="J62" s="28"/>
      <c r="K62" s="59">
        <f t="shared" si="26"/>
        <v>0</v>
      </c>
      <c r="L62" s="64"/>
      <c r="M62" s="65"/>
      <c r="N62" s="59">
        <f t="shared" si="27"/>
        <v>0</v>
      </c>
      <c r="O62" s="124">
        <f t="shared" si="44"/>
        <v>0</v>
      </c>
      <c r="P62" s="119"/>
      <c r="Q62" s="6"/>
      <c r="R62" s="26"/>
      <c r="S62" s="28"/>
      <c r="T62" s="7">
        <f t="shared" si="45"/>
        <v>0</v>
      </c>
      <c r="U62" s="26"/>
      <c r="V62" s="43"/>
      <c r="W62" s="59">
        <f t="shared" si="33"/>
        <v>0</v>
      </c>
      <c r="X62" s="26"/>
      <c r="Y62" s="28"/>
      <c r="Z62" s="59">
        <f t="shared" si="34"/>
        <v>0</v>
      </c>
      <c r="AA62" s="64"/>
      <c r="AB62" s="65"/>
      <c r="AC62" s="59">
        <f t="shared" si="35"/>
        <v>0</v>
      </c>
      <c r="AD62" s="124">
        <f t="shared" si="46"/>
        <v>0</v>
      </c>
    </row>
    <row r="63" spans="2:31" x14ac:dyDescent="0.15">
      <c r="B63" s="6"/>
      <c r="C63" s="26"/>
      <c r="D63" s="28"/>
      <c r="E63" s="7">
        <f t="shared" si="43"/>
        <v>0</v>
      </c>
      <c r="F63" s="26"/>
      <c r="G63" s="43"/>
      <c r="H63" s="59">
        <f t="shared" si="25"/>
        <v>0</v>
      </c>
      <c r="I63" s="26"/>
      <c r="J63" s="28"/>
      <c r="K63" s="59">
        <f t="shared" si="26"/>
        <v>0</v>
      </c>
      <c r="L63" s="64"/>
      <c r="M63" s="65"/>
      <c r="N63" s="59">
        <f t="shared" si="27"/>
        <v>0</v>
      </c>
      <c r="O63" s="124">
        <f t="shared" si="44"/>
        <v>0</v>
      </c>
      <c r="P63" s="119"/>
      <c r="Q63" s="6"/>
      <c r="R63" s="26"/>
      <c r="S63" s="28"/>
      <c r="T63" s="7">
        <f t="shared" si="45"/>
        <v>0</v>
      </c>
      <c r="U63" s="26"/>
      <c r="V63" s="43"/>
      <c r="W63" s="59">
        <f t="shared" si="33"/>
        <v>0</v>
      </c>
      <c r="X63" s="26"/>
      <c r="Y63" s="28"/>
      <c r="Z63" s="59">
        <f t="shared" si="34"/>
        <v>0</v>
      </c>
      <c r="AA63" s="64"/>
      <c r="AB63" s="65"/>
      <c r="AC63" s="59">
        <f t="shared" si="35"/>
        <v>0</v>
      </c>
      <c r="AD63" s="124">
        <f t="shared" si="46"/>
        <v>0</v>
      </c>
    </row>
    <row r="64" spans="2:31" x14ac:dyDescent="0.15">
      <c r="B64" s="6"/>
      <c r="C64" s="26"/>
      <c r="D64" s="28"/>
      <c r="E64" s="7">
        <f t="shared" si="43"/>
        <v>0</v>
      </c>
      <c r="F64" s="26"/>
      <c r="G64" s="43"/>
      <c r="H64" s="59">
        <f t="shared" si="25"/>
        <v>0</v>
      </c>
      <c r="I64" s="26"/>
      <c r="J64" s="28"/>
      <c r="K64" s="59">
        <f t="shared" si="26"/>
        <v>0</v>
      </c>
      <c r="L64" s="64"/>
      <c r="M64" s="65"/>
      <c r="N64" s="59">
        <f t="shared" si="27"/>
        <v>0</v>
      </c>
      <c r="O64" s="124">
        <f t="shared" si="44"/>
        <v>0</v>
      </c>
      <c r="P64" s="119"/>
      <c r="Q64" s="6"/>
      <c r="R64" s="26"/>
      <c r="S64" s="28"/>
      <c r="T64" s="7">
        <f t="shared" si="45"/>
        <v>0</v>
      </c>
      <c r="U64" s="26"/>
      <c r="V64" s="43"/>
      <c r="W64" s="59">
        <f t="shared" si="33"/>
        <v>0</v>
      </c>
      <c r="X64" s="26"/>
      <c r="Y64" s="28"/>
      <c r="Z64" s="59">
        <f t="shared" si="34"/>
        <v>0</v>
      </c>
      <c r="AA64" s="64"/>
      <c r="AB64" s="65"/>
      <c r="AC64" s="59">
        <f t="shared" si="35"/>
        <v>0</v>
      </c>
      <c r="AD64" s="124">
        <f t="shared" si="46"/>
        <v>0</v>
      </c>
    </row>
    <row r="65" spans="2:30" x14ac:dyDescent="0.15">
      <c r="B65" s="6"/>
      <c r="C65" s="26"/>
      <c r="D65" s="28"/>
      <c r="E65" s="7">
        <f t="shared" si="43"/>
        <v>0</v>
      </c>
      <c r="F65" s="26"/>
      <c r="G65" s="43"/>
      <c r="H65" s="59">
        <f t="shared" si="25"/>
        <v>0</v>
      </c>
      <c r="I65" s="26"/>
      <c r="J65" s="28"/>
      <c r="K65" s="59">
        <f t="shared" si="26"/>
        <v>0</v>
      </c>
      <c r="L65" s="64"/>
      <c r="M65" s="65"/>
      <c r="N65" s="59">
        <f t="shared" si="27"/>
        <v>0</v>
      </c>
      <c r="O65" s="124">
        <f t="shared" si="44"/>
        <v>0</v>
      </c>
      <c r="P65" s="119"/>
      <c r="Q65" s="6"/>
      <c r="R65" s="26"/>
      <c r="S65" s="28"/>
      <c r="T65" s="7">
        <f t="shared" si="45"/>
        <v>0</v>
      </c>
      <c r="U65" s="26"/>
      <c r="V65" s="43"/>
      <c r="W65" s="59">
        <f t="shared" si="33"/>
        <v>0</v>
      </c>
      <c r="X65" s="26"/>
      <c r="Y65" s="28"/>
      <c r="Z65" s="59">
        <f t="shared" si="34"/>
        <v>0</v>
      </c>
      <c r="AA65" s="64"/>
      <c r="AB65" s="65"/>
      <c r="AC65" s="59">
        <f t="shared" si="35"/>
        <v>0</v>
      </c>
      <c r="AD65" s="124">
        <f t="shared" si="46"/>
        <v>0</v>
      </c>
    </row>
    <row r="66" spans="2:30" x14ac:dyDescent="0.15">
      <c r="B66" s="6"/>
      <c r="C66" s="26"/>
      <c r="D66" s="28"/>
      <c r="E66" s="7">
        <f t="shared" si="43"/>
        <v>0</v>
      </c>
      <c r="F66" s="26"/>
      <c r="G66" s="43"/>
      <c r="H66" s="59">
        <f t="shared" si="25"/>
        <v>0</v>
      </c>
      <c r="I66" s="26"/>
      <c r="J66" s="28"/>
      <c r="K66" s="59">
        <f t="shared" si="26"/>
        <v>0</v>
      </c>
      <c r="L66" s="64"/>
      <c r="M66" s="65"/>
      <c r="N66" s="59">
        <f t="shared" si="27"/>
        <v>0</v>
      </c>
      <c r="O66" s="124">
        <f t="shared" si="44"/>
        <v>0</v>
      </c>
      <c r="P66" s="119"/>
      <c r="Q66" s="6"/>
      <c r="R66" s="26"/>
      <c r="S66" s="28"/>
      <c r="T66" s="7">
        <f t="shared" si="45"/>
        <v>0</v>
      </c>
      <c r="U66" s="26"/>
      <c r="V66" s="43"/>
      <c r="W66" s="59">
        <f t="shared" si="33"/>
        <v>0</v>
      </c>
      <c r="X66" s="26"/>
      <c r="Y66" s="28"/>
      <c r="Z66" s="59">
        <f t="shared" si="34"/>
        <v>0</v>
      </c>
      <c r="AA66" s="64"/>
      <c r="AB66" s="65"/>
      <c r="AC66" s="59">
        <f t="shared" si="35"/>
        <v>0</v>
      </c>
      <c r="AD66" s="124">
        <f t="shared" si="46"/>
        <v>0</v>
      </c>
    </row>
    <row r="67" spans="2:30" x14ac:dyDescent="0.15">
      <c r="B67" s="6"/>
      <c r="C67" s="26"/>
      <c r="D67" s="28"/>
      <c r="E67" s="7">
        <f t="shared" si="43"/>
        <v>0</v>
      </c>
      <c r="F67" s="26"/>
      <c r="G67" s="43"/>
      <c r="H67" s="59">
        <f t="shared" si="25"/>
        <v>0</v>
      </c>
      <c r="I67" s="26"/>
      <c r="J67" s="28"/>
      <c r="K67" s="59">
        <f t="shared" si="26"/>
        <v>0</v>
      </c>
      <c r="L67" s="64"/>
      <c r="M67" s="65"/>
      <c r="N67" s="59">
        <f t="shared" si="27"/>
        <v>0</v>
      </c>
      <c r="O67" s="124">
        <f t="shared" si="44"/>
        <v>0</v>
      </c>
      <c r="P67" s="119"/>
      <c r="Q67" s="6"/>
      <c r="R67" s="26"/>
      <c r="S67" s="28"/>
      <c r="T67" s="7">
        <f t="shared" si="45"/>
        <v>0</v>
      </c>
      <c r="U67" s="26"/>
      <c r="V67" s="43"/>
      <c r="W67" s="59">
        <f t="shared" si="33"/>
        <v>0</v>
      </c>
      <c r="X67" s="26"/>
      <c r="Y67" s="28"/>
      <c r="Z67" s="59">
        <f t="shared" si="34"/>
        <v>0</v>
      </c>
      <c r="AA67" s="64"/>
      <c r="AB67" s="65"/>
      <c r="AC67" s="59">
        <f t="shared" si="35"/>
        <v>0</v>
      </c>
      <c r="AD67" s="124">
        <f t="shared" si="46"/>
        <v>0</v>
      </c>
    </row>
    <row r="68" spans="2:30" x14ac:dyDescent="0.15">
      <c r="B68" s="6"/>
      <c r="C68" s="26"/>
      <c r="D68" s="28"/>
      <c r="E68" s="7">
        <f t="shared" si="43"/>
        <v>0</v>
      </c>
      <c r="F68" s="26"/>
      <c r="G68" s="43"/>
      <c r="H68" s="59">
        <f t="shared" si="25"/>
        <v>0</v>
      </c>
      <c r="I68" s="26"/>
      <c r="J68" s="28"/>
      <c r="K68" s="59">
        <f t="shared" si="26"/>
        <v>0</v>
      </c>
      <c r="L68" s="64"/>
      <c r="M68" s="65"/>
      <c r="N68" s="59">
        <f t="shared" si="27"/>
        <v>0</v>
      </c>
      <c r="O68" s="124">
        <f t="shared" si="44"/>
        <v>0</v>
      </c>
      <c r="P68" s="116"/>
      <c r="Q68" s="6"/>
      <c r="R68" s="26"/>
      <c r="S68" s="28"/>
      <c r="T68" s="7">
        <f t="shared" si="45"/>
        <v>0</v>
      </c>
      <c r="U68" s="26"/>
      <c r="V68" s="43"/>
      <c r="W68" s="59">
        <f t="shared" si="33"/>
        <v>0</v>
      </c>
      <c r="X68" s="26"/>
      <c r="Y68" s="28"/>
      <c r="Z68" s="59">
        <f t="shared" si="34"/>
        <v>0</v>
      </c>
      <c r="AA68" s="64"/>
      <c r="AB68" s="65"/>
      <c r="AC68" s="59">
        <f t="shared" si="35"/>
        <v>0</v>
      </c>
      <c r="AD68" s="124">
        <f t="shared" si="46"/>
        <v>0</v>
      </c>
    </row>
    <row r="69" spans="2:30" x14ac:dyDescent="0.15">
      <c r="B69" s="6"/>
      <c r="C69" s="26"/>
      <c r="D69" s="28"/>
      <c r="E69" s="7">
        <f t="shared" si="43"/>
        <v>0</v>
      </c>
      <c r="F69" s="26"/>
      <c r="G69" s="43"/>
      <c r="H69" s="59">
        <f t="shared" si="25"/>
        <v>0</v>
      </c>
      <c r="I69" s="26"/>
      <c r="J69" s="28"/>
      <c r="K69" s="59">
        <f t="shared" si="26"/>
        <v>0</v>
      </c>
      <c r="L69" s="64"/>
      <c r="M69" s="65"/>
      <c r="N69" s="59">
        <f t="shared" si="27"/>
        <v>0</v>
      </c>
      <c r="O69" s="124">
        <f t="shared" si="44"/>
        <v>0</v>
      </c>
      <c r="P69" s="116"/>
      <c r="Q69" s="6"/>
      <c r="R69" s="26"/>
      <c r="S69" s="28"/>
      <c r="T69" s="7">
        <f t="shared" si="45"/>
        <v>0</v>
      </c>
      <c r="U69" s="26"/>
      <c r="V69" s="43"/>
      <c r="W69" s="59">
        <f t="shared" si="33"/>
        <v>0</v>
      </c>
      <c r="X69" s="26"/>
      <c r="Y69" s="28"/>
      <c r="Z69" s="59">
        <f t="shared" si="34"/>
        <v>0</v>
      </c>
      <c r="AA69" s="64"/>
      <c r="AB69" s="65"/>
      <c r="AC69" s="59">
        <f t="shared" si="35"/>
        <v>0</v>
      </c>
      <c r="AD69" s="124">
        <f t="shared" si="46"/>
        <v>0</v>
      </c>
    </row>
    <row r="70" spans="2:30" x14ac:dyDescent="0.15">
      <c r="B70" s="6"/>
      <c r="C70" s="26"/>
      <c r="D70" s="28"/>
      <c r="E70" s="7">
        <f t="shared" si="43"/>
        <v>0</v>
      </c>
      <c r="F70" s="26"/>
      <c r="G70" s="43"/>
      <c r="H70" s="59">
        <f t="shared" si="25"/>
        <v>0</v>
      </c>
      <c r="I70" s="26"/>
      <c r="J70" s="28"/>
      <c r="K70" s="59">
        <f t="shared" si="26"/>
        <v>0</v>
      </c>
      <c r="L70" s="64"/>
      <c r="M70" s="65"/>
      <c r="N70" s="59">
        <f t="shared" si="27"/>
        <v>0</v>
      </c>
      <c r="O70" s="124">
        <f t="shared" si="44"/>
        <v>0</v>
      </c>
      <c r="P70" s="116"/>
      <c r="Q70" s="6"/>
      <c r="R70" s="26"/>
      <c r="S70" s="28"/>
      <c r="T70" s="7">
        <f t="shared" si="45"/>
        <v>0</v>
      </c>
      <c r="U70" s="26"/>
      <c r="V70" s="43"/>
      <c r="W70" s="59">
        <f t="shared" si="33"/>
        <v>0</v>
      </c>
      <c r="X70" s="26"/>
      <c r="Y70" s="28"/>
      <c r="Z70" s="59">
        <f t="shared" si="34"/>
        <v>0</v>
      </c>
      <c r="AA70" s="64"/>
      <c r="AB70" s="65"/>
      <c r="AC70" s="59">
        <f t="shared" si="35"/>
        <v>0</v>
      </c>
      <c r="AD70" s="124">
        <f t="shared" si="46"/>
        <v>0</v>
      </c>
    </row>
    <row r="71" spans="2:30" x14ac:dyDescent="0.15">
      <c r="B71" s="6"/>
      <c r="C71" s="26"/>
      <c r="D71" s="28"/>
      <c r="E71" s="7">
        <f t="shared" si="43"/>
        <v>0</v>
      </c>
      <c r="F71" s="26"/>
      <c r="G71" s="43"/>
      <c r="H71" s="59">
        <f t="shared" si="25"/>
        <v>0</v>
      </c>
      <c r="I71" s="26"/>
      <c r="J71" s="28"/>
      <c r="K71" s="59">
        <f t="shared" si="26"/>
        <v>0</v>
      </c>
      <c r="L71" s="64"/>
      <c r="M71" s="65"/>
      <c r="N71" s="59">
        <f t="shared" si="27"/>
        <v>0</v>
      </c>
      <c r="O71" s="124">
        <f t="shared" si="44"/>
        <v>0</v>
      </c>
      <c r="P71" s="116"/>
      <c r="Q71" s="6"/>
      <c r="R71" s="26"/>
      <c r="S71" s="28"/>
      <c r="T71" s="7">
        <f t="shared" si="45"/>
        <v>0</v>
      </c>
      <c r="U71" s="26"/>
      <c r="V71" s="43"/>
      <c r="W71" s="59">
        <f t="shared" si="33"/>
        <v>0</v>
      </c>
      <c r="X71" s="26"/>
      <c r="Y71" s="28"/>
      <c r="Z71" s="59">
        <f t="shared" si="34"/>
        <v>0</v>
      </c>
      <c r="AA71" s="64"/>
      <c r="AB71" s="65"/>
      <c r="AC71" s="59">
        <f t="shared" si="35"/>
        <v>0</v>
      </c>
      <c r="AD71" s="124">
        <f t="shared" si="46"/>
        <v>0</v>
      </c>
    </row>
    <row r="72" spans="2:30" x14ac:dyDescent="0.15">
      <c r="B72" s="6"/>
      <c r="C72" s="26"/>
      <c r="D72" s="28"/>
      <c r="E72" s="7">
        <f t="shared" si="43"/>
        <v>0</v>
      </c>
      <c r="F72" s="26"/>
      <c r="G72" s="43"/>
      <c r="H72" s="59">
        <f t="shared" si="25"/>
        <v>0</v>
      </c>
      <c r="I72" s="26"/>
      <c r="J72" s="28"/>
      <c r="K72" s="59">
        <f t="shared" si="26"/>
        <v>0</v>
      </c>
      <c r="L72" s="64"/>
      <c r="M72" s="65"/>
      <c r="N72" s="59">
        <f t="shared" si="27"/>
        <v>0</v>
      </c>
      <c r="O72" s="124">
        <f t="shared" si="44"/>
        <v>0</v>
      </c>
      <c r="P72" s="116"/>
      <c r="Q72" s="6"/>
      <c r="R72" s="26"/>
      <c r="S72" s="28"/>
      <c r="T72" s="7">
        <f t="shared" si="45"/>
        <v>0</v>
      </c>
      <c r="U72" s="26"/>
      <c r="V72" s="43"/>
      <c r="W72" s="59">
        <f t="shared" si="33"/>
        <v>0</v>
      </c>
      <c r="X72" s="26"/>
      <c r="Y72" s="28"/>
      <c r="Z72" s="59">
        <f t="shared" si="34"/>
        <v>0</v>
      </c>
      <c r="AA72" s="64"/>
      <c r="AB72" s="65"/>
      <c r="AC72" s="59">
        <f t="shared" si="35"/>
        <v>0</v>
      </c>
      <c r="AD72" s="124">
        <f t="shared" si="46"/>
        <v>0</v>
      </c>
    </row>
    <row r="73" spans="2:30" x14ac:dyDescent="0.15">
      <c r="B73" s="6"/>
      <c r="C73" s="26"/>
      <c r="D73" s="28"/>
      <c r="E73" s="7">
        <f t="shared" si="43"/>
        <v>0</v>
      </c>
      <c r="F73" s="26"/>
      <c r="G73" s="43"/>
      <c r="H73" s="59">
        <f t="shared" si="25"/>
        <v>0</v>
      </c>
      <c r="I73" s="26"/>
      <c r="J73" s="28"/>
      <c r="K73" s="59">
        <f t="shared" si="26"/>
        <v>0</v>
      </c>
      <c r="L73" s="64"/>
      <c r="M73" s="65"/>
      <c r="N73" s="59">
        <f t="shared" si="27"/>
        <v>0</v>
      </c>
      <c r="O73" s="124">
        <f t="shared" si="44"/>
        <v>0</v>
      </c>
      <c r="P73" s="116"/>
      <c r="Q73" s="6"/>
      <c r="R73" s="26"/>
      <c r="S73" s="28"/>
      <c r="T73" s="7">
        <f t="shared" si="45"/>
        <v>0</v>
      </c>
      <c r="U73" s="26"/>
      <c r="V73" s="43"/>
      <c r="W73" s="59">
        <f t="shared" si="33"/>
        <v>0</v>
      </c>
      <c r="X73" s="26"/>
      <c r="Y73" s="28"/>
      <c r="Z73" s="59">
        <f t="shared" si="34"/>
        <v>0</v>
      </c>
      <c r="AA73" s="64"/>
      <c r="AB73" s="65"/>
      <c r="AC73" s="59">
        <f t="shared" si="35"/>
        <v>0</v>
      </c>
      <c r="AD73" s="124">
        <f t="shared" si="46"/>
        <v>0</v>
      </c>
    </row>
    <row r="74" spans="2:30" x14ac:dyDescent="0.15">
      <c r="B74" s="6"/>
      <c r="C74" s="26"/>
      <c r="D74" s="28"/>
      <c r="E74" s="7">
        <f t="shared" si="43"/>
        <v>0</v>
      </c>
      <c r="F74" s="26"/>
      <c r="G74" s="43"/>
      <c r="H74" s="59">
        <f t="shared" si="25"/>
        <v>0</v>
      </c>
      <c r="I74" s="26"/>
      <c r="J74" s="28"/>
      <c r="K74" s="59">
        <f t="shared" si="26"/>
        <v>0</v>
      </c>
      <c r="L74" s="64"/>
      <c r="M74" s="65"/>
      <c r="N74" s="59">
        <f t="shared" si="27"/>
        <v>0</v>
      </c>
      <c r="O74" s="124">
        <f t="shared" si="44"/>
        <v>0</v>
      </c>
      <c r="P74" s="116"/>
      <c r="Q74" s="6"/>
      <c r="R74" s="26"/>
      <c r="S74" s="28"/>
      <c r="T74" s="7">
        <f t="shared" si="45"/>
        <v>0</v>
      </c>
      <c r="U74" s="26"/>
      <c r="V74" s="43"/>
      <c r="W74" s="59">
        <f t="shared" si="33"/>
        <v>0</v>
      </c>
      <c r="X74" s="26"/>
      <c r="Y74" s="28"/>
      <c r="Z74" s="59">
        <f t="shared" si="34"/>
        <v>0</v>
      </c>
      <c r="AA74" s="64"/>
      <c r="AB74" s="65"/>
      <c r="AC74" s="59">
        <f t="shared" si="35"/>
        <v>0</v>
      </c>
      <c r="AD74" s="124">
        <f t="shared" si="46"/>
        <v>0</v>
      </c>
    </row>
    <row r="75" spans="2:30" x14ac:dyDescent="0.15">
      <c r="B75" s="6"/>
      <c r="C75" s="26"/>
      <c r="D75" s="28"/>
      <c r="E75" s="7">
        <f t="shared" si="43"/>
        <v>0</v>
      </c>
      <c r="F75" s="26"/>
      <c r="G75" s="43"/>
      <c r="H75" s="59">
        <f t="shared" si="25"/>
        <v>0</v>
      </c>
      <c r="I75" s="26"/>
      <c r="J75" s="28"/>
      <c r="K75" s="59">
        <f t="shared" si="26"/>
        <v>0</v>
      </c>
      <c r="L75" s="64"/>
      <c r="M75" s="65"/>
      <c r="N75" s="59">
        <f t="shared" si="27"/>
        <v>0</v>
      </c>
      <c r="O75" s="124">
        <f t="shared" si="44"/>
        <v>0</v>
      </c>
      <c r="P75" s="116"/>
      <c r="Q75" s="6"/>
      <c r="R75" s="26"/>
      <c r="S75" s="28"/>
      <c r="T75" s="7">
        <f t="shared" si="45"/>
        <v>0</v>
      </c>
      <c r="U75" s="26"/>
      <c r="V75" s="43"/>
      <c r="W75" s="59">
        <f t="shared" si="33"/>
        <v>0</v>
      </c>
      <c r="X75" s="26"/>
      <c r="Y75" s="28"/>
      <c r="Z75" s="59">
        <f t="shared" si="34"/>
        <v>0</v>
      </c>
      <c r="AA75" s="64"/>
      <c r="AB75" s="65"/>
      <c r="AC75" s="59">
        <f t="shared" si="35"/>
        <v>0</v>
      </c>
      <c r="AD75" s="124">
        <f t="shared" si="46"/>
        <v>0</v>
      </c>
    </row>
    <row r="76" spans="2:30" ht="14.25" thickBot="1" x14ac:dyDescent="0.2">
      <c r="B76" s="6"/>
      <c r="C76" s="26"/>
      <c r="D76" s="28"/>
      <c r="E76" s="7">
        <f t="shared" si="43"/>
        <v>0</v>
      </c>
      <c r="F76" s="29"/>
      <c r="G76" s="44"/>
      <c r="H76" s="125">
        <f t="shared" si="25"/>
        <v>0</v>
      </c>
      <c r="I76" s="29"/>
      <c r="J76" s="31"/>
      <c r="K76" s="125">
        <f t="shared" si="26"/>
        <v>0</v>
      </c>
      <c r="L76" s="66"/>
      <c r="M76" s="67"/>
      <c r="N76" s="125">
        <f t="shared" si="27"/>
        <v>0</v>
      </c>
      <c r="O76" s="124">
        <f t="shared" si="44"/>
        <v>0</v>
      </c>
      <c r="P76" s="116"/>
      <c r="Q76" s="6"/>
      <c r="R76" s="26"/>
      <c r="S76" s="28"/>
      <c r="T76" s="7">
        <f t="shared" si="45"/>
        <v>0</v>
      </c>
      <c r="U76" s="29"/>
      <c r="V76" s="44"/>
      <c r="W76" s="125">
        <f t="shared" si="33"/>
        <v>0</v>
      </c>
      <c r="X76" s="29"/>
      <c r="Y76" s="31"/>
      <c r="Z76" s="125">
        <f t="shared" si="34"/>
        <v>0</v>
      </c>
      <c r="AA76" s="66"/>
      <c r="AB76" s="67"/>
      <c r="AC76" s="125">
        <f t="shared" si="35"/>
        <v>0</v>
      </c>
      <c r="AD76" s="124">
        <f t="shared" si="46"/>
        <v>0</v>
      </c>
    </row>
    <row r="77" spans="2:30" ht="14.25" thickBot="1" x14ac:dyDescent="0.2">
      <c r="B77" s="5" t="s">
        <v>2</v>
      </c>
      <c r="C77" s="32">
        <f>SUM(C52:C76)</f>
        <v>6</v>
      </c>
      <c r="D77" s="34">
        <f t="shared" ref="D77:O77" si="47">SUM(D52:D76)</f>
        <v>8</v>
      </c>
      <c r="E77" s="4">
        <f t="shared" si="47"/>
        <v>14</v>
      </c>
      <c r="F77" s="32">
        <f t="shared" si="47"/>
        <v>11</v>
      </c>
      <c r="G77" s="34">
        <f t="shared" si="47"/>
        <v>9</v>
      </c>
      <c r="H77" s="4">
        <f t="shared" si="47"/>
        <v>20</v>
      </c>
      <c r="I77" s="32">
        <f t="shared" si="47"/>
        <v>8</v>
      </c>
      <c r="J77" s="34">
        <f t="shared" si="47"/>
        <v>3</v>
      </c>
      <c r="K77" s="4">
        <f t="shared" si="47"/>
        <v>11</v>
      </c>
      <c r="L77" s="68">
        <f t="shared" si="47"/>
        <v>5</v>
      </c>
      <c r="M77" s="69">
        <f t="shared" si="47"/>
        <v>8</v>
      </c>
      <c r="N77" s="4">
        <f t="shared" si="47"/>
        <v>13</v>
      </c>
      <c r="O77" s="88">
        <f t="shared" si="47"/>
        <v>58</v>
      </c>
      <c r="P77" s="116"/>
      <c r="Q77" s="5" t="s">
        <v>2</v>
      </c>
      <c r="R77" s="32">
        <f>SUM(R52:R76)</f>
        <v>10</v>
      </c>
      <c r="S77" s="34">
        <f t="shared" ref="S77:AD77" si="48">SUM(S52:S76)</f>
        <v>10</v>
      </c>
      <c r="T77" s="4">
        <f t="shared" si="48"/>
        <v>20</v>
      </c>
      <c r="U77" s="32">
        <f t="shared" si="48"/>
        <v>0</v>
      </c>
      <c r="V77" s="34">
        <f t="shared" si="48"/>
        <v>10</v>
      </c>
      <c r="W77" s="4">
        <f t="shared" si="48"/>
        <v>10</v>
      </c>
      <c r="X77" s="32">
        <f t="shared" si="48"/>
        <v>10</v>
      </c>
      <c r="Y77" s="34">
        <f t="shared" si="48"/>
        <v>0</v>
      </c>
      <c r="Z77" s="4">
        <f t="shared" si="48"/>
        <v>10</v>
      </c>
      <c r="AA77" s="68">
        <f t="shared" si="48"/>
        <v>10</v>
      </c>
      <c r="AB77" s="69">
        <f t="shared" si="48"/>
        <v>10</v>
      </c>
      <c r="AC77" s="4">
        <f t="shared" si="48"/>
        <v>20</v>
      </c>
      <c r="AD77" s="88">
        <f t="shared" si="48"/>
        <v>60</v>
      </c>
    </row>
    <row r="78" spans="2:30" ht="14.25" thickBot="1" x14ac:dyDescent="0.2">
      <c r="B78" s="3" t="s">
        <v>3</v>
      </c>
      <c r="C78" s="38">
        <f>+C51-C77</f>
        <v>11</v>
      </c>
      <c r="D78" s="40">
        <f t="shared" ref="D78:O78" si="49">+D51-D77</f>
        <v>10</v>
      </c>
      <c r="E78" s="2">
        <f t="shared" si="49"/>
        <v>21</v>
      </c>
      <c r="F78" s="70">
        <f t="shared" si="49"/>
        <v>0</v>
      </c>
      <c r="G78" s="85">
        <f t="shared" si="49"/>
        <v>13</v>
      </c>
      <c r="H78" s="61">
        <f t="shared" si="49"/>
        <v>13</v>
      </c>
      <c r="I78" s="70">
        <f t="shared" si="49"/>
        <v>11</v>
      </c>
      <c r="J78" s="85">
        <f t="shared" si="49"/>
        <v>11</v>
      </c>
      <c r="K78" s="61">
        <f t="shared" si="49"/>
        <v>22</v>
      </c>
      <c r="L78" s="81">
        <f t="shared" si="49"/>
        <v>10</v>
      </c>
      <c r="M78" s="71">
        <f t="shared" si="49"/>
        <v>11</v>
      </c>
      <c r="N78" s="61">
        <f t="shared" si="49"/>
        <v>21</v>
      </c>
      <c r="O78" s="88">
        <f t="shared" si="49"/>
        <v>77</v>
      </c>
      <c r="P78" s="116"/>
      <c r="Q78" s="3" t="s">
        <v>3</v>
      </c>
      <c r="R78" s="38">
        <f>+R51-R77</f>
        <v>110</v>
      </c>
      <c r="S78" s="40">
        <f t="shared" ref="S78:AD78" si="50">+S51-S77</f>
        <v>110</v>
      </c>
      <c r="T78" s="2">
        <f t="shared" si="50"/>
        <v>220</v>
      </c>
      <c r="U78" s="70">
        <f t="shared" si="50"/>
        <v>60</v>
      </c>
      <c r="V78" s="85">
        <f t="shared" si="50"/>
        <v>70</v>
      </c>
      <c r="W78" s="61">
        <f t="shared" si="50"/>
        <v>130</v>
      </c>
      <c r="X78" s="70">
        <f t="shared" si="50"/>
        <v>80</v>
      </c>
      <c r="Y78" s="85">
        <f t="shared" si="50"/>
        <v>70</v>
      </c>
      <c r="Z78" s="61">
        <f t="shared" si="50"/>
        <v>150</v>
      </c>
      <c r="AA78" s="81">
        <f t="shared" si="50"/>
        <v>60</v>
      </c>
      <c r="AB78" s="71">
        <f t="shared" si="50"/>
        <v>50</v>
      </c>
      <c r="AC78" s="61">
        <f t="shared" si="50"/>
        <v>110</v>
      </c>
      <c r="AD78" s="88">
        <f t="shared" si="50"/>
        <v>610</v>
      </c>
    </row>
  </sheetData>
  <mergeCells count="16">
    <mergeCell ref="U3:W3"/>
    <mergeCell ref="X3:Z3"/>
    <mergeCell ref="AA3:AC3"/>
    <mergeCell ref="U43:W43"/>
    <mergeCell ref="X43:Z43"/>
    <mergeCell ref="AA43:AC43"/>
    <mergeCell ref="C43:E43"/>
    <mergeCell ref="F43:H43"/>
    <mergeCell ref="I43:K43"/>
    <mergeCell ref="L43:N43"/>
    <mergeCell ref="R43:T43"/>
    <mergeCell ref="C3:E3"/>
    <mergeCell ref="F3:H3"/>
    <mergeCell ref="I3:K3"/>
    <mergeCell ref="L3:N3"/>
    <mergeCell ref="R3:T3"/>
  </mergeCells>
  <phoneticPr fontId="1"/>
  <pageMargins left="0.78700000000000003" right="0.78700000000000003" top="0.98399999999999999" bottom="0.98399999999999999" header="0.51200000000000001" footer="0.51200000000000001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2025保冷剤ﾏﾌﾗｰ</vt:lpstr>
      <vt:lpstr>2026保冷剤ﾏﾌﾗｰ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yumeh</dc:creator>
  <cp:lastModifiedBy>聡祐 松島</cp:lastModifiedBy>
  <dcterms:created xsi:type="dcterms:W3CDTF">1997-01-08T22:48:59Z</dcterms:created>
  <dcterms:modified xsi:type="dcterms:W3CDTF">2026-07-15T05:28:55Z</dcterms:modified>
</cp:coreProperties>
</file>