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F295B3FF-46DD-4162-8C46-51CEE5053E94}" xr6:coauthVersionLast="47" xr6:coauthVersionMax="47" xr10:uidLastSave="{00000000-0000-0000-0000-000000000000}"/>
  <bookViews>
    <workbookView xWindow="12465" yWindow="1410" windowWidth="16065" windowHeight="12450" tabRatio="49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881" i="1" l="1"/>
  <c r="S2881" i="1"/>
  <c r="Y2881" i="1" s="1"/>
  <c r="X2880" i="1"/>
  <c r="S2880" i="1"/>
  <c r="Y2880" i="1" s="1"/>
  <c r="X2768" i="1"/>
  <c r="S2768" i="1"/>
  <c r="Y2768" i="1" s="1"/>
  <c r="X2767" i="1"/>
  <c r="S2767" i="1"/>
  <c r="Y2767" i="1" s="1"/>
  <c r="S2742" i="1"/>
  <c r="X2742" i="1"/>
  <c r="Y2742" i="1" s="1"/>
  <c r="X2780" i="1"/>
  <c r="S2780" i="1"/>
  <c r="Y2780" i="1" s="1"/>
  <c r="S2803" i="1"/>
  <c r="Y2803" i="1" s="1"/>
  <c r="X2803" i="1"/>
  <c r="S2804" i="1"/>
  <c r="Y2804" i="1" s="1"/>
  <c r="X2804" i="1"/>
  <c r="X2806" i="1"/>
  <c r="S2806" i="1"/>
  <c r="Y2806" i="1" s="1"/>
  <c r="Y2805" i="1"/>
  <c r="X2805" i="1"/>
  <c r="S2805" i="1"/>
  <c r="X2844" i="1"/>
  <c r="S2844" i="1"/>
  <c r="Y2844" i="1" s="1"/>
  <c r="Y2843" i="1"/>
  <c r="X2843" i="1"/>
  <c r="S2843" i="1"/>
  <c r="S2845" i="1"/>
  <c r="Y2845" i="1" s="1"/>
  <c r="X2845" i="1"/>
  <c r="X2846" i="1"/>
  <c r="S2846" i="1"/>
  <c r="Y2846" i="1" s="1"/>
  <c r="X2882" i="1"/>
  <c r="S2882" i="1"/>
  <c r="J2885" i="1"/>
  <c r="I2885" i="1"/>
  <c r="H2885" i="1"/>
  <c r="G2885" i="1"/>
  <c r="K2885" i="1" s="1"/>
  <c r="E2885" i="1"/>
  <c r="D2885" i="1"/>
  <c r="C2885" i="1"/>
  <c r="B2885" i="1"/>
  <c r="F2885" i="1" s="1"/>
  <c r="L2885" i="1" s="1"/>
  <c r="K2884" i="1"/>
  <c r="L2884" i="1" s="1"/>
  <c r="F2884" i="1"/>
  <c r="K2883" i="1"/>
  <c r="F2883" i="1"/>
  <c r="L2883" i="1" s="1"/>
  <c r="K2882" i="1"/>
  <c r="F2882" i="1"/>
  <c r="L2882" i="1" s="1"/>
  <c r="L2881" i="1"/>
  <c r="K2881" i="1"/>
  <c r="F2881" i="1"/>
  <c r="K2880" i="1"/>
  <c r="L2880" i="1" s="1"/>
  <c r="F2880" i="1"/>
  <c r="K2879" i="1"/>
  <c r="F2879" i="1"/>
  <c r="L2879" i="1" s="1"/>
  <c r="K2878" i="1"/>
  <c r="F2878" i="1"/>
  <c r="L2878" i="1" s="1"/>
  <c r="L2877" i="1"/>
  <c r="K2877" i="1"/>
  <c r="F2877" i="1"/>
  <c r="K2876" i="1"/>
  <c r="L2876" i="1" s="1"/>
  <c r="F2876" i="1"/>
  <c r="K2875" i="1"/>
  <c r="F2875" i="1"/>
  <c r="L2875" i="1" s="1"/>
  <c r="K2874" i="1"/>
  <c r="F2874" i="1"/>
  <c r="L2874" i="1" s="1"/>
  <c r="L2873" i="1"/>
  <c r="K2873" i="1"/>
  <c r="F2873" i="1"/>
  <c r="K2872" i="1"/>
  <c r="L2872" i="1" s="1"/>
  <c r="F2872" i="1"/>
  <c r="K2871" i="1"/>
  <c r="F2871" i="1"/>
  <c r="L2871" i="1" s="1"/>
  <c r="K2870" i="1"/>
  <c r="F2870" i="1"/>
  <c r="L2870" i="1" s="1"/>
  <c r="L2869" i="1"/>
  <c r="K2869" i="1"/>
  <c r="F2869" i="1"/>
  <c r="K2868" i="1"/>
  <c r="L2868" i="1" s="1"/>
  <c r="F2868" i="1"/>
  <c r="K2867" i="1"/>
  <c r="F2867" i="1"/>
  <c r="L2867" i="1" s="1"/>
  <c r="K2866" i="1"/>
  <c r="F2866" i="1"/>
  <c r="L2866" i="1" s="1"/>
  <c r="L2865" i="1"/>
  <c r="K2865" i="1"/>
  <c r="F2865" i="1"/>
  <c r="K2864" i="1"/>
  <c r="L2864" i="1" s="1"/>
  <c r="F2864" i="1"/>
  <c r="K2863" i="1"/>
  <c r="F2863" i="1"/>
  <c r="L2863" i="1" s="1"/>
  <c r="K2862" i="1"/>
  <c r="F2862" i="1"/>
  <c r="L2862" i="1" s="1"/>
  <c r="L2861" i="1"/>
  <c r="K2861" i="1"/>
  <c r="F2861" i="1"/>
  <c r="K2860" i="1"/>
  <c r="L2860" i="1" s="1"/>
  <c r="F2860" i="1"/>
  <c r="K2858" i="1"/>
  <c r="F2858" i="1"/>
  <c r="L2858" i="1" s="1"/>
  <c r="L2857" i="1"/>
  <c r="K2857" i="1"/>
  <c r="F2857" i="1"/>
  <c r="K2856" i="1"/>
  <c r="L2856" i="1" s="1"/>
  <c r="F2856" i="1"/>
  <c r="K2855" i="1"/>
  <c r="F2855" i="1"/>
  <c r="L2855" i="1" s="1"/>
  <c r="X2732" i="1"/>
  <c r="S2732" i="1"/>
  <c r="X2731" i="1"/>
  <c r="P2733" i="1"/>
  <c r="S2731" i="1"/>
  <c r="Y2731" i="1" s="1"/>
  <c r="S2729" i="1"/>
  <c r="X2729" i="1"/>
  <c r="Y2729" i="1" s="1"/>
  <c r="S2730" i="1"/>
  <c r="X2730" i="1"/>
  <c r="P2771" i="1"/>
  <c r="Y2770" i="1"/>
  <c r="X2770" i="1"/>
  <c r="S2770" i="1"/>
  <c r="Y2769" i="1"/>
  <c r="X2769" i="1"/>
  <c r="S2769" i="1"/>
  <c r="S2765" i="1"/>
  <c r="Y2765" i="1" s="1"/>
  <c r="X2765" i="1"/>
  <c r="S2766" i="1"/>
  <c r="Y2766" i="1" s="1"/>
  <c r="X2766" i="1"/>
  <c r="X2808" i="1"/>
  <c r="S2808" i="1"/>
  <c r="Y2808" i="1" s="1"/>
  <c r="Y2807" i="1"/>
  <c r="X2807" i="1"/>
  <c r="S2807" i="1"/>
  <c r="W2885" i="1"/>
  <c r="V2885" i="1"/>
  <c r="U2885" i="1"/>
  <c r="T2885" i="1"/>
  <c r="R2885" i="1"/>
  <c r="Q2885" i="1"/>
  <c r="P2885" i="1"/>
  <c r="O2885" i="1"/>
  <c r="X2884" i="1"/>
  <c r="S2884" i="1"/>
  <c r="X2883" i="1"/>
  <c r="S2883" i="1"/>
  <c r="Y2883" i="1" s="1"/>
  <c r="X2879" i="1"/>
  <c r="S2879" i="1"/>
  <c r="Y2879" i="1" s="1"/>
  <c r="X2878" i="1"/>
  <c r="S2878" i="1"/>
  <c r="Y2878" i="1" s="1"/>
  <c r="Y2877" i="1"/>
  <c r="X2877" i="1"/>
  <c r="S2877" i="1"/>
  <c r="X2876" i="1"/>
  <c r="Y2876" i="1" s="1"/>
  <c r="S2876" i="1"/>
  <c r="X2875" i="1"/>
  <c r="S2875" i="1"/>
  <c r="Y2875" i="1" s="1"/>
  <c r="X2874" i="1"/>
  <c r="S2874" i="1"/>
  <c r="Y2874" i="1" s="1"/>
  <c r="Y2873" i="1"/>
  <c r="X2873" i="1"/>
  <c r="S2873" i="1"/>
  <c r="X2872" i="1"/>
  <c r="Y2872" i="1" s="1"/>
  <c r="S2872" i="1"/>
  <c r="X2871" i="1"/>
  <c r="S2871" i="1"/>
  <c r="Y2871" i="1" s="1"/>
  <c r="X2870" i="1"/>
  <c r="S2870" i="1"/>
  <c r="Y2870" i="1" s="1"/>
  <c r="Y2869" i="1"/>
  <c r="X2869" i="1"/>
  <c r="S2869" i="1"/>
  <c r="X2868" i="1"/>
  <c r="Y2868" i="1" s="1"/>
  <c r="S2868" i="1"/>
  <c r="X2867" i="1"/>
  <c r="S2867" i="1"/>
  <c r="Y2867" i="1" s="1"/>
  <c r="X2866" i="1"/>
  <c r="S2866" i="1"/>
  <c r="Y2866" i="1" s="1"/>
  <c r="Y2865" i="1"/>
  <c r="X2865" i="1"/>
  <c r="S2865" i="1"/>
  <c r="X2864" i="1"/>
  <c r="Y2864" i="1" s="1"/>
  <c r="S2864" i="1"/>
  <c r="X2863" i="1"/>
  <c r="S2863" i="1"/>
  <c r="Y2863" i="1" s="1"/>
  <c r="X2862" i="1"/>
  <c r="S2862" i="1"/>
  <c r="Y2862" i="1" s="1"/>
  <c r="Y2861" i="1"/>
  <c r="X2861" i="1"/>
  <c r="S2861" i="1"/>
  <c r="X2860" i="1"/>
  <c r="Y2860" i="1" s="1"/>
  <c r="S2860" i="1"/>
  <c r="X2858" i="1"/>
  <c r="S2858" i="1"/>
  <c r="Y2858" i="1" s="1"/>
  <c r="Y2857" i="1"/>
  <c r="X2857" i="1"/>
  <c r="S2857" i="1"/>
  <c r="X2856" i="1"/>
  <c r="Y2856" i="1" s="1"/>
  <c r="S2856" i="1"/>
  <c r="X2855" i="1"/>
  <c r="S2855" i="1"/>
  <c r="Y2855" i="1" s="1"/>
  <c r="S2764" i="1"/>
  <c r="Y2764" i="1" s="1"/>
  <c r="X2764" i="1"/>
  <c r="J2847" i="1"/>
  <c r="I2847" i="1"/>
  <c r="H2847" i="1"/>
  <c r="G2847" i="1"/>
  <c r="K2847" i="1" s="1"/>
  <c r="E2847" i="1"/>
  <c r="D2847" i="1"/>
  <c r="C2847" i="1"/>
  <c r="B2847" i="1"/>
  <c r="F2847" i="1" s="1"/>
  <c r="L2847" i="1" s="1"/>
  <c r="K2846" i="1"/>
  <c r="L2846" i="1" s="1"/>
  <c r="F2846" i="1"/>
  <c r="K2845" i="1"/>
  <c r="F2845" i="1"/>
  <c r="L2845" i="1" s="1"/>
  <c r="K2844" i="1"/>
  <c r="F2844" i="1"/>
  <c r="L2844" i="1" s="1"/>
  <c r="L2843" i="1"/>
  <c r="K2843" i="1"/>
  <c r="F2843" i="1"/>
  <c r="K2842" i="1"/>
  <c r="L2842" i="1" s="1"/>
  <c r="F2842" i="1"/>
  <c r="K2841" i="1"/>
  <c r="F2841" i="1"/>
  <c r="L2841" i="1" s="1"/>
  <c r="K2840" i="1"/>
  <c r="F2840" i="1"/>
  <c r="L2840" i="1" s="1"/>
  <c r="L2839" i="1"/>
  <c r="K2839" i="1"/>
  <c r="F2839" i="1"/>
  <c r="K2838" i="1"/>
  <c r="L2838" i="1" s="1"/>
  <c r="F2838" i="1"/>
  <c r="K2837" i="1"/>
  <c r="F2837" i="1"/>
  <c r="L2837" i="1" s="1"/>
  <c r="K2836" i="1"/>
  <c r="F2836" i="1"/>
  <c r="L2836" i="1" s="1"/>
  <c r="L2835" i="1"/>
  <c r="K2835" i="1"/>
  <c r="F2835" i="1"/>
  <c r="K2834" i="1"/>
  <c r="L2834" i="1" s="1"/>
  <c r="F2834" i="1"/>
  <c r="K2833" i="1"/>
  <c r="F2833" i="1"/>
  <c r="L2833" i="1" s="1"/>
  <c r="K2832" i="1"/>
  <c r="F2832" i="1"/>
  <c r="L2832" i="1" s="1"/>
  <c r="L2831" i="1"/>
  <c r="K2831" i="1"/>
  <c r="F2831" i="1"/>
  <c r="K2830" i="1"/>
  <c r="L2830" i="1" s="1"/>
  <c r="F2830" i="1"/>
  <c r="K2829" i="1"/>
  <c r="F2829" i="1"/>
  <c r="L2829" i="1" s="1"/>
  <c r="K2828" i="1"/>
  <c r="F2828" i="1"/>
  <c r="L2828" i="1" s="1"/>
  <c r="L2827" i="1"/>
  <c r="K2827" i="1"/>
  <c r="F2827" i="1"/>
  <c r="K2826" i="1"/>
  <c r="L2826" i="1" s="1"/>
  <c r="F2826" i="1"/>
  <c r="K2825" i="1"/>
  <c r="F2825" i="1"/>
  <c r="L2825" i="1" s="1"/>
  <c r="K2824" i="1"/>
  <c r="F2824" i="1"/>
  <c r="L2824" i="1" s="1"/>
  <c r="L2823" i="1"/>
  <c r="K2823" i="1"/>
  <c r="F2823" i="1"/>
  <c r="K2822" i="1"/>
  <c r="L2822" i="1" s="1"/>
  <c r="F2822" i="1"/>
  <c r="K2820" i="1"/>
  <c r="F2820" i="1"/>
  <c r="L2820" i="1" s="1"/>
  <c r="L2819" i="1"/>
  <c r="K2819" i="1"/>
  <c r="F2819" i="1"/>
  <c r="K2818" i="1"/>
  <c r="L2818" i="1" s="1"/>
  <c r="F2818" i="1"/>
  <c r="K2817" i="1"/>
  <c r="F2817" i="1"/>
  <c r="L2817" i="1" s="1"/>
  <c r="W2847" i="1"/>
  <c r="V2847" i="1"/>
  <c r="U2847" i="1"/>
  <c r="T2847" i="1"/>
  <c r="R2847" i="1"/>
  <c r="Q2847" i="1"/>
  <c r="P2847" i="1"/>
  <c r="O2847" i="1"/>
  <c r="X2842" i="1"/>
  <c r="S2842" i="1"/>
  <c r="Y2842" i="1" s="1"/>
  <c r="X2841" i="1"/>
  <c r="S2841" i="1"/>
  <c r="Y2841" i="1" s="1"/>
  <c r="X2840" i="1"/>
  <c r="Y2840" i="1" s="1"/>
  <c r="S2840" i="1"/>
  <c r="Y2839" i="1"/>
  <c r="X2839" i="1"/>
  <c r="S2839" i="1"/>
  <c r="X2838" i="1"/>
  <c r="S2838" i="1"/>
  <c r="Y2838" i="1" s="1"/>
  <c r="X2837" i="1"/>
  <c r="S2837" i="1"/>
  <c r="Y2837" i="1" s="1"/>
  <c r="X2836" i="1"/>
  <c r="Y2836" i="1" s="1"/>
  <c r="S2836" i="1"/>
  <c r="Y2835" i="1"/>
  <c r="X2835" i="1"/>
  <c r="S2835" i="1"/>
  <c r="X2834" i="1"/>
  <c r="S2834" i="1"/>
  <c r="Y2834" i="1" s="1"/>
  <c r="X2833" i="1"/>
  <c r="S2833" i="1"/>
  <c r="Y2833" i="1" s="1"/>
  <c r="X2832" i="1"/>
  <c r="Y2832" i="1" s="1"/>
  <c r="S2832" i="1"/>
  <c r="Y2831" i="1"/>
  <c r="X2831" i="1"/>
  <c r="S2831" i="1"/>
  <c r="X2830" i="1"/>
  <c r="S2830" i="1"/>
  <c r="Y2830" i="1" s="1"/>
  <c r="X2829" i="1"/>
  <c r="S2829" i="1"/>
  <c r="Y2829" i="1" s="1"/>
  <c r="X2828" i="1"/>
  <c r="Y2828" i="1" s="1"/>
  <c r="S2828" i="1"/>
  <c r="Y2827" i="1"/>
  <c r="X2827" i="1"/>
  <c r="S2827" i="1"/>
  <c r="X2826" i="1"/>
  <c r="S2826" i="1"/>
  <c r="Y2826" i="1" s="1"/>
  <c r="X2825" i="1"/>
  <c r="S2825" i="1"/>
  <c r="Y2825" i="1" s="1"/>
  <c r="X2824" i="1"/>
  <c r="Y2824" i="1" s="1"/>
  <c r="S2824" i="1"/>
  <c r="Y2823" i="1"/>
  <c r="X2823" i="1"/>
  <c r="S2823" i="1"/>
  <c r="X2822" i="1"/>
  <c r="S2822" i="1"/>
  <c r="Y2822" i="1" s="1"/>
  <c r="X2820" i="1"/>
  <c r="S2820" i="1"/>
  <c r="Y2820" i="1" s="1"/>
  <c r="Y2819" i="1"/>
  <c r="X2819" i="1"/>
  <c r="S2819" i="1"/>
  <c r="X2818" i="1"/>
  <c r="S2818" i="1"/>
  <c r="Y2818" i="1" s="1"/>
  <c r="X2817" i="1"/>
  <c r="S2817" i="1"/>
  <c r="Y2817" i="1" s="1"/>
  <c r="F2688" i="1"/>
  <c r="K2688" i="1"/>
  <c r="L2688" i="1" s="1"/>
  <c r="S2708" i="1"/>
  <c r="X2708" i="1"/>
  <c r="Y2708" i="1" s="1"/>
  <c r="X2683" i="1"/>
  <c r="S2683" i="1"/>
  <c r="Y2683" i="1" s="1"/>
  <c r="S2684" i="1"/>
  <c r="X2684" i="1"/>
  <c r="Y2684" i="1" s="1"/>
  <c r="X2688" i="1"/>
  <c r="S2688" i="1"/>
  <c r="O2733" i="1"/>
  <c r="Q2733" i="1"/>
  <c r="R2733" i="1"/>
  <c r="T2733" i="1"/>
  <c r="U2733" i="1"/>
  <c r="V2733" i="1"/>
  <c r="W2733" i="1"/>
  <c r="S2704" i="1"/>
  <c r="X2704" i="1"/>
  <c r="S2726" i="1"/>
  <c r="X2726" i="1"/>
  <c r="S2727" i="1"/>
  <c r="X2727" i="1"/>
  <c r="S2728" i="1"/>
  <c r="X2728" i="1"/>
  <c r="X2812" i="1"/>
  <c r="S2812" i="1"/>
  <c r="W2809" i="1"/>
  <c r="V2809" i="1"/>
  <c r="U2809" i="1"/>
  <c r="T2809" i="1"/>
  <c r="R2809" i="1"/>
  <c r="Q2809" i="1"/>
  <c r="P2809" i="1"/>
  <c r="O2809" i="1"/>
  <c r="J2809" i="1"/>
  <c r="I2809" i="1"/>
  <c r="H2809" i="1"/>
  <c r="G2809" i="1"/>
  <c r="E2809" i="1"/>
  <c r="D2809" i="1"/>
  <c r="C2809" i="1"/>
  <c r="B2809" i="1"/>
  <c r="K2808" i="1"/>
  <c r="F2808" i="1"/>
  <c r="K2807" i="1"/>
  <c r="F2807" i="1"/>
  <c r="K2806" i="1"/>
  <c r="F2806" i="1"/>
  <c r="K2805" i="1"/>
  <c r="L2805" i="1" s="1"/>
  <c r="F2805" i="1"/>
  <c r="K2804" i="1"/>
  <c r="F2804" i="1"/>
  <c r="K2803" i="1"/>
  <c r="L2803" i="1" s="1"/>
  <c r="F2803" i="1"/>
  <c r="X2802" i="1"/>
  <c r="S2802" i="1"/>
  <c r="K2802" i="1"/>
  <c r="F2802" i="1"/>
  <c r="X2801" i="1"/>
  <c r="S2801" i="1"/>
  <c r="K2801" i="1"/>
  <c r="F2801" i="1"/>
  <c r="X2800" i="1"/>
  <c r="S2800" i="1"/>
  <c r="K2800" i="1"/>
  <c r="F2800" i="1"/>
  <c r="X2799" i="1"/>
  <c r="S2799" i="1"/>
  <c r="K2799" i="1"/>
  <c r="F2799" i="1"/>
  <c r="X2798" i="1"/>
  <c r="S2798" i="1"/>
  <c r="K2798" i="1"/>
  <c r="F2798" i="1"/>
  <c r="X2797" i="1"/>
  <c r="S2797" i="1"/>
  <c r="K2797" i="1"/>
  <c r="L2797" i="1" s="1"/>
  <c r="F2797" i="1"/>
  <c r="X2796" i="1"/>
  <c r="S2796" i="1"/>
  <c r="K2796" i="1"/>
  <c r="F2796" i="1"/>
  <c r="X2795" i="1"/>
  <c r="S2795" i="1"/>
  <c r="K2795" i="1"/>
  <c r="L2795" i="1" s="1"/>
  <c r="F2795" i="1"/>
  <c r="X2794" i="1"/>
  <c r="S2794" i="1"/>
  <c r="K2794" i="1"/>
  <c r="F2794" i="1"/>
  <c r="X2793" i="1"/>
  <c r="S2793" i="1"/>
  <c r="K2793" i="1"/>
  <c r="F2793" i="1"/>
  <c r="X2792" i="1"/>
  <c r="S2792" i="1"/>
  <c r="K2792" i="1"/>
  <c r="F2792" i="1"/>
  <c r="X2791" i="1"/>
  <c r="S2791" i="1"/>
  <c r="K2791" i="1"/>
  <c r="F2791" i="1"/>
  <c r="X2790" i="1"/>
  <c r="S2790" i="1"/>
  <c r="K2790" i="1"/>
  <c r="F2790" i="1"/>
  <c r="X2789" i="1"/>
  <c r="S2789" i="1"/>
  <c r="K2789" i="1"/>
  <c r="L2789" i="1" s="1"/>
  <c r="F2789" i="1"/>
  <c r="X2788" i="1"/>
  <c r="S2788" i="1"/>
  <c r="K2788" i="1"/>
  <c r="F2788" i="1"/>
  <c r="X2787" i="1"/>
  <c r="S2787" i="1"/>
  <c r="K2787" i="1"/>
  <c r="F2787" i="1"/>
  <c r="X2786" i="1"/>
  <c r="S2786" i="1"/>
  <c r="K2786" i="1"/>
  <c r="F2786" i="1"/>
  <c r="X2785" i="1"/>
  <c r="S2785" i="1"/>
  <c r="K2785" i="1"/>
  <c r="L2785" i="1" s="1"/>
  <c r="F2785" i="1"/>
  <c r="X2784" i="1"/>
  <c r="S2784" i="1"/>
  <c r="K2784" i="1"/>
  <c r="F2784" i="1"/>
  <c r="X2782" i="1"/>
  <c r="S2782" i="1"/>
  <c r="K2782" i="1"/>
  <c r="F2782" i="1"/>
  <c r="X2781" i="1"/>
  <c r="S2781" i="1"/>
  <c r="K2781" i="1"/>
  <c r="F2781" i="1"/>
  <c r="K2780" i="1"/>
  <c r="F2780" i="1"/>
  <c r="X2779" i="1"/>
  <c r="S2779" i="1"/>
  <c r="K2779" i="1"/>
  <c r="L2779" i="1" s="1"/>
  <c r="F2779" i="1"/>
  <c r="X2687" i="1"/>
  <c r="S2687" i="1"/>
  <c r="X2686" i="1"/>
  <c r="S2686" i="1"/>
  <c r="X2685" i="1"/>
  <c r="S2685" i="1"/>
  <c r="V2657" i="1"/>
  <c r="T2695" i="1"/>
  <c r="S2642" i="1"/>
  <c r="X2642" i="1"/>
  <c r="K2635" i="1"/>
  <c r="F2635" i="1"/>
  <c r="F2601" i="1"/>
  <c r="K2601" i="1"/>
  <c r="K2632" i="1"/>
  <c r="F2632" i="1"/>
  <c r="X2653" i="1"/>
  <c r="S2653" i="1"/>
  <c r="X2652" i="1"/>
  <c r="S2652" i="1"/>
  <c r="X2651" i="1"/>
  <c r="O2657" i="1"/>
  <c r="X2650" i="1"/>
  <c r="S2650" i="1"/>
  <c r="X2649" i="1"/>
  <c r="S2649" i="1"/>
  <c r="X2774" i="1"/>
  <c r="S2774" i="1"/>
  <c r="J2771" i="1"/>
  <c r="I2771" i="1"/>
  <c r="H2771" i="1"/>
  <c r="G2771" i="1"/>
  <c r="E2771" i="1"/>
  <c r="D2771" i="1"/>
  <c r="C2771" i="1"/>
  <c r="B2771" i="1"/>
  <c r="K2770" i="1"/>
  <c r="F2770" i="1"/>
  <c r="K2769" i="1"/>
  <c r="F2769" i="1"/>
  <c r="K2768" i="1"/>
  <c r="F2768" i="1"/>
  <c r="K2767" i="1"/>
  <c r="F2767" i="1"/>
  <c r="K2766" i="1"/>
  <c r="F2766" i="1"/>
  <c r="K2765" i="1"/>
  <c r="F2765" i="1"/>
  <c r="K2764" i="1"/>
  <c r="F2764" i="1"/>
  <c r="K2763" i="1"/>
  <c r="F2763" i="1"/>
  <c r="K2762" i="1"/>
  <c r="L2762" i="1" s="1"/>
  <c r="F2762" i="1"/>
  <c r="K2761" i="1"/>
  <c r="F2761" i="1"/>
  <c r="K2760" i="1"/>
  <c r="F2760" i="1"/>
  <c r="K2759" i="1"/>
  <c r="F2759" i="1"/>
  <c r="K2758" i="1"/>
  <c r="F2758" i="1"/>
  <c r="K2757" i="1"/>
  <c r="F2757" i="1"/>
  <c r="K2756" i="1"/>
  <c r="F2756" i="1"/>
  <c r="K2755" i="1"/>
  <c r="F2755" i="1"/>
  <c r="K2754" i="1"/>
  <c r="L2754" i="1" s="1"/>
  <c r="F2754" i="1"/>
  <c r="K2753" i="1"/>
  <c r="F2753" i="1"/>
  <c r="K2752" i="1"/>
  <c r="F2752" i="1"/>
  <c r="K2751" i="1"/>
  <c r="F2751" i="1"/>
  <c r="K2750" i="1"/>
  <c r="F2750" i="1"/>
  <c r="K2749" i="1"/>
  <c r="F2749" i="1"/>
  <c r="K2748" i="1"/>
  <c r="F2748" i="1"/>
  <c r="K2747" i="1"/>
  <c r="F2747" i="1"/>
  <c r="K2746" i="1"/>
  <c r="F2746" i="1"/>
  <c r="K2744" i="1"/>
  <c r="F2744" i="1"/>
  <c r="K2743" i="1"/>
  <c r="F2743" i="1"/>
  <c r="K2742" i="1"/>
  <c r="F2742" i="1"/>
  <c r="K2741" i="1"/>
  <c r="F2741" i="1"/>
  <c r="W2771" i="1"/>
  <c r="V2771" i="1"/>
  <c r="U2771" i="1"/>
  <c r="T2771" i="1"/>
  <c r="R2771" i="1"/>
  <c r="Q2771" i="1"/>
  <c r="O2771" i="1"/>
  <c r="X2763" i="1"/>
  <c r="S2763" i="1"/>
  <c r="X2762" i="1"/>
  <c r="Y2762" i="1" s="1"/>
  <c r="S2762" i="1"/>
  <c r="X2761" i="1"/>
  <c r="S2761" i="1"/>
  <c r="X2760" i="1"/>
  <c r="S2760" i="1"/>
  <c r="X2759" i="1"/>
  <c r="S2759" i="1"/>
  <c r="X2758" i="1"/>
  <c r="S2758" i="1"/>
  <c r="X2757" i="1"/>
  <c r="S2757" i="1"/>
  <c r="X2756" i="1"/>
  <c r="S2756" i="1"/>
  <c r="X2755" i="1"/>
  <c r="S2755" i="1"/>
  <c r="X2754" i="1"/>
  <c r="Y2754" i="1" s="1"/>
  <c r="S2754" i="1"/>
  <c r="X2753" i="1"/>
  <c r="S2753" i="1"/>
  <c r="X2752" i="1"/>
  <c r="S2752" i="1"/>
  <c r="X2751" i="1"/>
  <c r="S2751" i="1"/>
  <c r="X2750" i="1"/>
  <c r="S2750" i="1"/>
  <c r="X2749" i="1"/>
  <c r="S2749" i="1"/>
  <c r="X2748" i="1"/>
  <c r="S2748" i="1"/>
  <c r="X2747" i="1"/>
  <c r="S2747" i="1"/>
  <c r="X2746" i="1"/>
  <c r="Y2746" i="1" s="1"/>
  <c r="S2746" i="1"/>
  <c r="X2744" i="1"/>
  <c r="S2744" i="1"/>
  <c r="X2743" i="1"/>
  <c r="S2743" i="1"/>
  <c r="X2741" i="1"/>
  <c r="S2741" i="1"/>
  <c r="F2580" i="1"/>
  <c r="K2580" i="1"/>
  <c r="X2613" i="1"/>
  <c r="O2594" i="1"/>
  <c r="X2654" i="1"/>
  <c r="S2654" i="1"/>
  <c r="R2657" i="1"/>
  <c r="P2657" i="1"/>
  <c r="P2581" i="1"/>
  <c r="X2578" i="1"/>
  <c r="R2581" i="1"/>
  <c r="S2575" i="1"/>
  <c r="X2575" i="1"/>
  <c r="S2576" i="1"/>
  <c r="X2576" i="1"/>
  <c r="Y2576" i="1" s="1"/>
  <c r="S2577" i="1"/>
  <c r="X2577" i="1"/>
  <c r="T2581" i="1"/>
  <c r="V2581" i="1"/>
  <c r="S2579" i="1"/>
  <c r="X2579" i="1"/>
  <c r="S2580" i="1"/>
  <c r="X2580" i="1"/>
  <c r="Y2580" i="1" s="1"/>
  <c r="X2612" i="1"/>
  <c r="Q2619" i="1"/>
  <c r="S2611" i="1"/>
  <c r="X2611" i="1"/>
  <c r="S2613" i="1"/>
  <c r="S2614" i="1"/>
  <c r="X2614" i="1"/>
  <c r="S2615" i="1"/>
  <c r="X2615" i="1"/>
  <c r="S2616" i="1"/>
  <c r="X2616" i="1"/>
  <c r="Y2616" i="1" s="1"/>
  <c r="S2617" i="1"/>
  <c r="X2617" i="1"/>
  <c r="S2618" i="1"/>
  <c r="X2618" i="1"/>
  <c r="X2656" i="1"/>
  <c r="S2656" i="1"/>
  <c r="X2655" i="1"/>
  <c r="S2655" i="1"/>
  <c r="S2694" i="1"/>
  <c r="X2693" i="1"/>
  <c r="S2693" i="1"/>
  <c r="X2692" i="1"/>
  <c r="S2692" i="1"/>
  <c r="X2691" i="1"/>
  <c r="S2691" i="1"/>
  <c r="X2690" i="1"/>
  <c r="S2690" i="1"/>
  <c r="X2689" i="1"/>
  <c r="S2689" i="1"/>
  <c r="X2736" i="1"/>
  <c r="S2736" i="1"/>
  <c r="S2606" i="1"/>
  <c r="X2606" i="1"/>
  <c r="S2607" i="1"/>
  <c r="X2607" i="1"/>
  <c r="S2608" i="1"/>
  <c r="X2608" i="1"/>
  <c r="S2609" i="1"/>
  <c r="X2609" i="1"/>
  <c r="T2619" i="1"/>
  <c r="P2619" i="1"/>
  <c r="J2733" i="1"/>
  <c r="I2733" i="1"/>
  <c r="H2733" i="1"/>
  <c r="G2733" i="1"/>
  <c r="E2733" i="1"/>
  <c r="D2733" i="1"/>
  <c r="C2733" i="1"/>
  <c r="B2733" i="1"/>
  <c r="K2732" i="1"/>
  <c r="F2732" i="1"/>
  <c r="K2731" i="1"/>
  <c r="F2731" i="1"/>
  <c r="L2731" i="1" s="1"/>
  <c r="K2730" i="1"/>
  <c r="F2730" i="1"/>
  <c r="L2730" i="1" s="1"/>
  <c r="K2729" i="1"/>
  <c r="F2729" i="1"/>
  <c r="K2728" i="1"/>
  <c r="F2728" i="1"/>
  <c r="K2727" i="1"/>
  <c r="F2727" i="1"/>
  <c r="K2726" i="1"/>
  <c r="F2726" i="1"/>
  <c r="K2725" i="1"/>
  <c r="F2725" i="1"/>
  <c r="K2724" i="1"/>
  <c r="F2724" i="1"/>
  <c r="K2723" i="1"/>
  <c r="F2723" i="1"/>
  <c r="L2723" i="1" s="1"/>
  <c r="K2722" i="1"/>
  <c r="F2722" i="1"/>
  <c r="L2722" i="1" s="1"/>
  <c r="K2721" i="1"/>
  <c r="F2721" i="1"/>
  <c r="K2720" i="1"/>
  <c r="F2720" i="1"/>
  <c r="K2719" i="1"/>
  <c r="F2719" i="1"/>
  <c r="K2718" i="1"/>
  <c r="F2718" i="1"/>
  <c r="K2717" i="1"/>
  <c r="F2717" i="1"/>
  <c r="L2717" i="1" s="1"/>
  <c r="K2716" i="1"/>
  <c r="F2716" i="1"/>
  <c r="K2715" i="1"/>
  <c r="F2715" i="1"/>
  <c r="L2715" i="1" s="1"/>
  <c r="K2714" i="1"/>
  <c r="F2714" i="1"/>
  <c r="L2714" i="1" s="1"/>
  <c r="K2713" i="1"/>
  <c r="F2713" i="1"/>
  <c r="K2712" i="1"/>
  <c r="F2712" i="1"/>
  <c r="K2711" i="1"/>
  <c r="F2711" i="1"/>
  <c r="K2710" i="1"/>
  <c r="F2710" i="1"/>
  <c r="K2709" i="1"/>
  <c r="F2709" i="1"/>
  <c r="L2709" i="1" s="1"/>
  <c r="K2708" i="1"/>
  <c r="F2708" i="1"/>
  <c r="K2706" i="1"/>
  <c r="F2706" i="1"/>
  <c r="K2705" i="1"/>
  <c r="F2705" i="1"/>
  <c r="K2704" i="1"/>
  <c r="F2704" i="1"/>
  <c r="K2703" i="1"/>
  <c r="F2703" i="1"/>
  <c r="X2725" i="1"/>
  <c r="S2725" i="1"/>
  <c r="X2724" i="1"/>
  <c r="S2724" i="1"/>
  <c r="X2723" i="1"/>
  <c r="S2723" i="1"/>
  <c r="X2722" i="1"/>
  <c r="S2722" i="1"/>
  <c r="X2721" i="1"/>
  <c r="S2721" i="1"/>
  <c r="X2720" i="1"/>
  <c r="S2720" i="1"/>
  <c r="X2719" i="1"/>
  <c r="S2719" i="1"/>
  <c r="X2718" i="1"/>
  <c r="S2718" i="1"/>
  <c r="X2717" i="1"/>
  <c r="S2717" i="1"/>
  <c r="X2716" i="1"/>
  <c r="S2716" i="1"/>
  <c r="X2715" i="1"/>
  <c r="S2715" i="1"/>
  <c r="X2714" i="1"/>
  <c r="S2714" i="1"/>
  <c r="X2713" i="1"/>
  <c r="S2713" i="1"/>
  <c r="X2712" i="1"/>
  <c r="S2712" i="1"/>
  <c r="X2711" i="1"/>
  <c r="S2711" i="1"/>
  <c r="X2710" i="1"/>
  <c r="S2710" i="1"/>
  <c r="X2709" i="1"/>
  <c r="S2709" i="1"/>
  <c r="Y2709" i="1" s="1"/>
  <c r="X2706" i="1"/>
  <c r="S2706" i="1"/>
  <c r="Y2706" i="1" s="1"/>
  <c r="X2705" i="1"/>
  <c r="S2705" i="1"/>
  <c r="X2703" i="1"/>
  <c r="S2703" i="1"/>
  <c r="H2562" i="1"/>
  <c r="O2581" i="1"/>
  <c r="K2553" i="1"/>
  <c r="F2553" i="1"/>
  <c r="S2538" i="1"/>
  <c r="R2543" i="1"/>
  <c r="W2543" i="1"/>
  <c r="X2540" i="1"/>
  <c r="F2534" i="1"/>
  <c r="K2534" i="1"/>
  <c r="W2695" i="1"/>
  <c r="J2695" i="1"/>
  <c r="I2695" i="1"/>
  <c r="H2695" i="1"/>
  <c r="G2695" i="1"/>
  <c r="E2695" i="1"/>
  <c r="D2695" i="1"/>
  <c r="C2695" i="1"/>
  <c r="B2695" i="1"/>
  <c r="K2694" i="1"/>
  <c r="L2694" i="1" s="1"/>
  <c r="F2694" i="1"/>
  <c r="K2693" i="1"/>
  <c r="F2693" i="1"/>
  <c r="K2692" i="1"/>
  <c r="F2692" i="1"/>
  <c r="K2691" i="1"/>
  <c r="F2691" i="1"/>
  <c r="K2690" i="1"/>
  <c r="F2690" i="1"/>
  <c r="K2687" i="1"/>
  <c r="F2687" i="1"/>
  <c r="K2686" i="1"/>
  <c r="F2686" i="1"/>
  <c r="K2685" i="1"/>
  <c r="F2685" i="1"/>
  <c r="K2684" i="1"/>
  <c r="F2684" i="1"/>
  <c r="K2683" i="1"/>
  <c r="F2683" i="1"/>
  <c r="X2682" i="1"/>
  <c r="S2682" i="1"/>
  <c r="K2682" i="1"/>
  <c r="F2682" i="1"/>
  <c r="X2681" i="1"/>
  <c r="S2681" i="1"/>
  <c r="K2681" i="1"/>
  <c r="F2681" i="1"/>
  <c r="X2680" i="1"/>
  <c r="S2680" i="1"/>
  <c r="K2680" i="1"/>
  <c r="F2680" i="1"/>
  <c r="X2679" i="1"/>
  <c r="S2679" i="1"/>
  <c r="K2679" i="1"/>
  <c r="F2679" i="1"/>
  <c r="X2678" i="1"/>
  <c r="S2678" i="1"/>
  <c r="K2678" i="1"/>
  <c r="F2678" i="1"/>
  <c r="X2677" i="1"/>
  <c r="S2677" i="1"/>
  <c r="K2677" i="1"/>
  <c r="F2677" i="1"/>
  <c r="X2676" i="1"/>
  <c r="S2676" i="1"/>
  <c r="K2676" i="1"/>
  <c r="F2676" i="1"/>
  <c r="X2675" i="1"/>
  <c r="S2675" i="1"/>
  <c r="K2675" i="1"/>
  <c r="F2675" i="1"/>
  <c r="X2674" i="1"/>
  <c r="S2674" i="1"/>
  <c r="K2674" i="1"/>
  <c r="F2674" i="1"/>
  <c r="X2673" i="1"/>
  <c r="S2673" i="1"/>
  <c r="K2673" i="1"/>
  <c r="F2673" i="1"/>
  <c r="X2672" i="1"/>
  <c r="S2672" i="1"/>
  <c r="K2672" i="1"/>
  <c r="F2672" i="1"/>
  <c r="X2671" i="1"/>
  <c r="S2671" i="1"/>
  <c r="K2671" i="1"/>
  <c r="F2671" i="1"/>
  <c r="X2670" i="1"/>
  <c r="S2670" i="1"/>
  <c r="K2670" i="1"/>
  <c r="F2670" i="1"/>
  <c r="X2668" i="1"/>
  <c r="S2668" i="1"/>
  <c r="K2668" i="1"/>
  <c r="F2668" i="1"/>
  <c r="X2667" i="1"/>
  <c r="S2667" i="1"/>
  <c r="K2667" i="1"/>
  <c r="F2667" i="1"/>
  <c r="X2666" i="1"/>
  <c r="S2666" i="1"/>
  <c r="K2666" i="1"/>
  <c r="F2666" i="1"/>
  <c r="X2665" i="1"/>
  <c r="S2665" i="1"/>
  <c r="K2665" i="1"/>
  <c r="F2665" i="1"/>
  <c r="S2542" i="1"/>
  <c r="S2570" i="1"/>
  <c r="X2570" i="1"/>
  <c r="S2571" i="1"/>
  <c r="X2571" i="1"/>
  <c r="S2572" i="1"/>
  <c r="X2572" i="1"/>
  <c r="S2573" i="1"/>
  <c r="X2573" i="1"/>
  <c r="S2574" i="1"/>
  <c r="X2574" i="1"/>
  <c r="J2657" i="1"/>
  <c r="I2657" i="1"/>
  <c r="H2657" i="1"/>
  <c r="G2657" i="1"/>
  <c r="E2657" i="1"/>
  <c r="D2657" i="1"/>
  <c r="C2657" i="1"/>
  <c r="B2657" i="1"/>
  <c r="K2656" i="1"/>
  <c r="F2656" i="1"/>
  <c r="K2655" i="1"/>
  <c r="F2655" i="1"/>
  <c r="K2654" i="1"/>
  <c r="F2654" i="1"/>
  <c r="K2653" i="1"/>
  <c r="F2653" i="1"/>
  <c r="K2652" i="1"/>
  <c r="F2652" i="1"/>
  <c r="K2651" i="1"/>
  <c r="F2651" i="1"/>
  <c r="K2650" i="1"/>
  <c r="F2650" i="1"/>
  <c r="L2650" i="1" s="1"/>
  <c r="K2649" i="1"/>
  <c r="F2649" i="1"/>
  <c r="K2648" i="1"/>
  <c r="F2648" i="1"/>
  <c r="L2648" i="1" s="1"/>
  <c r="K2647" i="1"/>
  <c r="F2647" i="1"/>
  <c r="K2646" i="1"/>
  <c r="F2646" i="1"/>
  <c r="L2646" i="1" s="1"/>
  <c r="K2645" i="1"/>
  <c r="F2645" i="1"/>
  <c r="L2645" i="1" s="1"/>
  <c r="K2644" i="1"/>
  <c r="F2644" i="1"/>
  <c r="K2643" i="1"/>
  <c r="F2643" i="1"/>
  <c r="K2642" i="1"/>
  <c r="F2642" i="1"/>
  <c r="K2641" i="1"/>
  <c r="F2641" i="1"/>
  <c r="L2641" i="1" s="1"/>
  <c r="K2640" i="1"/>
  <c r="F2640" i="1"/>
  <c r="K2639" i="1"/>
  <c r="F2639" i="1"/>
  <c r="K2638" i="1"/>
  <c r="F2638" i="1"/>
  <c r="L2638" i="1" s="1"/>
  <c r="K2637" i="1"/>
  <c r="F2637" i="1"/>
  <c r="K2636" i="1"/>
  <c r="F2636" i="1"/>
  <c r="K2634" i="1"/>
  <c r="F2634" i="1"/>
  <c r="L2634" i="1" s="1"/>
  <c r="K2633" i="1"/>
  <c r="F2633" i="1"/>
  <c r="K2630" i="1"/>
  <c r="F2630" i="1"/>
  <c r="K2629" i="1"/>
  <c r="F2629" i="1"/>
  <c r="K2628" i="1"/>
  <c r="F2628" i="1"/>
  <c r="L2628" i="1" s="1"/>
  <c r="K2627" i="1"/>
  <c r="F2627" i="1"/>
  <c r="W2657" i="1"/>
  <c r="T2657" i="1"/>
  <c r="Q2657" i="1"/>
  <c r="X2648" i="1"/>
  <c r="S2648" i="1"/>
  <c r="X2647" i="1"/>
  <c r="S2647" i="1"/>
  <c r="X2646" i="1"/>
  <c r="S2646" i="1"/>
  <c r="X2645" i="1"/>
  <c r="S2645" i="1"/>
  <c r="X2644" i="1"/>
  <c r="S2644" i="1"/>
  <c r="X2643" i="1"/>
  <c r="S2643" i="1"/>
  <c r="X2641" i="1"/>
  <c r="S2641" i="1"/>
  <c r="X2640" i="1"/>
  <c r="S2640" i="1"/>
  <c r="X2639" i="1"/>
  <c r="S2639" i="1"/>
  <c r="X2638" i="1"/>
  <c r="S2638" i="1"/>
  <c r="X2637" i="1"/>
  <c r="S2637" i="1"/>
  <c r="X2636" i="1"/>
  <c r="S2636" i="1"/>
  <c r="X2635" i="1"/>
  <c r="S2635" i="1"/>
  <c r="X2634" i="1"/>
  <c r="S2634" i="1"/>
  <c r="X2633" i="1"/>
  <c r="S2633" i="1"/>
  <c r="X2632" i="1"/>
  <c r="S2632" i="1"/>
  <c r="X2630" i="1"/>
  <c r="S2630" i="1"/>
  <c r="X2629" i="1"/>
  <c r="Y2629" i="1" s="1"/>
  <c r="S2629" i="1"/>
  <c r="X2628" i="1"/>
  <c r="S2628" i="1"/>
  <c r="X2627" i="1"/>
  <c r="S2627" i="1"/>
  <c r="S2534" i="1"/>
  <c r="Y2534" i="1" s="1"/>
  <c r="X2534" i="1"/>
  <c r="S2535" i="1"/>
  <c r="X2535" i="1"/>
  <c r="S2536" i="1"/>
  <c r="X2536" i="1"/>
  <c r="Y2536" i="1"/>
  <c r="S2537" i="1"/>
  <c r="X2537" i="1"/>
  <c r="X2522" i="1"/>
  <c r="X2523" i="1"/>
  <c r="S2522" i="1"/>
  <c r="S2523" i="1"/>
  <c r="Y2523" i="1" s="1"/>
  <c r="F2486" i="1"/>
  <c r="K2486" i="1"/>
  <c r="L2486" i="1" s="1"/>
  <c r="K2518" i="1"/>
  <c r="F2518" i="1"/>
  <c r="S2533" i="1"/>
  <c r="X2533" i="1"/>
  <c r="X2542" i="1"/>
  <c r="X2541" i="1"/>
  <c r="S2541" i="1"/>
  <c r="J2619" i="1"/>
  <c r="I2619" i="1"/>
  <c r="H2619" i="1"/>
  <c r="G2619" i="1"/>
  <c r="E2619" i="1"/>
  <c r="D2619" i="1"/>
  <c r="C2619" i="1"/>
  <c r="B2619" i="1"/>
  <c r="K2618" i="1"/>
  <c r="F2618" i="1"/>
  <c r="K2617" i="1"/>
  <c r="F2617" i="1"/>
  <c r="K2616" i="1"/>
  <c r="F2616" i="1"/>
  <c r="K2615" i="1"/>
  <c r="F2615" i="1"/>
  <c r="K2614" i="1"/>
  <c r="F2614" i="1"/>
  <c r="K2613" i="1"/>
  <c r="F2613" i="1"/>
  <c r="K2612" i="1"/>
  <c r="F2612" i="1"/>
  <c r="K2611" i="1"/>
  <c r="F2611" i="1"/>
  <c r="K2610" i="1"/>
  <c r="F2610" i="1"/>
  <c r="K2609" i="1"/>
  <c r="F2609" i="1"/>
  <c r="K2608" i="1"/>
  <c r="L2608" i="1" s="1"/>
  <c r="F2608" i="1"/>
  <c r="K2607" i="1"/>
  <c r="F2607" i="1"/>
  <c r="K2606" i="1"/>
  <c r="F2606" i="1"/>
  <c r="K2605" i="1"/>
  <c r="F2605" i="1"/>
  <c r="K2604" i="1"/>
  <c r="F2604" i="1"/>
  <c r="K2603" i="1"/>
  <c r="F2603" i="1"/>
  <c r="K2602" i="1"/>
  <c r="F2602" i="1"/>
  <c r="K2600" i="1"/>
  <c r="F2600" i="1"/>
  <c r="K2599" i="1"/>
  <c r="F2599" i="1"/>
  <c r="K2598" i="1"/>
  <c r="F2598" i="1"/>
  <c r="K2597" i="1"/>
  <c r="F2597" i="1"/>
  <c r="K2596" i="1"/>
  <c r="F2596" i="1"/>
  <c r="K2595" i="1"/>
  <c r="F2595" i="1"/>
  <c r="K2594" i="1"/>
  <c r="F2594" i="1"/>
  <c r="K2592" i="1"/>
  <c r="F2592" i="1"/>
  <c r="K2591" i="1"/>
  <c r="F2591" i="1"/>
  <c r="K2590" i="1"/>
  <c r="F2590" i="1"/>
  <c r="K2589" i="1"/>
  <c r="F2589" i="1"/>
  <c r="S2590" i="1"/>
  <c r="X2590" i="1"/>
  <c r="W2619" i="1"/>
  <c r="V2619" i="1"/>
  <c r="U2619" i="1"/>
  <c r="R2619" i="1"/>
  <c r="O2619" i="1"/>
  <c r="X2610" i="1"/>
  <c r="S2610" i="1"/>
  <c r="X2605" i="1"/>
  <c r="S2605" i="1"/>
  <c r="X2604" i="1"/>
  <c r="S2604" i="1"/>
  <c r="X2603" i="1"/>
  <c r="S2603" i="1"/>
  <c r="X2602" i="1"/>
  <c r="S2602" i="1"/>
  <c r="X2601" i="1"/>
  <c r="S2601" i="1"/>
  <c r="X2600" i="1"/>
  <c r="S2600" i="1"/>
  <c r="X2599" i="1"/>
  <c r="S2599" i="1"/>
  <c r="X2598" i="1"/>
  <c r="S2598" i="1"/>
  <c r="X2597" i="1"/>
  <c r="S2597" i="1"/>
  <c r="X2596" i="1"/>
  <c r="S2596" i="1"/>
  <c r="X2595" i="1"/>
  <c r="S2595" i="1"/>
  <c r="X2594" i="1"/>
  <c r="S2594" i="1"/>
  <c r="X2592" i="1"/>
  <c r="S2592" i="1"/>
  <c r="X2591" i="1"/>
  <c r="S2591" i="1"/>
  <c r="X2589" i="1"/>
  <c r="S2589" i="1"/>
  <c r="Q2543" i="1"/>
  <c r="X2502" i="1"/>
  <c r="S2492" i="1"/>
  <c r="X2492" i="1"/>
  <c r="S2493" i="1"/>
  <c r="X2493" i="1"/>
  <c r="S2494" i="1"/>
  <c r="X2494" i="1"/>
  <c r="S2495" i="1"/>
  <c r="X2495" i="1"/>
  <c r="X2496" i="1"/>
  <c r="S2496" i="1"/>
  <c r="X2466" i="1"/>
  <c r="S2466" i="1"/>
  <c r="X2465" i="1"/>
  <c r="S2465" i="1"/>
  <c r="X2464" i="1"/>
  <c r="T2467" i="1"/>
  <c r="R2467" i="1"/>
  <c r="Q2467" i="1"/>
  <c r="P2467" i="1"/>
  <c r="S2464" i="1"/>
  <c r="X2463" i="1"/>
  <c r="S2463" i="1"/>
  <c r="X2462" i="1"/>
  <c r="S2462" i="1"/>
  <c r="X2461" i="1"/>
  <c r="S2461" i="1"/>
  <c r="Y2461" i="1" s="1"/>
  <c r="X2460" i="1"/>
  <c r="S2460" i="1"/>
  <c r="X2539" i="1"/>
  <c r="S2539" i="1"/>
  <c r="V2505" i="1"/>
  <c r="T2505" i="1"/>
  <c r="J2581" i="1"/>
  <c r="I2581" i="1"/>
  <c r="G2581" i="1"/>
  <c r="E2581" i="1"/>
  <c r="D2581" i="1"/>
  <c r="C2581" i="1"/>
  <c r="B2581" i="1"/>
  <c r="K2579" i="1"/>
  <c r="F2579" i="1"/>
  <c r="K2578" i="1"/>
  <c r="F2578" i="1"/>
  <c r="K2577" i="1"/>
  <c r="F2577" i="1"/>
  <c r="K2576" i="1"/>
  <c r="F2576" i="1"/>
  <c r="K2575" i="1"/>
  <c r="F2575" i="1"/>
  <c r="K2574" i="1"/>
  <c r="F2574" i="1"/>
  <c r="K2573" i="1"/>
  <c r="F2573" i="1"/>
  <c r="K2572" i="1"/>
  <c r="F2572" i="1"/>
  <c r="K2571" i="1"/>
  <c r="F2571" i="1"/>
  <c r="K2570" i="1"/>
  <c r="F2570" i="1"/>
  <c r="K2569" i="1"/>
  <c r="F2569" i="1"/>
  <c r="K2568" i="1"/>
  <c r="F2568" i="1"/>
  <c r="K2567" i="1"/>
  <c r="F2567" i="1"/>
  <c r="K2566" i="1"/>
  <c r="F2566" i="1"/>
  <c r="K2565" i="1"/>
  <c r="F2565" i="1"/>
  <c r="K2564" i="1"/>
  <c r="F2564" i="1"/>
  <c r="K2563" i="1"/>
  <c r="F2563" i="1"/>
  <c r="F2562" i="1"/>
  <c r="K2561" i="1"/>
  <c r="F2561" i="1"/>
  <c r="L2561" i="1" s="1"/>
  <c r="K2560" i="1"/>
  <c r="F2560" i="1"/>
  <c r="K2559" i="1"/>
  <c r="F2559" i="1"/>
  <c r="K2558" i="1"/>
  <c r="F2558" i="1"/>
  <c r="K2557" i="1"/>
  <c r="F2557" i="1"/>
  <c r="K2556" i="1"/>
  <c r="F2556" i="1"/>
  <c r="K2554" i="1"/>
  <c r="F2554" i="1"/>
  <c r="L2554" i="1" s="1"/>
  <c r="K2552" i="1"/>
  <c r="F2552" i="1"/>
  <c r="L2552" i="1" s="1"/>
  <c r="K2551" i="1"/>
  <c r="F2551" i="1"/>
  <c r="U2581" i="1"/>
  <c r="X2569" i="1"/>
  <c r="S2569" i="1"/>
  <c r="X2568" i="1"/>
  <c r="S2568" i="1"/>
  <c r="X2567" i="1"/>
  <c r="S2567" i="1"/>
  <c r="X2566" i="1"/>
  <c r="S2566" i="1"/>
  <c r="X2565" i="1"/>
  <c r="Y2565" i="1" s="1"/>
  <c r="S2565" i="1"/>
  <c r="X2564" i="1"/>
  <c r="S2564" i="1"/>
  <c r="X2563" i="1"/>
  <c r="S2563" i="1"/>
  <c r="X2562" i="1"/>
  <c r="S2562" i="1"/>
  <c r="X2561" i="1"/>
  <c r="S2561" i="1"/>
  <c r="X2560" i="1"/>
  <c r="S2560" i="1"/>
  <c r="X2559" i="1"/>
  <c r="S2559" i="1"/>
  <c r="X2558" i="1"/>
  <c r="S2558" i="1"/>
  <c r="X2557" i="1"/>
  <c r="S2557" i="1"/>
  <c r="X2556" i="1"/>
  <c r="S2556" i="1"/>
  <c r="X2554" i="1"/>
  <c r="S2554" i="1"/>
  <c r="X2553" i="1"/>
  <c r="S2553" i="1"/>
  <c r="X2552" i="1"/>
  <c r="S2552" i="1"/>
  <c r="X2551" i="1"/>
  <c r="S2551" i="1"/>
  <c r="K2388" i="1"/>
  <c r="F2388" i="1"/>
  <c r="S2428" i="1"/>
  <c r="J2543" i="1"/>
  <c r="I2543" i="1"/>
  <c r="H2543" i="1"/>
  <c r="G2543" i="1"/>
  <c r="E2543" i="1"/>
  <c r="D2543" i="1"/>
  <c r="C2543" i="1"/>
  <c r="B2543" i="1"/>
  <c r="K2542" i="1"/>
  <c r="F2542" i="1"/>
  <c r="L2542" i="1" s="1"/>
  <c r="K2541" i="1"/>
  <c r="F2541" i="1"/>
  <c r="K2540" i="1"/>
  <c r="F2540" i="1"/>
  <c r="L2540" i="1" s="1"/>
  <c r="K2539" i="1"/>
  <c r="F2539" i="1"/>
  <c r="K2538" i="1"/>
  <c r="F2538" i="1"/>
  <c r="L2538" i="1" s="1"/>
  <c r="K2537" i="1"/>
  <c r="F2537" i="1"/>
  <c r="K2536" i="1"/>
  <c r="F2536" i="1"/>
  <c r="K2535" i="1"/>
  <c r="F2535" i="1"/>
  <c r="L2535" i="1" s="1"/>
  <c r="K2533" i="1"/>
  <c r="F2533" i="1"/>
  <c r="K2532" i="1"/>
  <c r="F2532" i="1"/>
  <c r="K2531" i="1"/>
  <c r="F2531" i="1"/>
  <c r="K2530" i="1"/>
  <c r="F2530" i="1"/>
  <c r="K2529" i="1"/>
  <c r="F2529" i="1"/>
  <c r="L2529" i="1" s="1"/>
  <c r="K2528" i="1"/>
  <c r="F2528" i="1"/>
  <c r="K2527" i="1"/>
  <c r="F2527" i="1"/>
  <c r="K2526" i="1"/>
  <c r="F2526" i="1"/>
  <c r="K2525" i="1"/>
  <c r="F2525" i="1"/>
  <c r="L2525" i="1" s="1"/>
  <c r="K2524" i="1"/>
  <c r="F2524" i="1"/>
  <c r="K2523" i="1"/>
  <c r="F2523" i="1"/>
  <c r="K2522" i="1"/>
  <c r="F2522" i="1"/>
  <c r="K2521" i="1"/>
  <c r="F2521" i="1"/>
  <c r="L2521" i="1" s="1"/>
  <c r="K2520" i="1"/>
  <c r="F2520" i="1"/>
  <c r="K2519" i="1"/>
  <c r="F2519" i="1"/>
  <c r="K2516" i="1"/>
  <c r="F2516" i="1"/>
  <c r="K2515" i="1"/>
  <c r="F2515" i="1"/>
  <c r="K2514" i="1"/>
  <c r="F2514" i="1"/>
  <c r="K2513" i="1"/>
  <c r="F2513" i="1"/>
  <c r="S2423" i="1"/>
  <c r="X2423" i="1"/>
  <c r="S2497" i="1"/>
  <c r="X2497" i="1"/>
  <c r="S2498" i="1"/>
  <c r="X2498" i="1"/>
  <c r="S2499" i="1"/>
  <c r="X2499" i="1"/>
  <c r="S2500" i="1"/>
  <c r="X2500" i="1"/>
  <c r="S2501" i="1"/>
  <c r="X2501" i="1"/>
  <c r="S2502" i="1"/>
  <c r="S2459" i="1"/>
  <c r="Y2459" i="1" s="1"/>
  <c r="X2459" i="1"/>
  <c r="S2475" i="1"/>
  <c r="X2475" i="1"/>
  <c r="S2476" i="1"/>
  <c r="X2476" i="1"/>
  <c r="S2477" i="1"/>
  <c r="X2477" i="1"/>
  <c r="S2478" i="1"/>
  <c r="Y2478" i="1" s="1"/>
  <c r="X2478" i="1"/>
  <c r="S2480" i="1"/>
  <c r="X2480" i="1"/>
  <c r="S2481" i="1"/>
  <c r="X2481" i="1"/>
  <c r="S2482" i="1"/>
  <c r="X2482" i="1"/>
  <c r="S2483" i="1"/>
  <c r="X2483" i="1"/>
  <c r="S2484" i="1"/>
  <c r="X2484" i="1"/>
  <c r="S2485" i="1"/>
  <c r="X2485" i="1"/>
  <c r="Y2485" i="1"/>
  <c r="S2486" i="1"/>
  <c r="X2486" i="1"/>
  <c r="S2487" i="1"/>
  <c r="X2487" i="1"/>
  <c r="S2488" i="1"/>
  <c r="X2488" i="1"/>
  <c r="S2489" i="1"/>
  <c r="X2489" i="1"/>
  <c r="S2490" i="1"/>
  <c r="X2490" i="1"/>
  <c r="S2491" i="1"/>
  <c r="X2491" i="1"/>
  <c r="S2503" i="1"/>
  <c r="X2503" i="1"/>
  <c r="S2504" i="1"/>
  <c r="X2504" i="1"/>
  <c r="O2505" i="1"/>
  <c r="P2505" i="1"/>
  <c r="Q2505" i="1"/>
  <c r="R2505" i="1"/>
  <c r="U2505" i="1"/>
  <c r="W2505" i="1"/>
  <c r="S2513" i="1"/>
  <c r="X2513" i="1"/>
  <c r="S2514" i="1"/>
  <c r="X2514" i="1"/>
  <c r="S2515" i="1"/>
  <c r="X2515" i="1"/>
  <c r="S2516" i="1"/>
  <c r="X2516" i="1"/>
  <c r="S2518" i="1"/>
  <c r="X2518" i="1"/>
  <c r="S2519" i="1"/>
  <c r="X2519" i="1"/>
  <c r="S2520" i="1"/>
  <c r="X2520" i="1"/>
  <c r="S2521" i="1"/>
  <c r="X2521" i="1"/>
  <c r="S2524" i="1"/>
  <c r="X2524" i="1"/>
  <c r="S2525" i="1"/>
  <c r="X2525" i="1"/>
  <c r="S2526" i="1"/>
  <c r="X2526" i="1"/>
  <c r="S2527" i="1"/>
  <c r="X2527" i="1"/>
  <c r="Y2527" i="1" s="1"/>
  <c r="S2528" i="1"/>
  <c r="X2528" i="1"/>
  <c r="S2529" i="1"/>
  <c r="X2529" i="1"/>
  <c r="S2530" i="1"/>
  <c r="X2530" i="1"/>
  <c r="S2531" i="1"/>
  <c r="X2531" i="1"/>
  <c r="Y2531" i="1" s="1"/>
  <c r="S2532" i="1"/>
  <c r="X2532" i="1"/>
  <c r="O2543" i="1"/>
  <c r="U2543" i="1"/>
  <c r="V2543" i="1"/>
  <c r="F2367" i="1"/>
  <c r="K2367" i="1"/>
  <c r="K2350" i="1"/>
  <c r="F2350" i="1"/>
  <c r="X2387" i="1"/>
  <c r="S2387" i="1"/>
  <c r="K2326" i="1"/>
  <c r="F2326" i="1"/>
  <c r="X2388" i="1"/>
  <c r="S2388" i="1"/>
  <c r="J2505" i="1"/>
  <c r="I2505" i="1"/>
  <c r="H2505" i="1"/>
  <c r="G2505" i="1"/>
  <c r="E2505" i="1"/>
  <c r="D2505" i="1"/>
  <c r="C2505" i="1"/>
  <c r="B2505" i="1"/>
  <c r="K2504" i="1"/>
  <c r="F2504" i="1"/>
  <c r="K2503" i="1"/>
  <c r="F2503" i="1"/>
  <c r="K2502" i="1"/>
  <c r="F2502" i="1"/>
  <c r="K2501" i="1"/>
  <c r="F2501" i="1"/>
  <c r="K2500" i="1"/>
  <c r="F2500" i="1"/>
  <c r="K2499" i="1"/>
  <c r="F2499" i="1"/>
  <c r="K2498" i="1"/>
  <c r="F2498" i="1"/>
  <c r="K2497" i="1"/>
  <c r="F2497" i="1"/>
  <c r="K2496" i="1"/>
  <c r="F2496" i="1"/>
  <c r="K2495" i="1"/>
  <c r="F2495" i="1"/>
  <c r="K2494" i="1"/>
  <c r="F2494" i="1"/>
  <c r="K2493" i="1"/>
  <c r="F2493" i="1"/>
  <c r="K2492" i="1"/>
  <c r="F2492" i="1"/>
  <c r="K2491" i="1"/>
  <c r="F2491" i="1"/>
  <c r="K2490" i="1"/>
  <c r="F2490" i="1"/>
  <c r="K2489" i="1"/>
  <c r="F2489" i="1"/>
  <c r="K2488" i="1"/>
  <c r="F2488" i="1"/>
  <c r="K2487" i="1"/>
  <c r="F2487" i="1"/>
  <c r="K2485" i="1"/>
  <c r="F2485" i="1"/>
  <c r="K2484" i="1"/>
  <c r="F2484" i="1"/>
  <c r="K2483" i="1"/>
  <c r="F2483" i="1"/>
  <c r="K2482" i="1"/>
  <c r="F2482" i="1"/>
  <c r="K2481" i="1"/>
  <c r="F2481" i="1"/>
  <c r="K2480" i="1"/>
  <c r="F2480" i="1"/>
  <c r="K2478" i="1"/>
  <c r="F2478" i="1"/>
  <c r="K2477" i="1"/>
  <c r="F2477" i="1"/>
  <c r="K2476" i="1"/>
  <c r="F2476" i="1"/>
  <c r="K2475" i="1"/>
  <c r="F2475" i="1"/>
  <c r="X2349" i="1"/>
  <c r="S2349" i="1"/>
  <c r="S2309" i="1"/>
  <c r="X2309" i="1"/>
  <c r="X2310" i="1"/>
  <c r="S2310" i="1"/>
  <c r="X2350" i="1"/>
  <c r="S2350" i="1"/>
  <c r="R2315" i="1"/>
  <c r="J2467" i="1"/>
  <c r="I2467" i="1"/>
  <c r="H2467" i="1"/>
  <c r="G2467" i="1"/>
  <c r="E2467" i="1"/>
  <c r="D2467" i="1"/>
  <c r="C2467" i="1"/>
  <c r="B2467" i="1"/>
  <c r="K2466" i="1"/>
  <c r="F2466" i="1"/>
  <c r="K2465" i="1"/>
  <c r="F2465" i="1"/>
  <c r="K2464" i="1"/>
  <c r="F2464" i="1"/>
  <c r="K2463" i="1"/>
  <c r="F2463" i="1"/>
  <c r="K2462" i="1"/>
  <c r="F2462" i="1"/>
  <c r="K2461" i="1"/>
  <c r="F2461" i="1"/>
  <c r="K2460" i="1"/>
  <c r="F2460" i="1"/>
  <c r="K2459" i="1"/>
  <c r="F2459" i="1"/>
  <c r="K2458" i="1"/>
  <c r="F2458" i="1"/>
  <c r="K2457" i="1"/>
  <c r="F2457" i="1"/>
  <c r="K2456" i="1"/>
  <c r="F2456" i="1"/>
  <c r="K2455" i="1"/>
  <c r="F2455" i="1"/>
  <c r="K2454" i="1"/>
  <c r="F2454" i="1"/>
  <c r="K2453" i="1"/>
  <c r="F2453" i="1"/>
  <c r="K2452" i="1"/>
  <c r="F2452" i="1"/>
  <c r="K2451" i="1"/>
  <c r="F2451" i="1"/>
  <c r="K2450" i="1"/>
  <c r="F2450" i="1"/>
  <c r="K2449" i="1"/>
  <c r="F2449" i="1"/>
  <c r="K2448" i="1"/>
  <c r="F2448" i="1"/>
  <c r="K2447" i="1"/>
  <c r="F2447" i="1"/>
  <c r="K2446" i="1"/>
  <c r="F2446" i="1"/>
  <c r="K2445" i="1"/>
  <c r="F2445" i="1"/>
  <c r="K2444" i="1"/>
  <c r="F2444" i="1"/>
  <c r="K2443" i="1"/>
  <c r="F2443" i="1"/>
  <c r="K2442" i="1"/>
  <c r="F2442" i="1"/>
  <c r="K2440" i="1"/>
  <c r="F2440" i="1"/>
  <c r="K2439" i="1"/>
  <c r="F2439" i="1"/>
  <c r="K2438" i="1"/>
  <c r="F2438" i="1"/>
  <c r="K2437" i="1"/>
  <c r="F2437" i="1"/>
  <c r="S2425" i="1"/>
  <c r="X2425" i="1"/>
  <c r="S2426" i="1"/>
  <c r="X2426" i="1"/>
  <c r="X2428" i="1"/>
  <c r="X2427" i="1"/>
  <c r="S2427" i="1"/>
  <c r="W2467" i="1"/>
  <c r="V2467" i="1"/>
  <c r="U2467" i="1"/>
  <c r="O2467" i="1"/>
  <c r="X2458" i="1"/>
  <c r="S2458" i="1"/>
  <c r="X2457" i="1"/>
  <c r="S2457" i="1"/>
  <c r="X2456" i="1"/>
  <c r="S2456" i="1"/>
  <c r="X2455" i="1"/>
  <c r="S2455" i="1"/>
  <c r="X2454" i="1"/>
  <c r="S2454" i="1"/>
  <c r="X2453" i="1"/>
  <c r="S2453" i="1"/>
  <c r="X2452" i="1"/>
  <c r="S2452" i="1"/>
  <c r="X2451" i="1"/>
  <c r="S2451" i="1"/>
  <c r="X2450" i="1"/>
  <c r="S2450" i="1"/>
  <c r="X2449" i="1"/>
  <c r="S2449" i="1"/>
  <c r="X2448" i="1"/>
  <c r="S2448" i="1"/>
  <c r="X2447" i="1"/>
  <c r="S2447" i="1"/>
  <c r="X2446" i="1"/>
  <c r="S2446" i="1"/>
  <c r="X2445" i="1"/>
  <c r="S2445" i="1"/>
  <c r="X2444" i="1"/>
  <c r="S2444" i="1"/>
  <c r="X2443" i="1"/>
  <c r="S2443" i="1"/>
  <c r="X2442" i="1"/>
  <c r="S2442" i="1"/>
  <c r="X2440" i="1"/>
  <c r="S2440" i="1"/>
  <c r="X2439" i="1"/>
  <c r="S2439" i="1"/>
  <c r="X2438" i="1"/>
  <c r="S2438" i="1"/>
  <c r="X2437" i="1"/>
  <c r="S2437" i="1"/>
  <c r="X2351" i="1"/>
  <c r="S2351" i="1"/>
  <c r="X2352" i="1"/>
  <c r="S2352" i="1"/>
  <c r="J2429" i="1"/>
  <c r="I2429" i="1"/>
  <c r="H2429" i="1"/>
  <c r="G2429" i="1"/>
  <c r="E2429" i="1"/>
  <c r="D2429" i="1"/>
  <c r="C2429" i="1"/>
  <c r="B2429" i="1"/>
  <c r="K2428" i="1"/>
  <c r="F2428" i="1"/>
  <c r="K2427" i="1"/>
  <c r="F2427" i="1"/>
  <c r="K2426" i="1"/>
  <c r="F2426" i="1"/>
  <c r="K2425" i="1"/>
  <c r="F2425" i="1"/>
  <c r="K2424" i="1"/>
  <c r="F2424" i="1"/>
  <c r="K2423" i="1"/>
  <c r="F2423" i="1"/>
  <c r="K2422" i="1"/>
  <c r="F2422" i="1"/>
  <c r="K2421" i="1"/>
  <c r="F2421" i="1"/>
  <c r="K2420" i="1"/>
  <c r="F2420" i="1"/>
  <c r="K2419" i="1"/>
  <c r="F2419" i="1"/>
  <c r="K2418" i="1"/>
  <c r="F2418" i="1"/>
  <c r="K2417" i="1"/>
  <c r="F2417" i="1"/>
  <c r="K2416" i="1"/>
  <c r="F2416" i="1"/>
  <c r="K2415" i="1"/>
  <c r="F2415" i="1"/>
  <c r="K2414" i="1"/>
  <c r="F2414" i="1"/>
  <c r="K2413" i="1"/>
  <c r="F2413" i="1"/>
  <c r="K2412" i="1"/>
  <c r="F2412" i="1"/>
  <c r="K2411" i="1"/>
  <c r="F2411" i="1"/>
  <c r="K2410" i="1"/>
  <c r="F2410" i="1"/>
  <c r="K2409" i="1"/>
  <c r="F2409" i="1"/>
  <c r="K2408" i="1"/>
  <c r="F2408" i="1"/>
  <c r="K2407" i="1"/>
  <c r="F2407" i="1"/>
  <c r="K2406" i="1"/>
  <c r="F2406" i="1"/>
  <c r="K2405" i="1"/>
  <c r="F2405" i="1"/>
  <c r="K2404" i="1"/>
  <c r="F2404" i="1"/>
  <c r="K2402" i="1"/>
  <c r="F2402" i="1"/>
  <c r="K2401" i="1"/>
  <c r="F2401" i="1"/>
  <c r="K2400" i="1"/>
  <c r="F2400" i="1"/>
  <c r="K2399" i="1"/>
  <c r="F2399" i="1"/>
  <c r="X2390" i="1"/>
  <c r="S2390" i="1"/>
  <c r="X2389" i="1"/>
  <c r="S2389" i="1"/>
  <c r="W2429" i="1"/>
  <c r="V2429" i="1"/>
  <c r="U2429" i="1"/>
  <c r="T2429" i="1"/>
  <c r="R2429" i="1"/>
  <c r="Q2429" i="1"/>
  <c r="O2429" i="1"/>
  <c r="X2424" i="1"/>
  <c r="X2422" i="1"/>
  <c r="S2422" i="1"/>
  <c r="X2421" i="1"/>
  <c r="S2421" i="1"/>
  <c r="X2420" i="1"/>
  <c r="S2420" i="1"/>
  <c r="X2419" i="1"/>
  <c r="S2419" i="1"/>
  <c r="X2418" i="1"/>
  <c r="S2418" i="1"/>
  <c r="X2417" i="1"/>
  <c r="S2417" i="1"/>
  <c r="X2416" i="1"/>
  <c r="S2416" i="1"/>
  <c r="X2415" i="1"/>
  <c r="S2415" i="1"/>
  <c r="X2414" i="1"/>
  <c r="S2414" i="1"/>
  <c r="X2413" i="1"/>
  <c r="S2413" i="1"/>
  <c r="X2412" i="1"/>
  <c r="S2412" i="1"/>
  <c r="X2411" i="1"/>
  <c r="S2411" i="1"/>
  <c r="X2410" i="1"/>
  <c r="S2410" i="1"/>
  <c r="X2409" i="1"/>
  <c r="S2409" i="1"/>
  <c r="X2408" i="1"/>
  <c r="S2408" i="1"/>
  <c r="X2407" i="1"/>
  <c r="S2407" i="1"/>
  <c r="X2406" i="1"/>
  <c r="S2406" i="1"/>
  <c r="X2405" i="1"/>
  <c r="S2405" i="1"/>
  <c r="X2404" i="1"/>
  <c r="S2404" i="1"/>
  <c r="X2402" i="1"/>
  <c r="S2402" i="1"/>
  <c r="X2401" i="1"/>
  <c r="S2401" i="1"/>
  <c r="X2400" i="1"/>
  <c r="S2400" i="1"/>
  <c r="X2399" i="1"/>
  <c r="S2399" i="1"/>
  <c r="J2391" i="1"/>
  <c r="I2391" i="1"/>
  <c r="H2391" i="1"/>
  <c r="G2391" i="1"/>
  <c r="E2391" i="1"/>
  <c r="D2391" i="1"/>
  <c r="C2391" i="1"/>
  <c r="B2391" i="1"/>
  <c r="K2390" i="1"/>
  <c r="F2390" i="1"/>
  <c r="K2389" i="1"/>
  <c r="F2389" i="1"/>
  <c r="K2387" i="1"/>
  <c r="F2387" i="1"/>
  <c r="K2386" i="1"/>
  <c r="F2386" i="1"/>
  <c r="K2385" i="1"/>
  <c r="F2385" i="1"/>
  <c r="K2384" i="1"/>
  <c r="F2384" i="1"/>
  <c r="K2383" i="1"/>
  <c r="F2383" i="1"/>
  <c r="K2382" i="1"/>
  <c r="F2382" i="1"/>
  <c r="K2381" i="1"/>
  <c r="F2381" i="1"/>
  <c r="K2380" i="1"/>
  <c r="F2380" i="1"/>
  <c r="K2379" i="1"/>
  <c r="F2379" i="1"/>
  <c r="K2378" i="1"/>
  <c r="F2378" i="1"/>
  <c r="K2377" i="1"/>
  <c r="F2377" i="1"/>
  <c r="K2376" i="1"/>
  <c r="F2376" i="1"/>
  <c r="K2375" i="1"/>
  <c r="F2375" i="1"/>
  <c r="K2374" i="1"/>
  <c r="F2374" i="1"/>
  <c r="K2373" i="1"/>
  <c r="F2373" i="1"/>
  <c r="K2372" i="1"/>
  <c r="F2372" i="1"/>
  <c r="K2371" i="1"/>
  <c r="F2371" i="1"/>
  <c r="K2370" i="1"/>
  <c r="F2370" i="1"/>
  <c r="K2369" i="1"/>
  <c r="F2369" i="1"/>
  <c r="K2368" i="1"/>
  <c r="F2368" i="1"/>
  <c r="K2366" i="1"/>
  <c r="F2366" i="1"/>
  <c r="K2364" i="1"/>
  <c r="F2364" i="1"/>
  <c r="K2363" i="1"/>
  <c r="F2363" i="1"/>
  <c r="K2362" i="1"/>
  <c r="F2362" i="1"/>
  <c r="K2361" i="1"/>
  <c r="F2361" i="1"/>
  <c r="W2391" i="1"/>
  <c r="V2391" i="1"/>
  <c r="U2391" i="1"/>
  <c r="T2391" i="1"/>
  <c r="R2391" i="1"/>
  <c r="Q2391" i="1"/>
  <c r="P2391" i="1"/>
  <c r="O2391" i="1"/>
  <c r="X2386" i="1"/>
  <c r="S2386" i="1"/>
  <c r="X2385" i="1"/>
  <c r="S2385" i="1"/>
  <c r="X2384" i="1"/>
  <c r="S2384" i="1"/>
  <c r="X2383" i="1"/>
  <c r="S2383" i="1"/>
  <c r="X2382" i="1"/>
  <c r="S2382" i="1"/>
  <c r="X2381" i="1"/>
  <c r="S2381" i="1"/>
  <c r="X2380" i="1"/>
  <c r="S2380" i="1"/>
  <c r="X2379" i="1"/>
  <c r="S2379" i="1"/>
  <c r="X2378" i="1"/>
  <c r="S2378" i="1"/>
  <c r="X2377" i="1"/>
  <c r="S2377" i="1"/>
  <c r="X2376" i="1"/>
  <c r="S2376" i="1"/>
  <c r="X2375" i="1"/>
  <c r="S2375" i="1"/>
  <c r="X2374" i="1"/>
  <c r="S2374" i="1"/>
  <c r="X2373" i="1"/>
  <c r="S2373" i="1"/>
  <c r="X2372" i="1"/>
  <c r="S2372" i="1"/>
  <c r="X2371" i="1"/>
  <c r="S2371" i="1"/>
  <c r="X2370" i="1"/>
  <c r="S2370" i="1"/>
  <c r="X2369" i="1"/>
  <c r="S2369" i="1"/>
  <c r="X2368" i="1"/>
  <c r="S2368" i="1"/>
  <c r="X2367" i="1"/>
  <c r="S2367" i="1"/>
  <c r="X2366" i="1"/>
  <c r="S2366" i="1"/>
  <c r="X2364" i="1"/>
  <c r="S2364" i="1"/>
  <c r="X2363" i="1"/>
  <c r="S2363" i="1"/>
  <c r="X2362" i="1"/>
  <c r="S2362" i="1"/>
  <c r="X2361" i="1"/>
  <c r="S2361" i="1"/>
  <c r="S2272" i="1"/>
  <c r="X2272" i="1"/>
  <c r="S2273" i="1"/>
  <c r="X2273" i="1"/>
  <c r="S2274" i="1"/>
  <c r="X2274" i="1"/>
  <c r="X2276" i="1"/>
  <c r="S2276" i="1"/>
  <c r="X2275" i="1"/>
  <c r="S2275" i="1"/>
  <c r="X2313" i="1"/>
  <c r="S2313" i="1"/>
  <c r="X2312" i="1"/>
  <c r="S2312" i="1"/>
  <c r="X2311" i="1"/>
  <c r="S2311" i="1"/>
  <c r="S2260" i="1"/>
  <c r="X2260" i="1"/>
  <c r="S2261" i="1"/>
  <c r="X2261" i="1"/>
  <c r="S2271" i="1"/>
  <c r="X2271" i="1"/>
  <c r="X2314" i="1"/>
  <c r="S2314" i="1"/>
  <c r="S2270" i="1"/>
  <c r="X2270" i="1"/>
  <c r="Q2277" i="1"/>
  <c r="X2247" i="1"/>
  <c r="S2247" i="1"/>
  <c r="X2258" i="1"/>
  <c r="S2258" i="1"/>
  <c r="K2250" i="1"/>
  <c r="F2250" i="1"/>
  <c r="X2210" i="1"/>
  <c r="S2210" i="1"/>
  <c r="Y2210" i="1" s="1"/>
  <c r="D2258" i="1"/>
  <c r="D2277" i="1" s="1"/>
  <c r="X2230" i="1"/>
  <c r="S2230" i="1"/>
  <c r="X2228" i="1"/>
  <c r="S2228" i="1"/>
  <c r="I2236" i="1"/>
  <c r="I2239" i="1" s="1"/>
  <c r="X2226" i="1"/>
  <c r="S2226" i="1"/>
  <c r="Y2226" i="1" s="1"/>
  <c r="X2224" i="1"/>
  <c r="S2224" i="1"/>
  <c r="J2353" i="1"/>
  <c r="I2353" i="1"/>
  <c r="H2353" i="1"/>
  <c r="G2353" i="1"/>
  <c r="E2353" i="1"/>
  <c r="D2353" i="1"/>
  <c r="C2353" i="1"/>
  <c r="B2353" i="1"/>
  <c r="K2352" i="1"/>
  <c r="F2352" i="1"/>
  <c r="K2351" i="1"/>
  <c r="F2351" i="1"/>
  <c r="K2349" i="1"/>
  <c r="F2349" i="1"/>
  <c r="K2348" i="1"/>
  <c r="F2348" i="1"/>
  <c r="K2347" i="1"/>
  <c r="F2347" i="1"/>
  <c r="K2346" i="1"/>
  <c r="F2346" i="1"/>
  <c r="K2345" i="1"/>
  <c r="F2345" i="1"/>
  <c r="K2344" i="1"/>
  <c r="F2344" i="1"/>
  <c r="K2343" i="1"/>
  <c r="F2343" i="1"/>
  <c r="K2342" i="1"/>
  <c r="F2342" i="1"/>
  <c r="K2341" i="1"/>
  <c r="F2341" i="1"/>
  <c r="K2340" i="1"/>
  <c r="F2340" i="1"/>
  <c r="K2339" i="1"/>
  <c r="F2339" i="1"/>
  <c r="K2338" i="1"/>
  <c r="F2338" i="1"/>
  <c r="K2337" i="1"/>
  <c r="F2337" i="1"/>
  <c r="L2337" i="1" s="1"/>
  <c r="K2336" i="1"/>
  <c r="F2336" i="1"/>
  <c r="K2335" i="1"/>
  <c r="F2335" i="1"/>
  <c r="K2334" i="1"/>
  <c r="F2334" i="1"/>
  <c r="K2333" i="1"/>
  <c r="F2333" i="1"/>
  <c r="K2332" i="1"/>
  <c r="F2332" i="1"/>
  <c r="K2331" i="1"/>
  <c r="F2331" i="1"/>
  <c r="K2330" i="1"/>
  <c r="F2330" i="1"/>
  <c r="K2329" i="1"/>
  <c r="F2329" i="1"/>
  <c r="K2328" i="1"/>
  <c r="F2328" i="1"/>
  <c r="K2325" i="1"/>
  <c r="F2325" i="1"/>
  <c r="K2324" i="1"/>
  <c r="F2324" i="1"/>
  <c r="K2323" i="1"/>
  <c r="F2323" i="1"/>
  <c r="L2323" i="1" s="1"/>
  <c r="W2353" i="1"/>
  <c r="V2353" i="1"/>
  <c r="U2353" i="1"/>
  <c r="T2353" i="1"/>
  <c r="R2353" i="1"/>
  <c r="Q2353" i="1"/>
  <c r="P2353" i="1"/>
  <c r="O2353" i="1"/>
  <c r="X2348" i="1"/>
  <c r="S2348" i="1"/>
  <c r="X2347" i="1"/>
  <c r="S2347" i="1"/>
  <c r="X2346" i="1"/>
  <c r="S2346" i="1"/>
  <c r="X2345" i="1"/>
  <c r="S2345" i="1"/>
  <c r="Y2345" i="1" s="1"/>
  <c r="X2344" i="1"/>
  <c r="S2344" i="1"/>
  <c r="X2343" i="1"/>
  <c r="S2343" i="1"/>
  <c r="X2342" i="1"/>
  <c r="S2342" i="1"/>
  <c r="X2341" i="1"/>
  <c r="S2341" i="1"/>
  <c r="X2340" i="1"/>
  <c r="S2340" i="1"/>
  <c r="X2339" i="1"/>
  <c r="S2339" i="1"/>
  <c r="X2338" i="1"/>
  <c r="S2338" i="1"/>
  <c r="X2337" i="1"/>
  <c r="S2337" i="1"/>
  <c r="X2336" i="1"/>
  <c r="S2336" i="1"/>
  <c r="X2335" i="1"/>
  <c r="S2335" i="1"/>
  <c r="X2334" i="1"/>
  <c r="S2334" i="1"/>
  <c r="X2333" i="1"/>
  <c r="S2333" i="1"/>
  <c r="Y2333" i="1" s="1"/>
  <c r="X2332" i="1"/>
  <c r="S2332" i="1"/>
  <c r="X2331" i="1"/>
  <c r="S2331" i="1"/>
  <c r="X2330" i="1"/>
  <c r="S2330" i="1"/>
  <c r="X2329" i="1"/>
  <c r="S2329" i="1"/>
  <c r="X2328" i="1"/>
  <c r="S2328" i="1"/>
  <c r="X2326" i="1"/>
  <c r="S2326" i="1"/>
  <c r="X2325" i="1"/>
  <c r="S2325" i="1"/>
  <c r="X2324" i="1"/>
  <c r="S2324" i="1"/>
  <c r="X2323" i="1"/>
  <c r="S2323" i="1"/>
  <c r="X2235" i="1"/>
  <c r="S2235" i="1"/>
  <c r="X2234" i="1"/>
  <c r="S2234" i="1"/>
  <c r="X2233" i="1"/>
  <c r="S2233" i="1"/>
  <c r="X2232" i="1"/>
  <c r="S2232" i="1"/>
  <c r="X2223" i="1"/>
  <c r="S2223" i="1"/>
  <c r="Y2223" i="1" s="1"/>
  <c r="S2198" i="1"/>
  <c r="X2198" i="1"/>
  <c r="S2199" i="1"/>
  <c r="X2199" i="1"/>
  <c r="S2200" i="1"/>
  <c r="X2200" i="1"/>
  <c r="W2315" i="1"/>
  <c r="V2315" i="1"/>
  <c r="U2315" i="1"/>
  <c r="T2315" i="1"/>
  <c r="Q2315" i="1"/>
  <c r="P2315" i="1"/>
  <c r="O2315" i="1"/>
  <c r="J2315" i="1"/>
  <c r="I2315" i="1"/>
  <c r="H2315" i="1"/>
  <c r="G2315" i="1"/>
  <c r="E2315" i="1"/>
  <c r="D2315" i="1"/>
  <c r="C2315" i="1"/>
  <c r="B2315" i="1"/>
  <c r="K2314" i="1"/>
  <c r="F2314" i="1"/>
  <c r="K2313" i="1"/>
  <c r="F2313" i="1"/>
  <c r="K2312" i="1"/>
  <c r="F2312" i="1"/>
  <c r="K2311" i="1"/>
  <c r="F2311" i="1"/>
  <c r="K2310" i="1"/>
  <c r="F2310" i="1"/>
  <c r="K2309" i="1"/>
  <c r="F2309" i="1"/>
  <c r="X2308" i="1"/>
  <c r="S2308" i="1"/>
  <c r="K2308" i="1"/>
  <c r="F2308" i="1"/>
  <c r="X2307" i="1"/>
  <c r="S2307" i="1"/>
  <c r="K2307" i="1"/>
  <c r="F2307" i="1"/>
  <c r="X2306" i="1"/>
  <c r="S2306" i="1"/>
  <c r="K2306" i="1"/>
  <c r="F2306" i="1"/>
  <c r="X2305" i="1"/>
  <c r="S2305" i="1"/>
  <c r="K2305" i="1"/>
  <c r="F2305" i="1"/>
  <c r="X2304" i="1"/>
  <c r="S2304" i="1"/>
  <c r="K2304" i="1"/>
  <c r="F2304" i="1"/>
  <c r="X2303" i="1"/>
  <c r="S2303" i="1"/>
  <c r="K2303" i="1"/>
  <c r="F2303" i="1"/>
  <c r="X2302" i="1"/>
  <c r="S2302" i="1"/>
  <c r="K2302" i="1"/>
  <c r="F2302" i="1"/>
  <c r="X2301" i="1"/>
  <c r="S2301" i="1"/>
  <c r="K2301" i="1"/>
  <c r="F2301" i="1"/>
  <c r="X2300" i="1"/>
  <c r="S2300" i="1"/>
  <c r="K2300" i="1"/>
  <c r="F2300" i="1"/>
  <c r="X2299" i="1"/>
  <c r="S2299" i="1"/>
  <c r="K2299" i="1"/>
  <c r="F2299" i="1"/>
  <c r="X2298" i="1"/>
  <c r="S2298" i="1"/>
  <c r="K2298" i="1"/>
  <c r="F2298" i="1"/>
  <c r="X2297" i="1"/>
  <c r="S2297" i="1"/>
  <c r="K2297" i="1"/>
  <c r="F2297" i="1"/>
  <c r="X2296" i="1"/>
  <c r="S2296" i="1"/>
  <c r="K2296" i="1"/>
  <c r="F2296" i="1"/>
  <c r="X2295" i="1"/>
  <c r="S2295" i="1"/>
  <c r="K2295" i="1"/>
  <c r="F2295" i="1"/>
  <c r="X2294" i="1"/>
  <c r="S2294" i="1"/>
  <c r="K2294" i="1"/>
  <c r="F2294" i="1"/>
  <c r="X2293" i="1"/>
  <c r="S2293" i="1"/>
  <c r="K2293" i="1"/>
  <c r="F2293" i="1"/>
  <c r="X2292" i="1"/>
  <c r="S2292" i="1"/>
  <c r="K2292" i="1"/>
  <c r="F2292" i="1"/>
  <c r="X2291" i="1"/>
  <c r="S2291" i="1"/>
  <c r="K2291" i="1"/>
  <c r="F2291" i="1"/>
  <c r="X2290" i="1"/>
  <c r="S2290" i="1"/>
  <c r="K2290" i="1"/>
  <c r="F2290" i="1"/>
  <c r="X2288" i="1"/>
  <c r="S2288" i="1"/>
  <c r="K2288" i="1"/>
  <c r="F2288" i="1"/>
  <c r="X2287" i="1"/>
  <c r="S2287" i="1"/>
  <c r="K2287" i="1"/>
  <c r="F2287" i="1"/>
  <c r="X2286" i="1"/>
  <c r="S2286" i="1"/>
  <c r="K2286" i="1"/>
  <c r="F2286" i="1"/>
  <c r="X2285" i="1"/>
  <c r="S2285" i="1"/>
  <c r="K2285" i="1"/>
  <c r="F2285" i="1"/>
  <c r="X2216" i="1"/>
  <c r="S2216" i="1"/>
  <c r="S2181" i="1"/>
  <c r="X2181" i="1"/>
  <c r="X2215" i="1"/>
  <c r="S2215" i="1"/>
  <c r="S2182" i="1"/>
  <c r="Y2182" i="1" s="1"/>
  <c r="X2182" i="1"/>
  <c r="X2214" i="1"/>
  <c r="S2214" i="1"/>
  <c r="S2196" i="1"/>
  <c r="Y2196" i="1" s="1"/>
  <c r="X2196" i="1"/>
  <c r="S2197" i="1"/>
  <c r="X2197" i="1"/>
  <c r="X2238" i="1"/>
  <c r="S2238" i="1"/>
  <c r="X2237" i="1"/>
  <c r="S2237" i="1"/>
  <c r="X2236" i="1"/>
  <c r="S2236" i="1"/>
  <c r="F2252" i="1"/>
  <c r="K2252" i="1"/>
  <c r="F2253" i="1"/>
  <c r="K2253" i="1"/>
  <c r="J2277" i="1"/>
  <c r="I2277" i="1"/>
  <c r="H2277" i="1"/>
  <c r="G2277" i="1"/>
  <c r="E2277" i="1"/>
  <c r="C2277" i="1"/>
  <c r="B2277" i="1"/>
  <c r="K2276" i="1"/>
  <c r="F2276" i="1"/>
  <c r="K2275" i="1"/>
  <c r="F2275" i="1"/>
  <c r="K2274" i="1"/>
  <c r="F2274" i="1"/>
  <c r="K2273" i="1"/>
  <c r="F2273" i="1"/>
  <c r="K2272" i="1"/>
  <c r="F2272" i="1"/>
  <c r="K2271" i="1"/>
  <c r="F2271" i="1"/>
  <c r="K2270" i="1"/>
  <c r="F2270" i="1"/>
  <c r="K2269" i="1"/>
  <c r="F2269" i="1"/>
  <c r="K2268" i="1"/>
  <c r="F2268" i="1"/>
  <c r="K2267" i="1"/>
  <c r="F2267" i="1"/>
  <c r="K2266" i="1"/>
  <c r="F2266" i="1"/>
  <c r="K2265" i="1"/>
  <c r="F2265" i="1"/>
  <c r="K2264" i="1"/>
  <c r="F2264" i="1"/>
  <c r="K2263" i="1"/>
  <c r="F2263" i="1"/>
  <c r="K2262" i="1"/>
  <c r="F2262" i="1"/>
  <c r="K2261" i="1"/>
  <c r="F2261" i="1"/>
  <c r="K2260" i="1"/>
  <c r="F2260" i="1"/>
  <c r="K2259" i="1"/>
  <c r="F2259" i="1"/>
  <c r="K2258" i="1"/>
  <c r="F2258" i="1"/>
  <c r="K2257" i="1"/>
  <c r="F2257" i="1"/>
  <c r="K2256" i="1"/>
  <c r="F2256" i="1"/>
  <c r="K2255" i="1"/>
  <c r="F2255" i="1"/>
  <c r="K2254" i="1"/>
  <c r="F2254" i="1"/>
  <c r="K2249" i="1"/>
  <c r="F2249" i="1"/>
  <c r="K2248" i="1"/>
  <c r="F2248" i="1"/>
  <c r="K2247" i="1"/>
  <c r="F2247" i="1"/>
  <c r="W2277" i="1"/>
  <c r="T2277" i="1"/>
  <c r="P2277" i="1"/>
  <c r="O2277" i="1"/>
  <c r="X2269" i="1"/>
  <c r="S2269" i="1"/>
  <c r="X2268" i="1"/>
  <c r="S2268" i="1"/>
  <c r="X2267" i="1"/>
  <c r="S2267" i="1"/>
  <c r="Y2267" i="1" s="1"/>
  <c r="X2266" i="1"/>
  <c r="S2266" i="1"/>
  <c r="X2265" i="1"/>
  <c r="S2265" i="1"/>
  <c r="Y2265" i="1" s="1"/>
  <c r="X2264" i="1"/>
  <c r="S2264" i="1"/>
  <c r="X2263" i="1"/>
  <c r="S2263" i="1"/>
  <c r="Y2263" i="1" s="1"/>
  <c r="X2262" i="1"/>
  <c r="S2262" i="1"/>
  <c r="X2259" i="1"/>
  <c r="S2259" i="1"/>
  <c r="Y2259" i="1" s="1"/>
  <c r="X2257" i="1"/>
  <c r="S2257" i="1"/>
  <c r="X2256" i="1"/>
  <c r="S2256" i="1"/>
  <c r="X2255" i="1"/>
  <c r="S2255" i="1"/>
  <c r="X2254" i="1"/>
  <c r="S2254" i="1"/>
  <c r="Y2254" i="1" s="1"/>
  <c r="X2253" i="1"/>
  <c r="S2253" i="1"/>
  <c r="X2252" i="1"/>
  <c r="S2252" i="1"/>
  <c r="X2250" i="1"/>
  <c r="S2250" i="1"/>
  <c r="Y2250" i="1" s="1"/>
  <c r="X2249" i="1"/>
  <c r="S2249" i="1"/>
  <c r="X2248" i="1"/>
  <c r="S2248" i="1"/>
  <c r="X2180" i="1"/>
  <c r="S2180" i="1"/>
  <c r="K2192" i="1"/>
  <c r="F2192" i="1"/>
  <c r="K2191" i="1"/>
  <c r="F2191" i="1"/>
  <c r="K2190" i="1"/>
  <c r="F2190" i="1"/>
  <c r="K2215" i="1"/>
  <c r="F2215" i="1"/>
  <c r="L2215" i="1" s="1"/>
  <c r="K2214" i="1"/>
  <c r="F2214" i="1"/>
  <c r="X2149" i="1"/>
  <c r="S2149" i="1"/>
  <c r="J2177" i="1"/>
  <c r="J2201" i="1" s="1"/>
  <c r="I2177" i="1"/>
  <c r="I2201" i="1" s="1"/>
  <c r="H2177" i="1"/>
  <c r="C2177" i="1"/>
  <c r="X2142" i="1"/>
  <c r="S2142" i="1"/>
  <c r="F2157" i="1"/>
  <c r="K2157" i="1"/>
  <c r="X2097" i="1"/>
  <c r="S2097" i="1"/>
  <c r="Y2097" i="1" s="1"/>
  <c r="J2136" i="1"/>
  <c r="I2136" i="1"/>
  <c r="H2136" i="1"/>
  <c r="G2136" i="1"/>
  <c r="E2136" i="1"/>
  <c r="D2136" i="1"/>
  <c r="C2136" i="1"/>
  <c r="B2136" i="1"/>
  <c r="F2136" i="1" s="1"/>
  <c r="X2112" i="1"/>
  <c r="S2112" i="1"/>
  <c r="Y2112" i="1" s="1"/>
  <c r="S2111" i="1"/>
  <c r="X2111" i="1"/>
  <c r="K2141" i="1"/>
  <c r="F2141" i="1"/>
  <c r="X2110" i="1"/>
  <c r="S2110" i="1"/>
  <c r="Y2110" i="1" s="1"/>
  <c r="K2138" i="1"/>
  <c r="F2138" i="1"/>
  <c r="L2138" i="1" s="1"/>
  <c r="X2104" i="1"/>
  <c r="S2104" i="1"/>
  <c r="E2112" i="1"/>
  <c r="X2101" i="1"/>
  <c r="S2101" i="1"/>
  <c r="X2079" i="1"/>
  <c r="S2079" i="1"/>
  <c r="S2083" i="1"/>
  <c r="X2083" i="1"/>
  <c r="S2084" i="1"/>
  <c r="Y2084" i="1" s="1"/>
  <c r="X2084" i="1"/>
  <c r="X2124" i="1"/>
  <c r="S2124" i="1"/>
  <c r="X2123" i="1"/>
  <c r="S2123" i="1"/>
  <c r="S2120" i="1"/>
  <c r="X2120" i="1"/>
  <c r="S2121" i="1"/>
  <c r="Y2121" i="1" s="1"/>
  <c r="X2121" i="1"/>
  <c r="S2122" i="1"/>
  <c r="X2122" i="1"/>
  <c r="X2162" i="1"/>
  <c r="S2162" i="1"/>
  <c r="X2161" i="1"/>
  <c r="S2161" i="1"/>
  <c r="X2160" i="1"/>
  <c r="S2160" i="1"/>
  <c r="X2159" i="1"/>
  <c r="S2159" i="1"/>
  <c r="X2158" i="1"/>
  <c r="S2158" i="1"/>
  <c r="W2239" i="1"/>
  <c r="V2239" i="1"/>
  <c r="U2239" i="1"/>
  <c r="T2239" i="1"/>
  <c r="R2239" i="1"/>
  <c r="Q2239" i="1"/>
  <c r="P2239" i="1"/>
  <c r="O2239" i="1"/>
  <c r="J2239" i="1"/>
  <c r="H2239" i="1"/>
  <c r="G2239" i="1"/>
  <c r="E2239" i="1"/>
  <c r="D2239" i="1"/>
  <c r="C2239" i="1"/>
  <c r="B2239" i="1"/>
  <c r="K2238" i="1"/>
  <c r="F2238" i="1"/>
  <c r="K2237" i="1"/>
  <c r="F2237" i="1"/>
  <c r="L2237" i="1" s="1"/>
  <c r="F2236" i="1"/>
  <c r="K2235" i="1"/>
  <c r="F2235" i="1"/>
  <c r="K2234" i="1"/>
  <c r="F2234" i="1"/>
  <c r="K2233" i="1"/>
  <c r="F2233" i="1"/>
  <c r="K2232" i="1"/>
  <c r="F2232" i="1"/>
  <c r="X2231" i="1"/>
  <c r="S2231" i="1"/>
  <c r="K2231" i="1"/>
  <c r="F2231" i="1"/>
  <c r="K2230" i="1"/>
  <c r="F2230" i="1"/>
  <c r="X2229" i="1"/>
  <c r="S2229" i="1"/>
  <c r="K2229" i="1"/>
  <c r="F2229" i="1"/>
  <c r="K2228" i="1"/>
  <c r="F2228" i="1"/>
  <c r="X2227" i="1"/>
  <c r="S2227" i="1"/>
  <c r="K2227" i="1"/>
  <c r="F2227" i="1"/>
  <c r="K2226" i="1"/>
  <c r="F2226" i="1"/>
  <c r="X2225" i="1"/>
  <c r="S2225" i="1"/>
  <c r="K2225" i="1"/>
  <c r="F2225" i="1"/>
  <c r="K2224" i="1"/>
  <c r="F2224" i="1"/>
  <c r="K2223" i="1"/>
  <c r="F2223" i="1"/>
  <c r="X2222" i="1"/>
  <c r="S2222" i="1"/>
  <c r="K2222" i="1"/>
  <c r="F2222" i="1"/>
  <c r="X2221" i="1"/>
  <c r="S2221" i="1"/>
  <c r="K2221" i="1"/>
  <c r="F2221" i="1"/>
  <c r="X2220" i="1"/>
  <c r="S2220" i="1"/>
  <c r="K2220" i="1"/>
  <c r="F2220" i="1"/>
  <c r="X2219" i="1"/>
  <c r="S2219" i="1"/>
  <c r="K2219" i="1"/>
  <c r="F2219" i="1"/>
  <c r="X2218" i="1"/>
  <c r="S2218" i="1"/>
  <c r="K2218" i="1"/>
  <c r="F2218" i="1"/>
  <c r="X2217" i="1"/>
  <c r="S2217" i="1"/>
  <c r="K2217" i="1"/>
  <c r="F2217" i="1"/>
  <c r="K2216" i="1"/>
  <c r="F2216" i="1"/>
  <c r="X2212" i="1"/>
  <c r="S2212" i="1"/>
  <c r="K2212" i="1"/>
  <c r="F2212" i="1"/>
  <c r="X2211" i="1"/>
  <c r="S2211" i="1"/>
  <c r="K2211" i="1"/>
  <c r="F2211" i="1"/>
  <c r="K2210" i="1"/>
  <c r="F2210" i="1"/>
  <c r="X2209" i="1"/>
  <c r="S2209" i="1"/>
  <c r="K2209" i="1"/>
  <c r="F2209" i="1"/>
  <c r="W2201" i="1"/>
  <c r="V2201" i="1"/>
  <c r="U2201" i="1"/>
  <c r="T2201" i="1"/>
  <c r="R2201" i="1"/>
  <c r="Q2201" i="1"/>
  <c r="P2201" i="1"/>
  <c r="O2201" i="1"/>
  <c r="H2201" i="1"/>
  <c r="G2201" i="1"/>
  <c r="E2201" i="1"/>
  <c r="D2201" i="1"/>
  <c r="B2201" i="1"/>
  <c r="K2200" i="1"/>
  <c r="F2200" i="1"/>
  <c r="K2199" i="1"/>
  <c r="F2199" i="1"/>
  <c r="K2198" i="1"/>
  <c r="F2198" i="1"/>
  <c r="K2197" i="1"/>
  <c r="F2197" i="1"/>
  <c r="K2196" i="1"/>
  <c r="F2196" i="1"/>
  <c r="X2195" i="1"/>
  <c r="S2195" i="1"/>
  <c r="K2195" i="1"/>
  <c r="F2195" i="1"/>
  <c r="X2194" i="1"/>
  <c r="S2194" i="1"/>
  <c r="K2194" i="1"/>
  <c r="F2194" i="1"/>
  <c r="X2193" i="1"/>
  <c r="S2193" i="1"/>
  <c r="K2193" i="1"/>
  <c r="F2193" i="1"/>
  <c r="X2192" i="1"/>
  <c r="S2192" i="1"/>
  <c r="X2191" i="1"/>
  <c r="S2191" i="1"/>
  <c r="X2190" i="1"/>
  <c r="S2190" i="1"/>
  <c r="X2189" i="1"/>
  <c r="S2189" i="1"/>
  <c r="K2189" i="1"/>
  <c r="F2189" i="1"/>
  <c r="X2188" i="1"/>
  <c r="S2188" i="1"/>
  <c r="K2188" i="1"/>
  <c r="F2188" i="1"/>
  <c r="X2187" i="1"/>
  <c r="S2187" i="1"/>
  <c r="K2187" i="1"/>
  <c r="F2187" i="1"/>
  <c r="X2186" i="1"/>
  <c r="S2186" i="1"/>
  <c r="K2186" i="1"/>
  <c r="F2186" i="1"/>
  <c r="X2185" i="1"/>
  <c r="S2185" i="1"/>
  <c r="K2185" i="1"/>
  <c r="F2185" i="1"/>
  <c r="X2184" i="1"/>
  <c r="S2184" i="1"/>
  <c r="K2184" i="1"/>
  <c r="F2184" i="1"/>
  <c r="X2183" i="1"/>
  <c r="S2183" i="1"/>
  <c r="K2183" i="1"/>
  <c r="F2183" i="1"/>
  <c r="K2182" i="1"/>
  <c r="F2182" i="1"/>
  <c r="K2181" i="1"/>
  <c r="F2181" i="1"/>
  <c r="K2180" i="1"/>
  <c r="F2180" i="1"/>
  <c r="X2179" i="1"/>
  <c r="S2179" i="1"/>
  <c r="K2179" i="1"/>
  <c r="F2179" i="1"/>
  <c r="X2178" i="1"/>
  <c r="S2178" i="1"/>
  <c r="K2178" i="1"/>
  <c r="F2178" i="1"/>
  <c r="X2177" i="1"/>
  <c r="S2177" i="1"/>
  <c r="X2176" i="1"/>
  <c r="S2176" i="1"/>
  <c r="K2176" i="1"/>
  <c r="F2176" i="1"/>
  <c r="X2174" i="1"/>
  <c r="S2174" i="1"/>
  <c r="K2174" i="1"/>
  <c r="F2174" i="1"/>
  <c r="X2173" i="1"/>
  <c r="S2173" i="1"/>
  <c r="K2173" i="1"/>
  <c r="F2173" i="1"/>
  <c r="X2172" i="1"/>
  <c r="S2172" i="1"/>
  <c r="K2172" i="1"/>
  <c r="F2172" i="1"/>
  <c r="X2171" i="1"/>
  <c r="S2171" i="1"/>
  <c r="K2171" i="1"/>
  <c r="F2171" i="1"/>
  <c r="F2133" i="1"/>
  <c r="K2133" i="1"/>
  <c r="F2134" i="1"/>
  <c r="K2134" i="1"/>
  <c r="F2139" i="1"/>
  <c r="K2139" i="1"/>
  <c r="F2140" i="1"/>
  <c r="K2140" i="1"/>
  <c r="F2142" i="1"/>
  <c r="K2142" i="1"/>
  <c r="F2143" i="1"/>
  <c r="K2143" i="1"/>
  <c r="F2144" i="1"/>
  <c r="K2144" i="1"/>
  <c r="F2145" i="1"/>
  <c r="K2145" i="1"/>
  <c r="F2146" i="1"/>
  <c r="K2146" i="1"/>
  <c r="F2147" i="1"/>
  <c r="K2147" i="1"/>
  <c r="J2163" i="1"/>
  <c r="I2163" i="1"/>
  <c r="H2163" i="1"/>
  <c r="G2163" i="1"/>
  <c r="E2163" i="1"/>
  <c r="D2163" i="1"/>
  <c r="C2163" i="1"/>
  <c r="B2163" i="1"/>
  <c r="K2162" i="1"/>
  <c r="F2162" i="1"/>
  <c r="K2161" i="1"/>
  <c r="F2161" i="1"/>
  <c r="K2160" i="1"/>
  <c r="F2160" i="1"/>
  <c r="K2159" i="1"/>
  <c r="F2159" i="1"/>
  <c r="K2158" i="1"/>
  <c r="F2158" i="1"/>
  <c r="K2156" i="1"/>
  <c r="F2156" i="1"/>
  <c r="K2155" i="1"/>
  <c r="F2155" i="1"/>
  <c r="K2154" i="1"/>
  <c r="F2154" i="1"/>
  <c r="K2153" i="1"/>
  <c r="F2153" i="1"/>
  <c r="K2152" i="1"/>
  <c r="F2152" i="1"/>
  <c r="K2151" i="1"/>
  <c r="F2151" i="1"/>
  <c r="K2150" i="1"/>
  <c r="F2150" i="1"/>
  <c r="K2149" i="1"/>
  <c r="F2149" i="1"/>
  <c r="K2148" i="1"/>
  <c r="F2148" i="1"/>
  <c r="K2135" i="1"/>
  <c r="F2135" i="1"/>
  <c r="S2117" i="1"/>
  <c r="X2117" i="1"/>
  <c r="S2118" i="1"/>
  <c r="X2118" i="1"/>
  <c r="S2119" i="1"/>
  <c r="X2119" i="1"/>
  <c r="S2155" i="1"/>
  <c r="X2155" i="1"/>
  <c r="S2156" i="1"/>
  <c r="X2156" i="1"/>
  <c r="S2157" i="1"/>
  <c r="X2157" i="1"/>
  <c r="W2163" i="1"/>
  <c r="V2163" i="1"/>
  <c r="U2163" i="1"/>
  <c r="T2163" i="1"/>
  <c r="R2163" i="1"/>
  <c r="Q2163" i="1"/>
  <c r="P2163" i="1"/>
  <c r="O2163" i="1"/>
  <c r="X2154" i="1"/>
  <c r="S2154" i="1"/>
  <c r="X2153" i="1"/>
  <c r="S2153" i="1"/>
  <c r="X2152" i="1"/>
  <c r="S2152" i="1"/>
  <c r="X2151" i="1"/>
  <c r="S2151" i="1"/>
  <c r="X2150" i="1"/>
  <c r="S2150" i="1"/>
  <c r="X2148" i="1"/>
  <c r="S2148" i="1"/>
  <c r="X2147" i="1"/>
  <c r="S2147" i="1"/>
  <c r="X2146" i="1"/>
  <c r="S2146" i="1"/>
  <c r="X2145" i="1"/>
  <c r="S2145" i="1"/>
  <c r="X2144" i="1"/>
  <c r="S2144" i="1"/>
  <c r="X2143" i="1"/>
  <c r="S2143" i="1"/>
  <c r="X2141" i="1"/>
  <c r="S2141" i="1"/>
  <c r="X2140" i="1"/>
  <c r="S2140" i="1"/>
  <c r="X2139" i="1"/>
  <c r="S2139" i="1"/>
  <c r="X2138" i="1"/>
  <c r="S2138" i="1"/>
  <c r="X2136" i="1"/>
  <c r="S2136" i="1"/>
  <c r="X2135" i="1"/>
  <c r="S2135" i="1"/>
  <c r="X2134" i="1"/>
  <c r="S2134" i="1"/>
  <c r="X2133" i="1"/>
  <c r="S2133" i="1"/>
  <c r="X2078" i="1"/>
  <c r="S2078" i="1"/>
  <c r="S2062" i="1"/>
  <c r="X2074" i="1"/>
  <c r="S2074" i="1"/>
  <c r="I2085" i="1"/>
  <c r="I2087" i="1" s="1"/>
  <c r="S2086" i="1"/>
  <c r="X2072" i="1"/>
  <c r="S2072" i="1"/>
  <c r="X2071" i="1"/>
  <c r="S2071" i="1"/>
  <c r="X2067" i="1"/>
  <c r="S2067" i="1"/>
  <c r="X2063" i="1"/>
  <c r="S2063" i="1"/>
  <c r="X2057" i="1"/>
  <c r="Q2057" i="1"/>
  <c r="S2057" i="1" s="1"/>
  <c r="D2063" i="1"/>
  <c r="D2057" i="1"/>
  <c r="C2057" i="1"/>
  <c r="B2057" i="1"/>
  <c r="K2020" i="1"/>
  <c r="F2020" i="1"/>
  <c r="X2029" i="1"/>
  <c r="S2029" i="1"/>
  <c r="X2025" i="1"/>
  <c r="S2025" i="1"/>
  <c r="S2010" i="1"/>
  <c r="X2010" i="1"/>
  <c r="K2019" i="1"/>
  <c r="F2019" i="1"/>
  <c r="K1984" i="1"/>
  <c r="F1984" i="1"/>
  <c r="K1983" i="1"/>
  <c r="F1983" i="1"/>
  <c r="K1982" i="1"/>
  <c r="F1982" i="1"/>
  <c r="K1981" i="1"/>
  <c r="F1981" i="1"/>
  <c r="S1998" i="1"/>
  <c r="X1998" i="1"/>
  <c r="S1999" i="1"/>
  <c r="X1999" i="1"/>
  <c r="F2002" i="1"/>
  <c r="K2002" i="1"/>
  <c r="K2024" i="1"/>
  <c r="F2024" i="1"/>
  <c r="V2049" i="1"/>
  <c r="T2049" i="1"/>
  <c r="Q2125" i="1"/>
  <c r="W2125" i="1"/>
  <c r="V2125" i="1"/>
  <c r="U2125" i="1"/>
  <c r="T2125" i="1"/>
  <c r="R2125" i="1"/>
  <c r="P2125" i="1"/>
  <c r="O2125" i="1"/>
  <c r="J2125" i="1"/>
  <c r="I2125" i="1"/>
  <c r="H2125" i="1"/>
  <c r="G2125" i="1"/>
  <c r="E2125" i="1"/>
  <c r="D2125" i="1"/>
  <c r="C2125" i="1"/>
  <c r="B2125" i="1"/>
  <c r="K2124" i="1"/>
  <c r="F2124" i="1"/>
  <c r="K2123" i="1"/>
  <c r="F2123" i="1"/>
  <c r="K2122" i="1"/>
  <c r="F2122" i="1"/>
  <c r="K2121" i="1"/>
  <c r="F2121" i="1"/>
  <c r="K2120" i="1"/>
  <c r="F2120" i="1"/>
  <c r="K2119" i="1"/>
  <c r="F2119" i="1"/>
  <c r="K2118" i="1"/>
  <c r="F2118" i="1"/>
  <c r="K2117" i="1"/>
  <c r="F2117" i="1"/>
  <c r="X2116" i="1"/>
  <c r="S2116" i="1"/>
  <c r="K2116" i="1"/>
  <c r="F2116" i="1"/>
  <c r="X2115" i="1"/>
  <c r="S2115" i="1"/>
  <c r="K2115" i="1"/>
  <c r="F2115" i="1"/>
  <c r="X2114" i="1"/>
  <c r="S2114" i="1"/>
  <c r="K2114" i="1"/>
  <c r="F2114" i="1"/>
  <c r="X2113" i="1"/>
  <c r="S2113" i="1"/>
  <c r="K2113" i="1"/>
  <c r="F2113" i="1"/>
  <c r="K2112" i="1"/>
  <c r="F2112" i="1"/>
  <c r="K2111" i="1"/>
  <c r="F2111" i="1"/>
  <c r="K2110" i="1"/>
  <c r="F2110" i="1"/>
  <c r="X2109" i="1"/>
  <c r="S2109" i="1"/>
  <c r="K2109" i="1"/>
  <c r="F2109" i="1"/>
  <c r="X2108" i="1"/>
  <c r="S2108" i="1"/>
  <c r="K2108" i="1"/>
  <c r="F2108" i="1"/>
  <c r="X2107" i="1"/>
  <c r="S2107" i="1"/>
  <c r="K2107" i="1"/>
  <c r="F2107" i="1"/>
  <c r="X2106" i="1"/>
  <c r="S2106" i="1"/>
  <c r="K2106" i="1"/>
  <c r="F2106" i="1"/>
  <c r="X2105" i="1"/>
  <c r="S2105" i="1"/>
  <c r="K2105" i="1"/>
  <c r="F2105" i="1"/>
  <c r="K2104" i="1"/>
  <c r="F2104" i="1"/>
  <c r="X2103" i="1"/>
  <c r="S2103" i="1"/>
  <c r="K2103" i="1"/>
  <c r="F2103" i="1"/>
  <c r="X2102" i="1"/>
  <c r="S2102" i="1"/>
  <c r="K2102" i="1"/>
  <c r="F2102" i="1"/>
  <c r="K2101" i="1"/>
  <c r="F2101" i="1"/>
  <c r="X2100" i="1"/>
  <c r="S2100" i="1"/>
  <c r="K2100" i="1"/>
  <c r="F2100" i="1"/>
  <c r="X2098" i="1"/>
  <c r="S2098" i="1"/>
  <c r="K2098" i="1"/>
  <c r="F2098" i="1"/>
  <c r="K2097" i="1"/>
  <c r="F2097" i="1"/>
  <c r="X2096" i="1"/>
  <c r="S2096" i="1"/>
  <c r="K2096" i="1"/>
  <c r="F2096" i="1"/>
  <c r="X2095" i="1"/>
  <c r="S2095" i="1"/>
  <c r="K2095" i="1"/>
  <c r="F2095" i="1"/>
  <c r="X1995" i="1"/>
  <c r="S1995" i="1"/>
  <c r="C1999" i="1"/>
  <c r="C2011" i="1" s="1"/>
  <c r="X2044" i="1"/>
  <c r="S2044" i="1"/>
  <c r="K1908" i="1"/>
  <c r="F1908" i="1"/>
  <c r="S2085" i="1"/>
  <c r="X2085" i="1"/>
  <c r="S2058" i="1"/>
  <c r="X2058" i="1"/>
  <c r="S2059" i="1"/>
  <c r="X2059" i="1"/>
  <c r="S2060" i="1"/>
  <c r="X2060" i="1"/>
  <c r="W2087" i="1"/>
  <c r="V2087" i="1"/>
  <c r="U2087" i="1"/>
  <c r="T2087" i="1"/>
  <c r="R2087" i="1"/>
  <c r="Q2087" i="1"/>
  <c r="P2087" i="1"/>
  <c r="O2087" i="1"/>
  <c r="J2087" i="1"/>
  <c r="H2087" i="1"/>
  <c r="G2087" i="1"/>
  <c r="E2087" i="1"/>
  <c r="C2087" i="1"/>
  <c r="B2087" i="1"/>
  <c r="X2086" i="1"/>
  <c r="K2086" i="1"/>
  <c r="F2086" i="1"/>
  <c r="K2085" i="1"/>
  <c r="F2085" i="1"/>
  <c r="K2084" i="1"/>
  <c r="F2084" i="1"/>
  <c r="K2083" i="1"/>
  <c r="F2083" i="1"/>
  <c r="X2082" i="1"/>
  <c r="S2082" i="1"/>
  <c r="K2082" i="1"/>
  <c r="F2082" i="1"/>
  <c r="X2081" i="1"/>
  <c r="S2081" i="1"/>
  <c r="K2081" i="1"/>
  <c r="F2081" i="1"/>
  <c r="X2080" i="1"/>
  <c r="S2080" i="1"/>
  <c r="K2080" i="1"/>
  <c r="F2080" i="1"/>
  <c r="K2079" i="1"/>
  <c r="F2079" i="1"/>
  <c r="K2078" i="1"/>
  <c r="F2078" i="1"/>
  <c r="X2077" i="1"/>
  <c r="S2077" i="1"/>
  <c r="K2077" i="1"/>
  <c r="F2077" i="1"/>
  <c r="X2076" i="1"/>
  <c r="S2076" i="1"/>
  <c r="K2076" i="1"/>
  <c r="F2076" i="1"/>
  <c r="X2075" i="1"/>
  <c r="S2075" i="1"/>
  <c r="K2075" i="1"/>
  <c r="F2075" i="1"/>
  <c r="K2074" i="1"/>
  <c r="F2074" i="1"/>
  <c r="X2073" i="1"/>
  <c r="S2073" i="1"/>
  <c r="K2073" i="1"/>
  <c r="F2073" i="1"/>
  <c r="K2072" i="1"/>
  <c r="F2072" i="1"/>
  <c r="K2071" i="1"/>
  <c r="F2071" i="1"/>
  <c r="X2070" i="1"/>
  <c r="S2070" i="1"/>
  <c r="K2070" i="1"/>
  <c r="F2070" i="1"/>
  <c r="X2069" i="1"/>
  <c r="S2069" i="1"/>
  <c r="K2069" i="1"/>
  <c r="F2069" i="1"/>
  <c r="X2068" i="1"/>
  <c r="S2068" i="1"/>
  <c r="K2068" i="1"/>
  <c r="F2068" i="1"/>
  <c r="K2067" i="1"/>
  <c r="F2067" i="1"/>
  <c r="X2066" i="1"/>
  <c r="S2066" i="1"/>
  <c r="K2066" i="1"/>
  <c r="F2066" i="1"/>
  <c r="X2065" i="1"/>
  <c r="S2065" i="1"/>
  <c r="K2065" i="1"/>
  <c r="F2065" i="1"/>
  <c r="X2064" i="1"/>
  <c r="S2064" i="1"/>
  <c r="K2064" i="1"/>
  <c r="F2064" i="1"/>
  <c r="K2063" i="1"/>
  <c r="X2062" i="1"/>
  <c r="K2062" i="1"/>
  <c r="F2062" i="1"/>
  <c r="K2060" i="1"/>
  <c r="F2060" i="1"/>
  <c r="K2059" i="1"/>
  <c r="F2059" i="1"/>
  <c r="K2058" i="1"/>
  <c r="F2058" i="1"/>
  <c r="K2057" i="1"/>
  <c r="B1996" i="1"/>
  <c r="X1982" i="1"/>
  <c r="S1982" i="1"/>
  <c r="X1981" i="1"/>
  <c r="S1981" i="1"/>
  <c r="K1991" i="1"/>
  <c r="F1991" i="1"/>
  <c r="F1992" i="1"/>
  <c r="K1992" i="1"/>
  <c r="F1993" i="1"/>
  <c r="K1993" i="1"/>
  <c r="X2045" i="1"/>
  <c r="S2045" i="1"/>
  <c r="X1986" i="1"/>
  <c r="S1986" i="1"/>
  <c r="J2049" i="1"/>
  <c r="I2049" i="1"/>
  <c r="H2049" i="1"/>
  <c r="G2049" i="1"/>
  <c r="E2049" i="1"/>
  <c r="D2049" i="1"/>
  <c r="C2049" i="1"/>
  <c r="B2049" i="1"/>
  <c r="K2048" i="1"/>
  <c r="F2048" i="1"/>
  <c r="K2047" i="1"/>
  <c r="F2047" i="1"/>
  <c r="K2046" i="1"/>
  <c r="F2046" i="1"/>
  <c r="K2045" i="1"/>
  <c r="F2045" i="1"/>
  <c r="K2044" i="1"/>
  <c r="F2044" i="1"/>
  <c r="K2043" i="1"/>
  <c r="F2043" i="1"/>
  <c r="K2042" i="1"/>
  <c r="F2042" i="1"/>
  <c r="K2041" i="1"/>
  <c r="F2041" i="1"/>
  <c r="K2040" i="1"/>
  <c r="F2040" i="1"/>
  <c r="K2039" i="1"/>
  <c r="F2039" i="1"/>
  <c r="K2038" i="1"/>
  <c r="F2038" i="1"/>
  <c r="K2037" i="1"/>
  <c r="F2037" i="1"/>
  <c r="K2036" i="1"/>
  <c r="F2036" i="1"/>
  <c r="K2035" i="1"/>
  <c r="F2035" i="1"/>
  <c r="K2034" i="1"/>
  <c r="F2034" i="1"/>
  <c r="K2033" i="1"/>
  <c r="F2033" i="1"/>
  <c r="K2032" i="1"/>
  <c r="F2032" i="1"/>
  <c r="K2031" i="1"/>
  <c r="F2031" i="1"/>
  <c r="K2030" i="1"/>
  <c r="F2030" i="1"/>
  <c r="K2029" i="1"/>
  <c r="F2029" i="1"/>
  <c r="K2028" i="1"/>
  <c r="F2028" i="1"/>
  <c r="K2027" i="1"/>
  <c r="F2027" i="1"/>
  <c r="K2026" i="1"/>
  <c r="F2026" i="1"/>
  <c r="K2025" i="1"/>
  <c r="F2025" i="1"/>
  <c r="K2022" i="1"/>
  <c r="F2022" i="1"/>
  <c r="K2021" i="1"/>
  <c r="F2021" i="1"/>
  <c r="S2006" i="1"/>
  <c r="X2006" i="1"/>
  <c r="S2007" i="1"/>
  <c r="X2007" i="1"/>
  <c r="S2008" i="1"/>
  <c r="X2008" i="1"/>
  <c r="W2011" i="1"/>
  <c r="V2011" i="1"/>
  <c r="R2011" i="1"/>
  <c r="Q2011" i="1"/>
  <c r="X2009" i="1"/>
  <c r="S2009" i="1"/>
  <c r="Q2049" i="1"/>
  <c r="O2049" i="1"/>
  <c r="X2048" i="1"/>
  <c r="S2048" i="1"/>
  <c r="X2047" i="1"/>
  <c r="S2047" i="1"/>
  <c r="X2046" i="1"/>
  <c r="S2046" i="1"/>
  <c r="W2049" i="1"/>
  <c r="R2049" i="1"/>
  <c r="P2049" i="1"/>
  <c r="X2043" i="1"/>
  <c r="S2043" i="1"/>
  <c r="X2042" i="1"/>
  <c r="S2042" i="1"/>
  <c r="X2041" i="1"/>
  <c r="S2041" i="1"/>
  <c r="X2040" i="1"/>
  <c r="S2040" i="1"/>
  <c r="X2039" i="1"/>
  <c r="S2039" i="1"/>
  <c r="X2038" i="1"/>
  <c r="S2038" i="1"/>
  <c r="X2037" i="1"/>
  <c r="S2037" i="1"/>
  <c r="X2036" i="1"/>
  <c r="S2036" i="1"/>
  <c r="X2035" i="1"/>
  <c r="S2035" i="1"/>
  <c r="X2034" i="1"/>
  <c r="S2034" i="1"/>
  <c r="X2033" i="1"/>
  <c r="S2033" i="1"/>
  <c r="X2032" i="1"/>
  <c r="S2032" i="1"/>
  <c r="X2031" i="1"/>
  <c r="S2031" i="1"/>
  <c r="X2030" i="1"/>
  <c r="S2030" i="1"/>
  <c r="X2028" i="1"/>
  <c r="S2028" i="1"/>
  <c r="X2027" i="1"/>
  <c r="S2027" i="1"/>
  <c r="X2026" i="1"/>
  <c r="S2026" i="1"/>
  <c r="X2024" i="1"/>
  <c r="S2024" i="1"/>
  <c r="X2022" i="1"/>
  <c r="S2022" i="1"/>
  <c r="X2021" i="1"/>
  <c r="S2021" i="1"/>
  <c r="X2020" i="1"/>
  <c r="S2020" i="1"/>
  <c r="X2019" i="1"/>
  <c r="S2019" i="1"/>
  <c r="S1967" i="1"/>
  <c r="X1967" i="1"/>
  <c r="S1968" i="1"/>
  <c r="X1968" i="1"/>
  <c r="S1969" i="1"/>
  <c r="X1969" i="1"/>
  <c r="S1970" i="1"/>
  <c r="X1970" i="1"/>
  <c r="S1971" i="1"/>
  <c r="X1971" i="1"/>
  <c r="S1972" i="1"/>
  <c r="U1973" i="1"/>
  <c r="U2011" i="1"/>
  <c r="X1962" i="1"/>
  <c r="S1962" i="1"/>
  <c r="X1959" i="1"/>
  <c r="S1959" i="1"/>
  <c r="S1952" i="1"/>
  <c r="X1952" i="1"/>
  <c r="S1953" i="1"/>
  <c r="X1953" i="1"/>
  <c r="X1951" i="1"/>
  <c r="S1951" i="1"/>
  <c r="X1950" i="1"/>
  <c r="S1950" i="1"/>
  <c r="X1949" i="1"/>
  <c r="S1949" i="1"/>
  <c r="X1948" i="1"/>
  <c r="S1948" i="1"/>
  <c r="X1929" i="1"/>
  <c r="S1929" i="1"/>
  <c r="X1928" i="1"/>
  <c r="S1928" i="1"/>
  <c r="S1930" i="1"/>
  <c r="X1930" i="1"/>
  <c r="X1932" i="1"/>
  <c r="S1932" i="1"/>
  <c r="P1935" i="1"/>
  <c r="X1931" i="1"/>
  <c r="S1931" i="1"/>
  <c r="O1973" i="1"/>
  <c r="B1918" i="1"/>
  <c r="J1917" i="1"/>
  <c r="J1935" i="1" s="1"/>
  <c r="S1870" i="1"/>
  <c r="X1870" i="1"/>
  <c r="F1934" i="1"/>
  <c r="K1934" i="1"/>
  <c r="H1906" i="1"/>
  <c r="S1924" i="1"/>
  <c r="X1924" i="1"/>
  <c r="K1915" i="1"/>
  <c r="F1915" i="1"/>
  <c r="X1923" i="1"/>
  <c r="S1923" i="1"/>
  <c r="X1922" i="1"/>
  <c r="S1922" i="1"/>
  <c r="X1867" i="1"/>
  <c r="S1867" i="1"/>
  <c r="D1935" i="1"/>
  <c r="S1906" i="1"/>
  <c r="X1906" i="1"/>
  <c r="S1907" i="1"/>
  <c r="X1907" i="1"/>
  <c r="X1945" i="1"/>
  <c r="S1945" i="1"/>
  <c r="X1944" i="1"/>
  <c r="Q1944" i="1"/>
  <c r="S1944" i="1" s="1"/>
  <c r="F1896" i="1"/>
  <c r="K1896" i="1"/>
  <c r="S1889" i="1"/>
  <c r="X1889" i="1"/>
  <c r="R1935" i="1"/>
  <c r="X1884" i="1"/>
  <c r="S1884" i="1"/>
  <c r="K1881" i="1"/>
  <c r="F1881" i="1"/>
  <c r="P1897" i="1"/>
  <c r="S1966" i="1"/>
  <c r="X1966" i="1"/>
  <c r="J2011" i="1"/>
  <c r="I2011" i="1"/>
  <c r="H2011" i="1"/>
  <c r="G2011" i="1"/>
  <c r="E2011" i="1"/>
  <c r="D2011" i="1"/>
  <c r="K2010" i="1"/>
  <c r="F2010" i="1"/>
  <c r="K2009" i="1"/>
  <c r="F2009" i="1"/>
  <c r="K2008" i="1"/>
  <c r="F2008" i="1"/>
  <c r="K2007" i="1"/>
  <c r="F2007" i="1"/>
  <c r="K2006" i="1"/>
  <c r="F2006" i="1"/>
  <c r="K2005" i="1"/>
  <c r="F2005" i="1"/>
  <c r="K2004" i="1"/>
  <c r="F2004" i="1"/>
  <c r="K2003" i="1"/>
  <c r="F2003" i="1"/>
  <c r="K2001" i="1"/>
  <c r="F2001" i="1"/>
  <c r="K2000" i="1"/>
  <c r="F2000" i="1"/>
  <c r="K1999" i="1"/>
  <c r="K1998" i="1"/>
  <c r="F1998" i="1"/>
  <c r="K1997" i="1"/>
  <c r="F1997" i="1"/>
  <c r="K1996" i="1"/>
  <c r="K1995" i="1"/>
  <c r="F1995" i="1"/>
  <c r="K1994" i="1"/>
  <c r="F1994" i="1"/>
  <c r="K1990" i="1"/>
  <c r="F1990" i="1"/>
  <c r="K1989" i="1"/>
  <c r="F1989" i="1"/>
  <c r="K1988" i="1"/>
  <c r="F1988" i="1"/>
  <c r="K1987" i="1"/>
  <c r="F1987" i="1"/>
  <c r="K1986" i="1"/>
  <c r="F1986" i="1"/>
  <c r="S2004" i="1"/>
  <c r="X2004" i="1"/>
  <c r="S2005" i="1"/>
  <c r="X2005" i="1"/>
  <c r="T2011" i="1"/>
  <c r="O2011" i="1"/>
  <c r="X2003" i="1"/>
  <c r="S2003" i="1"/>
  <c r="X2002" i="1"/>
  <c r="S2002" i="1"/>
  <c r="X2001" i="1"/>
  <c r="S2001" i="1"/>
  <c r="X2000" i="1"/>
  <c r="S2000" i="1"/>
  <c r="X1997" i="1"/>
  <c r="S1997" i="1"/>
  <c r="X1996" i="1"/>
  <c r="S1996" i="1"/>
  <c r="X1994" i="1"/>
  <c r="S1994" i="1"/>
  <c r="X1993" i="1"/>
  <c r="S1993" i="1"/>
  <c r="X1992" i="1"/>
  <c r="S1992" i="1"/>
  <c r="X1991" i="1"/>
  <c r="S1991" i="1"/>
  <c r="X1990" i="1"/>
  <c r="S1990" i="1"/>
  <c r="Y1990" i="1" s="1"/>
  <c r="X1989" i="1"/>
  <c r="S1989" i="1"/>
  <c r="X1988" i="1"/>
  <c r="S1988" i="1"/>
  <c r="X1987" i="1"/>
  <c r="S1987" i="1"/>
  <c r="X1984" i="1"/>
  <c r="S1984" i="1"/>
  <c r="X1983" i="1"/>
  <c r="S1983" i="1"/>
  <c r="X1876" i="1"/>
  <c r="S1876" i="1"/>
  <c r="X1829" i="1"/>
  <c r="S1829" i="1"/>
  <c r="F1846" i="1"/>
  <c r="K1846" i="1"/>
  <c r="K1872" i="1"/>
  <c r="F1872" i="1"/>
  <c r="L1872" i="1" s="1"/>
  <c r="F1836" i="1"/>
  <c r="F1837" i="1"/>
  <c r="F1838" i="1"/>
  <c r="F1839" i="1"/>
  <c r="F1840" i="1"/>
  <c r="F1841" i="1"/>
  <c r="F1842" i="1"/>
  <c r="F1843" i="1"/>
  <c r="F1844" i="1"/>
  <c r="F1845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K1840" i="1"/>
  <c r="X1849" i="1"/>
  <c r="S1849" i="1"/>
  <c r="S1888" i="1"/>
  <c r="X1888" i="1"/>
  <c r="S1890" i="1"/>
  <c r="X1890" i="1"/>
  <c r="S1891" i="1"/>
  <c r="X1891" i="1"/>
  <c r="S1892" i="1"/>
  <c r="X1892" i="1"/>
  <c r="S1886" i="1"/>
  <c r="X1886" i="1"/>
  <c r="S1887" i="1"/>
  <c r="X1887" i="1"/>
  <c r="X1848" i="1"/>
  <c r="S1848" i="1"/>
  <c r="X1847" i="1"/>
  <c r="S1847" i="1"/>
  <c r="S1927" i="1"/>
  <c r="X1927" i="1"/>
  <c r="X1976" i="1"/>
  <c r="S1976" i="1"/>
  <c r="S1908" i="1"/>
  <c r="X1908" i="1"/>
  <c r="S1869" i="1"/>
  <c r="X1869" i="1"/>
  <c r="D1829" i="1"/>
  <c r="R1859" i="1"/>
  <c r="W1973" i="1"/>
  <c r="V1973" i="1"/>
  <c r="T1973" i="1"/>
  <c r="R1973" i="1"/>
  <c r="Q1973" i="1"/>
  <c r="P1973" i="1"/>
  <c r="J1973" i="1"/>
  <c r="I1973" i="1"/>
  <c r="H1973" i="1"/>
  <c r="G1973" i="1"/>
  <c r="E1973" i="1"/>
  <c r="D1973" i="1"/>
  <c r="C1973" i="1"/>
  <c r="B1973" i="1"/>
  <c r="K1972" i="1"/>
  <c r="F1972" i="1"/>
  <c r="K1971" i="1"/>
  <c r="F1971" i="1"/>
  <c r="K1970" i="1"/>
  <c r="F1970" i="1"/>
  <c r="K1969" i="1"/>
  <c r="F1969" i="1"/>
  <c r="K1968" i="1"/>
  <c r="F1968" i="1"/>
  <c r="K1967" i="1"/>
  <c r="F1967" i="1"/>
  <c r="K1966" i="1"/>
  <c r="F1966" i="1"/>
  <c r="X1965" i="1"/>
  <c r="S1965" i="1"/>
  <c r="K1965" i="1"/>
  <c r="F1965" i="1"/>
  <c r="X1964" i="1"/>
  <c r="S1964" i="1"/>
  <c r="K1964" i="1"/>
  <c r="F1964" i="1"/>
  <c r="X1963" i="1"/>
  <c r="S1963" i="1"/>
  <c r="K1963" i="1"/>
  <c r="F1963" i="1"/>
  <c r="K1962" i="1"/>
  <c r="F1962" i="1"/>
  <c r="X1961" i="1"/>
  <c r="S1961" i="1"/>
  <c r="K1961" i="1"/>
  <c r="F1961" i="1"/>
  <c r="X1960" i="1"/>
  <c r="S1960" i="1"/>
  <c r="K1960" i="1"/>
  <c r="F1960" i="1"/>
  <c r="K1959" i="1"/>
  <c r="F1959" i="1"/>
  <c r="X1958" i="1"/>
  <c r="S1958" i="1"/>
  <c r="K1958" i="1"/>
  <c r="F1958" i="1"/>
  <c r="X1957" i="1"/>
  <c r="S1957" i="1"/>
  <c r="K1957" i="1"/>
  <c r="F1957" i="1"/>
  <c r="X1956" i="1"/>
  <c r="S1956" i="1"/>
  <c r="K1956" i="1"/>
  <c r="F1956" i="1"/>
  <c r="X1955" i="1"/>
  <c r="S1955" i="1"/>
  <c r="K1955" i="1"/>
  <c r="F1955" i="1"/>
  <c r="X1954" i="1"/>
  <c r="S1954" i="1"/>
  <c r="K1954" i="1"/>
  <c r="F1954" i="1"/>
  <c r="K1953" i="1"/>
  <c r="F1953" i="1"/>
  <c r="K1952" i="1"/>
  <c r="F1952" i="1"/>
  <c r="K1951" i="1"/>
  <c r="F1951" i="1"/>
  <c r="K1950" i="1"/>
  <c r="F1950" i="1"/>
  <c r="K1949" i="1"/>
  <c r="F1949" i="1"/>
  <c r="K1948" i="1"/>
  <c r="F1948" i="1"/>
  <c r="X1946" i="1"/>
  <c r="S1946" i="1"/>
  <c r="K1946" i="1"/>
  <c r="F1946" i="1"/>
  <c r="K1945" i="1"/>
  <c r="F1945" i="1"/>
  <c r="K1944" i="1"/>
  <c r="F1944" i="1"/>
  <c r="X1943" i="1"/>
  <c r="S1943" i="1"/>
  <c r="K1943" i="1"/>
  <c r="F1943" i="1"/>
  <c r="X1836" i="1"/>
  <c r="S1836" i="1"/>
  <c r="R1821" i="1"/>
  <c r="X1812" i="1"/>
  <c r="S1812" i="1"/>
  <c r="X1811" i="1"/>
  <c r="S1811" i="1"/>
  <c r="K1812" i="1"/>
  <c r="F1812" i="1"/>
  <c r="T1821" i="1"/>
  <c r="Q1821" i="1"/>
  <c r="X1791" i="1"/>
  <c r="S1791" i="1"/>
  <c r="X1805" i="1"/>
  <c r="S1805" i="1"/>
  <c r="S1893" i="1"/>
  <c r="X1893" i="1"/>
  <c r="S1894" i="1"/>
  <c r="X1894" i="1"/>
  <c r="X1896" i="1"/>
  <c r="S1896" i="1"/>
  <c r="X1895" i="1"/>
  <c r="S1895" i="1"/>
  <c r="S1868" i="1"/>
  <c r="X1868" i="1"/>
  <c r="W1935" i="1"/>
  <c r="V1935" i="1"/>
  <c r="U1935" i="1"/>
  <c r="Q1935" i="1"/>
  <c r="O1935" i="1"/>
  <c r="I1935" i="1"/>
  <c r="H1935" i="1"/>
  <c r="G1935" i="1"/>
  <c r="E1935" i="1"/>
  <c r="C1935" i="1"/>
  <c r="X1934" i="1"/>
  <c r="S1934" i="1"/>
  <c r="X1933" i="1"/>
  <c r="S1933" i="1"/>
  <c r="K1933" i="1"/>
  <c r="F1933" i="1"/>
  <c r="L1933" i="1" s="1"/>
  <c r="K1932" i="1"/>
  <c r="F1932" i="1"/>
  <c r="K1931" i="1"/>
  <c r="F1931" i="1"/>
  <c r="K1930" i="1"/>
  <c r="F1930" i="1"/>
  <c r="K1929" i="1"/>
  <c r="F1929" i="1"/>
  <c r="K1928" i="1"/>
  <c r="F1928" i="1"/>
  <c r="K1927" i="1"/>
  <c r="F1927" i="1"/>
  <c r="L1927" i="1" s="1"/>
  <c r="X1926" i="1"/>
  <c r="S1926" i="1"/>
  <c r="K1926" i="1"/>
  <c r="F1926" i="1"/>
  <c r="X1925" i="1"/>
  <c r="S1925" i="1"/>
  <c r="K1925" i="1"/>
  <c r="F1925" i="1"/>
  <c r="K1924" i="1"/>
  <c r="F1924" i="1"/>
  <c r="K1923" i="1"/>
  <c r="F1923" i="1"/>
  <c r="L1923" i="1" s="1"/>
  <c r="K1922" i="1"/>
  <c r="F1922" i="1"/>
  <c r="X1921" i="1"/>
  <c r="S1921" i="1"/>
  <c r="K1921" i="1"/>
  <c r="F1921" i="1"/>
  <c r="L1921" i="1" s="1"/>
  <c r="X1920" i="1"/>
  <c r="S1920" i="1"/>
  <c r="K1920" i="1"/>
  <c r="F1920" i="1"/>
  <c r="X1919" i="1"/>
  <c r="S1919" i="1"/>
  <c r="Y1919" i="1" s="1"/>
  <c r="K1919" i="1"/>
  <c r="F1919" i="1"/>
  <c r="X1918" i="1"/>
  <c r="S1918" i="1"/>
  <c r="K1918" i="1"/>
  <c r="X1917" i="1"/>
  <c r="S1917" i="1"/>
  <c r="K1917" i="1"/>
  <c r="F1917" i="1"/>
  <c r="X1916" i="1"/>
  <c r="S1916" i="1"/>
  <c r="K1916" i="1"/>
  <c r="F1916" i="1"/>
  <c r="X1915" i="1"/>
  <c r="S1915" i="1"/>
  <c r="X1914" i="1"/>
  <c r="S1914" i="1"/>
  <c r="K1914" i="1"/>
  <c r="F1914" i="1"/>
  <c r="X1913" i="1"/>
  <c r="S1913" i="1"/>
  <c r="K1913" i="1"/>
  <c r="F1913" i="1"/>
  <c r="X1912" i="1"/>
  <c r="S1912" i="1"/>
  <c r="K1912" i="1"/>
  <c r="F1912" i="1"/>
  <c r="X1911" i="1"/>
  <c r="S1911" i="1"/>
  <c r="K1911" i="1"/>
  <c r="F1911" i="1"/>
  <c r="X1910" i="1"/>
  <c r="S1910" i="1"/>
  <c r="K1910" i="1"/>
  <c r="F1910" i="1"/>
  <c r="K1907" i="1"/>
  <c r="F1907" i="1"/>
  <c r="K1906" i="1"/>
  <c r="F1906" i="1"/>
  <c r="X1905" i="1"/>
  <c r="S1905" i="1"/>
  <c r="K1905" i="1"/>
  <c r="F1905" i="1"/>
  <c r="X1854" i="1"/>
  <c r="S1854" i="1"/>
  <c r="X1753" i="1"/>
  <c r="S1753" i="1"/>
  <c r="X1773" i="1"/>
  <c r="S1773" i="1"/>
  <c r="X1772" i="1"/>
  <c r="X1856" i="1"/>
  <c r="S1856" i="1"/>
  <c r="F1764" i="1"/>
  <c r="K1764" i="1"/>
  <c r="K1763" i="1"/>
  <c r="F1763" i="1"/>
  <c r="K1755" i="1"/>
  <c r="F1755" i="1"/>
  <c r="K1754" i="1"/>
  <c r="F1754" i="1"/>
  <c r="K1753" i="1"/>
  <c r="F1753" i="1"/>
  <c r="H1718" i="1"/>
  <c r="K1718" i="1" s="1"/>
  <c r="D1718" i="1"/>
  <c r="F1718" i="1" s="1"/>
  <c r="K1717" i="1"/>
  <c r="F1717" i="1"/>
  <c r="K1716" i="1"/>
  <c r="F1716" i="1"/>
  <c r="K1715" i="1"/>
  <c r="F1715" i="1"/>
  <c r="K1680" i="1"/>
  <c r="F1680" i="1"/>
  <c r="K1679" i="1"/>
  <c r="F1679" i="1"/>
  <c r="K1678" i="1"/>
  <c r="F1678" i="1"/>
  <c r="K1677" i="1"/>
  <c r="F1677" i="1"/>
  <c r="X1771" i="1"/>
  <c r="S1771" i="1"/>
  <c r="F1762" i="1"/>
  <c r="K1762" i="1"/>
  <c r="X1817" i="1"/>
  <c r="S1817" i="1"/>
  <c r="X1816" i="1"/>
  <c r="S1816" i="1"/>
  <c r="X1815" i="1"/>
  <c r="S1815" i="1"/>
  <c r="X1770" i="1"/>
  <c r="S1770" i="1"/>
  <c r="F1732" i="1"/>
  <c r="K1732" i="1"/>
  <c r="K1731" i="1"/>
  <c r="F1731" i="1"/>
  <c r="S1778" i="1"/>
  <c r="X1779" i="1"/>
  <c r="X1777" i="1"/>
  <c r="R1897" i="1"/>
  <c r="Q1897" i="1"/>
  <c r="O1897" i="1"/>
  <c r="J1897" i="1"/>
  <c r="I1897" i="1"/>
  <c r="H1897" i="1"/>
  <c r="G1897" i="1"/>
  <c r="E1897" i="1"/>
  <c r="D1897" i="1"/>
  <c r="C1897" i="1"/>
  <c r="B1897" i="1"/>
  <c r="K1895" i="1"/>
  <c r="F1895" i="1"/>
  <c r="K1894" i="1"/>
  <c r="F1894" i="1"/>
  <c r="K1893" i="1"/>
  <c r="F1893" i="1"/>
  <c r="K1892" i="1"/>
  <c r="F1892" i="1"/>
  <c r="K1891" i="1"/>
  <c r="F1891" i="1"/>
  <c r="K1890" i="1"/>
  <c r="F1890" i="1"/>
  <c r="K1889" i="1"/>
  <c r="F1889" i="1"/>
  <c r="K1888" i="1"/>
  <c r="F1888" i="1"/>
  <c r="K1887" i="1"/>
  <c r="F1887" i="1"/>
  <c r="K1886" i="1"/>
  <c r="F1886" i="1"/>
  <c r="X1885" i="1"/>
  <c r="S1885" i="1"/>
  <c r="K1885" i="1"/>
  <c r="F1885" i="1"/>
  <c r="K1884" i="1"/>
  <c r="F1884" i="1"/>
  <c r="L1884" i="1" s="1"/>
  <c r="X1883" i="1"/>
  <c r="S1883" i="1"/>
  <c r="K1883" i="1"/>
  <c r="F1883" i="1"/>
  <c r="X1882" i="1"/>
  <c r="S1882" i="1"/>
  <c r="K1882" i="1"/>
  <c r="F1882" i="1"/>
  <c r="X1881" i="1"/>
  <c r="S1881" i="1"/>
  <c r="X1880" i="1"/>
  <c r="S1880" i="1"/>
  <c r="K1880" i="1"/>
  <c r="F1880" i="1"/>
  <c r="X1879" i="1"/>
  <c r="S1879" i="1"/>
  <c r="K1879" i="1"/>
  <c r="F1879" i="1"/>
  <c r="X1878" i="1"/>
  <c r="S1878" i="1"/>
  <c r="K1878" i="1"/>
  <c r="F1878" i="1"/>
  <c r="X1877" i="1"/>
  <c r="S1877" i="1"/>
  <c r="K1877" i="1"/>
  <c r="F1877" i="1"/>
  <c r="K1876" i="1"/>
  <c r="F1876" i="1"/>
  <c r="X1875" i="1"/>
  <c r="S1875" i="1"/>
  <c r="K1875" i="1"/>
  <c r="F1875" i="1"/>
  <c r="X1874" i="1"/>
  <c r="S1874" i="1"/>
  <c r="K1874" i="1"/>
  <c r="F1874" i="1"/>
  <c r="X1873" i="1"/>
  <c r="S1873" i="1"/>
  <c r="K1873" i="1"/>
  <c r="F1873" i="1"/>
  <c r="X1872" i="1"/>
  <c r="S1872" i="1"/>
  <c r="K1870" i="1"/>
  <c r="F1870" i="1"/>
  <c r="K1869" i="1"/>
  <c r="F1869" i="1"/>
  <c r="K1868" i="1"/>
  <c r="F1868" i="1"/>
  <c r="K1867" i="1"/>
  <c r="F1867" i="1"/>
  <c r="X1737" i="1"/>
  <c r="S1737" i="1"/>
  <c r="V1745" i="1"/>
  <c r="U1745" i="1"/>
  <c r="X1818" i="1"/>
  <c r="S1818" i="1"/>
  <c r="Y1818" i="1" s="1"/>
  <c r="X1715" i="1"/>
  <c r="S1715" i="1"/>
  <c r="F1724" i="1"/>
  <c r="K1724" i="1"/>
  <c r="X1734" i="1"/>
  <c r="S1734" i="1"/>
  <c r="Y1734" i="1" s="1"/>
  <c r="S1777" i="1"/>
  <c r="J1859" i="1"/>
  <c r="I1859" i="1"/>
  <c r="H1859" i="1"/>
  <c r="G1859" i="1"/>
  <c r="E1859" i="1"/>
  <c r="D1859" i="1"/>
  <c r="C1859" i="1"/>
  <c r="B1859" i="1"/>
  <c r="K1858" i="1"/>
  <c r="K1857" i="1"/>
  <c r="K1856" i="1"/>
  <c r="K1855" i="1"/>
  <c r="K1854" i="1"/>
  <c r="K1853" i="1"/>
  <c r="K1852" i="1"/>
  <c r="L1852" i="1" s="1"/>
  <c r="K1851" i="1"/>
  <c r="K1850" i="1"/>
  <c r="K1849" i="1"/>
  <c r="K1848" i="1"/>
  <c r="K1847" i="1"/>
  <c r="K1845" i="1"/>
  <c r="K1844" i="1"/>
  <c r="K1843" i="1"/>
  <c r="K1842" i="1"/>
  <c r="K1841" i="1"/>
  <c r="K1839" i="1"/>
  <c r="K1838" i="1"/>
  <c r="K1837" i="1"/>
  <c r="K1836" i="1"/>
  <c r="K1835" i="1"/>
  <c r="F1835" i="1"/>
  <c r="K1834" i="1"/>
  <c r="F1834" i="1"/>
  <c r="K1832" i="1"/>
  <c r="F1832" i="1"/>
  <c r="K1831" i="1"/>
  <c r="F1831" i="1"/>
  <c r="K1830" i="1"/>
  <c r="F1830" i="1"/>
  <c r="K1829" i="1"/>
  <c r="F1829" i="1"/>
  <c r="J1821" i="1"/>
  <c r="I1821" i="1"/>
  <c r="H1821" i="1"/>
  <c r="G1821" i="1"/>
  <c r="E1821" i="1"/>
  <c r="D1821" i="1"/>
  <c r="C1821" i="1"/>
  <c r="B1821" i="1"/>
  <c r="K1820" i="1"/>
  <c r="F1820" i="1"/>
  <c r="K1819" i="1"/>
  <c r="F1819" i="1"/>
  <c r="K1818" i="1"/>
  <c r="F1818" i="1"/>
  <c r="K1817" i="1"/>
  <c r="F1817" i="1"/>
  <c r="K1816" i="1"/>
  <c r="F1816" i="1"/>
  <c r="K1815" i="1"/>
  <c r="F1815" i="1"/>
  <c r="K1814" i="1"/>
  <c r="F1814" i="1"/>
  <c r="K1813" i="1"/>
  <c r="F1813" i="1"/>
  <c r="K1811" i="1"/>
  <c r="F1811" i="1"/>
  <c r="K1810" i="1"/>
  <c r="F1810" i="1"/>
  <c r="K1809" i="1"/>
  <c r="F1809" i="1"/>
  <c r="K1808" i="1"/>
  <c r="F1808" i="1"/>
  <c r="K1807" i="1"/>
  <c r="F1807" i="1"/>
  <c r="K1806" i="1"/>
  <c r="F1806" i="1"/>
  <c r="K1805" i="1"/>
  <c r="F1805" i="1"/>
  <c r="K1804" i="1"/>
  <c r="F1804" i="1"/>
  <c r="K1803" i="1"/>
  <c r="F1803" i="1"/>
  <c r="K1802" i="1"/>
  <c r="F1802" i="1"/>
  <c r="K1801" i="1"/>
  <c r="F1801" i="1"/>
  <c r="K1800" i="1"/>
  <c r="F1800" i="1"/>
  <c r="K1799" i="1"/>
  <c r="F1799" i="1"/>
  <c r="K1798" i="1"/>
  <c r="F1798" i="1"/>
  <c r="K1797" i="1"/>
  <c r="F1797" i="1"/>
  <c r="K1796" i="1"/>
  <c r="F1796" i="1"/>
  <c r="K1794" i="1"/>
  <c r="F1794" i="1"/>
  <c r="K1793" i="1"/>
  <c r="F1793" i="1"/>
  <c r="K1792" i="1"/>
  <c r="F1792" i="1"/>
  <c r="K1791" i="1"/>
  <c r="F1791" i="1"/>
  <c r="S1738" i="1"/>
  <c r="X1738" i="1"/>
  <c r="S1739" i="1"/>
  <c r="X1739" i="1"/>
  <c r="S1740" i="1"/>
  <c r="X1740" i="1"/>
  <c r="S1741" i="1"/>
  <c r="X1741" i="1"/>
  <c r="S1742" i="1"/>
  <c r="X1742" i="1"/>
  <c r="S1743" i="1"/>
  <c r="X1743" i="1"/>
  <c r="S1779" i="1"/>
  <c r="X1778" i="1"/>
  <c r="S1855" i="1"/>
  <c r="X1855" i="1"/>
  <c r="X1820" i="1"/>
  <c r="S1820" i="1"/>
  <c r="S1819" i="1"/>
  <c r="W1859" i="1"/>
  <c r="V1859" i="1"/>
  <c r="U1859" i="1"/>
  <c r="T1859" i="1"/>
  <c r="Q1859" i="1"/>
  <c r="P1859" i="1"/>
  <c r="O1859" i="1"/>
  <c r="X1857" i="1"/>
  <c r="S1857" i="1"/>
  <c r="X1853" i="1"/>
  <c r="S1853" i="1"/>
  <c r="X1852" i="1"/>
  <c r="S1852" i="1"/>
  <c r="X1851" i="1"/>
  <c r="S1851" i="1"/>
  <c r="X1850" i="1"/>
  <c r="S1850" i="1"/>
  <c r="X1846" i="1"/>
  <c r="S1846" i="1"/>
  <c r="X1845" i="1"/>
  <c r="S1845" i="1"/>
  <c r="X1844" i="1"/>
  <c r="S1844" i="1"/>
  <c r="X1843" i="1"/>
  <c r="S1843" i="1"/>
  <c r="X1842" i="1"/>
  <c r="S1842" i="1"/>
  <c r="X1841" i="1"/>
  <c r="S1841" i="1"/>
  <c r="X1840" i="1"/>
  <c r="S1840" i="1"/>
  <c r="X1839" i="1"/>
  <c r="S1839" i="1"/>
  <c r="X1838" i="1"/>
  <c r="S1838" i="1"/>
  <c r="X1837" i="1"/>
  <c r="S1837" i="1"/>
  <c r="X1835" i="1"/>
  <c r="S1835" i="1"/>
  <c r="X1834" i="1"/>
  <c r="S1834" i="1"/>
  <c r="X1832" i="1"/>
  <c r="S1832" i="1"/>
  <c r="X1831" i="1"/>
  <c r="S1831" i="1"/>
  <c r="X1830" i="1"/>
  <c r="S1830" i="1"/>
  <c r="S1776" i="1"/>
  <c r="X1776" i="1"/>
  <c r="X1782" i="1"/>
  <c r="S1782" i="1"/>
  <c r="X1781" i="1"/>
  <c r="S1781" i="1"/>
  <c r="X1780" i="1"/>
  <c r="S1780" i="1"/>
  <c r="S1814" i="1"/>
  <c r="X1814" i="1"/>
  <c r="W1821" i="1"/>
  <c r="V1821" i="1"/>
  <c r="P1821" i="1"/>
  <c r="O1821" i="1"/>
  <c r="X1813" i="1"/>
  <c r="S1813" i="1"/>
  <c r="X1810" i="1"/>
  <c r="S1810" i="1"/>
  <c r="X1809" i="1"/>
  <c r="S1809" i="1"/>
  <c r="X1808" i="1"/>
  <c r="S1808" i="1"/>
  <c r="X1807" i="1"/>
  <c r="S1807" i="1"/>
  <c r="X1806" i="1"/>
  <c r="S1806" i="1"/>
  <c r="X1804" i="1"/>
  <c r="S1804" i="1"/>
  <c r="X1803" i="1"/>
  <c r="S1803" i="1"/>
  <c r="Y1803" i="1" s="1"/>
  <c r="X1802" i="1"/>
  <c r="S1802" i="1"/>
  <c r="X1801" i="1"/>
  <c r="S1801" i="1"/>
  <c r="X1800" i="1"/>
  <c r="S1800" i="1"/>
  <c r="X1799" i="1"/>
  <c r="S1799" i="1"/>
  <c r="X1798" i="1"/>
  <c r="S1798" i="1"/>
  <c r="X1797" i="1"/>
  <c r="S1797" i="1"/>
  <c r="X1796" i="1"/>
  <c r="S1796" i="1"/>
  <c r="X1794" i="1"/>
  <c r="S1794" i="1"/>
  <c r="X1793" i="1"/>
  <c r="S1793" i="1"/>
  <c r="X1792" i="1"/>
  <c r="S1792" i="1"/>
  <c r="W1745" i="1"/>
  <c r="O1745" i="1"/>
  <c r="X1744" i="1"/>
  <c r="S1744" i="1"/>
  <c r="P1707" i="1"/>
  <c r="R1707" i="1"/>
  <c r="X1703" i="1"/>
  <c r="X1720" i="1"/>
  <c r="S1720" i="1"/>
  <c r="D1688" i="1"/>
  <c r="V1707" i="1"/>
  <c r="X1677" i="1"/>
  <c r="S1677" i="1"/>
  <c r="S1699" i="1"/>
  <c r="X1699" i="1"/>
  <c r="S1700" i="1"/>
  <c r="X1700" i="1"/>
  <c r="S1701" i="1"/>
  <c r="X1701" i="1"/>
  <c r="S1702" i="1"/>
  <c r="X1702" i="1"/>
  <c r="T1707" i="1"/>
  <c r="S1704" i="1"/>
  <c r="X1704" i="1"/>
  <c r="S1705" i="1"/>
  <c r="X1705" i="1"/>
  <c r="S1706" i="1"/>
  <c r="X1706" i="1"/>
  <c r="F1658" i="1"/>
  <c r="K1658" i="1"/>
  <c r="K1682" i="1"/>
  <c r="F1682" i="1"/>
  <c r="U1783" i="1"/>
  <c r="Q1783" i="1"/>
  <c r="P1783" i="1"/>
  <c r="O1783" i="1"/>
  <c r="J1783" i="1"/>
  <c r="I1783" i="1"/>
  <c r="H1783" i="1"/>
  <c r="G1783" i="1"/>
  <c r="E1783" i="1"/>
  <c r="D1783" i="1"/>
  <c r="C1783" i="1"/>
  <c r="B1783" i="1"/>
  <c r="K1782" i="1"/>
  <c r="F1782" i="1"/>
  <c r="K1781" i="1"/>
  <c r="F1781" i="1"/>
  <c r="K1780" i="1"/>
  <c r="F1780" i="1"/>
  <c r="L1780" i="1" s="1"/>
  <c r="K1779" i="1"/>
  <c r="F1779" i="1"/>
  <c r="L1779" i="1" s="1"/>
  <c r="K1778" i="1"/>
  <c r="F1778" i="1"/>
  <c r="K1777" i="1"/>
  <c r="F1777" i="1"/>
  <c r="K1776" i="1"/>
  <c r="F1776" i="1"/>
  <c r="X1775" i="1"/>
  <c r="S1775" i="1"/>
  <c r="K1775" i="1"/>
  <c r="F1775" i="1"/>
  <c r="X1774" i="1"/>
  <c r="S1774" i="1"/>
  <c r="K1774" i="1"/>
  <c r="F1774" i="1"/>
  <c r="K1773" i="1"/>
  <c r="F1773" i="1"/>
  <c r="S1772" i="1"/>
  <c r="K1772" i="1"/>
  <c r="F1772" i="1"/>
  <c r="K1771" i="1"/>
  <c r="F1771" i="1"/>
  <c r="K1770" i="1"/>
  <c r="F1770" i="1"/>
  <c r="X1769" i="1"/>
  <c r="S1769" i="1"/>
  <c r="K1769" i="1"/>
  <c r="F1769" i="1"/>
  <c r="X1768" i="1"/>
  <c r="S1768" i="1"/>
  <c r="K1768" i="1"/>
  <c r="F1768" i="1"/>
  <c r="X1767" i="1"/>
  <c r="S1767" i="1"/>
  <c r="K1767" i="1"/>
  <c r="F1767" i="1"/>
  <c r="X1766" i="1"/>
  <c r="S1766" i="1"/>
  <c r="K1766" i="1"/>
  <c r="F1766" i="1"/>
  <c r="X1765" i="1"/>
  <c r="S1765" i="1"/>
  <c r="K1765" i="1"/>
  <c r="F1765" i="1"/>
  <c r="X1764" i="1"/>
  <c r="S1764" i="1"/>
  <c r="X1763" i="1"/>
  <c r="S1763" i="1"/>
  <c r="X1762" i="1"/>
  <c r="S1762" i="1"/>
  <c r="X1761" i="1"/>
  <c r="S1761" i="1"/>
  <c r="K1761" i="1"/>
  <c r="F1761" i="1"/>
  <c r="X1760" i="1"/>
  <c r="S1760" i="1"/>
  <c r="K1760" i="1"/>
  <c r="F1760" i="1"/>
  <c r="X1759" i="1"/>
  <c r="S1759" i="1"/>
  <c r="K1759" i="1"/>
  <c r="F1759" i="1"/>
  <c r="X1758" i="1"/>
  <c r="S1758" i="1"/>
  <c r="K1758" i="1"/>
  <c r="F1758" i="1"/>
  <c r="X1756" i="1"/>
  <c r="S1756" i="1"/>
  <c r="K1756" i="1"/>
  <c r="F1756" i="1"/>
  <c r="X1755" i="1"/>
  <c r="S1755" i="1"/>
  <c r="X1754" i="1"/>
  <c r="S1754" i="1"/>
  <c r="J1745" i="1"/>
  <c r="I1745" i="1"/>
  <c r="H1745" i="1"/>
  <c r="G1745" i="1"/>
  <c r="E1745" i="1"/>
  <c r="D1745" i="1"/>
  <c r="C1745" i="1"/>
  <c r="B1745" i="1"/>
  <c r="K1744" i="1"/>
  <c r="F1744" i="1"/>
  <c r="K1743" i="1"/>
  <c r="F1743" i="1"/>
  <c r="K1742" i="1"/>
  <c r="F1742" i="1"/>
  <c r="K1741" i="1"/>
  <c r="F1741" i="1"/>
  <c r="K1740" i="1"/>
  <c r="F1740" i="1"/>
  <c r="K1739" i="1"/>
  <c r="F1739" i="1"/>
  <c r="K1738" i="1"/>
  <c r="F1738" i="1"/>
  <c r="K1737" i="1"/>
  <c r="F1737" i="1"/>
  <c r="K1736" i="1"/>
  <c r="F1736" i="1"/>
  <c r="K1735" i="1"/>
  <c r="F1735" i="1"/>
  <c r="K1734" i="1"/>
  <c r="F1734" i="1"/>
  <c r="K1733" i="1"/>
  <c r="F1733" i="1"/>
  <c r="K1730" i="1"/>
  <c r="F1730" i="1"/>
  <c r="K1729" i="1"/>
  <c r="F1729" i="1"/>
  <c r="K1728" i="1"/>
  <c r="F1728" i="1"/>
  <c r="K1727" i="1"/>
  <c r="F1727" i="1"/>
  <c r="K1726" i="1"/>
  <c r="F1726" i="1"/>
  <c r="K1725" i="1"/>
  <c r="F1725" i="1"/>
  <c r="K1723" i="1"/>
  <c r="F1723" i="1"/>
  <c r="K1722" i="1"/>
  <c r="F1722" i="1"/>
  <c r="K1721" i="1"/>
  <c r="F1721" i="1"/>
  <c r="K1720" i="1"/>
  <c r="F1720" i="1"/>
  <c r="S1665" i="1"/>
  <c r="X1665" i="1"/>
  <c r="Q1745" i="1"/>
  <c r="P1745" i="1"/>
  <c r="X1736" i="1"/>
  <c r="S1736" i="1"/>
  <c r="X1735" i="1"/>
  <c r="S1735" i="1"/>
  <c r="X1733" i="1"/>
  <c r="S1733" i="1"/>
  <c r="X1732" i="1"/>
  <c r="S1732" i="1"/>
  <c r="X1731" i="1"/>
  <c r="S1731" i="1"/>
  <c r="X1730" i="1"/>
  <c r="S1730" i="1"/>
  <c r="X1729" i="1"/>
  <c r="S1729" i="1"/>
  <c r="X1728" i="1"/>
  <c r="S1728" i="1"/>
  <c r="X1727" i="1"/>
  <c r="S1727" i="1"/>
  <c r="X1726" i="1"/>
  <c r="S1726" i="1"/>
  <c r="X1725" i="1"/>
  <c r="S1725" i="1"/>
  <c r="X1724" i="1"/>
  <c r="S1724" i="1"/>
  <c r="X1723" i="1"/>
  <c r="S1723" i="1"/>
  <c r="X1722" i="1"/>
  <c r="S1722" i="1"/>
  <c r="X1721" i="1"/>
  <c r="S1721" i="1"/>
  <c r="X1718" i="1"/>
  <c r="S1718" i="1"/>
  <c r="X1717" i="1"/>
  <c r="S1717" i="1"/>
  <c r="X1716" i="1"/>
  <c r="S1716" i="1"/>
  <c r="S1664" i="1"/>
  <c r="X1664" i="1"/>
  <c r="S1663" i="1"/>
  <c r="X1663" i="1"/>
  <c r="S1698" i="1"/>
  <c r="X1698" i="1"/>
  <c r="X1655" i="1"/>
  <c r="S1655" i="1"/>
  <c r="K1649" i="1"/>
  <c r="F1649" i="1"/>
  <c r="K1646" i="1"/>
  <c r="F1646" i="1"/>
  <c r="S1623" i="1"/>
  <c r="X1623" i="1"/>
  <c r="X1644" i="1"/>
  <c r="S1644" i="1"/>
  <c r="C1610" i="1"/>
  <c r="C1631" i="1" s="1"/>
  <c r="X1613" i="1"/>
  <c r="S1613" i="1"/>
  <c r="Y1613" i="1" s="1"/>
  <c r="S1678" i="1"/>
  <c r="X1678" i="1"/>
  <c r="U1707" i="1"/>
  <c r="Q1707" i="1"/>
  <c r="J1707" i="1"/>
  <c r="I1707" i="1"/>
  <c r="H1707" i="1"/>
  <c r="G1707" i="1"/>
  <c r="E1707" i="1"/>
  <c r="C1707" i="1"/>
  <c r="B1707" i="1"/>
  <c r="K1706" i="1"/>
  <c r="F1706" i="1"/>
  <c r="K1705" i="1"/>
  <c r="F1705" i="1"/>
  <c r="K1704" i="1"/>
  <c r="F1704" i="1"/>
  <c r="K1703" i="1"/>
  <c r="F1703" i="1"/>
  <c r="K1702" i="1"/>
  <c r="F1702" i="1"/>
  <c r="K1701" i="1"/>
  <c r="F1701" i="1"/>
  <c r="K1700" i="1"/>
  <c r="F1700" i="1"/>
  <c r="K1699" i="1"/>
  <c r="F1699" i="1"/>
  <c r="K1698" i="1"/>
  <c r="F1698" i="1"/>
  <c r="X1697" i="1"/>
  <c r="S1697" i="1"/>
  <c r="K1697" i="1"/>
  <c r="F1697" i="1"/>
  <c r="X1696" i="1"/>
  <c r="S1696" i="1"/>
  <c r="K1696" i="1"/>
  <c r="F1696" i="1"/>
  <c r="X1695" i="1"/>
  <c r="S1695" i="1"/>
  <c r="K1695" i="1"/>
  <c r="F1695" i="1"/>
  <c r="X1694" i="1"/>
  <c r="S1694" i="1"/>
  <c r="K1694" i="1"/>
  <c r="F1694" i="1"/>
  <c r="X1693" i="1"/>
  <c r="S1693" i="1"/>
  <c r="K1693" i="1"/>
  <c r="F1693" i="1"/>
  <c r="X1692" i="1"/>
  <c r="S1692" i="1"/>
  <c r="K1692" i="1"/>
  <c r="F1692" i="1"/>
  <c r="X1691" i="1"/>
  <c r="S1691" i="1"/>
  <c r="K1691" i="1"/>
  <c r="F1691" i="1"/>
  <c r="X1690" i="1"/>
  <c r="S1690" i="1"/>
  <c r="K1690" i="1"/>
  <c r="F1690" i="1"/>
  <c r="X1689" i="1"/>
  <c r="S1689" i="1"/>
  <c r="K1689" i="1"/>
  <c r="F1689" i="1"/>
  <c r="X1688" i="1"/>
  <c r="S1688" i="1"/>
  <c r="K1688" i="1"/>
  <c r="X1687" i="1"/>
  <c r="S1687" i="1"/>
  <c r="K1687" i="1"/>
  <c r="F1687" i="1"/>
  <c r="X1686" i="1"/>
  <c r="S1686" i="1"/>
  <c r="K1686" i="1"/>
  <c r="F1686" i="1"/>
  <c r="X1685" i="1"/>
  <c r="S1685" i="1"/>
  <c r="K1685" i="1"/>
  <c r="F1685" i="1"/>
  <c r="X1684" i="1"/>
  <c r="S1684" i="1"/>
  <c r="K1684" i="1"/>
  <c r="F1684" i="1"/>
  <c r="X1683" i="1"/>
  <c r="S1683" i="1"/>
  <c r="K1683" i="1"/>
  <c r="F1683" i="1"/>
  <c r="X1682" i="1"/>
  <c r="S1682" i="1"/>
  <c r="X1680" i="1"/>
  <c r="S1680" i="1"/>
  <c r="X1679" i="1"/>
  <c r="S1679" i="1"/>
  <c r="X1564" i="1"/>
  <c r="S1564" i="1"/>
  <c r="S1592" i="1"/>
  <c r="X1592" i="1"/>
  <c r="X1629" i="1"/>
  <c r="S1629" i="1"/>
  <c r="X1666" i="1"/>
  <c r="S1666" i="1"/>
  <c r="X1563" i="1"/>
  <c r="S1563" i="1"/>
  <c r="S1606" i="1"/>
  <c r="X1606" i="1"/>
  <c r="X1590" i="1"/>
  <c r="S1590" i="1"/>
  <c r="S1591" i="1"/>
  <c r="X1591" i="1"/>
  <c r="X1630" i="1"/>
  <c r="S1630" i="1"/>
  <c r="S1602" i="1"/>
  <c r="X1602" i="1"/>
  <c r="W1669" i="1"/>
  <c r="V1669" i="1"/>
  <c r="U1669" i="1"/>
  <c r="T1669" i="1"/>
  <c r="R1669" i="1"/>
  <c r="Q1669" i="1"/>
  <c r="P1669" i="1"/>
  <c r="O1669" i="1"/>
  <c r="J1669" i="1"/>
  <c r="I1669" i="1"/>
  <c r="H1669" i="1"/>
  <c r="G1669" i="1"/>
  <c r="E1669" i="1"/>
  <c r="D1669" i="1"/>
  <c r="C1669" i="1"/>
  <c r="B1669" i="1"/>
  <c r="X1668" i="1"/>
  <c r="S1668" i="1"/>
  <c r="K1668" i="1"/>
  <c r="F1668" i="1"/>
  <c r="X1667" i="1"/>
  <c r="S1667" i="1"/>
  <c r="K1667" i="1"/>
  <c r="F1667" i="1"/>
  <c r="K1666" i="1"/>
  <c r="F1666" i="1"/>
  <c r="K1665" i="1"/>
  <c r="F1665" i="1"/>
  <c r="K1664" i="1"/>
  <c r="F1664" i="1"/>
  <c r="K1663" i="1"/>
  <c r="F1663" i="1"/>
  <c r="X1662" i="1"/>
  <c r="S1662" i="1"/>
  <c r="K1662" i="1"/>
  <c r="F1662" i="1"/>
  <c r="X1661" i="1"/>
  <c r="S1661" i="1"/>
  <c r="K1661" i="1"/>
  <c r="F1661" i="1"/>
  <c r="X1660" i="1"/>
  <c r="S1660" i="1"/>
  <c r="K1660" i="1"/>
  <c r="F1660" i="1"/>
  <c r="X1659" i="1"/>
  <c r="S1659" i="1"/>
  <c r="K1659" i="1"/>
  <c r="F1659" i="1"/>
  <c r="X1658" i="1"/>
  <c r="S1658" i="1"/>
  <c r="X1657" i="1"/>
  <c r="S1657" i="1"/>
  <c r="K1657" i="1"/>
  <c r="F1657" i="1"/>
  <c r="X1656" i="1"/>
  <c r="S1656" i="1"/>
  <c r="K1656" i="1"/>
  <c r="F1656" i="1"/>
  <c r="K1655" i="1"/>
  <c r="F1655" i="1"/>
  <c r="L1655" i="1" s="1"/>
  <c r="X1654" i="1"/>
  <c r="S1654" i="1"/>
  <c r="K1654" i="1"/>
  <c r="F1654" i="1"/>
  <c r="X1653" i="1"/>
  <c r="S1653" i="1"/>
  <c r="K1653" i="1"/>
  <c r="F1653" i="1"/>
  <c r="X1652" i="1"/>
  <c r="S1652" i="1"/>
  <c r="K1652" i="1"/>
  <c r="F1652" i="1"/>
  <c r="X1651" i="1"/>
  <c r="S1651" i="1"/>
  <c r="K1651" i="1"/>
  <c r="F1651" i="1"/>
  <c r="X1650" i="1"/>
  <c r="S1650" i="1"/>
  <c r="Y1650" i="1" s="1"/>
  <c r="K1650" i="1"/>
  <c r="F1650" i="1"/>
  <c r="X1649" i="1"/>
  <c r="S1649" i="1"/>
  <c r="X1648" i="1"/>
  <c r="S1648" i="1"/>
  <c r="Y1648" i="1" s="1"/>
  <c r="K1648" i="1"/>
  <c r="F1648" i="1"/>
  <c r="X1647" i="1"/>
  <c r="S1647" i="1"/>
  <c r="K1647" i="1"/>
  <c r="F1647" i="1"/>
  <c r="X1646" i="1"/>
  <c r="S1646" i="1"/>
  <c r="X1645" i="1"/>
  <c r="S1645" i="1"/>
  <c r="K1645" i="1"/>
  <c r="F1645" i="1"/>
  <c r="K1644" i="1"/>
  <c r="F1644" i="1"/>
  <c r="X1642" i="1"/>
  <c r="S1642" i="1"/>
  <c r="K1642" i="1"/>
  <c r="F1642" i="1"/>
  <c r="L1642" i="1" s="1"/>
  <c r="X1641" i="1"/>
  <c r="S1641" i="1"/>
  <c r="K1641" i="1"/>
  <c r="F1641" i="1"/>
  <c r="X1640" i="1"/>
  <c r="K1640" i="1"/>
  <c r="F1640" i="1"/>
  <c r="X1639" i="1"/>
  <c r="S1639" i="1"/>
  <c r="K1639" i="1"/>
  <c r="F1639" i="1"/>
  <c r="X1589" i="1"/>
  <c r="S1589" i="1"/>
  <c r="X1588" i="1"/>
  <c r="S1588" i="1"/>
  <c r="X1587" i="1"/>
  <c r="S1587" i="1"/>
  <c r="X1586" i="1"/>
  <c r="S1586" i="1"/>
  <c r="X1585" i="1"/>
  <c r="S1585" i="1"/>
  <c r="X1584" i="1"/>
  <c r="S1584" i="1"/>
  <c r="X1583" i="1"/>
  <c r="S1583" i="1"/>
  <c r="X1582" i="1"/>
  <c r="S1582" i="1"/>
  <c r="X1581" i="1"/>
  <c r="S1581" i="1"/>
  <c r="X1580" i="1"/>
  <c r="S1580" i="1"/>
  <c r="X1579" i="1"/>
  <c r="S1579" i="1"/>
  <c r="X1578" i="1"/>
  <c r="S1578" i="1"/>
  <c r="X1577" i="1"/>
  <c r="S1577" i="1"/>
  <c r="X1576" i="1"/>
  <c r="S1576" i="1"/>
  <c r="X1575" i="1"/>
  <c r="S1575" i="1"/>
  <c r="X1574" i="1"/>
  <c r="S1574" i="1"/>
  <c r="X1573" i="1"/>
  <c r="S1573" i="1"/>
  <c r="X1572" i="1"/>
  <c r="S1572" i="1"/>
  <c r="X1571" i="1"/>
  <c r="S1571" i="1"/>
  <c r="X1570" i="1"/>
  <c r="S1570" i="1"/>
  <c r="X1569" i="1"/>
  <c r="S1569" i="1"/>
  <c r="X1568" i="1"/>
  <c r="S1568" i="1"/>
  <c r="X1549" i="1"/>
  <c r="S1549" i="1"/>
  <c r="X1527" i="1"/>
  <c r="S1527" i="1"/>
  <c r="F1601" i="1"/>
  <c r="K1601" i="1"/>
  <c r="J1631" i="1"/>
  <c r="I1631" i="1"/>
  <c r="H1631" i="1"/>
  <c r="G1631" i="1"/>
  <c r="E1631" i="1"/>
  <c r="D1631" i="1"/>
  <c r="B1631" i="1"/>
  <c r="K1630" i="1"/>
  <c r="F1630" i="1"/>
  <c r="K1629" i="1"/>
  <c r="F1629" i="1"/>
  <c r="L1629" i="1" s="1"/>
  <c r="K1628" i="1"/>
  <c r="F1628" i="1"/>
  <c r="K1627" i="1"/>
  <c r="F1627" i="1"/>
  <c r="K1626" i="1"/>
  <c r="F1626" i="1"/>
  <c r="K1625" i="1"/>
  <c r="F1625" i="1"/>
  <c r="K1624" i="1"/>
  <c r="F1624" i="1"/>
  <c r="K1623" i="1"/>
  <c r="F1623" i="1"/>
  <c r="K1622" i="1"/>
  <c r="F1622" i="1"/>
  <c r="K1621" i="1"/>
  <c r="F1621" i="1"/>
  <c r="K1620" i="1"/>
  <c r="F1620" i="1"/>
  <c r="K1619" i="1"/>
  <c r="F1619" i="1"/>
  <c r="K1618" i="1"/>
  <c r="F1618" i="1"/>
  <c r="K1617" i="1"/>
  <c r="F1617" i="1"/>
  <c r="L1617" i="1" s="1"/>
  <c r="K1616" i="1"/>
  <c r="F1616" i="1"/>
  <c r="K1615" i="1"/>
  <c r="F1615" i="1"/>
  <c r="K1614" i="1"/>
  <c r="F1614" i="1"/>
  <c r="K1613" i="1"/>
  <c r="F1613" i="1"/>
  <c r="K1612" i="1"/>
  <c r="F1612" i="1"/>
  <c r="K1611" i="1"/>
  <c r="F1611" i="1"/>
  <c r="K1610" i="1"/>
  <c r="K1609" i="1"/>
  <c r="F1609" i="1"/>
  <c r="K1608" i="1"/>
  <c r="F1608" i="1"/>
  <c r="K1607" i="1"/>
  <c r="F1607" i="1"/>
  <c r="K1606" i="1"/>
  <c r="F1606" i="1"/>
  <c r="K1604" i="1"/>
  <c r="F1604" i="1"/>
  <c r="K1603" i="1"/>
  <c r="F1603" i="1"/>
  <c r="K1602" i="1"/>
  <c r="F1602" i="1"/>
  <c r="S1627" i="1"/>
  <c r="X1627" i="1"/>
  <c r="S1628" i="1"/>
  <c r="X1628" i="1"/>
  <c r="S1607" i="1"/>
  <c r="X1607" i="1"/>
  <c r="S1608" i="1"/>
  <c r="X1608" i="1"/>
  <c r="S1609" i="1"/>
  <c r="X1609" i="1"/>
  <c r="S1610" i="1"/>
  <c r="X1610" i="1"/>
  <c r="W1631" i="1"/>
  <c r="V1631" i="1"/>
  <c r="U1631" i="1"/>
  <c r="T1631" i="1"/>
  <c r="R1631" i="1"/>
  <c r="Q1631" i="1"/>
  <c r="P1631" i="1"/>
  <c r="O1631" i="1"/>
  <c r="X1626" i="1"/>
  <c r="S1626" i="1"/>
  <c r="X1625" i="1"/>
  <c r="S1625" i="1"/>
  <c r="X1624" i="1"/>
  <c r="S1624" i="1"/>
  <c r="X1622" i="1"/>
  <c r="S1622" i="1"/>
  <c r="X1621" i="1"/>
  <c r="S1621" i="1"/>
  <c r="X1620" i="1"/>
  <c r="S1620" i="1"/>
  <c r="X1619" i="1"/>
  <c r="S1619" i="1"/>
  <c r="X1618" i="1"/>
  <c r="S1618" i="1"/>
  <c r="X1617" i="1"/>
  <c r="S1617" i="1"/>
  <c r="X1616" i="1"/>
  <c r="S1616" i="1"/>
  <c r="X1615" i="1"/>
  <c r="S1615" i="1"/>
  <c r="X1614" i="1"/>
  <c r="S1614" i="1"/>
  <c r="X1612" i="1"/>
  <c r="S1612" i="1"/>
  <c r="X1611" i="1"/>
  <c r="S1611" i="1"/>
  <c r="X1604" i="1"/>
  <c r="S1604" i="1"/>
  <c r="X1603" i="1"/>
  <c r="S1603" i="1"/>
  <c r="X1601" i="1"/>
  <c r="S1601" i="1"/>
  <c r="S1550" i="1"/>
  <c r="X1550" i="1"/>
  <c r="X1554" i="1"/>
  <c r="S1554" i="1"/>
  <c r="X1526" i="1"/>
  <c r="S1526" i="1"/>
  <c r="X1540" i="1"/>
  <c r="S1540" i="1"/>
  <c r="F1532" i="1"/>
  <c r="X1553" i="1"/>
  <c r="S1553" i="1"/>
  <c r="X1552" i="1"/>
  <c r="S1552" i="1"/>
  <c r="X1551" i="1"/>
  <c r="S1551" i="1"/>
  <c r="E1526" i="1"/>
  <c r="D1526" i="1"/>
  <c r="C1526" i="1"/>
  <c r="B1526" i="1"/>
  <c r="X1488" i="1"/>
  <c r="S1488" i="1"/>
  <c r="F1452" i="1"/>
  <c r="E1496" i="1"/>
  <c r="F1496" i="1" s="1"/>
  <c r="K1496" i="1"/>
  <c r="X1506" i="1"/>
  <c r="S1506" i="1"/>
  <c r="V1517" i="1"/>
  <c r="X1516" i="1"/>
  <c r="D1488" i="1"/>
  <c r="C1488" i="1"/>
  <c r="S1513" i="1"/>
  <c r="X1513" i="1"/>
  <c r="S1516" i="1"/>
  <c r="X1487" i="1"/>
  <c r="S1487" i="1"/>
  <c r="X1473" i="1"/>
  <c r="S1473" i="1"/>
  <c r="S1512" i="1"/>
  <c r="X1512" i="1"/>
  <c r="S1514" i="1"/>
  <c r="X1514" i="1"/>
  <c r="S1515" i="1"/>
  <c r="W1517" i="1"/>
  <c r="X1515" i="1"/>
  <c r="W1593" i="1"/>
  <c r="V1593" i="1"/>
  <c r="U1593" i="1"/>
  <c r="T1593" i="1"/>
  <c r="R1593" i="1"/>
  <c r="Q1593" i="1"/>
  <c r="P1593" i="1"/>
  <c r="O1593" i="1"/>
  <c r="X1566" i="1"/>
  <c r="S1566" i="1"/>
  <c r="X1565" i="1"/>
  <c r="S1565" i="1"/>
  <c r="S1511" i="1"/>
  <c r="X1511" i="1"/>
  <c r="S1474" i="1"/>
  <c r="X1474" i="1"/>
  <c r="X1476" i="1"/>
  <c r="S1476" i="1"/>
  <c r="X1475" i="1"/>
  <c r="S1475" i="1"/>
  <c r="S1472" i="1"/>
  <c r="X1472" i="1"/>
  <c r="R1517" i="1"/>
  <c r="X1462" i="1"/>
  <c r="S1462" i="1"/>
  <c r="S1457" i="1"/>
  <c r="X1457" i="1"/>
  <c r="X1454" i="1"/>
  <c r="S1454" i="1"/>
  <c r="S1455" i="1"/>
  <c r="X1455" i="1"/>
  <c r="S1456" i="1"/>
  <c r="X1456" i="1"/>
  <c r="X1436" i="1"/>
  <c r="S1436" i="1"/>
  <c r="X1435" i="1"/>
  <c r="S1435" i="1"/>
  <c r="X1434" i="1"/>
  <c r="S1434" i="1"/>
  <c r="J1593" i="1"/>
  <c r="I1593" i="1"/>
  <c r="H1593" i="1"/>
  <c r="G1593" i="1"/>
  <c r="E1593" i="1"/>
  <c r="D1593" i="1"/>
  <c r="C1593" i="1"/>
  <c r="B1593" i="1"/>
  <c r="K1592" i="1"/>
  <c r="F1592" i="1"/>
  <c r="K1591" i="1"/>
  <c r="F1591" i="1"/>
  <c r="K1590" i="1"/>
  <c r="F1590" i="1"/>
  <c r="K1589" i="1"/>
  <c r="F1589" i="1"/>
  <c r="K1588" i="1"/>
  <c r="F1588" i="1"/>
  <c r="K1587" i="1"/>
  <c r="F1587" i="1"/>
  <c r="K1586" i="1"/>
  <c r="F1586" i="1"/>
  <c r="K1585" i="1"/>
  <c r="F1585" i="1"/>
  <c r="K1584" i="1"/>
  <c r="F1584" i="1"/>
  <c r="K1583" i="1"/>
  <c r="F1583" i="1"/>
  <c r="K1582" i="1"/>
  <c r="F1582" i="1"/>
  <c r="K1581" i="1"/>
  <c r="F1581" i="1"/>
  <c r="K1580" i="1"/>
  <c r="F1580" i="1"/>
  <c r="K1579" i="1"/>
  <c r="F1579" i="1"/>
  <c r="K1578" i="1"/>
  <c r="F1578" i="1"/>
  <c r="K1577" i="1"/>
  <c r="F1577" i="1"/>
  <c r="K1576" i="1"/>
  <c r="F1576" i="1"/>
  <c r="K1575" i="1"/>
  <c r="F1575" i="1"/>
  <c r="K1574" i="1"/>
  <c r="F1574" i="1"/>
  <c r="K1573" i="1"/>
  <c r="F1573" i="1"/>
  <c r="K1572" i="1"/>
  <c r="F1572" i="1"/>
  <c r="K1571" i="1"/>
  <c r="F1571" i="1"/>
  <c r="K1570" i="1"/>
  <c r="F1570" i="1"/>
  <c r="K1569" i="1"/>
  <c r="F1569" i="1"/>
  <c r="K1568" i="1"/>
  <c r="F1568" i="1"/>
  <c r="K1566" i="1"/>
  <c r="F1566" i="1"/>
  <c r="K1565" i="1"/>
  <c r="F1565" i="1"/>
  <c r="K1564" i="1"/>
  <c r="F1564" i="1"/>
  <c r="K1563" i="1"/>
  <c r="F1563" i="1"/>
  <c r="S1439" i="1"/>
  <c r="X1439" i="1"/>
  <c r="V1479" i="1"/>
  <c r="X1430" i="1"/>
  <c r="S1430" i="1"/>
  <c r="X1433" i="1"/>
  <c r="S1433" i="1"/>
  <c r="X1432" i="1"/>
  <c r="S1432" i="1"/>
  <c r="X1431" i="1"/>
  <c r="S1431" i="1"/>
  <c r="X1429" i="1"/>
  <c r="S1429" i="1"/>
  <c r="X1428" i="1"/>
  <c r="S1428" i="1"/>
  <c r="X1427" i="1"/>
  <c r="S1427" i="1"/>
  <c r="X1426" i="1"/>
  <c r="S1426" i="1"/>
  <c r="X1425" i="1"/>
  <c r="S1425" i="1"/>
  <c r="X1424" i="1"/>
  <c r="S1424" i="1"/>
  <c r="X1423" i="1"/>
  <c r="S1423" i="1"/>
  <c r="K1430" i="1"/>
  <c r="F1430" i="1"/>
  <c r="K1429" i="1"/>
  <c r="F1429" i="1"/>
  <c r="K1428" i="1"/>
  <c r="F1428" i="1"/>
  <c r="K1427" i="1"/>
  <c r="F1427" i="1"/>
  <c r="K1426" i="1"/>
  <c r="F1426" i="1"/>
  <c r="K1425" i="1"/>
  <c r="F1425" i="1"/>
  <c r="K1424" i="1"/>
  <c r="F1424" i="1"/>
  <c r="K1423" i="1"/>
  <c r="F1423" i="1"/>
  <c r="K1422" i="1"/>
  <c r="F1422" i="1"/>
  <c r="K1421" i="1"/>
  <c r="F1421" i="1"/>
  <c r="K1420" i="1"/>
  <c r="F1420" i="1"/>
  <c r="X1422" i="1"/>
  <c r="S1422" i="1"/>
  <c r="X1421" i="1"/>
  <c r="S1421" i="1"/>
  <c r="X1420" i="1"/>
  <c r="S1420" i="1"/>
  <c r="X1419" i="1"/>
  <c r="S1419" i="1"/>
  <c r="X1418" i="1"/>
  <c r="S1418" i="1"/>
  <c r="X1417" i="1"/>
  <c r="R1417" i="1"/>
  <c r="R1441" i="1" s="1"/>
  <c r="Q1417" i="1"/>
  <c r="P1417" i="1"/>
  <c r="P1441" i="1" s="1"/>
  <c r="O1417" i="1"/>
  <c r="O1441" i="1" s="1"/>
  <c r="S1376" i="1"/>
  <c r="X1376" i="1"/>
  <c r="F1440" i="1"/>
  <c r="K1440" i="1"/>
  <c r="J1555" i="1"/>
  <c r="I1555" i="1"/>
  <c r="H1555" i="1"/>
  <c r="G1555" i="1"/>
  <c r="E1555" i="1"/>
  <c r="D1555" i="1"/>
  <c r="C1555" i="1"/>
  <c r="B1555" i="1"/>
  <c r="K1554" i="1"/>
  <c r="F1554" i="1"/>
  <c r="K1553" i="1"/>
  <c r="F1553" i="1"/>
  <c r="K1552" i="1"/>
  <c r="F1552" i="1"/>
  <c r="K1551" i="1"/>
  <c r="F1551" i="1"/>
  <c r="L1551" i="1" s="1"/>
  <c r="K1550" i="1"/>
  <c r="F1550" i="1"/>
  <c r="K1549" i="1"/>
  <c r="F1549" i="1"/>
  <c r="K1548" i="1"/>
  <c r="F1548" i="1"/>
  <c r="K1547" i="1"/>
  <c r="F1547" i="1"/>
  <c r="K1546" i="1"/>
  <c r="F1546" i="1"/>
  <c r="K1545" i="1"/>
  <c r="F1545" i="1"/>
  <c r="K1544" i="1"/>
  <c r="F1544" i="1"/>
  <c r="K1543" i="1"/>
  <c r="F1543" i="1"/>
  <c r="K1542" i="1"/>
  <c r="F1542" i="1"/>
  <c r="K1541" i="1"/>
  <c r="F1541" i="1"/>
  <c r="K1540" i="1"/>
  <c r="F1540" i="1"/>
  <c r="K1539" i="1"/>
  <c r="F1539" i="1"/>
  <c r="L1539" i="1" s="1"/>
  <c r="K1538" i="1"/>
  <c r="F1538" i="1"/>
  <c r="K1537" i="1"/>
  <c r="F1537" i="1"/>
  <c r="K1536" i="1"/>
  <c r="F1536" i="1"/>
  <c r="K1535" i="1"/>
  <c r="F1535" i="1"/>
  <c r="K1534" i="1"/>
  <c r="F1534" i="1"/>
  <c r="K1533" i="1"/>
  <c r="F1533" i="1"/>
  <c r="K1532" i="1"/>
  <c r="K1531" i="1"/>
  <c r="F1531" i="1"/>
  <c r="K1530" i="1"/>
  <c r="F1530" i="1"/>
  <c r="K1528" i="1"/>
  <c r="F1528" i="1"/>
  <c r="K1527" i="1"/>
  <c r="F1527" i="1"/>
  <c r="K1526" i="1"/>
  <c r="K1525" i="1"/>
  <c r="F1525" i="1"/>
  <c r="W1555" i="1"/>
  <c r="V1555" i="1"/>
  <c r="U1555" i="1"/>
  <c r="T1555" i="1"/>
  <c r="R1555" i="1"/>
  <c r="Q1555" i="1"/>
  <c r="P1555" i="1"/>
  <c r="O1555" i="1"/>
  <c r="X1548" i="1"/>
  <c r="S1548" i="1"/>
  <c r="X1547" i="1"/>
  <c r="S1547" i="1"/>
  <c r="X1546" i="1"/>
  <c r="S1546" i="1"/>
  <c r="X1545" i="1"/>
  <c r="S1545" i="1"/>
  <c r="X1544" i="1"/>
  <c r="S1544" i="1"/>
  <c r="X1543" i="1"/>
  <c r="S1543" i="1"/>
  <c r="X1542" i="1"/>
  <c r="S1542" i="1"/>
  <c r="X1541" i="1"/>
  <c r="S1541" i="1"/>
  <c r="Y1541" i="1" s="1"/>
  <c r="X1539" i="1"/>
  <c r="S1539" i="1"/>
  <c r="X1538" i="1"/>
  <c r="S1538" i="1"/>
  <c r="X1537" i="1"/>
  <c r="S1537" i="1"/>
  <c r="X1536" i="1"/>
  <c r="S1536" i="1"/>
  <c r="X1535" i="1"/>
  <c r="S1535" i="1"/>
  <c r="X1534" i="1"/>
  <c r="S1534" i="1"/>
  <c r="X1533" i="1"/>
  <c r="S1533" i="1"/>
  <c r="X1532" i="1"/>
  <c r="S1532" i="1"/>
  <c r="X1531" i="1"/>
  <c r="S1531" i="1"/>
  <c r="X1530" i="1"/>
  <c r="S1530" i="1"/>
  <c r="X1528" i="1"/>
  <c r="S1528" i="1"/>
  <c r="X1525" i="1"/>
  <c r="S1525" i="1"/>
  <c r="X1395" i="1"/>
  <c r="S1395" i="1"/>
  <c r="X1394" i="1"/>
  <c r="S1394" i="1"/>
  <c r="X1393" i="1"/>
  <c r="S1393" i="1"/>
  <c r="X1392" i="1"/>
  <c r="S1392" i="1"/>
  <c r="X1391" i="1"/>
  <c r="S1391" i="1"/>
  <c r="X1390" i="1"/>
  <c r="S1390" i="1"/>
  <c r="X1389" i="1"/>
  <c r="S1389" i="1"/>
  <c r="X1388" i="1"/>
  <c r="S1388" i="1"/>
  <c r="X1387" i="1"/>
  <c r="S1387" i="1"/>
  <c r="X1386" i="1"/>
  <c r="S1386" i="1"/>
  <c r="X1385" i="1"/>
  <c r="S1385" i="1"/>
  <c r="X1384" i="1"/>
  <c r="S1384" i="1"/>
  <c r="X1383" i="1"/>
  <c r="S1383" i="1"/>
  <c r="X1382" i="1"/>
  <c r="S1382" i="1"/>
  <c r="X1381" i="1"/>
  <c r="S1381" i="1"/>
  <c r="X1380" i="1"/>
  <c r="S1380" i="1"/>
  <c r="X1379" i="1"/>
  <c r="S1379" i="1"/>
  <c r="X1378" i="1"/>
  <c r="S1378" i="1"/>
  <c r="X1358" i="1"/>
  <c r="S1358" i="1"/>
  <c r="X1357" i="1"/>
  <c r="S1357" i="1"/>
  <c r="X1356" i="1"/>
  <c r="S1356" i="1"/>
  <c r="X1355" i="1"/>
  <c r="S1355" i="1"/>
  <c r="X1354" i="1"/>
  <c r="S1354" i="1"/>
  <c r="X1353" i="1"/>
  <c r="S1353" i="1"/>
  <c r="X1352" i="1"/>
  <c r="S1352" i="1"/>
  <c r="X1351" i="1"/>
  <c r="S1351" i="1"/>
  <c r="X1350" i="1"/>
  <c r="S1350" i="1"/>
  <c r="X1349" i="1"/>
  <c r="S1349" i="1"/>
  <c r="X1348" i="1"/>
  <c r="S1348" i="1"/>
  <c r="X1347" i="1"/>
  <c r="S1347" i="1"/>
  <c r="X1346" i="1"/>
  <c r="S1346" i="1"/>
  <c r="X1345" i="1"/>
  <c r="S1345" i="1"/>
  <c r="X1344" i="1"/>
  <c r="S1344" i="1"/>
  <c r="X1343" i="1"/>
  <c r="S1343" i="1"/>
  <c r="X1342" i="1"/>
  <c r="S1342" i="1"/>
  <c r="X1341" i="1"/>
  <c r="S1341" i="1"/>
  <c r="X1340" i="1"/>
  <c r="S1340" i="1"/>
  <c r="X1320" i="1"/>
  <c r="S1320" i="1"/>
  <c r="X1319" i="1"/>
  <c r="S1319" i="1"/>
  <c r="X1318" i="1"/>
  <c r="S1318" i="1"/>
  <c r="X1317" i="1"/>
  <c r="S1317" i="1"/>
  <c r="X1316" i="1"/>
  <c r="S1316" i="1"/>
  <c r="X1315" i="1"/>
  <c r="S1315" i="1"/>
  <c r="X1314" i="1"/>
  <c r="S1314" i="1"/>
  <c r="X1313" i="1"/>
  <c r="S1313" i="1"/>
  <c r="X1312" i="1"/>
  <c r="S1312" i="1"/>
  <c r="X1311" i="1"/>
  <c r="S1311" i="1"/>
  <c r="X1310" i="1"/>
  <c r="S1310" i="1"/>
  <c r="X1309" i="1"/>
  <c r="S1309" i="1"/>
  <c r="X1308" i="1"/>
  <c r="S1308" i="1"/>
  <c r="X1307" i="1"/>
  <c r="S1307" i="1"/>
  <c r="X1306" i="1"/>
  <c r="S1306" i="1"/>
  <c r="X1305" i="1"/>
  <c r="S1305" i="1"/>
  <c r="X1304" i="1"/>
  <c r="S1304" i="1"/>
  <c r="X1303" i="1"/>
  <c r="S1303" i="1"/>
  <c r="X1302" i="1"/>
  <c r="S1302" i="1"/>
  <c r="X1285" i="1"/>
  <c r="S1285" i="1"/>
  <c r="X1284" i="1"/>
  <c r="S1284" i="1"/>
  <c r="X1283" i="1"/>
  <c r="S1283" i="1"/>
  <c r="X1282" i="1"/>
  <c r="S1282" i="1"/>
  <c r="X1281" i="1"/>
  <c r="S1281" i="1"/>
  <c r="X1280" i="1"/>
  <c r="S1280" i="1"/>
  <c r="X1279" i="1"/>
  <c r="S1279" i="1"/>
  <c r="X1278" i="1"/>
  <c r="S1278" i="1"/>
  <c r="X1277" i="1"/>
  <c r="S1277" i="1"/>
  <c r="X1276" i="1"/>
  <c r="S1276" i="1"/>
  <c r="X1275" i="1"/>
  <c r="S1275" i="1"/>
  <c r="X1274" i="1"/>
  <c r="S1274" i="1"/>
  <c r="X1273" i="1"/>
  <c r="S1273" i="1"/>
  <c r="X1272" i="1"/>
  <c r="S1272" i="1"/>
  <c r="X1271" i="1"/>
  <c r="S1271" i="1"/>
  <c r="X1270" i="1"/>
  <c r="S1270" i="1"/>
  <c r="X1269" i="1"/>
  <c r="S1269" i="1"/>
  <c r="X1268" i="1"/>
  <c r="S1268" i="1"/>
  <c r="X1267" i="1"/>
  <c r="S1267" i="1"/>
  <c r="X1266" i="1"/>
  <c r="S1266" i="1"/>
  <c r="X1265" i="1"/>
  <c r="S1265" i="1"/>
  <c r="X1264" i="1"/>
  <c r="S1264" i="1"/>
  <c r="X1242" i="1"/>
  <c r="S1242" i="1"/>
  <c r="S1396" i="1"/>
  <c r="X1396" i="1"/>
  <c r="S1397" i="1"/>
  <c r="X1397" i="1"/>
  <c r="S1398" i="1"/>
  <c r="X1398" i="1"/>
  <c r="S1399" i="1"/>
  <c r="X1399" i="1"/>
  <c r="S1400" i="1"/>
  <c r="X1400" i="1"/>
  <c r="Y1400" i="1" s="1"/>
  <c r="W1364" i="1"/>
  <c r="W1365" i="1" s="1"/>
  <c r="V1364" i="1"/>
  <c r="V1365" i="1" s="1"/>
  <c r="U1364" i="1"/>
  <c r="T1364" i="1"/>
  <c r="T1365" i="1" s="1"/>
  <c r="R1364" i="1"/>
  <c r="R1365" i="1" s="1"/>
  <c r="Q1364" i="1"/>
  <c r="Q1365" i="1" s="1"/>
  <c r="P1364" i="1"/>
  <c r="P1365" i="1" s="1"/>
  <c r="O1364" i="1"/>
  <c r="O1365" i="1" s="1"/>
  <c r="X1363" i="1"/>
  <c r="S1363" i="1"/>
  <c r="X1362" i="1"/>
  <c r="S1362" i="1"/>
  <c r="X1361" i="1"/>
  <c r="S1361" i="1"/>
  <c r="X1360" i="1"/>
  <c r="S1360" i="1"/>
  <c r="Y1360" i="1" s="1"/>
  <c r="X1414" i="1"/>
  <c r="S1414" i="1"/>
  <c r="P1403" i="1"/>
  <c r="S1437" i="1"/>
  <c r="X1437" i="1"/>
  <c r="S1438" i="1"/>
  <c r="X1438" i="1"/>
  <c r="S1440" i="1"/>
  <c r="X1440" i="1"/>
  <c r="U1517" i="1"/>
  <c r="Q1517" i="1"/>
  <c r="J1517" i="1"/>
  <c r="I1517" i="1"/>
  <c r="H1517" i="1"/>
  <c r="G1517" i="1"/>
  <c r="E1517" i="1"/>
  <c r="D1517" i="1"/>
  <c r="C1517" i="1"/>
  <c r="B1517" i="1"/>
  <c r="K1516" i="1"/>
  <c r="F1516" i="1"/>
  <c r="K1515" i="1"/>
  <c r="F1515" i="1"/>
  <c r="K1514" i="1"/>
  <c r="F1514" i="1"/>
  <c r="K1513" i="1"/>
  <c r="F1513" i="1"/>
  <c r="K1512" i="1"/>
  <c r="F1512" i="1"/>
  <c r="K1511" i="1"/>
  <c r="F1511" i="1"/>
  <c r="X1510" i="1"/>
  <c r="S1510" i="1"/>
  <c r="K1510" i="1"/>
  <c r="F1510" i="1"/>
  <c r="X1509" i="1"/>
  <c r="S1509" i="1"/>
  <c r="K1509" i="1"/>
  <c r="F1509" i="1"/>
  <c r="X1508" i="1"/>
  <c r="S1508" i="1"/>
  <c r="K1508" i="1"/>
  <c r="F1508" i="1"/>
  <c r="X1507" i="1"/>
  <c r="S1507" i="1"/>
  <c r="K1507" i="1"/>
  <c r="F1507" i="1"/>
  <c r="K1506" i="1"/>
  <c r="F1506" i="1"/>
  <c r="X1505" i="1"/>
  <c r="S1505" i="1"/>
  <c r="K1505" i="1"/>
  <c r="F1505" i="1"/>
  <c r="X1504" i="1"/>
  <c r="S1504" i="1"/>
  <c r="K1504" i="1"/>
  <c r="F1504" i="1"/>
  <c r="X1503" i="1"/>
  <c r="S1503" i="1"/>
  <c r="K1503" i="1"/>
  <c r="F1503" i="1"/>
  <c r="X1502" i="1"/>
  <c r="S1502" i="1"/>
  <c r="K1502" i="1"/>
  <c r="F1502" i="1"/>
  <c r="X1501" i="1"/>
  <c r="S1501" i="1"/>
  <c r="K1501" i="1"/>
  <c r="F1501" i="1"/>
  <c r="X1500" i="1"/>
  <c r="S1500" i="1"/>
  <c r="K1500" i="1"/>
  <c r="F1500" i="1"/>
  <c r="X1499" i="1"/>
  <c r="S1499" i="1"/>
  <c r="K1499" i="1"/>
  <c r="F1499" i="1"/>
  <c r="X1498" i="1"/>
  <c r="S1498" i="1"/>
  <c r="K1498" i="1"/>
  <c r="F1498" i="1"/>
  <c r="X1497" i="1"/>
  <c r="S1497" i="1"/>
  <c r="K1497" i="1"/>
  <c r="F1497" i="1"/>
  <c r="X1496" i="1"/>
  <c r="S1496" i="1"/>
  <c r="X1495" i="1"/>
  <c r="S1495" i="1"/>
  <c r="K1495" i="1"/>
  <c r="F1495" i="1"/>
  <c r="X1494" i="1"/>
  <c r="S1494" i="1"/>
  <c r="K1494" i="1"/>
  <c r="F1494" i="1"/>
  <c r="X1493" i="1"/>
  <c r="S1493" i="1"/>
  <c r="K1493" i="1"/>
  <c r="F1493" i="1"/>
  <c r="X1492" i="1"/>
  <c r="S1492" i="1"/>
  <c r="K1492" i="1"/>
  <c r="F1492" i="1"/>
  <c r="X1490" i="1"/>
  <c r="S1490" i="1"/>
  <c r="K1490" i="1"/>
  <c r="F1490" i="1"/>
  <c r="X1489" i="1"/>
  <c r="S1489" i="1"/>
  <c r="K1489" i="1"/>
  <c r="F1489" i="1"/>
  <c r="K1488" i="1"/>
  <c r="K1487" i="1"/>
  <c r="F1487" i="1"/>
  <c r="X1477" i="1"/>
  <c r="S1477" i="1"/>
  <c r="S1471" i="1"/>
  <c r="X1471" i="1"/>
  <c r="X1478" i="1"/>
  <c r="S1478" i="1"/>
  <c r="W1479" i="1"/>
  <c r="U1479" i="1"/>
  <c r="T1479" i="1"/>
  <c r="R1479" i="1"/>
  <c r="Q1479" i="1"/>
  <c r="P1479" i="1"/>
  <c r="O1479" i="1"/>
  <c r="J1479" i="1"/>
  <c r="I1479" i="1"/>
  <c r="H1479" i="1"/>
  <c r="G1479" i="1"/>
  <c r="E1479" i="1"/>
  <c r="D1479" i="1"/>
  <c r="C1479" i="1"/>
  <c r="B1479" i="1"/>
  <c r="K1478" i="1"/>
  <c r="F1478" i="1"/>
  <c r="K1477" i="1"/>
  <c r="F1477" i="1"/>
  <c r="K1476" i="1"/>
  <c r="F1476" i="1"/>
  <c r="K1475" i="1"/>
  <c r="F1475" i="1"/>
  <c r="K1474" i="1"/>
  <c r="F1474" i="1"/>
  <c r="K1473" i="1"/>
  <c r="F1473" i="1"/>
  <c r="K1472" i="1"/>
  <c r="F1472" i="1"/>
  <c r="K1471" i="1"/>
  <c r="F1471" i="1"/>
  <c r="X1470" i="1"/>
  <c r="S1470" i="1"/>
  <c r="K1470" i="1"/>
  <c r="F1470" i="1"/>
  <c r="X1469" i="1"/>
  <c r="S1469" i="1"/>
  <c r="K1469" i="1"/>
  <c r="F1469" i="1"/>
  <c r="X1468" i="1"/>
  <c r="S1468" i="1"/>
  <c r="K1468" i="1"/>
  <c r="F1468" i="1"/>
  <c r="X1467" i="1"/>
  <c r="S1467" i="1"/>
  <c r="K1467" i="1"/>
  <c r="F1467" i="1"/>
  <c r="X1466" i="1"/>
  <c r="S1466" i="1"/>
  <c r="K1466" i="1"/>
  <c r="F1466" i="1"/>
  <c r="X1465" i="1"/>
  <c r="S1465" i="1"/>
  <c r="K1465" i="1"/>
  <c r="F1465" i="1"/>
  <c r="X1464" i="1"/>
  <c r="S1464" i="1"/>
  <c r="K1464" i="1"/>
  <c r="F1464" i="1"/>
  <c r="X1463" i="1"/>
  <c r="S1463" i="1"/>
  <c r="K1463" i="1"/>
  <c r="F1463" i="1"/>
  <c r="K1462" i="1"/>
  <c r="F1462" i="1"/>
  <c r="X1461" i="1"/>
  <c r="S1461" i="1"/>
  <c r="K1461" i="1"/>
  <c r="F1461" i="1"/>
  <c r="X1460" i="1"/>
  <c r="S1460" i="1"/>
  <c r="K1460" i="1"/>
  <c r="F1460" i="1"/>
  <c r="X1459" i="1"/>
  <c r="S1459" i="1"/>
  <c r="K1459" i="1"/>
  <c r="F1459" i="1"/>
  <c r="X1458" i="1"/>
  <c r="S1458" i="1"/>
  <c r="K1458" i="1"/>
  <c r="F1458" i="1"/>
  <c r="K1457" i="1"/>
  <c r="F1457" i="1"/>
  <c r="K1456" i="1"/>
  <c r="F1456" i="1"/>
  <c r="K1455" i="1"/>
  <c r="F1455" i="1"/>
  <c r="K1454" i="1"/>
  <c r="F1454" i="1"/>
  <c r="X1452" i="1"/>
  <c r="S1452" i="1"/>
  <c r="K1452" i="1"/>
  <c r="X1451" i="1"/>
  <c r="S1451" i="1"/>
  <c r="K1451" i="1"/>
  <c r="F1451" i="1"/>
  <c r="X1450" i="1"/>
  <c r="S1450" i="1"/>
  <c r="K1450" i="1"/>
  <c r="F1450" i="1"/>
  <c r="X1449" i="1"/>
  <c r="S1449" i="1"/>
  <c r="K1449" i="1"/>
  <c r="F1449" i="1"/>
  <c r="S1374" i="1"/>
  <c r="X1374" i="1"/>
  <c r="S1375" i="1"/>
  <c r="X1375" i="1"/>
  <c r="X1413" i="1"/>
  <c r="S1413" i="1"/>
  <c r="X1412" i="1"/>
  <c r="S1412" i="1"/>
  <c r="D1373" i="1"/>
  <c r="C1373" i="1"/>
  <c r="G1373" i="1"/>
  <c r="K1373" i="1" s="1"/>
  <c r="K1338" i="1"/>
  <c r="F1338" i="1"/>
  <c r="K1337" i="1"/>
  <c r="F1337" i="1"/>
  <c r="C1335" i="1"/>
  <c r="F1335" i="1" s="1"/>
  <c r="L1335" i="1" s="1"/>
  <c r="C1360" i="1"/>
  <c r="S1338" i="1"/>
  <c r="X1338" i="1"/>
  <c r="F1364" i="1"/>
  <c r="K1364" i="1"/>
  <c r="X1330" i="1"/>
  <c r="S1330" i="1"/>
  <c r="S1300" i="1"/>
  <c r="X1300" i="1"/>
  <c r="S1411" i="1"/>
  <c r="X1411" i="1"/>
  <c r="S1298" i="1"/>
  <c r="R1289" i="1"/>
  <c r="Q1441" i="1"/>
  <c r="U1365" i="1"/>
  <c r="X1298" i="1"/>
  <c r="T1441" i="1"/>
  <c r="U1441" i="1"/>
  <c r="V1441" i="1"/>
  <c r="C1327" i="1"/>
  <c r="D1327" i="1"/>
  <c r="E1327" i="1"/>
  <c r="F1336" i="1"/>
  <c r="B1365" i="1"/>
  <c r="D1365" i="1"/>
  <c r="E1365" i="1"/>
  <c r="F1411" i="1"/>
  <c r="F1412" i="1"/>
  <c r="F1413" i="1"/>
  <c r="F1414" i="1"/>
  <c r="B1441" i="1"/>
  <c r="C1441" i="1"/>
  <c r="D1441" i="1"/>
  <c r="E1441" i="1"/>
  <c r="H1327" i="1"/>
  <c r="K1336" i="1"/>
  <c r="L1336" i="1" s="1"/>
  <c r="H1365" i="1"/>
  <c r="G1365" i="1"/>
  <c r="I1365" i="1"/>
  <c r="J1365" i="1"/>
  <c r="K1411" i="1"/>
  <c r="K1412" i="1"/>
  <c r="K1413" i="1"/>
  <c r="K1414" i="1"/>
  <c r="G1441" i="1"/>
  <c r="H1441" i="1"/>
  <c r="I1441" i="1"/>
  <c r="J1441" i="1"/>
  <c r="F1439" i="1"/>
  <c r="K1439" i="1"/>
  <c r="F1438" i="1"/>
  <c r="K1438" i="1"/>
  <c r="F1437" i="1"/>
  <c r="K1437" i="1"/>
  <c r="F1436" i="1"/>
  <c r="K1436" i="1"/>
  <c r="F1435" i="1"/>
  <c r="K1435" i="1"/>
  <c r="F1434" i="1"/>
  <c r="K1434" i="1"/>
  <c r="F1433" i="1"/>
  <c r="K1433" i="1"/>
  <c r="F1432" i="1"/>
  <c r="K1432" i="1"/>
  <c r="F1431" i="1"/>
  <c r="K1431" i="1"/>
  <c r="F1419" i="1"/>
  <c r="K1419" i="1"/>
  <c r="F1418" i="1"/>
  <c r="K1418" i="1"/>
  <c r="F1417" i="1"/>
  <c r="K1417" i="1"/>
  <c r="X1416" i="1"/>
  <c r="S1416" i="1"/>
  <c r="F1416" i="1"/>
  <c r="K1416" i="1"/>
  <c r="S1286" i="1"/>
  <c r="X1286" i="1"/>
  <c r="X1288" i="1"/>
  <c r="S1288" i="1"/>
  <c r="X1287" i="1"/>
  <c r="S1287" i="1"/>
  <c r="X1250" i="1"/>
  <c r="S1250" i="1"/>
  <c r="X1249" i="1"/>
  <c r="S1249" i="1"/>
  <c r="X1248" i="1"/>
  <c r="S1248" i="1"/>
  <c r="X1247" i="1"/>
  <c r="S1247" i="1"/>
  <c r="X1246" i="1"/>
  <c r="S1246" i="1"/>
  <c r="X1245" i="1"/>
  <c r="S1245" i="1"/>
  <c r="X1244" i="1"/>
  <c r="S1244" i="1"/>
  <c r="S1243" i="1"/>
  <c r="X1243" i="1"/>
  <c r="X1241" i="1"/>
  <c r="S1241" i="1"/>
  <c r="X1240" i="1"/>
  <c r="S1240" i="1"/>
  <c r="X1239" i="1"/>
  <c r="S1239" i="1"/>
  <c r="Y1239" i="1" s="1"/>
  <c r="X1238" i="1"/>
  <c r="S1238" i="1"/>
  <c r="X1237" i="1"/>
  <c r="S1237" i="1"/>
  <c r="X1236" i="1"/>
  <c r="S1236" i="1"/>
  <c r="X1235" i="1"/>
  <c r="S1235" i="1"/>
  <c r="X1234" i="1"/>
  <c r="S1234" i="1"/>
  <c r="X1233" i="1"/>
  <c r="S1233" i="1"/>
  <c r="X1232" i="1"/>
  <c r="S1232" i="1"/>
  <c r="X1231" i="1"/>
  <c r="S1231" i="1"/>
  <c r="Y1231" i="1" s="1"/>
  <c r="X1230" i="1"/>
  <c r="S1230" i="1"/>
  <c r="X1229" i="1"/>
  <c r="S1229" i="1"/>
  <c r="X1228" i="1"/>
  <c r="S1228" i="1"/>
  <c r="X1227" i="1"/>
  <c r="S1227" i="1"/>
  <c r="X1226" i="1"/>
  <c r="S1226" i="1"/>
  <c r="X1202" i="1"/>
  <c r="S1202" i="1"/>
  <c r="X1201" i="1"/>
  <c r="S1201" i="1"/>
  <c r="S1326" i="1"/>
  <c r="K1316" i="1"/>
  <c r="F1316" i="1"/>
  <c r="S1297" i="1"/>
  <c r="X1297" i="1"/>
  <c r="F1299" i="1"/>
  <c r="K1299" i="1"/>
  <c r="F1250" i="1"/>
  <c r="F1310" i="1"/>
  <c r="K1310" i="1"/>
  <c r="S1259" i="1"/>
  <c r="X1259" i="1"/>
  <c r="F1271" i="1"/>
  <c r="K1271" i="1"/>
  <c r="F1270" i="1"/>
  <c r="K1270" i="1"/>
  <c r="F1261" i="1"/>
  <c r="K1261" i="1"/>
  <c r="F1260" i="1"/>
  <c r="K1260" i="1"/>
  <c r="F1259" i="1"/>
  <c r="K1259" i="1"/>
  <c r="F1265" i="1"/>
  <c r="K1265" i="1"/>
  <c r="F1266" i="1"/>
  <c r="K1266" i="1"/>
  <c r="F1267" i="1"/>
  <c r="K1267" i="1"/>
  <c r="F1268" i="1"/>
  <c r="K1268" i="1"/>
  <c r="F1269" i="1"/>
  <c r="K1269" i="1"/>
  <c r="F1239" i="1"/>
  <c r="K1239" i="1"/>
  <c r="S1221" i="1"/>
  <c r="X1221" i="1"/>
  <c r="S1324" i="1"/>
  <c r="X1324" i="1"/>
  <c r="S1323" i="1"/>
  <c r="X1323" i="1"/>
  <c r="S1322" i="1"/>
  <c r="X1322" i="1"/>
  <c r="Y1322" i="1" s="1"/>
  <c r="S1325" i="1"/>
  <c r="X1325" i="1"/>
  <c r="X1326" i="1"/>
  <c r="B1251" i="1"/>
  <c r="C1251" i="1"/>
  <c r="D1251" i="1"/>
  <c r="E1251" i="1"/>
  <c r="F1262" i="1"/>
  <c r="B1289" i="1"/>
  <c r="C1289" i="1"/>
  <c r="D1289" i="1"/>
  <c r="E1289" i="1"/>
  <c r="F1297" i="1"/>
  <c r="B1327" i="1"/>
  <c r="F1374" i="1"/>
  <c r="F1375" i="1"/>
  <c r="F1376" i="1"/>
  <c r="B1403" i="1"/>
  <c r="C1403" i="1"/>
  <c r="D1403" i="1"/>
  <c r="E1403" i="1"/>
  <c r="H1251" i="1"/>
  <c r="G1251" i="1"/>
  <c r="J1251" i="1"/>
  <c r="I1251" i="1"/>
  <c r="K1262" i="1"/>
  <c r="H1289" i="1"/>
  <c r="I1289" i="1"/>
  <c r="G1289" i="1"/>
  <c r="J1289" i="1"/>
  <c r="K1297" i="1"/>
  <c r="K1298" i="1"/>
  <c r="K1300" i="1"/>
  <c r="G1327" i="1"/>
  <c r="I1327" i="1"/>
  <c r="J1327" i="1"/>
  <c r="K1374" i="1"/>
  <c r="K1375" i="1"/>
  <c r="K1376" i="1"/>
  <c r="G1403" i="1"/>
  <c r="H1403" i="1"/>
  <c r="I1403" i="1"/>
  <c r="J1403" i="1"/>
  <c r="F1402" i="1"/>
  <c r="K1402" i="1"/>
  <c r="F1401" i="1"/>
  <c r="K1401" i="1"/>
  <c r="F1400" i="1"/>
  <c r="K1400" i="1"/>
  <c r="F1399" i="1"/>
  <c r="K1399" i="1"/>
  <c r="F1398" i="1"/>
  <c r="K1398" i="1"/>
  <c r="F1397" i="1"/>
  <c r="K1397" i="1"/>
  <c r="F1396" i="1"/>
  <c r="K1396" i="1"/>
  <c r="F1395" i="1"/>
  <c r="K1395" i="1"/>
  <c r="F1394" i="1"/>
  <c r="K1394" i="1"/>
  <c r="F1393" i="1"/>
  <c r="K1393" i="1"/>
  <c r="F1392" i="1"/>
  <c r="K1392" i="1"/>
  <c r="F1391" i="1"/>
  <c r="K1391" i="1"/>
  <c r="F1390" i="1"/>
  <c r="K1390" i="1"/>
  <c r="F1389" i="1"/>
  <c r="K1389" i="1"/>
  <c r="F1388" i="1"/>
  <c r="K1388" i="1"/>
  <c r="F1387" i="1"/>
  <c r="K1387" i="1"/>
  <c r="F1386" i="1"/>
  <c r="K1386" i="1"/>
  <c r="F1385" i="1"/>
  <c r="K1385" i="1"/>
  <c r="F1384" i="1"/>
  <c r="K1384" i="1"/>
  <c r="F1383" i="1"/>
  <c r="K1383" i="1"/>
  <c r="F1382" i="1"/>
  <c r="K1382" i="1"/>
  <c r="F1381" i="1"/>
  <c r="K1381" i="1"/>
  <c r="F1380" i="1"/>
  <c r="K1380" i="1"/>
  <c r="F1379" i="1"/>
  <c r="K1379" i="1"/>
  <c r="F1378" i="1"/>
  <c r="K1378" i="1"/>
  <c r="S1336" i="1"/>
  <c r="X1336" i="1"/>
  <c r="S1335" i="1"/>
  <c r="X1335" i="1"/>
  <c r="O1327" i="1"/>
  <c r="P1327" i="1"/>
  <c r="Q1327" i="1"/>
  <c r="R1327" i="1"/>
  <c r="O1289" i="1"/>
  <c r="P1289" i="1"/>
  <c r="Q1289" i="1"/>
  <c r="O1251" i="1"/>
  <c r="P1251" i="1"/>
  <c r="Q1251" i="1"/>
  <c r="R1251" i="1"/>
  <c r="Q1213" i="1"/>
  <c r="Q1175" i="1"/>
  <c r="S1373" i="1"/>
  <c r="O1403" i="1"/>
  <c r="Q1403" i="1"/>
  <c r="R1403" i="1"/>
  <c r="T1327" i="1"/>
  <c r="U1327" i="1"/>
  <c r="V1327" i="1"/>
  <c r="W1327" i="1"/>
  <c r="T1289" i="1"/>
  <c r="U1289" i="1"/>
  <c r="V1289" i="1"/>
  <c r="W1289" i="1"/>
  <c r="U1251" i="1"/>
  <c r="V1251" i="1"/>
  <c r="W1251" i="1"/>
  <c r="T1251" i="1"/>
  <c r="X1373" i="1"/>
  <c r="T1403" i="1"/>
  <c r="U1403" i="1"/>
  <c r="V1403" i="1"/>
  <c r="W1403" i="1"/>
  <c r="S1402" i="1"/>
  <c r="X1402" i="1"/>
  <c r="S1401" i="1"/>
  <c r="X1401" i="1"/>
  <c r="X1337" i="1"/>
  <c r="S1337" i="1"/>
  <c r="S1359" i="1"/>
  <c r="X1359" i="1"/>
  <c r="F1224" i="1"/>
  <c r="K1224" i="1"/>
  <c r="F1223" i="1"/>
  <c r="K1223" i="1"/>
  <c r="F1222" i="1"/>
  <c r="K1222" i="1"/>
  <c r="F1211" i="1"/>
  <c r="K1211" i="1"/>
  <c r="X1200" i="1"/>
  <c r="S1200" i="1"/>
  <c r="K1186" i="1"/>
  <c r="F1186" i="1"/>
  <c r="K1185" i="1"/>
  <c r="F1185" i="1"/>
  <c r="K1184" i="1"/>
  <c r="F1184" i="1"/>
  <c r="F1191" i="1"/>
  <c r="K1191" i="1"/>
  <c r="F1192" i="1"/>
  <c r="K1192" i="1"/>
  <c r="F1193" i="1"/>
  <c r="K1193" i="1"/>
  <c r="F1194" i="1"/>
  <c r="K1194" i="1"/>
  <c r="F1195" i="1"/>
  <c r="K1195" i="1"/>
  <c r="F1196" i="1"/>
  <c r="K1196" i="1"/>
  <c r="F1197" i="1"/>
  <c r="K1197" i="1"/>
  <c r="F1198" i="1"/>
  <c r="K1198" i="1"/>
  <c r="F1199" i="1"/>
  <c r="K1199" i="1"/>
  <c r="F1200" i="1"/>
  <c r="K1200" i="1"/>
  <c r="F1201" i="1"/>
  <c r="K1201" i="1"/>
  <c r="F1202" i="1"/>
  <c r="K1202" i="1"/>
  <c r="F1203" i="1"/>
  <c r="K1203" i="1"/>
  <c r="F1204" i="1"/>
  <c r="K1204" i="1"/>
  <c r="F1205" i="1"/>
  <c r="K1205" i="1"/>
  <c r="F1206" i="1"/>
  <c r="K1206" i="1"/>
  <c r="X1199" i="1"/>
  <c r="S1199" i="1"/>
  <c r="X1254" i="1"/>
  <c r="S1254" i="1"/>
  <c r="X1253" i="1"/>
  <c r="S1253" i="1"/>
  <c r="K1221" i="1"/>
  <c r="F1221" i="1"/>
  <c r="K1183" i="1"/>
  <c r="F1183" i="1"/>
  <c r="K1165" i="1"/>
  <c r="F1165" i="1"/>
  <c r="X1198" i="1"/>
  <c r="S1198" i="1"/>
  <c r="K1363" i="1"/>
  <c r="F1363" i="1"/>
  <c r="K1362" i="1"/>
  <c r="F1362" i="1"/>
  <c r="K1361" i="1"/>
  <c r="F1361" i="1"/>
  <c r="K1360" i="1"/>
  <c r="K1359" i="1"/>
  <c r="F1359" i="1"/>
  <c r="K1358" i="1"/>
  <c r="F1358" i="1"/>
  <c r="K1357" i="1"/>
  <c r="F1357" i="1"/>
  <c r="K1356" i="1"/>
  <c r="F1356" i="1"/>
  <c r="K1355" i="1"/>
  <c r="F1355" i="1"/>
  <c r="K1354" i="1"/>
  <c r="F1354" i="1"/>
  <c r="K1353" i="1"/>
  <c r="F1353" i="1"/>
  <c r="K1352" i="1"/>
  <c r="F1352" i="1"/>
  <c r="K1351" i="1"/>
  <c r="F1351" i="1"/>
  <c r="K1350" i="1"/>
  <c r="F1350" i="1"/>
  <c r="K1349" i="1"/>
  <c r="F1349" i="1"/>
  <c r="K1348" i="1"/>
  <c r="F1348" i="1"/>
  <c r="K1347" i="1"/>
  <c r="F1347" i="1"/>
  <c r="F1346" i="1"/>
  <c r="K1346" i="1"/>
  <c r="K1345" i="1"/>
  <c r="F1345" i="1"/>
  <c r="K1344" i="1"/>
  <c r="F1344" i="1"/>
  <c r="K1343" i="1"/>
  <c r="F1343" i="1"/>
  <c r="K1342" i="1"/>
  <c r="F1342" i="1"/>
  <c r="F1341" i="1"/>
  <c r="K1341" i="1"/>
  <c r="K1340" i="1"/>
  <c r="F1340" i="1"/>
  <c r="K1335" i="1"/>
  <c r="K1326" i="1"/>
  <c r="F1326" i="1"/>
  <c r="K1325" i="1"/>
  <c r="F1325" i="1"/>
  <c r="F1324" i="1"/>
  <c r="K1324" i="1"/>
  <c r="K1323" i="1"/>
  <c r="F1323" i="1"/>
  <c r="K1322" i="1"/>
  <c r="F1322" i="1"/>
  <c r="K1321" i="1"/>
  <c r="F1321" i="1"/>
  <c r="K1320" i="1"/>
  <c r="F1320" i="1"/>
  <c r="K1319" i="1"/>
  <c r="F1319" i="1"/>
  <c r="K1318" i="1"/>
  <c r="F1318" i="1"/>
  <c r="K1317" i="1"/>
  <c r="F1317" i="1"/>
  <c r="K1315" i="1"/>
  <c r="L1315" i="1" s="1"/>
  <c r="F1315" i="1"/>
  <c r="K1314" i="1"/>
  <c r="F1314" i="1"/>
  <c r="K1313" i="1"/>
  <c r="F1313" i="1"/>
  <c r="K1312" i="1"/>
  <c r="F1312" i="1"/>
  <c r="K1311" i="1"/>
  <c r="F1311" i="1"/>
  <c r="K1309" i="1"/>
  <c r="F1309" i="1"/>
  <c r="K1308" i="1"/>
  <c r="F1308" i="1"/>
  <c r="K1307" i="1"/>
  <c r="F1307" i="1"/>
  <c r="K1306" i="1"/>
  <c r="L1306" i="1" s="1"/>
  <c r="F1306" i="1"/>
  <c r="K1305" i="1"/>
  <c r="F1305" i="1"/>
  <c r="K1304" i="1"/>
  <c r="F1304" i="1"/>
  <c r="K1303" i="1"/>
  <c r="F1303" i="1"/>
  <c r="K1302" i="1"/>
  <c r="F1302" i="1"/>
  <c r="F1300" i="1"/>
  <c r="F1298" i="1"/>
  <c r="X1321" i="1"/>
  <c r="S1321" i="1"/>
  <c r="X1299" i="1"/>
  <c r="S1299" i="1"/>
  <c r="X1193" i="1"/>
  <c r="S1193" i="1"/>
  <c r="X1211" i="1"/>
  <c r="S1211" i="1"/>
  <c r="S1210" i="1"/>
  <c r="X1210" i="1"/>
  <c r="K1288" i="1"/>
  <c r="F1288" i="1"/>
  <c r="K1287" i="1"/>
  <c r="F1287" i="1"/>
  <c r="K1286" i="1"/>
  <c r="F1286" i="1"/>
  <c r="K1285" i="1"/>
  <c r="F1285" i="1"/>
  <c r="K1284" i="1"/>
  <c r="F1284" i="1"/>
  <c r="K1283" i="1"/>
  <c r="F1283" i="1"/>
  <c r="K1282" i="1"/>
  <c r="F1282" i="1"/>
  <c r="K1281" i="1"/>
  <c r="F1281" i="1"/>
  <c r="K1280" i="1"/>
  <c r="F1280" i="1"/>
  <c r="K1279" i="1"/>
  <c r="F1279" i="1"/>
  <c r="K1278" i="1"/>
  <c r="F1278" i="1"/>
  <c r="K1277" i="1"/>
  <c r="F1277" i="1"/>
  <c r="K1276" i="1"/>
  <c r="F1276" i="1"/>
  <c r="K1275" i="1"/>
  <c r="F1275" i="1"/>
  <c r="K1274" i="1"/>
  <c r="F1274" i="1"/>
  <c r="K1273" i="1"/>
  <c r="F1273" i="1"/>
  <c r="K1272" i="1"/>
  <c r="F1272" i="1"/>
  <c r="K1264" i="1"/>
  <c r="F1264" i="1"/>
  <c r="S1171" i="1"/>
  <c r="X1171" i="1"/>
  <c r="X1174" i="1"/>
  <c r="S1174" i="1"/>
  <c r="X1212" i="1"/>
  <c r="S1212" i="1"/>
  <c r="S1207" i="1"/>
  <c r="X1207" i="1"/>
  <c r="S1208" i="1"/>
  <c r="X1208" i="1"/>
  <c r="S1209" i="1"/>
  <c r="X1209" i="1"/>
  <c r="X1262" i="1"/>
  <c r="S1262" i="1"/>
  <c r="X1261" i="1"/>
  <c r="S1261" i="1"/>
  <c r="X1260" i="1"/>
  <c r="S1260" i="1"/>
  <c r="X1146" i="1"/>
  <c r="S1146" i="1"/>
  <c r="G1146" i="1"/>
  <c r="K1146" i="1" s="1"/>
  <c r="F1159" i="1"/>
  <c r="K1159" i="1"/>
  <c r="K1158" i="1"/>
  <c r="F1158" i="1"/>
  <c r="K1147" i="1"/>
  <c r="F1147" i="1"/>
  <c r="X1160" i="1"/>
  <c r="S1160" i="1"/>
  <c r="K1250" i="1"/>
  <c r="K1249" i="1"/>
  <c r="F1249" i="1"/>
  <c r="K1248" i="1"/>
  <c r="F1248" i="1"/>
  <c r="K1247" i="1"/>
  <c r="F1247" i="1"/>
  <c r="K1246" i="1"/>
  <c r="F1246" i="1"/>
  <c r="K1245" i="1"/>
  <c r="F1245" i="1"/>
  <c r="K1244" i="1"/>
  <c r="F1244" i="1"/>
  <c r="K1243" i="1"/>
  <c r="F1243" i="1"/>
  <c r="K1242" i="1"/>
  <c r="F1242" i="1"/>
  <c r="K1241" i="1"/>
  <c r="F1241" i="1"/>
  <c r="K1240" i="1"/>
  <c r="F1240" i="1"/>
  <c r="K1238" i="1"/>
  <c r="F1238" i="1"/>
  <c r="K1237" i="1"/>
  <c r="F1237" i="1"/>
  <c r="K1236" i="1"/>
  <c r="F1236" i="1"/>
  <c r="K1235" i="1"/>
  <c r="F1235" i="1"/>
  <c r="K1234" i="1"/>
  <c r="F1234" i="1"/>
  <c r="K1233" i="1"/>
  <c r="F1233" i="1"/>
  <c r="K1232" i="1"/>
  <c r="F1232" i="1"/>
  <c r="K1231" i="1"/>
  <c r="F1231" i="1"/>
  <c r="K1230" i="1"/>
  <c r="F1230" i="1"/>
  <c r="K1229" i="1"/>
  <c r="F1229" i="1"/>
  <c r="K1228" i="1"/>
  <c r="F1228" i="1"/>
  <c r="K1227" i="1"/>
  <c r="F1227" i="1"/>
  <c r="K1226" i="1"/>
  <c r="F1226" i="1"/>
  <c r="X1224" i="1"/>
  <c r="S1224" i="1"/>
  <c r="X1223" i="1"/>
  <c r="S1223" i="1"/>
  <c r="X1222" i="1"/>
  <c r="S1222" i="1"/>
  <c r="S1158" i="1"/>
  <c r="X1158" i="1"/>
  <c r="S1154" i="1"/>
  <c r="X1154" i="1"/>
  <c r="X1153" i="1"/>
  <c r="S1153" i="1"/>
  <c r="S1150" i="1"/>
  <c r="X1150" i="1"/>
  <c r="X1131" i="1"/>
  <c r="S1131" i="1"/>
  <c r="X1130" i="1"/>
  <c r="S1130" i="1"/>
  <c r="K1109" i="1"/>
  <c r="X1126" i="1"/>
  <c r="S1126" i="1"/>
  <c r="X1107" i="1"/>
  <c r="S1107" i="1"/>
  <c r="W1213" i="1"/>
  <c r="V1213" i="1"/>
  <c r="U1213" i="1"/>
  <c r="T1213" i="1"/>
  <c r="R1213" i="1"/>
  <c r="P1213" i="1"/>
  <c r="O1213" i="1"/>
  <c r="J1213" i="1"/>
  <c r="I1213" i="1"/>
  <c r="H1213" i="1"/>
  <c r="G1213" i="1"/>
  <c r="E1213" i="1"/>
  <c r="D1213" i="1"/>
  <c r="C1213" i="1"/>
  <c r="B1213" i="1"/>
  <c r="K1212" i="1"/>
  <c r="F1212" i="1"/>
  <c r="K1210" i="1"/>
  <c r="F1210" i="1"/>
  <c r="K1209" i="1"/>
  <c r="F1209" i="1"/>
  <c r="K1208" i="1"/>
  <c r="F1208" i="1"/>
  <c r="K1207" i="1"/>
  <c r="F1207" i="1"/>
  <c r="X1206" i="1"/>
  <c r="S1206" i="1"/>
  <c r="X1205" i="1"/>
  <c r="S1205" i="1"/>
  <c r="X1204" i="1"/>
  <c r="S1204" i="1"/>
  <c r="X1203" i="1"/>
  <c r="S1203" i="1"/>
  <c r="X1197" i="1"/>
  <c r="S1197" i="1"/>
  <c r="X1196" i="1"/>
  <c r="S1196" i="1"/>
  <c r="X1195" i="1"/>
  <c r="S1195" i="1"/>
  <c r="X1194" i="1"/>
  <c r="S1194" i="1"/>
  <c r="X1192" i="1"/>
  <c r="S1192" i="1"/>
  <c r="X1191" i="1"/>
  <c r="S1191" i="1"/>
  <c r="X1190" i="1"/>
  <c r="S1190" i="1"/>
  <c r="K1190" i="1"/>
  <c r="F1190" i="1"/>
  <c r="X1189" i="1"/>
  <c r="S1189" i="1"/>
  <c r="K1189" i="1"/>
  <c r="F1189" i="1"/>
  <c r="X1188" i="1"/>
  <c r="S1188" i="1"/>
  <c r="K1188" i="1"/>
  <c r="F1188" i="1"/>
  <c r="X1186" i="1"/>
  <c r="S1186" i="1"/>
  <c r="X1185" i="1"/>
  <c r="S1185" i="1"/>
  <c r="X1184" i="1"/>
  <c r="S1184" i="1"/>
  <c r="X1183" i="1"/>
  <c r="S1183" i="1"/>
  <c r="X1172" i="1"/>
  <c r="S1172" i="1"/>
  <c r="X1173" i="1"/>
  <c r="S1173" i="1"/>
  <c r="X1069" i="1"/>
  <c r="S1069" i="1"/>
  <c r="X1135" i="1"/>
  <c r="S1135" i="1"/>
  <c r="X1133" i="1"/>
  <c r="S1133" i="1"/>
  <c r="X1132" i="1"/>
  <c r="S1132" i="1"/>
  <c r="X1078" i="1"/>
  <c r="S1078" i="1"/>
  <c r="X1134" i="1"/>
  <c r="S1134" i="1"/>
  <c r="W1175" i="1"/>
  <c r="V1175" i="1"/>
  <c r="U1175" i="1"/>
  <c r="T1175" i="1"/>
  <c r="R1175" i="1"/>
  <c r="P1175" i="1"/>
  <c r="O1175" i="1"/>
  <c r="J1175" i="1"/>
  <c r="I1175" i="1"/>
  <c r="H1175" i="1"/>
  <c r="G1175" i="1"/>
  <c r="E1175" i="1"/>
  <c r="D1175" i="1"/>
  <c r="C1175" i="1"/>
  <c r="B1175" i="1"/>
  <c r="K1174" i="1"/>
  <c r="F1174" i="1"/>
  <c r="K1173" i="1"/>
  <c r="F1173" i="1"/>
  <c r="K1172" i="1"/>
  <c r="F1172" i="1"/>
  <c r="K1171" i="1"/>
  <c r="F1171" i="1"/>
  <c r="X1170" i="1"/>
  <c r="S1170" i="1"/>
  <c r="K1170" i="1"/>
  <c r="F1170" i="1"/>
  <c r="X1169" i="1"/>
  <c r="S1169" i="1"/>
  <c r="K1169" i="1"/>
  <c r="F1169" i="1"/>
  <c r="X1168" i="1"/>
  <c r="S1168" i="1"/>
  <c r="K1168" i="1"/>
  <c r="F1168" i="1"/>
  <c r="X1167" i="1"/>
  <c r="S1167" i="1"/>
  <c r="K1167" i="1"/>
  <c r="F1167" i="1"/>
  <c r="X1166" i="1"/>
  <c r="S1166" i="1"/>
  <c r="K1166" i="1"/>
  <c r="F1166" i="1"/>
  <c r="X1165" i="1"/>
  <c r="S1165" i="1"/>
  <c r="X1164" i="1"/>
  <c r="S1164" i="1"/>
  <c r="K1164" i="1"/>
  <c r="F1164" i="1"/>
  <c r="X1163" i="1"/>
  <c r="S1163" i="1"/>
  <c r="K1163" i="1"/>
  <c r="F1163" i="1"/>
  <c r="X1162" i="1"/>
  <c r="S1162" i="1"/>
  <c r="K1162" i="1"/>
  <c r="F1162" i="1"/>
  <c r="X1161" i="1"/>
  <c r="S1161" i="1"/>
  <c r="K1161" i="1"/>
  <c r="F1161" i="1"/>
  <c r="K1160" i="1"/>
  <c r="F1160" i="1"/>
  <c r="X1159" i="1"/>
  <c r="S1159" i="1"/>
  <c r="X1157" i="1"/>
  <c r="S1157" i="1"/>
  <c r="K1157" i="1"/>
  <c r="F1157" i="1"/>
  <c r="X1156" i="1"/>
  <c r="S1156" i="1"/>
  <c r="K1156" i="1"/>
  <c r="F1156" i="1"/>
  <c r="L1156" i="1" s="1"/>
  <c r="X1155" i="1"/>
  <c r="S1155" i="1"/>
  <c r="K1155" i="1"/>
  <c r="F1155" i="1"/>
  <c r="K1154" i="1"/>
  <c r="F1154" i="1"/>
  <c r="K1153" i="1"/>
  <c r="F1153" i="1"/>
  <c r="X1152" i="1"/>
  <c r="S1152" i="1"/>
  <c r="K1152" i="1"/>
  <c r="F1152" i="1"/>
  <c r="X1151" i="1"/>
  <c r="S1151" i="1"/>
  <c r="K1151" i="1"/>
  <c r="F1151" i="1"/>
  <c r="K1150" i="1"/>
  <c r="F1150" i="1"/>
  <c r="X1148" i="1"/>
  <c r="S1148" i="1"/>
  <c r="K1148" i="1"/>
  <c r="F1148" i="1"/>
  <c r="X1147" i="1"/>
  <c r="S1147" i="1"/>
  <c r="F1146" i="1"/>
  <c r="X1145" i="1"/>
  <c r="S1145" i="1"/>
  <c r="K1145" i="1"/>
  <c r="F1145" i="1"/>
  <c r="X1136" i="1"/>
  <c r="S1136" i="1"/>
  <c r="S1109" i="1"/>
  <c r="X1109" i="1"/>
  <c r="S1110" i="1"/>
  <c r="X1110" i="1"/>
  <c r="J1137" i="1"/>
  <c r="I1137" i="1"/>
  <c r="H1137" i="1"/>
  <c r="G1137" i="1"/>
  <c r="E1137" i="1"/>
  <c r="D1137" i="1"/>
  <c r="C1137" i="1"/>
  <c r="B1137" i="1"/>
  <c r="W1137" i="1"/>
  <c r="V1137" i="1"/>
  <c r="U1137" i="1"/>
  <c r="T1137" i="1"/>
  <c r="R1137" i="1"/>
  <c r="Q1137" i="1"/>
  <c r="P1137" i="1"/>
  <c r="O1137" i="1"/>
  <c r="K1136" i="1"/>
  <c r="F1136" i="1"/>
  <c r="K1135" i="1"/>
  <c r="F1135" i="1"/>
  <c r="K1134" i="1"/>
  <c r="F1134" i="1"/>
  <c r="K1133" i="1"/>
  <c r="F1133" i="1"/>
  <c r="K1132" i="1"/>
  <c r="F1132" i="1"/>
  <c r="K1131" i="1"/>
  <c r="F1131" i="1"/>
  <c r="K1130" i="1"/>
  <c r="F1130" i="1"/>
  <c r="X1129" i="1"/>
  <c r="S1129" i="1"/>
  <c r="K1129" i="1"/>
  <c r="F1129" i="1"/>
  <c r="X1128" i="1"/>
  <c r="S1128" i="1"/>
  <c r="K1128" i="1"/>
  <c r="F1128" i="1"/>
  <c r="X1127" i="1"/>
  <c r="S1127" i="1"/>
  <c r="K1127" i="1"/>
  <c r="F1127" i="1"/>
  <c r="K1126" i="1"/>
  <c r="F1126" i="1"/>
  <c r="X1125" i="1"/>
  <c r="S1125" i="1"/>
  <c r="K1125" i="1"/>
  <c r="F1125" i="1"/>
  <c r="X1124" i="1"/>
  <c r="S1124" i="1"/>
  <c r="K1124" i="1"/>
  <c r="F1124" i="1"/>
  <c r="X1123" i="1"/>
  <c r="S1123" i="1"/>
  <c r="K1123" i="1"/>
  <c r="F1123" i="1"/>
  <c r="X1122" i="1"/>
  <c r="S1122" i="1"/>
  <c r="K1122" i="1"/>
  <c r="F1122" i="1"/>
  <c r="X1121" i="1"/>
  <c r="S1121" i="1"/>
  <c r="K1121" i="1"/>
  <c r="F1121" i="1"/>
  <c r="X1120" i="1"/>
  <c r="S1120" i="1"/>
  <c r="K1120" i="1"/>
  <c r="F1120" i="1"/>
  <c r="X1119" i="1"/>
  <c r="S1119" i="1"/>
  <c r="K1119" i="1"/>
  <c r="F1119" i="1"/>
  <c r="X1118" i="1"/>
  <c r="S1118" i="1"/>
  <c r="K1118" i="1"/>
  <c r="F1118" i="1"/>
  <c r="X1117" i="1"/>
  <c r="S1117" i="1"/>
  <c r="K1117" i="1"/>
  <c r="F1117" i="1"/>
  <c r="X1116" i="1"/>
  <c r="S1116" i="1"/>
  <c r="K1116" i="1"/>
  <c r="F1116" i="1"/>
  <c r="X1115" i="1"/>
  <c r="S1115" i="1"/>
  <c r="K1115" i="1"/>
  <c r="F1115" i="1"/>
  <c r="X1114" i="1"/>
  <c r="S1114" i="1"/>
  <c r="K1114" i="1"/>
  <c r="F1114" i="1"/>
  <c r="X1113" i="1"/>
  <c r="S1113" i="1"/>
  <c r="K1113" i="1"/>
  <c r="F1113" i="1"/>
  <c r="X1112" i="1"/>
  <c r="S1112" i="1"/>
  <c r="K1112" i="1"/>
  <c r="F1112" i="1"/>
  <c r="K1110" i="1"/>
  <c r="F1110" i="1"/>
  <c r="F1109" i="1"/>
  <c r="L1109" i="1" s="1"/>
  <c r="X1108" i="1"/>
  <c r="S1108" i="1"/>
  <c r="K1108" i="1"/>
  <c r="F1108" i="1"/>
  <c r="K1107" i="1"/>
  <c r="F1107" i="1"/>
  <c r="X1055" i="1"/>
  <c r="Y1055" i="1" s="1"/>
  <c r="S1055" i="1"/>
  <c r="J1045" i="1"/>
  <c r="K1045" i="1" s="1"/>
  <c r="S1052" i="1"/>
  <c r="X1052" i="1"/>
  <c r="X1051" i="1"/>
  <c r="S1051" i="1"/>
  <c r="Y1051" i="1" s="1"/>
  <c r="X1047" i="1"/>
  <c r="S1047" i="1"/>
  <c r="S1056" i="1"/>
  <c r="X1056" i="1"/>
  <c r="S1057" i="1"/>
  <c r="X1057" i="1"/>
  <c r="S1058" i="1"/>
  <c r="X1058" i="1"/>
  <c r="X1096" i="1"/>
  <c r="S1096" i="1"/>
  <c r="X1097" i="1"/>
  <c r="S1097" i="1"/>
  <c r="S1059" i="1"/>
  <c r="X1059" i="1"/>
  <c r="S1060" i="1"/>
  <c r="X1060" i="1"/>
  <c r="X1098" i="1"/>
  <c r="S1098" i="1"/>
  <c r="F984" i="1"/>
  <c r="X1031" i="1"/>
  <c r="S1031" i="1"/>
  <c r="H996" i="1"/>
  <c r="K996" i="1" s="1"/>
  <c r="D996" i="1"/>
  <c r="X1018" i="1"/>
  <c r="S1018" i="1"/>
  <c r="C996" i="1"/>
  <c r="B996" i="1"/>
  <c r="I1005" i="1"/>
  <c r="S1033" i="1"/>
  <c r="X1033" i="1"/>
  <c r="S1034" i="1"/>
  <c r="X1034" i="1"/>
  <c r="X1072" i="1"/>
  <c r="S1072" i="1"/>
  <c r="X1071" i="1"/>
  <c r="S1071" i="1"/>
  <c r="S982" i="1"/>
  <c r="X982" i="1"/>
  <c r="S983" i="1"/>
  <c r="X983" i="1"/>
  <c r="S984" i="1"/>
  <c r="X984" i="1"/>
  <c r="X1021" i="1"/>
  <c r="S1021" i="1"/>
  <c r="S1013" i="1"/>
  <c r="X1013" i="1"/>
  <c r="X1036" i="1"/>
  <c r="S1036" i="1"/>
  <c r="X1000" i="1"/>
  <c r="S1000" i="1"/>
  <c r="W1099" i="1"/>
  <c r="V1099" i="1"/>
  <c r="U1099" i="1"/>
  <c r="T1099" i="1"/>
  <c r="R1099" i="1"/>
  <c r="Q1099" i="1"/>
  <c r="P1099" i="1"/>
  <c r="O1099" i="1"/>
  <c r="J1099" i="1"/>
  <c r="I1099" i="1"/>
  <c r="H1099" i="1"/>
  <c r="G1099" i="1"/>
  <c r="E1099" i="1"/>
  <c r="D1099" i="1"/>
  <c r="C1099" i="1"/>
  <c r="B1099" i="1"/>
  <c r="K1098" i="1"/>
  <c r="F1098" i="1"/>
  <c r="K1097" i="1"/>
  <c r="F1097" i="1"/>
  <c r="K1096" i="1"/>
  <c r="F1096" i="1"/>
  <c r="L1096" i="1" s="1"/>
  <c r="X1095" i="1"/>
  <c r="S1095" i="1"/>
  <c r="K1095" i="1"/>
  <c r="F1095" i="1"/>
  <c r="X1094" i="1"/>
  <c r="S1094" i="1"/>
  <c r="K1094" i="1"/>
  <c r="F1094" i="1"/>
  <c r="L1094" i="1" s="1"/>
  <c r="X1093" i="1"/>
  <c r="S1093" i="1"/>
  <c r="K1093" i="1"/>
  <c r="F1093" i="1"/>
  <c r="X1092" i="1"/>
  <c r="S1092" i="1"/>
  <c r="K1092" i="1"/>
  <c r="F1092" i="1"/>
  <c r="L1092" i="1" s="1"/>
  <c r="X1091" i="1"/>
  <c r="S1091" i="1"/>
  <c r="K1091" i="1"/>
  <c r="F1091" i="1"/>
  <c r="X1090" i="1"/>
  <c r="S1090" i="1"/>
  <c r="K1090" i="1"/>
  <c r="F1090" i="1"/>
  <c r="L1090" i="1" s="1"/>
  <c r="X1089" i="1"/>
  <c r="S1089" i="1"/>
  <c r="K1089" i="1"/>
  <c r="F1089" i="1"/>
  <c r="X1088" i="1"/>
  <c r="S1088" i="1"/>
  <c r="K1088" i="1"/>
  <c r="F1088" i="1"/>
  <c r="L1088" i="1" s="1"/>
  <c r="X1087" i="1"/>
  <c r="S1087" i="1"/>
  <c r="K1087" i="1"/>
  <c r="F1087" i="1"/>
  <c r="X1086" i="1"/>
  <c r="S1086" i="1"/>
  <c r="K1086" i="1"/>
  <c r="F1086" i="1"/>
  <c r="L1086" i="1" s="1"/>
  <c r="X1085" i="1"/>
  <c r="S1085" i="1"/>
  <c r="K1085" i="1"/>
  <c r="F1085" i="1"/>
  <c r="X1084" i="1"/>
  <c r="S1084" i="1"/>
  <c r="K1084" i="1"/>
  <c r="F1084" i="1"/>
  <c r="L1084" i="1" s="1"/>
  <c r="X1083" i="1"/>
  <c r="S1083" i="1"/>
  <c r="K1083" i="1"/>
  <c r="F1083" i="1"/>
  <c r="X1082" i="1"/>
  <c r="S1082" i="1"/>
  <c r="K1082" i="1"/>
  <c r="F1082" i="1"/>
  <c r="L1082" i="1" s="1"/>
  <c r="X1081" i="1"/>
  <c r="S1081" i="1"/>
  <c r="K1081" i="1"/>
  <c r="F1081" i="1"/>
  <c r="X1080" i="1"/>
  <c r="S1080" i="1"/>
  <c r="K1080" i="1"/>
  <c r="F1080" i="1"/>
  <c r="L1080" i="1" s="1"/>
  <c r="X1079" i="1"/>
  <c r="S1079" i="1"/>
  <c r="K1079" i="1"/>
  <c r="F1079" i="1"/>
  <c r="K1078" i="1"/>
  <c r="F1078" i="1"/>
  <c r="X1077" i="1"/>
  <c r="S1077" i="1"/>
  <c r="Y1077" i="1" s="1"/>
  <c r="K1077" i="1"/>
  <c r="F1077" i="1"/>
  <c r="X1076" i="1"/>
  <c r="S1076" i="1"/>
  <c r="K1076" i="1"/>
  <c r="F1076" i="1"/>
  <c r="X1075" i="1"/>
  <c r="S1075" i="1"/>
  <c r="Y1075" i="1" s="1"/>
  <c r="K1075" i="1"/>
  <c r="F1075" i="1"/>
  <c r="X1074" i="1"/>
  <c r="S1074" i="1"/>
  <c r="Y1074" i="1" s="1"/>
  <c r="K1074" i="1"/>
  <c r="F1074" i="1"/>
  <c r="K1072" i="1"/>
  <c r="F1072" i="1"/>
  <c r="L1072" i="1" s="1"/>
  <c r="K1071" i="1"/>
  <c r="F1071" i="1"/>
  <c r="X1070" i="1"/>
  <c r="S1070" i="1"/>
  <c r="K1070" i="1"/>
  <c r="F1070" i="1"/>
  <c r="K1069" i="1"/>
  <c r="F1069" i="1"/>
  <c r="L1069" i="1" s="1"/>
  <c r="I1061" i="1"/>
  <c r="H1061" i="1"/>
  <c r="G1061" i="1"/>
  <c r="E1061" i="1"/>
  <c r="D1061" i="1"/>
  <c r="C1061" i="1"/>
  <c r="B1061" i="1"/>
  <c r="K1060" i="1"/>
  <c r="F1060" i="1"/>
  <c r="K1059" i="1"/>
  <c r="F1059" i="1"/>
  <c r="K1058" i="1"/>
  <c r="F1058" i="1"/>
  <c r="K1057" i="1"/>
  <c r="F1057" i="1"/>
  <c r="K1056" i="1"/>
  <c r="F1056" i="1"/>
  <c r="K1055" i="1"/>
  <c r="F1055" i="1"/>
  <c r="K1054" i="1"/>
  <c r="F1054" i="1"/>
  <c r="K1053" i="1"/>
  <c r="F1053" i="1"/>
  <c r="K1052" i="1"/>
  <c r="F1052" i="1"/>
  <c r="K1051" i="1"/>
  <c r="F1051" i="1"/>
  <c r="K1050" i="1"/>
  <c r="F1050" i="1"/>
  <c r="K1049" i="1"/>
  <c r="F1049" i="1"/>
  <c r="K1048" i="1"/>
  <c r="F1048" i="1"/>
  <c r="K1047" i="1"/>
  <c r="F1047" i="1"/>
  <c r="K1046" i="1"/>
  <c r="F1046" i="1"/>
  <c r="F1045" i="1"/>
  <c r="K1044" i="1"/>
  <c r="F1044" i="1"/>
  <c r="K1043" i="1"/>
  <c r="F1043" i="1"/>
  <c r="K1042" i="1"/>
  <c r="F1042" i="1"/>
  <c r="K1041" i="1"/>
  <c r="F1041" i="1"/>
  <c r="K1040" i="1"/>
  <c r="F1040" i="1"/>
  <c r="K1039" i="1"/>
  <c r="F1039" i="1"/>
  <c r="K1038" i="1"/>
  <c r="F1038" i="1"/>
  <c r="K1037" i="1"/>
  <c r="F1037" i="1"/>
  <c r="K1036" i="1"/>
  <c r="F1036" i="1"/>
  <c r="K1034" i="1"/>
  <c r="F1034" i="1"/>
  <c r="K1033" i="1"/>
  <c r="F1033" i="1"/>
  <c r="K1032" i="1"/>
  <c r="F1032" i="1"/>
  <c r="K1031" i="1"/>
  <c r="F1031" i="1"/>
  <c r="S995" i="1"/>
  <c r="X995" i="1"/>
  <c r="S1022" i="1"/>
  <c r="X1022" i="1"/>
  <c r="W1061" i="1"/>
  <c r="V1061" i="1"/>
  <c r="U1061" i="1"/>
  <c r="T1061" i="1"/>
  <c r="R1061" i="1"/>
  <c r="Q1061" i="1"/>
  <c r="P1061" i="1"/>
  <c r="O1061" i="1"/>
  <c r="X1054" i="1"/>
  <c r="S1054" i="1"/>
  <c r="X1053" i="1"/>
  <c r="S1053" i="1"/>
  <c r="X1050" i="1"/>
  <c r="S1050" i="1"/>
  <c r="X1049" i="1"/>
  <c r="S1049" i="1"/>
  <c r="X1048" i="1"/>
  <c r="S1048" i="1"/>
  <c r="X1046" i="1"/>
  <c r="S1046" i="1"/>
  <c r="X1045" i="1"/>
  <c r="S1045" i="1"/>
  <c r="X1044" i="1"/>
  <c r="S1044" i="1"/>
  <c r="X1043" i="1"/>
  <c r="S1043" i="1"/>
  <c r="X1042" i="1"/>
  <c r="S1042" i="1"/>
  <c r="X1041" i="1"/>
  <c r="S1041" i="1"/>
  <c r="X1040" i="1"/>
  <c r="S1040" i="1"/>
  <c r="X1039" i="1"/>
  <c r="S1039" i="1"/>
  <c r="X1038" i="1"/>
  <c r="S1038" i="1"/>
  <c r="X1037" i="1"/>
  <c r="S1037" i="1"/>
  <c r="X1032" i="1"/>
  <c r="S1032" i="1"/>
  <c r="H964" i="1"/>
  <c r="H985" i="1" s="1"/>
  <c r="F936" i="1"/>
  <c r="K936" i="1"/>
  <c r="F937" i="1"/>
  <c r="K937" i="1"/>
  <c r="F938" i="1"/>
  <c r="K938" i="1"/>
  <c r="F939" i="1"/>
  <c r="K939" i="1"/>
  <c r="X918" i="1"/>
  <c r="S918" i="1"/>
  <c r="K934" i="1"/>
  <c r="F934" i="1"/>
  <c r="K935" i="1"/>
  <c r="F935" i="1"/>
  <c r="K933" i="1"/>
  <c r="F933" i="1"/>
  <c r="K932" i="1"/>
  <c r="F932" i="1"/>
  <c r="K955" i="1"/>
  <c r="F955" i="1"/>
  <c r="K919" i="1"/>
  <c r="F919" i="1"/>
  <c r="K918" i="1"/>
  <c r="F918" i="1"/>
  <c r="K881" i="1"/>
  <c r="F881" i="1"/>
  <c r="K931" i="1"/>
  <c r="F931" i="1"/>
  <c r="F930" i="1"/>
  <c r="K930" i="1"/>
  <c r="X933" i="1"/>
  <c r="S933" i="1"/>
  <c r="X981" i="1"/>
  <c r="S981" i="1"/>
  <c r="F926" i="1"/>
  <c r="K926" i="1"/>
  <c r="F927" i="1"/>
  <c r="K927" i="1"/>
  <c r="F928" i="1"/>
  <c r="K928" i="1"/>
  <c r="K870" i="1"/>
  <c r="F870" i="1"/>
  <c r="F869" i="1"/>
  <c r="K869" i="1"/>
  <c r="J1023" i="1"/>
  <c r="H1023" i="1"/>
  <c r="G1023" i="1"/>
  <c r="E1023" i="1"/>
  <c r="D1023" i="1"/>
  <c r="C1023" i="1"/>
  <c r="B1023" i="1"/>
  <c r="K1022" i="1"/>
  <c r="F1022" i="1"/>
  <c r="K1021" i="1"/>
  <c r="F1021" i="1"/>
  <c r="K1020" i="1"/>
  <c r="F1020" i="1"/>
  <c r="K1019" i="1"/>
  <c r="F1019" i="1"/>
  <c r="K1018" i="1"/>
  <c r="F1018" i="1"/>
  <c r="K1017" i="1"/>
  <c r="F1017" i="1"/>
  <c r="K1016" i="1"/>
  <c r="F1016" i="1"/>
  <c r="K1015" i="1"/>
  <c r="F1015" i="1"/>
  <c r="K1014" i="1"/>
  <c r="F1014" i="1"/>
  <c r="K1013" i="1"/>
  <c r="F1013" i="1"/>
  <c r="K1012" i="1"/>
  <c r="F1012" i="1"/>
  <c r="K1011" i="1"/>
  <c r="F1011" i="1"/>
  <c r="K1010" i="1"/>
  <c r="F1010" i="1"/>
  <c r="K1009" i="1"/>
  <c r="F1009" i="1"/>
  <c r="K1008" i="1"/>
  <c r="F1008" i="1"/>
  <c r="K1007" i="1"/>
  <c r="F1007" i="1"/>
  <c r="K1006" i="1"/>
  <c r="F1006" i="1"/>
  <c r="F1005" i="1"/>
  <c r="K1004" i="1"/>
  <c r="F1004" i="1"/>
  <c r="K1003" i="1"/>
  <c r="F1003" i="1"/>
  <c r="K1002" i="1"/>
  <c r="F1002" i="1"/>
  <c r="K1001" i="1"/>
  <c r="F1001" i="1"/>
  <c r="K1000" i="1"/>
  <c r="F1000" i="1"/>
  <c r="K999" i="1"/>
  <c r="F999" i="1"/>
  <c r="K998" i="1"/>
  <c r="F998" i="1"/>
  <c r="K995" i="1"/>
  <c r="F995" i="1"/>
  <c r="K994" i="1"/>
  <c r="F994" i="1"/>
  <c r="K993" i="1"/>
  <c r="F993" i="1"/>
  <c r="S957" i="1"/>
  <c r="X957" i="1"/>
  <c r="S1020" i="1"/>
  <c r="X1020" i="1"/>
  <c r="W1023" i="1"/>
  <c r="V1023" i="1"/>
  <c r="U1023" i="1"/>
  <c r="T1023" i="1"/>
  <c r="R1023" i="1"/>
  <c r="Q1023" i="1"/>
  <c r="P1023" i="1"/>
  <c r="O1023" i="1"/>
  <c r="X1019" i="1"/>
  <c r="S1019" i="1"/>
  <c r="X1017" i="1"/>
  <c r="S1017" i="1"/>
  <c r="X1016" i="1"/>
  <c r="S1016" i="1"/>
  <c r="X1015" i="1"/>
  <c r="S1015" i="1"/>
  <c r="X1014" i="1"/>
  <c r="S1014" i="1"/>
  <c r="X1012" i="1"/>
  <c r="S1012" i="1"/>
  <c r="X1011" i="1"/>
  <c r="S1011" i="1"/>
  <c r="X1010" i="1"/>
  <c r="S1010" i="1"/>
  <c r="X1009" i="1"/>
  <c r="S1009" i="1"/>
  <c r="X1008" i="1"/>
  <c r="S1008" i="1"/>
  <c r="X1007" i="1"/>
  <c r="S1007" i="1"/>
  <c r="X1006" i="1"/>
  <c r="S1006" i="1"/>
  <c r="X1005" i="1"/>
  <c r="S1005" i="1"/>
  <c r="X1004" i="1"/>
  <c r="S1004" i="1"/>
  <c r="X1003" i="1"/>
  <c r="S1003" i="1"/>
  <c r="X1002" i="1"/>
  <c r="S1002" i="1"/>
  <c r="X1001" i="1"/>
  <c r="S1001" i="1"/>
  <c r="X999" i="1"/>
  <c r="S999" i="1"/>
  <c r="X998" i="1"/>
  <c r="S998" i="1"/>
  <c r="X996" i="1"/>
  <c r="S996" i="1"/>
  <c r="X994" i="1"/>
  <c r="S994" i="1"/>
  <c r="X993" i="1"/>
  <c r="S993" i="1"/>
  <c r="L999" i="1"/>
  <c r="F917" i="1"/>
  <c r="X917" i="1"/>
  <c r="S917" i="1"/>
  <c r="K924" i="1"/>
  <c r="F924" i="1"/>
  <c r="X892" i="1"/>
  <c r="S892" i="1"/>
  <c r="X842" i="1"/>
  <c r="S842" i="1"/>
  <c r="S860" i="1"/>
  <c r="X860" i="1"/>
  <c r="X884" i="1"/>
  <c r="S884" i="1"/>
  <c r="X943" i="1"/>
  <c r="S943" i="1"/>
  <c r="W985" i="1"/>
  <c r="V985" i="1"/>
  <c r="U985" i="1"/>
  <c r="T985" i="1"/>
  <c r="R985" i="1"/>
  <c r="Q985" i="1"/>
  <c r="P985" i="1"/>
  <c r="O985" i="1"/>
  <c r="J985" i="1"/>
  <c r="I985" i="1"/>
  <c r="G985" i="1"/>
  <c r="E985" i="1"/>
  <c r="D985" i="1"/>
  <c r="C985" i="1"/>
  <c r="B985" i="1"/>
  <c r="K984" i="1"/>
  <c r="L984" i="1" s="1"/>
  <c r="K983" i="1"/>
  <c r="F983" i="1"/>
  <c r="K982" i="1"/>
  <c r="F982" i="1"/>
  <c r="K981" i="1"/>
  <c r="F981" i="1"/>
  <c r="X980" i="1"/>
  <c r="Y980" i="1" s="1"/>
  <c r="S980" i="1"/>
  <c r="K980" i="1"/>
  <c r="F980" i="1"/>
  <c r="X979" i="1"/>
  <c r="S979" i="1"/>
  <c r="K979" i="1"/>
  <c r="F979" i="1"/>
  <c r="X978" i="1"/>
  <c r="S978" i="1"/>
  <c r="K978" i="1"/>
  <c r="F978" i="1"/>
  <c r="X977" i="1"/>
  <c r="S977" i="1"/>
  <c r="K977" i="1"/>
  <c r="F977" i="1"/>
  <c r="X976" i="1"/>
  <c r="S976" i="1"/>
  <c r="K976" i="1"/>
  <c r="F976" i="1"/>
  <c r="X975" i="1"/>
  <c r="Y975" i="1" s="1"/>
  <c r="S975" i="1"/>
  <c r="K975" i="1"/>
  <c r="F975" i="1"/>
  <c r="X974" i="1"/>
  <c r="S974" i="1"/>
  <c r="K974" i="1"/>
  <c r="F974" i="1"/>
  <c r="X973" i="1"/>
  <c r="Y973" i="1" s="1"/>
  <c r="S973" i="1"/>
  <c r="K973" i="1"/>
  <c r="F973" i="1"/>
  <c r="X972" i="1"/>
  <c r="S972" i="1"/>
  <c r="K972" i="1"/>
  <c r="F972" i="1"/>
  <c r="X971" i="1"/>
  <c r="S971" i="1"/>
  <c r="K971" i="1"/>
  <c r="F971" i="1"/>
  <c r="X970" i="1"/>
  <c r="S970" i="1"/>
  <c r="K970" i="1"/>
  <c r="F970" i="1"/>
  <c r="X969" i="1"/>
  <c r="S969" i="1"/>
  <c r="K969" i="1"/>
  <c r="F969" i="1"/>
  <c r="X968" i="1"/>
  <c r="S968" i="1"/>
  <c r="K968" i="1"/>
  <c r="F968" i="1"/>
  <c r="X967" i="1"/>
  <c r="Y967" i="1" s="1"/>
  <c r="S967" i="1"/>
  <c r="K967" i="1"/>
  <c r="F967" i="1"/>
  <c r="X966" i="1"/>
  <c r="S966" i="1"/>
  <c r="K966" i="1"/>
  <c r="F966" i="1"/>
  <c r="X965" i="1"/>
  <c r="S965" i="1"/>
  <c r="K965" i="1"/>
  <c r="F965" i="1"/>
  <c r="X964" i="1"/>
  <c r="S964" i="1"/>
  <c r="F964" i="1"/>
  <c r="X963" i="1"/>
  <c r="S963" i="1"/>
  <c r="K963" i="1"/>
  <c r="F963" i="1"/>
  <c r="L963" i="1" s="1"/>
  <c r="X962" i="1"/>
  <c r="S962" i="1"/>
  <c r="K962" i="1"/>
  <c r="F962" i="1"/>
  <c r="X961" i="1"/>
  <c r="S961" i="1"/>
  <c r="Y961" i="1" s="1"/>
  <c r="K961" i="1"/>
  <c r="F961" i="1"/>
  <c r="L961" i="1" s="1"/>
  <c r="X960" i="1"/>
  <c r="S960" i="1"/>
  <c r="K960" i="1"/>
  <c r="F960" i="1"/>
  <c r="X958" i="1"/>
  <c r="S958" i="1"/>
  <c r="K958" i="1"/>
  <c r="F958" i="1"/>
  <c r="L958" i="1" s="1"/>
  <c r="K957" i="1"/>
  <c r="F957" i="1"/>
  <c r="X956" i="1"/>
  <c r="S956" i="1"/>
  <c r="Y956" i="1" s="1"/>
  <c r="K956" i="1"/>
  <c r="F956" i="1"/>
  <c r="X955" i="1"/>
  <c r="S955" i="1"/>
  <c r="Y955" i="1" s="1"/>
  <c r="X841" i="1"/>
  <c r="S841" i="1"/>
  <c r="F822" i="1"/>
  <c r="K822" i="1"/>
  <c r="L822" i="1" s="1"/>
  <c r="X944" i="1"/>
  <c r="S944" i="1"/>
  <c r="X904" i="1"/>
  <c r="S904" i="1"/>
  <c r="Y904" i="1" s="1"/>
  <c r="J947" i="1"/>
  <c r="I947" i="1"/>
  <c r="H947" i="1"/>
  <c r="G947" i="1"/>
  <c r="E947" i="1"/>
  <c r="D947" i="1"/>
  <c r="C947" i="1"/>
  <c r="B947" i="1"/>
  <c r="K946" i="1"/>
  <c r="F946" i="1"/>
  <c r="K945" i="1"/>
  <c r="F945" i="1"/>
  <c r="L945" i="1" s="1"/>
  <c r="K944" i="1"/>
  <c r="F944" i="1"/>
  <c r="K943" i="1"/>
  <c r="F943" i="1"/>
  <c r="K942" i="1"/>
  <c r="F942" i="1"/>
  <c r="K941" i="1"/>
  <c r="F941" i="1"/>
  <c r="L941" i="1" s="1"/>
  <c r="K940" i="1"/>
  <c r="F940" i="1"/>
  <c r="K929" i="1"/>
  <c r="F929" i="1"/>
  <c r="L929" i="1" s="1"/>
  <c r="K925" i="1"/>
  <c r="F925" i="1"/>
  <c r="K923" i="1"/>
  <c r="F923" i="1"/>
  <c r="L923" i="1" s="1"/>
  <c r="K922" i="1"/>
  <c r="F922" i="1"/>
  <c r="K920" i="1"/>
  <c r="F920" i="1"/>
  <c r="L920" i="1" s="1"/>
  <c r="K917" i="1"/>
  <c r="S865" i="1"/>
  <c r="X865" i="1"/>
  <c r="S862" i="1"/>
  <c r="X862" i="1"/>
  <c r="S863" i="1"/>
  <c r="Y863" i="1" s="1"/>
  <c r="X863" i="1"/>
  <c r="S864" i="1"/>
  <c r="X864" i="1"/>
  <c r="X866" i="1"/>
  <c r="S866" i="1"/>
  <c r="X905" i="1"/>
  <c r="S905" i="1"/>
  <c r="X906" i="1"/>
  <c r="S906" i="1"/>
  <c r="X908" i="1"/>
  <c r="S908" i="1"/>
  <c r="X907" i="1"/>
  <c r="S907" i="1"/>
  <c r="L943" i="1"/>
  <c r="W947" i="1"/>
  <c r="V947" i="1"/>
  <c r="U947" i="1"/>
  <c r="T947" i="1"/>
  <c r="R947" i="1"/>
  <c r="Q947" i="1"/>
  <c r="P947" i="1"/>
  <c r="O947" i="1"/>
  <c r="X946" i="1"/>
  <c r="S946" i="1"/>
  <c r="X945" i="1"/>
  <c r="S945" i="1"/>
  <c r="X942" i="1"/>
  <c r="S942" i="1"/>
  <c r="X941" i="1"/>
  <c r="S941" i="1"/>
  <c r="X940" i="1"/>
  <c r="S940" i="1"/>
  <c r="X939" i="1"/>
  <c r="S939" i="1"/>
  <c r="X938" i="1"/>
  <c r="S938" i="1"/>
  <c r="X937" i="1"/>
  <c r="S937" i="1"/>
  <c r="X936" i="1"/>
  <c r="S936" i="1"/>
  <c r="X935" i="1"/>
  <c r="S935" i="1"/>
  <c r="X934" i="1"/>
  <c r="S934" i="1"/>
  <c r="X932" i="1"/>
  <c r="S932" i="1"/>
  <c r="X931" i="1"/>
  <c r="S931" i="1"/>
  <c r="X930" i="1"/>
  <c r="S930" i="1"/>
  <c r="X929" i="1"/>
  <c r="S929" i="1"/>
  <c r="X928" i="1"/>
  <c r="S928" i="1"/>
  <c r="X927" i="1"/>
  <c r="S927" i="1"/>
  <c r="X926" i="1"/>
  <c r="S926" i="1"/>
  <c r="X925" i="1"/>
  <c r="S925" i="1"/>
  <c r="X924" i="1"/>
  <c r="S924" i="1"/>
  <c r="X923" i="1"/>
  <c r="S923" i="1"/>
  <c r="X922" i="1"/>
  <c r="S922" i="1"/>
  <c r="X920" i="1"/>
  <c r="S920" i="1"/>
  <c r="X919" i="1"/>
  <c r="S919" i="1"/>
  <c r="X823" i="1"/>
  <c r="S823" i="1"/>
  <c r="S817" i="1"/>
  <c r="X817" i="1"/>
  <c r="S809" i="1"/>
  <c r="X809" i="1"/>
  <c r="K804" i="1"/>
  <c r="F804" i="1"/>
  <c r="W909" i="1"/>
  <c r="V909" i="1"/>
  <c r="U909" i="1"/>
  <c r="T909" i="1"/>
  <c r="R909" i="1"/>
  <c r="Q909" i="1"/>
  <c r="P909" i="1"/>
  <c r="O909" i="1"/>
  <c r="J909" i="1"/>
  <c r="I909" i="1"/>
  <c r="H909" i="1"/>
  <c r="G909" i="1"/>
  <c r="E909" i="1"/>
  <c r="D909" i="1"/>
  <c r="C909" i="1"/>
  <c r="B909" i="1"/>
  <c r="K908" i="1"/>
  <c r="F908" i="1"/>
  <c r="K907" i="1"/>
  <c r="F907" i="1"/>
  <c r="K906" i="1"/>
  <c r="F906" i="1"/>
  <c r="K905" i="1"/>
  <c r="F905" i="1"/>
  <c r="K904" i="1"/>
  <c r="F904" i="1"/>
  <c r="X903" i="1"/>
  <c r="S903" i="1"/>
  <c r="K903" i="1"/>
  <c r="F903" i="1"/>
  <c r="X902" i="1"/>
  <c r="S902" i="1"/>
  <c r="K902" i="1"/>
  <c r="F902" i="1"/>
  <c r="X901" i="1"/>
  <c r="S901" i="1"/>
  <c r="K901" i="1"/>
  <c r="F901" i="1"/>
  <c r="X900" i="1"/>
  <c r="S900" i="1"/>
  <c r="K900" i="1"/>
  <c r="F900" i="1"/>
  <c r="X899" i="1"/>
  <c r="S899" i="1"/>
  <c r="K899" i="1"/>
  <c r="F899" i="1"/>
  <c r="X898" i="1"/>
  <c r="S898" i="1"/>
  <c r="K898" i="1"/>
  <c r="F898" i="1"/>
  <c r="X897" i="1"/>
  <c r="S897" i="1"/>
  <c r="K897" i="1"/>
  <c r="F897" i="1"/>
  <c r="X896" i="1"/>
  <c r="S896" i="1"/>
  <c r="K896" i="1"/>
  <c r="F896" i="1"/>
  <c r="X895" i="1"/>
  <c r="S895" i="1"/>
  <c r="K895" i="1"/>
  <c r="F895" i="1"/>
  <c r="X894" i="1"/>
  <c r="S894" i="1"/>
  <c r="K894" i="1"/>
  <c r="F894" i="1"/>
  <c r="X893" i="1"/>
  <c r="S893" i="1"/>
  <c r="K893" i="1"/>
  <c r="F893" i="1"/>
  <c r="K892" i="1"/>
  <c r="F892" i="1"/>
  <c r="X891" i="1"/>
  <c r="S891" i="1"/>
  <c r="K891" i="1"/>
  <c r="F891" i="1"/>
  <c r="X890" i="1"/>
  <c r="S890" i="1"/>
  <c r="K890" i="1"/>
  <c r="F890" i="1"/>
  <c r="X889" i="1"/>
  <c r="S889" i="1"/>
  <c r="K889" i="1"/>
  <c r="F889" i="1"/>
  <c r="X888" i="1"/>
  <c r="S888" i="1"/>
  <c r="K888" i="1"/>
  <c r="F888" i="1"/>
  <c r="X887" i="1"/>
  <c r="S887" i="1"/>
  <c r="K887" i="1"/>
  <c r="F887" i="1"/>
  <c r="X886" i="1"/>
  <c r="S886" i="1"/>
  <c r="K886" i="1"/>
  <c r="F886" i="1"/>
  <c r="X885" i="1"/>
  <c r="S885" i="1"/>
  <c r="K885" i="1"/>
  <c r="F885" i="1"/>
  <c r="K884" i="1"/>
  <c r="F884" i="1"/>
  <c r="X882" i="1"/>
  <c r="S882" i="1"/>
  <c r="K882" i="1"/>
  <c r="F882" i="1"/>
  <c r="X881" i="1"/>
  <c r="S881" i="1"/>
  <c r="X880" i="1"/>
  <c r="S880" i="1"/>
  <c r="K880" i="1"/>
  <c r="F880" i="1"/>
  <c r="X879" i="1"/>
  <c r="S879" i="1"/>
  <c r="K879" i="1"/>
  <c r="F879" i="1"/>
  <c r="X803" i="1"/>
  <c r="S803" i="1"/>
  <c r="X826" i="1"/>
  <c r="S826" i="1"/>
  <c r="X827" i="1"/>
  <c r="S827" i="1"/>
  <c r="X772" i="1"/>
  <c r="S772" i="1"/>
  <c r="S727" i="1"/>
  <c r="X727" i="1"/>
  <c r="X768" i="1"/>
  <c r="S768" i="1"/>
  <c r="S828" i="1"/>
  <c r="X828" i="1"/>
  <c r="S829" i="1"/>
  <c r="X829" i="1"/>
  <c r="S830" i="1"/>
  <c r="X830" i="1"/>
  <c r="S831" i="1"/>
  <c r="X831" i="1"/>
  <c r="S832" i="1"/>
  <c r="X832" i="1"/>
  <c r="X749" i="1"/>
  <c r="S749" i="1"/>
  <c r="X792" i="1"/>
  <c r="S792" i="1"/>
  <c r="K767" i="1"/>
  <c r="F767" i="1"/>
  <c r="X767" i="1"/>
  <c r="S767" i="1"/>
  <c r="F740" i="1"/>
  <c r="K740" i="1"/>
  <c r="F770" i="1"/>
  <c r="X739" i="1"/>
  <c r="S739" i="1"/>
  <c r="X793" i="1"/>
  <c r="S793" i="1"/>
  <c r="C729" i="1"/>
  <c r="E729" i="1"/>
  <c r="B729" i="1"/>
  <c r="K739" i="1"/>
  <c r="F739" i="1"/>
  <c r="K738" i="1"/>
  <c r="F738" i="1"/>
  <c r="K737" i="1"/>
  <c r="F737" i="1"/>
  <c r="K736" i="1"/>
  <c r="F736" i="1"/>
  <c r="K735" i="1"/>
  <c r="F735" i="1"/>
  <c r="K734" i="1"/>
  <c r="F734" i="1"/>
  <c r="F680" i="1"/>
  <c r="X712" i="1"/>
  <c r="S712" i="1"/>
  <c r="W871" i="1"/>
  <c r="V871" i="1"/>
  <c r="U871" i="1"/>
  <c r="T871" i="1"/>
  <c r="R871" i="1"/>
  <c r="Q871" i="1"/>
  <c r="P871" i="1"/>
  <c r="O871" i="1"/>
  <c r="J871" i="1"/>
  <c r="I871" i="1"/>
  <c r="H871" i="1"/>
  <c r="G871" i="1"/>
  <c r="E871" i="1"/>
  <c r="D871" i="1"/>
  <c r="C871" i="1"/>
  <c r="B871" i="1"/>
  <c r="X870" i="1"/>
  <c r="S870" i="1"/>
  <c r="X869" i="1"/>
  <c r="S869" i="1"/>
  <c r="X868" i="1"/>
  <c r="S868" i="1"/>
  <c r="K868" i="1"/>
  <c r="F868" i="1"/>
  <c r="X867" i="1"/>
  <c r="S867" i="1"/>
  <c r="K867" i="1"/>
  <c r="F867" i="1"/>
  <c r="K866" i="1"/>
  <c r="F866" i="1"/>
  <c r="K865" i="1"/>
  <c r="F865" i="1"/>
  <c r="L865" i="1" s="1"/>
  <c r="K864" i="1"/>
  <c r="F864" i="1"/>
  <c r="K863" i="1"/>
  <c r="F863" i="1"/>
  <c r="K862" i="1"/>
  <c r="F862" i="1"/>
  <c r="X861" i="1"/>
  <c r="S861" i="1"/>
  <c r="K861" i="1"/>
  <c r="F861" i="1"/>
  <c r="K860" i="1"/>
  <c r="F860" i="1"/>
  <c r="X859" i="1"/>
  <c r="S859" i="1"/>
  <c r="K859" i="1"/>
  <c r="F859" i="1"/>
  <c r="X858" i="1"/>
  <c r="S858" i="1"/>
  <c r="K858" i="1"/>
  <c r="F858" i="1"/>
  <c r="X857" i="1"/>
  <c r="S857" i="1"/>
  <c r="K857" i="1"/>
  <c r="F857" i="1"/>
  <c r="X856" i="1"/>
  <c r="S856" i="1"/>
  <c r="K856" i="1"/>
  <c r="F856" i="1"/>
  <c r="X855" i="1"/>
  <c r="S855" i="1"/>
  <c r="K855" i="1"/>
  <c r="F855" i="1"/>
  <c r="X854" i="1"/>
  <c r="S854" i="1"/>
  <c r="K854" i="1"/>
  <c r="F854" i="1"/>
  <c r="X853" i="1"/>
  <c r="S853" i="1"/>
  <c r="K853" i="1"/>
  <c r="F853" i="1"/>
  <c r="X852" i="1"/>
  <c r="S852" i="1"/>
  <c r="K852" i="1"/>
  <c r="F852" i="1"/>
  <c r="X851" i="1"/>
  <c r="S851" i="1"/>
  <c r="K851" i="1"/>
  <c r="F851" i="1"/>
  <c r="X850" i="1"/>
  <c r="S850" i="1"/>
  <c r="K850" i="1"/>
  <c r="F850" i="1"/>
  <c r="X849" i="1"/>
  <c r="S849" i="1"/>
  <c r="K849" i="1"/>
  <c r="F849" i="1"/>
  <c r="X848" i="1"/>
  <c r="S848" i="1"/>
  <c r="K848" i="1"/>
  <c r="F848" i="1"/>
  <c r="X847" i="1"/>
  <c r="S847" i="1"/>
  <c r="K847" i="1"/>
  <c r="F847" i="1"/>
  <c r="X846" i="1"/>
  <c r="S846" i="1"/>
  <c r="K846" i="1"/>
  <c r="F846" i="1"/>
  <c r="X844" i="1"/>
  <c r="S844" i="1"/>
  <c r="K844" i="1"/>
  <c r="F844" i="1"/>
  <c r="X843" i="1"/>
  <c r="S843" i="1"/>
  <c r="K843" i="1"/>
  <c r="F843" i="1"/>
  <c r="K842" i="1"/>
  <c r="F842" i="1"/>
  <c r="K841" i="1"/>
  <c r="F841" i="1"/>
  <c r="S791" i="1"/>
  <c r="X791" i="1"/>
  <c r="X794" i="1"/>
  <c r="S794" i="1"/>
  <c r="X756" i="1"/>
  <c r="S756" i="1"/>
  <c r="X755" i="1"/>
  <c r="S755" i="1"/>
  <c r="X754" i="1"/>
  <c r="S754" i="1"/>
  <c r="X674" i="1"/>
  <c r="S674" i="1"/>
  <c r="X673" i="1"/>
  <c r="S673" i="1"/>
  <c r="X689" i="1"/>
  <c r="S689" i="1"/>
  <c r="D692" i="1"/>
  <c r="C692" i="1"/>
  <c r="B692" i="1"/>
  <c r="X706" i="1"/>
  <c r="S706" i="1"/>
  <c r="K699" i="1"/>
  <c r="F699" i="1"/>
  <c r="J833" i="1"/>
  <c r="I833" i="1"/>
  <c r="H833" i="1"/>
  <c r="G833" i="1"/>
  <c r="E833" i="1"/>
  <c r="D833" i="1"/>
  <c r="C833" i="1"/>
  <c r="B833" i="1"/>
  <c r="K832" i="1"/>
  <c r="F832" i="1"/>
  <c r="K831" i="1"/>
  <c r="F831" i="1"/>
  <c r="K830" i="1"/>
  <c r="F830" i="1"/>
  <c r="K829" i="1"/>
  <c r="F829" i="1"/>
  <c r="K828" i="1"/>
  <c r="F828" i="1"/>
  <c r="K827" i="1"/>
  <c r="F827" i="1"/>
  <c r="K826" i="1"/>
  <c r="F826" i="1"/>
  <c r="K825" i="1"/>
  <c r="F825" i="1"/>
  <c r="K824" i="1"/>
  <c r="F824" i="1"/>
  <c r="K823" i="1"/>
  <c r="F823" i="1"/>
  <c r="K821" i="1"/>
  <c r="F821" i="1"/>
  <c r="K820" i="1"/>
  <c r="F820" i="1"/>
  <c r="K819" i="1"/>
  <c r="F819" i="1"/>
  <c r="K818" i="1"/>
  <c r="F818" i="1"/>
  <c r="K817" i="1"/>
  <c r="F817" i="1"/>
  <c r="K816" i="1"/>
  <c r="F816" i="1"/>
  <c r="K815" i="1"/>
  <c r="F815" i="1"/>
  <c r="K814" i="1"/>
  <c r="F814" i="1"/>
  <c r="K813" i="1"/>
  <c r="F813" i="1"/>
  <c r="K812" i="1"/>
  <c r="F812" i="1"/>
  <c r="K811" i="1"/>
  <c r="F811" i="1"/>
  <c r="K810" i="1"/>
  <c r="F810" i="1"/>
  <c r="K809" i="1"/>
  <c r="F809" i="1"/>
  <c r="K808" i="1"/>
  <c r="F808" i="1"/>
  <c r="K806" i="1"/>
  <c r="F806" i="1"/>
  <c r="K805" i="1"/>
  <c r="F805" i="1"/>
  <c r="K803" i="1"/>
  <c r="F803" i="1"/>
  <c r="S804" i="1"/>
  <c r="X804" i="1"/>
  <c r="W833" i="1"/>
  <c r="V833" i="1"/>
  <c r="U833" i="1"/>
  <c r="T833" i="1"/>
  <c r="R833" i="1"/>
  <c r="Q833" i="1"/>
  <c r="P833" i="1"/>
  <c r="O833" i="1"/>
  <c r="X825" i="1"/>
  <c r="S825" i="1"/>
  <c r="X824" i="1"/>
  <c r="S824" i="1"/>
  <c r="X822" i="1"/>
  <c r="S822" i="1"/>
  <c r="X821" i="1"/>
  <c r="S821" i="1"/>
  <c r="X820" i="1"/>
  <c r="S820" i="1"/>
  <c r="X819" i="1"/>
  <c r="S819" i="1"/>
  <c r="X818" i="1"/>
  <c r="S818" i="1"/>
  <c r="X816" i="1"/>
  <c r="S816" i="1"/>
  <c r="X815" i="1"/>
  <c r="S815" i="1"/>
  <c r="X814" i="1"/>
  <c r="S814" i="1"/>
  <c r="X813" i="1"/>
  <c r="S813" i="1"/>
  <c r="X812" i="1"/>
  <c r="S812" i="1"/>
  <c r="X811" i="1"/>
  <c r="S811" i="1"/>
  <c r="X810" i="1"/>
  <c r="S810" i="1"/>
  <c r="X808" i="1"/>
  <c r="S808" i="1"/>
  <c r="X806" i="1"/>
  <c r="S806" i="1"/>
  <c r="X805" i="1"/>
  <c r="S805" i="1"/>
  <c r="S728" i="1"/>
  <c r="X728" i="1"/>
  <c r="X766" i="1"/>
  <c r="S766" i="1"/>
  <c r="S753" i="1"/>
  <c r="X753" i="1"/>
  <c r="J795" i="1"/>
  <c r="I795" i="1"/>
  <c r="H795" i="1"/>
  <c r="G795" i="1"/>
  <c r="E795" i="1"/>
  <c r="D795" i="1"/>
  <c r="C795" i="1"/>
  <c r="K794" i="1"/>
  <c r="F794" i="1"/>
  <c r="K793" i="1"/>
  <c r="F793" i="1"/>
  <c r="K792" i="1"/>
  <c r="F792" i="1"/>
  <c r="K791" i="1"/>
  <c r="F791" i="1"/>
  <c r="K790" i="1"/>
  <c r="F790" i="1"/>
  <c r="K789" i="1"/>
  <c r="F789" i="1"/>
  <c r="K788" i="1"/>
  <c r="F788" i="1"/>
  <c r="K787" i="1"/>
  <c r="F787" i="1"/>
  <c r="K786" i="1"/>
  <c r="F786" i="1"/>
  <c r="K785" i="1"/>
  <c r="F785" i="1"/>
  <c r="K784" i="1"/>
  <c r="F784" i="1"/>
  <c r="K783" i="1"/>
  <c r="F783" i="1"/>
  <c r="K782" i="1"/>
  <c r="F782" i="1"/>
  <c r="K781" i="1"/>
  <c r="F781" i="1"/>
  <c r="K780" i="1"/>
  <c r="F780" i="1"/>
  <c r="K779" i="1"/>
  <c r="F779" i="1"/>
  <c r="K778" i="1"/>
  <c r="F778" i="1"/>
  <c r="K777" i="1"/>
  <c r="F777" i="1"/>
  <c r="K776" i="1"/>
  <c r="F776" i="1"/>
  <c r="K775" i="1"/>
  <c r="F775" i="1"/>
  <c r="K774" i="1"/>
  <c r="F774" i="1"/>
  <c r="K773" i="1"/>
  <c r="K772" i="1"/>
  <c r="F772" i="1"/>
  <c r="K771" i="1"/>
  <c r="F771" i="1"/>
  <c r="K770" i="1"/>
  <c r="K768" i="1"/>
  <c r="F768" i="1"/>
  <c r="K766" i="1"/>
  <c r="F766" i="1"/>
  <c r="K765" i="1"/>
  <c r="F765" i="1"/>
  <c r="S713" i="1"/>
  <c r="X713" i="1"/>
  <c r="S714" i="1"/>
  <c r="X714" i="1"/>
  <c r="X715" i="1"/>
  <c r="S716" i="1"/>
  <c r="X716" i="1"/>
  <c r="S717" i="1"/>
  <c r="X717" i="1"/>
  <c r="S718" i="1"/>
  <c r="X718" i="1"/>
  <c r="S715" i="1"/>
  <c r="W795" i="1"/>
  <c r="V795" i="1"/>
  <c r="U795" i="1"/>
  <c r="T795" i="1"/>
  <c r="R795" i="1"/>
  <c r="Q795" i="1"/>
  <c r="P795" i="1"/>
  <c r="O795" i="1"/>
  <c r="X790" i="1"/>
  <c r="S790" i="1"/>
  <c r="X789" i="1"/>
  <c r="S789" i="1"/>
  <c r="X788" i="1"/>
  <c r="S788" i="1"/>
  <c r="X787" i="1"/>
  <c r="S787" i="1"/>
  <c r="X786" i="1"/>
  <c r="S786" i="1"/>
  <c r="X785" i="1"/>
  <c r="S785" i="1"/>
  <c r="X784" i="1"/>
  <c r="S784" i="1"/>
  <c r="X783" i="1"/>
  <c r="S783" i="1"/>
  <c r="X782" i="1"/>
  <c r="S782" i="1"/>
  <c r="X781" i="1"/>
  <c r="S781" i="1"/>
  <c r="X780" i="1"/>
  <c r="S780" i="1"/>
  <c r="X779" i="1"/>
  <c r="S779" i="1"/>
  <c r="X778" i="1"/>
  <c r="S778" i="1"/>
  <c r="X777" i="1"/>
  <c r="S777" i="1"/>
  <c r="X776" i="1"/>
  <c r="S776" i="1"/>
  <c r="X775" i="1"/>
  <c r="S775" i="1"/>
  <c r="X774" i="1"/>
  <c r="S774" i="1"/>
  <c r="X773" i="1"/>
  <c r="S773" i="1"/>
  <c r="X771" i="1"/>
  <c r="S771" i="1"/>
  <c r="X770" i="1"/>
  <c r="S770" i="1"/>
  <c r="X765" i="1"/>
  <c r="S765" i="1"/>
  <c r="X651" i="1"/>
  <c r="S651" i="1"/>
  <c r="J757" i="1"/>
  <c r="I757" i="1"/>
  <c r="H757" i="1"/>
  <c r="G757" i="1"/>
  <c r="E757" i="1"/>
  <c r="D757" i="1"/>
  <c r="C757" i="1"/>
  <c r="B757" i="1"/>
  <c r="K756" i="1"/>
  <c r="F756" i="1"/>
  <c r="K755" i="1"/>
  <c r="F755" i="1"/>
  <c r="K754" i="1"/>
  <c r="F754" i="1"/>
  <c r="K753" i="1"/>
  <c r="F753" i="1"/>
  <c r="K752" i="1"/>
  <c r="F752" i="1"/>
  <c r="K751" i="1"/>
  <c r="F751" i="1"/>
  <c r="K750" i="1"/>
  <c r="F750" i="1"/>
  <c r="K749" i="1"/>
  <c r="F749" i="1"/>
  <c r="K748" i="1"/>
  <c r="F748" i="1"/>
  <c r="K747" i="1"/>
  <c r="F747" i="1"/>
  <c r="K746" i="1"/>
  <c r="F746" i="1"/>
  <c r="K745" i="1"/>
  <c r="F745" i="1"/>
  <c r="K744" i="1"/>
  <c r="F744" i="1"/>
  <c r="K743" i="1"/>
  <c r="F743" i="1"/>
  <c r="K742" i="1"/>
  <c r="F742" i="1"/>
  <c r="K741" i="1"/>
  <c r="F741" i="1"/>
  <c r="K733" i="1"/>
  <c r="F733" i="1"/>
  <c r="K732" i="1"/>
  <c r="F732" i="1"/>
  <c r="K730" i="1"/>
  <c r="F730" i="1"/>
  <c r="K729" i="1"/>
  <c r="K728" i="1"/>
  <c r="F728" i="1"/>
  <c r="K727" i="1"/>
  <c r="F727" i="1"/>
  <c r="S751" i="1"/>
  <c r="X751" i="1"/>
  <c r="S752" i="1"/>
  <c r="X752" i="1"/>
  <c r="U757" i="1"/>
  <c r="T757" i="1"/>
  <c r="O757" i="1"/>
  <c r="W757" i="1"/>
  <c r="V757" i="1"/>
  <c r="R757" i="1"/>
  <c r="Q757" i="1"/>
  <c r="X750" i="1"/>
  <c r="S750" i="1"/>
  <c r="X748" i="1"/>
  <c r="S748" i="1"/>
  <c r="X747" i="1"/>
  <c r="S747" i="1"/>
  <c r="X746" i="1"/>
  <c r="S746" i="1"/>
  <c r="X745" i="1"/>
  <c r="S745" i="1"/>
  <c r="X744" i="1"/>
  <c r="S744" i="1"/>
  <c r="X743" i="1"/>
  <c r="S743" i="1"/>
  <c r="X742" i="1"/>
  <c r="S742" i="1"/>
  <c r="X741" i="1"/>
  <c r="S741" i="1"/>
  <c r="X740" i="1"/>
  <c r="S740" i="1"/>
  <c r="X738" i="1"/>
  <c r="S738" i="1"/>
  <c r="X737" i="1"/>
  <c r="S737" i="1"/>
  <c r="X736" i="1"/>
  <c r="S736" i="1"/>
  <c r="X735" i="1"/>
  <c r="S735" i="1"/>
  <c r="X734" i="1"/>
  <c r="S734" i="1"/>
  <c r="X733" i="1"/>
  <c r="S733" i="1"/>
  <c r="X732" i="1"/>
  <c r="S732" i="1"/>
  <c r="X730" i="1"/>
  <c r="S730" i="1"/>
  <c r="X729" i="1"/>
  <c r="S729" i="1"/>
  <c r="X680" i="1"/>
  <c r="S680" i="1"/>
  <c r="P757" i="1"/>
  <c r="F622" i="1"/>
  <c r="K622" i="1"/>
  <c r="E615" i="1"/>
  <c r="K616" i="1"/>
  <c r="F616" i="1"/>
  <c r="P628" i="1"/>
  <c r="P643" i="1" s="1"/>
  <c r="O628" i="1"/>
  <c r="X627" i="1"/>
  <c r="S627" i="1"/>
  <c r="R653" i="1"/>
  <c r="S675" i="1"/>
  <c r="X675" i="1"/>
  <c r="S676" i="1"/>
  <c r="X676" i="1"/>
  <c r="S677" i="1"/>
  <c r="X677" i="1"/>
  <c r="S678" i="1"/>
  <c r="X678" i="1"/>
  <c r="S679" i="1"/>
  <c r="X679" i="1"/>
  <c r="X672" i="1"/>
  <c r="S672" i="1"/>
  <c r="X671" i="1"/>
  <c r="S671" i="1"/>
  <c r="X670" i="1"/>
  <c r="S670" i="1"/>
  <c r="S637" i="1"/>
  <c r="X637" i="1"/>
  <c r="X614" i="1"/>
  <c r="S614" i="1"/>
  <c r="X640" i="1"/>
  <c r="S640" i="1"/>
  <c r="X639" i="1"/>
  <c r="S639" i="1"/>
  <c r="X638" i="1"/>
  <c r="S638" i="1"/>
  <c r="Q653" i="1"/>
  <c r="P653" i="1"/>
  <c r="O653" i="1"/>
  <c r="S652" i="1"/>
  <c r="X652" i="1"/>
  <c r="X653" i="1"/>
  <c r="K642" i="1"/>
  <c r="F642" i="1"/>
  <c r="S641" i="1"/>
  <c r="X641" i="1"/>
  <c r="S642" i="1"/>
  <c r="X642" i="1"/>
  <c r="X604" i="1"/>
  <c r="S604" i="1"/>
  <c r="X599" i="1"/>
  <c r="S599" i="1"/>
  <c r="J719" i="1"/>
  <c r="I719" i="1"/>
  <c r="H719" i="1"/>
  <c r="G719" i="1"/>
  <c r="E719" i="1"/>
  <c r="D719" i="1"/>
  <c r="C719" i="1"/>
  <c r="B719" i="1"/>
  <c r="K718" i="1"/>
  <c r="F718" i="1"/>
  <c r="K717" i="1"/>
  <c r="F717" i="1"/>
  <c r="K716" i="1"/>
  <c r="F716" i="1"/>
  <c r="K715" i="1"/>
  <c r="F715" i="1"/>
  <c r="K714" i="1"/>
  <c r="F714" i="1"/>
  <c r="K713" i="1"/>
  <c r="F713" i="1"/>
  <c r="K712" i="1"/>
  <c r="F712" i="1"/>
  <c r="K711" i="1"/>
  <c r="F711" i="1"/>
  <c r="K710" i="1"/>
  <c r="F710" i="1"/>
  <c r="K709" i="1"/>
  <c r="F709" i="1"/>
  <c r="K708" i="1"/>
  <c r="F708" i="1"/>
  <c r="K707" i="1"/>
  <c r="F707" i="1"/>
  <c r="K706" i="1"/>
  <c r="F706" i="1"/>
  <c r="K705" i="1"/>
  <c r="F705" i="1"/>
  <c r="K704" i="1"/>
  <c r="F704" i="1"/>
  <c r="K703" i="1"/>
  <c r="F703" i="1"/>
  <c r="K702" i="1"/>
  <c r="F702" i="1"/>
  <c r="K701" i="1"/>
  <c r="F701" i="1"/>
  <c r="K700" i="1"/>
  <c r="F700" i="1"/>
  <c r="K698" i="1"/>
  <c r="F698" i="1"/>
  <c r="K697" i="1"/>
  <c r="F697" i="1"/>
  <c r="K696" i="1"/>
  <c r="F696" i="1"/>
  <c r="K695" i="1"/>
  <c r="F695" i="1"/>
  <c r="K694" i="1"/>
  <c r="F694" i="1"/>
  <c r="K692" i="1"/>
  <c r="K691" i="1"/>
  <c r="F691" i="1"/>
  <c r="K690" i="1"/>
  <c r="F690" i="1"/>
  <c r="K689" i="1"/>
  <c r="F689" i="1"/>
  <c r="W719" i="1"/>
  <c r="V719" i="1"/>
  <c r="U719" i="1"/>
  <c r="T719" i="1"/>
  <c r="R719" i="1"/>
  <c r="Q719" i="1"/>
  <c r="P719" i="1"/>
  <c r="O719" i="1"/>
  <c r="X711" i="1"/>
  <c r="S711" i="1"/>
  <c r="X710" i="1"/>
  <c r="S710" i="1"/>
  <c r="X709" i="1"/>
  <c r="S709" i="1"/>
  <c r="X708" i="1"/>
  <c r="S708" i="1"/>
  <c r="X707" i="1"/>
  <c r="S707" i="1"/>
  <c r="X705" i="1"/>
  <c r="S705" i="1"/>
  <c r="X704" i="1"/>
  <c r="S704" i="1"/>
  <c r="X703" i="1"/>
  <c r="S703" i="1"/>
  <c r="X702" i="1"/>
  <c r="S702" i="1"/>
  <c r="X701" i="1"/>
  <c r="S701" i="1"/>
  <c r="X700" i="1"/>
  <c r="S700" i="1"/>
  <c r="X699" i="1"/>
  <c r="S699" i="1"/>
  <c r="X698" i="1"/>
  <c r="S698" i="1"/>
  <c r="X697" i="1"/>
  <c r="S697" i="1"/>
  <c r="X696" i="1"/>
  <c r="S696" i="1"/>
  <c r="X695" i="1"/>
  <c r="S695" i="1"/>
  <c r="X694" i="1"/>
  <c r="S694" i="1"/>
  <c r="X692" i="1"/>
  <c r="S692" i="1"/>
  <c r="X691" i="1"/>
  <c r="S691" i="1"/>
  <c r="X690" i="1"/>
  <c r="S690" i="1"/>
  <c r="L695" i="1"/>
  <c r="K537" i="1"/>
  <c r="K538" i="1"/>
  <c r="K539" i="1"/>
  <c r="K540" i="1"/>
  <c r="F539" i="1"/>
  <c r="F538" i="1"/>
  <c r="F537" i="1"/>
  <c r="L537" i="1" s="1"/>
  <c r="S537" i="1"/>
  <c r="X537" i="1"/>
  <c r="X600" i="1"/>
  <c r="S600" i="1"/>
  <c r="X539" i="1"/>
  <c r="S539" i="1"/>
  <c r="X602" i="1"/>
  <c r="S602" i="1"/>
  <c r="X601" i="1"/>
  <c r="S601" i="1"/>
  <c r="X576" i="1"/>
  <c r="S576" i="1"/>
  <c r="X684" i="1"/>
  <c r="S684" i="1"/>
  <c r="J681" i="1"/>
  <c r="I681" i="1"/>
  <c r="H681" i="1"/>
  <c r="K681" i="1" s="1"/>
  <c r="G681" i="1"/>
  <c r="E681" i="1"/>
  <c r="D681" i="1"/>
  <c r="C681" i="1"/>
  <c r="B681" i="1"/>
  <c r="K680" i="1"/>
  <c r="K679" i="1"/>
  <c r="F679" i="1"/>
  <c r="K678" i="1"/>
  <c r="F678" i="1"/>
  <c r="K677" i="1"/>
  <c r="F677" i="1"/>
  <c r="K676" i="1"/>
  <c r="F676" i="1"/>
  <c r="K675" i="1"/>
  <c r="F675" i="1"/>
  <c r="K674" i="1"/>
  <c r="F674" i="1"/>
  <c r="K673" i="1"/>
  <c r="F673" i="1"/>
  <c r="K672" i="1"/>
  <c r="F672" i="1"/>
  <c r="K671" i="1"/>
  <c r="F671" i="1"/>
  <c r="L671" i="1" s="1"/>
  <c r="K670" i="1"/>
  <c r="F670" i="1"/>
  <c r="K669" i="1"/>
  <c r="F669" i="1"/>
  <c r="L669" i="1" s="1"/>
  <c r="K668" i="1"/>
  <c r="F668" i="1"/>
  <c r="K667" i="1"/>
  <c r="F667" i="1"/>
  <c r="K666" i="1"/>
  <c r="F666" i="1"/>
  <c r="K665" i="1"/>
  <c r="F665" i="1"/>
  <c r="K664" i="1"/>
  <c r="F664" i="1"/>
  <c r="K663" i="1"/>
  <c r="F663" i="1"/>
  <c r="L663" i="1" s="1"/>
  <c r="K662" i="1"/>
  <c r="F662" i="1"/>
  <c r="K661" i="1"/>
  <c r="F661" i="1"/>
  <c r="K660" i="1"/>
  <c r="F660" i="1"/>
  <c r="K659" i="1"/>
  <c r="F659" i="1"/>
  <c r="K658" i="1"/>
  <c r="F658" i="1"/>
  <c r="K657" i="1"/>
  <c r="F657" i="1"/>
  <c r="K656" i="1"/>
  <c r="F656" i="1"/>
  <c r="K654" i="1"/>
  <c r="F654" i="1"/>
  <c r="K653" i="1"/>
  <c r="F653" i="1"/>
  <c r="K652" i="1"/>
  <c r="F652" i="1"/>
  <c r="L652" i="1" s="1"/>
  <c r="K651" i="1"/>
  <c r="F651" i="1"/>
  <c r="W681" i="1"/>
  <c r="V681" i="1"/>
  <c r="U681" i="1"/>
  <c r="T681" i="1"/>
  <c r="R681" i="1"/>
  <c r="Q681" i="1"/>
  <c r="P681" i="1"/>
  <c r="O681" i="1"/>
  <c r="X669" i="1"/>
  <c r="S669" i="1"/>
  <c r="Y669" i="1" s="1"/>
  <c r="X668" i="1"/>
  <c r="S668" i="1"/>
  <c r="X667" i="1"/>
  <c r="S667" i="1"/>
  <c r="X666" i="1"/>
  <c r="S666" i="1"/>
  <c r="X665" i="1"/>
  <c r="S665" i="1"/>
  <c r="X664" i="1"/>
  <c r="S664" i="1"/>
  <c r="X663" i="1"/>
  <c r="S663" i="1"/>
  <c r="X662" i="1"/>
  <c r="S662" i="1"/>
  <c r="X661" i="1"/>
  <c r="S661" i="1"/>
  <c r="Y661" i="1" s="1"/>
  <c r="X660" i="1"/>
  <c r="S660" i="1"/>
  <c r="Y660" i="1" s="1"/>
  <c r="X659" i="1"/>
  <c r="S659" i="1"/>
  <c r="Y659" i="1" s="1"/>
  <c r="X658" i="1"/>
  <c r="S658" i="1"/>
  <c r="X657" i="1"/>
  <c r="S657" i="1"/>
  <c r="X656" i="1"/>
  <c r="S656" i="1"/>
  <c r="X654" i="1"/>
  <c r="S654" i="1"/>
  <c r="Y654" i="1" s="1"/>
  <c r="F513" i="1"/>
  <c r="K513" i="1"/>
  <c r="F514" i="1"/>
  <c r="K514" i="1"/>
  <c r="F515" i="1"/>
  <c r="K515" i="1"/>
  <c r="F516" i="1"/>
  <c r="K516" i="1"/>
  <c r="K542" i="1"/>
  <c r="F542" i="1"/>
  <c r="K566" i="1"/>
  <c r="F566" i="1"/>
  <c r="X502" i="1"/>
  <c r="S502" i="1"/>
  <c r="X545" i="1"/>
  <c r="S545" i="1"/>
  <c r="J643" i="1"/>
  <c r="I643" i="1"/>
  <c r="H643" i="1"/>
  <c r="G643" i="1"/>
  <c r="E643" i="1"/>
  <c r="D643" i="1"/>
  <c r="C643" i="1"/>
  <c r="B643" i="1"/>
  <c r="K641" i="1"/>
  <c r="F641" i="1"/>
  <c r="K640" i="1"/>
  <c r="F640" i="1"/>
  <c r="K639" i="1"/>
  <c r="F639" i="1"/>
  <c r="K638" i="1"/>
  <c r="F638" i="1"/>
  <c r="K637" i="1"/>
  <c r="F637" i="1"/>
  <c r="K636" i="1"/>
  <c r="F636" i="1"/>
  <c r="K635" i="1"/>
  <c r="F635" i="1"/>
  <c r="K634" i="1"/>
  <c r="F634" i="1"/>
  <c r="K633" i="1"/>
  <c r="F633" i="1"/>
  <c r="K632" i="1"/>
  <c r="F632" i="1"/>
  <c r="K631" i="1"/>
  <c r="F631" i="1"/>
  <c r="K630" i="1"/>
  <c r="F630" i="1"/>
  <c r="K629" i="1"/>
  <c r="F629" i="1"/>
  <c r="K628" i="1"/>
  <c r="F628" i="1"/>
  <c r="K627" i="1"/>
  <c r="F627" i="1"/>
  <c r="K626" i="1"/>
  <c r="F626" i="1"/>
  <c r="K625" i="1"/>
  <c r="F625" i="1"/>
  <c r="K624" i="1"/>
  <c r="F624" i="1"/>
  <c r="K623" i="1"/>
  <c r="F623" i="1"/>
  <c r="K621" i="1"/>
  <c r="F621" i="1"/>
  <c r="K620" i="1"/>
  <c r="F620" i="1"/>
  <c r="K619" i="1"/>
  <c r="F619" i="1"/>
  <c r="K618" i="1"/>
  <c r="F618" i="1"/>
  <c r="K615" i="1"/>
  <c r="F615" i="1"/>
  <c r="K614" i="1"/>
  <c r="F614" i="1"/>
  <c r="K613" i="1"/>
  <c r="F613" i="1"/>
  <c r="S564" i="1"/>
  <c r="X564" i="1"/>
  <c r="S565" i="1"/>
  <c r="X565" i="1"/>
  <c r="S566" i="1"/>
  <c r="X566" i="1"/>
  <c r="W643" i="1"/>
  <c r="V643" i="1"/>
  <c r="U643" i="1"/>
  <c r="T643" i="1"/>
  <c r="R643" i="1"/>
  <c r="Q643" i="1"/>
  <c r="X636" i="1"/>
  <c r="S636" i="1"/>
  <c r="X635" i="1"/>
  <c r="S635" i="1"/>
  <c r="X634" i="1"/>
  <c r="S634" i="1"/>
  <c r="X633" i="1"/>
  <c r="S633" i="1"/>
  <c r="X632" i="1"/>
  <c r="S632" i="1"/>
  <c r="X631" i="1"/>
  <c r="S631" i="1"/>
  <c r="X630" i="1"/>
  <c r="S630" i="1"/>
  <c r="X629" i="1"/>
  <c r="S629" i="1"/>
  <c r="X628" i="1"/>
  <c r="X626" i="1"/>
  <c r="S626" i="1"/>
  <c r="X625" i="1"/>
  <c r="S625" i="1"/>
  <c r="X624" i="1"/>
  <c r="S624" i="1"/>
  <c r="X623" i="1"/>
  <c r="S623" i="1"/>
  <c r="X622" i="1"/>
  <c r="S622" i="1"/>
  <c r="X621" i="1"/>
  <c r="S621" i="1"/>
  <c r="X620" i="1"/>
  <c r="S620" i="1"/>
  <c r="X619" i="1"/>
  <c r="S619" i="1"/>
  <c r="X618" i="1"/>
  <c r="S618" i="1"/>
  <c r="X616" i="1"/>
  <c r="S616" i="1"/>
  <c r="X615" i="1"/>
  <c r="S615" i="1"/>
  <c r="X613" i="1"/>
  <c r="S613" i="1"/>
  <c r="L637" i="1"/>
  <c r="S518" i="1"/>
  <c r="X518" i="1"/>
  <c r="X544" i="1"/>
  <c r="S544" i="1"/>
  <c r="S519" i="1"/>
  <c r="X519" i="1"/>
  <c r="X543" i="1"/>
  <c r="P543" i="1"/>
  <c r="P567" i="1" s="1"/>
  <c r="O543" i="1"/>
  <c r="E502" i="1"/>
  <c r="D502" i="1"/>
  <c r="K501" i="1"/>
  <c r="F501" i="1"/>
  <c r="K500" i="1"/>
  <c r="F500" i="1"/>
  <c r="K499" i="1"/>
  <c r="F499" i="1"/>
  <c r="K509" i="1"/>
  <c r="F509" i="1"/>
  <c r="X526" i="1"/>
  <c r="S526" i="1"/>
  <c r="K528" i="1"/>
  <c r="F528" i="1"/>
  <c r="Q504" i="1"/>
  <c r="Q529" i="1" s="1"/>
  <c r="P504" i="1"/>
  <c r="P529" i="1" s="1"/>
  <c r="O504" i="1"/>
  <c r="X462" i="1"/>
  <c r="S462" i="1"/>
  <c r="S475" i="1"/>
  <c r="X475" i="1"/>
  <c r="X504" i="1"/>
  <c r="D463" i="1"/>
  <c r="F463" i="1" s="1"/>
  <c r="J468" i="1"/>
  <c r="K468" i="1" s="1"/>
  <c r="E468" i="1"/>
  <c r="E491" i="1" s="1"/>
  <c r="X490" i="1"/>
  <c r="S490" i="1"/>
  <c r="Y490" i="1" s="1"/>
  <c r="X525" i="1"/>
  <c r="S525" i="1"/>
  <c r="X469" i="1"/>
  <c r="S469" i="1"/>
  <c r="X527" i="1"/>
  <c r="S527" i="1"/>
  <c r="X500" i="1"/>
  <c r="S500" i="1"/>
  <c r="X499" i="1"/>
  <c r="S499" i="1"/>
  <c r="X423" i="1"/>
  <c r="S423" i="1"/>
  <c r="X528" i="1"/>
  <c r="S528" i="1"/>
  <c r="R605" i="1"/>
  <c r="J605" i="1"/>
  <c r="I605" i="1"/>
  <c r="H605" i="1"/>
  <c r="G605" i="1"/>
  <c r="E605" i="1"/>
  <c r="D605" i="1"/>
  <c r="C605" i="1"/>
  <c r="B605" i="1"/>
  <c r="W605" i="1"/>
  <c r="V605" i="1"/>
  <c r="U605" i="1"/>
  <c r="T605" i="1"/>
  <c r="Q605" i="1"/>
  <c r="O605" i="1"/>
  <c r="K604" i="1"/>
  <c r="F604" i="1"/>
  <c r="X603" i="1"/>
  <c r="S603" i="1"/>
  <c r="K603" i="1"/>
  <c r="F603" i="1"/>
  <c r="K602" i="1"/>
  <c r="F602" i="1"/>
  <c r="K601" i="1"/>
  <c r="F601" i="1"/>
  <c r="K600" i="1"/>
  <c r="F600" i="1"/>
  <c r="K599" i="1"/>
  <c r="F599" i="1"/>
  <c r="X598" i="1"/>
  <c r="S598" i="1"/>
  <c r="K598" i="1"/>
  <c r="F598" i="1"/>
  <c r="X597" i="1"/>
  <c r="S597" i="1"/>
  <c r="K597" i="1"/>
  <c r="F597" i="1"/>
  <c r="X596" i="1"/>
  <c r="S596" i="1"/>
  <c r="K596" i="1"/>
  <c r="F596" i="1"/>
  <c r="X595" i="1"/>
  <c r="S595" i="1"/>
  <c r="K595" i="1"/>
  <c r="F595" i="1"/>
  <c r="X594" i="1"/>
  <c r="S594" i="1"/>
  <c r="K594" i="1"/>
  <c r="F594" i="1"/>
  <c r="X593" i="1"/>
  <c r="S593" i="1"/>
  <c r="K593" i="1"/>
  <c r="F593" i="1"/>
  <c r="X592" i="1"/>
  <c r="S592" i="1"/>
  <c r="K592" i="1"/>
  <c r="F592" i="1"/>
  <c r="X591" i="1"/>
  <c r="S591" i="1"/>
  <c r="K591" i="1"/>
  <c r="F591" i="1"/>
  <c r="X590" i="1"/>
  <c r="S590" i="1"/>
  <c r="K590" i="1"/>
  <c r="F590" i="1"/>
  <c r="X589" i="1"/>
  <c r="S589" i="1"/>
  <c r="K589" i="1"/>
  <c r="F589" i="1"/>
  <c r="X588" i="1"/>
  <c r="S588" i="1"/>
  <c r="K588" i="1"/>
  <c r="F588" i="1"/>
  <c r="X587" i="1"/>
  <c r="S587" i="1"/>
  <c r="K587" i="1"/>
  <c r="F587" i="1"/>
  <c r="X586" i="1"/>
  <c r="S586" i="1"/>
  <c r="K586" i="1"/>
  <c r="F586" i="1"/>
  <c r="X585" i="1"/>
  <c r="S585" i="1"/>
  <c r="K585" i="1"/>
  <c r="F585" i="1"/>
  <c r="X584" i="1"/>
  <c r="S584" i="1"/>
  <c r="K584" i="1"/>
  <c r="F584" i="1"/>
  <c r="X583" i="1"/>
  <c r="S583" i="1"/>
  <c r="K583" i="1"/>
  <c r="F583" i="1"/>
  <c r="X582" i="1"/>
  <c r="S582" i="1"/>
  <c r="K582" i="1"/>
  <c r="F582" i="1"/>
  <c r="X581" i="1"/>
  <c r="S581" i="1"/>
  <c r="K581" i="1"/>
  <c r="F581" i="1"/>
  <c r="X580" i="1"/>
  <c r="S580" i="1"/>
  <c r="K580" i="1"/>
  <c r="F580" i="1"/>
  <c r="X578" i="1"/>
  <c r="S578" i="1"/>
  <c r="K578" i="1"/>
  <c r="F578" i="1"/>
  <c r="X577" i="1"/>
  <c r="S577" i="1"/>
  <c r="K577" i="1"/>
  <c r="F577" i="1"/>
  <c r="K576" i="1"/>
  <c r="F576" i="1"/>
  <c r="X575" i="1"/>
  <c r="S575" i="1"/>
  <c r="K575" i="1"/>
  <c r="F575" i="1"/>
  <c r="X489" i="1"/>
  <c r="S489" i="1"/>
  <c r="F439" i="1"/>
  <c r="K439" i="1"/>
  <c r="K438" i="1"/>
  <c r="F438" i="1"/>
  <c r="K437" i="1"/>
  <c r="F437" i="1"/>
  <c r="Y528" i="1"/>
  <c r="P605" i="1"/>
  <c r="X433" i="1"/>
  <c r="S433" i="1"/>
  <c r="X448" i="1"/>
  <c r="S448" i="1"/>
  <c r="X409" i="1"/>
  <c r="S409" i="1"/>
  <c r="X408" i="1"/>
  <c r="S408" i="1"/>
  <c r="X407" i="1"/>
  <c r="S407" i="1"/>
  <c r="X406" i="1"/>
  <c r="S406" i="1"/>
  <c r="X405" i="1"/>
  <c r="S405" i="1"/>
  <c r="X404" i="1"/>
  <c r="S404" i="1"/>
  <c r="X403" i="1"/>
  <c r="S403" i="1"/>
  <c r="X402" i="1"/>
  <c r="S402" i="1"/>
  <c r="X401" i="1"/>
  <c r="S401" i="1"/>
  <c r="X400" i="1"/>
  <c r="S400" i="1"/>
  <c r="X399" i="1"/>
  <c r="S399" i="1"/>
  <c r="X398" i="1"/>
  <c r="S398" i="1"/>
  <c r="X397" i="1"/>
  <c r="S397" i="1"/>
  <c r="X396" i="1"/>
  <c r="S396" i="1"/>
  <c r="X395" i="1"/>
  <c r="S395" i="1"/>
  <c r="X394" i="1"/>
  <c r="S394" i="1"/>
  <c r="X393" i="1"/>
  <c r="Y393" i="1" s="1"/>
  <c r="S393" i="1"/>
  <c r="X392" i="1"/>
  <c r="S392" i="1"/>
  <c r="X391" i="1"/>
  <c r="S391" i="1"/>
  <c r="X390" i="1"/>
  <c r="S390" i="1"/>
  <c r="X372" i="1"/>
  <c r="S372" i="1"/>
  <c r="S449" i="1"/>
  <c r="X449" i="1"/>
  <c r="S450" i="1"/>
  <c r="X450" i="1"/>
  <c r="S451" i="1"/>
  <c r="X451" i="1"/>
  <c r="S452" i="1"/>
  <c r="X452" i="1"/>
  <c r="X447" i="1"/>
  <c r="S447" i="1"/>
  <c r="X412" i="1"/>
  <c r="S412" i="1"/>
  <c r="X542" i="1"/>
  <c r="S542" i="1"/>
  <c r="F400" i="1"/>
  <c r="K400" i="1"/>
  <c r="K399" i="1"/>
  <c r="F399" i="1"/>
  <c r="K398" i="1"/>
  <c r="F398" i="1"/>
  <c r="F414" i="1"/>
  <c r="K414" i="1"/>
  <c r="J567" i="1"/>
  <c r="I567" i="1"/>
  <c r="H567" i="1"/>
  <c r="G567" i="1"/>
  <c r="E567" i="1"/>
  <c r="D567" i="1"/>
  <c r="C567" i="1"/>
  <c r="B567" i="1"/>
  <c r="K565" i="1"/>
  <c r="L565" i="1" s="1"/>
  <c r="F565" i="1"/>
  <c r="K564" i="1"/>
  <c r="F564" i="1"/>
  <c r="K563" i="1"/>
  <c r="L563" i="1" s="1"/>
  <c r="F563" i="1"/>
  <c r="K562" i="1"/>
  <c r="F562" i="1"/>
  <c r="K561" i="1"/>
  <c r="F561" i="1"/>
  <c r="K560" i="1"/>
  <c r="F560" i="1"/>
  <c r="K559" i="1"/>
  <c r="F559" i="1"/>
  <c r="K558" i="1"/>
  <c r="F558" i="1"/>
  <c r="K557" i="1"/>
  <c r="F557" i="1"/>
  <c r="K556" i="1"/>
  <c r="F556" i="1"/>
  <c r="K555" i="1"/>
  <c r="F555" i="1"/>
  <c r="K554" i="1"/>
  <c r="F554" i="1"/>
  <c r="K553" i="1"/>
  <c r="F553" i="1"/>
  <c r="K552" i="1"/>
  <c r="F552" i="1"/>
  <c r="K551" i="1"/>
  <c r="F551" i="1"/>
  <c r="K550" i="1"/>
  <c r="F550" i="1"/>
  <c r="K549" i="1"/>
  <c r="F549" i="1"/>
  <c r="K548" i="1"/>
  <c r="F548" i="1"/>
  <c r="K547" i="1"/>
  <c r="F547" i="1"/>
  <c r="K546" i="1"/>
  <c r="F546" i="1"/>
  <c r="K545" i="1"/>
  <c r="F545" i="1"/>
  <c r="K544" i="1"/>
  <c r="F544" i="1"/>
  <c r="K543" i="1"/>
  <c r="F543" i="1"/>
  <c r="F540" i="1"/>
  <c r="X413" i="1"/>
  <c r="X538" i="1"/>
  <c r="S538" i="1"/>
  <c r="X414" i="1"/>
  <c r="S414" i="1"/>
  <c r="S413" i="1"/>
  <c r="W567" i="1"/>
  <c r="V567" i="1"/>
  <c r="U567" i="1"/>
  <c r="T567" i="1"/>
  <c r="R567" i="1"/>
  <c r="Q567" i="1"/>
  <c r="X563" i="1"/>
  <c r="S563" i="1"/>
  <c r="X562" i="1"/>
  <c r="S562" i="1"/>
  <c r="X561" i="1"/>
  <c r="S561" i="1"/>
  <c r="X560" i="1"/>
  <c r="S560" i="1"/>
  <c r="X559" i="1"/>
  <c r="S559" i="1"/>
  <c r="X558" i="1"/>
  <c r="S558" i="1"/>
  <c r="X557" i="1"/>
  <c r="S557" i="1"/>
  <c r="X556" i="1"/>
  <c r="S556" i="1"/>
  <c r="X555" i="1"/>
  <c r="S555" i="1"/>
  <c r="X554" i="1"/>
  <c r="S554" i="1"/>
  <c r="X553" i="1"/>
  <c r="S553" i="1"/>
  <c r="X552" i="1"/>
  <c r="S552" i="1"/>
  <c r="X551" i="1"/>
  <c r="S551" i="1"/>
  <c r="X550" i="1"/>
  <c r="S550" i="1"/>
  <c r="X549" i="1"/>
  <c r="S549" i="1"/>
  <c r="X548" i="1"/>
  <c r="S548" i="1"/>
  <c r="X547" i="1"/>
  <c r="S547" i="1"/>
  <c r="X546" i="1"/>
  <c r="S546" i="1"/>
  <c r="X540" i="1"/>
  <c r="S540" i="1"/>
  <c r="X411" i="1"/>
  <c r="S411" i="1"/>
  <c r="X410" i="1"/>
  <c r="S410" i="1"/>
  <c r="J529" i="1"/>
  <c r="I529" i="1"/>
  <c r="H529" i="1"/>
  <c r="G529" i="1"/>
  <c r="E529" i="1"/>
  <c r="D529" i="1"/>
  <c r="C529" i="1"/>
  <c r="B529" i="1"/>
  <c r="K527" i="1"/>
  <c r="F527" i="1"/>
  <c r="K526" i="1"/>
  <c r="F526" i="1"/>
  <c r="K525" i="1"/>
  <c r="F525" i="1"/>
  <c r="K524" i="1"/>
  <c r="F524" i="1"/>
  <c r="K523" i="1"/>
  <c r="F523" i="1"/>
  <c r="K522" i="1"/>
  <c r="F522" i="1"/>
  <c r="K521" i="1"/>
  <c r="F521" i="1"/>
  <c r="K520" i="1"/>
  <c r="F520" i="1"/>
  <c r="K519" i="1"/>
  <c r="F519" i="1"/>
  <c r="K518" i="1"/>
  <c r="F518" i="1"/>
  <c r="K517" i="1"/>
  <c r="F517" i="1"/>
  <c r="K512" i="1"/>
  <c r="F512" i="1"/>
  <c r="K511" i="1"/>
  <c r="F511" i="1"/>
  <c r="K510" i="1"/>
  <c r="F510" i="1"/>
  <c r="K508" i="1"/>
  <c r="F508" i="1"/>
  <c r="K507" i="1"/>
  <c r="F507" i="1"/>
  <c r="K506" i="1"/>
  <c r="F506" i="1"/>
  <c r="K505" i="1"/>
  <c r="F505" i="1"/>
  <c r="K504" i="1"/>
  <c r="F504" i="1"/>
  <c r="K502" i="1"/>
  <c r="W529" i="1"/>
  <c r="V529" i="1"/>
  <c r="U529" i="1"/>
  <c r="T529" i="1"/>
  <c r="R529" i="1"/>
  <c r="X524" i="1"/>
  <c r="S524" i="1"/>
  <c r="X523" i="1"/>
  <c r="S523" i="1"/>
  <c r="X522" i="1"/>
  <c r="S522" i="1"/>
  <c r="X521" i="1"/>
  <c r="S521" i="1"/>
  <c r="X520" i="1"/>
  <c r="S520" i="1"/>
  <c r="X517" i="1"/>
  <c r="S517" i="1"/>
  <c r="X516" i="1"/>
  <c r="S516" i="1"/>
  <c r="X515" i="1"/>
  <c r="S515" i="1"/>
  <c r="X514" i="1"/>
  <c r="S514" i="1"/>
  <c r="X513" i="1"/>
  <c r="S513" i="1"/>
  <c r="X512" i="1"/>
  <c r="S512" i="1"/>
  <c r="X511" i="1"/>
  <c r="S511" i="1"/>
  <c r="X510" i="1"/>
  <c r="S510" i="1"/>
  <c r="X509" i="1"/>
  <c r="S509" i="1"/>
  <c r="X508" i="1"/>
  <c r="S508" i="1"/>
  <c r="X507" i="1"/>
  <c r="S507" i="1"/>
  <c r="X506" i="1"/>
  <c r="S506" i="1"/>
  <c r="X505" i="1"/>
  <c r="S505" i="1"/>
  <c r="X501" i="1"/>
  <c r="S501" i="1"/>
  <c r="W453" i="1"/>
  <c r="V453" i="1"/>
  <c r="U453" i="1"/>
  <c r="T453" i="1"/>
  <c r="R453" i="1"/>
  <c r="Q453" i="1"/>
  <c r="P453" i="1"/>
  <c r="O453" i="1"/>
  <c r="S371" i="1"/>
  <c r="X371" i="1"/>
  <c r="X370" i="1"/>
  <c r="S370" i="1"/>
  <c r="X369" i="1"/>
  <c r="S369" i="1"/>
  <c r="X461" i="1"/>
  <c r="S461" i="1"/>
  <c r="X363" i="1"/>
  <c r="S363" i="1"/>
  <c r="C362" i="1"/>
  <c r="F362" i="1" s="1"/>
  <c r="W491" i="1"/>
  <c r="V491" i="1"/>
  <c r="U491" i="1"/>
  <c r="T491" i="1"/>
  <c r="R491" i="1"/>
  <c r="Q491" i="1"/>
  <c r="P491" i="1"/>
  <c r="O491" i="1"/>
  <c r="X488" i="1"/>
  <c r="S488" i="1"/>
  <c r="X487" i="1"/>
  <c r="S487" i="1"/>
  <c r="X486" i="1"/>
  <c r="S486" i="1"/>
  <c r="X485" i="1"/>
  <c r="S485" i="1"/>
  <c r="X484" i="1"/>
  <c r="S484" i="1"/>
  <c r="X483" i="1"/>
  <c r="S483" i="1"/>
  <c r="X482" i="1"/>
  <c r="S482" i="1"/>
  <c r="X481" i="1"/>
  <c r="S481" i="1"/>
  <c r="X480" i="1"/>
  <c r="S480" i="1"/>
  <c r="X479" i="1"/>
  <c r="S479" i="1"/>
  <c r="X478" i="1"/>
  <c r="S478" i="1"/>
  <c r="X477" i="1"/>
  <c r="S477" i="1"/>
  <c r="X476" i="1"/>
  <c r="S476" i="1"/>
  <c r="X474" i="1"/>
  <c r="S474" i="1"/>
  <c r="X473" i="1"/>
  <c r="S473" i="1"/>
  <c r="X472" i="1"/>
  <c r="S472" i="1"/>
  <c r="X471" i="1"/>
  <c r="S471" i="1"/>
  <c r="X470" i="1"/>
  <c r="S470" i="1"/>
  <c r="X468" i="1"/>
  <c r="S468" i="1"/>
  <c r="X467" i="1"/>
  <c r="S467" i="1"/>
  <c r="X466" i="1"/>
  <c r="S466" i="1"/>
  <c r="X464" i="1"/>
  <c r="S464" i="1"/>
  <c r="X463" i="1"/>
  <c r="S463" i="1"/>
  <c r="I491" i="1"/>
  <c r="H491" i="1"/>
  <c r="G491" i="1"/>
  <c r="D491" i="1"/>
  <c r="C491" i="1"/>
  <c r="B491" i="1"/>
  <c r="K490" i="1"/>
  <c r="F490" i="1"/>
  <c r="K489" i="1"/>
  <c r="F489" i="1"/>
  <c r="K488" i="1"/>
  <c r="F488" i="1"/>
  <c r="K487" i="1"/>
  <c r="F487" i="1"/>
  <c r="K486" i="1"/>
  <c r="F486" i="1"/>
  <c r="K485" i="1"/>
  <c r="F485" i="1"/>
  <c r="K484" i="1"/>
  <c r="F484" i="1"/>
  <c r="K483" i="1"/>
  <c r="F483" i="1"/>
  <c r="K482" i="1"/>
  <c r="F482" i="1"/>
  <c r="K481" i="1"/>
  <c r="F481" i="1"/>
  <c r="K480" i="1"/>
  <c r="F480" i="1"/>
  <c r="K479" i="1"/>
  <c r="F479" i="1"/>
  <c r="K478" i="1"/>
  <c r="F478" i="1"/>
  <c r="K477" i="1"/>
  <c r="F477" i="1"/>
  <c r="K476" i="1"/>
  <c r="F476" i="1"/>
  <c r="K475" i="1"/>
  <c r="F475" i="1"/>
  <c r="K474" i="1"/>
  <c r="F474" i="1"/>
  <c r="K473" i="1"/>
  <c r="F473" i="1"/>
  <c r="K472" i="1"/>
  <c r="F472" i="1"/>
  <c r="K471" i="1"/>
  <c r="F471" i="1"/>
  <c r="K470" i="1"/>
  <c r="F470" i="1"/>
  <c r="K469" i="1"/>
  <c r="F469" i="1"/>
  <c r="K467" i="1"/>
  <c r="F467" i="1"/>
  <c r="K466" i="1"/>
  <c r="F466" i="1"/>
  <c r="K464" i="1"/>
  <c r="F464" i="1"/>
  <c r="K463" i="1"/>
  <c r="K462" i="1"/>
  <c r="F462" i="1"/>
  <c r="L462" i="1" s="1"/>
  <c r="K461" i="1"/>
  <c r="F461" i="1"/>
  <c r="X375" i="1"/>
  <c r="S375" i="1"/>
  <c r="X358" i="1"/>
  <c r="S358" i="1"/>
  <c r="K349" i="1"/>
  <c r="F349" i="1"/>
  <c r="K348" i="1"/>
  <c r="F348" i="1"/>
  <c r="K347" i="1"/>
  <c r="F347" i="1"/>
  <c r="F326" i="1"/>
  <c r="K326" i="1"/>
  <c r="F327" i="1"/>
  <c r="K327" i="1"/>
  <c r="F328" i="1"/>
  <c r="K328" i="1"/>
  <c r="F329" i="1"/>
  <c r="K329" i="1"/>
  <c r="F330" i="1"/>
  <c r="K330" i="1"/>
  <c r="F331" i="1"/>
  <c r="K331" i="1"/>
  <c r="F332" i="1"/>
  <c r="K332" i="1"/>
  <c r="E282" i="1"/>
  <c r="F282" i="1" s="1"/>
  <c r="X352" i="1"/>
  <c r="S352" i="1"/>
  <c r="X309" i="1"/>
  <c r="S309" i="1"/>
  <c r="C324" i="1"/>
  <c r="F324" i="1" s="1"/>
  <c r="X320" i="1"/>
  <c r="S320" i="1"/>
  <c r="X374" i="1"/>
  <c r="S374" i="1"/>
  <c r="X319" i="1"/>
  <c r="S319" i="1"/>
  <c r="J453" i="1"/>
  <c r="I453" i="1"/>
  <c r="H453" i="1"/>
  <c r="G453" i="1"/>
  <c r="E453" i="1"/>
  <c r="D453" i="1"/>
  <c r="C453" i="1"/>
  <c r="B453" i="1"/>
  <c r="K452" i="1"/>
  <c r="L452" i="1" s="1"/>
  <c r="K451" i="1"/>
  <c r="F451" i="1"/>
  <c r="K450" i="1"/>
  <c r="F450" i="1"/>
  <c r="K449" i="1"/>
  <c r="F449" i="1"/>
  <c r="K448" i="1"/>
  <c r="F448" i="1"/>
  <c r="K447" i="1"/>
  <c r="F447" i="1"/>
  <c r="K446" i="1"/>
  <c r="F446" i="1"/>
  <c r="K445" i="1"/>
  <c r="F445" i="1"/>
  <c r="K444" i="1"/>
  <c r="F444" i="1"/>
  <c r="K443" i="1"/>
  <c r="F443" i="1"/>
  <c r="K442" i="1"/>
  <c r="F442" i="1"/>
  <c r="K441" i="1"/>
  <c r="F441" i="1"/>
  <c r="K440" i="1"/>
  <c r="F440" i="1"/>
  <c r="K436" i="1"/>
  <c r="F436" i="1"/>
  <c r="K435" i="1"/>
  <c r="F435" i="1"/>
  <c r="K434" i="1"/>
  <c r="F434" i="1"/>
  <c r="K433" i="1"/>
  <c r="F433" i="1"/>
  <c r="K432" i="1"/>
  <c r="F432" i="1"/>
  <c r="K431" i="1"/>
  <c r="F431" i="1"/>
  <c r="K430" i="1"/>
  <c r="F430" i="1"/>
  <c r="K429" i="1"/>
  <c r="F429" i="1"/>
  <c r="K428" i="1"/>
  <c r="F428" i="1"/>
  <c r="K426" i="1"/>
  <c r="F426" i="1"/>
  <c r="K425" i="1"/>
  <c r="F425" i="1"/>
  <c r="K424" i="1"/>
  <c r="F424" i="1"/>
  <c r="K423" i="1"/>
  <c r="F423" i="1"/>
  <c r="X446" i="1"/>
  <c r="S446" i="1"/>
  <c r="X445" i="1"/>
  <c r="S445" i="1"/>
  <c r="X444" i="1"/>
  <c r="S444" i="1"/>
  <c r="X443" i="1"/>
  <c r="S443" i="1"/>
  <c r="X442" i="1"/>
  <c r="S442" i="1"/>
  <c r="X441" i="1"/>
  <c r="S441" i="1"/>
  <c r="X440" i="1"/>
  <c r="S440" i="1"/>
  <c r="X439" i="1"/>
  <c r="S439" i="1"/>
  <c r="X438" i="1"/>
  <c r="S438" i="1"/>
  <c r="X437" i="1"/>
  <c r="S437" i="1"/>
  <c r="X436" i="1"/>
  <c r="S436" i="1"/>
  <c r="X435" i="1"/>
  <c r="S435" i="1"/>
  <c r="X434" i="1"/>
  <c r="S434" i="1"/>
  <c r="X432" i="1"/>
  <c r="S432" i="1"/>
  <c r="X431" i="1"/>
  <c r="S431" i="1"/>
  <c r="X430" i="1"/>
  <c r="S430" i="1"/>
  <c r="X429" i="1"/>
  <c r="S429" i="1"/>
  <c r="X428" i="1"/>
  <c r="S428" i="1"/>
  <c r="X426" i="1"/>
  <c r="S426" i="1"/>
  <c r="X425" i="1"/>
  <c r="S425" i="1"/>
  <c r="X424" i="1"/>
  <c r="S424" i="1"/>
  <c r="X376" i="1"/>
  <c r="S376" i="1"/>
  <c r="X337" i="1"/>
  <c r="S337" i="1"/>
  <c r="X314" i="1"/>
  <c r="Y314" i="1" s="1"/>
  <c r="S314" i="1"/>
  <c r="D234" i="1"/>
  <c r="F234" i="1" s="1"/>
  <c r="W415" i="1"/>
  <c r="V415" i="1"/>
  <c r="U415" i="1"/>
  <c r="R415" i="1"/>
  <c r="Q415" i="1"/>
  <c r="P415" i="1"/>
  <c r="O415" i="1"/>
  <c r="J415" i="1"/>
  <c r="I415" i="1"/>
  <c r="H415" i="1"/>
  <c r="G415" i="1"/>
  <c r="E415" i="1"/>
  <c r="D415" i="1"/>
  <c r="C415" i="1"/>
  <c r="B415" i="1"/>
  <c r="K413" i="1"/>
  <c r="F413" i="1"/>
  <c r="K412" i="1"/>
  <c r="F412" i="1"/>
  <c r="K411" i="1"/>
  <c r="F411" i="1"/>
  <c r="K410" i="1"/>
  <c r="F410" i="1"/>
  <c r="K409" i="1"/>
  <c r="F409" i="1"/>
  <c r="K408" i="1"/>
  <c r="F408" i="1"/>
  <c r="K407" i="1"/>
  <c r="F407" i="1"/>
  <c r="K406" i="1"/>
  <c r="F406" i="1"/>
  <c r="K405" i="1"/>
  <c r="F405" i="1"/>
  <c r="K404" i="1"/>
  <c r="F404" i="1"/>
  <c r="K403" i="1"/>
  <c r="F403" i="1"/>
  <c r="K402" i="1"/>
  <c r="F402" i="1"/>
  <c r="K401" i="1"/>
  <c r="F401" i="1"/>
  <c r="K397" i="1"/>
  <c r="F397" i="1"/>
  <c r="K396" i="1"/>
  <c r="F396" i="1"/>
  <c r="K395" i="1"/>
  <c r="F395" i="1"/>
  <c r="K394" i="1"/>
  <c r="F394" i="1"/>
  <c r="K393" i="1"/>
  <c r="F393" i="1"/>
  <c r="K392" i="1"/>
  <c r="F392" i="1"/>
  <c r="K391" i="1"/>
  <c r="F391" i="1"/>
  <c r="K390" i="1"/>
  <c r="F390" i="1"/>
  <c r="X388" i="1"/>
  <c r="S388" i="1"/>
  <c r="K388" i="1"/>
  <c r="F388" i="1"/>
  <c r="X387" i="1"/>
  <c r="S387" i="1"/>
  <c r="K387" i="1"/>
  <c r="F387" i="1"/>
  <c r="X386" i="1"/>
  <c r="S386" i="1"/>
  <c r="K386" i="1"/>
  <c r="F386" i="1"/>
  <c r="X385" i="1"/>
  <c r="S385" i="1"/>
  <c r="K385" i="1"/>
  <c r="F385" i="1"/>
  <c r="C288" i="1"/>
  <c r="C301" i="1" s="1"/>
  <c r="J377" i="1"/>
  <c r="I377" i="1"/>
  <c r="H377" i="1"/>
  <c r="G377" i="1"/>
  <c r="E377" i="1"/>
  <c r="D377" i="1"/>
  <c r="B377" i="1"/>
  <c r="K376" i="1"/>
  <c r="F376" i="1"/>
  <c r="K375" i="1"/>
  <c r="F375" i="1"/>
  <c r="K374" i="1"/>
  <c r="F374" i="1"/>
  <c r="K373" i="1"/>
  <c r="F373" i="1"/>
  <c r="K372" i="1"/>
  <c r="F372" i="1"/>
  <c r="K371" i="1"/>
  <c r="F371" i="1"/>
  <c r="K370" i="1"/>
  <c r="F370" i="1"/>
  <c r="K369" i="1"/>
  <c r="F369" i="1"/>
  <c r="K368" i="1"/>
  <c r="F368" i="1"/>
  <c r="K367" i="1"/>
  <c r="F367" i="1"/>
  <c r="K366" i="1"/>
  <c r="F366" i="1"/>
  <c r="K365" i="1"/>
  <c r="F365" i="1"/>
  <c r="K364" i="1"/>
  <c r="F364" i="1"/>
  <c r="K363" i="1"/>
  <c r="F363" i="1"/>
  <c r="K362" i="1"/>
  <c r="K361" i="1"/>
  <c r="F361" i="1"/>
  <c r="K360" i="1"/>
  <c r="F360" i="1"/>
  <c r="K359" i="1"/>
  <c r="F359" i="1"/>
  <c r="K358" i="1"/>
  <c r="F358" i="1"/>
  <c r="K357" i="1"/>
  <c r="F357" i="1"/>
  <c r="K356" i="1"/>
  <c r="F356" i="1"/>
  <c r="K355" i="1"/>
  <c r="F355" i="1"/>
  <c r="K354" i="1"/>
  <c r="F354" i="1"/>
  <c r="L354" i="1" s="1"/>
  <c r="K353" i="1"/>
  <c r="F353" i="1"/>
  <c r="K352" i="1"/>
  <c r="F352" i="1"/>
  <c r="L352" i="1" s="1"/>
  <c r="K350" i="1"/>
  <c r="F350" i="1"/>
  <c r="X299" i="1"/>
  <c r="S299" i="1"/>
  <c r="X338" i="1"/>
  <c r="S338" i="1"/>
  <c r="W377" i="1"/>
  <c r="V377" i="1"/>
  <c r="U377" i="1"/>
  <c r="T377" i="1"/>
  <c r="R377" i="1"/>
  <c r="Q377" i="1"/>
  <c r="P377" i="1"/>
  <c r="O377" i="1"/>
  <c r="X373" i="1"/>
  <c r="S373" i="1"/>
  <c r="X368" i="1"/>
  <c r="S368" i="1"/>
  <c r="X367" i="1"/>
  <c r="S367" i="1"/>
  <c r="X366" i="1"/>
  <c r="S366" i="1"/>
  <c r="X365" i="1"/>
  <c r="S365" i="1"/>
  <c r="Y365" i="1" s="1"/>
  <c r="X364" i="1"/>
  <c r="S364" i="1"/>
  <c r="X362" i="1"/>
  <c r="S362" i="1"/>
  <c r="X361" i="1"/>
  <c r="S361" i="1"/>
  <c r="X360" i="1"/>
  <c r="S360" i="1"/>
  <c r="X359" i="1"/>
  <c r="S359" i="1"/>
  <c r="X357" i="1"/>
  <c r="S357" i="1"/>
  <c r="Y357" i="1" s="1"/>
  <c r="X356" i="1"/>
  <c r="S356" i="1"/>
  <c r="X355" i="1"/>
  <c r="S355" i="1"/>
  <c r="X354" i="1"/>
  <c r="S354" i="1"/>
  <c r="X353" i="1"/>
  <c r="S353" i="1"/>
  <c r="X350" i="1"/>
  <c r="S350" i="1"/>
  <c r="X349" i="1"/>
  <c r="S349" i="1"/>
  <c r="X348" i="1"/>
  <c r="S348" i="1"/>
  <c r="X347" i="1"/>
  <c r="S347" i="1"/>
  <c r="T415" i="1"/>
  <c r="X281" i="1"/>
  <c r="S281" i="1"/>
  <c r="S298" i="1"/>
  <c r="W339" i="1"/>
  <c r="V339" i="1"/>
  <c r="U339" i="1"/>
  <c r="T339" i="1"/>
  <c r="R339" i="1"/>
  <c r="Q339" i="1"/>
  <c r="P339" i="1"/>
  <c r="O339" i="1"/>
  <c r="J339" i="1"/>
  <c r="I339" i="1"/>
  <c r="H339" i="1"/>
  <c r="G339" i="1"/>
  <c r="K339" i="1" s="1"/>
  <c r="E339" i="1"/>
  <c r="D339" i="1"/>
  <c r="B339" i="1"/>
  <c r="K338" i="1"/>
  <c r="F338" i="1"/>
  <c r="K337" i="1"/>
  <c r="F337" i="1"/>
  <c r="X336" i="1"/>
  <c r="S336" i="1"/>
  <c r="K336" i="1"/>
  <c r="F336" i="1"/>
  <c r="X335" i="1"/>
  <c r="S335" i="1"/>
  <c r="K335" i="1"/>
  <c r="F335" i="1"/>
  <c r="X334" i="1"/>
  <c r="S334" i="1"/>
  <c r="K334" i="1"/>
  <c r="F334" i="1"/>
  <c r="X333" i="1"/>
  <c r="S333" i="1"/>
  <c r="K333" i="1"/>
  <c r="F333" i="1"/>
  <c r="X332" i="1"/>
  <c r="S332" i="1"/>
  <c r="X331" i="1"/>
  <c r="S331" i="1"/>
  <c r="X330" i="1"/>
  <c r="S330" i="1"/>
  <c r="X329" i="1"/>
  <c r="S329" i="1"/>
  <c r="X328" i="1"/>
  <c r="S328" i="1"/>
  <c r="X327" i="1"/>
  <c r="S327" i="1"/>
  <c r="X326" i="1"/>
  <c r="S326" i="1"/>
  <c r="X325" i="1"/>
  <c r="S325" i="1"/>
  <c r="K325" i="1"/>
  <c r="L325" i="1" s="1"/>
  <c r="F325" i="1"/>
  <c r="X324" i="1"/>
  <c r="S324" i="1"/>
  <c r="K324" i="1"/>
  <c r="X323" i="1"/>
  <c r="S323" i="1"/>
  <c r="Y323" i="1" s="1"/>
  <c r="K323" i="1"/>
  <c r="F323" i="1"/>
  <c r="X322" i="1"/>
  <c r="S322" i="1"/>
  <c r="K322" i="1"/>
  <c r="F322" i="1"/>
  <c r="X321" i="1"/>
  <c r="S321" i="1"/>
  <c r="Y321" i="1" s="1"/>
  <c r="K321" i="1"/>
  <c r="F321" i="1"/>
  <c r="K320" i="1"/>
  <c r="F320" i="1"/>
  <c r="L320" i="1" s="1"/>
  <c r="K319" i="1"/>
  <c r="F319" i="1"/>
  <c r="X318" i="1"/>
  <c r="S318" i="1"/>
  <c r="K318" i="1"/>
  <c r="F318" i="1"/>
  <c r="X317" i="1"/>
  <c r="S317" i="1"/>
  <c r="Y317" i="1" s="1"/>
  <c r="K317" i="1"/>
  <c r="F317" i="1"/>
  <c r="X316" i="1"/>
  <c r="S316" i="1"/>
  <c r="Y316" i="1" s="1"/>
  <c r="K316" i="1"/>
  <c r="F316" i="1"/>
  <c r="X315" i="1"/>
  <c r="S315" i="1"/>
  <c r="K315" i="1"/>
  <c r="F315" i="1"/>
  <c r="K314" i="1"/>
  <c r="F314" i="1"/>
  <c r="L314" i="1" s="1"/>
  <c r="X312" i="1"/>
  <c r="S312" i="1"/>
  <c r="K312" i="1"/>
  <c r="F312" i="1"/>
  <c r="L312" i="1" s="1"/>
  <c r="X311" i="1"/>
  <c r="S311" i="1"/>
  <c r="K311" i="1"/>
  <c r="F311" i="1"/>
  <c r="L311" i="1" s="1"/>
  <c r="X310" i="1"/>
  <c r="S310" i="1"/>
  <c r="K310" i="1"/>
  <c r="F310" i="1"/>
  <c r="L310" i="1" s="1"/>
  <c r="K309" i="1"/>
  <c r="F309" i="1"/>
  <c r="C249" i="1"/>
  <c r="C263" i="1" s="1"/>
  <c r="X276" i="1"/>
  <c r="S276" i="1"/>
  <c r="X248" i="1"/>
  <c r="S248" i="1"/>
  <c r="J301" i="1"/>
  <c r="I301" i="1"/>
  <c r="H301" i="1"/>
  <c r="G301" i="1"/>
  <c r="D301" i="1"/>
  <c r="B301" i="1"/>
  <c r="K300" i="1"/>
  <c r="F300" i="1"/>
  <c r="K299" i="1"/>
  <c r="F299" i="1"/>
  <c r="K298" i="1"/>
  <c r="F298" i="1"/>
  <c r="K297" i="1"/>
  <c r="F297" i="1"/>
  <c r="K296" i="1"/>
  <c r="F296" i="1"/>
  <c r="K295" i="1"/>
  <c r="F295" i="1"/>
  <c r="K294" i="1"/>
  <c r="F294" i="1"/>
  <c r="K293" i="1"/>
  <c r="F293" i="1"/>
  <c r="K292" i="1"/>
  <c r="F292" i="1"/>
  <c r="K291" i="1"/>
  <c r="F291" i="1"/>
  <c r="K290" i="1"/>
  <c r="F290" i="1"/>
  <c r="K289" i="1"/>
  <c r="F289" i="1"/>
  <c r="K288" i="1"/>
  <c r="K287" i="1"/>
  <c r="F287" i="1"/>
  <c r="K286" i="1"/>
  <c r="F286" i="1"/>
  <c r="K285" i="1"/>
  <c r="F285" i="1"/>
  <c r="K284" i="1"/>
  <c r="F284" i="1"/>
  <c r="K283" i="1"/>
  <c r="F283" i="1"/>
  <c r="K282" i="1"/>
  <c r="K281" i="1"/>
  <c r="F281" i="1"/>
  <c r="K280" i="1"/>
  <c r="F280" i="1"/>
  <c r="K279" i="1"/>
  <c r="F279" i="1"/>
  <c r="K278" i="1"/>
  <c r="F278" i="1"/>
  <c r="K277" i="1"/>
  <c r="F277" i="1"/>
  <c r="K276" i="1"/>
  <c r="F276" i="1"/>
  <c r="K274" i="1"/>
  <c r="F274" i="1"/>
  <c r="K273" i="1"/>
  <c r="F273" i="1"/>
  <c r="K272" i="1"/>
  <c r="F272" i="1"/>
  <c r="K271" i="1"/>
  <c r="F271" i="1"/>
  <c r="X300" i="1"/>
  <c r="S300" i="1"/>
  <c r="W301" i="1"/>
  <c r="V301" i="1"/>
  <c r="U301" i="1"/>
  <c r="T301" i="1"/>
  <c r="R301" i="1"/>
  <c r="Q301" i="1"/>
  <c r="P301" i="1"/>
  <c r="O301" i="1"/>
  <c r="X298" i="1"/>
  <c r="X297" i="1"/>
  <c r="S297" i="1"/>
  <c r="X296" i="1"/>
  <c r="S296" i="1"/>
  <c r="X295" i="1"/>
  <c r="S295" i="1"/>
  <c r="X294" i="1"/>
  <c r="S294" i="1"/>
  <c r="X293" i="1"/>
  <c r="S293" i="1"/>
  <c r="X292" i="1"/>
  <c r="S292" i="1"/>
  <c r="X291" i="1"/>
  <c r="S291" i="1"/>
  <c r="X290" i="1"/>
  <c r="S290" i="1"/>
  <c r="X289" i="1"/>
  <c r="S289" i="1"/>
  <c r="X288" i="1"/>
  <c r="S288" i="1"/>
  <c r="X287" i="1"/>
  <c r="S287" i="1"/>
  <c r="X286" i="1"/>
  <c r="S286" i="1"/>
  <c r="X285" i="1"/>
  <c r="S285" i="1"/>
  <c r="X284" i="1"/>
  <c r="S284" i="1"/>
  <c r="X283" i="1"/>
  <c r="S283" i="1"/>
  <c r="X282" i="1"/>
  <c r="S282" i="1"/>
  <c r="X280" i="1"/>
  <c r="S280" i="1"/>
  <c r="X279" i="1"/>
  <c r="S279" i="1"/>
  <c r="X278" i="1"/>
  <c r="S278" i="1"/>
  <c r="X277" i="1"/>
  <c r="S277" i="1"/>
  <c r="X274" i="1"/>
  <c r="S274" i="1"/>
  <c r="X273" i="1"/>
  <c r="S273" i="1"/>
  <c r="X272" i="1"/>
  <c r="S272" i="1"/>
  <c r="X271" i="1"/>
  <c r="S271" i="1"/>
  <c r="X239" i="1"/>
  <c r="S239" i="1"/>
  <c r="X238" i="1"/>
  <c r="S238" i="1"/>
  <c r="X260" i="1"/>
  <c r="S260" i="1"/>
  <c r="X223" i="1"/>
  <c r="S223" i="1"/>
  <c r="X261" i="1"/>
  <c r="S261" i="1"/>
  <c r="X205" i="1"/>
  <c r="S205" i="1"/>
  <c r="K208" i="1"/>
  <c r="D208" i="1"/>
  <c r="K209" i="1"/>
  <c r="F209" i="1"/>
  <c r="K206" i="1"/>
  <c r="F206" i="1"/>
  <c r="X204" i="1"/>
  <c r="S204" i="1"/>
  <c r="X201" i="1"/>
  <c r="S201" i="1"/>
  <c r="J200" i="1"/>
  <c r="J225" i="1" s="1"/>
  <c r="X196" i="1"/>
  <c r="S196" i="1"/>
  <c r="X235" i="1"/>
  <c r="S235" i="1"/>
  <c r="X234" i="1"/>
  <c r="S234" i="1"/>
  <c r="X233" i="1"/>
  <c r="S233" i="1"/>
  <c r="S262" i="1"/>
  <c r="X262" i="1"/>
  <c r="J263" i="1"/>
  <c r="I263" i="1"/>
  <c r="H263" i="1"/>
  <c r="G263" i="1"/>
  <c r="E263" i="1"/>
  <c r="D263" i="1"/>
  <c r="B263" i="1"/>
  <c r="W263" i="1"/>
  <c r="V263" i="1"/>
  <c r="U263" i="1"/>
  <c r="T263" i="1"/>
  <c r="R263" i="1"/>
  <c r="Q263" i="1"/>
  <c r="P263" i="1"/>
  <c r="O263" i="1"/>
  <c r="K262" i="1"/>
  <c r="F262" i="1"/>
  <c r="K261" i="1"/>
  <c r="F261" i="1"/>
  <c r="K260" i="1"/>
  <c r="F260" i="1"/>
  <c r="X259" i="1"/>
  <c r="S259" i="1"/>
  <c r="K259" i="1"/>
  <c r="F259" i="1"/>
  <c r="X258" i="1"/>
  <c r="S258" i="1"/>
  <c r="K258" i="1"/>
  <c r="F258" i="1"/>
  <c r="X257" i="1"/>
  <c r="S257" i="1"/>
  <c r="K257" i="1"/>
  <c r="F257" i="1"/>
  <c r="X256" i="1"/>
  <c r="S256" i="1"/>
  <c r="K256" i="1"/>
  <c r="F256" i="1"/>
  <c r="X255" i="1"/>
  <c r="S255" i="1"/>
  <c r="K255" i="1"/>
  <c r="F255" i="1"/>
  <c r="X254" i="1"/>
  <c r="S254" i="1"/>
  <c r="K254" i="1"/>
  <c r="F254" i="1"/>
  <c r="X253" i="1"/>
  <c r="S253" i="1"/>
  <c r="K253" i="1"/>
  <c r="F253" i="1"/>
  <c r="X252" i="1"/>
  <c r="Y252" i="1" s="1"/>
  <c r="S252" i="1"/>
  <c r="K252" i="1"/>
  <c r="F252" i="1"/>
  <c r="X251" i="1"/>
  <c r="Y251" i="1" s="1"/>
  <c r="S251" i="1"/>
  <c r="K251" i="1"/>
  <c r="F251" i="1"/>
  <c r="X250" i="1"/>
  <c r="S250" i="1"/>
  <c r="K250" i="1"/>
  <c r="F250" i="1"/>
  <c r="X249" i="1"/>
  <c r="S249" i="1"/>
  <c r="K249" i="1"/>
  <c r="F249" i="1"/>
  <c r="K248" i="1"/>
  <c r="F248" i="1"/>
  <c r="X247" i="1"/>
  <c r="S247" i="1"/>
  <c r="K247" i="1"/>
  <c r="L247" i="1" s="1"/>
  <c r="F247" i="1"/>
  <c r="X246" i="1"/>
  <c r="S246" i="1"/>
  <c r="K246" i="1"/>
  <c r="F246" i="1"/>
  <c r="X245" i="1"/>
  <c r="S245" i="1"/>
  <c r="K245" i="1"/>
  <c r="F245" i="1"/>
  <c r="X244" i="1"/>
  <c r="S244" i="1"/>
  <c r="K244" i="1"/>
  <c r="F244" i="1"/>
  <c r="X243" i="1"/>
  <c r="S243" i="1"/>
  <c r="K243" i="1"/>
  <c r="F243" i="1"/>
  <c r="X242" i="1"/>
  <c r="S242" i="1"/>
  <c r="K242" i="1"/>
  <c r="F242" i="1"/>
  <c r="X241" i="1"/>
  <c r="S241" i="1"/>
  <c r="K241" i="1"/>
  <c r="F241" i="1"/>
  <c r="X240" i="1"/>
  <c r="S240" i="1"/>
  <c r="K240" i="1"/>
  <c r="F240" i="1"/>
  <c r="K239" i="1"/>
  <c r="F239" i="1"/>
  <c r="K238" i="1"/>
  <c r="L238" i="1" s="1"/>
  <c r="F238" i="1"/>
  <c r="X236" i="1"/>
  <c r="S236" i="1"/>
  <c r="K236" i="1"/>
  <c r="L236" i="1" s="1"/>
  <c r="F236" i="1"/>
  <c r="K235" i="1"/>
  <c r="F235" i="1"/>
  <c r="K234" i="1"/>
  <c r="K233" i="1"/>
  <c r="F233" i="1"/>
  <c r="G178" i="1"/>
  <c r="G187" i="1" s="1"/>
  <c r="X222" i="1"/>
  <c r="S222" i="1"/>
  <c r="X158" i="1"/>
  <c r="S158" i="1"/>
  <c r="X147" i="1"/>
  <c r="S147" i="1"/>
  <c r="X186" i="1"/>
  <c r="S186" i="1"/>
  <c r="K162" i="1"/>
  <c r="F162" i="1"/>
  <c r="K157" i="1"/>
  <c r="F157" i="1"/>
  <c r="S178" i="1"/>
  <c r="X178" i="1"/>
  <c r="S179" i="1"/>
  <c r="X179" i="1"/>
  <c r="S180" i="1"/>
  <c r="X180" i="1"/>
  <c r="S181" i="1"/>
  <c r="X181" i="1"/>
  <c r="S182" i="1"/>
  <c r="X182" i="1"/>
  <c r="S183" i="1"/>
  <c r="X183" i="1"/>
  <c r="S184" i="1"/>
  <c r="X184" i="1"/>
  <c r="S185" i="1"/>
  <c r="X185" i="1"/>
  <c r="W187" i="1"/>
  <c r="T187" i="1"/>
  <c r="R187" i="1"/>
  <c r="J187" i="1"/>
  <c r="I187" i="1"/>
  <c r="H187" i="1"/>
  <c r="E187" i="1"/>
  <c r="D187" i="1"/>
  <c r="C187" i="1"/>
  <c r="B187" i="1"/>
  <c r="V187" i="1"/>
  <c r="U187" i="1"/>
  <c r="Q187" i="1"/>
  <c r="P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80" i="1"/>
  <c r="F180" i="1"/>
  <c r="K179" i="1"/>
  <c r="F179" i="1"/>
  <c r="F178" i="1"/>
  <c r="X177" i="1"/>
  <c r="S177" i="1"/>
  <c r="K177" i="1"/>
  <c r="F177" i="1"/>
  <c r="X176" i="1"/>
  <c r="S176" i="1"/>
  <c r="K176" i="1"/>
  <c r="F176" i="1"/>
  <c r="X175" i="1"/>
  <c r="S175" i="1"/>
  <c r="K175" i="1"/>
  <c r="F175" i="1"/>
  <c r="X174" i="1"/>
  <c r="S174" i="1"/>
  <c r="K174" i="1"/>
  <c r="F174" i="1"/>
  <c r="X173" i="1"/>
  <c r="S173" i="1"/>
  <c r="K173" i="1"/>
  <c r="F173" i="1"/>
  <c r="X172" i="1"/>
  <c r="S172" i="1"/>
  <c r="K172" i="1"/>
  <c r="F172" i="1"/>
  <c r="X171" i="1"/>
  <c r="S171" i="1"/>
  <c r="K171" i="1"/>
  <c r="F171" i="1"/>
  <c r="X170" i="1"/>
  <c r="S170" i="1"/>
  <c r="K170" i="1"/>
  <c r="F170" i="1"/>
  <c r="X169" i="1"/>
  <c r="S169" i="1"/>
  <c r="K169" i="1"/>
  <c r="F169" i="1"/>
  <c r="X168" i="1"/>
  <c r="S168" i="1"/>
  <c r="K168" i="1"/>
  <c r="F168" i="1"/>
  <c r="X167" i="1"/>
  <c r="S167" i="1"/>
  <c r="K167" i="1"/>
  <c r="F167" i="1"/>
  <c r="X166" i="1"/>
  <c r="S166" i="1"/>
  <c r="K166" i="1"/>
  <c r="F166" i="1"/>
  <c r="X165" i="1"/>
  <c r="S165" i="1"/>
  <c r="K165" i="1"/>
  <c r="F165" i="1"/>
  <c r="X164" i="1"/>
  <c r="S164" i="1"/>
  <c r="K164" i="1"/>
  <c r="F164" i="1"/>
  <c r="X163" i="1"/>
  <c r="S163" i="1"/>
  <c r="K163" i="1"/>
  <c r="F163" i="1"/>
  <c r="X162" i="1"/>
  <c r="S162" i="1"/>
  <c r="X160" i="1"/>
  <c r="S160" i="1"/>
  <c r="K160" i="1"/>
  <c r="L160" i="1" s="1"/>
  <c r="X159" i="1"/>
  <c r="S159" i="1"/>
  <c r="K159" i="1"/>
  <c r="F159" i="1"/>
  <c r="K158" i="1"/>
  <c r="F158" i="1"/>
  <c r="X157" i="1"/>
  <c r="S157" i="1"/>
  <c r="S146" i="1"/>
  <c r="X146" i="1"/>
  <c r="S224" i="1"/>
  <c r="O187" i="1"/>
  <c r="X224" i="1"/>
  <c r="S108" i="1"/>
  <c r="X108" i="1"/>
  <c r="S109" i="1"/>
  <c r="X109" i="1"/>
  <c r="X145" i="1"/>
  <c r="S145" i="1"/>
  <c r="X124" i="1"/>
  <c r="S124" i="1"/>
  <c r="S107" i="1"/>
  <c r="X107" i="1"/>
  <c r="S110" i="1"/>
  <c r="X110" i="1"/>
  <c r="X106" i="1"/>
  <c r="S106" i="1"/>
  <c r="X105" i="1"/>
  <c r="S105" i="1"/>
  <c r="X91" i="1"/>
  <c r="S91" i="1"/>
  <c r="C91" i="1"/>
  <c r="C111" i="1" s="1"/>
  <c r="X120" i="1"/>
  <c r="S120" i="1"/>
  <c r="X66" i="1"/>
  <c r="S66" i="1"/>
  <c r="S148" i="1"/>
  <c r="S71" i="1"/>
  <c r="X71" i="1"/>
  <c r="X72" i="1"/>
  <c r="X62" i="1"/>
  <c r="S62" i="1"/>
  <c r="S72" i="1"/>
  <c r="I58" i="1"/>
  <c r="I73" i="1" s="1"/>
  <c r="X56" i="1"/>
  <c r="S56" i="1"/>
  <c r="X148" i="1"/>
  <c r="I225" i="1"/>
  <c r="H225" i="1"/>
  <c r="G225" i="1"/>
  <c r="E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7" i="1"/>
  <c r="F207" i="1"/>
  <c r="K205" i="1"/>
  <c r="F205" i="1"/>
  <c r="K204" i="1"/>
  <c r="F204" i="1"/>
  <c r="K203" i="1"/>
  <c r="F203" i="1"/>
  <c r="K202" i="1"/>
  <c r="F202" i="1"/>
  <c r="K201" i="1"/>
  <c r="F201" i="1"/>
  <c r="F200" i="1"/>
  <c r="K198" i="1"/>
  <c r="F198" i="1"/>
  <c r="K197" i="1"/>
  <c r="F197" i="1"/>
  <c r="K196" i="1"/>
  <c r="F196" i="1"/>
  <c r="K195" i="1"/>
  <c r="F195" i="1"/>
  <c r="J149" i="1"/>
  <c r="I149" i="1"/>
  <c r="H149" i="1"/>
  <c r="G149" i="1"/>
  <c r="E149" i="1"/>
  <c r="D149" i="1"/>
  <c r="C149" i="1"/>
  <c r="B149" i="1"/>
  <c r="K148" i="1"/>
  <c r="F148" i="1"/>
  <c r="K147" i="1"/>
  <c r="F147" i="1"/>
  <c r="K146" i="1"/>
  <c r="F146" i="1"/>
  <c r="K145" i="1"/>
  <c r="F145" i="1"/>
  <c r="K144" i="1"/>
  <c r="F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K124" i="1"/>
  <c r="F124" i="1"/>
  <c r="K122" i="1"/>
  <c r="F122" i="1"/>
  <c r="K121" i="1"/>
  <c r="F121" i="1"/>
  <c r="K120" i="1"/>
  <c r="F120" i="1"/>
  <c r="K119" i="1"/>
  <c r="F119" i="1"/>
  <c r="W225" i="1"/>
  <c r="V225" i="1"/>
  <c r="U225" i="1"/>
  <c r="T225" i="1"/>
  <c r="R225" i="1"/>
  <c r="Q225" i="1"/>
  <c r="P225" i="1"/>
  <c r="O225" i="1"/>
  <c r="X221" i="1"/>
  <c r="S221" i="1"/>
  <c r="Y221" i="1" s="1"/>
  <c r="X220" i="1"/>
  <c r="S220" i="1"/>
  <c r="X219" i="1"/>
  <c r="S219" i="1"/>
  <c r="Y219" i="1" s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8" i="1"/>
  <c r="S208" i="1"/>
  <c r="X207" i="1"/>
  <c r="S207" i="1"/>
  <c r="X206" i="1"/>
  <c r="S206" i="1"/>
  <c r="X203" i="1"/>
  <c r="S203" i="1"/>
  <c r="X202" i="1"/>
  <c r="S202" i="1"/>
  <c r="X200" i="1"/>
  <c r="S200" i="1"/>
  <c r="X198" i="1"/>
  <c r="S198" i="1"/>
  <c r="X197" i="1"/>
  <c r="S197" i="1"/>
  <c r="X195" i="1"/>
  <c r="S195" i="1"/>
  <c r="W149" i="1"/>
  <c r="V149" i="1"/>
  <c r="U149" i="1"/>
  <c r="T149" i="1"/>
  <c r="R149" i="1"/>
  <c r="Q149" i="1"/>
  <c r="P149" i="1"/>
  <c r="O149" i="1"/>
  <c r="X144" i="1"/>
  <c r="S144" i="1"/>
  <c r="X143" i="1"/>
  <c r="S143" i="1"/>
  <c r="X142" i="1"/>
  <c r="S142" i="1"/>
  <c r="X141" i="1"/>
  <c r="S141" i="1"/>
  <c r="X140" i="1"/>
  <c r="S140" i="1"/>
  <c r="X139" i="1"/>
  <c r="S139" i="1"/>
  <c r="X138" i="1"/>
  <c r="S138" i="1"/>
  <c r="X137" i="1"/>
  <c r="S137" i="1"/>
  <c r="X136" i="1"/>
  <c r="S136" i="1"/>
  <c r="X135" i="1"/>
  <c r="S135" i="1"/>
  <c r="X134" i="1"/>
  <c r="S134" i="1"/>
  <c r="X133" i="1"/>
  <c r="S133" i="1"/>
  <c r="X132" i="1"/>
  <c r="S132" i="1"/>
  <c r="X131" i="1"/>
  <c r="S131" i="1"/>
  <c r="X130" i="1"/>
  <c r="S130" i="1"/>
  <c r="X129" i="1"/>
  <c r="S129" i="1"/>
  <c r="X128" i="1"/>
  <c r="S128" i="1"/>
  <c r="X127" i="1"/>
  <c r="S127" i="1"/>
  <c r="X126" i="1"/>
  <c r="S126" i="1"/>
  <c r="X125" i="1"/>
  <c r="S125" i="1"/>
  <c r="X122" i="1"/>
  <c r="S122" i="1"/>
  <c r="X121" i="1"/>
  <c r="S121" i="1"/>
  <c r="X119" i="1"/>
  <c r="S119" i="1"/>
  <c r="X68" i="1"/>
  <c r="S68" i="1"/>
  <c r="X29" i="1"/>
  <c r="S29" i="1"/>
  <c r="G31" i="1"/>
  <c r="K31" i="1" s="1"/>
  <c r="X28" i="1"/>
  <c r="S28" i="1"/>
  <c r="E22" i="1"/>
  <c r="F22" i="1" s="1"/>
  <c r="J111" i="1"/>
  <c r="I111" i="1"/>
  <c r="H111" i="1"/>
  <c r="G111" i="1"/>
  <c r="E111" i="1"/>
  <c r="D111" i="1"/>
  <c r="B111" i="1"/>
  <c r="K110" i="1"/>
  <c r="F110" i="1"/>
  <c r="K109" i="1"/>
  <c r="F109" i="1"/>
  <c r="K108" i="1"/>
  <c r="L108" i="1" s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4" i="1"/>
  <c r="F94" i="1"/>
  <c r="K93" i="1"/>
  <c r="F93" i="1"/>
  <c r="K92" i="1"/>
  <c r="F92" i="1"/>
  <c r="K91" i="1"/>
  <c r="K90" i="1"/>
  <c r="F90" i="1"/>
  <c r="K89" i="1"/>
  <c r="F89" i="1"/>
  <c r="K88" i="1"/>
  <c r="F88" i="1"/>
  <c r="K87" i="1"/>
  <c r="F87" i="1"/>
  <c r="K86" i="1"/>
  <c r="F86" i="1"/>
  <c r="K84" i="1"/>
  <c r="F84" i="1"/>
  <c r="K83" i="1"/>
  <c r="F83" i="1"/>
  <c r="K82" i="1"/>
  <c r="F82" i="1"/>
  <c r="K81" i="1"/>
  <c r="F81" i="1"/>
  <c r="W111" i="1"/>
  <c r="V111" i="1"/>
  <c r="U111" i="1"/>
  <c r="T111" i="1"/>
  <c r="R111" i="1"/>
  <c r="Q111" i="1"/>
  <c r="P111" i="1"/>
  <c r="O111" i="1"/>
  <c r="X104" i="1"/>
  <c r="S104" i="1"/>
  <c r="X103" i="1"/>
  <c r="S103" i="1"/>
  <c r="X102" i="1"/>
  <c r="S102" i="1"/>
  <c r="X101" i="1"/>
  <c r="S101" i="1"/>
  <c r="X100" i="1"/>
  <c r="S100" i="1"/>
  <c r="X99" i="1"/>
  <c r="S99" i="1"/>
  <c r="X98" i="1"/>
  <c r="S98" i="1"/>
  <c r="X97" i="1"/>
  <c r="S97" i="1"/>
  <c r="X96" i="1"/>
  <c r="S96" i="1"/>
  <c r="X95" i="1"/>
  <c r="S95" i="1"/>
  <c r="X94" i="1"/>
  <c r="S94" i="1"/>
  <c r="X93" i="1"/>
  <c r="S93" i="1"/>
  <c r="X92" i="1"/>
  <c r="S92" i="1"/>
  <c r="X90" i="1"/>
  <c r="S90" i="1"/>
  <c r="X89" i="1"/>
  <c r="S89" i="1"/>
  <c r="X88" i="1"/>
  <c r="S88" i="1"/>
  <c r="X87" i="1"/>
  <c r="S87" i="1"/>
  <c r="X86" i="1"/>
  <c r="S86" i="1"/>
  <c r="X84" i="1"/>
  <c r="S84" i="1"/>
  <c r="X83" i="1"/>
  <c r="S83" i="1"/>
  <c r="X82" i="1"/>
  <c r="S82" i="1"/>
  <c r="X81" i="1"/>
  <c r="S81" i="1"/>
  <c r="X23" i="1"/>
  <c r="S23" i="1"/>
  <c r="K25" i="1"/>
  <c r="F25" i="1"/>
  <c r="K24" i="1"/>
  <c r="F24" i="1"/>
  <c r="K23" i="1"/>
  <c r="F23" i="1"/>
  <c r="K22" i="1"/>
  <c r="K21" i="1"/>
  <c r="F21" i="1"/>
  <c r="K20" i="1"/>
  <c r="F20" i="1"/>
  <c r="K19" i="1"/>
  <c r="F19" i="1"/>
  <c r="K18" i="1"/>
  <c r="F18" i="1"/>
  <c r="L18" i="1" s="1"/>
  <c r="K17" i="1"/>
  <c r="F17" i="1"/>
  <c r="K16" i="1"/>
  <c r="F16" i="1"/>
  <c r="K15" i="1"/>
  <c r="F15" i="1"/>
  <c r="K14" i="1"/>
  <c r="F14" i="1"/>
  <c r="K13" i="1"/>
  <c r="F13" i="1"/>
  <c r="K12" i="1"/>
  <c r="D12" i="1"/>
  <c r="D35" i="1" s="1"/>
  <c r="X6" i="1"/>
  <c r="S6" i="1"/>
  <c r="X5" i="1"/>
  <c r="S5" i="1"/>
  <c r="X4" i="1"/>
  <c r="S4" i="1"/>
  <c r="K4" i="1"/>
  <c r="F4" i="1"/>
  <c r="X33" i="1"/>
  <c r="S33" i="1"/>
  <c r="Y33" i="1" s="1"/>
  <c r="X11" i="1"/>
  <c r="X12" i="1"/>
  <c r="X13" i="1"/>
  <c r="X14" i="1"/>
  <c r="X15" i="1"/>
  <c r="X16" i="1"/>
  <c r="S11" i="1"/>
  <c r="S12" i="1"/>
  <c r="S13" i="1"/>
  <c r="S14" i="1"/>
  <c r="S15" i="1"/>
  <c r="S16" i="1"/>
  <c r="Y16" i="1" s="1"/>
  <c r="S58" i="1"/>
  <c r="X58" i="1"/>
  <c r="X55" i="1"/>
  <c r="S55" i="1"/>
  <c r="K55" i="1"/>
  <c r="F55" i="1"/>
  <c r="X54" i="1"/>
  <c r="S54" i="1"/>
  <c r="X50" i="1"/>
  <c r="S50" i="1"/>
  <c r="X53" i="1"/>
  <c r="S53" i="1"/>
  <c r="X52" i="1"/>
  <c r="S52" i="1"/>
  <c r="X51" i="1"/>
  <c r="S51" i="1"/>
  <c r="X49" i="1"/>
  <c r="S49" i="1"/>
  <c r="X48" i="1"/>
  <c r="S48" i="1"/>
  <c r="W73" i="1"/>
  <c r="V73" i="1"/>
  <c r="U73" i="1"/>
  <c r="T73" i="1"/>
  <c r="R73" i="1"/>
  <c r="Q73" i="1"/>
  <c r="P73" i="1"/>
  <c r="O73" i="1"/>
  <c r="J73" i="1"/>
  <c r="H73" i="1"/>
  <c r="G73" i="1"/>
  <c r="E73" i="1"/>
  <c r="D73" i="1"/>
  <c r="C73" i="1"/>
  <c r="B73" i="1"/>
  <c r="K72" i="1"/>
  <c r="F72" i="1"/>
  <c r="K71" i="1"/>
  <c r="F71" i="1"/>
  <c r="X70" i="1"/>
  <c r="S70" i="1"/>
  <c r="K70" i="1"/>
  <c r="F70" i="1"/>
  <c r="X69" i="1"/>
  <c r="S69" i="1"/>
  <c r="K69" i="1"/>
  <c r="F69" i="1"/>
  <c r="K68" i="1"/>
  <c r="F68" i="1"/>
  <c r="X67" i="1"/>
  <c r="S67" i="1"/>
  <c r="K67" i="1"/>
  <c r="F67" i="1"/>
  <c r="K66" i="1"/>
  <c r="F66" i="1"/>
  <c r="X65" i="1"/>
  <c r="S65" i="1"/>
  <c r="K65" i="1"/>
  <c r="F65" i="1"/>
  <c r="X64" i="1"/>
  <c r="S64" i="1"/>
  <c r="K64" i="1"/>
  <c r="F64" i="1"/>
  <c r="X63" i="1"/>
  <c r="S63" i="1"/>
  <c r="K63" i="1"/>
  <c r="F63" i="1"/>
  <c r="K62" i="1"/>
  <c r="F62" i="1"/>
  <c r="X61" i="1"/>
  <c r="S61" i="1"/>
  <c r="K61" i="1"/>
  <c r="F61" i="1"/>
  <c r="X60" i="1"/>
  <c r="S60" i="1"/>
  <c r="K60" i="1"/>
  <c r="F60" i="1"/>
  <c r="X59" i="1"/>
  <c r="S59" i="1"/>
  <c r="K59" i="1"/>
  <c r="F59" i="1"/>
  <c r="F58" i="1"/>
  <c r="X57" i="1"/>
  <c r="S57" i="1"/>
  <c r="K57" i="1"/>
  <c r="F57" i="1"/>
  <c r="K56" i="1"/>
  <c r="F56" i="1"/>
  <c r="K54" i="1"/>
  <c r="F54" i="1"/>
  <c r="K53" i="1"/>
  <c r="F53" i="1"/>
  <c r="K52" i="1"/>
  <c r="F52" i="1"/>
  <c r="K51" i="1"/>
  <c r="F51" i="1"/>
  <c r="K50" i="1"/>
  <c r="F50" i="1"/>
  <c r="K49" i="1"/>
  <c r="F49" i="1"/>
  <c r="K48" i="1"/>
  <c r="F48" i="1"/>
  <c r="X46" i="1"/>
  <c r="S46" i="1"/>
  <c r="K46" i="1"/>
  <c r="F46" i="1"/>
  <c r="X45" i="1"/>
  <c r="S45" i="1"/>
  <c r="K45" i="1"/>
  <c r="F45" i="1"/>
  <c r="X44" i="1"/>
  <c r="S44" i="1"/>
  <c r="Y44" i="1" s="1"/>
  <c r="K44" i="1"/>
  <c r="F44" i="1"/>
  <c r="X43" i="1"/>
  <c r="S43" i="1"/>
  <c r="K43" i="1"/>
  <c r="F43" i="1"/>
  <c r="X22" i="1"/>
  <c r="S22" i="1"/>
  <c r="F10" i="1"/>
  <c r="K10" i="1"/>
  <c r="R9" i="1"/>
  <c r="X30" i="1"/>
  <c r="S30" i="1"/>
  <c r="X31" i="1"/>
  <c r="S31" i="1"/>
  <c r="Q35" i="1"/>
  <c r="J35" i="1"/>
  <c r="I35" i="1"/>
  <c r="H35" i="1"/>
  <c r="C35" i="1"/>
  <c r="B35" i="1"/>
  <c r="K34" i="1"/>
  <c r="F34" i="1"/>
  <c r="K33" i="1"/>
  <c r="F33" i="1"/>
  <c r="K32" i="1"/>
  <c r="F32" i="1"/>
  <c r="F31" i="1"/>
  <c r="K30" i="1"/>
  <c r="F30" i="1"/>
  <c r="L30" i="1" s="1"/>
  <c r="K29" i="1"/>
  <c r="F29" i="1"/>
  <c r="L29" i="1" s="1"/>
  <c r="K28" i="1"/>
  <c r="F28" i="1"/>
  <c r="L28" i="1" s="1"/>
  <c r="K27" i="1"/>
  <c r="F27" i="1"/>
  <c r="K26" i="1"/>
  <c r="F26" i="1"/>
  <c r="K11" i="1"/>
  <c r="F11" i="1"/>
  <c r="L11" i="1" s="1"/>
  <c r="J9" i="1"/>
  <c r="I9" i="1"/>
  <c r="H9" i="1"/>
  <c r="G9" i="1"/>
  <c r="E9" i="1"/>
  <c r="D9" i="1"/>
  <c r="D36" i="1" s="1"/>
  <c r="D42" i="1" s="1"/>
  <c r="D47" i="1" s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C9" i="1"/>
  <c r="B9" i="1"/>
  <c r="B36" i="1" s="1"/>
  <c r="B42" i="1" s="1"/>
  <c r="K8" i="1"/>
  <c r="F8" i="1"/>
  <c r="L8" i="1" s="1"/>
  <c r="K7" i="1"/>
  <c r="F7" i="1"/>
  <c r="K6" i="1"/>
  <c r="F6" i="1"/>
  <c r="L6" i="1" s="1"/>
  <c r="K5" i="1"/>
  <c r="F5" i="1"/>
  <c r="X8" i="1"/>
  <c r="X7" i="1"/>
  <c r="S7" i="1"/>
  <c r="S8" i="1"/>
  <c r="X34" i="1"/>
  <c r="X32" i="1"/>
  <c r="X27" i="1"/>
  <c r="X26" i="1"/>
  <c r="X25" i="1"/>
  <c r="X24" i="1"/>
  <c r="X21" i="1"/>
  <c r="X20" i="1"/>
  <c r="X19" i="1"/>
  <c r="X18" i="1"/>
  <c r="X17" i="1"/>
  <c r="X10" i="1"/>
  <c r="S17" i="1"/>
  <c r="S18" i="1"/>
  <c r="S19" i="1"/>
  <c r="S20" i="1"/>
  <c r="Y20" i="1" s="1"/>
  <c r="S21" i="1"/>
  <c r="S24" i="1"/>
  <c r="Y24" i="1" s="1"/>
  <c r="S25" i="1"/>
  <c r="S26" i="1"/>
  <c r="S27" i="1"/>
  <c r="Y27" i="1" s="1"/>
  <c r="S32" i="1"/>
  <c r="Y32" i="1" s="1"/>
  <c r="S34" i="1"/>
  <c r="S10" i="1"/>
  <c r="W35" i="1"/>
  <c r="V35" i="1"/>
  <c r="U35" i="1"/>
  <c r="T35" i="1"/>
  <c r="W9" i="1"/>
  <c r="W36" i="1" s="1"/>
  <c r="W42" i="1" s="1"/>
  <c r="W47" i="1" s="1"/>
  <c r="V9" i="1"/>
  <c r="V36" i="1" s="1"/>
  <c r="V42" i="1" s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U9" i="1"/>
  <c r="T9" i="1"/>
  <c r="O35" i="1"/>
  <c r="O9" i="1"/>
  <c r="O36" i="1" s="1"/>
  <c r="O42" i="1" s="1"/>
  <c r="R35" i="1"/>
  <c r="P35" i="1"/>
  <c r="Q9" i="1"/>
  <c r="P9" i="1"/>
  <c r="F773" i="1"/>
  <c r="L773" i="1" s="1"/>
  <c r="B795" i="1"/>
  <c r="X1251" i="1"/>
  <c r="Y2884" i="1" l="1"/>
  <c r="Y2882" i="1"/>
  <c r="L2746" i="1"/>
  <c r="L2725" i="1"/>
  <c r="Y2732" i="1"/>
  <c r="Y2692" i="1"/>
  <c r="Y2730" i="1"/>
  <c r="L2721" i="1"/>
  <c r="Y2727" i="1"/>
  <c r="S2885" i="1"/>
  <c r="X2885" i="1"/>
  <c r="S2847" i="1"/>
  <c r="X2847" i="1"/>
  <c r="Y2691" i="1"/>
  <c r="L2706" i="1"/>
  <c r="F2733" i="1"/>
  <c r="K2733" i="1"/>
  <c r="L2705" i="1"/>
  <c r="Y2715" i="1"/>
  <c r="Y2714" i="1"/>
  <c r="Y2713" i="1"/>
  <c r="Y2693" i="1"/>
  <c r="Y2689" i="1"/>
  <c r="Y2688" i="1"/>
  <c r="C2201" i="1"/>
  <c r="F2177" i="1"/>
  <c r="X2733" i="1"/>
  <c r="Q36" i="1"/>
  <c r="Q42" i="1" s="1"/>
  <c r="Q47" i="1" s="1"/>
  <c r="Y31" i="1"/>
  <c r="L50" i="1"/>
  <c r="L64" i="1"/>
  <c r="Y65" i="1"/>
  <c r="F73" i="1"/>
  <c r="Y95" i="1"/>
  <c r="L100" i="1"/>
  <c r="Y181" i="1"/>
  <c r="Y272" i="1"/>
  <c r="Y274" i="1"/>
  <c r="Y278" i="1"/>
  <c r="Y280" i="1"/>
  <c r="Y283" i="1"/>
  <c r="Y285" i="1"/>
  <c r="Y287" i="1"/>
  <c r="Y289" i="1"/>
  <c r="Y291" i="1"/>
  <c r="Y293" i="1"/>
  <c r="Y295" i="1"/>
  <c r="Y297" i="1"/>
  <c r="L284" i="1"/>
  <c r="L286" i="1"/>
  <c r="F288" i="1"/>
  <c r="L288" i="1" s="1"/>
  <c r="L290" i="1"/>
  <c r="L292" i="1"/>
  <c r="L294" i="1"/>
  <c r="L296" i="1"/>
  <c r="L300" i="1"/>
  <c r="Y431" i="1"/>
  <c r="Y440" i="1"/>
  <c r="Y309" i="1"/>
  <c r="L282" i="1"/>
  <c r="L470" i="1"/>
  <c r="L474" i="1"/>
  <c r="L476" i="1"/>
  <c r="L480" i="1"/>
  <c r="L482" i="1"/>
  <c r="Y470" i="1"/>
  <c r="Y472" i="1"/>
  <c r="Y477" i="1"/>
  <c r="Y483" i="1"/>
  <c r="Y557" i="1"/>
  <c r="Y698" i="1"/>
  <c r="Y599" i="1"/>
  <c r="L616" i="1"/>
  <c r="Y748" i="1"/>
  <c r="L730" i="1"/>
  <c r="L733" i="1"/>
  <c r="L742" i="1"/>
  <c r="L744" i="1"/>
  <c r="L746" i="1"/>
  <c r="L748" i="1"/>
  <c r="L750" i="1"/>
  <c r="L752" i="1"/>
  <c r="L754" i="1"/>
  <c r="L756" i="1"/>
  <c r="Y786" i="1"/>
  <c r="Y713" i="1"/>
  <c r="F729" i="1"/>
  <c r="L884" i="1"/>
  <c r="L891" i="1"/>
  <c r="L905" i="1"/>
  <c r="Y923" i="1"/>
  <c r="Y927" i="1"/>
  <c r="Y931" i="1"/>
  <c r="Y936" i="1"/>
  <c r="Y940" i="1"/>
  <c r="L1011" i="1"/>
  <c r="L930" i="1"/>
  <c r="Y918" i="1"/>
  <c r="L1043" i="1"/>
  <c r="L1051" i="1"/>
  <c r="L1053" i="1"/>
  <c r="L1130" i="1"/>
  <c r="L1161" i="1"/>
  <c r="Y1078" i="1"/>
  <c r="Y1069" i="1"/>
  <c r="Y1184" i="1"/>
  <c r="Y1190" i="1"/>
  <c r="Y1204" i="1"/>
  <c r="L1208" i="1"/>
  <c r="Y1150" i="1"/>
  <c r="Y1222" i="1"/>
  <c r="L1227" i="1"/>
  <c r="L1231" i="1"/>
  <c r="L1235" i="1"/>
  <c r="L1240" i="1"/>
  <c r="L1244" i="1"/>
  <c r="L1248" i="1"/>
  <c r="Y1260" i="1"/>
  <c r="Y1261" i="1"/>
  <c r="Y1262" i="1"/>
  <c r="Y1212" i="1"/>
  <c r="Y1171" i="1"/>
  <c r="L1264" i="1"/>
  <c r="L1274" i="1"/>
  <c r="L1276" i="1"/>
  <c r="L1279" i="1"/>
  <c r="L1280" i="1"/>
  <c r="L1283" i="1"/>
  <c r="L1286" i="1"/>
  <c r="L1288" i="1"/>
  <c r="Y1193" i="1"/>
  <c r="L1304" i="1"/>
  <c r="L2008" i="1"/>
  <c r="Y1924" i="1"/>
  <c r="Y1952" i="1"/>
  <c r="Y2022" i="1"/>
  <c r="Y2037" i="1"/>
  <c r="Y2074" i="1"/>
  <c r="Y2078" i="1"/>
  <c r="Y2147" i="1"/>
  <c r="L2150" i="1"/>
  <c r="L2159" i="1"/>
  <c r="L2144" i="1"/>
  <c r="L2140" i="1"/>
  <c r="L2171" i="1"/>
  <c r="L2176" i="1"/>
  <c r="L2178" i="1"/>
  <c r="L2180" i="1"/>
  <c r="L2196" i="1"/>
  <c r="Y2212" i="1"/>
  <c r="L2218" i="1"/>
  <c r="L2220" i="1"/>
  <c r="L2222" i="1"/>
  <c r="L2229" i="1"/>
  <c r="L2230" i="1"/>
  <c r="Y2231" i="1"/>
  <c r="L2235" i="1"/>
  <c r="Y2249" i="1"/>
  <c r="Y2261" i="1"/>
  <c r="Y2363" i="1"/>
  <c r="Y2364" i="1"/>
  <c r="Y2371" i="1"/>
  <c r="Y2379" i="1"/>
  <c r="Y2383" i="1"/>
  <c r="L2371" i="1"/>
  <c r="L2379" i="1"/>
  <c r="L2387" i="1"/>
  <c r="Y2406" i="1"/>
  <c r="L2402" i="1"/>
  <c r="L2405" i="1"/>
  <c r="L2413" i="1"/>
  <c r="L2421" i="1"/>
  <c r="L2425" i="1"/>
  <c r="Y2352" i="1"/>
  <c r="Y2439" i="1"/>
  <c r="Y2448" i="1"/>
  <c r="L2466" i="1"/>
  <c r="L2477" i="1"/>
  <c r="L2482" i="1"/>
  <c r="L2484" i="1"/>
  <c r="L2488" i="1"/>
  <c r="L2490" i="1"/>
  <c r="L2492" i="1"/>
  <c r="L2494" i="1"/>
  <c r="L2564" i="1"/>
  <c r="L2567" i="1"/>
  <c r="L2569" i="1"/>
  <c r="L2572" i="1"/>
  <c r="L2577" i="1"/>
  <c r="Y2492" i="1"/>
  <c r="Y2595" i="1"/>
  <c r="Y2602" i="1"/>
  <c r="L2589" i="1"/>
  <c r="L2594" i="1"/>
  <c r="L2597" i="1"/>
  <c r="L2599" i="1"/>
  <c r="L2600" i="1"/>
  <c r="L2602" i="1"/>
  <c r="L2603" i="1"/>
  <c r="L2611" i="1"/>
  <c r="L2612" i="1"/>
  <c r="L2613" i="1"/>
  <c r="L2614" i="1"/>
  <c r="L2615" i="1"/>
  <c r="L2616" i="1"/>
  <c r="Y2570" i="1"/>
  <c r="Y2666" i="1"/>
  <c r="Y2667" i="1"/>
  <c r="Y2668" i="1"/>
  <c r="L2670" i="1"/>
  <c r="Y2672" i="1"/>
  <c r="L2675" i="1"/>
  <c r="L2676" i="1"/>
  <c r="Y2678" i="1"/>
  <c r="L2679" i="1"/>
  <c r="Y2679" i="1"/>
  <c r="L2680" i="1"/>
  <c r="L2682" i="1"/>
  <c r="Y2712" i="1"/>
  <c r="Y2720" i="1"/>
  <c r="L2704" i="1"/>
  <c r="L2712" i="1"/>
  <c r="L2720" i="1"/>
  <c r="L2728" i="1"/>
  <c r="Y2655" i="1"/>
  <c r="Y2617" i="1"/>
  <c r="Y2615" i="1"/>
  <c r="Y2579" i="1"/>
  <c r="L2580" i="1"/>
  <c r="Y2743" i="1"/>
  <c r="Y2748" i="1"/>
  <c r="Y2749" i="1"/>
  <c r="Y2751" i="1"/>
  <c r="Y2755" i="1"/>
  <c r="Y2756" i="1"/>
  <c r="Y2757" i="1"/>
  <c r="Y2759" i="1"/>
  <c r="L2741" i="1"/>
  <c r="L2743" i="1"/>
  <c r="L2747" i="1"/>
  <c r="L2748" i="1"/>
  <c r="L2749" i="1"/>
  <c r="L2751" i="1"/>
  <c r="L2756" i="1"/>
  <c r="L2757" i="1"/>
  <c r="L2759" i="1"/>
  <c r="L2763" i="1"/>
  <c r="L2764" i="1"/>
  <c r="L2765" i="1"/>
  <c r="L2766" i="1"/>
  <c r="L2767" i="1"/>
  <c r="X2694" i="1"/>
  <c r="Y2694" i="1" s="1"/>
  <c r="O2695" i="1"/>
  <c r="Q2695" i="1"/>
  <c r="Y2685" i="1"/>
  <c r="Y2686" i="1"/>
  <c r="Y2687" i="1"/>
  <c r="L2780" i="1"/>
  <c r="Y2781" i="1"/>
  <c r="L2784" i="1"/>
  <c r="Y2784" i="1"/>
  <c r="L2786" i="1"/>
  <c r="Y2786" i="1"/>
  <c r="Y2787" i="1"/>
  <c r="L2788" i="1"/>
  <c r="Y2788" i="1"/>
  <c r="L2790" i="1"/>
  <c r="Y2790" i="1"/>
  <c r="Y2791" i="1"/>
  <c r="Y2792" i="1"/>
  <c r="Y2793" i="1"/>
  <c r="L2796" i="1"/>
  <c r="Y2796" i="1"/>
  <c r="Y2797" i="1"/>
  <c r="L2798" i="1"/>
  <c r="Y2798" i="1"/>
  <c r="Y2799" i="1"/>
  <c r="Y2801" i="1"/>
  <c r="L2804" i="1"/>
  <c r="L2806" i="1"/>
  <c r="L2807" i="1"/>
  <c r="K2809" i="1"/>
  <c r="S2809" i="1"/>
  <c r="X2809" i="1"/>
  <c r="Y2728" i="1"/>
  <c r="R2695" i="1"/>
  <c r="Y2717" i="1"/>
  <c r="Y2722" i="1"/>
  <c r="Y2723" i="1"/>
  <c r="Y2725" i="1"/>
  <c r="L234" i="1"/>
  <c r="H2581" i="1"/>
  <c r="K2581" i="1" s="1"/>
  <c r="K2562" i="1"/>
  <c r="S2733" i="1"/>
  <c r="F795" i="1"/>
  <c r="C36" i="1"/>
  <c r="C42" i="1" s="1"/>
  <c r="C47" i="1" s="1"/>
  <c r="C74" i="1" s="1"/>
  <c r="C80" i="1" s="1"/>
  <c r="C85" i="1" s="1"/>
  <c r="L34" i="1"/>
  <c r="G35" i="1"/>
  <c r="K35" i="1" s="1"/>
  <c r="Y30" i="1"/>
  <c r="L56" i="1"/>
  <c r="L61" i="1"/>
  <c r="L68" i="1"/>
  <c r="Y69" i="1"/>
  <c r="Y70" i="1"/>
  <c r="Y55" i="1"/>
  <c r="Y99" i="1"/>
  <c r="K111" i="1"/>
  <c r="Y68" i="1"/>
  <c r="Y220" i="1"/>
  <c r="L121" i="1"/>
  <c r="L142" i="1"/>
  <c r="L210" i="1"/>
  <c r="L214" i="1"/>
  <c r="Y224" i="1"/>
  <c r="Y157" i="1"/>
  <c r="L235" i="1"/>
  <c r="L239" i="1"/>
  <c r="Y241" i="1"/>
  <c r="Y243" i="1"/>
  <c r="Y245" i="1"/>
  <c r="Y247" i="1"/>
  <c r="L250" i="1"/>
  <c r="L252" i="1"/>
  <c r="L254" i="1"/>
  <c r="L256" i="1"/>
  <c r="L258" i="1"/>
  <c r="L260" i="1"/>
  <c r="Y201" i="1"/>
  <c r="L206" i="1"/>
  <c r="Y205" i="1"/>
  <c r="Y260" i="1"/>
  <c r="Y239" i="1"/>
  <c r="Y327" i="1"/>
  <c r="Y331" i="1"/>
  <c r="Y281" i="1"/>
  <c r="L368" i="1"/>
  <c r="L372" i="1"/>
  <c r="Y388" i="1"/>
  <c r="L402" i="1"/>
  <c r="L406" i="1"/>
  <c r="L410" i="1"/>
  <c r="Y428" i="1"/>
  <c r="Y441" i="1"/>
  <c r="Y319" i="1"/>
  <c r="Y320" i="1"/>
  <c r="L461" i="1"/>
  <c r="F468" i="1"/>
  <c r="Y501" i="1"/>
  <c r="Y510" i="1"/>
  <c r="Y516" i="1"/>
  <c r="Y524" i="1"/>
  <c r="L505" i="1"/>
  <c r="L507" i="1"/>
  <c r="L508" i="1"/>
  <c r="L510" i="1"/>
  <c r="L518" i="1"/>
  <c r="L522" i="1"/>
  <c r="L524" i="1"/>
  <c r="Y546" i="1"/>
  <c r="Y447" i="1"/>
  <c r="Y451" i="1"/>
  <c r="L585" i="1"/>
  <c r="L601" i="1"/>
  <c r="Y600" i="1"/>
  <c r="L694" i="1"/>
  <c r="L696" i="1"/>
  <c r="L698" i="1"/>
  <c r="L700" i="1"/>
  <c r="L701" i="1"/>
  <c r="L703" i="1"/>
  <c r="L705" i="1"/>
  <c r="L707" i="1"/>
  <c r="L709" i="1"/>
  <c r="L711" i="1"/>
  <c r="L713" i="1"/>
  <c r="L715" i="1"/>
  <c r="L717" i="1"/>
  <c r="Y676" i="1"/>
  <c r="Y751" i="1"/>
  <c r="L728" i="1"/>
  <c r="L753" i="1"/>
  <c r="Y773" i="1"/>
  <c r="Y781" i="1"/>
  <c r="Y785" i="1"/>
  <c r="Y789" i="1"/>
  <c r="Y766" i="1"/>
  <c r="Y728" i="1"/>
  <c r="Y805" i="1"/>
  <c r="Y808" i="1"/>
  <c r="Y810" i="1"/>
  <c r="Y811" i="1"/>
  <c r="Y813" i="1"/>
  <c r="Y814" i="1"/>
  <c r="Y815" i="1"/>
  <c r="Y818" i="1"/>
  <c r="Y819" i="1"/>
  <c r="Y820" i="1"/>
  <c r="Y822" i="1"/>
  <c r="Y824" i="1"/>
  <c r="Y825" i="1"/>
  <c r="L803" i="1"/>
  <c r="L805" i="1"/>
  <c r="L806" i="1"/>
  <c r="L809" i="1"/>
  <c r="L810" i="1"/>
  <c r="L811" i="1"/>
  <c r="L813" i="1"/>
  <c r="L814" i="1"/>
  <c r="L815" i="1"/>
  <c r="L817" i="1"/>
  <c r="L818" i="1"/>
  <c r="L819" i="1"/>
  <c r="L821" i="1"/>
  <c r="L823" i="1"/>
  <c r="L824" i="1"/>
  <c r="L826" i="1"/>
  <c r="L827" i="1"/>
  <c r="L828" i="1"/>
  <c r="L830" i="1"/>
  <c r="L831" i="1"/>
  <c r="L832" i="1"/>
  <c r="Y794" i="1"/>
  <c r="L843" i="1"/>
  <c r="L846" i="1"/>
  <c r="L848" i="1"/>
  <c r="L849" i="1"/>
  <c r="L855" i="1"/>
  <c r="Y861" i="1"/>
  <c r="Y712" i="1"/>
  <c r="L975" i="1"/>
  <c r="L1007" i="1"/>
  <c r="L1009" i="1"/>
  <c r="L1013" i="1"/>
  <c r="L1015" i="1"/>
  <c r="L1017" i="1"/>
  <c r="L1021" i="1"/>
  <c r="Y1081" i="1"/>
  <c r="Y1098" i="1"/>
  <c r="L1108" i="1"/>
  <c r="Y1148" i="1"/>
  <c r="L1150" i="1"/>
  <c r="L1164" i="1"/>
  <c r="Y1166" i="1"/>
  <c r="L1170" i="1"/>
  <c r="L1172" i="1"/>
  <c r="Y1299" i="1"/>
  <c r="L1324" i="1"/>
  <c r="L1326" i="1"/>
  <c r="Y1198" i="1"/>
  <c r="L1204" i="1"/>
  <c r="L1203" i="1"/>
  <c r="L1202" i="1"/>
  <c r="L1184" i="1"/>
  <c r="Y1200" i="1"/>
  <c r="L1223" i="1"/>
  <c r="L1385" i="1"/>
  <c r="L1388" i="1"/>
  <c r="L1394" i="1"/>
  <c r="L1398" i="1"/>
  <c r="K1289" i="1"/>
  <c r="L1269" i="1"/>
  <c r="L1267" i="1"/>
  <c r="Y1259" i="1"/>
  <c r="L1299" i="1"/>
  <c r="L1418" i="1"/>
  <c r="L1431" i="1"/>
  <c r="L1435" i="1"/>
  <c r="L1439" i="1"/>
  <c r="L1457" i="1"/>
  <c r="Y1497" i="1"/>
  <c r="Y1503" i="1"/>
  <c r="L1510" i="1"/>
  <c r="L1425" i="1"/>
  <c r="Y1429" i="1"/>
  <c r="Y1625" i="1"/>
  <c r="Y1905" i="1"/>
  <c r="L1945" i="1"/>
  <c r="F1999" i="1"/>
  <c r="L1999" i="1" s="1"/>
  <c r="L2007" i="1"/>
  <c r="Y1948" i="1"/>
  <c r="L2033" i="1"/>
  <c r="L2039" i="1"/>
  <c r="L2045" i="1"/>
  <c r="L2060" i="1"/>
  <c r="L2068" i="1"/>
  <c r="Y2082" i="1"/>
  <c r="Y2057" i="1"/>
  <c r="Y2071" i="1"/>
  <c r="Y2135" i="1"/>
  <c r="Y2118" i="1"/>
  <c r="Y2177" i="1"/>
  <c r="L2181" i="1"/>
  <c r="L2183" i="1"/>
  <c r="L2184" i="1"/>
  <c r="L2188" i="1"/>
  <c r="Y2193" i="1"/>
  <c r="L2198" i="1"/>
  <c r="L2200" i="1"/>
  <c r="Y2220" i="1"/>
  <c r="L2228" i="1"/>
  <c r="K2236" i="1"/>
  <c r="L2236" i="1" s="1"/>
  <c r="Y2161" i="1"/>
  <c r="Y2122" i="1"/>
  <c r="Y2124" i="1"/>
  <c r="Y2101" i="1"/>
  <c r="L2157" i="1"/>
  <c r="L2190" i="1"/>
  <c r="L2192" i="1"/>
  <c r="Y2248" i="1"/>
  <c r="Y2215" i="1"/>
  <c r="Y2287" i="1"/>
  <c r="Y2288" i="1"/>
  <c r="Y2293" i="1"/>
  <c r="Y2295" i="1"/>
  <c r="Y2297" i="1"/>
  <c r="Y2299" i="1"/>
  <c r="Y2300" i="1"/>
  <c r="Y2304" i="1"/>
  <c r="Y2305" i="1"/>
  <c r="Y2306" i="1"/>
  <c r="Y2307" i="1"/>
  <c r="L2310" i="1"/>
  <c r="L2311" i="1"/>
  <c r="L2312" i="1"/>
  <c r="L2313" i="1"/>
  <c r="Y2232" i="1"/>
  <c r="Y2325" i="1"/>
  <c r="Y2328" i="1"/>
  <c r="Y2336" i="1"/>
  <c r="Y2340" i="1"/>
  <c r="Y2344" i="1"/>
  <c r="Y2348" i="1"/>
  <c r="Y2228" i="1"/>
  <c r="Y2230" i="1"/>
  <c r="Y2274" i="1"/>
  <c r="W2393" i="1"/>
  <c r="L2370" i="1"/>
  <c r="L2378" i="1"/>
  <c r="L2386" i="1"/>
  <c r="Y2402" i="1"/>
  <c r="L2410" i="1"/>
  <c r="Y2438" i="1"/>
  <c r="Y2443" i="1"/>
  <c r="L2437" i="1"/>
  <c r="L2444" i="1"/>
  <c r="L2451" i="1"/>
  <c r="L2453" i="1"/>
  <c r="L2455" i="1"/>
  <c r="L2460" i="1"/>
  <c r="L2463" i="1"/>
  <c r="L2465" i="1"/>
  <c r="P2695" i="1"/>
  <c r="Y2705" i="1"/>
  <c r="Y2721" i="1"/>
  <c r="L2713" i="1"/>
  <c r="L2729" i="1"/>
  <c r="Y2747" i="1"/>
  <c r="Y2763" i="1"/>
  <c r="L2755" i="1"/>
  <c r="U2695" i="1"/>
  <c r="Y2779" i="1"/>
  <c r="Y2785" i="1"/>
  <c r="Y2789" i="1"/>
  <c r="Y2795" i="1"/>
  <c r="Y2800" i="1"/>
  <c r="L2496" i="1"/>
  <c r="L2498" i="1"/>
  <c r="L2500" i="1"/>
  <c r="L2502" i="1"/>
  <c r="L2504" i="1"/>
  <c r="L2326" i="1"/>
  <c r="Y2387" i="1"/>
  <c r="L2350" i="1"/>
  <c r="Y2486" i="1"/>
  <c r="L2516" i="1"/>
  <c r="L2520" i="1"/>
  <c r="L2536" i="1"/>
  <c r="Y2552" i="1"/>
  <c r="Y2554" i="1"/>
  <c r="Y2557" i="1"/>
  <c r="Y2559" i="1"/>
  <c r="Y2562" i="1"/>
  <c r="Y2567" i="1"/>
  <c r="Y2569" i="1"/>
  <c r="L2557" i="1"/>
  <c r="L2558" i="1"/>
  <c r="L2565" i="1"/>
  <c r="L2574" i="1"/>
  <c r="Y2462" i="1"/>
  <c r="Y2466" i="1"/>
  <c r="Y2591" i="1"/>
  <c r="Y2597" i="1"/>
  <c r="Y2603" i="1"/>
  <c r="Y2604" i="1"/>
  <c r="Y2605" i="1"/>
  <c r="L2604" i="1"/>
  <c r="L2606" i="1"/>
  <c r="L2609" i="1"/>
  <c r="L2610" i="1"/>
  <c r="L2617" i="1"/>
  <c r="Y2537" i="1"/>
  <c r="Y2633" i="1"/>
  <c r="Y2643" i="1"/>
  <c r="Y2645" i="1"/>
  <c r="L2629" i="1"/>
  <c r="L2630" i="1"/>
  <c r="L2633" i="1"/>
  <c r="L2649" i="1"/>
  <c r="L2651" i="1"/>
  <c r="L2653" i="1"/>
  <c r="L2654" i="1"/>
  <c r="L2656" i="1"/>
  <c r="Y2573" i="1"/>
  <c r="L2673" i="1"/>
  <c r="L2678" i="1"/>
  <c r="L2684" i="1"/>
  <c r="L2686" i="1"/>
  <c r="L2687" i="1"/>
  <c r="L2690" i="1"/>
  <c r="L2691" i="1"/>
  <c r="L2553" i="1"/>
  <c r="Y2703" i="1"/>
  <c r="Y2710" i="1"/>
  <c r="Y2711" i="1"/>
  <c r="Y2716" i="1"/>
  <c r="Y2718" i="1"/>
  <c r="Y2719" i="1"/>
  <c r="Y2724" i="1"/>
  <c r="L2708" i="1"/>
  <c r="L2710" i="1"/>
  <c r="L2711" i="1"/>
  <c r="L2716" i="1"/>
  <c r="L2718" i="1"/>
  <c r="L2719" i="1"/>
  <c r="L2724" i="1"/>
  <c r="L2726" i="1"/>
  <c r="L2727" i="1"/>
  <c r="L2732" i="1"/>
  <c r="Y2607" i="1"/>
  <c r="Y2606" i="1"/>
  <c r="Y2690" i="1"/>
  <c r="Y2575" i="1"/>
  <c r="Y2744" i="1"/>
  <c r="Y2750" i="1"/>
  <c r="Y2752" i="1"/>
  <c r="Y2753" i="1"/>
  <c r="Y2758" i="1"/>
  <c r="Y2760" i="1"/>
  <c r="Y2761" i="1"/>
  <c r="L2742" i="1"/>
  <c r="L2744" i="1"/>
  <c r="L2750" i="1"/>
  <c r="L2752" i="1"/>
  <c r="L2753" i="1"/>
  <c r="L2758" i="1"/>
  <c r="L2760" i="1"/>
  <c r="L2761" i="1"/>
  <c r="L2768" i="1"/>
  <c r="L2769" i="1"/>
  <c r="L2770" i="1"/>
  <c r="F2771" i="1"/>
  <c r="K2771" i="1"/>
  <c r="L2632" i="1"/>
  <c r="L2635" i="1"/>
  <c r="Y2642" i="1"/>
  <c r="V2695" i="1"/>
  <c r="L2781" i="1"/>
  <c r="L2782" i="1"/>
  <c r="Y2782" i="1"/>
  <c r="L2787" i="1"/>
  <c r="L2791" i="1"/>
  <c r="L2792" i="1"/>
  <c r="L2793" i="1"/>
  <c r="L2794" i="1"/>
  <c r="Y2794" i="1"/>
  <c r="L2799" i="1"/>
  <c r="L2800" i="1"/>
  <c r="L2801" i="1"/>
  <c r="L2802" i="1"/>
  <c r="Y2802" i="1"/>
  <c r="L2808" i="1"/>
  <c r="F2809" i="1"/>
  <c r="L2809" i="1" s="1"/>
  <c r="Y2726" i="1"/>
  <c r="Y2704" i="1"/>
  <c r="Y2682" i="1"/>
  <c r="Y2681" i="1"/>
  <c r="Y2665" i="1"/>
  <c r="L2671" i="1"/>
  <c r="Y2654" i="1"/>
  <c r="L2667" i="1"/>
  <c r="L2643" i="1"/>
  <c r="L2666" i="1"/>
  <c r="Y2653" i="1"/>
  <c r="Y2652" i="1"/>
  <c r="L2642" i="1"/>
  <c r="Y2675" i="1"/>
  <c r="L2640" i="1"/>
  <c r="Y2656" i="1"/>
  <c r="Y2673" i="1"/>
  <c r="Y2671" i="1"/>
  <c r="Y2670" i="1"/>
  <c r="L2637" i="1"/>
  <c r="Y2644" i="1"/>
  <c r="L2601" i="1"/>
  <c r="Y2641" i="1"/>
  <c r="Y2640" i="1"/>
  <c r="Y2650" i="1"/>
  <c r="Y2639" i="1"/>
  <c r="Y2637" i="1"/>
  <c r="Y2649" i="1"/>
  <c r="U2657" i="1"/>
  <c r="X2657" i="1" s="1"/>
  <c r="S2651" i="1"/>
  <c r="Y2651" i="1" s="1"/>
  <c r="L2591" i="1"/>
  <c r="Y2634" i="1"/>
  <c r="L2590" i="1"/>
  <c r="S2771" i="1"/>
  <c r="X2771" i="1"/>
  <c r="Y2741" i="1"/>
  <c r="Y2648" i="1"/>
  <c r="L2596" i="1"/>
  <c r="L2595" i="1"/>
  <c r="Y2589" i="1"/>
  <c r="Y2618" i="1"/>
  <c r="Y2608" i="1"/>
  <c r="L2575" i="1"/>
  <c r="Y2601" i="1"/>
  <c r="Y2599" i="1"/>
  <c r="L2573" i="1"/>
  <c r="Y2613" i="1"/>
  <c r="Y2596" i="1"/>
  <c r="L2570" i="1"/>
  <c r="Y2614" i="1"/>
  <c r="Y2577" i="1"/>
  <c r="Y2611" i="1"/>
  <c r="W2581" i="1"/>
  <c r="X2581" i="1" s="1"/>
  <c r="S2578" i="1"/>
  <c r="Y2578" i="1" s="1"/>
  <c r="S2612" i="1"/>
  <c r="Y2612" i="1" s="1"/>
  <c r="L2566" i="1"/>
  <c r="Y2574" i="1"/>
  <c r="Y2609" i="1"/>
  <c r="L2703" i="1"/>
  <c r="Y2566" i="1"/>
  <c r="Y2564" i="1"/>
  <c r="L2559" i="1"/>
  <c r="Q2581" i="1"/>
  <c r="Y2561" i="1"/>
  <c r="L2534" i="1"/>
  <c r="Y2541" i="1"/>
  <c r="Y2535" i="1"/>
  <c r="Y46" i="1"/>
  <c r="L53" i="1"/>
  <c r="L14" i="1"/>
  <c r="L20" i="1"/>
  <c r="L211" i="1"/>
  <c r="K263" i="1"/>
  <c r="L362" i="1"/>
  <c r="L376" i="1"/>
  <c r="L702" i="1"/>
  <c r="L727" i="1"/>
  <c r="L2252" i="1"/>
  <c r="O2393" i="1"/>
  <c r="X2538" i="1"/>
  <c r="T2543" i="1"/>
  <c r="X2543" i="1" s="1"/>
  <c r="P75" i="1"/>
  <c r="P303" i="1" s="1"/>
  <c r="X35" i="1"/>
  <c r="Y8" i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L46" i="1"/>
  <c r="Y49" i="1"/>
  <c r="Y15" i="1"/>
  <c r="Y11" i="1"/>
  <c r="L81" i="1"/>
  <c r="L98" i="1"/>
  <c r="L110" i="1"/>
  <c r="Y126" i="1"/>
  <c r="Y136" i="1"/>
  <c r="Y215" i="1"/>
  <c r="L133" i="1"/>
  <c r="L135" i="1"/>
  <c r="L141" i="1"/>
  <c r="L180" i="1"/>
  <c r="L424" i="1"/>
  <c r="L426" i="1"/>
  <c r="L435" i="1"/>
  <c r="L442" i="1"/>
  <c r="L450" i="1"/>
  <c r="K453" i="1"/>
  <c r="Y375" i="1"/>
  <c r="L540" i="1"/>
  <c r="Y489" i="1"/>
  <c r="L577" i="1"/>
  <c r="L580" i="1"/>
  <c r="L584" i="1"/>
  <c r="L586" i="1"/>
  <c r="L590" i="1"/>
  <c r="L592" i="1"/>
  <c r="L594" i="1"/>
  <c r="L596" i="1"/>
  <c r="L598" i="1"/>
  <c r="L604" i="1"/>
  <c r="L542" i="1"/>
  <c r="L515" i="1"/>
  <c r="L513" i="1"/>
  <c r="Y691" i="1"/>
  <c r="Y696" i="1"/>
  <c r="Y700" i="1"/>
  <c r="Y704" i="1"/>
  <c r="Y709" i="1"/>
  <c r="L690" i="1"/>
  <c r="F719" i="1"/>
  <c r="Y733" i="1"/>
  <c r="Y737" i="1"/>
  <c r="Y742" i="1"/>
  <c r="Y746" i="1"/>
  <c r="Y944" i="1"/>
  <c r="Y960" i="1"/>
  <c r="L917" i="1"/>
  <c r="L1148" i="1"/>
  <c r="L1154" i="1"/>
  <c r="Y1155" i="1"/>
  <c r="Y1156" i="1"/>
  <c r="Y1162" i="1"/>
  <c r="Y1164" i="1"/>
  <c r="L1167" i="1"/>
  <c r="L1169" i="1"/>
  <c r="L1171" i="1"/>
  <c r="F1175" i="1"/>
  <c r="L2145" i="1"/>
  <c r="L2143" i="1"/>
  <c r="L2134" i="1"/>
  <c r="L2174" i="1"/>
  <c r="L2481" i="1"/>
  <c r="L729" i="1"/>
  <c r="L16" i="1"/>
  <c r="Y178" i="1"/>
  <c r="C339" i="1"/>
  <c r="L364" i="1"/>
  <c r="L331" i="1"/>
  <c r="L347" i="1"/>
  <c r="J491" i="1"/>
  <c r="Y526" i="1"/>
  <c r="L699" i="1"/>
  <c r="L1319" i="1"/>
  <c r="L1199" i="1"/>
  <c r="Y2211" i="1"/>
  <c r="Y2214" i="1"/>
  <c r="Y34" i="1"/>
  <c r="Y19" i="1"/>
  <c r="Y17" i="1"/>
  <c r="C112" i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W75" i="1"/>
  <c r="Y5" i="1"/>
  <c r="F12" i="1"/>
  <c r="L12" i="1" s="1"/>
  <c r="F91" i="1"/>
  <c r="L91" i="1" s="1"/>
  <c r="Y28" i="1"/>
  <c r="L212" i="1"/>
  <c r="L169" i="1"/>
  <c r="Y277" i="1"/>
  <c r="Y286" i="1"/>
  <c r="L276" i="1"/>
  <c r="L278" i="1"/>
  <c r="L293" i="1"/>
  <c r="L299" i="1"/>
  <c r="Y248" i="1"/>
  <c r="L315" i="1"/>
  <c r="L324" i="1"/>
  <c r="Y328" i="1"/>
  <c r="Y330" i="1"/>
  <c r="Y333" i="1"/>
  <c r="Y334" i="1"/>
  <c r="Y336" i="1"/>
  <c r="L338" i="1"/>
  <c r="S339" i="1"/>
  <c r="E301" i="1"/>
  <c r="Y354" i="1"/>
  <c r="Y361" i="1"/>
  <c r="Y368" i="1"/>
  <c r="Y338" i="1"/>
  <c r="L355" i="1"/>
  <c r="L361" i="1"/>
  <c r="L367" i="1"/>
  <c r="L373" i="1"/>
  <c r="C377" i="1"/>
  <c r="L387" i="1"/>
  <c r="L392" i="1"/>
  <c r="L401" i="1"/>
  <c r="L407" i="1"/>
  <c r="L413" i="1"/>
  <c r="Y430" i="1"/>
  <c r="L428" i="1"/>
  <c r="L447" i="1"/>
  <c r="L471" i="1"/>
  <c r="L473" i="1"/>
  <c r="L475" i="1"/>
  <c r="L477" i="1"/>
  <c r="L479" i="1"/>
  <c r="L483" i="1"/>
  <c r="L485" i="1"/>
  <c r="Y471" i="1"/>
  <c r="Y476" i="1"/>
  <c r="Y488" i="1"/>
  <c r="Y461" i="1"/>
  <c r="Y433" i="1"/>
  <c r="Y592" i="1"/>
  <c r="L613" i="1"/>
  <c r="L615" i="1"/>
  <c r="L619" i="1"/>
  <c r="L624" i="1"/>
  <c r="L628" i="1"/>
  <c r="L632" i="1"/>
  <c r="L640" i="1"/>
  <c r="Y545" i="1"/>
  <c r="Y770" i="1"/>
  <c r="L765" i="1"/>
  <c r="L774" i="1"/>
  <c r="L776" i="1"/>
  <c r="L784" i="1"/>
  <c r="L786" i="1"/>
  <c r="L788" i="1"/>
  <c r="L790" i="1"/>
  <c r="L792" i="1"/>
  <c r="Y674" i="1"/>
  <c r="L862" i="1"/>
  <c r="L735" i="1"/>
  <c r="Y832" i="1"/>
  <c r="Y830" i="1"/>
  <c r="Y828" i="1"/>
  <c r="L1004" i="1"/>
  <c r="F1023" i="1"/>
  <c r="L1070" i="1"/>
  <c r="L1074" i="1"/>
  <c r="L1076" i="1"/>
  <c r="L1078" i="1"/>
  <c r="Y1080" i="1"/>
  <c r="Y1082" i="1"/>
  <c r="Y1084" i="1"/>
  <c r="Y1086" i="1"/>
  <c r="Y1088" i="1"/>
  <c r="Y1090" i="1"/>
  <c r="Y1092" i="1"/>
  <c r="Y1094" i="1"/>
  <c r="L1097" i="1"/>
  <c r="K1099" i="1"/>
  <c r="Y1057" i="1"/>
  <c r="Y1375" i="1"/>
  <c r="Y1850" i="1"/>
  <c r="Y1743" i="1"/>
  <c r="L1837" i="1"/>
  <c r="Y2059" i="1"/>
  <c r="Y2399" i="1"/>
  <c r="Y2401" i="1"/>
  <c r="L2443" i="1"/>
  <c r="L2459" i="1"/>
  <c r="L2618" i="1"/>
  <c r="P2543" i="1"/>
  <c r="S2543" i="1" s="1"/>
  <c r="L2674" i="1"/>
  <c r="Y827" i="1"/>
  <c r="Y803" i="1"/>
  <c r="Y908" i="1"/>
  <c r="Y905" i="1"/>
  <c r="Y864" i="1"/>
  <c r="Y862" i="1"/>
  <c r="K947" i="1"/>
  <c r="L969" i="1"/>
  <c r="L971" i="1"/>
  <c r="L974" i="1"/>
  <c r="L976" i="1"/>
  <c r="L977" i="1"/>
  <c r="L978" i="1"/>
  <c r="F985" i="1"/>
  <c r="Y1038" i="1"/>
  <c r="X1061" i="1"/>
  <c r="Y1112" i="1"/>
  <c r="Y1114" i="1"/>
  <c r="Y1116" i="1"/>
  <c r="Y1117" i="1"/>
  <c r="Y1121" i="1"/>
  <c r="Y1122" i="1"/>
  <c r="Y1124" i="1"/>
  <c r="Y1125" i="1"/>
  <c r="L1128" i="1"/>
  <c r="L1129" i="1"/>
  <c r="Y1109" i="1"/>
  <c r="Y1154" i="1"/>
  <c r="L1261" i="1"/>
  <c r="Y1246" i="1"/>
  <c r="Y1697" i="1"/>
  <c r="Y1664" i="1"/>
  <c r="Y1993" i="1"/>
  <c r="L1915" i="1"/>
  <c r="Y2027" i="1"/>
  <c r="Y2072" i="1"/>
  <c r="L2151" i="1"/>
  <c r="Y2171" i="1"/>
  <c r="Y2173" i="1"/>
  <c r="Y2192" i="1"/>
  <c r="Y2217" i="1"/>
  <c r="Y2221" i="1"/>
  <c r="L2227" i="1"/>
  <c r="L2231" i="1"/>
  <c r="Y2120" i="1"/>
  <c r="Y2083" i="1"/>
  <c r="Y2269" i="1"/>
  <c r="Y2199" i="1"/>
  <c r="Y2233" i="1"/>
  <c r="Y2414" i="1"/>
  <c r="L2409" i="1"/>
  <c r="Y2482" i="1"/>
  <c r="Y2477" i="1"/>
  <c r="Y2460" i="1"/>
  <c r="Y2502" i="1"/>
  <c r="Y2522" i="1"/>
  <c r="Y2632" i="1"/>
  <c r="L2685" i="1"/>
  <c r="L767" i="1"/>
  <c r="L882" i="1"/>
  <c r="Y885" i="1"/>
  <c r="L894" i="1"/>
  <c r="L900" i="1"/>
  <c r="Y965" i="1"/>
  <c r="Y966" i="1"/>
  <c r="Y972" i="1"/>
  <c r="Y974" i="1"/>
  <c r="Y976" i="1"/>
  <c r="Y979" i="1"/>
  <c r="Y917" i="1"/>
  <c r="Y1008" i="1"/>
  <c r="Y1010" i="1"/>
  <c r="Y1012" i="1"/>
  <c r="Y1017" i="1"/>
  <c r="Y1020" i="1"/>
  <c r="L993" i="1"/>
  <c r="L1001" i="1"/>
  <c r="L1003" i="1"/>
  <c r="L927" i="1"/>
  <c r="Y1039" i="1"/>
  <c r="Y1097" i="1"/>
  <c r="L1113" i="1"/>
  <c r="L1114" i="1"/>
  <c r="L1120" i="1"/>
  <c r="L1123" i="1"/>
  <c r="L1126" i="1"/>
  <c r="L1133" i="1"/>
  <c r="Y1134" i="1"/>
  <c r="Y1135" i="1"/>
  <c r="Y1183" i="1"/>
  <c r="L1188" i="1"/>
  <c r="L1190" i="1"/>
  <c r="Y1194" i="1"/>
  <c r="Y1203" i="1"/>
  <c r="L1207" i="1"/>
  <c r="L1212" i="1"/>
  <c r="Y1158" i="1"/>
  <c r="L1226" i="1"/>
  <c r="L1230" i="1"/>
  <c r="L1238" i="1"/>
  <c r="L1243" i="1"/>
  <c r="L1247" i="1"/>
  <c r="Y1146" i="1"/>
  <c r="L1322" i="1"/>
  <c r="L1347" i="1"/>
  <c r="L1353" i="1"/>
  <c r="L1359" i="1"/>
  <c r="L1211" i="1"/>
  <c r="S1251" i="1"/>
  <c r="Y1232" i="1"/>
  <c r="Y1287" i="1"/>
  <c r="Y1468" i="1"/>
  <c r="L1478" i="1"/>
  <c r="L1505" i="1"/>
  <c r="L1512" i="1"/>
  <c r="Y1419" i="1"/>
  <c r="L1422" i="1"/>
  <c r="Y1426" i="1"/>
  <c r="Y1433" i="1"/>
  <c r="Y1830" i="1"/>
  <c r="Y1851" i="1"/>
  <c r="L1820" i="1"/>
  <c r="L1910" i="1"/>
  <c r="L1913" i="1"/>
  <c r="Y1916" i="1"/>
  <c r="L1943" i="1"/>
  <c r="Y1960" i="1"/>
  <c r="L1997" i="1"/>
  <c r="L1934" i="1"/>
  <c r="L2066" i="1"/>
  <c r="L2078" i="1"/>
  <c r="L2081" i="1"/>
  <c r="L2100" i="1"/>
  <c r="Y2116" i="1"/>
  <c r="Y2133" i="1"/>
  <c r="L2179" i="1"/>
  <c r="Y2183" i="1"/>
  <c r="Y2191" i="1"/>
  <c r="L2194" i="1"/>
  <c r="L2195" i="1"/>
  <c r="L2199" i="1"/>
  <c r="Y2257" i="1"/>
  <c r="Y2264" i="1"/>
  <c r="Y2266" i="1"/>
  <c r="Y2268" i="1"/>
  <c r="L2255" i="1"/>
  <c r="L2259" i="1"/>
  <c r="L2263" i="1"/>
  <c r="L2271" i="1"/>
  <c r="L2275" i="1"/>
  <c r="L2287" i="1"/>
  <c r="L2295" i="1"/>
  <c r="L2297" i="1"/>
  <c r="L2299" i="1"/>
  <c r="L2301" i="1"/>
  <c r="L2307" i="1"/>
  <c r="L2308" i="1"/>
  <c r="L2314" i="1"/>
  <c r="Y2200" i="1"/>
  <c r="Y2198" i="1"/>
  <c r="Y2338" i="1"/>
  <c r="Y2342" i="1"/>
  <c r="Y2346" i="1"/>
  <c r="L2324" i="1"/>
  <c r="L2250" i="1"/>
  <c r="Y2270" i="1"/>
  <c r="Y2368" i="1"/>
  <c r="Y2372" i="1"/>
  <c r="Y2380" i="1"/>
  <c r="Q2393" i="1"/>
  <c r="L2368" i="1"/>
  <c r="L2376" i="1"/>
  <c r="L2380" i="1"/>
  <c r="L2384" i="1"/>
  <c r="Y2405" i="1"/>
  <c r="Y2407" i="1"/>
  <c r="Y2409" i="1"/>
  <c r="Y2413" i="1"/>
  <c r="Y2417" i="1"/>
  <c r="Y2419" i="1"/>
  <c r="Y2421" i="1"/>
  <c r="L2399" i="1"/>
  <c r="L2404" i="1"/>
  <c r="L2406" i="1"/>
  <c r="L2414" i="1"/>
  <c r="L2416" i="1"/>
  <c r="L2418" i="1"/>
  <c r="L2426" i="1"/>
  <c r="Y2440" i="1"/>
  <c r="Y2451" i="1"/>
  <c r="L2439" i="1"/>
  <c r="L2442" i="1"/>
  <c r="L2454" i="1"/>
  <c r="Y2526" i="1"/>
  <c r="Y2513" i="1"/>
  <c r="Y2489" i="1"/>
  <c r="L2562" i="1"/>
  <c r="L2578" i="1"/>
  <c r="L2605" i="1"/>
  <c r="L2607" i="1"/>
  <c r="Y2646" i="1"/>
  <c r="L2665" i="1"/>
  <c r="Y2676" i="1"/>
  <c r="Y2677" i="1"/>
  <c r="F2695" i="1"/>
  <c r="Y2481" i="1"/>
  <c r="L2531" i="1"/>
  <c r="L2537" i="1"/>
  <c r="L2539" i="1"/>
  <c r="L2541" i="1"/>
  <c r="Y2495" i="1"/>
  <c r="Y2493" i="1"/>
  <c r="Y2594" i="1"/>
  <c r="Y2610" i="1"/>
  <c r="F2619" i="1"/>
  <c r="K2619" i="1"/>
  <c r="Y2628" i="1"/>
  <c r="Y2630" i="1"/>
  <c r="Y2636" i="1"/>
  <c r="Y2638" i="1"/>
  <c r="Y2647" i="1"/>
  <c r="Y2571" i="1"/>
  <c r="L2681" i="1"/>
  <c r="L2693" i="1"/>
  <c r="L2522" i="1"/>
  <c r="L2524" i="1"/>
  <c r="L2526" i="1"/>
  <c r="L2528" i="1"/>
  <c r="L2532" i="1"/>
  <c r="L2388" i="1"/>
  <c r="Y2551" i="1"/>
  <c r="Y2553" i="1"/>
  <c r="Y2556" i="1"/>
  <c r="Y2558" i="1"/>
  <c r="Y2560" i="1"/>
  <c r="Y2563" i="1"/>
  <c r="Y2568" i="1"/>
  <c r="L2560" i="1"/>
  <c r="L2563" i="1"/>
  <c r="L2568" i="1"/>
  <c r="L2571" i="1"/>
  <c r="L2576" i="1"/>
  <c r="L2579" i="1"/>
  <c r="Y2463" i="1"/>
  <c r="Y2465" i="1"/>
  <c r="Y2592" i="1"/>
  <c r="Y2598" i="1"/>
  <c r="Y2600" i="1"/>
  <c r="Y2590" i="1"/>
  <c r="L2592" i="1"/>
  <c r="L2598" i="1"/>
  <c r="L2518" i="1"/>
  <c r="Y2635" i="1"/>
  <c r="L2636" i="1"/>
  <c r="L2639" i="1"/>
  <c r="L2644" i="1"/>
  <c r="L2647" i="1"/>
  <c r="L2652" i="1"/>
  <c r="L2655" i="1"/>
  <c r="F2657" i="1"/>
  <c r="K2657" i="1"/>
  <c r="Y2572" i="1"/>
  <c r="L2668" i="1"/>
  <c r="L2672" i="1"/>
  <c r="Y2674" i="1"/>
  <c r="L2677" i="1"/>
  <c r="Y2680" i="1"/>
  <c r="L2683" i="1"/>
  <c r="L2692" i="1"/>
  <c r="K2695" i="1"/>
  <c r="F2581" i="1"/>
  <c r="L2556" i="1"/>
  <c r="Y2538" i="1"/>
  <c r="Y2533" i="1"/>
  <c r="L2515" i="1"/>
  <c r="L2627" i="1"/>
  <c r="S2657" i="1"/>
  <c r="Y2627" i="1"/>
  <c r="L2527" i="1"/>
  <c r="S2540" i="1"/>
  <c r="Y2540" i="1" s="1"/>
  <c r="Y2530" i="1"/>
  <c r="L2523" i="1"/>
  <c r="Y2542" i="1"/>
  <c r="L2514" i="1"/>
  <c r="L2519" i="1"/>
  <c r="L2478" i="1"/>
  <c r="L2485" i="1"/>
  <c r="Y2518" i="1"/>
  <c r="Y2498" i="1"/>
  <c r="Y2494" i="1"/>
  <c r="Y2491" i="1"/>
  <c r="Y2490" i="1"/>
  <c r="S2619" i="1"/>
  <c r="X2619" i="1"/>
  <c r="Y2488" i="1"/>
  <c r="L2480" i="1"/>
  <c r="K2505" i="1"/>
  <c r="L2452" i="1"/>
  <c r="L2450" i="1"/>
  <c r="Y2500" i="1"/>
  <c r="Y2499" i="1"/>
  <c r="Y2496" i="1"/>
  <c r="Y2456" i="1"/>
  <c r="Y2455" i="1"/>
  <c r="Y2464" i="1"/>
  <c r="L2447" i="1"/>
  <c r="Y2450" i="1"/>
  <c r="Y2514" i="1"/>
  <c r="Y2449" i="1"/>
  <c r="L2445" i="1"/>
  <c r="Y2539" i="1"/>
  <c r="Y2447" i="1"/>
  <c r="Y2446" i="1"/>
  <c r="K2467" i="1"/>
  <c r="Y2422" i="1"/>
  <c r="Y2420" i="1"/>
  <c r="L2422" i="1"/>
  <c r="Y2418" i="1"/>
  <c r="F2429" i="1"/>
  <c r="L2419" i="1"/>
  <c r="Y2416" i="1"/>
  <c r="L2417" i="1"/>
  <c r="L2401" i="1"/>
  <c r="L2551" i="1"/>
  <c r="L2400" i="1"/>
  <c r="Y2411" i="1"/>
  <c r="Y1013" i="1"/>
  <c r="Y1059" i="1"/>
  <c r="P2429" i="1"/>
  <c r="S2429" i="1" s="1"/>
  <c r="S2424" i="1"/>
  <c r="S73" i="1"/>
  <c r="Y325" i="1"/>
  <c r="L370" i="1"/>
  <c r="L436" i="1"/>
  <c r="Y702" i="1"/>
  <c r="Y707" i="1"/>
  <c r="Y711" i="1"/>
  <c r="F692" i="1"/>
  <c r="Y171" i="1"/>
  <c r="Y641" i="1"/>
  <c r="L10" i="1"/>
  <c r="K58" i="1"/>
  <c r="Y14" i="1"/>
  <c r="Y214" i="1"/>
  <c r="L148" i="1"/>
  <c r="K225" i="1"/>
  <c r="O75" i="1"/>
  <c r="O303" i="1" s="1"/>
  <c r="O455" i="1" s="1"/>
  <c r="Y21" i="1"/>
  <c r="Y22" i="1"/>
  <c r="L51" i="1"/>
  <c r="Y63" i="1"/>
  <c r="Q75" i="1"/>
  <c r="Y23" i="1"/>
  <c r="Y90" i="1"/>
  <c r="L88" i="1"/>
  <c r="Y106" i="1"/>
  <c r="L166" i="1"/>
  <c r="L168" i="1"/>
  <c r="L170" i="1"/>
  <c r="L172" i="1"/>
  <c r="L174" i="1"/>
  <c r="L176" i="1"/>
  <c r="K178" i="1"/>
  <c r="L178" i="1" s="1"/>
  <c r="L240" i="1"/>
  <c r="L242" i="1"/>
  <c r="L244" i="1"/>
  <c r="L246" i="1"/>
  <c r="L248" i="1"/>
  <c r="Y250" i="1"/>
  <c r="Y254" i="1"/>
  <c r="Y256" i="1"/>
  <c r="Y258" i="1"/>
  <c r="L261" i="1"/>
  <c r="L273" i="1"/>
  <c r="Y326" i="1"/>
  <c r="L391" i="1"/>
  <c r="L444" i="1"/>
  <c r="L327" i="1"/>
  <c r="L1010" i="1"/>
  <c r="L1014" i="1"/>
  <c r="L1018" i="1"/>
  <c r="L1022" i="1"/>
  <c r="L1165" i="1"/>
  <c r="R36" i="1"/>
  <c r="R42" i="1" s="1"/>
  <c r="R47" i="1" s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Y67" i="1"/>
  <c r="T75" i="1"/>
  <c r="K200" i="1"/>
  <c r="L200" i="1" s="1"/>
  <c r="F453" i="1"/>
  <c r="L489" i="1"/>
  <c r="Y852" i="1"/>
  <c r="Y854" i="1"/>
  <c r="L864" i="1"/>
  <c r="Y870" i="1"/>
  <c r="Y10" i="1"/>
  <c r="Y7" i="1"/>
  <c r="L66" i="1"/>
  <c r="K73" i="1"/>
  <c r="L73" i="1" s="1"/>
  <c r="Y110" i="1"/>
  <c r="Y109" i="1"/>
  <c r="Y168" i="1"/>
  <c r="L179" i="1"/>
  <c r="Y180" i="1"/>
  <c r="L233" i="1"/>
  <c r="Y236" i="1"/>
  <c r="Y240" i="1"/>
  <c r="Y242" i="1"/>
  <c r="Y244" i="1"/>
  <c r="Y246" i="1"/>
  <c r="L249" i="1"/>
  <c r="L251" i="1"/>
  <c r="L253" i="1"/>
  <c r="L255" i="1"/>
  <c r="L257" i="1"/>
  <c r="L259" i="1"/>
  <c r="L262" i="1"/>
  <c r="Y235" i="1"/>
  <c r="L386" i="1"/>
  <c r="L403" i="1"/>
  <c r="L441" i="1"/>
  <c r="Y775" i="1"/>
  <c r="Y779" i="1"/>
  <c r="Y783" i="1"/>
  <c r="Y787" i="1"/>
  <c r="L965" i="1"/>
  <c r="L967" i="1"/>
  <c r="L979" i="1"/>
  <c r="L924" i="1"/>
  <c r="E35" i="1"/>
  <c r="W74" i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Y25" i="1"/>
  <c r="Y45" i="1"/>
  <c r="L49" i="1"/>
  <c r="Y57" i="1"/>
  <c r="L60" i="1"/>
  <c r="Y64" i="1"/>
  <c r="L67" i="1"/>
  <c r="L72" i="1"/>
  <c r="Y83" i="1"/>
  <c r="L106" i="1"/>
  <c r="Y107" i="1"/>
  <c r="Y159" i="1"/>
  <c r="L171" i="1"/>
  <c r="L173" i="1"/>
  <c r="L175" i="1"/>
  <c r="L177" i="1"/>
  <c r="L184" i="1"/>
  <c r="X187" i="1"/>
  <c r="L241" i="1"/>
  <c r="L243" i="1"/>
  <c r="L245" i="1"/>
  <c r="Y249" i="1"/>
  <c r="Y253" i="1"/>
  <c r="Y255" i="1"/>
  <c r="Y257" i="1"/>
  <c r="Y259" i="1"/>
  <c r="S263" i="1"/>
  <c r="Y434" i="1"/>
  <c r="L466" i="1"/>
  <c r="L438" i="1"/>
  <c r="Y575" i="1"/>
  <c r="L578" i="1"/>
  <c r="L581" i="1"/>
  <c r="L583" i="1"/>
  <c r="L587" i="1"/>
  <c r="L589" i="1"/>
  <c r="L591" i="1"/>
  <c r="L593" i="1"/>
  <c r="L595" i="1"/>
  <c r="L597" i="1"/>
  <c r="L599" i="1"/>
  <c r="L603" i="1"/>
  <c r="K605" i="1"/>
  <c r="Y622" i="1"/>
  <c r="O643" i="1"/>
  <c r="S643" i="1" s="1"/>
  <c r="S628" i="1"/>
  <c r="Y628" i="1" s="1"/>
  <c r="Y730" i="1"/>
  <c r="Y735" i="1"/>
  <c r="Y740" i="1"/>
  <c r="Y744" i="1"/>
  <c r="Y1108" i="1"/>
  <c r="Y1221" i="1"/>
  <c r="Y1267" i="1"/>
  <c r="Y1279" i="1"/>
  <c r="Y1307" i="1"/>
  <c r="Y1319" i="1"/>
  <c r="Y1350" i="1"/>
  <c r="Y1381" i="1"/>
  <c r="L1536" i="1"/>
  <c r="L1548" i="1"/>
  <c r="L528" i="1"/>
  <c r="L539" i="1"/>
  <c r="Y749" i="1"/>
  <c r="Y900" i="1"/>
  <c r="Y902" i="1"/>
  <c r="Y998" i="1"/>
  <c r="Y1007" i="1"/>
  <c r="Y1016" i="1"/>
  <c r="Y957" i="1"/>
  <c r="L998" i="1"/>
  <c r="L1019" i="1"/>
  <c r="L937" i="1"/>
  <c r="Y1070" i="1"/>
  <c r="Y1076" i="1"/>
  <c r="L1079" i="1"/>
  <c r="L1081" i="1"/>
  <c r="L1083" i="1"/>
  <c r="L1085" i="1"/>
  <c r="L1087" i="1"/>
  <c r="L1089" i="1"/>
  <c r="L1091" i="1"/>
  <c r="L1093" i="1"/>
  <c r="L1095" i="1"/>
  <c r="L1098" i="1"/>
  <c r="Y1056" i="1"/>
  <c r="L1117" i="1"/>
  <c r="L1121" i="1"/>
  <c r="L1125" i="1"/>
  <c r="Y1127" i="1"/>
  <c r="Y1129" i="1"/>
  <c r="S1137" i="1"/>
  <c r="F1137" i="1"/>
  <c r="Y1110" i="1"/>
  <c r="L1152" i="1"/>
  <c r="L1155" i="1"/>
  <c r="Y1165" i="1"/>
  <c r="Y1167" i="1"/>
  <c r="Y1169" i="1"/>
  <c r="Y1132" i="1"/>
  <c r="Y1173" i="1"/>
  <c r="Y1185" i="1"/>
  <c r="L1189" i="1"/>
  <c r="Y1191" i="1"/>
  <c r="Y1196" i="1"/>
  <c r="Y1205" i="1"/>
  <c r="L1209" i="1"/>
  <c r="Y1153" i="1"/>
  <c r="L1236" i="1"/>
  <c r="L1241" i="1"/>
  <c r="L1249" i="1"/>
  <c r="L1313" i="1"/>
  <c r="L1318" i="1"/>
  <c r="L1346" i="1"/>
  <c r="L1362" i="1"/>
  <c r="L1222" i="1"/>
  <c r="Y1337" i="1"/>
  <c r="L1298" i="1"/>
  <c r="L1310" i="1"/>
  <c r="Y1362" i="1"/>
  <c r="Y1547" i="1"/>
  <c r="L1533" i="1"/>
  <c r="L1589" i="1"/>
  <c r="L486" i="1"/>
  <c r="Y481" i="1"/>
  <c r="Y452" i="1"/>
  <c r="L439" i="1"/>
  <c r="L576" i="1"/>
  <c r="Y578" i="1"/>
  <c r="Y581" i="1"/>
  <c r="Y589" i="1"/>
  <c r="Y597" i="1"/>
  <c r="L600" i="1"/>
  <c r="Y603" i="1"/>
  <c r="L614" i="1"/>
  <c r="L629" i="1"/>
  <c r="L633" i="1"/>
  <c r="L641" i="1"/>
  <c r="L566" i="1"/>
  <c r="L514" i="1"/>
  <c r="Y664" i="1"/>
  <c r="L670" i="1"/>
  <c r="Y690" i="1"/>
  <c r="Y699" i="1"/>
  <c r="Y703" i="1"/>
  <c r="Y708" i="1"/>
  <c r="L689" i="1"/>
  <c r="L704" i="1"/>
  <c r="L716" i="1"/>
  <c r="Y604" i="1"/>
  <c r="Y732" i="1"/>
  <c r="Y745" i="1"/>
  <c r="Y750" i="1"/>
  <c r="Y752" i="1"/>
  <c r="L741" i="1"/>
  <c r="L745" i="1"/>
  <c r="L749" i="1"/>
  <c r="Y771" i="1"/>
  <c r="Y776" i="1"/>
  <c r="Y784" i="1"/>
  <c r="Y788" i="1"/>
  <c r="L770" i="1"/>
  <c r="L775" i="1"/>
  <c r="L779" i="1"/>
  <c r="L783" i="1"/>
  <c r="L787" i="1"/>
  <c r="L791" i="1"/>
  <c r="Y689" i="1"/>
  <c r="Y906" i="1"/>
  <c r="L922" i="1"/>
  <c r="L940" i="1"/>
  <c r="L944" i="1"/>
  <c r="Y958" i="1"/>
  <c r="Y963" i="1"/>
  <c r="Y971" i="1"/>
  <c r="Y977" i="1"/>
  <c r="Y1115" i="1"/>
  <c r="L1376" i="1"/>
  <c r="L1297" i="1"/>
  <c r="L582" i="1"/>
  <c r="Y639" i="1"/>
  <c r="Y753" i="1"/>
  <c r="Y806" i="1"/>
  <c r="Y812" i="1"/>
  <c r="Y816" i="1"/>
  <c r="Y821" i="1"/>
  <c r="Y804" i="1"/>
  <c r="L808" i="1"/>
  <c r="L812" i="1"/>
  <c r="L816" i="1"/>
  <c r="L820" i="1"/>
  <c r="L825" i="1"/>
  <c r="L829" i="1"/>
  <c r="F833" i="1"/>
  <c r="Y855" i="1"/>
  <c r="Y842" i="1"/>
  <c r="L1008" i="1"/>
  <c r="L1012" i="1"/>
  <c r="L1016" i="1"/>
  <c r="L1020" i="1"/>
  <c r="L1071" i="1"/>
  <c r="L1075" i="1"/>
  <c r="L1077" i="1"/>
  <c r="Y1083" i="1"/>
  <c r="Y1085" i="1"/>
  <c r="Y1087" i="1"/>
  <c r="Y1089" i="1"/>
  <c r="Y1091" i="1"/>
  <c r="Y1093" i="1"/>
  <c r="Y1095" i="1"/>
  <c r="Y1000" i="1"/>
  <c r="Y1096" i="1"/>
  <c r="Y1047" i="1"/>
  <c r="L1107" i="1"/>
  <c r="Y1161" i="1"/>
  <c r="Y1163" i="1"/>
  <c r="L1166" i="1"/>
  <c r="L1168" i="1"/>
  <c r="L1173" i="1"/>
  <c r="Y1133" i="1"/>
  <c r="Y1197" i="1"/>
  <c r="Y1206" i="1"/>
  <c r="L1210" i="1"/>
  <c r="Y1130" i="1"/>
  <c r="Y1224" i="1"/>
  <c r="L1229" i="1"/>
  <c r="L1233" i="1"/>
  <c r="L1237" i="1"/>
  <c r="L1242" i="1"/>
  <c r="L1246" i="1"/>
  <c r="L1314" i="1"/>
  <c r="L1323" i="1"/>
  <c r="L1221" i="1"/>
  <c r="L1206" i="1"/>
  <c r="L1195" i="1"/>
  <c r="L1191" i="1"/>
  <c r="L1393" i="1"/>
  <c r="L1265" i="1"/>
  <c r="Y1235" i="1"/>
  <c r="Y1397" i="1"/>
  <c r="Y1265" i="1"/>
  <c r="Y1273" i="1"/>
  <c r="Y1285" i="1"/>
  <c r="Y1313" i="1"/>
  <c r="Y1344" i="1"/>
  <c r="Y1356" i="1"/>
  <c r="Y1531" i="1"/>
  <c r="L1645" i="1"/>
  <c r="L546" i="1"/>
  <c r="L414" i="1"/>
  <c r="L885" i="1"/>
  <c r="L887" i="1"/>
  <c r="L889" i="1"/>
  <c r="Y903" i="1"/>
  <c r="L907" i="1"/>
  <c r="Y994" i="1"/>
  <c r="Y1001" i="1"/>
  <c r="Y1005" i="1"/>
  <c r="Y1009" i="1"/>
  <c r="Y1014" i="1"/>
  <c r="L994" i="1"/>
  <c r="L1112" i="1"/>
  <c r="L1116" i="1"/>
  <c r="L1118" i="1"/>
  <c r="L1122" i="1"/>
  <c r="Y1128" i="1"/>
  <c r="L1135" i="1"/>
  <c r="Y1136" i="1"/>
  <c r="L1151" i="1"/>
  <c r="L1153" i="1"/>
  <c r="L1162" i="1"/>
  <c r="Y1168" i="1"/>
  <c r="Y1170" i="1"/>
  <c r="L1174" i="1"/>
  <c r="L1351" i="1"/>
  <c r="Y1466" i="1"/>
  <c r="L1530" i="1"/>
  <c r="Y1513" i="1"/>
  <c r="B1935" i="1"/>
  <c r="F1918" i="1"/>
  <c r="L488" i="1"/>
  <c r="Y474" i="1"/>
  <c r="Y479" i="1"/>
  <c r="L559" i="1"/>
  <c r="Y412" i="1"/>
  <c r="Y450" i="1"/>
  <c r="Y402" i="1"/>
  <c r="L437" i="1"/>
  <c r="Y577" i="1"/>
  <c r="Y580" i="1"/>
  <c r="Y584" i="1"/>
  <c r="Y586" i="1"/>
  <c r="Y588" i="1"/>
  <c r="Y590" i="1"/>
  <c r="Y594" i="1"/>
  <c r="Y598" i="1"/>
  <c r="Y423" i="1"/>
  <c r="Y469" i="1"/>
  <c r="L639" i="1"/>
  <c r="Y502" i="1"/>
  <c r="L516" i="1"/>
  <c r="L672" i="1"/>
  <c r="Y692" i="1"/>
  <c r="Y701" i="1"/>
  <c r="Y705" i="1"/>
  <c r="L710" i="1"/>
  <c r="L718" i="1"/>
  <c r="Y642" i="1"/>
  <c r="Y729" i="1"/>
  <c r="Y747" i="1"/>
  <c r="L732" i="1"/>
  <c r="L743" i="1"/>
  <c r="L747" i="1"/>
  <c r="L751" i="1"/>
  <c r="L755" i="1"/>
  <c r="Y765" i="1"/>
  <c r="Y774" i="1"/>
  <c r="Y790" i="1"/>
  <c r="L766" i="1"/>
  <c r="L772" i="1"/>
  <c r="L777" i="1"/>
  <c r="L781" i="1"/>
  <c r="L785" i="1"/>
  <c r="L789" i="1"/>
  <c r="L793" i="1"/>
  <c r="K795" i="1"/>
  <c r="L795" i="1" s="1"/>
  <c r="Y673" i="1"/>
  <c r="Y907" i="1"/>
  <c r="Y866" i="1"/>
  <c r="Y865" i="1"/>
  <c r="L925" i="1"/>
  <c r="L942" i="1"/>
  <c r="L946" i="1"/>
  <c r="Y962" i="1"/>
  <c r="Y978" i="1"/>
  <c r="S985" i="1"/>
  <c r="Y1060" i="1"/>
  <c r="Y1058" i="1"/>
  <c r="L1160" i="1"/>
  <c r="L1273" i="1"/>
  <c r="L1277" i="1"/>
  <c r="L1285" i="1"/>
  <c r="L1303" i="1"/>
  <c r="L1391" i="1"/>
  <c r="L1271" i="1"/>
  <c r="Y1241" i="1"/>
  <c r="L1416" i="1"/>
  <c r="L1337" i="1"/>
  <c r="L1451" i="1"/>
  <c r="L1475" i="1"/>
  <c r="L1494" i="1"/>
  <c r="L1515" i="1"/>
  <c r="Y1422" i="1"/>
  <c r="Y1423" i="1"/>
  <c r="L1734" i="1"/>
  <c r="Y1831" i="1"/>
  <c r="Y1911" i="1"/>
  <c r="Y1848" i="1"/>
  <c r="Y1968" i="1"/>
  <c r="Y2069" i="1"/>
  <c r="L2075" i="1"/>
  <c r="Y2134" i="1"/>
  <c r="Y2152" i="1"/>
  <c r="Y2156" i="1"/>
  <c r="Y2117" i="1"/>
  <c r="Y2190" i="1"/>
  <c r="Y2195" i="1"/>
  <c r="Y2209" i="1"/>
  <c r="Y2159" i="1"/>
  <c r="Y2079" i="1"/>
  <c r="Y2180" i="1"/>
  <c r="Y2255" i="1"/>
  <c r="Y2236" i="1"/>
  <c r="L2290" i="1"/>
  <c r="L2292" i="1"/>
  <c r="L2294" i="1"/>
  <c r="L2300" i="1"/>
  <c r="L2304" i="1"/>
  <c r="L2306" i="1"/>
  <c r="Y2234" i="1"/>
  <c r="L2329" i="1"/>
  <c r="L2333" i="1"/>
  <c r="Y2273" i="1"/>
  <c r="Y2367" i="1"/>
  <c r="L2366" i="1"/>
  <c r="L2375" i="1"/>
  <c r="Y2400" i="1"/>
  <c r="Y2404" i="1"/>
  <c r="Y2408" i="1"/>
  <c r="Y2412" i="1"/>
  <c r="Y2415" i="1"/>
  <c r="Y2457" i="1"/>
  <c r="L2461" i="1"/>
  <c r="Y2310" i="1"/>
  <c r="L2476" i="1"/>
  <c r="L2489" i="1"/>
  <c r="L2493" i="1"/>
  <c r="L2497" i="1"/>
  <c r="L2501" i="1"/>
  <c r="F2505" i="1"/>
  <c r="Y2388" i="1"/>
  <c r="L2367" i="1"/>
  <c r="Y2520" i="1"/>
  <c r="Y2515" i="1"/>
  <c r="Y2504" i="1"/>
  <c r="Y2487" i="1"/>
  <c r="Y2484" i="1"/>
  <c r="Y2476" i="1"/>
  <c r="L2513" i="1"/>
  <c r="L2530" i="1"/>
  <c r="L2533" i="1"/>
  <c r="F2543" i="1"/>
  <c r="Y1967" i="1"/>
  <c r="Y1999" i="1"/>
  <c r="Y2144" i="1"/>
  <c r="Y2148" i="1"/>
  <c r="L2135" i="1"/>
  <c r="L2155" i="1"/>
  <c r="Y2184" i="1"/>
  <c r="Y2186" i="1"/>
  <c r="Y2188" i="1"/>
  <c r="L2210" i="1"/>
  <c r="L2248" i="1"/>
  <c r="L2268" i="1"/>
  <c r="L2272" i="1"/>
  <c r="L2276" i="1"/>
  <c r="L2334" i="1"/>
  <c r="L2342" i="1"/>
  <c r="Y2272" i="1"/>
  <c r="Y2384" i="1"/>
  <c r="L2362" i="1"/>
  <c r="Y2454" i="1"/>
  <c r="L2458" i="1"/>
  <c r="Y2519" i="1"/>
  <c r="Y2503" i="1"/>
  <c r="Y2483" i="1"/>
  <c r="Y2480" i="1"/>
  <c r="Y2501" i="1"/>
  <c r="L1623" i="1"/>
  <c r="L1647" i="1"/>
  <c r="Y1653" i="1"/>
  <c r="L1777" i="1"/>
  <c r="Y1801" i="1"/>
  <c r="Y1776" i="1"/>
  <c r="L1724" i="1"/>
  <c r="Y1878" i="1"/>
  <c r="L1889" i="1"/>
  <c r="Y1987" i="1"/>
  <c r="Y2004" i="1"/>
  <c r="Y2019" i="1"/>
  <c r="L2037" i="1"/>
  <c r="L2121" i="1"/>
  <c r="Y2145" i="1"/>
  <c r="Y2150" i="1"/>
  <c r="Y2119" i="1"/>
  <c r="L2148" i="1"/>
  <c r="L2152" i="1"/>
  <c r="L2161" i="1"/>
  <c r="L2142" i="1"/>
  <c r="Y2172" i="1"/>
  <c r="Y2174" i="1"/>
  <c r="L2185" i="1"/>
  <c r="L2187" i="1"/>
  <c r="L2211" i="1"/>
  <c r="Y2225" i="1"/>
  <c r="L2141" i="1"/>
  <c r="Y2149" i="1"/>
  <c r="L2257" i="1"/>
  <c r="L2261" i="1"/>
  <c r="L2265" i="1"/>
  <c r="L2269" i="1"/>
  <c r="Y2181" i="1"/>
  <c r="L2286" i="1"/>
  <c r="Y2308" i="1"/>
  <c r="Y2326" i="1"/>
  <c r="Y2331" i="1"/>
  <c r="Y2335" i="1"/>
  <c r="Y2339" i="1"/>
  <c r="Y2343" i="1"/>
  <c r="Y2347" i="1"/>
  <c r="L2325" i="1"/>
  <c r="L2331" i="1"/>
  <c r="L2335" i="1"/>
  <c r="L2339" i="1"/>
  <c r="L2352" i="1"/>
  <c r="Y2258" i="1"/>
  <c r="Y2361" i="1"/>
  <c r="Y2385" i="1"/>
  <c r="L2369" i="1"/>
  <c r="L2373" i="1"/>
  <c r="L2377" i="1"/>
  <c r="L2381" i="1"/>
  <c r="L2420" i="1"/>
  <c r="L2423" i="1"/>
  <c r="Y2444" i="1"/>
  <c r="Y2458" i="1"/>
  <c r="L2440" i="1"/>
  <c r="L2448" i="1"/>
  <c r="L2462" i="1"/>
  <c r="Y2309" i="1"/>
  <c r="Y2532" i="1"/>
  <c r="Y2529" i="1"/>
  <c r="Y2475" i="1"/>
  <c r="K2543" i="1"/>
  <c r="L1659" i="1"/>
  <c r="L1721" i="1"/>
  <c r="Y1813" i="1"/>
  <c r="L1879" i="1"/>
  <c r="L1886" i="1"/>
  <c r="Y1876" i="1"/>
  <c r="Y1889" i="1"/>
  <c r="Y1969" i="1"/>
  <c r="Y2031" i="1"/>
  <c r="Y2043" i="1"/>
  <c r="L2024" i="1"/>
  <c r="Y2136" i="1"/>
  <c r="Y2141" i="1"/>
  <c r="Y2151" i="1"/>
  <c r="Y2157" i="1"/>
  <c r="L2149" i="1"/>
  <c r="L2162" i="1"/>
  <c r="Y2185" i="1"/>
  <c r="Y2187" i="1"/>
  <c r="Y2189" i="1"/>
  <c r="L2193" i="1"/>
  <c r="Y2194" i="1"/>
  <c r="L2197" i="1"/>
  <c r="L2217" i="1"/>
  <c r="L2221" i="1"/>
  <c r="L2223" i="1"/>
  <c r="Y2104" i="1"/>
  <c r="Y2111" i="1"/>
  <c r="Y2142" i="1"/>
  <c r="L2214" i="1"/>
  <c r="L2254" i="1"/>
  <c r="L2258" i="1"/>
  <c r="L2262" i="1"/>
  <c r="L2266" i="1"/>
  <c r="L2270" i="1"/>
  <c r="L2274" i="1"/>
  <c r="Y2286" i="1"/>
  <c r="L2309" i="1"/>
  <c r="L2332" i="1"/>
  <c r="L2336" i="1"/>
  <c r="L2340" i="1"/>
  <c r="L2348" i="1"/>
  <c r="Y2224" i="1"/>
  <c r="Y2247" i="1"/>
  <c r="Y2271" i="1"/>
  <c r="Y2312" i="1"/>
  <c r="Y2362" i="1"/>
  <c r="Y2370" i="1"/>
  <c r="Y2378" i="1"/>
  <c r="Y2382" i="1"/>
  <c r="Y2386" i="1"/>
  <c r="L2411" i="1"/>
  <c r="L2424" i="1"/>
  <c r="L2427" i="1"/>
  <c r="Y2445" i="1"/>
  <c r="Y2452" i="1"/>
  <c r="L2449" i="1"/>
  <c r="L2456" i="1"/>
  <c r="F2467" i="1"/>
  <c r="L2483" i="1"/>
  <c r="L2487" i="1"/>
  <c r="L2491" i="1"/>
  <c r="L2495" i="1"/>
  <c r="L2499" i="1"/>
  <c r="L2503" i="1"/>
  <c r="Y2528" i="1"/>
  <c r="Y2525" i="1"/>
  <c r="Y2521" i="1"/>
  <c r="Y1718" i="1"/>
  <c r="L1850" i="1"/>
  <c r="L1858" i="1"/>
  <c r="Y1953" i="1"/>
  <c r="L2139" i="1"/>
  <c r="Y2176" i="1"/>
  <c r="Y2197" i="1"/>
  <c r="Y2324" i="1"/>
  <c r="L2412" i="1"/>
  <c r="L2415" i="1"/>
  <c r="L2428" i="1"/>
  <c r="Y2442" i="1"/>
  <c r="Y2453" i="1"/>
  <c r="L2438" i="1"/>
  <c r="L2446" i="1"/>
  <c r="L2457" i="1"/>
  <c r="L2464" i="1"/>
  <c r="L2475" i="1"/>
  <c r="Y2524" i="1"/>
  <c r="Y2516" i="1"/>
  <c r="Y2423" i="1"/>
  <c r="L2408" i="1"/>
  <c r="Y2410" i="1"/>
  <c r="L2407" i="1"/>
  <c r="Y2427" i="1"/>
  <c r="K2429" i="1"/>
  <c r="L2390" i="1"/>
  <c r="Y2497" i="1"/>
  <c r="L2363" i="1"/>
  <c r="L2389" i="1"/>
  <c r="L2385" i="1"/>
  <c r="L2383" i="1"/>
  <c r="L2382" i="1"/>
  <c r="Y2428" i="1"/>
  <c r="Y2381" i="1"/>
  <c r="L2364" i="1"/>
  <c r="L2374" i="1"/>
  <c r="L2372" i="1"/>
  <c r="S2505" i="1"/>
  <c r="X2505" i="1"/>
  <c r="Y2389" i="1"/>
  <c r="Y2377" i="1"/>
  <c r="Y2376" i="1"/>
  <c r="Y2375" i="1"/>
  <c r="Y2374" i="1"/>
  <c r="Y2373" i="1"/>
  <c r="Y2369" i="1"/>
  <c r="L2361" i="1"/>
  <c r="L2351" i="1"/>
  <c r="Y2390" i="1"/>
  <c r="Y2366" i="1"/>
  <c r="K2391" i="1"/>
  <c r="F2391" i="1"/>
  <c r="L2349" i="1"/>
  <c r="L2347" i="1"/>
  <c r="L2346" i="1"/>
  <c r="L2345" i="1"/>
  <c r="Y2341" i="1"/>
  <c r="L2344" i="1"/>
  <c r="Y2351" i="1"/>
  <c r="L2343" i="1"/>
  <c r="L2341" i="1"/>
  <c r="L2338" i="1"/>
  <c r="Y2337" i="1"/>
  <c r="Y2334" i="1"/>
  <c r="Y2332" i="1"/>
  <c r="Y2350" i="1"/>
  <c r="L2330" i="1"/>
  <c r="Y2424" i="1"/>
  <c r="L2328" i="1"/>
  <c r="K2353" i="1"/>
  <c r="F2353" i="1"/>
  <c r="Y2330" i="1"/>
  <c r="Y2329" i="1"/>
  <c r="Y2425" i="1"/>
  <c r="Y2426" i="1"/>
  <c r="L2305" i="1"/>
  <c r="Y2314" i="1"/>
  <c r="Y2349" i="1"/>
  <c r="L2303" i="1"/>
  <c r="Y2303" i="1"/>
  <c r="Y2285" i="1"/>
  <c r="L2302" i="1"/>
  <c r="Y2302" i="1"/>
  <c r="Y2301" i="1"/>
  <c r="Y2313" i="1"/>
  <c r="L2298" i="1"/>
  <c r="L2296" i="1"/>
  <c r="Y2298" i="1"/>
  <c r="L2288" i="1"/>
  <c r="Y2296" i="1"/>
  <c r="L2293" i="1"/>
  <c r="S2467" i="1"/>
  <c r="X2467" i="1"/>
  <c r="Y2437" i="1"/>
  <c r="L2291" i="1"/>
  <c r="K2315" i="1"/>
  <c r="F2315" i="1"/>
  <c r="Y2294" i="1"/>
  <c r="Y2292" i="1"/>
  <c r="Y2291" i="1"/>
  <c r="L2285" i="1"/>
  <c r="Y2290" i="1"/>
  <c r="Y2311" i="1"/>
  <c r="S2391" i="1"/>
  <c r="X2391" i="1"/>
  <c r="X2429" i="1"/>
  <c r="Y2262" i="1"/>
  <c r="L2273" i="1"/>
  <c r="X2353" i="1"/>
  <c r="S2353" i="1"/>
  <c r="L2267" i="1"/>
  <c r="Y2276" i="1"/>
  <c r="Y2260" i="1"/>
  <c r="Y2275" i="1"/>
  <c r="R2277" i="1"/>
  <c r="S2277" i="1" s="1"/>
  <c r="V2277" i="1"/>
  <c r="V2393" i="1" s="1"/>
  <c r="Y2237" i="1"/>
  <c r="Y2235" i="1"/>
  <c r="L2264" i="1"/>
  <c r="U2277" i="1"/>
  <c r="Y2256" i="1"/>
  <c r="Y2253" i="1"/>
  <c r="L2260" i="1"/>
  <c r="Y2252" i="1"/>
  <c r="L2256" i="1"/>
  <c r="L2249" i="1"/>
  <c r="L2253" i="1"/>
  <c r="Y2229" i="1"/>
  <c r="L2238" i="1"/>
  <c r="Y2227" i="1"/>
  <c r="L2234" i="1"/>
  <c r="L2233" i="1"/>
  <c r="L2232" i="1"/>
  <c r="L2212" i="1"/>
  <c r="Y2323" i="1"/>
  <c r="L2226" i="1"/>
  <c r="L2225" i="1"/>
  <c r="L2224" i="1"/>
  <c r="Y2222" i="1"/>
  <c r="Y2219" i="1"/>
  <c r="Y2216" i="1"/>
  <c r="L2219" i="1"/>
  <c r="Y2238" i="1"/>
  <c r="Y2218" i="1"/>
  <c r="X2315" i="1"/>
  <c r="S2315" i="1"/>
  <c r="L2209" i="1"/>
  <c r="L2216" i="1"/>
  <c r="L2191" i="1"/>
  <c r="F2277" i="1"/>
  <c r="K2277" i="1"/>
  <c r="L2247" i="1"/>
  <c r="K2239" i="1"/>
  <c r="F2239" i="1"/>
  <c r="Y2179" i="1"/>
  <c r="Y2178" i="1"/>
  <c r="L2189" i="1"/>
  <c r="Y2162" i="1"/>
  <c r="L2186" i="1"/>
  <c r="Y2155" i="1"/>
  <c r="L2182" i="1"/>
  <c r="Y2154" i="1"/>
  <c r="Y2153" i="1"/>
  <c r="Y2160" i="1"/>
  <c r="L2173" i="1"/>
  <c r="L2172" i="1"/>
  <c r="K2177" i="1"/>
  <c r="L2177" i="1" s="1"/>
  <c r="K2201" i="1"/>
  <c r="Y2146" i="1"/>
  <c r="F2201" i="1"/>
  <c r="Y2143" i="1"/>
  <c r="L2160" i="1"/>
  <c r="L2158" i="1"/>
  <c r="Y2140" i="1"/>
  <c r="Y2139" i="1"/>
  <c r="L2156" i="1"/>
  <c r="L2154" i="1"/>
  <c r="L2153" i="1"/>
  <c r="Y2138" i="1"/>
  <c r="K2136" i="1"/>
  <c r="L2136" i="1" s="1"/>
  <c r="L2147" i="1"/>
  <c r="L2146" i="1"/>
  <c r="Y2123" i="1"/>
  <c r="Y2158" i="1"/>
  <c r="Y2108" i="1"/>
  <c r="Y2096" i="1"/>
  <c r="L2133" i="1"/>
  <c r="L2124" i="1"/>
  <c r="L2123" i="1"/>
  <c r="L2116" i="1"/>
  <c r="Y2100" i="1"/>
  <c r="S2239" i="1"/>
  <c r="X2239" i="1"/>
  <c r="S2201" i="1"/>
  <c r="X2201" i="1"/>
  <c r="F2163" i="1"/>
  <c r="K2163" i="1"/>
  <c r="S2163" i="1"/>
  <c r="X2163" i="1"/>
  <c r="L2108" i="1"/>
  <c r="F2125" i="1"/>
  <c r="F9" i="1"/>
  <c r="L31" i="1"/>
  <c r="P36" i="1"/>
  <c r="P42" i="1" s="1"/>
  <c r="P47" i="1" s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P655" i="1" s="1"/>
  <c r="P682" i="1" s="1"/>
  <c r="T36" i="1"/>
  <c r="T42" i="1" s="1"/>
  <c r="T47" i="1" s="1"/>
  <c r="T74" i="1" s="1"/>
  <c r="T80" i="1" s="1"/>
  <c r="Y18" i="1"/>
  <c r="L22" i="1"/>
  <c r="Y121" i="1"/>
  <c r="Y132" i="1"/>
  <c r="Y135" i="1"/>
  <c r="Y144" i="1"/>
  <c r="T303" i="1"/>
  <c r="T455" i="1" s="1"/>
  <c r="T607" i="1" s="1"/>
  <c r="Y197" i="1"/>
  <c r="L131" i="1"/>
  <c r="L140" i="1"/>
  <c r="L146" i="1"/>
  <c r="F149" i="1"/>
  <c r="L197" i="1"/>
  <c r="L201" i="1"/>
  <c r="L204" i="1"/>
  <c r="L219" i="1"/>
  <c r="L222" i="1"/>
  <c r="Y62" i="1"/>
  <c r="Y66" i="1"/>
  <c r="Q74" i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Y26" i="1"/>
  <c r="L4" i="1"/>
  <c r="Y81" i="1"/>
  <c r="X111" i="1"/>
  <c r="L92" i="1"/>
  <c r="Y148" i="1"/>
  <c r="L159" i="1"/>
  <c r="Y51" i="1"/>
  <c r="Y50" i="1"/>
  <c r="L164" i="1"/>
  <c r="S9" i="1"/>
  <c r="Y54" i="1"/>
  <c r="Y195" i="1"/>
  <c r="L196" i="1"/>
  <c r="F111" i="1"/>
  <c r="L111" i="1" s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K9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H275" i="1" s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H693" i="1" s="1"/>
  <c r="H720" i="1" s="1"/>
  <c r="H726" i="1" s="1"/>
  <c r="H731" i="1" s="1"/>
  <c r="H758" i="1" s="1"/>
  <c r="H764" i="1" s="1"/>
  <c r="H769" i="1" s="1"/>
  <c r="H796" i="1" s="1"/>
  <c r="H802" i="1" s="1"/>
  <c r="H807" i="1" s="1"/>
  <c r="H834" i="1" s="1"/>
  <c r="H840" i="1" s="1"/>
  <c r="H845" i="1" s="1"/>
  <c r="H872" i="1" s="1"/>
  <c r="H878" i="1" s="1"/>
  <c r="H883" i="1" s="1"/>
  <c r="H910" i="1" s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H1106" i="1" s="1"/>
  <c r="H1111" i="1" s="1"/>
  <c r="H1138" i="1" s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H1263" i="1" s="1"/>
  <c r="H1290" i="1" s="1"/>
  <c r="H1296" i="1" s="1"/>
  <c r="H1301" i="1" s="1"/>
  <c r="H1328" i="1" s="1"/>
  <c r="H1334" i="1" s="1"/>
  <c r="H1339" i="1" s="1"/>
  <c r="L26" i="1"/>
  <c r="L32" i="1"/>
  <c r="Y43" i="1"/>
  <c r="L59" i="1"/>
  <c r="L62" i="1"/>
  <c r="S111" i="1"/>
  <c r="L90" i="1"/>
  <c r="L96" i="1"/>
  <c r="Y130" i="1"/>
  <c r="Y142" i="1"/>
  <c r="Y203" i="1"/>
  <c r="Y208" i="1"/>
  <c r="Y211" i="1"/>
  <c r="L122" i="1"/>
  <c r="L129" i="1"/>
  <c r="L132" i="1"/>
  <c r="L217" i="1"/>
  <c r="L220" i="1"/>
  <c r="L157" i="1"/>
  <c r="Y147" i="1"/>
  <c r="K187" i="1"/>
  <c r="Y261" i="1"/>
  <c r="Y347" i="1"/>
  <c r="Y350" i="1"/>
  <c r="Y359" i="1"/>
  <c r="Y366" i="1"/>
  <c r="Y373" i="1"/>
  <c r="X377" i="1"/>
  <c r="L353" i="1"/>
  <c r="L359" i="1"/>
  <c r="L371" i="1"/>
  <c r="L374" i="1"/>
  <c r="Y387" i="1"/>
  <c r="L390" i="1"/>
  <c r="L396" i="1"/>
  <c r="L405" i="1"/>
  <c r="L411" i="1"/>
  <c r="F415" i="1"/>
  <c r="Y438" i="1"/>
  <c r="L430" i="1"/>
  <c r="L445" i="1"/>
  <c r="L448" i="1"/>
  <c r="L463" i="1"/>
  <c r="L467" i="1"/>
  <c r="Y369" i="1"/>
  <c r="S453" i="1"/>
  <c r="Y508" i="1"/>
  <c r="Y511" i="1"/>
  <c r="Y514" i="1"/>
  <c r="Y517" i="1"/>
  <c r="Y522" i="1"/>
  <c r="L506" i="1"/>
  <c r="L520" i="1"/>
  <c r="L526" i="1"/>
  <c r="Y410" i="1"/>
  <c r="Y558" i="1"/>
  <c r="Y413" i="1"/>
  <c r="L545" i="1"/>
  <c r="L738" i="1"/>
  <c r="L895" i="1"/>
  <c r="Y119" i="1"/>
  <c r="Y128" i="1"/>
  <c r="Y131" i="1"/>
  <c r="Y134" i="1"/>
  <c r="Y140" i="1"/>
  <c r="L120" i="1"/>
  <c r="L136" i="1"/>
  <c r="L203" i="1"/>
  <c r="L221" i="1"/>
  <c r="Y182" i="1"/>
  <c r="L162" i="1"/>
  <c r="Y158" i="1"/>
  <c r="Y348" i="1"/>
  <c r="Y356" i="1"/>
  <c r="Y360" i="1"/>
  <c r="Y364" i="1"/>
  <c r="Y367" i="1"/>
  <c r="S377" i="1"/>
  <c r="L350" i="1"/>
  <c r="L357" i="1"/>
  <c r="L366" i="1"/>
  <c r="L369" i="1"/>
  <c r="L385" i="1"/>
  <c r="Y386" i="1"/>
  <c r="L388" i="1"/>
  <c r="L394" i="1"/>
  <c r="L409" i="1"/>
  <c r="L412" i="1"/>
  <c r="Y432" i="1"/>
  <c r="Y439" i="1"/>
  <c r="L431" i="1"/>
  <c r="L434" i="1"/>
  <c r="L440" i="1"/>
  <c r="L449" i="1"/>
  <c r="L329" i="1"/>
  <c r="L326" i="1"/>
  <c r="L349" i="1"/>
  <c r="L464" i="1"/>
  <c r="Y370" i="1"/>
  <c r="Y506" i="1"/>
  <c r="Y512" i="1"/>
  <c r="Y515" i="1"/>
  <c r="Y520" i="1"/>
  <c r="Y523" i="1"/>
  <c r="L504" i="1"/>
  <c r="L511" i="1"/>
  <c r="L521" i="1"/>
  <c r="L527" i="1"/>
  <c r="Y411" i="1"/>
  <c r="X567" i="1"/>
  <c r="Y414" i="1"/>
  <c r="L543" i="1"/>
  <c r="L549" i="1"/>
  <c r="L552" i="1"/>
  <c r="L555" i="1"/>
  <c r="L558" i="1"/>
  <c r="L561" i="1"/>
  <c r="L564" i="1"/>
  <c r="Y621" i="1"/>
  <c r="S719" i="1"/>
  <c r="L298" i="1"/>
  <c r="Y315" i="1"/>
  <c r="Y318" i="1"/>
  <c r="Y322" i="1"/>
  <c r="Y358" i="1"/>
  <c r="L469" i="1"/>
  <c r="L472" i="1"/>
  <c r="L478" i="1"/>
  <c r="L481" i="1"/>
  <c r="L484" i="1"/>
  <c r="L487" i="1"/>
  <c r="L490" i="1"/>
  <c r="X491" i="1"/>
  <c r="F605" i="1"/>
  <c r="L605" i="1" s="1"/>
  <c r="Y697" i="1"/>
  <c r="Y184" i="1"/>
  <c r="Y186" i="1"/>
  <c r="Y222" i="1"/>
  <c r="L512" i="1"/>
  <c r="F529" i="1"/>
  <c r="Y554" i="1"/>
  <c r="Y538" i="1"/>
  <c r="L544" i="1"/>
  <c r="L547" i="1"/>
  <c r="L550" i="1"/>
  <c r="L553" i="1"/>
  <c r="L556" i="1"/>
  <c r="L562" i="1"/>
  <c r="K567" i="1"/>
  <c r="Y448" i="1"/>
  <c r="L588" i="1"/>
  <c r="L499" i="1"/>
  <c r="Y519" i="1"/>
  <c r="Y234" i="1"/>
  <c r="Y300" i="1"/>
  <c r="Y324" i="1"/>
  <c r="Y332" i="1"/>
  <c r="Y335" i="1"/>
  <c r="F491" i="1"/>
  <c r="Y473" i="1"/>
  <c r="X605" i="1"/>
  <c r="S681" i="1"/>
  <c r="F681" i="1"/>
  <c r="L681" i="1" s="1"/>
  <c r="K833" i="1"/>
  <c r="L548" i="1"/>
  <c r="L551" i="1"/>
  <c r="L554" i="1"/>
  <c r="L557" i="1"/>
  <c r="L560" i="1"/>
  <c r="F567" i="1"/>
  <c r="Y542" i="1"/>
  <c r="Y405" i="1"/>
  <c r="L501" i="1"/>
  <c r="Y518" i="1"/>
  <c r="Y616" i="1"/>
  <c r="Y623" i="1"/>
  <c r="Y633" i="1"/>
  <c r="Y576" i="1"/>
  <c r="Y638" i="1"/>
  <c r="Y671" i="1"/>
  <c r="Y675" i="1"/>
  <c r="Y718" i="1"/>
  <c r="L841" i="1"/>
  <c r="Y850" i="1"/>
  <c r="L852" i="1"/>
  <c r="L858" i="1"/>
  <c r="L867" i="1"/>
  <c r="X871" i="1"/>
  <c r="Y871" i="1" s="1"/>
  <c r="L734" i="1"/>
  <c r="Y809" i="1"/>
  <c r="Y929" i="1"/>
  <c r="Y942" i="1"/>
  <c r="L928" i="1"/>
  <c r="Y981" i="1"/>
  <c r="Y1032" i="1"/>
  <c r="Y1042" i="1"/>
  <c r="Y1045" i="1"/>
  <c r="Y1049" i="1"/>
  <c r="Y1054" i="1"/>
  <c r="Y995" i="1"/>
  <c r="L1033" i="1"/>
  <c r="L1037" i="1"/>
  <c r="L1046" i="1"/>
  <c r="L1052" i="1"/>
  <c r="L1055" i="1"/>
  <c r="J1061" i="1"/>
  <c r="K1061" i="1" s="1"/>
  <c r="Y984" i="1"/>
  <c r="Y1071" i="1"/>
  <c r="Y1033" i="1"/>
  <c r="L1159" i="1"/>
  <c r="L1300" i="1"/>
  <c r="L1201" i="1"/>
  <c r="K719" i="1"/>
  <c r="L719" i="1" s="1"/>
  <c r="F757" i="1"/>
  <c r="X795" i="1"/>
  <c r="F909" i="1"/>
  <c r="S1099" i="1"/>
  <c r="X1175" i="1"/>
  <c r="X1213" i="1"/>
  <c r="Y601" i="1"/>
  <c r="Y672" i="1"/>
  <c r="Y717" i="1"/>
  <c r="Y714" i="1"/>
  <c r="Y754" i="1"/>
  <c r="L844" i="1"/>
  <c r="L851" i="1"/>
  <c r="L854" i="1"/>
  <c r="L857" i="1"/>
  <c r="Y858" i="1"/>
  <c r="L860" i="1"/>
  <c r="Y867" i="1"/>
  <c r="Y869" i="1"/>
  <c r="S871" i="1"/>
  <c r="L740" i="1"/>
  <c r="Y817" i="1"/>
  <c r="Y920" i="1"/>
  <c r="Y934" i="1"/>
  <c r="Y937" i="1"/>
  <c r="Y943" i="1"/>
  <c r="Y860" i="1"/>
  <c r="L919" i="1"/>
  <c r="Y1037" i="1"/>
  <c r="Y1040" i="1"/>
  <c r="Y1043" i="1"/>
  <c r="Y1050" i="1"/>
  <c r="S1061" i="1"/>
  <c r="Y1061" i="1" s="1"/>
  <c r="L1031" i="1"/>
  <c r="L1034" i="1"/>
  <c r="L1038" i="1"/>
  <c r="L1041" i="1"/>
  <c r="L1044" i="1"/>
  <c r="L1047" i="1"/>
  <c r="L1050" i="1"/>
  <c r="L1056" i="1"/>
  <c r="Y1072" i="1"/>
  <c r="L1312" i="1"/>
  <c r="L1354" i="1"/>
  <c r="B2011" i="1"/>
  <c r="F1996" i="1"/>
  <c r="S543" i="1"/>
  <c r="Y543" i="1" s="1"/>
  <c r="Y619" i="1"/>
  <c r="Y625" i="1"/>
  <c r="Y602" i="1"/>
  <c r="L538" i="1"/>
  <c r="Y679" i="1"/>
  <c r="Y716" i="1"/>
  <c r="Y755" i="1"/>
  <c r="Y791" i="1"/>
  <c r="L847" i="1"/>
  <c r="Y848" i="1"/>
  <c r="L850" i="1"/>
  <c r="L853" i="1"/>
  <c r="L856" i="1"/>
  <c r="L859" i="1"/>
  <c r="L861" i="1"/>
  <c r="L863" i="1"/>
  <c r="L868" i="1"/>
  <c r="K871" i="1"/>
  <c r="L736" i="1"/>
  <c r="Y823" i="1"/>
  <c r="Y925" i="1"/>
  <c r="Y938" i="1"/>
  <c r="Y946" i="1"/>
  <c r="X985" i="1"/>
  <c r="Y985" i="1" s="1"/>
  <c r="L870" i="1"/>
  <c r="L926" i="1"/>
  <c r="L935" i="1"/>
  <c r="Y1041" i="1"/>
  <c r="Y1044" i="1"/>
  <c r="Y1048" i="1"/>
  <c r="Y1053" i="1"/>
  <c r="L1032" i="1"/>
  <c r="L1036" i="1"/>
  <c r="L1039" i="1"/>
  <c r="L1042" i="1"/>
  <c r="L1054" i="1"/>
  <c r="L1057" i="1"/>
  <c r="Y1021" i="1"/>
  <c r="Y982" i="1"/>
  <c r="Y1034" i="1"/>
  <c r="F996" i="1"/>
  <c r="L996" i="1" s="1"/>
  <c r="K757" i="1"/>
  <c r="S833" i="1"/>
  <c r="L692" i="1"/>
  <c r="S1023" i="1"/>
  <c r="K985" i="1"/>
  <c r="F1099" i="1"/>
  <c r="L1099" i="1" s="1"/>
  <c r="X1099" i="1"/>
  <c r="X1137" i="1"/>
  <c r="Y1137" i="1" s="1"/>
  <c r="K1213" i="1"/>
  <c r="Y1107" i="1"/>
  <c r="Y1160" i="1"/>
  <c r="Y1359" i="1"/>
  <c r="Y1208" i="1"/>
  <c r="Y1174" i="1"/>
  <c r="L1272" i="1"/>
  <c r="L1275" i="1"/>
  <c r="L1278" i="1"/>
  <c r="L1284" i="1"/>
  <c r="Y1211" i="1"/>
  <c r="L1302" i="1"/>
  <c r="L1305" i="1"/>
  <c r="L1350" i="1"/>
  <c r="L1183" i="1"/>
  <c r="L1200" i="1"/>
  <c r="L1198" i="1"/>
  <c r="L1380" i="1"/>
  <c r="L1316" i="1"/>
  <c r="L1432" i="1"/>
  <c r="L1437" i="1"/>
  <c r="K1327" i="1"/>
  <c r="Y1452" i="1"/>
  <c r="L1492" i="1"/>
  <c r="Y1501" i="1"/>
  <c r="L1506" i="1"/>
  <c r="L1508" i="1"/>
  <c r="L1511" i="1"/>
  <c r="L1514" i="1"/>
  <c r="L1554" i="1"/>
  <c r="Y1418" i="1"/>
  <c r="Y1421" i="1"/>
  <c r="L1421" i="1"/>
  <c r="L1424" i="1"/>
  <c r="L1427" i="1"/>
  <c r="L1430" i="1"/>
  <c r="Y1425" i="1"/>
  <c r="Y1428" i="1"/>
  <c r="L1574" i="1"/>
  <c r="L1577" i="1"/>
  <c r="Y1455" i="1"/>
  <c r="Y1476" i="1"/>
  <c r="Y1550" i="1"/>
  <c r="Y1620" i="1"/>
  <c r="Y1624" i="1"/>
  <c r="L1733" i="1"/>
  <c r="Y1739" i="1"/>
  <c r="L1815" i="1"/>
  <c r="L1907" i="1"/>
  <c r="L1911" i="1"/>
  <c r="Y1912" i="1"/>
  <c r="L1916" i="1"/>
  <c r="Y1917" i="1"/>
  <c r="Y1920" i="1"/>
  <c r="L1925" i="1"/>
  <c r="L1929" i="1"/>
  <c r="L1932" i="1"/>
  <c r="Y1836" i="1"/>
  <c r="Y1946" i="1"/>
  <c r="Y1847" i="1"/>
  <c r="Y1886" i="1"/>
  <c r="L1853" i="1"/>
  <c r="L1847" i="1"/>
  <c r="L1987" i="1"/>
  <c r="L1990" i="1"/>
  <c r="L2003" i="1"/>
  <c r="L2006" i="1"/>
  <c r="Y1950" i="1"/>
  <c r="Y2021" i="1"/>
  <c r="Y2026" i="1"/>
  <c r="Y2033" i="1"/>
  <c r="Y2039" i="1"/>
  <c r="L2064" i="1"/>
  <c r="Y2065" i="1"/>
  <c r="L2067" i="1"/>
  <c r="Y2070" i="1"/>
  <c r="L2073" i="1"/>
  <c r="L2076" i="1"/>
  <c r="Y2077" i="1"/>
  <c r="L2082" i="1"/>
  <c r="L2098" i="1"/>
  <c r="L2102" i="1"/>
  <c r="Y2109" i="1"/>
  <c r="L2114" i="1"/>
  <c r="L1224" i="1"/>
  <c r="Y1226" i="1"/>
  <c r="Y1229" i="1"/>
  <c r="Y1271" i="1"/>
  <c r="Y1277" i="1"/>
  <c r="Y1283" i="1"/>
  <c r="Y1305" i="1"/>
  <c r="Y1311" i="1"/>
  <c r="Y1317" i="1"/>
  <c r="Y1342" i="1"/>
  <c r="Y1348" i="1"/>
  <c r="Y1354" i="1"/>
  <c r="Y1379" i="1"/>
  <c r="Y1385" i="1"/>
  <c r="Y1532" i="1"/>
  <c r="L1540" i="1"/>
  <c r="L1543" i="1"/>
  <c r="L1549" i="1"/>
  <c r="L1581" i="1"/>
  <c r="L1587" i="1"/>
  <c r="Y1473" i="1"/>
  <c r="L1615" i="1"/>
  <c r="L1624" i="1"/>
  <c r="L1627" i="1"/>
  <c r="L1641" i="1"/>
  <c r="Y1642" i="1"/>
  <c r="L1651" i="1"/>
  <c r="Y1652" i="1"/>
  <c r="L1654" i="1"/>
  <c r="L1656" i="1"/>
  <c r="Y1657" i="1"/>
  <c r="Y1659" i="1"/>
  <c r="L1778" i="1"/>
  <c r="Y1799" i="1"/>
  <c r="Y1802" i="1"/>
  <c r="Y1806" i="1"/>
  <c r="Y1715" i="1"/>
  <c r="L1869" i="1"/>
  <c r="L1876" i="1"/>
  <c r="L1885" i="1"/>
  <c r="L1887" i="1"/>
  <c r="L1846" i="1"/>
  <c r="Y1983" i="1"/>
  <c r="Y1994" i="1"/>
  <c r="Y2000" i="1"/>
  <c r="Y1945" i="1"/>
  <c r="L2025" i="1"/>
  <c r="L2034" i="1"/>
  <c r="L2040" i="1"/>
  <c r="L2043" i="1"/>
  <c r="L2062" i="1"/>
  <c r="L1806" i="1"/>
  <c r="L1809" i="1"/>
  <c r="L1813" i="1"/>
  <c r="L1851" i="1"/>
  <c r="L1844" i="1"/>
  <c r="L2085" i="1"/>
  <c r="Y2105" i="1"/>
  <c r="L2110" i="1"/>
  <c r="L1196" i="1"/>
  <c r="Y1323" i="1"/>
  <c r="Y1227" i="1"/>
  <c r="Y1238" i="1"/>
  <c r="L1414" i="1"/>
  <c r="Y1437" i="1"/>
  <c r="Y1398" i="1"/>
  <c r="Y1242" i="1"/>
  <c r="Y1269" i="1"/>
  <c r="Y1275" i="1"/>
  <c r="Y1281" i="1"/>
  <c r="Y1303" i="1"/>
  <c r="Y1309" i="1"/>
  <c r="Y1315" i="1"/>
  <c r="Y1340" i="1"/>
  <c r="Y1346" i="1"/>
  <c r="Y1352" i="1"/>
  <c r="Y1358" i="1"/>
  <c r="Y1389" i="1"/>
  <c r="Y1530" i="1"/>
  <c r="L1541" i="1"/>
  <c r="L1588" i="1"/>
  <c r="Y1514" i="1"/>
  <c r="F1488" i="1"/>
  <c r="L1488" i="1" s="1"/>
  <c r="L1613" i="1"/>
  <c r="L1619" i="1"/>
  <c r="L1648" i="1"/>
  <c r="L1650" i="1"/>
  <c r="L1653" i="1"/>
  <c r="Y1654" i="1"/>
  <c r="Y1656" i="1"/>
  <c r="Y1722" i="1"/>
  <c r="Y1665" i="1"/>
  <c r="L1722" i="1"/>
  <c r="Y1955" i="1"/>
  <c r="Y1829" i="1"/>
  <c r="Y1984" i="1"/>
  <c r="Y1989" i="1"/>
  <c r="Y1992" i="1"/>
  <c r="Y1931" i="1"/>
  <c r="Y1930" i="1"/>
  <c r="Y2008" i="1"/>
  <c r="L2026" i="1"/>
  <c r="L2032" i="1"/>
  <c r="L2038" i="1"/>
  <c r="L2044" i="1"/>
  <c r="Y1297" i="1"/>
  <c r="Y1248" i="1"/>
  <c r="Y1338" i="1"/>
  <c r="L1338" i="1"/>
  <c r="L1455" i="1"/>
  <c r="Y1467" i="1"/>
  <c r="L1469" i="1"/>
  <c r="L1476" i="1"/>
  <c r="Y1490" i="1"/>
  <c r="L1493" i="1"/>
  <c r="Y1496" i="1"/>
  <c r="Y1499" i="1"/>
  <c r="Y1502" i="1"/>
  <c r="L1504" i="1"/>
  <c r="Y1507" i="1"/>
  <c r="L1509" i="1"/>
  <c r="L1516" i="1"/>
  <c r="Y1420" i="1"/>
  <c r="L1420" i="1"/>
  <c r="L1423" i="1"/>
  <c r="L1426" i="1"/>
  <c r="L1429" i="1"/>
  <c r="Y1424" i="1"/>
  <c r="Y1427" i="1"/>
  <c r="Y1430" i="1"/>
  <c r="Y1616" i="1"/>
  <c r="Y1619" i="1"/>
  <c r="Y1609" i="1"/>
  <c r="L1607" i="1"/>
  <c r="L1730" i="1"/>
  <c r="L1738" i="1"/>
  <c r="L1807" i="1"/>
  <c r="L1810" i="1"/>
  <c r="L1814" i="1"/>
  <c r="L1817" i="1"/>
  <c r="L1906" i="1"/>
  <c r="Y1915" i="1"/>
  <c r="L1920" i="1"/>
  <c r="Y1921" i="1"/>
  <c r="L1924" i="1"/>
  <c r="L1926" i="1"/>
  <c r="L1928" i="1"/>
  <c r="L1931" i="1"/>
  <c r="Y1933" i="1"/>
  <c r="L1946" i="1"/>
  <c r="L1963" i="1"/>
  <c r="L1966" i="1"/>
  <c r="L1969" i="1"/>
  <c r="Y1927" i="1"/>
  <c r="Y1849" i="1"/>
  <c r="L1855" i="1"/>
  <c r="L1989" i="1"/>
  <c r="L1998" i="1"/>
  <c r="Y1870" i="1"/>
  <c r="Y2035" i="1"/>
  <c r="Y2041" i="1"/>
  <c r="L2065" i="1"/>
  <c r="Y2066" i="1"/>
  <c r="L2070" i="1"/>
  <c r="L2074" i="1"/>
  <c r="L2077" i="1"/>
  <c r="L2080" i="1"/>
  <c r="Y2081" i="1"/>
  <c r="L2086" i="1"/>
  <c r="Y2058" i="1"/>
  <c r="L1908" i="1"/>
  <c r="L2106" i="1"/>
  <c r="Y2113" i="1"/>
  <c r="L2118" i="1"/>
  <c r="Y2073" i="1"/>
  <c r="L2084" i="1"/>
  <c r="L2083" i="1"/>
  <c r="B47" i="1"/>
  <c r="B74" i="1" s="1"/>
  <c r="B80" i="1" s="1"/>
  <c r="T85" i="1"/>
  <c r="T112" i="1" s="1"/>
  <c r="T118" i="1" s="1"/>
  <c r="T123" i="1" s="1"/>
  <c r="T150" i="1" s="1"/>
  <c r="T156" i="1" s="1"/>
  <c r="T161" i="1" s="1"/>
  <c r="T188" i="1" s="1"/>
  <c r="T194" i="1" s="1"/>
  <c r="T199" i="1" s="1"/>
  <c r="T226" i="1" s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E1980" i="1" s="1"/>
  <c r="E1985" i="1" s="1"/>
  <c r="E2012" i="1" s="1"/>
  <c r="E2018" i="1" s="1"/>
  <c r="E2023" i="1" s="1"/>
  <c r="E2050" i="1" s="1"/>
  <c r="E2056" i="1" s="1"/>
  <c r="E2061" i="1" s="1"/>
  <c r="E2088" i="1" s="1"/>
  <c r="E2094" i="1" s="1"/>
  <c r="E2099" i="1" s="1"/>
  <c r="E2126" i="1" s="1"/>
  <c r="E2132" i="1" s="1"/>
  <c r="E2137" i="1" s="1"/>
  <c r="E2164" i="1" s="1"/>
  <c r="E2170" i="1" s="1"/>
  <c r="E2175" i="1" s="1"/>
  <c r="E2202" i="1" s="1"/>
  <c r="E2208" i="1" s="1"/>
  <c r="E2213" i="1" s="1"/>
  <c r="E2240" i="1" s="1"/>
  <c r="E2246" i="1" s="1"/>
  <c r="E2251" i="1" s="1"/>
  <c r="E2278" i="1" s="1"/>
  <c r="E2284" i="1" s="1"/>
  <c r="E2289" i="1" s="1"/>
  <c r="E2316" i="1" s="1"/>
  <c r="E2322" i="1" s="1"/>
  <c r="E2327" i="1" s="1"/>
  <c r="E2354" i="1" s="1"/>
  <c r="E2360" i="1" s="1"/>
  <c r="E2365" i="1" s="1"/>
  <c r="E2392" i="1" s="1"/>
  <c r="E2398" i="1" s="1"/>
  <c r="E2403" i="1" s="1"/>
  <c r="E2430" i="1" s="1"/>
  <c r="E2436" i="1" s="1"/>
  <c r="E2441" i="1" s="1"/>
  <c r="E2468" i="1" s="1"/>
  <c r="E2474" i="1" s="1"/>
  <c r="E2479" i="1" s="1"/>
  <c r="E2506" i="1" s="1"/>
  <c r="E2512" i="1" s="1"/>
  <c r="E2517" i="1" s="1"/>
  <c r="E2544" i="1" s="1"/>
  <c r="E2550" i="1" s="1"/>
  <c r="E2555" i="1" s="1"/>
  <c r="E2582" i="1" s="1"/>
  <c r="E2588" i="1" s="1"/>
  <c r="E2593" i="1" s="1"/>
  <c r="E2620" i="1" s="1"/>
  <c r="E2626" i="1" s="1"/>
  <c r="E2631" i="1" s="1"/>
  <c r="E2658" i="1" s="1"/>
  <c r="E2664" i="1" s="1"/>
  <c r="E2669" i="1" s="1"/>
  <c r="E2696" i="1" s="1"/>
  <c r="E2702" i="1" s="1"/>
  <c r="E2707" i="1" s="1"/>
  <c r="E2734" i="1" s="1"/>
  <c r="E2740" i="1" s="1"/>
  <c r="E2745" i="1" s="1"/>
  <c r="E2772" i="1" s="1"/>
  <c r="E2778" i="1" s="1"/>
  <c r="E2783" i="1" s="1"/>
  <c r="E2810" i="1" s="1"/>
  <c r="E2816" i="1" s="1"/>
  <c r="E2821" i="1" s="1"/>
  <c r="E2848" i="1" s="1"/>
  <c r="E2854" i="1" s="1"/>
  <c r="E2859" i="1" s="1"/>
  <c r="E2886" i="1" s="1"/>
  <c r="L43" i="1"/>
  <c r="L44" i="1"/>
  <c r="L45" i="1"/>
  <c r="L48" i="1"/>
  <c r="L52" i="1"/>
  <c r="L54" i="1"/>
  <c r="L57" i="1"/>
  <c r="L58" i="1"/>
  <c r="Y59" i="1"/>
  <c r="Y60" i="1"/>
  <c r="Y61" i="1"/>
  <c r="L63" i="1"/>
  <c r="L65" i="1"/>
  <c r="L69" i="1"/>
  <c r="L70" i="1"/>
  <c r="L71" i="1"/>
  <c r="U75" i="1"/>
  <c r="U303" i="1" s="1"/>
  <c r="U455" i="1" s="1"/>
  <c r="U607" i="1" s="1"/>
  <c r="Y48" i="1"/>
  <c r="Y53" i="1"/>
  <c r="L55" i="1"/>
  <c r="Y58" i="1"/>
  <c r="Y4" i="1"/>
  <c r="Y6" i="1"/>
  <c r="L13" i="1"/>
  <c r="L15" i="1"/>
  <c r="L17" i="1"/>
  <c r="L19" i="1"/>
  <c r="L21" i="1"/>
  <c r="L23" i="1"/>
  <c r="L24" i="1"/>
  <c r="L25" i="1"/>
  <c r="Y86" i="1"/>
  <c r="Y87" i="1"/>
  <c r="V75" i="1"/>
  <c r="V303" i="1" s="1"/>
  <c r="V455" i="1" s="1"/>
  <c r="V607" i="1" s="1"/>
  <c r="V759" i="1" s="1"/>
  <c r="Y12" i="1"/>
  <c r="X263" i="1"/>
  <c r="Y263" i="1" s="1"/>
  <c r="L468" i="1"/>
  <c r="K529" i="1"/>
  <c r="X757" i="1"/>
  <c r="S795" i="1"/>
  <c r="Y795" i="1" s="1"/>
  <c r="Y88" i="1"/>
  <c r="Y89" i="1"/>
  <c r="Y92" i="1"/>
  <c r="Y93" i="1"/>
  <c r="Y94" i="1"/>
  <c r="Y96" i="1"/>
  <c r="Y97" i="1"/>
  <c r="Y98" i="1"/>
  <c r="Y100" i="1"/>
  <c r="Y101" i="1"/>
  <c r="Y103" i="1"/>
  <c r="Y104" i="1"/>
  <c r="W303" i="1"/>
  <c r="L82" i="1"/>
  <c r="L83" i="1"/>
  <c r="L86" i="1"/>
  <c r="L87" i="1"/>
  <c r="L89" i="1"/>
  <c r="L93" i="1"/>
  <c r="L94" i="1"/>
  <c r="L95" i="1"/>
  <c r="L97" i="1"/>
  <c r="L99" i="1"/>
  <c r="L101" i="1"/>
  <c r="L102" i="1"/>
  <c r="L103" i="1"/>
  <c r="L104" i="1"/>
  <c r="L105" i="1"/>
  <c r="L107" i="1"/>
  <c r="L109" i="1"/>
  <c r="Y29" i="1"/>
  <c r="Y125" i="1"/>
  <c r="Y127" i="1"/>
  <c r="Y129" i="1"/>
  <c r="Y133" i="1"/>
  <c r="Y137" i="1"/>
  <c r="Y139" i="1"/>
  <c r="Y141" i="1"/>
  <c r="Y143" i="1"/>
  <c r="S149" i="1"/>
  <c r="X149" i="1"/>
  <c r="Y198" i="1"/>
  <c r="Y202" i="1"/>
  <c r="Y206" i="1"/>
  <c r="Y207" i="1"/>
  <c r="Y209" i="1"/>
  <c r="Y210" i="1"/>
  <c r="Y212" i="1"/>
  <c r="Y216" i="1"/>
  <c r="Y218" i="1"/>
  <c r="S225" i="1"/>
  <c r="X225" i="1"/>
  <c r="L119" i="1"/>
  <c r="L124" i="1"/>
  <c r="L126" i="1"/>
  <c r="L127" i="1"/>
  <c r="L128" i="1"/>
  <c r="L130" i="1"/>
  <c r="L134" i="1"/>
  <c r="L137" i="1"/>
  <c r="L138" i="1"/>
  <c r="L139" i="1"/>
  <c r="L144" i="1"/>
  <c r="L145" i="1"/>
  <c r="L147" i="1"/>
  <c r="K149" i="1"/>
  <c r="L149" i="1" s="1"/>
  <c r="L198" i="1"/>
  <c r="L202" i="1"/>
  <c r="L205" i="1"/>
  <c r="L215" i="1"/>
  <c r="L216" i="1"/>
  <c r="L218" i="1"/>
  <c r="L224" i="1"/>
  <c r="Y71" i="1"/>
  <c r="Y105" i="1"/>
  <c r="Y124" i="1"/>
  <c r="Y145" i="1"/>
  <c r="Y146" i="1"/>
  <c r="Y162" i="1"/>
  <c r="Y163" i="1"/>
  <c r="Y164" i="1"/>
  <c r="Y165" i="1"/>
  <c r="Y166" i="1"/>
  <c r="Y167" i="1"/>
  <c r="Y169" i="1"/>
  <c r="Y170" i="1"/>
  <c r="Y172" i="1"/>
  <c r="Y173" i="1"/>
  <c r="Y174" i="1"/>
  <c r="Y175" i="1"/>
  <c r="Y176" i="1"/>
  <c r="Y177" i="1"/>
  <c r="L181" i="1"/>
  <c r="L183" i="1"/>
  <c r="L185" i="1"/>
  <c r="F187" i="1"/>
  <c r="Y185" i="1"/>
  <c r="Y183" i="1"/>
  <c r="Y179" i="1"/>
  <c r="F263" i="1"/>
  <c r="Y262" i="1"/>
  <c r="Y196" i="1"/>
  <c r="Y223" i="1"/>
  <c r="Y238" i="1"/>
  <c r="Y271" i="1"/>
  <c r="Y273" i="1"/>
  <c r="Y279" i="1"/>
  <c r="Y282" i="1"/>
  <c r="Y284" i="1"/>
  <c r="Y288" i="1"/>
  <c r="Y290" i="1"/>
  <c r="Y292" i="1"/>
  <c r="Y294" i="1"/>
  <c r="Y296" i="1"/>
  <c r="S301" i="1"/>
  <c r="X301" i="1"/>
  <c r="L271" i="1"/>
  <c r="L272" i="1"/>
  <c r="L274" i="1"/>
  <c r="L277" i="1"/>
  <c r="L279" i="1"/>
  <c r="L280" i="1"/>
  <c r="L281" i="1"/>
  <c r="L283" i="1"/>
  <c r="L285" i="1"/>
  <c r="L287" i="1"/>
  <c r="L289" i="1"/>
  <c r="L291" i="1"/>
  <c r="L295" i="1"/>
  <c r="L297" i="1"/>
  <c r="F301" i="1"/>
  <c r="K301" i="1"/>
  <c r="Y276" i="1"/>
  <c r="L309" i="1"/>
  <c r="Y310" i="1"/>
  <c r="Y311" i="1"/>
  <c r="Y312" i="1"/>
  <c r="L316" i="1"/>
  <c r="L317" i="1"/>
  <c r="L318" i="1"/>
  <c r="L319" i="1"/>
  <c r="L321" i="1"/>
  <c r="L322" i="1"/>
  <c r="L323" i="1"/>
  <c r="Y329" i="1"/>
  <c r="L333" i="1"/>
  <c r="L334" i="1"/>
  <c r="L335" i="1"/>
  <c r="L336" i="1"/>
  <c r="L337" i="1"/>
  <c r="F339" i="1"/>
  <c r="L339" i="1" s="1"/>
  <c r="X339" i="1"/>
  <c r="Y298" i="1"/>
  <c r="Y349" i="1"/>
  <c r="Y353" i="1"/>
  <c r="Y355" i="1"/>
  <c r="Y362" i="1"/>
  <c r="Y299" i="1"/>
  <c r="L356" i="1"/>
  <c r="L358" i="1"/>
  <c r="L360" i="1"/>
  <c r="L363" i="1"/>
  <c r="L365" i="1"/>
  <c r="K377" i="1"/>
  <c r="L393" i="1"/>
  <c r="L395" i="1"/>
  <c r="S415" i="1"/>
  <c r="X415" i="1"/>
  <c r="Y337" i="1"/>
  <c r="Y376" i="1"/>
  <c r="Y424" i="1"/>
  <c r="Y425" i="1"/>
  <c r="Y429" i="1"/>
  <c r="Y435" i="1"/>
  <c r="Y436" i="1"/>
  <c r="Y437" i="1"/>
  <c r="Y443" i="1"/>
  <c r="Y445" i="1"/>
  <c r="L423" i="1"/>
  <c r="L425" i="1"/>
  <c r="L432" i="1"/>
  <c r="L433" i="1"/>
  <c r="L443" i="1"/>
  <c r="L451" i="1"/>
  <c r="Y374" i="1"/>
  <c r="L332" i="1"/>
  <c r="L328" i="1"/>
  <c r="L348" i="1"/>
  <c r="K491" i="1"/>
  <c r="L491" i="1" s="1"/>
  <c r="Y463" i="1"/>
  <c r="Y464" i="1"/>
  <c r="Y466" i="1"/>
  <c r="Y467" i="1"/>
  <c r="Y468" i="1"/>
  <c r="Y478" i="1"/>
  <c r="Y480" i="1"/>
  <c r="Y482" i="1"/>
  <c r="Y484" i="1"/>
  <c r="Y485" i="1"/>
  <c r="Y486" i="1"/>
  <c r="Y487" i="1"/>
  <c r="S491" i="1"/>
  <c r="Y491" i="1" s="1"/>
  <c r="Y363" i="1"/>
  <c r="Y371" i="1"/>
  <c r="Y505" i="1"/>
  <c r="Y507" i="1"/>
  <c r="Y509" i="1"/>
  <c r="Y513" i="1"/>
  <c r="X529" i="1"/>
  <c r="L523" i="1"/>
  <c r="Y540" i="1"/>
  <c r="Y547" i="1"/>
  <c r="Y548" i="1"/>
  <c r="Y549" i="1"/>
  <c r="Y550" i="1"/>
  <c r="Y551" i="1"/>
  <c r="Y552" i="1"/>
  <c r="Y553" i="1"/>
  <c r="Y555" i="1"/>
  <c r="Y556" i="1"/>
  <c r="Y559" i="1"/>
  <c r="Y560" i="1"/>
  <c r="Y561" i="1"/>
  <c r="Y562" i="1"/>
  <c r="Y563" i="1"/>
  <c r="L398" i="1"/>
  <c r="L399" i="1"/>
  <c r="L400" i="1"/>
  <c r="Y449" i="1"/>
  <c r="Y372" i="1"/>
  <c r="Y391" i="1"/>
  <c r="Y392" i="1"/>
  <c r="Y394" i="1"/>
  <c r="Y395" i="1"/>
  <c r="Y397" i="1"/>
  <c r="Y398" i="1"/>
  <c r="Y399" i="1"/>
  <c r="Y400" i="1"/>
  <c r="Y401" i="1"/>
  <c r="Y403" i="1"/>
  <c r="Y404" i="1"/>
  <c r="Y406" i="1"/>
  <c r="Y407" i="1"/>
  <c r="Y408" i="1"/>
  <c r="Y409" i="1"/>
  <c r="S605" i="1"/>
  <c r="Y605" i="1" s="1"/>
  <c r="Y585" i="1"/>
  <c r="Y587" i="1"/>
  <c r="Y593" i="1"/>
  <c r="Y595" i="1"/>
  <c r="L602" i="1"/>
  <c r="Y499" i="1"/>
  <c r="Y500" i="1"/>
  <c r="Y527" i="1"/>
  <c r="Y525" i="1"/>
  <c r="Y462" i="1"/>
  <c r="L500" i="1"/>
  <c r="F502" i="1"/>
  <c r="L502" i="1" s="1"/>
  <c r="Y615" i="1"/>
  <c r="Y618" i="1"/>
  <c r="Y620" i="1"/>
  <c r="Y624" i="1"/>
  <c r="Y626" i="1"/>
  <c r="Y629" i="1"/>
  <c r="Y630" i="1"/>
  <c r="Y631" i="1"/>
  <c r="Y632" i="1"/>
  <c r="Y634" i="1"/>
  <c r="Y635" i="1"/>
  <c r="X643" i="1"/>
  <c r="Y566" i="1"/>
  <c r="Y565" i="1"/>
  <c r="Y564" i="1"/>
  <c r="L618" i="1"/>
  <c r="L620" i="1"/>
  <c r="L623" i="1"/>
  <c r="L625" i="1"/>
  <c r="L626" i="1"/>
  <c r="L627" i="1"/>
  <c r="L630" i="1"/>
  <c r="L631" i="1"/>
  <c r="L635" i="1"/>
  <c r="F643" i="1"/>
  <c r="Y656" i="1"/>
  <c r="Y657" i="1"/>
  <c r="Y658" i="1"/>
  <c r="Y662" i="1"/>
  <c r="Y663" i="1"/>
  <c r="Y665" i="1"/>
  <c r="Y666" i="1"/>
  <c r="Y667" i="1"/>
  <c r="Y668" i="1"/>
  <c r="L651" i="1"/>
  <c r="L653" i="1"/>
  <c r="L654" i="1"/>
  <c r="L656" i="1"/>
  <c r="L657" i="1"/>
  <c r="L658" i="1"/>
  <c r="L659" i="1"/>
  <c r="L660" i="1"/>
  <c r="L662" i="1"/>
  <c r="L664" i="1"/>
  <c r="L666" i="1"/>
  <c r="L668" i="1"/>
  <c r="L674" i="1"/>
  <c r="L676" i="1"/>
  <c r="L677" i="1"/>
  <c r="L678" i="1"/>
  <c r="L679" i="1"/>
  <c r="Y539" i="1"/>
  <c r="Y537" i="1"/>
  <c r="L697" i="1"/>
  <c r="L706" i="1"/>
  <c r="L708" i="1"/>
  <c r="L712" i="1"/>
  <c r="L714" i="1"/>
  <c r="L642" i="1"/>
  <c r="Y652" i="1"/>
  <c r="S653" i="1"/>
  <c r="Y653" i="1" s="1"/>
  <c r="Y640" i="1"/>
  <c r="Y614" i="1"/>
  <c r="Y670" i="1"/>
  <c r="Y678" i="1"/>
  <c r="Y677" i="1"/>
  <c r="Y627" i="1"/>
  <c r="L622" i="1"/>
  <c r="S757" i="1"/>
  <c r="Y651" i="1"/>
  <c r="Y778" i="1"/>
  <c r="L768" i="1"/>
  <c r="L771" i="1"/>
  <c r="L778" i="1"/>
  <c r="L780" i="1"/>
  <c r="L782" i="1"/>
  <c r="L794" i="1"/>
  <c r="Y706" i="1"/>
  <c r="Y756" i="1"/>
  <c r="L842" i="1"/>
  <c r="Y843" i="1"/>
  <c r="Y844" i="1"/>
  <c r="Y846" i="1"/>
  <c r="Y847" i="1"/>
  <c r="Y849" i="1"/>
  <c r="Y851" i="1"/>
  <c r="Y853" i="1"/>
  <c r="Y856" i="1"/>
  <c r="Y857" i="1"/>
  <c r="Y859" i="1"/>
  <c r="L866" i="1"/>
  <c r="Y868" i="1"/>
  <c r="L680" i="1"/>
  <c r="Y793" i="1"/>
  <c r="Y739" i="1"/>
  <c r="Y767" i="1"/>
  <c r="Y792" i="1"/>
  <c r="Y829" i="1"/>
  <c r="Y768" i="1"/>
  <c r="Y772" i="1"/>
  <c r="Y826" i="1"/>
  <c r="L879" i="1"/>
  <c r="Y879" i="1"/>
  <c r="L880" i="1"/>
  <c r="Y880" i="1"/>
  <c r="Y881" i="1"/>
  <c r="Y882" i="1"/>
  <c r="L886" i="1"/>
  <c r="Y886" i="1"/>
  <c r="Y887" i="1"/>
  <c r="L888" i="1"/>
  <c r="Y888" i="1"/>
  <c r="Y889" i="1"/>
  <c r="L890" i="1"/>
  <c r="Y890" i="1"/>
  <c r="Y891" i="1"/>
  <c r="L892" i="1"/>
  <c r="L893" i="1"/>
  <c r="Y893" i="1"/>
  <c r="Y894" i="1"/>
  <c r="Y895" i="1"/>
  <c r="L896" i="1"/>
  <c r="Y896" i="1"/>
  <c r="L897" i="1"/>
  <c r="Y897" i="1"/>
  <c r="L898" i="1"/>
  <c r="Y898" i="1"/>
  <c r="L899" i="1"/>
  <c r="Y899" i="1"/>
  <c r="L901" i="1"/>
  <c r="Y901" i="1"/>
  <c r="L902" i="1"/>
  <c r="L903" i="1"/>
  <c r="L904" i="1"/>
  <c r="L906" i="1"/>
  <c r="L908" i="1"/>
  <c r="K909" i="1"/>
  <c r="S909" i="1"/>
  <c r="X909" i="1"/>
  <c r="L804" i="1"/>
  <c r="Y919" i="1"/>
  <c r="Y922" i="1"/>
  <c r="Y924" i="1"/>
  <c r="Y926" i="1"/>
  <c r="Y928" i="1"/>
  <c r="Y930" i="1"/>
  <c r="Y932" i="1"/>
  <c r="Y935" i="1"/>
  <c r="Y939" i="1"/>
  <c r="Y941" i="1"/>
  <c r="Y945" i="1"/>
  <c r="S947" i="1"/>
  <c r="X947" i="1"/>
  <c r="K964" i="1"/>
  <c r="L964" i="1" s="1"/>
  <c r="K1005" i="1"/>
  <c r="L1005" i="1" s="1"/>
  <c r="I1023" i="1"/>
  <c r="C1365" i="1"/>
  <c r="F1365" i="1" s="1"/>
  <c r="F1360" i="1"/>
  <c r="Y841" i="1"/>
  <c r="L956" i="1"/>
  <c r="L957" i="1"/>
  <c r="L960" i="1"/>
  <c r="L962" i="1"/>
  <c r="Y964" i="1"/>
  <c r="L966" i="1"/>
  <c r="L968" i="1"/>
  <c r="Y968" i="1"/>
  <c r="Y969" i="1"/>
  <c r="L970" i="1"/>
  <c r="Y970" i="1"/>
  <c r="L972" i="1"/>
  <c r="L973" i="1"/>
  <c r="L980" i="1"/>
  <c r="L981" i="1"/>
  <c r="L982" i="1"/>
  <c r="L983" i="1"/>
  <c r="Y884" i="1"/>
  <c r="Y892" i="1"/>
  <c r="L1045" i="1"/>
  <c r="K1251" i="1"/>
  <c r="L1375" i="1"/>
  <c r="F1327" i="1"/>
  <c r="L1327" i="1" s="1"/>
  <c r="L1262" i="1"/>
  <c r="L1250" i="1"/>
  <c r="Y1298" i="1"/>
  <c r="L1467" i="1"/>
  <c r="D2087" i="1"/>
  <c r="F2063" i="1"/>
  <c r="L2063" i="1" s="1"/>
  <c r="F1688" i="1"/>
  <c r="L1688" i="1" s="1"/>
  <c r="D1707" i="1"/>
  <c r="L1836" i="1"/>
  <c r="Y993" i="1"/>
  <c r="Y996" i="1"/>
  <c r="Y999" i="1"/>
  <c r="Y1002" i="1"/>
  <c r="Y1003" i="1"/>
  <c r="Y1004" i="1"/>
  <c r="Y1006" i="1"/>
  <c r="Y1011" i="1"/>
  <c r="Y1015" i="1"/>
  <c r="Y1019" i="1"/>
  <c r="X1023" i="1"/>
  <c r="Y1023" i="1" s="1"/>
  <c r="L995" i="1"/>
  <c r="L1000" i="1"/>
  <c r="L1002" i="1"/>
  <c r="L1006" i="1"/>
  <c r="L869" i="1"/>
  <c r="Y933" i="1"/>
  <c r="L931" i="1"/>
  <c r="L881" i="1"/>
  <c r="L918" i="1"/>
  <c r="L955" i="1"/>
  <c r="L932" i="1"/>
  <c r="L933" i="1"/>
  <c r="L934" i="1"/>
  <c r="L939" i="1"/>
  <c r="L938" i="1"/>
  <c r="L936" i="1"/>
  <c r="Y1046" i="1"/>
  <c r="Y1022" i="1"/>
  <c r="L1040" i="1"/>
  <c r="L1048" i="1"/>
  <c r="L1049" i="1"/>
  <c r="L1058" i="1"/>
  <c r="L1059" i="1"/>
  <c r="L1060" i="1"/>
  <c r="F1061" i="1"/>
  <c r="Y1079" i="1"/>
  <c r="Y1036" i="1"/>
  <c r="Y983" i="1"/>
  <c r="Y1018" i="1"/>
  <c r="Y1031" i="1"/>
  <c r="Y1052" i="1"/>
  <c r="L1110" i="1"/>
  <c r="Y1113" i="1"/>
  <c r="L1115" i="1"/>
  <c r="Y1118" i="1"/>
  <c r="L1119" i="1"/>
  <c r="Y1119" i="1"/>
  <c r="Y1120" i="1"/>
  <c r="Y1123" i="1"/>
  <c r="L1124" i="1"/>
  <c r="L1127" i="1"/>
  <c r="L1131" i="1"/>
  <c r="L1132" i="1"/>
  <c r="L1134" i="1"/>
  <c r="L1136" i="1"/>
  <c r="K1137" i="1"/>
  <c r="L1137" i="1" s="1"/>
  <c r="L1145" i="1"/>
  <c r="Y1145" i="1"/>
  <c r="L1146" i="1"/>
  <c r="Y1147" i="1"/>
  <c r="Y1151" i="1"/>
  <c r="Y1152" i="1"/>
  <c r="L1157" i="1"/>
  <c r="Y1157" i="1"/>
  <c r="Y1159" i="1"/>
  <c r="L1163" i="1"/>
  <c r="K1175" i="1"/>
  <c r="S1175" i="1"/>
  <c r="Y1175" i="1" s="1"/>
  <c r="Y1172" i="1"/>
  <c r="Y1186" i="1"/>
  <c r="Y1188" i="1"/>
  <c r="Y1189" i="1"/>
  <c r="Y1192" i="1"/>
  <c r="Y1195" i="1"/>
  <c r="F1213" i="1"/>
  <c r="Y1126" i="1"/>
  <c r="Y1131" i="1"/>
  <c r="Y1223" i="1"/>
  <c r="L1228" i="1"/>
  <c r="L1232" i="1"/>
  <c r="L1234" i="1"/>
  <c r="L1245" i="1"/>
  <c r="L1158" i="1"/>
  <c r="Y1209" i="1"/>
  <c r="L1282" i="1"/>
  <c r="L1287" i="1"/>
  <c r="Y1210" i="1"/>
  <c r="Y1321" i="1"/>
  <c r="L1307" i="1"/>
  <c r="L1309" i="1"/>
  <c r="L1317" i="1"/>
  <c r="L1321" i="1"/>
  <c r="L1325" i="1"/>
  <c r="L1342" i="1"/>
  <c r="L1343" i="1"/>
  <c r="L1344" i="1"/>
  <c r="L1345" i="1"/>
  <c r="L1348" i="1"/>
  <c r="L1349" i="1"/>
  <c r="L1355" i="1"/>
  <c r="L1361" i="1"/>
  <c r="L1194" i="1"/>
  <c r="L1192" i="1"/>
  <c r="L1186" i="1"/>
  <c r="L1381" i="1"/>
  <c r="L1383" i="1"/>
  <c r="L1386" i="1"/>
  <c r="L1390" i="1"/>
  <c r="L1399" i="1"/>
  <c r="F1251" i="1"/>
  <c r="L1251" i="1" s="1"/>
  <c r="Y1326" i="1"/>
  <c r="L1239" i="1"/>
  <c r="L1266" i="1"/>
  <c r="L1259" i="1"/>
  <c r="L1260" i="1"/>
  <c r="L1270" i="1"/>
  <c r="Y1201" i="1"/>
  <c r="Y1202" i="1"/>
  <c r="Y1228" i="1"/>
  <c r="Y1230" i="1"/>
  <c r="Y1234" i="1"/>
  <c r="Y1236" i="1"/>
  <c r="Y1243" i="1"/>
  <c r="Y1244" i="1"/>
  <c r="Y1245" i="1"/>
  <c r="Y1247" i="1"/>
  <c r="Y1250" i="1"/>
  <c r="Y1288" i="1"/>
  <c r="L1433" i="1"/>
  <c r="L1434" i="1"/>
  <c r="L1436" i="1"/>
  <c r="Y1411" i="1"/>
  <c r="F1373" i="1"/>
  <c r="L1373" i="1" s="1"/>
  <c r="Y1413" i="1"/>
  <c r="Y1449" i="1"/>
  <c r="Y1450" i="1"/>
  <c r="Y1451" i="1"/>
  <c r="L1459" i="1"/>
  <c r="L1460" i="1"/>
  <c r="L1461" i="1"/>
  <c r="Y1461" i="1"/>
  <c r="L1462" i="1"/>
  <c r="L1463" i="1"/>
  <c r="L1464" i="1"/>
  <c r="L1465" i="1"/>
  <c r="L1466" i="1"/>
  <c r="Y1469" i="1"/>
  <c r="L1473" i="1"/>
  <c r="L1474" i="1"/>
  <c r="L1477" i="1"/>
  <c r="Y1489" i="1"/>
  <c r="L1498" i="1"/>
  <c r="L1502" i="1"/>
  <c r="Y1414" i="1"/>
  <c r="Y1399" i="1"/>
  <c r="Y1396" i="1"/>
  <c r="Y1535" i="1"/>
  <c r="L1546" i="1"/>
  <c r="L1547" i="1"/>
  <c r="L1564" i="1"/>
  <c r="L1569" i="1"/>
  <c r="L1573" i="1"/>
  <c r="L1579" i="1"/>
  <c r="L1580" i="1"/>
  <c r="L1582" i="1"/>
  <c r="L1592" i="1"/>
  <c r="Y1435" i="1"/>
  <c r="Y1456" i="1"/>
  <c r="Y1454" i="1"/>
  <c r="Y1472" i="1"/>
  <c r="Y1565" i="1"/>
  <c r="Y1566" i="1"/>
  <c r="Y1506" i="1"/>
  <c r="Y1526" i="1"/>
  <c r="Y1603" i="1"/>
  <c r="L1614" i="1"/>
  <c r="L1618" i="1"/>
  <c r="L1620" i="1"/>
  <c r="L1630" i="1"/>
  <c r="L1702" i="1"/>
  <c r="L1842" i="1"/>
  <c r="L1959" i="1"/>
  <c r="Y2003" i="1"/>
  <c r="L1660" i="1"/>
  <c r="L1661" i="1"/>
  <c r="Y1661" i="1"/>
  <c r="L1662" i="1"/>
  <c r="Y1662" i="1"/>
  <c r="L1663" i="1"/>
  <c r="L1664" i="1"/>
  <c r="L1665" i="1"/>
  <c r="L1666" i="1"/>
  <c r="L1667" i="1"/>
  <c r="L1668" i="1"/>
  <c r="Y1602" i="1"/>
  <c r="Y1591" i="1"/>
  <c r="Y1590" i="1"/>
  <c r="Y1606" i="1"/>
  <c r="Y1563" i="1"/>
  <c r="Y1666" i="1"/>
  <c r="Y1592" i="1"/>
  <c r="Y1680" i="1"/>
  <c r="Y1682" i="1"/>
  <c r="L1683" i="1"/>
  <c r="L1684" i="1"/>
  <c r="Y1684" i="1"/>
  <c r="Y1688" i="1"/>
  <c r="L1689" i="1"/>
  <c r="L1691" i="1"/>
  <c r="L1692" i="1"/>
  <c r="L1693" i="1"/>
  <c r="L1694" i="1"/>
  <c r="L1698" i="1"/>
  <c r="L1699" i="1"/>
  <c r="L1700" i="1"/>
  <c r="L1701" i="1"/>
  <c r="L1706" i="1"/>
  <c r="Y1716" i="1"/>
  <c r="Y1717" i="1"/>
  <c r="L1725" i="1"/>
  <c r="L1727" i="1"/>
  <c r="L1737" i="1"/>
  <c r="L1741" i="1"/>
  <c r="L1742" i="1"/>
  <c r="Y1755" i="1"/>
  <c r="Y1756" i="1"/>
  <c r="L1758" i="1"/>
  <c r="Y1758" i="1"/>
  <c r="L1759" i="1"/>
  <c r="L1760" i="1"/>
  <c r="Y1762" i="1"/>
  <c r="L1765" i="1"/>
  <c r="L1766" i="1"/>
  <c r="L1767" i="1"/>
  <c r="L1768" i="1"/>
  <c r="L1769" i="1"/>
  <c r="L1771" i="1"/>
  <c r="L1774" i="1"/>
  <c r="L1776" i="1"/>
  <c r="L1781" i="1"/>
  <c r="Y1704" i="1"/>
  <c r="Y1677" i="1"/>
  <c r="Y1720" i="1"/>
  <c r="Y1794" i="1"/>
  <c r="Y1832" i="1"/>
  <c r="Y1835" i="1"/>
  <c r="Y1843" i="1"/>
  <c r="Y1845" i="1"/>
  <c r="Y1852" i="1"/>
  <c r="Y1742" i="1"/>
  <c r="Y1738" i="1"/>
  <c r="L1792" i="1"/>
  <c r="L1796" i="1"/>
  <c r="L1797" i="1"/>
  <c r="L1801" i="1"/>
  <c r="L1804" i="1"/>
  <c r="L1805" i="1"/>
  <c r="L1832" i="1"/>
  <c r="L1835" i="1"/>
  <c r="Y1737" i="1"/>
  <c r="L1868" i="1"/>
  <c r="Y1873" i="1"/>
  <c r="Y1875" i="1"/>
  <c r="L1877" i="1"/>
  <c r="L1888" i="1"/>
  <c r="L1892" i="1"/>
  <c r="L1893" i="1"/>
  <c r="L1895" i="1"/>
  <c r="L1731" i="1"/>
  <c r="L1732" i="1"/>
  <c r="Y1770" i="1"/>
  <c r="L1762" i="1"/>
  <c r="Y1771" i="1"/>
  <c r="L1677" i="1"/>
  <c r="L1678" i="1"/>
  <c r="L1679" i="1"/>
  <c r="L1680" i="1"/>
  <c r="L1715" i="1"/>
  <c r="L1716" i="1"/>
  <c r="L1717" i="1"/>
  <c r="L1753" i="1"/>
  <c r="L1754" i="1"/>
  <c r="L1763" i="1"/>
  <c r="L1764" i="1"/>
  <c r="L1914" i="1"/>
  <c r="L1922" i="1"/>
  <c r="L1930" i="1"/>
  <c r="Y1805" i="1"/>
  <c r="Y1791" i="1"/>
  <c r="Y1811" i="1"/>
  <c r="L1944" i="1"/>
  <c r="L1949" i="1"/>
  <c r="Y1954" i="1"/>
  <c r="L1958" i="1"/>
  <c r="Y1958" i="1"/>
  <c r="L1960" i="1"/>
  <c r="Y1963" i="1"/>
  <c r="L1967" i="1"/>
  <c r="Y1869" i="1"/>
  <c r="Y1908" i="1"/>
  <c r="Y1892" i="1"/>
  <c r="Y1890" i="1"/>
  <c r="Y1888" i="1"/>
  <c r="L1845" i="1"/>
  <c r="L1839" i="1"/>
  <c r="Y2001" i="1"/>
  <c r="Y2002" i="1"/>
  <c r="Y2005" i="1"/>
  <c r="L1986" i="1"/>
  <c r="L1995" i="1"/>
  <c r="L2004" i="1"/>
  <c r="L2009" i="1"/>
  <c r="L2010" i="1"/>
  <c r="Y1966" i="1"/>
  <c r="L1881" i="1"/>
  <c r="L1896" i="1"/>
  <c r="Y1944" i="1"/>
  <c r="Y1907" i="1"/>
  <c r="Y1922" i="1"/>
  <c r="Y1928" i="1"/>
  <c r="L2030" i="1"/>
  <c r="L2059" i="1"/>
  <c r="L2096" i="1"/>
  <c r="L2104" i="1"/>
  <c r="L2112" i="1"/>
  <c r="L2120" i="1"/>
  <c r="Y1906" i="1"/>
  <c r="Y1867" i="1"/>
  <c r="Y1929" i="1"/>
  <c r="Y1949" i="1"/>
  <c r="Y1951" i="1"/>
  <c r="Y1959" i="1"/>
  <c r="Y1962" i="1"/>
  <c r="Y1970" i="1"/>
  <c r="Y2020" i="1"/>
  <c r="Y2028" i="1"/>
  <c r="Y2040" i="1"/>
  <c r="Y2007" i="1"/>
  <c r="Y2006" i="1"/>
  <c r="L2028" i="1"/>
  <c r="L2029" i="1"/>
  <c r="L2035" i="1"/>
  <c r="L2036" i="1"/>
  <c r="L2047" i="1"/>
  <c r="L2048" i="1"/>
  <c r="Y1986" i="1"/>
  <c r="L1993" i="1"/>
  <c r="L1991" i="1"/>
  <c r="Y1981" i="1"/>
  <c r="Y1982" i="1"/>
  <c r="Y2064" i="1"/>
  <c r="Y2068" i="1"/>
  <c r="L2071" i="1"/>
  <c r="Y2075" i="1"/>
  <c r="Y2076" i="1"/>
  <c r="Y2080" i="1"/>
  <c r="Y2060" i="1"/>
  <c r="Y1995" i="1"/>
  <c r="Y2095" i="1"/>
  <c r="L2097" i="1"/>
  <c r="Y2098" i="1"/>
  <c r="L2101" i="1"/>
  <c r="Y2102" i="1"/>
  <c r="L2103" i="1"/>
  <c r="Y2103" i="1"/>
  <c r="L2105" i="1"/>
  <c r="Y2106" i="1"/>
  <c r="L2107" i="1"/>
  <c r="Y2107" i="1"/>
  <c r="L2109" i="1"/>
  <c r="L2111" i="1"/>
  <c r="L2113" i="1"/>
  <c r="Y2114" i="1"/>
  <c r="L2115" i="1"/>
  <c r="Y2115" i="1"/>
  <c r="L2117" i="1"/>
  <c r="L2119" i="1"/>
  <c r="L2122" i="1"/>
  <c r="K2125" i="1"/>
  <c r="Y1998" i="1"/>
  <c r="L1981" i="1"/>
  <c r="L1982" i="1"/>
  <c r="L1983" i="1"/>
  <c r="L1984" i="1"/>
  <c r="L2019" i="1"/>
  <c r="Y2025" i="1"/>
  <c r="Y2029" i="1"/>
  <c r="L2020" i="1"/>
  <c r="F2057" i="1"/>
  <c r="L2057" i="1" s="1"/>
  <c r="Y2063" i="1"/>
  <c r="Y2067" i="1"/>
  <c r="L2079" i="1"/>
  <c r="Y2085" i="1"/>
  <c r="L2072" i="1"/>
  <c r="L2069" i="1"/>
  <c r="Y2042" i="1"/>
  <c r="Y2062" i="1"/>
  <c r="L2058" i="1"/>
  <c r="K2087" i="1"/>
  <c r="F2087" i="1"/>
  <c r="Y2047" i="1"/>
  <c r="Y2045" i="1"/>
  <c r="Y2044" i="1"/>
  <c r="L2046" i="1"/>
  <c r="Y2038" i="1"/>
  <c r="L2042" i="1"/>
  <c r="L2041" i="1"/>
  <c r="Y2036" i="1"/>
  <c r="Y2034" i="1"/>
  <c r="Y2032" i="1"/>
  <c r="L2005" i="1"/>
  <c r="Y2030" i="1"/>
  <c r="L2021" i="1"/>
  <c r="L2022" i="1"/>
  <c r="L2031" i="1"/>
  <c r="Y2048" i="1"/>
  <c r="L2027" i="1"/>
  <c r="P2011" i="1"/>
  <c r="P2393" i="1" s="1"/>
  <c r="L2002" i="1"/>
  <c r="L2001" i="1"/>
  <c r="Y2024" i="1"/>
  <c r="F2049" i="1"/>
  <c r="K2049" i="1"/>
  <c r="Y2046" i="1"/>
  <c r="L2000" i="1"/>
  <c r="Y1997" i="1"/>
  <c r="Y1996" i="1"/>
  <c r="X2125" i="1"/>
  <c r="S2125" i="1"/>
  <c r="L2095" i="1"/>
  <c r="Y2086" i="1"/>
  <c r="X2087" i="1"/>
  <c r="S2087" i="1"/>
  <c r="L1996" i="1"/>
  <c r="L1994" i="1"/>
  <c r="L1992" i="1"/>
  <c r="L1988" i="1"/>
  <c r="K2011" i="1"/>
  <c r="F2011" i="1"/>
  <c r="Y1971" i="1"/>
  <c r="Y1991" i="1"/>
  <c r="Y2009" i="1"/>
  <c r="Y1988" i="1"/>
  <c r="L1971" i="1"/>
  <c r="L1968" i="1"/>
  <c r="L1965" i="1"/>
  <c r="Y2010" i="1"/>
  <c r="S2049" i="1"/>
  <c r="U2049" i="1"/>
  <c r="X2049" i="1" s="1"/>
  <c r="X1972" i="1"/>
  <c r="Y1972" i="1" s="1"/>
  <c r="Y1961" i="1"/>
  <c r="L1955" i="1"/>
  <c r="L1952" i="1"/>
  <c r="L1951" i="1"/>
  <c r="L1950" i="1"/>
  <c r="Y1932" i="1"/>
  <c r="T1935" i="1"/>
  <c r="X1935" i="1" s="1"/>
  <c r="L1919" i="1"/>
  <c r="L1918" i="1"/>
  <c r="L1917" i="1"/>
  <c r="Y1923" i="1"/>
  <c r="L1912" i="1"/>
  <c r="Y1895" i="1"/>
  <c r="Y1913" i="1"/>
  <c r="Y1887" i="1"/>
  <c r="Y1884" i="1"/>
  <c r="L1880" i="1"/>
  <c r="Y1883" i="1"/>
  <c r="Y1896" i="1"/>
  <c r="Y1880" i="1"/>
  <c r="Y1879" i="1"/>
  <c r="L1878" i="1"/>
  <c r="Y1891" i="1"/>
  <c r="X2011" i="1"/>
  <c r="Y1857" i="1"/>
  <c r="L1874" i="1"/>
  <c r="Y1872" i="1"/>
  <c r="L1873" i="1"/>
  <c r="Y1854" i="1"/>
  <c r="Y1853" i="1"/>
  <c r="L1867" i="1"/>
  <c r="F1859" i="1"/>
  <c r="F1897" i="1"/>
  <c r="L1840" i="1"/>
  <c r="L1843" i="1"/>
  <c r="Y1925" i="1"/>
  <c r="K1935" i="1"/>
  <c r="Y1856" i="1"/>
  <c r="Y1844" i="1"/>
  <c r="Y1842" i="1"/>
  <c r="Y1839" i="1"/>
  <c r="L1831" i="1"/>
  <c r="U232" i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U617" i="1" s="1"/>
  <c r="U644" i="1" s="1"/>
  <c r="U650" i="1" s="1"/>
  <c r="U655" i="1" s="1"/>
  <c r="U682" i="1" s="1"/>
  <c r="Q232" i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Q617" i="1" s="1"/>
  <c r="Q644" i="1" s="1"/>
  <c r="Q650" i="1" s="1"/>
  <c r="Q655" i="1" s="1"/>
  <c r="Q682" i="1" s="1"/>
  <c r="F80" i="1"/>
  <c r="B85" i="1"/>
  <c r="B112" i="1" s="1"/>
  <c r="B118" i="1" s="1"/>
  <c r="V232" i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S42" i="1"/>
  <c r="O47" i="1"/>
  <c r="O74" i="1" s="1"/>
  <c r="O80" i="1" s="1"/>
  <c r="X42" i="1"/>
  <c r="X47" i="1" s="1"/>
  <c r="R232" i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S35" i="1"/>
  <c r="S75" i="1" s="1"/>
  <c r="X9" i="1"/>
  <c r="X36" i="1" s="1"/>
  <c r="X73" i="1"/>
  <c r="L7" i="1"/>
  <c r="L27" i="1"/>
  <c r="Y13" i="1"/>
  <c r="F35" i="1"/>
  <c r="Y120" i="1"/>
  <c r="Q303" i="1"/>
  <c r="W455" i="1"/>
  <c r="R75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J986" i="1" s="1"/>
  <c r="J992" i="1" s="1"/>
  <c r="J997" i="1" s="1"/>
  <c r="J1024" i="1" s="1"/>
  <c r="J1030" i="1" s="1"/>
  <c r="J1035" i="1" s="1"/>
  <c r="L5" i="1"/>
  <c r="L33" i="1"/>
  <c r="Y91" i="1"/>
  <c r="L187" i="1"/>
  <c r="R303" i="1"/>
  <c r="Y52" i="1"/>
  <c r="Y301" i="1"/>
  <c r="Y82" i="1"/>
  <c r="L84" i="1"/>
  <c r="Y138" i="1"/>
  <c r="Y213" i="1"/>
  <c r="Y217" i="1"/>
  <c r="L143" i="1"/>
  <c r="L207" i="1"/>
  <c r="L213" i="1"/>
  <c r="Y160" i="1"/>
  <c r="L182" i="1"/>
  <c r="L186" i="1"/>
  <c r="Y385" i="1"/>
  <c r="Y426" i="1"/>
  <c r="Y444" i="1"/>
  <c r="L429" i="1"/>
  <c r="L517" i="1"/>
  <c r="L525" i="1"/>
  <c r="O567" i="1"/>
  <c r="Y475" i="1"/>
  <c r="Y757" i="1"/>
  <c r="Y56" i="1"/>
  <c r="L158" i="1"/>
  <c r="Y233" i="1"/>
  <c r="L375" i="1"/>
  <c r="X453" i="1"/>
  <c r="Y521" i="1"/>
  <c r="Y390" i="1"/>
  <c r="L575" i="1"/>
  <c r="Y582" i="1"/>
  <c r="Y596" i="1"/>
  <c r="Y108" i="1"/>
  <c r="S504" i="1"/>
  <c r="Y504" i="1" s="1"/>
  <c r="O529" i="1"/>
  <c r="S529" i="1" s="1"/>
  <c r="Y529" i="1" s="1"/>
  <c r="Y84" i="1"/>
  <c r="Y102" i="1"/>
  <c r="Y122" i="1"/>
  <c r="Y200" i="1"/>
  <c r="L125" i="1"/>
  <c r="L195" i="1"/>
  <c r="L223" i="1"/>
  <c r="Y72" i="1"/>
  <c r="L163" i="1"/>
  <c r="L165" i="1"/>
  <c r="L167" i="1"/>
  <c r="L209" i="1"/>
  <c r="L397" i="1"/>
  <c r="L404" i="1"/>
  <c r="L408" i="1"/>
  <c r="K415" i="1"/>
  <c r="L415" i="1" s="1"/>
  <c r="Y442" i="1"/>
  <c r="Y446" i="1"/>
  <c r="L446" i="1"/>
  <c r="L330" i="1"/>
  <c r="L519" i="1"/>
  <c r="Y204" i="1"/>
  <c r="F377" i="1"/>
  <c r="L377" i="1" s="1"/>
  <c r="Y352" i="1"/>
  <c r="Y396" i="1"/>
  <c r="F208" i="1"/>
  <c r="L208" i="1" s="1"/>
  <c r="D225" i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D1062" i="1" s="1"/>
  <c r="D1068" i="1" s="1"/>
  <c r="D1073" i="1" s="1"/>
  <c r="D1100" i="1" s="1"/>
  <c r="D1106" i="1" s="1"/>
  <c r="D1111" i="1" s="1"/>
  <c r="D1138" i="1" s="1"/>
  <c r="D1144" i="1" s="1"/>
  <c r="D1149" i="1" s="1"/>
  <c r="D1176" i="1" s="1"/>
  <c r="D1182" i="1" s="1"/>
  <c r="D1187" i="1" s="1"/>
  <c r="D1214" i="1" s="1"/>
  <c r="D1220" i="1" s="1"/>
  <c r="D1225" i="1" s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D1377" i="1" s="1"/>
  <c r="D1404" i="1" s="1"/>
  <c r="D1410" i="1" s="1"/>
  <c r="D1415" i="1" s="1"/>
  <c r="D1442" i="1" s="1"/>
  <c r="D1448" i="1" s="1"/>
  <c r="D1453" i="1" s="1"/>
  <c r="D1480" i="1" s="1"/>
  <c r="D1486" i="1" s="1"/>
  <c r="D1491" i="1" s="1"/>
  <c r="D1518" i="1" s="1"/>
  <c r="D1524" i="1" s="1"/>
  <c r="D1529" i="1" s="1"/>
  <c r="D1556" i="1" s="1"/>
  <c r="D1562" i="1" s="1"/>
  <c r="D1567" i="1" s="1"/>
  <c r="D1594" i="1" s="1"/>
  <c r="D1600" i="1" s="1"/>
  <c r="D1605" i="1" s="1"/>
  <c r="D1632" i="1" s="1"/>
  <c r="D1638" i="1" s="1"/>
  <c r="D1643" i="1" s="1"/>
  <c r="D1670" i="1" s="1"/>
  <c r="D1676" i="1" s="1"/>
  <c r="D1681" i="1" s="1"/>
  <c r="S187" i="1"/>
  <c r="Y187" i="1" s="1"/>
  <c r="L661" i="1"/>
  <c r="L665" i="1"/>
  <c r="L673" i="1"/>
  <c r="Y710" i="1"/>
  <c r="X719" i="1"/>
  <c r="L691" i="1"/>
  <c r="Y734" i="1"/>
  <c r="Y738" i="1"/>
  <c r="Y743" i="1"/>
  <c r="Y777" i="1"/>
  <c r="Y831" i="1"/>
  <c r="Y583" i="1"/>
  <c r="Y591" i="1"/>
  <c r="Y613" i="1"/>
  <c r="Y636" i="1"/>
  <c r="L636" i="1"/>
  <c r="K643" i="1"/>
  <c r="L643" i="1" s="1"/>
  <c r="Y694" i="1"/>
  <c r="Y637" i="1"/>
  <c r="Y782" i="1"/>
  <c r="L739" i="1"/>
  <c r="X681" i="1"/>
  <c r="X833" i="1"/>
  <c r="F947" i="1"/>
  <c r="L947" i="1" s="1"/>
  <c r="Y544" i="1"/>
  <c r="L667" i="1"/>
  <c r="L675" i="1"/>
  <c r="Y695" i="1"/>
  <c r="Y736" i="1"/>
  <c r="Y741" i="1"/>
  <c r="Y715" i="1"/>
  <c r="Y727" i="1"/>
  <c r="Y680" i="1"/>
  <c r="L509" i="1"/>
  <c r="L621" i="1"/>
  <c r="L634" i="1"/>
  <c r="L638" i="1"/>
  <c r="Y780" i="1"/>
  <c r="F871" i="1"/>
  <c r="L737" i="1"/>
  <c r="S1213" i="1"/>
  <c r="L1147" i="1"/>
  <c r="L1308" i="1"/>
  <c r="L1320" i="1"/>
  <c r="L1341" i="1"/>
  <c r="L1358" i="1"/>
  <c r="L1197" i="1"/>
  <c r="L1379" i="1"/>
  <c r="L1396" i="1"/>
  <c r="F1289" i="1"/>
  <c r="L1289" i="1" s="1"/>
  <c r="Y1240" i="1"/>
  <c r="L1412" i="1"/>
  <c r="Y1325" i="1"/>
  <c r="L1411" i="1"/>
  <c r="L1471" i="1"/>
  <c r="L1281" i="1"/>
  <c r="L1205" i="1"/>
  <c r="Y1286" i="1"/>
  <c r="L1352" i="1"/>
  <c r="L1193" i="1"/>
  <c r="L1387" i="1"/>
  <c r="L1401" i="1"/>
  <c r="Y1300" i="1"/>
  <c r="L1311" i="1"/>
  <c r="L1356" i="1"/>
  <c r="Y1199" i="1"/>
  <c r="L1268" i="1"/>
  <c r="L1438" i="1"/>
  <c r="Y1412" i="1"/>
  <c r="L1454" i="1"/>
  <c r="L1340" i="1"/>
  <c r="L1185" i="1"/>
  <c r="L1378" i="1"/>
  <c r="Y1233" i="1"/>
  <c r="L1419" i="1"/>
  <c r="L1470" i="1"/>
  <c r="Y1249" i="1"/>
  <c r="Y1416" i="1"/>
  <c r="Y1207" i="1"/>
  <c r="Y1373" i="1"/>
  <c r="L1389" i="1"/>
  <c r="L1357" i="1"/>
  <c r="Y1401" i="1"/>
  <c r="L1384" i="1"/>
  <c r="L1397" i="1"/>
  <c r="L1417" i="1"/>
  <c r="Y1374" i="1"/>
  <c r="Y1459" i="1"/>
  <c r="Y1463" i="1"/>
  <c r="Y1492" i="1"/>
  <c r="Y1504" i="1"/>
  <c r="Y1508" i="1"/>
  <c r="L1513" i="1"/>
  <c r="Y1361" i="1"/>
  <c r="Y1266" i="1"/>
  <c r="Y1270" i="1"/>
  <c r="Y1274" i="1"/>
  <c r="Y1278" i="1"/>
  <c r="Y1282" i="1"/>
  <c r="Y1302" i="1"/>
  <c r="Y1306" i="1"/>
  <c r="L1534" i="1"/>
  <c r="L1538" i="1"/>
  <c r="L1542" i="1"/>
  <c r="L1553" i="1"/>
  <c r="S1417" i="1"/>
  <c r="Y1417" i="1" s="1"/>
  <c r="L1576" i="1"/>
  <c r="L1583" i="1"/>
  <c r="L1590" i="1"/>
  <c r="Y1618" i="1"/>
  <c r="Y1622" i="1"/>
  <c r="Y1610" i="1"/>
  <c r="Y1628" i="1"/>
  <c r="L1503" i="1"/>
  <c r="L1507" i="1"/>
  <c r="Y1510" i="1"/>
  <c r="Y1511" i="1"/>
  <c r="Y1487" i="1"/>
  <c r="F1526" i="1"/>
  <c r="L1526" i="1" s="1"/>
  <c r="Y1604" i="1"/>
  <c r="L1625" i="1"/>
  <c r="Y1527" i="1"/>
  <c r="Y1393" i="1"/>
  <c r="Y1528" i="1"/>
  <c r="L1622" i="1"/>
  <c r="L1363" i="1"/>
  <c r="L1382" i="1"/>
  <c r="Y1237" i="1"/>
  <c r="Y1460" i="1"/>
  <c r="Y1464" i="1"/>
  <c r="L1468" i="1"/>
  <c r="L1472" i="1"/>
  <c r="L1500" i="1"/>
  <c r="Y1363" i="1"/>
  <c r="Y1264" i="1"/>
  <c r="Y1268" i="1"/>
  <c r="Y1272" i="1"/>
  <c r="Y1276" i="1"/>
  <c r="Y1280" i="1"/>
  <c r="Y1284" i="1"/>
  <c r="Y1304" i="1"/>
  <c r="Y1355" i="1"/>
  <c r="L1544" i="1"/>
  <c r="L1440" i="1"/>
  <c r="L1585" i="1"/>
  <c r="Y1540" i="1"/>
  <c r="L1602" i="1"/>
  <c r="L1611" i="1"/>
  <c r="Y1462" i="1"/>
  <c r="Y1601" i="1"/>
  <c r="L1616" i="1"/>
  <c r="Y1568" i="1"/>
  <c r="L1718" i="1"/>
  <c r="S1364" i="1"/>
  <c r="Y1383" i="1"/>
  <c r="Y1387" i="1"/>
  <c r="Y1391" i="1"/>
  <c r="Y1395" i="1"/>
  <c r="Y1538" i="1"/>
  <c r="L1586" i="1"/>
  <c r="Y1308" i="1"/>
  <c r="Y1312" i="1"/>
  <c r="Y1316" i="1"/>
  <c r="Y1343" i="1"/>
  <c r="Y1347" i="1"/>
  <c r="Y1351" i="1"/>
  <c r="Y1378" i="1"/>
  <c r="Y1382" i="1"/>
  <c r="Y1386" i="1"/>
  <c r="Y1390" i="1"/>
  <c r="Y1394" i="1"/>
  <c r="Y1537" i="1"/>
  <c r="L1531" i="1"/>
  <c r="L1550" i="1"/>
  <c r="L1584" i="1"/>
  <c r="L1591" i="1"/>
  <c r="Y1436" i="1"/>
  <c r="Y1457" i="1"/>
  <c r="Y1474" i="1"/>
  <c r="Y1488" i="1"/>
  <c r="Y1626" i="1"/>
  <c r="Y1607" i="1"/>
  <c r="L1612" i="1"/>
  <c r="L1626" i="1"/>
  <c r="Y1549" i="1"/>
  <c r="Y1571" i="1"/>
  <c r="Y1575" i="1"/>
  <c r="Y1579" i="1"/>
  <c r="Y1583" i="1"/>
  <c r="Y1587" i="1"/>
  <c r="Y1639" i="1"/>
  <c r="Y1696" i="1"/>
  <c r="L1649" i="1"/>
  <c r="Y1724" i="1"/>
  <c r="L1726" i="1"/>
  <c r="L1735" i="1"/>
  <c r="Y1754" i="1"/>
  <c r="L1775" i="1"/>
  <c r="L1682" i="1"/>
  <c r="Y1700" i="1"/>
  <c r="Y1792" i="1"/>
  <c r="Y1840" i="1"/>
  <c r="Y1740" i="1"/>
  <c r="L1841" i="1"/>
  <c r="L1848" i="1"/>
  <c r="L1882" i="1"/>
  <c r="K1897" i="1"/>
  <c r="Y1753" i="1"/>
  <c r="Y1812" i="1"/>
  <c r="L1954" i="1"/>
  <c r="Y1957" i="1"/>
  <c r="L1961" i="1"/>
  <c r="Y1964" i="1"/>
  <c r="Y1572" i="1"/>
  <c r="Y1576" i="1"/>
  <c r="Y1580" i="1"/>
  <c r="Y1584" i="1"/>
  <c r="Y1588" i="1"/>
  <c r="Y1564" i="1"/>
  <c r="L1695" i="1"/>
  <c r="L1697" i="1"/>
  <c r="L1703" i="1"/>
  <c r="Y1644" i="1"/>
  <c r="Y1655" i="1"/>
  <c r="Y1721" i="1"/>
  <c r="Y1725" i="1"/>
  <c r="Y1733" i="1"/>
  <c r="L1736" i="1"/>
  <c r="L1739" i="1"/>
  <c r="Y1765" i="1"/>
  <c r="L1773" i="1"/>
  <c r="Y1775" i="1"/>
  <c r="L1782" i="1"/>
  <c r="Y1793" i="1"/>
  <c r="Y1814" i="1"/>
  <c r="Y1841" i="1"/>
  <c r="L1798" i="1"/>
  <c r="L1818" i="1"/>
  <c r="L1838" i="1"/>
  <c r="L1849" i="1"/>
  <c r="L1856" i="1"/>
  <c r="Y1882" i="1"/>
  <c r="Y1885" i="1"/>
  <c r="L1890" i="1"/>
  <c r="Y1910" i="1"/>
  <c r="Y1926" i="1"/>
  <c r="Y1934" i="1"/>
  <c r="F1973" i="1"/>
  <c r="L1956" i="1"/>
  <c r="K1973" i="1"/>
  <c r="Y1310" i="1"/>
  <c r="Y1314" i="1"/>
  <c r="Y1318" i="1"/>
  <c r="Y1341" i="1"/>
  <c r="Y1345" i="1"/>
  <c r="Y1349" i="1"/>
  <c r="Y1353" i="1"/>
  <c r="Y1357" i="1"/>
  <c r="Y1380" i="1"/>
  <c r="Y1384" i="1"/>
  <c r="Y1388" i="1"/>
  <c r="Y1392" i="1"/>
  <c r="Y1525" i="1"/>
  <c r="Y1539" i="1"/>
  <c r="L1545" i="1"/>
  <c r="L1552" i="1"/>
  <c r="Y1376" i="1"/>
  <c r="L1575" i="1"/>
  <c r="L1578" i="1"/>
  <c r="Y1434" i="1"/>
  <c r="Y1627" i="1"/>
  <c r="L1606" i="1"/>
  <c r="F1610" i="1"/>
  <c r="L1610" i="1" s="1"/>
  <c r="L1621" i="1"/>
  <c r="L1628" i="1"/>
  <c r="Y1569" i="1"/>
  <c r="Y1573" i="1"/>
  <c r="Y1577" i="1"/>
  <c r="Y1581" i="1"/>
  <c r="Y1585" i="1"/>
  <c r="Y1589" i="1"/>
  <c r="Y1679" i="1"/>
  <c r="L1704" i="1"/>
  <c r="L1740" i="1"/>
  <c r="L1743" i="1"/>
  <c r="L1770" i="1"/>
  <c r="Y1702" i="1"/>
  <c r="Y1798" i="1"/>
  <c r="Y1780" i="1"/>
  <c r="Y1838" i="1"/>
  <c r="L1794" i="1"/>
  <c r="L1803" i="1"/>
  <c r="L1819" i="1"/>
  <c r="L1857" i="1"/>
  <c r="K1859" i="1"/>
  <c r="L1870" i="1"/>
  <c r="Y1874" i="1"/>
  <c r="Y1877" i="1"/>
  <c r="L1883" i="1"/>
  <c r="L1891" i="1"/>
  <c r="L1894" i="1"/>
  <c r="L1905" i="1"/>
  <c r="Y1914" i="1"/>
  <c r="F1935" i="1"/>
  <c r="Y1868" i="1"/>
  <c r="L1812" i="1"/>
  <c r="X1819" i="1"/>
  <c r="Y1819" i="1" s="1"/>
  <c r="L1953" i="1"/>
  <c r="Y1956" i="1"/>
  <c r="L1962" i="1"/>
  <c r="Y1965" i="1"/>
  <c r="L1970" i="1"/>
  <c r="L1972" i="1"/>
  <c r="S1858" i="1"/>
  <c r="Y1570" i="1"/>
  <c r="Y1574" i="1"/>
  <c r="Y1578" i="1"/>
  <c r="Y1582" i="1"/>
  <c r="Y1586" i="1"/>
  <c r="L1686" i="1"/>
  <c r="L1690" i="1"/>
  <c r="L1696" i="1"/>
  <c r="L1705" i="1"/>
  <c r="Y1678" i="1"/>
  <c r="L1646" i="1"/>
  <c r="Y1723" i="1"/>
  <c r="Y1727" i="1"/>
  <c r="Y1736" i="1"/>
  <c r="L1729" i="1"/>
  <c r="L1744" i="1"/>
  <c r="Y1774" i="1"/>
  <c r="Y1701" i="1"/>
  <c r="Y1781" i="1"/>
  <c r="Y1846" i="1"/>
  <c r="Y1741" i="1"/>
  <c r="L1816" i="1"/>
  <c r="L1854" i="1"/>
  <c r="L1875" i="1"/>
  <c r="Y1918" i="1"/>
  <c r="Y1881" i="1"/>
  <c r="Y1943" i="1"/>
  <c r="L1948" i="1"/>
  <c r="L1957" i="1"/>
  <c r="L1964" i="1"/>
  <c r="X1973" i="1"/>
  <c r="S1973" i="1"/>
  <c r="Y1837" i="1"/>
  <c r="L1830" i="1"/>
  <c r="L1829" i="1"/>
  <c r="L1834" i="1"/>
  <c r="X1858" i="1"/>
  <c r="Y1834" i="1"/>
  <c r="L1811" i="1"/>
  <c r="L1808" i="1"/>
  <c r="Y1810" i="1"/>
  <c r="S1935" i="1"/>
  <c r="L1793" i="1"/>
  <c r="Y1809" i="1"/>
  <c r="Y1808" i="1"/>
  <c r="U1821" i="1"/>
  <c r="X1821" i="1" s="1"/>
  <c r="Y1807" i="1"/>
  <c r="Y1815" i="1"/>
  <c r="L1802" i="1"/>
  <c r="Y1804" i="1"/>
  <c r="L1791" i="1"/>
  <c r="L1800" i="1"/>
  <c r="L1799" i="1"/>
  <c r="Y1820" i="1"/>
  <c r="Y1893" i="1"/>
  <c r="Y1894" i="1"/>
  <c r="Y1800" i="1"/>
  <c r="K1821" i="1"/>
  <c r="F1821" i="1"/>
  <c r="Y1797" i="1"/>
  <c r="Y1817" i="1"/>
  <c r="Y1816" i="1"/>
  <c r="Y1796" i="1"/>
  <c r="X1859" i="1"/>
  <c r="Y1855" i="1"/>
  <c r="L1772" i="1"/>
  <c r="Y1773" i="1"/>
  <c r="Y1772" i="1"/>
  <c r="S1859" i="1"/>
  <c r="L1755" i="1"/>
  <c r="L1658" i="1"/>
  <c r="K1783" i="1"/>
  <c r="L1761" i="1"/>
  <c r="Y1782" i="1"/>
  <c r="Y1779" i="1"/>
  <c r="V1783" i="1"/>
  <c r="Y1769" i="1"/>
  <c r="Y1768" i="1"/>
  <c r="Y1767" i="1"/>
  <c r="Y1766" i="1"/>
  <c r="L1756" i="1"/>
  <c r="X1897" i="1"/>
  <c r="S1897" i="1"/>
  <c r="F1783" i="1"/>
  <c r="Y1777" i="1"/>
  <c r="Y1764" i="1"/>
  <c r="Y1763" i="1"/>
  <c r="Y1761" i="1"/>
  <c r="Y1760" i="1"/>
  <c r="Y1759" i="1"/>
  <c r="L1728" i="1"/>
  <c r="Y1735" i="1"/>
  <c r="Y1778" i="1"/>
  <c r="W1783" i="1"/>
  <c r="T1783" i="1"/>
  <c r="R1783" i="1"/>
  <c r="S1821" i="1"/>
  <c r="Y1732" i="1"/>
  <c r="Y1731" i="1"/>
  <c r="Y1730" i="1"/>
  <c r="L1723" i="1"/>
  <c r="Y1729" i="1"/>
  <c r="F1745" i="1"/>
  <c r="Y1728" i="1"/>
  <c r="Y1726" i="1"/>
  <c r="L1720" i="1"/>
  <c r="K1745" i="1"/>
  <c r="Y1744" i="1"/>
  <c r="R1745" i="1"/>
  <c r="S1745" i="1" s="1"/>
  <c r="T1745" i="1"/>
  <c r="X1745" i="1" s="1"/>
  <c r="Y1699" i="1"/>
  <c r="Y1698" i="1"/>
  <c r="L1687" i="1"/>
  <c r="Y1695" i="1"/>
  <c r="Y1694" i="1"/>
  <c r="Y1693" i="1"/>
  <c r="Y1692" i="1"/>
  <c r="Y1691" i="1"/>
  <c r="Y1690" i="1"/>
  <c r="L1685" i="1"/>
  <c r="Y1689" i="1"/>
  <c r="F1707" i="1"/>
  <c r="S1703" i="1"/>
  <c r="Y1703" i="1" s="1"/>
  <c r="Y1705" i="1"/>
  <c r="Y1706" i="1"/>
  <c r="W1707" i="1"/>
  <c r="X1707" i="1" s="1"/>
  <c r="Y1687" i="1"/>
  <c r="Y1686" i="1"/>
  <c r="Y1683" i="1"/>
  <c r="Y1685" i="1"/>
  <c r="Y1667" i="1"/>
  <c r="K1707" i="1"/>
  <c r="O1707" i="1"/>
  <c r="S1707" i="1" s="1"/>
  <c r="Y1668" i="1"/>
  <c r="L1657" i="1"/>
  <c r="Y1663" i="1"/>
  <c r="Y1660" i="1"/>
  <c r="L1652" i="1"/>
  <c r="Y1658" i="1"/>
  <c r="F1669" i="1"/>
  <c r="K1669" i="1"/>
  <c r="L1639" i="1"/>
  <c r="Y1630" i="1"/>
  <c r="Y1646" i="1"/>
  <c r="L1644" i="1"/>
  <c r="Y1623" i="1"/>
  <c r="L1604" i="1"/>
  <c r="Y1621" i="1"/>
  <c r="L1603" i="1"/>
  <c r="L1609" i="1"/>
  <c r="Y1617" i="1"/>
  <c r="Y1615" i="1"/>
  <c r="Y1614" i="1"/>
  <c r="L1601" i="1"/>
  <c r="L1608" i="1"/>
  <c r="K1631" i="1"/>
  <c r="Y1612" i="1"/>
  <c r="Y1629" i="1"/>
  <c r="Y1611" i="1"/>
  <c r="L1572" i="1"/>
  <c r="Y1608" i="1"/>
  <c r="L1566" i="1"/>
  <c r="F1631" i="1"/>
  <c r="L1571" i="1"/>
  <c r="S1669" i="1"/>
  <c r="X1669" i="1"/>
  <c r="L1640" i="1"/>
  <c r="S1640" i="1"/>
  <c r="Y1640" i="1" s="1"/>
  <c r="Y1641" i="1"/>
  <c r="Y1645" i="1"/>
  <c r="Y1647" i="1"/>
  <c r="Y1649" i="1"/>
  <c r="Y1651" i="1"/>
  <c r="L1570" i="1"/>
  <c r="L1565" i="1"/>
  <c r="L1568" i="1"/>
  <c r="K1593" i="1"/>
  <c r="F1593" i="1"/>
  <c r="L1537" i="1"/>
  <c r="Y1554" i="1"/>
  <c r="Y1553" i="1"/>
  <c r="S1631" i="1"/>
  <c r="X1631" i="1"/>
  <c r="Y1551" i="1"/>
  <c r="L1535" i="1"/>
  <c r="L1527" i="1"/>
  <c r="L1563" i="1"/>
  <c r="Y1548" i="1"/>
  <c r="Y1546" i="1"/>
  <c r="Y1552" i="1"/>
  <c r="Y1545" i="1"/>
  <c r="Y1544" i="1"/>
  <c r="L1528" i="1"/>
  <c r="Y1543" i="1"/>
  <c r="Y1542" i="1"/>
  <c r="L1532" i="1"/>
  <c r="F1555" i="1"/>
  <c r="K1555" i="1"/>
  <c r="Y1536" i="1"/>
  <c r="Y1534" i="1"/>
  <c r="Y1533" i="1"/>
  <c r="L1501" i="1"/>
  <c r="L1450" i="1"/>
  <c r="L1490" i="1"/>
  <c r="L1499" i="1"/>
  <c r="Y1512" i="1"/>
  <c r="L1497" i="1"/>
  <c r="L1489" i="1"/>
  <c r="Y1509" i="1"/>
  <c r="L1496" i="1"/>
  <c r="Y1505" i="1"/>
  <c r="T1517" i="1"/>
  <c r="L1495" i="1"/>
  <c r="Y1516" i="1"/>
  <c r="Y1500" i="1"/>
  <c r="Y1498" i="1"/>
  <c r="K1517" i="1"/>
  <c r="F1517" i="1"/>
  <c r="Y1515" i="1"/>
  <c r="L1487" i="1"/>
  <c r="Y1495" i="1"/>
  <c r="Y1494" i="1"/>
  <c r="L1458" i="1"/>
  <c r="K1479" i="1"/>
  <c r="Y1493" i="1"/>
  <c r="L1452" i="1"/>
  <c r="O1517" i="1"/>
  <c r="L1456" i="1"/>
  <c r="S1593" i="1"/>
  <c r="X1593" i="1"/>
  <c r="P1517" i="1"/>
  <c r="Y1478" i="1"/>
  <c r="Y1475" i="1"/>
  <c r="Y1470" i="1"/>
  <c r="Y1465" i="1"/>
  <c r="L1449" i="1"/>
  <c r="F1479" i="1"/>
  <c r="Y1458" i="1"/>
  <c r="L1428" i="1"/>
  <c r="Y1440" i="1"/>
  <c r="W1441" i="1"/>
  <c r="X1441" i="1" s="1"/>
  <c r="Y1477" i="1"/>
  <c r="Y1471" i="1"/>
  <c r="Y1432" i="1"/>
  <c r="Y1431" i="1"/>
  <c r="F1441" i="1"/>
  <c r="L1525" i="1"/>
  <c r="S1555" i="1"/>
  <c r="X1555" i="1"/>
  <c r="Y1439" i="1"/>
  <c r="X1289" i="1"/>
  <c r="S1289" i="1"/>
  <c r="Y1251" i="1"/>
  <c r="X1364" i="1"/>
  <c r="K1441" i="1"/>
  <c r="L1413" i="1"/>
  <c r="Y1438" i="1"/>
  <c r="L1402" i="1"/>
  <c r="S1479" i="1"/>
  <c r="L1400" i="1"/>
  <c r="X1479" i="1"/>
  <c r="Y1402" i="1"/>
  <c r="L1395" i="1"/>
  <c r="L1392" i="1"/>
  <c r="X1403" i="1"/>
  <c r="K1403" i="1"/>
  <c r="S1403" i="1"/>
  <c r="F1403" i="1"/>
  <c r="L1374" i="1"/>
  <c r="L1364" i="1"/>
  <c r="Y1336" i="1"/>
  <c r="L1360" i="1"/>
  <c r="H1366" i="1"/>
  <c r="H1372" i="1" s="1"/>
  <c r="H1377" i="1" s="1"/>
  <c r="H1404" i="1" s="1"/>
  <c r="H1410" i="1" s="1"/>
  <c r="H1415" i="1" s="1"/>
  <c r="H1442" i="1" s="1"/>
  <c r="H1448" i="1" s="1"/>
  <c r="H1453" i="1" s="1"/>
  <c r="H1480" i="1" s="1"/>
  <c r="H1486" i="1" s="1"/>
  <c r="H1491" i="1" s="1"/>
  <c r="H1518" i="1" s="1"/>
  <c r="H1524" i="1" s="1"/>
  <c r="H1529" i="1" s="1"/>
  <c r="H1556" i="1" s="1"/>
  <c r="H1562" i="1" s="1"/>
  <c r="H1567" i="1" s="1"/>
  <c r="H1594" i="1" s="1"/>
  <c r="H1600" i="1" s="1"/>
  <c r="H1605" i="1" s="1"/>
  <c r="H1632" i="1" s="1"/>
  <c r="H1638" i="1" s="1"/>
  <c r="H1643" i="1" s="1"/>
  <c r="H1670" i="1" s="1"/>
  <c r="H1676" i="1" s="1"/>
  <c r="H1681" i="1" s="1"/>
  <c r="H1708" i="1" s="1"/>
  <c r="H1714" i="1" s="1"/>
  <c r="H1719" i="1" s="1"/>
  <c r="H1746" i="1" s="1"/>
  <c r="H1752" i="1" s="1"/>
  <c r="H1757" i="1" s="1"/>
  <c r="H1784" i="1" s="1"/>
  <c r="H1790" i="1" s="1"/>
  <c r="H1795" i="1" s="1"/>
  <c r="H1822" i="1" s="1"/>
  <c r="H1828" i="1" s="1"/>
  <c r="H1833" i="1" s="1"/>
  <c r="H1860" i="1" s="1"/>
  <c r="H1866" i="1" s="1"/>
  <c r="H1871" i="1" s="1"/>
  <c r="H1898" i="1" s="1"/>
  <c r="H1904" i="1" s="1"/>
  <c r="H1909" i="1" s="1"/>
  <c r="H1936" i="1" s="1"/>
  <c r="H1942" i="1" s="1"/>
  <c r="H1947" i="1" s="1"/>
  <c r="H1974" i="1" s="1"/>
  <c r="H1980" i="1" s="1"/>
  <c r="H1985" i="1" s="1"/>
  <c r="H2012" i="1" s="1"/>
  <c r="H2018" i="1" s="1"/>
  <c r="H2023" i="1" s="1"/>
  <c r="H2050" i="1" s="1"/>
  <c r="H2056" i="1" s="1"/>
  <c r="H2061" i="1" s="1"/>
  <c r="H2088" i="1" s="1"/>
  <c r="H2094" i="1" s="1"/>
  <c r="H2099" i="1" s="1"/>
  <c r="H2126" i="1" s="1"/>
  <c r="H2132" i="1" s="1"/>
  <c r="H2137" i="1" s="1"/>
  <c r="H2164" i="1" s="1"/>
  <c r="H2170" i="1" s="1"/>
  <c r="H2175" i="1" s="1"/>
  <c r="H2202" i="1" s="1"/>
  <c r="H2208" i="1" s="1"/>
  <c r="H2213" i="1" s="1"/>
  <c r="H2240" i="1" s="1"/>
  <c r="H2246" i="1" s="1"/>
  <c r="H2251" i="1" s="1"/>
  <c r="H2278" i="1" s="1"/>
  <c r="H2284" i="1" s="1"/>
  <c r="H2289" i="1" s="1"/>
  <c r="H2316" i="1" s="1"/>
  <c r="H2322" i="1" s="1"/>
  <c r="H2327" i="1" s="1"/>
  <c r="H2354" i="1" s="1"/>
  <c r="H2360" i="1" s="1"/>
  <c r="H2365" i="1" s="1"/>
  <c r="H2392" i="1" s="1"/>
  <c r="H2398" i="1" s="1"/>
  <c r="H2403" i="1" s="1"/>
  <c r="H2430" i="1" s="1"/>
  <c r="H2436" i="1" s="1"/>
  <c r="H2441" i="1" s="1"/>
  <c r="H2468" i="1" s="1"/>
  <c r="H2474" i="1" s="1"/>
  <c r="H2479" i="1" s="1"/>
  <c r="H2506" i="1" s="1"/>
  <c r="H2512" i="1" s="1"/>
  <c r="H2517" i="1" s="1"/>
  <c r="H2544" i="1" s="1"/>
  <c r="H2550" i="1" s="1"/>
  <c r="H2555" i="1" s="1"/>
  <c r="H2582" i="1" s="1"/>
  <c r="H2588" i="1" s="1"/>
  <c r="H2593" i="1" s="1"/>
  <c r="H2620" i="1" s="1"/>
  <c r="H2626" i="1" s="1"/>
  <c r="H2631" i="1" s="1"/>
  <c r="H2658" i="1" s="1"/>
  <c r="H2664" i="1" s="1"/>
  <c r="H2669" i="1" s="1"/>
  <c r="H2696" i="1" s="1"/>
  <c r="H2702" i="1" s="1"/>
  <c r="H2707" i="1" s="1"/>
  <c r="H2734" i="1" s="1"/>
  <c r="H2740" i="1" s="1"/>
  <c r="H2745" i="1" s="1"/>
  <c r="H2772" i="1" s="1"/>
  <c r="H2778" i="1" s="1"/>
  <c r="H2783" i="1" s="1"/>
  <c r="H2810" i="1" s="1"/>
  <c r="H2816" i="1" s="1"/>
  <c r="H2821" i="1" s="1"/>
  <c r="H2848" i="1" s="1"/>
  <c r="H2854" i="1" s="1"/>
  <c r="H2859" i="1" s="1"/>
  <c r="H2886" i="1" s="1"/>
  <c r="S1441" i="1"/>
  <c r="K1365" i="1"/>
  <c r="Y1324" i="1"/>
  <c r="X1327" i="1"/>
  <c r="S1327" i="1"/>
  <c r="Y1335" i="1"/>
  <c r="S1365" i="1"/>
  <c r="X1365" i="1"/>
  <c r="Y2885" i="1" l="1"/>
  <c r="Y2847" i="1"/>
  <c r="L2733" i="1"/>
  <c r="Y2733" i="1"/>
  <c r="S2695" i="1"/>
  <c r="L985" i="1"/>
  <c r="C378" i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C1149" i="1" s="1"/>
  <c r="C1176" i="1" s="1"/>
  <c r="C1182" i="1" s="1"/>
  <c r="C1187" i="1" s="1"/>
  <c r="C1214" i="1" s="1"/>
  <c r="C1220" i="1" s="1"/>
  <c r="C1225" i="1" s="1"/>
  <c r="C1252" i="1" s="1"/>
  <c r="C1258" i="1" s="1"/>
  <c r="C1263" i="1" s="1"/>
  <c r="C1290" i="1" s="1"/>
  <c r="C1296" i="1" s="1"/>
  <c r="C1301" i="1" s="1"/>
  <c r="C1328" i="1" s="1"/>
  <c r="C1334" i="1" s="1"/>
  <c r="C1339" i="1" s="1"/>
  <c r="C1366" i="1" s="1"/>
  <c r="C1372" i="1" s="1"/>
  <c r="C1377" i="1" s="1"/>
  <c r="C1404" i="1" s="1"/>
  <c r="C1410" i="1" s="1"/>
  <c r="C1415" i="1" s="1"/>
  <c r="C1442" i="1" s="1"/>
  <c r="C1448" i="1" s="1"/>
  <c r="C1453" i="1" s="1"/>
  <c r="C1480" i="1" s="1"/>
  <c r="C1486" i="1" s="1"/>
  <c r="C1491" i="1" s="1"/>
  <c r="C1518" i="1" s="1"/>
  <c r="C1524" i="1" s="1"/>
  <c r="C1529" i="1" s="1"/>
  <c r="C1556" i="1" s="1"/>
  <c r="C1562" i="1" s="1"/>
  <c r="C1567" i="1" s="1"/>
  <c r="C1594" i="1" s="1"/>
  <c r="C1600" i="1" s="1"/>
  <c r="C1605" i="1" s="1"/>
  <c r="C1632" i="1" s="1"/>
  <c r="C1638" i="1" s="1"/>
  <c r="C1643" i="1" s="1"/>
  <c r="C1670" i="1" s="1"/>
  <c r="C1676" i="1" s="1"/>
  <c r="C1681" i="1" s="1"/>
  <c r="C1708" i="1" s="1"/>
  <c r="C1714" i="1" s="1"/>
  <c r="C1719" i="1" s="1"/>
  <c r="C1746" i="1" s="1"/>
  <c r="C1752" i="1" s="1"/>
  <c r="C1757" i="1" s="1"/>
  <c r="C1784" i="1" s="1"/>
  <c r="C1790" i="1" s="1"/>
  <c r="C1795" i="1" s="1"/>
  <c r="C1822" i="1" s="1"/>
  <c r="C1828" i="1" s="1"/>
  <c r="C1833" i="1" s="1"/>
  <c r="C1860" i="1" s="1"/>
  <c r="C1866" i="1" s="1"/>
  <c r="C1871" i="1" s="1"/>
  <c r="C1898" i="1" s="1"/>
  <c r="C1904" i="1" s="1"/>
  <c r="C1909" i="1" s="1"/>
  <c r="C1936" i="1" s="1"/>
  <c r="C1942" i="1" s="1"/>
  <c r="C1947" i="1" s="1"/>
  <c r="C1974" i="1" s="1"/>
  <c r="C1980" i="1" s="1"/>
  <c r="C1985" i="1" s="1"/>
  <c r="C2012" i="1" s="1"/>
  <c r="C2018" i="1" s="1"/>
  <c r="C2023" i="1" s="1"/>
  <c r="C2050" i="1" s="1"/>
  <c r="C2056" i="1" s="1"/>
  <c r="C2061" i="1" s="1"/>
  <c r="C2088" i="1" s="1"/>
  <c r="C2094" i="1" s="1"/>
  <c r="C2099" i="1" s="1"/>
  <c r="C2126" i="1" s="1"/>
  <c r="C2132" i="1" s="1"/>
  <c r="C2137" i="1" s="1"/>
  <c r="C2164" i="1" s="1"/>
  <c r="C2170" i="1" s="1"/>
  <c r="C2175" i="1" s="1"/>
  <c r="C2202" i="1" s="1"/>
  <c r="C2208" i="1" s="1"/>
  <c r="C2213" i="1" s="1"/>
  <c r="C2240" i="1" s="1"/>
  <c r="C2246" i="1" s="1"/>
  <c r="C2251" i="1" s="1"/>
  <c r="C2278" i="1" s="1"/>
  <c r="C2284" i="1" s="1"/>
  <c r="C2289" i="1" s="1"/>
  <c r="C2316" i="1" s="1"/>
  <c r="C2322" i="1" s="1"/>
  <c r="C2327" i="1" s="1"/>
  <c r="C2354" i="1" s="1"/>
  <c r="C2360" i="1" s="1"/>
  <c r="C2365" i="1" s="1"/>
  <c r="C2392" i="1" s="1"/>
  <c r="C2398" i="1" s="1"/>
  <c r="C2403" i="1" s="1"/>
  <c r="C2430" i="1" s="1"/>
  <c r="C2436" i="1" s="1"/>
  <c r="C2441" i="1" s="1"/>
  <c r="C2468" i="1" s="1"/>
  <c r="C2474" i="1" s="1"/>
  <c r="C2479" i="1" s="1"/>
  <c r="C2506" i="1" s="1"/>
  <c r="C2512" i="1" s="1"/>
  <c r="C2517" i="1" s="1"/>
  <c r="C2544" i="1" s="1"/>
  <c r="C2550" i="1" s="1"/>
  <c r="C2555" i="1" s="1"/>
  <c r="C2582" i="1" s="1"/>
  <c r="C2588" i="1" s="1"/>
  <c r="C2593" i="1" s="1"/>
  <c r="C2620" i="1" s="1"/>
  <c r="C2626" i="1" s="1"/>
  <c r="C2631" i="1" s="1"/>
  <c r="C2658" i="1" s="1"/>
  <c r="C2664" i="1" s="1"/>
  <c r="C2669" i="1" s="1"/>
  <c r="C2696" i="1" s="1"/>
  <c r="C2702" i="1" s="1"/>
  <c r="C2707" i="1" s="1"/>
  <c r="C2734" i="1" s="1"/>
  <c r="C2740" i="1" s="1"/>
  <c r="C2745" i="1" s="1"/>
  <c r="C2772" i="1" s="1"/>
  <c r="C2778" i="1" s="1"/>
  <c r="C2783" i="1" s="1"/>
  <c r="C2810" i="1" s="1"/>
  <c r="C2816" i="1" s="1"/>
  <c r="C2821" i="1" s="1"/>
  <c r="C2848" i="1" s="1"/>
  <c r="C2854" i="1" s="1"/>
  <c r="C2859" i="1" s="1"/>
  <c r="C2886" i="1" s="1"/>
  <c r="Y2809" i="1"/>
  <c r="L1175" i="1"/>
  <c r="L453" i="1"/>
  <c r="X2695" i="1"/>
  <c r="K36" i="1"/>
  <c r="L529" i="1"/>
  <c r="Y377" i="1"/>
  <c r="U2393" i="1"/>
  <c r="T2393" i="1"/>
  <c r="L871" i="1"/>
  <c r="Y681" i="1"/>
  <c r="D1708" i="1"/>
  <c r="D1714" i="1" s="1"/>
  <c r="D1719" i="1" s="1"/>
  <c r="D1746" i="1" s="1"/>
  <c r="D1752" i="1" s="1"/>
  <c r="D1757" i="1" s="1"/>
  <c r="D1784" i="1" s="1"/>
  <c r="D1790" i="1" s="1"/>
  <c r="D1795" i="1" s="1"/>
  <c r="D1822" i="1" s="1"/>
  <c r="D1828" i="1" s="1"/>
  <c r="D1833" i="1" s="1"/>
  <c r="D1860" i="1" s="1"/>
  <c r="D1866" i="1" s="1"/>
  <c r="D1871" i="1" s="1"/>
  <c r="D1898" i="1" s="1"/>
  <c r="D1904" i="1" s="1"/>
  <c r="D1909" i="1" s="1"/>
  <c r="D1936" i="1" s="1"/>
  <c r="D1942" i="1" s="1"/>
  <c r="D1947" i="1" s="1"/>
  <c r="D1974" i="1" s="1"/>
  <c r="D1980" i="1" s="1"/>
  <c r="D1985" i="1" s="1"/>
  <c r="D2012" i="1" s="1"/>
  <c r="D2018" i="1" s="1"/>
  <c r="D2023" i="1" s="1"/>
  <c r="D2050" i="1" s="1"/>
  <c r="D2056" i="1" s="1"/>
  <c r="D2061" i="1" s="1"/>
  <c r="D2088" i="1" s="1"/>
  <c r="D2094" i="1" s="1"/>
  <c r="D2099" i="1" s="1"/>
  <c r="D2126" i="1" s="1"/>
  <c r="D2132" i="1" s="1"/>
  <c r="D2137" i="1" s="1"/>
  <c r="D2164" i="1" s="1"/>
  <c r="D2170" i="1" s="1"/>
  <c r="D2175" i="1" s="1"/>
  <c r="D2202" i="1" s="1"/>
  <c r="D2208" i="1" s="1"/>
  <c r="D2213" i="1" s="1"/>
  <c r="D2240" i="1" s="1"/>
  <c r="D2246" i="1" s="1"/>
  <c r="D2251" i="1" s="1"/>
  <c r="D2278" i="1" s="1"/>
  <c r="D2284" i="1" s="1"/>
  <c r="D2289" i="1" s="1"/>
  <c r="D2316" i="1" s="1"/>
  <c r="D2322" i="1" s="1"/>
  <c r="D2327" i="1" s="1"/>
  <c r="D2354" i="1" s="1"/>
  <c r="D2360" i="1" s="1"/>
  <c r="D2365" i="1" s="1"/>
  <c r="D2392" i="1" s="1"/>
  <c r="D2398" i="1" s="1"/>
  <c r="D2403" i="1" s="1"/>
  <c r="D2430" i="1" s="1"/>
  <c r="D2436" i="1" s="1"/>
  <c r="D2441" i="1" s="1"/>
  <c r="D2468" i="1" s="1"/>
  <c r="D2474" i="1" s="1"/>
  <c r="D2479" i="1" s="1"/>
  <c r="D2506" i="1" s="1"/>
  <c r="D2512" i="1" s="1"/>
  <c r="D2517" i="1" s="1"/>
  <c r="D2544" i="1" s="1"/>
  <c r="D2550" i="1" s="1"/>
  <c r="D2555" i="1" s="1"/>
  <c r="D2582" i="1" s="1"/>
  <c r="D2588" i="1" s="1"/>
  <c r="D2593" i="1" s="1"/>
  <c r="D2620" i="1" s="1"/>
  <c r="D2626" i="1" s="1"/>
  <c r="D2631" i="1" s="1"/>
  <c r="D2658" i="1" s="1"/>
  <c r="D2664" i="1" s="1"/>
  <c r="D2669" i="1" s="1"/>
  <c r="D2696" i="1" s="1"/>
  <c r="D2702" i="1" s="1"/>
  <c r="D2707" i="1" s="1"/>
  <c r="D2734" i="1" s="1"/>
  <c r="D2740" i="1" s="1"/>
  <c r="D2745" i="1" s="1"/>
  <c r="D2772" i="1" s="1"/>
  <c r="D2778" i="1" s="1"/>
  <c r="D2783" i="1" s="1"/>
  <c r="D2810" i="1" s="1"/>
  <c r="D2816" i="1" s="1"/>
  <c r="D2821" i="1" s="1"/>
  <c r="D2848" i="1" s="1"/>
  <c r="D2854" i="1" s="1"/>
  <c r="D2859" i="1" s="1"/>
  <c r="D2886" i="1" s="1"/>
  <c r="Y453" i="1"/>
  <c r="J1062" i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J1258" i="1" s="1"/>
  <c r="J1263" i="1" s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J1909" i="1" s="1"/>
  <c r="J1936" i="1" s="1"/>
  <c r="J1942" i="1" s="1"/>
  <c r="J1947" i="1" s="1"/>
  <c r="J1974" i="1" s="1"/>
  <c r="J1980" i="1" s="1"/>
  <c r="J1985" i="1" s="1"/>
  <c r="J2012" i="1" s="1"/>
  <c r="J2018" i="1" s="1"/>
  <c r="J2023" i="1" s="1"/>
  <c r="J2050" i="1" s="1"/>
  <c r="J2056" i="1" s="1"/>
  <c r="J2061" i="1" s="1"/>
  <c r="J2088" i="1" s="1"/>
  <c r="J2094" i="1" s="1"/>
  <c r="J2099" i="1" s="1"/>
  <c r="J2126" i="1" s="1"/>
  <c r="J2132" i="1" s="1"/>
  <c r="J2137" i="1" s="1"/>
  <c r="J2164" i="1" s="1"/>
  <c r="J2170" i="1" s="1"/>
  <c r="J2175" i="1" s="1"/>
  <c r="J2202" i="1" s="1"/>
  <c r="J2208" i="1" s="1"/>
  <c r="J2213" i="1" s="1"/>
  <c r="J2240" i="1" s="1"/>
  <c r="J2246" i="1" s="1"/>
  <c r="J2251" i="1" s="1"/>
  <c r="J2278" i="1" s="1"/>
  <c r="J2284" i="1" s="1"/>
  <c r="J2289" i="1" s="1"/>
  <c r="J2316" i="1" s="1"/>
  <c r="J2322" i="1" s="1"/>
  <c r="J2327" i="1" s="1"/>
  <c r="J2354" i="1" s="1"/>
  <c r="J2360" i="1" s="1"/>
  <c r="J2365" i="1" s="1"/>
  <c r="J2392" i="1" s="1"/>
  <c r="J2398" i="1" s="1"/>
  <c r="J2403" i="1" s="1"/>
  <c r="J2430" i="1" s="1"/>
  <c r="J2436" i="1" s="1"/>
  <c r="J2441" i="1" s="1"/>
  <c r="J2468" i="1" s="1"/>
  <c r="J2474" i="1" s="1"/>
  <c r="J2479" i="1" s="1"/>
  <c r="J2506" i="1" s="1"/>
  <c r="J2512" i="1" s="1"/>
  <c r="J2517" i="1" s="1"/>
  <c r="J2544" i="1" s="1"/>
  <c r="J2550" i="1" s="1"/>
  <c r="J2555" i="1" s="1"/>
  <c r="J2582" i="1" s="1"/>
  <c r="J2588" i="1" s="1"/>
  <c r="J2593" i="1" s="1"/>
  <c r="J2620" i="1" s="1"/>
  <c r="J2626" i="1" s="1"/>
  <c r="J2631" i="1" s="1"/>
  <c r="J2658" i="1" s="1"/>
  <c r="J2664" i="1" s="1"/>
  <c r="J2669" i="1" s="1"/>
  <c r="J2696" i="1" s="1"/>
  <c r="J2702" i="1" s="1"/>
  <c r="J2707" i="1" s="1"/>
  <c r="J2734" i="1" s="1"/>
  <c r="J2740" i="1" s="1"/>
  <c r="J2745" i="1" s="1"/>
  <c r="J2772" i="1" s="1"/>
  <c r="J2778" i="1" s="1"/>
  <c r="J2783" i="1" s="1"/>
  <c r="J2810" i="1" s="1"/>
  <c r="J2816" i="1" s="1"/>
  <c r="J2821" i="1" s="1"/>
  <c r="J2848" i="1" s="1"/>
  <c r="J2854" i="1" s="1"/>
  <c r="J2859" i="1" s="1"/>
  <c r="J2886" i="1" s="1"/>
  <c r="G36" i="1"/>
  <c r="G42" i="1" s="1"/>
  <c r="L1213" i="1"/>
  <c r="Y947" i="1"/>
  <c r="L263" i="1"/>
  <c r="X80" i="1"/>
  <c r="X85" i="1" s="1"/>
  <c r="X112" i="1" s="1"/>
  <c r="L833" i="1"/>
  <c r="L2771" i="1"/>
  <c r="L2695" i="1"/>
  <c r="L2657" i="1"/>
  <c r="Y2771" i="1"/>
  <c r="L2619" i="1"/>
  <c r="S2581" i="1"/>
  <c r="Y2581" i="1" s="1"/>
  <c r="Y1364" i="1"/>
  <c r="Y719" i="1"/>
  <c r="X156" i="1"/>
  <c r="X161" i="1" s="1"/>
  <c r="X188" i="1" s="1"/>
  <c r="X194" i="1" s="1"/>
  <c r="X199" i="1" s="1"/>
  <c r="X226" i="1" s="1"/>
  <c r="W227" i="1" s="1"/>
  <c r="Y339" i="1"/>
  <c r="X118" i="1"/>
  <c r="X123" i="1" s="1"/>
  <c r="X150" i="1" s="1"/>
  <c r="S2011" i="1"/>
  <c r="S2393" i="1" s="1"/>
  <c r="L909" i="1"/>
  <c r="L301" i="1"/>
  <c r="L757" i="1"/>
  <c r="I1024" i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I1480" i="1" s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I1719" i="1" s="1"/>
  <c r="I1746" i="1" s="1"/>
  <c r="I1752" i="1" s="1"/>
  <c r="I1757" i="1" s="1"/>
  <c r="I1784" i="1" s="1"/>
  <c r="I1790" i="1" s="1"/>
  <c r="I1795" i="1" s="1"/>
  <c r="I1822" i="1" s="1"/>
  <c r="I1828" i="1" s="1"/>
  <c r="I1833" i="1" s="1"/>
  <c r="I1860" i="1" s="1"/>
  <c r="I1866" i="1" s="1"/>
  <c r="I1871" i="1" s="1"/>
  <c r="I1898" i="1" s="1"/>
  <c r="I1904" i="1" s="1"/>
  <c r="I1909" i="1" s="1"/>
  <c r="I1936" i="1" s="1"/>
  <c r="I1942" i="1" s="1"/>
  <c r="I1947" i="1" s="1"/>
  <c r="I1974" i="1" s="1"/>
  <c r="I1980" i="1" s="1"/>
  <c r="I1985" i="1" s="1"/>
  <c r="I2012" i="1" s="1"/>
  <c r="I2018" i="1" s="1"/>
  <c r="I2023" i="1" s="1"/>
  <c r="I2050" i="1" s="1"/>
  <c r="I2056" i="1" s="1"/>
  <c r="I2061" i="1" s="1"/>
  <c r="I2088" i="1" s="1"/>
  <c r="I2094" i="1" s="1"/>
  <c r="I2099" i="1" s="1"/>
  <c r="I2126" i="1" s="1"/>
  <c r="I2132" i="1" s="1"/>
  <c r="I2137" i="1" s="1"/>
  <c r="I2164" i="1" s="1"/>
  <c r="I2170" i="1" s="1"/>
  <c r="I2175" i="1" s="1"/>
  <c r="I2202" i="1" s="1"/>
  <c r="I2208" i="1" s="1"/>
  <c r="I2213" i="1" s="1"/>
  <c r="I2240" i="1" s="1"/>
  <c r="I2246" i="1" s="1"/>
  <c r="I2251" i="1" s="1"/>
  <c r="I2278" i="1" s="1"/>
  <c r="I2284" i="1" s="1"/>
  <c r="I2289" i="1" s="1"/>
  <c r="I2316" i="1" s="1"/>
  <c r="I2322" i="1" s="1"/>
  <c r="I2327" i="1" s="1"/>
  <c r="I2354" i="1" s="1"/>
  <c r="I2360" i="1" s="1"/>
  <c r="I2365" i="1" s="1"/>
  <c r="I2392" i="1" s="1"/>
  <c r="I2398" i="1" s="1"/>
  <c r="I2403" i="1" s="1"/>
  <c r="I2430" i="1" s="1"/>
  <c r="I2436" i="1" s="1"/>
  <c r="I2441" i="1" s="1"/>
  <c r="I2468" i="1" s="1"/>
  <c r="I2474" i="1" s="1"/>
  <c r="I2479" i="1" s="1"/>
  <c r="I2506" i="1" s="1"/>
  <c r="I2512" i="1" s="1"/>
  <c r="I2517" i="1" s="1"/>
  <c r="I2544" i="1" s="1"/>
  <c r="I2550" i="1" s="1"/>
  <c r="I2555" i="1" s="1"/>
  <c r="I2582" i="1" s="1"/>
  <c r="I2588" i="1" s="1"/>
  <c r="I2593" i="1" s="1"/>
  <c r="I2620" i="1" s="1"/>
  <c r="I2626" i="1" s="1"/>
  <c r="I2631" i="1" s="1"/>
  <c r="I2658" i="1" s="1"/>
  <c r="I2664" i="1" s="1"/>
  <c r="I2669" i="1" s="1"/>
  <c r="I2696" i="1" s="1"/>
  <c r="I2702" i="1" s="1"/>
  <c r="I2707" i="1" s="1"/>
  <c r="I2734" i="1" s="1"/>
  <c r="I2740" i="1" s="1"/>
  <c r="I2745" i="1" s="1"/>
  <c r="I2772" i="1" s="1"/>
  <c r="I2778" i="1" s="1"/>
  <c r="I2783" i="1" s="1"/>
  <c r="I2810" i="1" s="1"/>
  <c r="I2816" i="1" s="1"/>
  <c r="I2821" i="1" s="1"/>
  <c r="I2848" i="1" s="1"/>
  <c r="I2854" i="1" s="1"/>
  <c r="I2859" i="1" s="1"/>
  <c r="I2886" i="1" s="1"/>
  <c r="Y1099" i="1"/>
  <c r="L2581" i="1"/>
  <c r="R2393" i="1"/>
  <c r="Y2657" i="1"/>
  <c r="L2505" i="1"/>
  <c r="Y2619" i="1"/>
  <c r="L2467" i="1"/>
  <c r="Y2543" i="1"/>
  <c r="L2429" i="1"/>
  <c r="L1061" i="1"/>
  <c r="Y149" i="1"/>
  <c r="L2543" i="1"/>
  <c r="L567" i="1"/>
  <c r="X2277" i="1"/>
  <c r="Y2277" i="1" s="1"/>
  <c r="Y2505" i="1"/>
  <c r="L2391" i="1"/>
  <c r="L2353" i="1"/>
  <c r="L2315" i="1"/>
  <c r="Y2467" i="1"/>
  <c r="Y2391" i="1"/>
  <c r="Y2429" i="1"/>
  <c r="Y2353" i="1"/>
  <c r="L2239" i="1"/>
  <c r="Y2315" i="1"/>
  <c r="L2277" i="1"/>
  <c r="L2201" i="1"/>
  <c r="L2163" i="1"/>
  <c r="Y2239" i="1"/>
  <c r="Y2201" i="1"/>
  <c r="Y2163" i="1"/>
  <c r="L2125" i="1"/>
  <c r="K1023" i="1"/>
  <c r="L1023" i="1" s="1"/>
  <c r="Y909" i="1"/>
  <c r="Y111" i="1"/>
  <c r="L9" i="1"/>
  <c r="Y1289" i="1"/>
  <c r="Y415" i="1"/>
  <c r="Y225" i="1"/>
  <c r="F42" i="1"/>
  <c r="F47" i="1" s="1"/>
  <c r="F74" i="1" s="1"/>
  <c r="X74" i="1"/>
  <c r="L2087" i="1"/>
  <c r="L2049" i="1"/>
  <c r="Y2125" i="1"/>
  <c r="Y2087" i="1"/>
  <c r="L2011" i="1"/>
  <c r="Y2049" i="1"/>
  <c r="L1973" i="1"/>
  <c r="L1935" i="1"/>
  <c r="Y2011" i="1"/>
  <c r="L1897" i="1"/>
  <c r="L1859" i="1"/>
  <c r="Y1935" i="1"/>
  <c r="O76" i="1"/>
  <c r="S76" i="1"/>
  <c r="P76" i="1"/>
  <c r="Q76" i="1"/>
  <c r="Y1213" i="1"/>
  <c r="R76" i="1"/>
  <c r="T759" i="1"/>
  <c r="F85" i="1"/>
  <c r="Y643" i="1"/>
  <c r="S567" i="1"/>
  <c r="O607" i="1"/>
  <c r="R455" i="1"/>
  <c r="Y73" i="1"/>
  <c r="X75" i="1"/>
  <c r="R688" i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O85" i="1"/>
  <c r="O112" i="1" s="1"/>
  <c r="O118" i="1" s="1"/>
  <c r="S80" i="1"/>
  <c r="V835" i="1"/>
  <c r="Y42" i="1"/>
  <c r="S47" i="1"/>
  <c r="Q688" i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W607" i="1"/>
  <c r="L35" i="1"/>
  <c r="F36" i="1"/>
  <c r="L36" i="1" s="1"/>
  <c r="Y35" i="1"/>
  <c r="S36" i="1"/>
  <c r="Y36" i="1" s="1"/>
  <c r="Y1858" i="1"/>
  <c r="Y833" i="1"/>
  <c r="F225" i="1"/>
  <c r="L225" i="1" s="1"/>
  <c r="S303" i="1"/>
  <c r="Q304" i="1" s="1"/>
  <c r="X227" i="1"/>
  <c r="W688" i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P688" i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455" i="1"/>
  <c r="Q455" i="1"/>
  <c r="Y9" i="1"/>
  <c r="T232" i="1"/>
  <c r="T237" i="1" s="1"/>
  <c r="T264" i="1" s="1"/>
  <c r="T270" i="1" s="1"/>
  <c r="T275" i="1" s="1"/>
  <c r="T302" i="1" s="1"/>
  <c r="T308" i="1" s="1"/>
  <c r="T313" i="1" s="1"/>
  <c r="T340" i="1" s="1"/>
  <c r="T346" i="1" s="1"/>
  <c r="T351" i="1" s="1"/>
  <c r="T378" i="1" s="1"/>
  <c r="T384" i="1" s="1"/>
  <c r="T389" i="1" s="1"/>
  <c r="T416" i="1" s="1"/>
  <c r="T422" i="1" s="1"/>
  <c r="T427" i="1" s="1"/>
  <c r="T454" i="1" s="1"/>
  <c r="T460" i="1" s="1"/>
  <c r="T465" i="1" s="1"/>
  <c r="T492" i="1" s="1"/>
  <c r="T498" i="1" s="1"/>
  <c r="T503" i="1" s="1"/>
  <c r="T530" i="1" s="1"/>
  <c r="T536" i="1" s="1"/>
  <c r="T541" i="1" s="1"/>
  <c r="T568" i="1" s="1"/>
  <c r="T574" i="1" s="1"/>
  <c r="T579" i="1" s="1"/>
  <c r="T606" i="1" s="1"/>
  <c r="T612" i="1" s="1"/>
  <c r="T617" i="1" s="1"/>
  <c r="T644" i="1" s="1"/>
  <c r="T650" i="1" s="1"/>
  <c r="T655" i="1" s="1"/>
  <c r="T682" i="1" s="1"/>
  <c r="V688" i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K42" i="1"/>
  <c r="G47" i="1"/>
  <c r="G74" i="1" s="1"/>
  <c r="G80" i="1" s="1"/>
  <c r="U759" i="1"/>
  <c r="B123" i="1"/>
  <c r="B150" i="1" s="1"/>
  <c r="B156" i="1" s="1"/>
  <c r="F118" i="1"/>
  <c r="U688" i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Y1973" i="1"/>
  <c r="L1821" i="1"/>
  <c r="Y1859" i="1"/>
  <c r="L1783" i="1"/>
  <c r="S1783" i="1"/>
  <c r="Y1897" i="1"/>
  <c r="X1783" i="1"/>
  <c r="L1745" i="1"/>
  <c r="Y1821" i="1"/>
  <c r="L1707" i="1"/>
  <c r="Y1745" i="1"/>
  <c r="Y1707" i="1"/>
  <c r="L1669" i="1"/>
  <c r="L1631" i="1"/>
  <c r="Y1669" i="1"/>
  <c r="L1593" i="1"/>
  <c r="Y1593" i="1"/>
  <c r="Y1631" i="1"/>
  <c r="L1555" i="1"/>
  <c r="X1517" i="1"/>
  <c r="L1517" i="1"/>
  <c r="L1479" i="1"/>
  <c r="S1517" i="1"/>
  <c r="L1441" i="1"/>
  <c r="Y1555" i="1"/>
  <c r="Y1479" i="1"/>
  <c r="Y1441" i="1"/>
  <c r="Y1403" i="1"/>
  <c r="L1403" i="1"/>
  <c r="L1365" i="1"/>
  <c r="Y1365" i="1"/>
  <c r="Y1327" i="1"/>
  <c r="Y2695" i="1" l="1"/>
  <c r="V227" i="1"/>
  <c r="S2394" i="1"/>
  <c r="P2394" i="1"/>
  <c r="Q2394" i="1"/>
  <c r="O2394" i="1"/>
  <c r="X232" i="1"/>
  <c r="X237" i="1" s="1"/>
  <c r="X264" i="1" s="1"/>
  <c r="X270" i="1" s="1"/>
  <c r="X275" i="1" s="1"/>
  <c r="X302" i="1" s="1"/>
  <c r="X308" i="1" s="1"/>
  <c r="X313" i="1" s="1"/>
  <c r="X340" i="1" s="1"/>
  <c r="X346" i="1" s="1"/>
  <c r="X351" i="1" s="1"/>
  <c r="X378" i="1" s="1"/>
  <c r="X384" i="1" s="1"/>
  <c r="X389" i="1" s="1"/>
  <c r="X416" i="1" s="1"/>
  <c r="X422" i="1" s="1"/>
  <c r="X427" i="1" s="1"/>
  <c r="X454" i="1" s="1"/>
  <c r="X460" i="1" s="1"/>
  <c r="X465" i="1" s="1"/>
  <c r="X492" i="1" s="1"/>
  <c r="X498" i="1" s="1"/>
  <c r="X503" i="1" s="1"/>
  <c r="X530" i="1" s="1"/>
  <c r="X536" i="1" s="1"/>
  <c r="X541" i="1" s="1"/>
  <c r="X568" i="1" s="1"/>
  <c r="X574" i="1" s="1"/>
  <c r="X579" i="1" s="1"/>
  <c r="X606" i="1" s="1"/>
  <c r="X612" i="1" s="1"/>
  <c r="X617" i="1" s="1"/>
  <c r="X644" i="1" s="1"/>
  <c r="X650" i="1" s="1"/>
  <c r="X655" i="1" s="1"/>
  <c r="X682" i="1" s="1"/>
  <c r="W683" i="1" s="1"/>
  <c r="X2393" i="1"/>
  <c r="Y2393" i="1"/>
  <c r="U227" i="1"/>
  <c r="T227" i="1"/>
  <c r="R2394" i="1"/>
  <c r="P304" i="1"/>
  <c r="U835" i="1"/>
  <c r="G85" i="1"/>
  <c r="G112" i="1" s="1"/>
  <c r="G118" i="1" s="1"/>
  <c r="K80" i="1"/>
  <c r="K47" i="1"/>
  <c r="L42" i="1"/>
  <c r="T688" i="1"/>
  <c r="T693" i="1" s="1"/>
  <c r="T720" i="1" s="1"/>
  <c r="T726" i="1" s="1"/>
  <c r="T731" i="1" s="1"/>
  <c r="T758" i="1" s="1"/>
  <c r="T764" i="1" s="1"/>
  <c r="T769" i="1" s="1"/>
  <c r="T796" i="1" s="1"/>
  <c r="T802" i="1" s="1"/>
  <c r="T807" i="1" s="1"/>
  <c r="T834" i="1" s="1"/>
  <c r="T840" i="1" s="1"/>
  <c r="T845" i="1" s="1"/>
  <c r="T872" i="1" s="1"/>
  <c r="T878" i="1" s="1"/>
  <c r="T883" i="1" s="1"/>
  <c r="T910" i="1" s="1"/>
  <c r="T916" i="1" s="1"/>
  <c r="T921" i="1" s="1"/>
  <c r="T948" i="1" s="1"/>
  <c r="T954" i="1" s="1"/>
  <c r="T959" i="1" s="1"/>
  <c r="T986" i="1" s="1"/>
  <c r="P992" i="1"/>
  <c r="P997" i="1" s="1"/>
  <c r="P1024" i="1" s="1"/>
  <c r="P1030" i="1" s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P1263" i="1" s="1"/>
  <c r="P1290" i="1" s="1"/>
  <c r="P1296" i="1" s="1"/>
  <c r="P1301" i="1" s="1"/>
  <c r="P1328" i="1" s="1"/>
  <c r="P1334" i="1" s="1"/>
  <c r="P1339" i="1" s="1"/>
  <c r="P1366" i="1" s="1"/>
  <c r="P1372" i="1" s="1"/>
  <c r="P1377" i="1" s="1"/>
  <c r="P1404" i="1" s="1"/>
  <c r="P1410" i="1" s="1"/>
  <c r="P1415" i="1" s="1"/>
  <c r="P1442" i="1" s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P1567" i="1" s="1"/>
  <c r="P1594" i="1" s="1"/>
  <c r="P1600" i="1" s="1"/>
  <c r="P1605" i="1" s="1"/>
  <c r="P1632" i="1" s="1"/>
  <c r="P1638" i="1" s="1"/>
  <c r="P1643" i="1" s="1"/>
  <c r="P1670" i="1" s="1"/>
  <c r="P1676" i="1" s="1"/>
  <c r="P1681" i="1" s="1"/>
  <c r="P1708" i="1" s="1"/>
  <c r="P1714" i="1" s="1"/>
  <c r="P1719" i="1" s="1"/>
  <c r="P1746" i="1" s="1"/>
  <c r="P1752" i="1" s="1"/>
  <c r="P1757" i="1" s="1"/>
  <c r="P1784" i="1" s="1"/>
  <c r="P1790" i="1" s="1"/>
  <c r="P1795" i="1" s="1"/>
  <c r="P1822" i="1" s="1"/>
  <c r="P1828" i="1" s="1"/>
  <c r="P1833" i="1" s="1"/>
  <c r="P1860" i="1" s="1"/>
  <c r="P1866" i="1" s="1"/>
  <c r="P1871" i="1" s="1"/>
  <c r="P1898" i="1" s="1"/>
  <c r="P1904" i="1" s="1"/>
  <c r="P1909" i="1" s="1"/>
  <c r="P1936" i="1" s="1"/>
  <c r="P1942" i="1" s="1"/>
  <c r="P1947" i="1" s="1"/>
  <c r="P1974" i="1" s="1"/>
  <c r="P1980" i="1" s="1"/>
  <c r="P1985" i="1" s="1"/>
  <c r="P2012" i="1" s="1"/>
  <c r="P2018" i="1" s="1"/>
  <c r="P2023" i="1" s="1"/>
  <c r="P2050" i="1" s="1"/>
  <c r="P2056" i="1" s="1"/>
  <c r="P2061" i="1" s="1"/>
  <c r="P2088" i="1" s="1"/>
  <c r="P2094" i="1" s="1"/>
  <c r="P2099" i="1" s="1"/>
  <c r="P2126" i="1" s="1"/>
  <c r="P2132" i="1" s="1"/>
  <c r="P2137" i="1" s="1"/>
  <c r="P2164" i="1" s="1"/>
  <c r="P2170" i="1" s="1"/>
  <c r="P2175" i="1" s="1"/>
  <c r="P2202" i="1" s="1"/>
  <c r="P2208" i="1" s="1"/>
  <c r="P2213" i="1" s="1"/>
  <c r="P2240" i="1" s="1"/>
  <c r="P2246" i="1" s="1"/>
  <c r="P2251" i="1" s="1"/>
  <c r="P2278" i="1" s="1"/>
  <c r="P2284" i="1" s="1"/>
  <c r="P2289" i="1" s="1"/>
  <c r="P2316" i="1" s="1"/>
  <c r="P2322" i="1" s="1"/>
  <c r="P2327" i="1" s="1"/>
  <c r="P2354" i="1" s="1"/>
  <c r="P2360" i="1" s="1"/>
  <c r="P2365" i="1" s="1"/>
  <c r="P2392" i="1" s="1"/>
  <c r="P2398" i="1" s="1"/>
  <c r="P2403" i="1" s="1"/>
  <c r="P2430" i="1" s="1"/>
  <c r="P2436" i="1" s="1"/>
  <c r="P2441" i="1" s="1"/>
  <c r="P2468" i="1" s="1"/>
  <c r="P2474" i="1" s="1"/>
  <c r="P2479" i="1" s="1"/>
  <c r="P2506" i="1" s="1"/>
  <c r="P2512" i="1" s="1"/>
  <c r="P2517" i="1" s="1"/>
  <c r="P2544" i="1" s="1"/>
  <c r="P2550" i="1" s="1"/>
  <c r="P2555" i="1" s="1"/>
  <c r="P2582" i="1" s="1"/>
  <c r="P2588" i="1" s="1"/>
  <c r="P2593" i="1" s="1"/>
  <c r="P2620" i="1" s="1"/>
  <c r="P2626" i="1" s="1"/>
  <c r="P2631" i="1" s="1"/>
  <c r="P2658" i="1" s="1"/>
  <c r="P2664" i="1" s="1"/>
  <c r="P2669" i="1" s="1"/>
  <c r="P2696" i="1" s="1"/>
  <c r="P2702" i="1" s="1"/>
  <c r="P2707" i="1" s="1"/>
  <c r="P2734" i="1" s="1"/>
  <c r="P2740" i="1" s="1"/>
  <c r="P2745" i="1" s="1"/>
  <c r="P2772" i="1" s="1"/>
  <c r="P2778" i="1" s="1"/>
  <c r="P2783" i="1" s="1"/>
  <c r="P2810" i="1" s="1"/>
  <c r="P2816" i="1" s="1"/>
  <c r="P2821" i="1" s="1"/>
  <c r="P2848" i="1" s="1"/>
  <c r="P2854" i="1" s="1"/>
  <c r="P2859" i="1" s="1"/>
  <c r="P2886" i="1" s="1"/>
  <c r="R992" i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R1980" i="1" s="1"/>
  <c r="R1985" i="1" s="1"/>
  <c r="R2012" i="1" s="1"/>
  <c r="R2018" i="1" s="1"/>
  <c r="R2023" i="1" s="1"/>
  <c r="R2050" i="1" s="1"/>
  <c r="R2056" i="1" s="1"/>
  <c r="R2061" i="1" s="1"/>
  <c r="R2088" i="1" s="1"/>
  <c r="R2094" i="1" s="1"/>
  <c r="R2099" i="1" s="1"/>
  <c r="R2126" i="1" s="1"/>
  <c r="R2132" i="1" s="1"/>
  <c r="R2137" i="1" s="1"/>
  <c r="R2164" i="1" s="1"/>
  <c r="R2170" i="1" s="1"/>
  <c r="R2175" i="1" s="1"/>
  <c r="R2202" i="1" s="1"/>
  <c r="R2208" i="1" s="1"/>
  <c r="R2213" i="1" s="1"/>
  <c r="R2240" i="1" s="1"/>
  <c r="R2246" i="1" s="1"/>
  <c r="R2251" i="1" s="1"/>
  <c r="R2278" i="1" s="1"/>
  <c r="R2284" i="1" s="1"/>
  <c r="R2289" i="1" s="1"/>
  <c r="R2316" i="1" s="1"/>
  <c r="R2322" i="1" s="1"/>
  <c r="R2327" i="1" s="1"/>
  <c r="R2354" i="1" s="1"/>
  <c r="R2360" i="1" s="1"/>
  <c r="R2365" i="1" s="1"/>
  <c r="R2392" i="1" s="1"/>
  <c r="R2398" i="1" s="1"/>
  <c r="R2403" i="1" s="1"/>
  <c r="R2430" i="1" s="1"/>
  <c r="R2436" i="1" s="1"/>
  <c r="R2441" i="1" s="1"/>
  <c r="R2468" i="1" s="1"/>
  <c r="R2474" i="1" s="1"/>
  <c r="R2479" i="1" s="1"/>
  <c r="R2506" i="1" s="1"/>
  <c r="R2512" i="1" s="1"/>
  <c r="R2517" i="1" s="1"/>
  <c r="R2544" i="1" s="1"/>
  <c r="R2550" i="1" s="1"/>
  <c r="R2555" i="1" s="1"/>
  <c r="R2582" i="1" s="1"/>
  <c r="R2588" i="1" s="1"/>
  <c r="R2593" i="1" s="1"/>
  <c r="R2620" i="1" s="1"/>
  <c r="R2626" i="1" s="1"/>
  <c r="R2631" i="1" s="1"/>
  <c r="R2658" i="1" s="1"/>
  <c r="R2664" i="1" s="1"/>
  <c r="R2669" i="1" s="1"/>
  <c r="R2696" i="1" s="1"/>
  <c r="R2702" i="1" s="1"/>
  <c r="R2707" i="1" s="1"/>
  <c r="R2734" i="1" s="1"/>
  <c r="R2740" i="1" s="1"/>
  <c r="R2745" i="1" s="1"/>
  <c r="R2772" i="1" s="1"/>
  <c r="R2778" i="1" s="1"/>
  <c r="R2783" i="1" s="1"/>
  <c r="R2810" i="1" s="1"/>
  <c r="R2816" i="1" s="1"/>
  <c r="R2821" i="1" s="1"/>
  <c r="R2848" i="1" s="1"/>
  <c r="R2854" i="1" s="1"/>
  <c r="R2859" i="1" s="1"/>
  <c r="R2886" i="1" s="1"/>
  <c r="T76" i="1"/>
  <c r="U76" i="1"/>
  <c r="W76" i="1"/>
  <c r="X76" i="1"/>
  <c r="V76" i="1"/>
  <c r="X303" i="1"/>
  <c r="U992" i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U1339" i="1" s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U1643" i="1" s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U1909" i="1" s="1"/>
  <c r="U1936" i="1" s="1"/>
  <c r="U1942" i="1" s="1"/>
  <c r="U1947" i="1" s="1"/>
  <c r="U1974" i="1" s="1"/>
  <c r="U1980" i="1" s="1"/>
  <c r="U1985" i="1" s="1"/>
  <c r="U2012" i="1" s="1"/>
  <c r="U2018" i="1" s="1"/>
  <c r="U2023" i="1" s="1"/>
  <c r="U2050" i="1" s="1"/>
  <c r="U2056" i="1" s="1"/>
  <c r="U2061" i="1" s="1"/>
  <c r="U2088" i="1" s="1"/>
  <c r="U2094" i="1" s="1"/>
  <c r="U2099" i="1" s="1"/>
  <c r="U2126" i="1" s="1"/>
  <c r="U2132" i="1" s="1"/>
  <c r="U2137" i="1" s="1"/>
  <c r="U2164" i="1" s="1"/>
  <c r="U2170" i="1" s="1"/>
  <c r="U2175" i="1" s="1"/>
  <c r="U2202" i="1" s="1"/>
  <c r="U2208" i="1" s="1"/>
  <c r="U2213" i="1" s="1"/>
  <c r="U2240" i="1" s="1"/>
  <c r="U2246" i="1" s="1"/>
  <c r="U2251" i="1" s="1"/>
  <c r="U2278" i="1" s="1"/>
  <c r="U2284" i="1" s="1"/>
  <c r="U2289" i="1" s="1"/>
  <c r="U2316" i="1" s="1"/>
  <c r="U2322" i="1" s="1"/>
  <c r="U2327" i="1" s="1"/>
  <c r="U2354" i="1" s="1"/>
  <c r="U2360" i="1" s="1"/>
  <c r="U2365" i="1" s="1"/>
  <c r="U2392" i="1" s="1"/>
  <c r="U2398" i="1" s="1"/>
  <c r="U2403" i="1" s="1"/>
  <c r="U2430" i="1" s="1"/>
  <c r="U2436" i="1" s="1"/>
  <c r="U2441" i="1" s="1"/>
  <c r="U2468" i="1" s="1"/>
  <c r="U2474" i="1" s="1"/>
  <c r="U2479" i="1" s="1"/>
  <c r="U2506" i="1" s="1"/>
  <c r="U2512" i="1" s="1"/>
  <c r="U2517" i="1" s="1"/>
  <c r="U2544" i="1" s="1"/>
  <c r="U2550" i="1" s="1"/>
  <c r="U2555" i="1" s="1"/>
  <c r="U2582" i="1" s="1"/>
  <c r="U2588" i="1" s="1"/>
  <c r="U2593" i="1" s="1"/>
  <c r="U2620" i="1" s="1"/>
  <c r="U2626" i="1" s="1"/>
  <c r="U2631" i="1" s="1"/>
  <c r="U2658" i="1" s="1"/>
  <c r="U2664" i="1" s="1"/>
  <c r="U2669" i="1" s="1"/>
  <c r="U2696" i="1" s="1"/>
  <c r="U2702" i="1" s="1"/>
  <c r="U2707" i="1" s="1"/>
  <c r="U2734" i="1" s="1"/>
  <c r="U2740" i="1" s="1"/>
  <c r="U2745" i="1" s="1"/>
  <c r="U2772" i="1" s="1"/>
  <c r="U2778" i="1" s="1"/>
  <c r="U2783" i="1" s="1"/>
  <c r="U2810" i="1" s="1"/>
  <c r="U2816" i="1" s="1"/>
  <c r="U2821" i="1" s="1"/>
  <c r="U2848" i="1" s="1"/>
  <c r="U2854" i="1" s="1"/>
  <c r="U2859" i="1" s="1"/>
  <c r="U2886" i="1" s="1"/>
  <c r="W992" i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W1714" i="1" s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W1936" i="1" s="1"/>
  <c r="W1942" i="1" s="1"/>
  <c r="W1947" i="1" s="1"/>
  <c r="W1974" i="1" s="1"/>
  <c r="W1980" i="1" s="1"/>
  <c r="W1985" i="1" s="1"/>
  <c r="W2012" i="1" s="1"/>
  <c r="W2018" i="1" s="1"/>
  <c r="W2023" i="1" s="1"/>
  <c r="W2050" i="1" s="1"/>
  <c r="W2056" i="1" s="1"/>
  <c r="W2061" i="1" s="1"/>
  <c r="W2088" i="1" s="1"/>
  <c r="W2094" i="1" s="1"/>
  <c r="W2099" i="1" s="1"/>
  <c r="W2126" i="1" s="1"/>
  <c r="W2132" i="1" s="1"/>
  <c r="W2137" i="1" s="1"/>
  <c r="W2164" i="1" s="1"/>
  <c r="W2170" i="1" s="1"/>
  <c r="W2175" i="1" s="1"/>
  <c r="W2202" i="1" s="1"/>
  <c r="W2208" i="1" s="1"/>
  <c r="W2213" i="1" s="1"/>
  <c r="W2240" i="1" s="1"/>
  <c r="W2246" i="1" s="1"/>
  <c r="W2251" i="1" s="1"/>
  <c r="W2278" i="1" s="1"/>
  <c r="W2284" i="1" s="1"/>
  <c r="W2289" i="1" s="1"/>
  <c r="W2316" i="1" s="1"/>
  <c r="W2322" i="1" s="1"/>
  <c r="W2327" i="1" s="1"/>
  <c r="W2354" i="1" s="1"/>
  <c r="W2360" i="1" s="1"/>
  <c r="W2365" i="1" s="1"/>
  <c r="W2392" i="1" s="1"/>
  <c r="W2398" i="1" s="1"/>
  <c r="W2403" i="1" s="1"/>
  <c r="W2430" i="1" s="1"/>
  <c r="W2436" i="1" s="1"/>
  <c r="W2441" i="1" s="1"/>
  <c r="W2468" i="1" s="1"/>
  <c r="W2474" i="1" s="1"/>
  <c r="W2479" i="1" s="1"/>
  <c r="W2506" i="1" s="1"/>
  <c r="W2512" i="1" s="1"/>
  <c r="W2517" i="1" s="1"/>
  <c r="W2544" i="1" s="1"/>
  <c r="W2550" i="1" s="1"/>
  <c r="W2555" i="1" s="1"/>
  <c r="W2582" i="1" s="1"/>
  <c r="W2588" i="1" s="1"/>
  <c r="W2593" i="1" s="1"/>
  <c r="W2620" i="1" s="1"/>
  <c r="W2626" i="1" s="1"/>
  <c r="W2631" i="1" s="1"/>
  <c r="W2658" i="1" s="1"/>
  <c r="W2664" i="1" s="1"/>
  <c r="W2669" i="1" s="1"/>
  <c r="W2696" i="1" s="1"/>
  <c r="W2702" i="1" s="1"/>
  <c r="W2707" i="1" s="1"/>
  <c r="W2734" i="1" s="1"/>
  <c r="W2740" i="1" s="1"/>
  <c r="W2745" i="1" s="1"/>
  <c r="W2772" i="1" s="1"/>
  <c r="W2778" i="1" s="1"/>
  <c r="W2783" i="1" s="1"/>
  <c r="W2810" i="1" s="1"/>
  <c r="W2816" i="1" s="1"/>
  <c r="W2821" i="1" s="1"/>
  <c r="W2848" i="1" s="1"/>
  <c r="W2854" i="1" s="1"/>
  <c r="W2859" i="1" s="1"/>
  <c r="W2886" i="1" s="1"/>
  <c r="V911" i="1"/>
  <c r="Y75" i="1"/>
  <c r="Y303" i="1" s="1"/>
  <c r="Y455" i="1" s="1"/>
  <c r="F112" i="1"/>
  <c r="R304" i="1"/>
  <c r="F123" i="1"/>
  <c r="Q607" i="1"/>
  <c r="W759" i="1"/>
  <c r="F156" i="1"/>
  <c r="B161" i="1"/>
  <c r="B188" i="1" s="1"/>
  <c r="B194" i="1" s="1"/>
  <c r="B199" i="1" s="1"/>
  <c r="B226" i="1" s="1"/>
  <c r="B232" i="1" s="1"/>
  <c r="B237" i="1" s="1"/>
  <c r="B264" i="1" s="1"/>
  <c r="B270" i="1" s="1"/>
  <c r="B275" i="1" s="1"/>
  <c r="B302" i="1" s="1"/>
  <c r="B308" i="1" s="1"/>
  <c r="B313" i="1" s="1"/>
  <c r="B340" i="1" s="1"/>
  <c r="B346" i="1" s="1"/>
  <c r="B351" i="1" s="1"/>
  <c r="B378" i="1" s="1"/>
  <c r="B384" i="1" s="1"/>
  <c r="B389" i="1" s="1"/>
  <c r="B416" i="1" s="1"/>
  <c r="B422" i="1" s="1"/>
  <c r="B427" i="1" s="1"/>
  <c r="B454" i="1" s="1"/>
  <c r="B460" i="1" s="1"/>
  <c r="B465" i="1" s="1"/>
  <c r="B492" i="1" s="1"/>
  <c r="B498" i="1" s="1"/>
  <c r="B503" i="1" s="1"/>
  <c r="B530" i="1" s="1"/>
  <c r="B536" i="1" s="1"/>
  <c r="B541" i="1" s="1"/>
  <c r="B568" i="1" s="1"/>
  <c r="B574" i="1" s="1"/>
  <c r="B579" i="1" s="1"/>
  <c r="B606" i="1" s="1"/>
  <c r="B612" i="1" s="1"/>
  <c r="B617" i="1" s="1"/>
  <c r="B644" i="1" s="1"/>
  <c r="B650" i="1" s="1"/>
  <c r="B655" i="1" s="1"/>
  <c r="B682" i="1" s="1"/>
  <c r="B688" i="1" s="1"/>
  <c r="B693" i="1" s="1"/>
  <c r="B720" i="1" s="1"/>
  <c r="B726" i="1" s="1"/>
  <c r="B731" i="1" s="1"/>
  <c r="B758" i="1" s="1"/>
  <c r="B764" i="1" s="1"/>
  <c r="B769" i="1" s="1"/>
  <c r="B796" i="1" s="1"/>
  <c r="B802" i="1" s="1"/>
  <c r="B807" i="1" s="1"/>
  <c r="B834" i="1" s="1"/>
  <c r="B840" i="1" s="1"/>
  <c r="B845" i="1" s="1"/>
  <c r="B872" i="1" s="1"/>
  <c r="B878" i="1" s="1"/>
  <c r="B883" i="1" s="1"/>
  <c r="B910" i="1" s="1"/>
  <c r="B916" i="1" s="1"/>
  <c r="B921" i="1" s="1"/>
  <c r="B948" i="1" s="1"/>
  <c r="B954" i="1" s="1"/>
  <c r="B959" i="1" s="1"/>
  <c r="B986" i="1" s="1"/>
  <c r="B992" i="1" s="1"/>
  <c r="B997" i="1" s="1"/>
  <c r="B1024" i="1" s="1"/>
  <c r="B1030" i="1" s="1"/>
  <c r="B1035" i="1" s="1"/>
  <c r="B1062" i="1" s="1"/>
  <c r="B1068" i="1" s="1"/>
  <c r="B1073" i="1" s="1"/>
  <c r="B1100" i="1" s="1"/>
  <c r="B1106" i="1" s="1"/>
  <c r="B1111" i="1" s="1"/>
  <c r="B1138" i="1" s="1"/>
  <c r="B1144" i="1" s="1"/>
  <c r="B1149" i="1" s="1"/>
  <c r="B1176" i="1" s="1"/>
  <c r="B1182" i="1" s="1"/>
  <c r="B1187" i="1" s="1"/>
  <c r="B1214" i="1" s="1"/>
  <c r="B1220" i="1" s="1"/>
  <c r="B1225" i="1" s="1"/>
  <c r="B1252" i="1" s="1"/>
  <c r="B1258" i="1" s="1"/>
  <c r="B1263" i="1" s="1"/>
  <c r="B1290" i="1" s="1"/>
  <c r="B1296" i="1" s="1"/>
  <c r="B1301" i="1" s="1"/>
  <c r="B1328" i="1" s="1"/>
  <c r="B1334" i="1" s="1"/>
  <c r="B1339" i="1" s="1"/>
  <c r="B1366" i="1" s="1"/>
  <c r="B1372" i="1" s="1"/>
  <c r="B1377" i="1" s="1"/>
  <c r="B1404" i="1" s="1"/>
  <c r="B1410" i="1" s="1"/>
  <c r="B1415" i="1" s="1"/>
  <c r="B1442" i="1" s="1"/>
  <c r="B1448" i="1" s="1"/>
  <c r="B1453" i="1" s="1"/>
  <c r="B1480" i="1" s="1"/>
  <c r="B1486" i="1" s="1"/>
  <c r="B1491" i="1" s="1"/>
  <c r="B1518" i="1" s="1"/>
  <c r="B1524" i="1" s="1"/>
  <c r="B1529" i="1" s="1"/>
  <c r="B1556" i="1" s="1"/>
  <c r="B1562" i="1" s="1"/>
  <c r="B1567" i="1" s="1"/>
  <c r="B1594" i="1" s="1"/>
  <c r="B1600" i="1" s="1"/>
  <c r="B1605" i="1" s="1"/>
  <c r="B1632" i="1" s="1"/>
  <c r="B1638" i="1" s="1"/>
  <c r="B1643" i="1" s="1"/>
  <c r="B1670" i="1" s="1"/>
  <c r="B1676" i="1" s="1"/>
  <c r="B1681" i="1" s="1"/>
  <c r="B1708" i="1" s="1"/>
  <c r="B1714" i="1" s="1"/>
  <c r="B1719" i="1" s="1"/>
  <c r="B1746" i="1" s="1"/>
  <c r="B1752" i="1" s="1"/>
  <c r="B1757" i="1" s="1"/>
  <c r="B1784" i="1" s="1"/>
  <c r="B1790" i="1" s="1"/>
  <c r="B1795" i="1" s="1"/>
  <c r="B1822" i="1" s="1"/>
  <c r="B1828" i="1" s="1"/>
  <c r="B1833" i="1" s="1"/>
  <c r="B1860" i="1" s="1"/>
  <c r="B1866" i="1" s="1"/>
  <c r="B1871" i="1" s="1"/>
  <c r="B1898" i="1" s="1"/>
  <c r="B1904" i="1" s="1"/>
  <c r="B1909" i="1" s="1"/>
  <c r="B1936" i="1" s="1"/>
  <c r="B1942" i="1" s="1"/>
  <c r="B1947" i="1" s="1"/>
  <c r="B1974" i="1" s="1"/>
  <c r="B1980" i="1" s="1"/>
  <c r="B1985" i="1" s="1"/>
  <c r="B2012" i="1" s="1"/>
  <c r="B2018" i="1" s="1"/>
  <c r="B2023" i="1" s="1"/>
  <c r="B2050" i="1" s="1"/>
  <c r="B2056" i="1" s="1"/>
  <c r="B2061" i="1" s="1"/>
  <c r="B2088" i="1" s="1"/>
  <c r="B2094" i="1" s="1"/>
  <c r="B2099" i="1" s="1"/>
  <c r="B2126" i="1" s="1"/>
  <c r="B2132" i="1" s="1"/>
  <c r="B2137" i="1" s="1"/>
  <c r="B2164" i="1" s="1"/>
  <c r="B2170" i="1" s="1"/>
  <c r="B2175" i="1" s="1"/>
  <c r="B2202" i="1" s="1"/>
  <c r="B2208" i="1" s="1"/>
  <c r="B2213" i="1" s="1"/>
  <c r="B2240" i="1" s="1"/>
  <c r="B2246" i="1" s="1"/>
  <c r="B2251" i="1" s="1"/>
  <c r="B2278" i="1" s="1"/>
  <c r="B2284" i="1" s="1"/>
  <c r="B2289" i="1" s="1"/>
  <c r="B2316" i="1" s="1"/>
  <c r="B2322" i="1" s="1"/>
  <c r="B2327" i="1" s="1"/>
  <c r="B2354" i="1" s="1"/>
  <c r="B2360" i="1" s="1"/>
  <c r="B2365" i="1" s="1"/>
  <c r="B2392" i="1" s="1"/>
  <c r="B2398" i="1" s="1"/>
  <c r="B2403" i="1" s="1"/>
  <c r="B2430" i="1" s="1"/>
  <c r="B2436" i="1" s="1"/>
  <c r="B2441" i="1" s="1"/>
  <c r="B2468" i="1" s="1"/>
  <c r="B2474" i="1" s="1"/>
  <c r="B2479" i="1" s="1"/>
  <c r="B2506" i="1" s="1"/>
  <c r="B2512" i="1" s="1"/>
  <c r="B2517" i="1" s="1"/>
  <c r="B2544" i="1" s="1"/>
  <c r="B2550" i="1" s="1"/>
  <c r="B2555" i="1" s="1"/>
  <c r="B2582" i="1" s="1"/>
  <c r="B2588" i="1" s="1"/>
  <c r="B2593" i="1" s="1"/>
  <c r="B2620" i="1" s="1"/>
  <c r="B2626" i="1" s="1"/>
  <c r="B2631" i="1" s="1"/>
  <c r="B2658" i="1" s="1"/>
  <c r="B2664" i="1" s="1"/>
  <c r="B2669" i="1" s="1"/>
  <c r="B2696" i="1" s="1"/>
  <c r="B2702" i="1" s="1"/>
  <c r="B2707" i="1" s="1"/>
  <c r="B2734" i="1" s="1"/>
  <c r="B2740" i="1" s="1"/>
  <c r="B2745" i="1" s="1"/>
  <c r="B2772" i="1" s="1"/>
  <c r="B2778" i="1" s="1"/>
  <c r="B2783" i="1" s="1"/>
  <c r="B2810" i="1" s="1"/>
  <c r="B2816" i="1" s="1"/>
  <c r="B2821" i="1" s="1"/>
  <c r="B2848" i="1" s="1"/>
  <c r="B2854" i="1" s="1"/>
  <c r="B2859" i="1" s="1"/>
  <c r="B2886" i="1" s="1"/>
  <c r="X683" i="1"/>
  <c r="X688" i="1"/>
  <c r="X693" i="1" s="1"/>
  <c r="X720" i="1" s="1"/>
  <c r="X726" i="1" s="1"/>
  <c r="X731" i="1" s="1"/>
  <c r="X758" i="1" s="1"/>
  <c r="X764" i="1" s="1"/>
  <c r="X769" i="1" s="1"/>
  <c r="X796" i="1" s="1"/>
  <c r="X802" i="1" s="1"/>
  <c r="X807" i="1" s="1"/>
  <c r="X834" i="1" s="1"/>
  <c r="X840" i="1" s="1"/>
  <c r="X845" i="1" s="1"/>
  <c r="X872" i="1" s="1"/>
  <c r="X878" i="1" s="1"/>
  <c r="X883" i="1" s="1"/>
  <c r="X910" i="1" s="1"/>
  <c r="X916" i="1" s="1"/>
  <c r="X921" i="1" s="1"/>
  <c r="X948" i="1" s="1"/>
  <c r="X954" i="1" s="1"/>
  <c r="X959" i="1" s="1"/>
  <c r="X986" i="1" s="1"/>
  <c r="V987" i="1" s="1"/>
  <c r="R607" i="1"/>
  <c r="T835" i="1"/>
  <c r="S304" i="1"/>
  <c r="O304" i="1"/>
  <c r="S455" i="1"/>
  <c r="Q456" i="1" s="1"/>
  <c r="S85" i="1"/>
  <c r="Y80" i="1"/>
  <c r="O759" i="1"/>
  <c r="V992" i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V1947" i="1" s="1"/>
  <c r="V1974" i="1" s="1"/>
  <c r="V1980" i="1" s="1"/>
  <c r="V1985" i="1" s="1"/>
  <c r="V2012" i="1" s="1"/>
  <c r="V2018" i="1" s="1"/>
  <c r="V2023" i="1" s="1"/>
  <c r="V2050" i="1" s="1"/>
  <c r="V2056" i="1" s="1"/>
  <c r="V2061" i="1" s="1"/>
  <c r="V2088" i="1" s="1"/>
  <c r="V2094" i="1" s="1"/>
  <c r="V2099" i="1" s="1"/>
  <c r="V2126" i="1" s="1"/>
  <c r="V2132" i="1" s="1"/>
  <c r="V2137" i="1" s="1"/>
  <c r="V2164" i="1" s="1"/>
  <c r="V2170" i="1" s="1"/>
  <c r="V2175" i="1" s="1"/>
  <c r="V2202" i="1" s="1"/>
  <c r="V2208" i="1" s="1"/>
  <c r="V2213" i="1" s="1"/>
  <c r="V2240" i="1" s="1"/>
  <c r="V2246" i="1" s="1"/>
  <c r="V2251" i="1" s="1"/>
  <c r="V2278" i="1" s="1"/>
  <c r="V2284" i="1" s="1"/>
  <c r="V2289" i="1" s="1"/>
  <c r="V2316" i="1" s="1"/>
  <c r="V2322" i="1" s="1"/>
  <c r="V2327" i="1" s="1"/>
  <c r="V2354" i="1" s="1"/>
  <c r="V2360" i="1" s="1"/>
  <c r="V2365" i="1" s="1"/>
  <c r="V2392" i="1" s="1"/>
  <c r="V2398" i="1" s="1"/>
  <c r="V2403" i="1" s="1"/>
  <c r="V2430" i="1" s="1"/>
  <c r="V2436" i="1" s="1"/>
  <c r="V2441" i="1" s="1"/>
  <c r="V2468" i="1" s="1"/>
  <c r="V2474" i="1" s="1"/>
  <c r="V2479" i="1" s="1"/>
  <c r="V2506" i="1" s="1"/>
  <c r="V2512" i="1" s="1"/>
  <c r="V2517" i="1" s="1"/>
  <c r="V2544" i="1" s="1"/>
  <c r="V2550" i="1" s="1"/>
  <c r="V2555" i="1" s="1"/>
  <c r="V2582" i="1" s="1"/>
  <c r="V2588" i="1" s="1"/>
  <c r="V2593" i="1" s="1"/>
  <c r="V2620" i="1" s="1"/>
  <c r="V2626" i="1" s="1"/>
  <c r="V2631" i="1" s="1"/>
  <c r="V2658" i="1" s="1"/>
  <c r="V2664" i="1" s="1"/>
  <c r="V2669" i="1" s="1"/>
  <c r="V2696" i="1" s="1"/>
  <c r="V2702" i="1" s="1"/>
  <c r="V2707" i="1" s="1"/>
  <c r="V2734" i="1" s="1"/>
  <c r="V2740" i="1" s="1"/>
  <c r="V2745" i="1" s="1"/>
  <c r="V2772" i="1" s="1"/>
  <c r="V2778" i="1" s="1"/>
  <c r="V2783" i="1" s="1"/>
  <c r="V2810" i="1" s="1"/>
  <c r="V2816" i="1" s="1"/>
  <c r="V2821" i="1" s="1"/>
  <c r="V2848" i="1" s="1"/>
  <c r="V2854" i="1" s="1"/>
  <c r="V2859" i="1" s="1"/>
  <c r="V2886" i="1" s="1"/>
  <c r="P607" i="1"/>
  <c r="Q992" i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Q1790" i="1" s="1"/>
  <c r="Q1795" i="1" s="1"/>
  <c r="Q1822" i="1" s="1"/>
  <c r="Q1828" i="1" s="1"/>
  <c r="Q1833" i="1" s="1"/>
  <c r="Q1860" i="1" s="1"/>
  <c r="Q1866" i="1" s="1"/>
  <c r="Q1871" i="1" s="1"/>
  <c r="Q1898" i="1" s="1"/>
  <c r="S118" i="1"/>
  <c r="O123" i="1"/>
  <c r="O150" i="1" s="1"/>
  <c r="O156" i="1" s="1"/>
  <c r="Y567" i="1"/>
  <c r="S74" i="1"/>
  <c r="Y74" i="1" s="1"/>
  <c r="Y47" i="1"/>
  <c r="Y1783" i="1"/>
  <c r="Y1517" i="1"/>
  <c r="T683" i="1" l="1"/>
  <c r="V683" i="1"/>
  <c r="U683" i="1"/>
  <c r="Y607" i="1"/>
  <c r="Y759" i="1" s="1"/>
  <c r="Y835" i="1" s="1"/>
  <c r="Y911" i="1" s="1"/>
  <c r="Y1291" i="1" s="1"/>
  <c r="X2394" i="1"/>
  <c r="W2394" i="1"/>
  <c r="V2394" i="1"/>
  <c r="U2394" i="1"/>
  <c r="T2394" i="1"/>
  <c r="S607" i="1"/>
  <c r="O608" i="1" s="1"/>
  <c r="P456" i="1"/>
  <c r="Q1904" i="1"/>
  <c r="Q1909" i="1" s="1"/>
  <c r="Q1936" i="1" s="1"/>
  <c r="Q1942" i="1" s="1"/>
  <c r="Q1947" i="1" s="1"/>
  <c r="Q1974" i="1" s="1"/>
  <c r="Q1980" i="1" s="1"/>
  <c r="Q1985" i="1" s="1"/>
  <c r="Q2012" i="1" s="1"/>
  <c r="Q2018" i="1" s="1"/>
  <c r="Q2023" i="1" s="1"/>
  <c r="Q2050" i="1" s="1"/>
  <c r="Q2056" i="1" s="1"/>
  <c r="Q2061" i="1" s="1"/>
  <c r="Q2088" i="1" s="1"/>
  <c r="Q2094" i="1" s="1"/>
  <c r="Q2099" i="1" s="1"/>
  <c r="Q2126" i="1" s="1"/>
  <c r="Q2132" i="1" s="1"/>
  <c r="Q2137" i="1" s="1"/>
  <c r="Q2164" i="1" s="1"/>
  <c r="Q2170" i="1" s="1"/>
  <c r="Q2175" i="1" s="1"/>
  <c r="Q2202" i="1" s="1"/>
  <c r="Q2208" i="1" s="1"/>
  <c r="Q2213" i="1" s="1"/>
  <c r="Q2240" i="1" s="1"/>
  <c r="Q2246" i="1" s="1"/>
  <c r="Q2251" i="1" s="1"/>
  <c r="Q2278" i="1" s="1"/>
  <c r="Q2284" i="1" s="1"/>
  <c r="Q2289" i="1" s="1"/>
  <c r="Q2316" i="1" s="1"/>
  <c r="Q2322" i="1" s="1"/>
  <c r="Q2327" i="1" s="1"/>
  <c r="Q2354" i="1" s="1"/>
  <c r="Q2360" i="1" s="1"/>
  <c r="Q2365" i="1" s="1"/>
  <c r="Q2392" i="1" s="1"/>
  <c r="Q2398" i="1" s="1"/>
  <c r="Q2403" i="1" s="1"/>
  <c r="Q2430" i="1" s="1"/>
  <c r="Q2436" i="1" s="1"/>
  <c r="Q2441" i="1" s="1"/>
  <c r="Q2468" i="1" s="1"/>
  <c r="Q2474" i="1" s="1"/>
  <c r="Q2479" i="1" s="1"/>
  <c r="Q2506" i="1" s="1"/>
  <c r="Q2512" i="1" s="1"/>
  <c r="Q2517" i="1" s="1"/>
  <c r="Q2544" i="1" s="1"/>
  <c r="Q2550" i="1" s="1"/>
  <c r="Q2555" i="1" s="1"/>
  <c r="Q2582" i="1" s="1"/>
  <c r="Q2588" i="1" s="1"/>
  <c r="Q2593" i="1" s="1"/>
  <c r="Q2620" i="1" s="1"/>
  <c r="Q2626" i="1" s="1"/>
  <c r="Q2631" i="1" s="1"/>
  <c r="Q2658" i="1" s="1"/>
  <c r="Q2664" i="1" s="1"/>
  <c r="Q2669" i="1" s="1"/>
  <c r="Q2696" i="1" s="1"/>
  <c r="Q2702" i="1" s="1"/>
  <c r="Q2707" i="1" s="1"/>
  <c r="Q2734" i="1" s="1"/>
  <c r="Q2740" i="1" s="1"/>
  <c r="Q2745" i="1" s="1"/>
  <c r="Q2772" i="1" s="1"/>
  <c r="Q2778" i="1" s="1"/>
  <c r="Q2783" i="1" s="1"/>
  <c r="Q2810" i="1" s="1"/>
  <c r="Q2816" i="1" s="1"/>
  <c r="Q2821" i="1" s="1"/>
  <c r="Q2848" i="1" s="1"/>
  <c r="Q2854" i="1" s="1"/>
  <c r="Q2859" i="1" s="1"/>
  <c r="Q2886" i="1" s="1"/>
  <c r="X987" i="1"/>
  <c r="X992" i="1"/>
  <c r="X997" i="1" s="1"/>
  <c r="X1024" i="1" s="1"/>
  <c r="X1030" i="1" s="1"/>
  <c r="X1035" i="1" s="1"/>
  <c r="X1062" i="1" s="1"/>
  <c r="X1068" i="1" s="1"/>
  <c r="X1073" i="1" s="1"/>
  <c r="X1100" i="1" s="1"/>
  <c r="X1106" i="1" s="1"/>
  <c r="X1111" i="1" s="1"/>
  <c r="X1138" i="1" s="1"/>
  <c r="X1144" i="1" s="1"/>
  <c r="X1149" i="1" s="1"/>
  <c r="X1176" i="1" s="1"/>
  <c r="X1182" i="1" s="1"/>
  <c r="X1187" i="1" s="1"/>
  <c r="X1214" i="1" s="1"/>
  <c r="X1220" i="1" s="1"/>
  <c r="X1225" i="1" s="1"/>
  <c r="X1252" i="1" s="1"/>
  <c r="X1258" i="1" s="1"/>
  <c r="X1263" i="1" s="1"/>
  <c r="X1290" i="1" s="1"/>
  <c r="X1296" i="1" s="1"/>
  <c r="X1301" i="1" s="1"/>
  <c r="X1328" i="1" s="1"/>
  <c r="X1334" i="1" s="1"/>
  <c r="X1339" i="1" s="1"/>
  <c r="X1366" i="1" s="1"/>
  <c r="V1291" i="1"/>
  <c r="T987" i="1"/>
  <c r="T992" i="1"/>
  <c r="T997" i="1" s="1"/>
  <c r="T1024" i="1" s="1"/>
  <c r="T1030" i="1" s="1"/>
  <c r="T1035" i="1" s="1"/>
  <c r="T1062" i="1" s="1"/>
  <c r="T1068" i="1" s="1"/>
  <c r="T1073" i="1" s="1"/>
  <c r="T1100" i="1" s="1"/>
  <c r="T1106" i="1" s="1"/>
  <c r="T1111" i="1" s="1"/>
  <c r="T1138" i="1" s="1"/>
  <c r="T1144" i="1" s="1"/>
  <c r="T1149" i="1" s="1"/>
  <c r="T1176" i="1" s="1"/>
  <c r="T1182" i="1" s="1"/>
  <c r="T1187" i="1" s="1"/>
  <c r="T1214" i="1" s="1"/>
  <c r="T1220" i="1" s="1"/>
  <c r="T1225" i="1" s="1"/>
  <c r="T1252" i="1" s="1"/>
  <c r="T1258" i="1" s="1"/>
  <c r="T1263" i="1" s="1"/>
  <c r="T1290" i="1" s="1"/>
  <c r="T1296" i="1" s="1"/>
  <c r="T1301" i="1" s="1"/>
  <c r="T1328" i="1" s="1"/>
  <c r="T1334" i="1" s="1"/>
  <c r="T1339" i="1" s="1"/>
  <c r="T1366" i="1" s="1"/>
  <c r="S156" i="1"/>
  <c r="O161" i="1"/>
  <c r="O188" i="1" s="1"/>
  <c r="O194" i="1" s="1"/>
  <c r="O199" i="1" s="1"/>
  <c r="O226" i="1" s="1"/>
  <c r="T911" i="1"/>
  <c r="W835" i="1"/>
  <c r="R759" i="1"/>
  <c r="R608" i="1"/>
  <c r="Y1519" i="1"/>
  <c r="Y85" i="1"/>
  <c r="S112" i="1"/>
  <c r="Y112" i="1" s="1"/>
  <c r="P759" i="1"/>
  <c r="S456" i="1"/>
  <c r="O456" i="1"/>
  <c r="F150" i="1"/>
  <c r="W987" i="1"/>
  <c r="K74" i="1"/>
  <c r="L74" i="1" s="1"/>
  <c r="L47" i="1"/>
  <c r="S608" i="1"/>
  <c r="F161" i="1"/>
  <c r="U987" i="1"/>
  <c r="K85" i="1"/>
  <c r="L80" i="1"/>
  <c r="G123" i="1"/>
  <c r="G150" i="1" s="1"/>
  <c r="G156" i="1" s="1"/>
  <c r="K118" i="1"/>
  <c r="S123" i="1"/>
  <c r="Y118" i="1"/>
  <c r="O835" i="1"/>
  <c r="R456" i="1"/>
  <c r="Q608" i="1"/>
  <c r="Q759" i="1"/>
  <c r="X304" i="1"/>
  <c r="U304" i="1"/>
  <c r="W304" i="1"/>
  <c r="T304" i="1"/>
  <c r="V304" i="1"/>
  <c r="X455" i="1"/>
  <c r="U911" i="1"/>
  <c r="S759" i="1" l="1"/>
  <c r="O760" i="1" s="1"/>
  <c r="P608" i="1"/>
  <c r="X1372" i="1"/>
  <c r="X1377" i="1" s="1"/>
  <c r="X1404" i="1" s="1"/>
  <c r="X1410" i="1" s="1"/>
  <c r="X1415" i="1" s="1"/>
  <c r="X1442" i="1" s="1"/>
  <c r="X1448" i="1" s="1"/>
  <c r="X1453" i="1" s="1"/>
  <c r="X1480" i="1" s="1"/>
  <c r="X1486" i="1" s="1"/>
  <c r="X1491" i="1" s="1"/>
  <c r="X1518" i="1" s="1"/>
  <c r="X1524" i="1" s="1"/>
  <c r="X1529" i="1" s="1"/>
  <c r="X1556" i="1" s="1"/>
  <c r="V1367" i="1"/>
  <c r="W1367" i="1"/>
  <c r="X1367" i="1"/>
  <c r="O911" i="1"/>
  <c r="O232" i="1"/>
  <c r="O237" i="1" s="1"/>
  <c r="O264" i="1" s="1"/>
  <c r="O270" i="1" s="1"/>
  <c r="O275" i="1" s="1"/>
  <c r="O302" i="1" s="1"/>
  <c r="O308" i="1" s="1"/>
  <c r="O313" i="1" s="1"/>
  <c r="O340" i="1" s="1"/>
  <c r="O346" i="1" s="1"/>
  <c r="O351" i="1" s="1"/>
  <c r="O378" i="1" s="1"/>
  <c r="O384" i="1" s="1"/>
  <c r="O389" i="1" s="1"/>
  <c r="O416" i="1" s="1"/>
  <c r="O422" i="1" s="1"/>
  <c r="O427" i="1" s="1"/>
  <c r="O454" i="1" s="1"/>
  <c r="O460" i="1" s="1"/>
  <c r="O465" i="1" s="1"/>
  <c r="O492" i="1" s="1"/>
  <c r="O498" i="1" s="1"/>
  <c r="O503" i="1" s="1"/>
  <c r="O530" i="1" s="1"/>
  <c r="O536" i="1" s="1"/>
  <c r="O541" i="1" s="1"/>
  <c r="O568" i="1" s="1"/>
  <c r="O574" i="1" s="1"/>
  <c r="O579" i="1" s="1"/>
  <c r="O606" i="1" s="1"/>
  <c r="O612" i="1" s="1"/>
  <c r="O617" i="1" s="1"/>
  <c r="O644" i="1" s="1"/>
  <c r="O650" i="1" s="1"/>
  <c r="O655" i="1" s="1"/>
  <c r="O682" i="1" s="1"/>
  <c r="X607" i="1"/>
  <c r="X456" i="1"/>
  <c r="V456" i="1"/>
  <c r="T456" i="1"/>
  <c r="U456" i="1"/>
  <c r="W456" i="1"/>
  <c r="S161" i="1"/>
  <c r="Y156" i="1"/>
  <c r="S150" i="1"/>
  <c r="Y150" i="1" s="1"/>
  <c r="Y123" i="1"/>
  <c r="F188" i="1"/>
  <c r="R835" i="1"/>
  <c r="R760" i="1"/>
  <c r="T1372" i="1"/>
  <c r="T1377" i="1" s="1"/>
  <c r="T1404" i="1" s="1"/>
  <c r="T1410" i="1" s="1"/>
  <c r="T1415" i="1" s="1"/>
  <c r="T1442" i="1" s="1"/>
  <c r="T1448" i="1" s="1"/>
  <c r="T1453" i="1" s="1"/>
  <c r="T1480" i="1" s="1"/>
  <c r="T1486" i="1" s="1"/>
  <c r="T1491" i="1" s="1"/>
  <c r="T1518" i="1" s="1"/>
  <c r="T1524" i="1" s="1"/>
  <c r="T1529" i="1" s="1"/>
  <c r="T1556" i="1" s="1"/>
  <c r="T1367" i="1"/>
  <c r="U1367" i="1"/>
  <c r="S760" i="1"/>
  <c r="S835" i="1"/>
  <c r="O836" i="1" s="1"/>
  <c r="Q835" i="1"/>
  <c r="Q760" i="1"/>
  <c r="K123" i="1"/>
  <c r="L118" i="1"/>
  <c r="W911" i="1"/>
  <c r="V1519" i="1"/>
  <c r="V1785" i="1" s="1"/>
  <c r="U1291" i="1"/>
  <c r="K156" i="1"/>
  <c r="G161" i="1"/>
  <c r="G188" i="1" s="1"/>
  <c r="G194" i="1" s="1"/>
  <c r="G199" i="1" s="1"/>
  <c r="G226" i="1" s="1"/>
  <c r="G232" i="1" s="1"/>
  <c r="G237" i="1" s="1"/>
  <c r="G264" i="1" s="1"/>
  <c r="G270" i="1" s="1"/>
  <c r="G275" i="1" s="1"/>
  <c r="G302" i="1" s="1"/>
  <c r="G308" i="1" s="1"/>
  <c r="G313" i="1" s="1"/>
  <c r="G340" i="1" s="1"/>
  <c r="G346" i="1" s="1"/>
  <c r="G351" i="1" s="1"/>
  <c r="G378" i="1" s="1"/>
  <c r="G384" i="1" s="1"/>
  <c r="G389" i="1" s="1"/>
  <c r="G416" i="1" s="1"/>
  <c r="G422" i="1" s="1"/>
  <c r="G427" i="1" s="1"/>
  <c r="G454" i="1" s="1"/>
  <c r="G460" i="1" s="1"/>
  <c r="G465" i="1" s="1"/>
  <c r="G492" i="1" s="1"/>
  <c r="G498" i="1" s="1"/>
  <c r="G503" i="1" s="1"/>
  <c r="G530" i="1" s="1"/>
  <c r="G536" i="1" s="1"/>
  <c r="G541" i="1" s="1"/>
  <c r="G568" i="1" s="1"/>
  <c r="G574" i="1" s="1"/>
  <c r="G579" i="1" s="1"/>
  <c r="G606" i="1" s="1"/>
  <c r="G612" i="1" s="1"/>
  <c r="G617" i="1" s="1"/>
  <c r="G644" i="1" s="1"/>
  <c r="G650" i="1" s="1"/>
  <c r="G655" i="1" s="1"/>
  <c r="G682" i="1" s="1"/>
  <c r="G688" i="1" s="1"/>
  <c r="G693" i="1" s="1"/>
  <c r="G720" i="1" s="1"/>
  <c r="G726" i="1" s="1"/>
  <c r="G731" i="1" s="1"/>
  <c r="G758" i="1" s="1"/>
  <c r="G764" i="1" s="1"/>
  <c r="G769" i="1" s="1"/>
  <c r="G796" i="1" s="1"/>
  <c r="G802" i="1" s="1"/>
  <c r="G807" i="1" s="1"/>
  <c r="G834" i="1" s="1"/>
  <c r="G840" i="1" s="1"/>
  <c r="G845" i="1" s="1"/>
  <c r="G872" i="1" s="1"/>
  <c r="G878" i="1" s="1"/>
  <c r="G883" i="1" s="1"/>
  <c r="G910" i="1" s="1"/>
  <c r="G916" i="1" s="1"/>
  <c r="G921" i="1" s="1"/>
  <c r="G948" i="1" s="1"/>
  <c r="G954" i="1" s="1"/>
  <c r="G959" i="1" s="1"/>
  <c r="G986" i="1" s="1"/>
  <c r="G992" i="1" s="1"/>
  <c r="G997" i="1" s="1"/>
  <c r="G1024" i="1" s="1"/>
  <c r="G1030" i="1" s="1"/>
  <c r="G1035" i="1" s="1"/>
  <c r="G1062" i="1" s="1"/>
  <c r="G1068" i="1" s="1"/>
  <c r="G1073" i="1" s="1"/>
  <c r="G1100" i="1" s="1"/>
  <c r="G1106" i="1" s="1"/>
  <c r="G1111" i="1" s="1"/>
  <c r="G1138" i="1" s="1"/>
  <c r="G1144" i="1" s="1"/>
  <c r="G1149" i="1" s="1"/>
  <c r="G1176" i="1" s="1"/>
  <c r="G1182" i="1" s="1"/>
  <c r="G1187" i="1" s="1"/>
  <c r="G1214" i="1" s="1"/>
  <c r="G1220" i="1" s="1"/>
  <c r="G1225" i="1" s="1"/>
  <c r="G1252" i="1" s="1"/>
  <c r="G1258" i="1" s="1"/>
  <c r="G1263" i="1" s="1"/>
  <c r="G1290" i="1" s="1"/>
  <c r="G1296" i="1" s="1"/>
  <c r="G1301" i="1" s="1"/>
  <c r="G1328" i="1" s="1"/>
  <c r="G1334" i="1" s="1"/>
  <c r="G1339" i="1" s="1"/>
  <c r="G1366" i="1" s="1"/>
  <c r="G1372" i="1" s="1"/>
  <c r="G1377" i="1" s="1"/>
  <c r="G1404" i="1" s="1"/>
  <c r="G1410" i="1" s="1"/>
  <c r="G1415" i="1" s="1"/>
  <c r="G1442" i="1" s="1"/>
  <c r="G1448" i="1" s="1"/>
  <c r="G1453" i="1" s="1"/>
  <c r="G1480" i="1" s="1"/>
  <c r="G1486" i="1" s="1"/>
  <c r="G1491" i="1" s="1"/>
  <c r="G1518" i="1" s="1"/>
  <c r="G1524" i="1" s="1"/>
  <c r="G1529" i="1" s="1"/>
  <c r="G1556" i="1" s="1"/>
  <c r="G1562" i="1" s="1"/>
  <c r="G1567" i="1" s="1"/>
  <c r="G1594" i="1" s="1"/>
  <c r="G1600" i="1" s="1"/>
  <c r="G1605" i="1" s="1"/>
  <c r="G1632" i="1" s="1"/>
  <c r="G1638" i="1" s="1"/>
  <c r="G1643" i="1" s="1"/>
  <c r="G1670" i="1" s="1"/>
  <c r="G1676" i="1" s="1"/>
  <c r="G1681" i="1" s="1"/>
  <c r="G1708" i="1" s="1"/>
  <c r="G1714" i="1" s="1"/>
  <c r="G1719" i="1" s="1"/>
  <c r="G1746" i="1" s="1"/>
  <c r="G1752" i="1" s="1"/>
  <c r="G1757" i="1" s="1"/>
  <c r="G1784" i="1" s="1"/>
  <c r="G1790" i="1" s="1"/>
  <c r="G1795" i="1" s="1"/>
  <c r="G1822" i="1" s="1"/>
  <c r="G1828" i="1" s="1"/>
  <c r="G1833" i="1" s="1"/>
  <c r="G1860" i="1" s="1"/>
  <c r="G1866" i="1" s="1"/>
  <c r="G1871" i="1" s="1"/>
  <c r="G1898" i="1" s="1"/>
  <c r="G1904" i="1" s="1"/>
  <c r="G1909" i="1" s="1"/>
  <c r="G1936" i="1" s="1"/>
  <c r="G1942" i="1" s="1"/>
  <c r="G1947" i="1" s="1"/>
  <c r="G1974" i="1" s="1"/>
  <c r="G1980" i="1" s="1"/>
  <c r="G1985" i="1" s="1"/>
  <c r="G2012" i="1" s="1"/>
  <c r="G2018" i="1" s="1"/>
  <c r="G2023" i="1" s="1"/>
  <c r="G2050" i="1" s="1"/>
  <c r="G2056" i="1" s="1"/>
  <c r="G2061" i="1" s="1"/>
  <c r="G2088" i="1" s="1"/>
  <c r="G2094" i="1" s="1"/>
  <c r="G2099" i="1" s="1"/>
  <c r="G2126" i="1" s="1"/>
  <c r="G2132" i="1" s="1"/>
  <c r="G2137" i="1" s="1"/>
  <c r="G2164" i="1" s="1"/>
  <c r="G2170" i="1" s="1"/>
  <c r="G2175" i="1" s="1"/>
  <c r="G2202" i="1" s="1"/>
  <c r="G2208" i="1" s="1"/>
  <c r="G2213" i="1" s="1"/>
  <c r="G2240" i="1" s="1"/>
  <c r="G2246" i="1" s="1"/>
  <c r="G2251" i="1" s="1"/>
  <c r="G2278" i="1" s="1"/>
  <c r="G2284" i="1" s="1"/>
  <c r="G2289" i="1" s="1"/>
  <c r="G2316" i="1" s="1"/>
  <c r="G2322" i="1" s="1"/>
  <c r="G2327" i="1" s="1"/>
  <c r="G2354" i="1" s="1"/>
  <c r="G2360" i="1" s="1"/>
  <c r="G2365" i="1" s="1"/>
  <c r="G2392" i="1" s="1"/>
  <c r="G2398" i="1" s="1"/>
  <c r="G2403" i="1" s="1"/>
  <c r="G2430" i="1" s="1"/>
  <c r="G2436" i="1" s="1"/>
  <c r="G2441" i="1" s="1"/>
  <c r="G2468" i="1" s="1"/>
  <c r="G2474" i="1" s="1"/>
  <c r="G2479" i="1" s="1"/>
  <c r="G2506" i="1" s="1"/>
  <c r="G2512" i="1" s="1"/>
  <c r="G2517" i="1" s="1"/>
  <c r="G2544" i="1" s="1"/>
  <c r="G2550" i="1" s="1"/>
  <c r="G2555" i="1" s="1"/>
  <c r="G2582" i="1" s="1"/>
  <c r="G2588" i="1" s="1"/>
  <c r="G2593" i="1" s="1"/>
  <c r="G2620" i="1" s="1"/>
  <c r="G2626" i="1" s="1"/>
  <c r="G2631" i="1" s="1"/>
  <c r="G2658" i="1" s="1"/>
  <c r="G2664" i="1" s="1"/>
  <c r="G2669" i="1" s="1"/>
  <c r="G2696" i="1" s="1"/>
  <c r="G2702" i="1" s="1"/>
  <c r="G2707" i="1" s="1"/>
  <c r="G2734" i="1" s="1"/>
  <c r="G2740" i="1" s="1"/>
  <c r="G2745" i="1" s="1"/>
  <c r="G2772" i="1" s="1"/>
  <c r="G2778" i="1" s="1"/>
  <c r="G2783" i="1" s="1"/>
  <c r="G2810" i="1" s="1"/>
  <c r="G2816" i="1" s="1"/>
  <c r="G2821" i="1" s="1"/>
  <c r="G2848" i="1" s="1"/>
  <c r="G2854" i="1" s="1"/>
  <c r="G2859" i="1" s="1"/>
  <c r="G2886" i="1" s="1"/>
  <c r="P760" i="1"/>
  <c r="P835" i="1"/>
  <c r="K112" i="1"/>
  <c r="L112" i="1" s="1"/>
  <c r="L85" i="1"/>
  <c r="T1291" i="1"/>
  <c r="T1562" i="1" l="1"/>
  <c r="T1567" i="1" s="1"/>
  <c r="T1594" i="1" s="1"/>
  <c r="T1600" i="1" s="1"/>
  <c r="T1605" i="1" s="1"/>
  <c r="T1632" i="1" s="1"/>
  <c r="T1638" i="1" s="1"/>
  <c r="T1643" i="1" s="1"/>
  <c r="T1670" i="1" s="1"/>
  <c r="T1676" i="1" s="1"/>
  <c r="T1681" i="1" s="1"/>
  <c r="T1708" i="1" s="1"/>
  <c r="T1714" i="1" s="1"/>
  <c r="T1719" i="1" s="1"/>
  <c r="T1746" i="1" s="1"/>
  <c r="T1752" i="1" s="1"/>
  <c r="T1757" i="1" s="1"/>
  <c r="T1784" i="1" s="1"/>
  <c r="T1790" i="1" s="1"/>
  <c r="T1795" i="1" s="1"/>
  <c r="T1822" i="1" s="1"/>
  <c r="T1828" i="1" s="1"/>
  <c r="T1833" i="1" s="1"/>
  <c r="T1860" i="1" s="1"/>
  <c r="T1866" i="1" s="1"/>
  <c r="T1871" i="1" s="1"/>
  <c r="T1898" i="1" s="1"/>
  <c r="T1904" i="1" s="1"/>
  <c r="T1909" i="1" s="1"/>
  <c r="T1936" i="1" s="1"/>
  <c r="T1942" i="1" s="1"/>
  <c r="T1947" i="1" s="1"/>
  <c r="T1974" i="1" s="1"/>
  <c r="T1980" i="1" s="1"/>
  <c r="T1985" i="1" s="1"/>
  <c r="T2012" i="1" s="1"/>
  <c r="T2018" i="1" s="1"/>
  <c r="T2023" i="1" s="1"/>
  <c r="T2050" i="1" s="1"/>
  <c r="T2056" i="1" s="1"/>
  <c r="T2061" i="1" s="1"/>
  <c r="T2088" i="1" s="1"/>
  <c r="T2094" i="1" s="1"/>
  <c r="T2099" i="1" s="1"/>
  <c r="T2126" i="1" s="1"/>
  <c r="T2132" i="1" s="1"/>
  <c r="T2137" i="1" s="1"/>
  <c r="T2164" i="1" s="1"/>
  <c r="T2170" i="1" s="1"/>
  <c r="T2175" i="1" s="1"/>
  <c r="T2202" i="1" s="1"/>
  <c r="T2208" i="1" s="1"/>
  <c r="T2213" i="1" s="1"/>
  <c r="T2240" i="1" s="1"/>
  <c r="T2246" i="1" s="1"/>
  <c r="T2251" i="1" s="1"/>
  <c r="T2278" i="1" s="1"/>
  <c r="T2284" i="1" s="1"/>
  <c r="T2289" i="1" s="1"/>
  <c r="T2316" i="1" s="1"/>
  <c r="T2322" i="1" s="1"/>
  <c r="T2327" i="1" s="1"/>
  <c r="T2354" i="1" s="1"/>
  <c r="T2360" i="1" s="1"/>
  <c r="T2365" i="1" s="1"/>
  <c r="T2392" i="1" s="1"/>
  <c r="T2398" i="1" s="1"/>
  <c r="T2403" i="1" s="1"/>
  <c r="T2430" i="1" s="1"/>
  <c r="T2436" i="1" s="1"/>
  <c r="T2441" i="1" s="1"/>
  <c r="T2468" i="1" s="1"/>
  <c r="T2474" i="1" s="1"/>
  <c r="T2479" i="1" s="1"/>
  <c r="T2506" i="1" s="1"/>
  <c r="T2512" i="1" s="1"/>
  <c r="T2517" i="1" s="1"/>
  <c r="T2544" i="1" s="1"/>
  <c r="T2550" i="1" s="1"/>
  <c r="T2555" i="1" s="1"/>
  <c r="T2582" i="1" s="1"/>
  <c r="T2588" i="1" s="1"/>
  <c r="T2593" i="1" s="1"/>
  <c r="T2620" i="1" s="1"/>
  <c r="T2626" i="1" s="1"/>
  <c r="T2631" i="1" s="1"/>
  <c r="T2658" i="1" s="1"/>
  <c r="T2664" i="1" s="1"/>
  <c r="T2669" i="1" s="1"/>
  <c r="T2696" i="1" s="1"/>
  <c r="T2702" i="1" s="1"/>
  <c r="T2707" i="1" s="1"/>
  <c r="T2734" i="1" s="1"/>
  <c r="T2740" i="1" s="1"/>
  <c r="T2745" i="1" s="1"/>
  <c r="T2772" i="1" s="1"/>
  <c r="T2778" i="1" s="1"/>
  <c r="T2783" i="1" s="1"/>
  <c r="T2810" i="1" s="1"/>
  <c r="T2816" i="1" s="1"/>
  <c r="T2821" i="1" s="1"/>
  <c r="T2848" i="1" s="1"/>
  <c r="T2854" i="1" s="1"/>
  <c r="T2859" i="1" s="1"/>
  <c r="T2886" i="1" s="1"/>
  <c r="T1557" i="1"/>
  <c r="Y161" i="1"/>
  <c r="S188" i="1"/>
  <c r="K150" i="1"/>
  <c r="L150" i="1" s="1"/>
  <c r="L123" i="1"/>
  <c r="W1291" i="1"/>
  <c r="T1519" i="1"/>
  <c r="T1785" i="1" s="1"/>
  <c r="O1291" i="1"/>
  <c r="O688" i="1"/>
  <c r="O693" i="1" s="1"/>
  <c r="O720" i="1" s="1"/>
  <c r="O726" i="1" s="1"/>
  <c r="O731" i="1" s="1"/>
  <c r="O758" i="1" s="1"/>
  <c r="O764" i="1" s="1"/>
  <c r="O769" i="1" s="1"/>
  <c r="O796" i="1" s="1"/>
  <c r="O802" i="1" s="1"/>
  <c r="O807" i="1" s="1"/>
  <c r="O834" i="1" s="1"/>
  <c r="O840" i="1" s="1"/>
  <c r="O845" i="1" s="1"/>
  <c r="O872" i="1" s="1"/>
  <c r="O878" i="1" s="1"/>
  <c r="O883" i="1" s="1"/>
  <c r="O910" i="1" s="1"/>
  <c r="O916" i="1" s="1"/>
  <c r="O921" i="1" s="1"/>
  <c r="O948" i="1" s="1"/>
  <c r="O954" i="1" s="1"/>
  <c r="O959" i="1" s="1"/>
  <c r="O986" i="1" s="1"/>
  <c r="K161" i="1"/>
  <c r="L156" i="1"/>
  <c r="U1519" i="1"/>
  <c r="U1785" i="1" s="1"/>
  <c r="R836" i="1"/>
  <c r="R911" i="1"/>
  <c r="Q836" i="1"/>
  <c r="Q911" i="1"/>
  <c r="F194" i="1"/>
  <c r="F199" i="1" s="1"/>
  <c r="S911" i="1"/>
  <c r="O912" i="1" s="1"/>
  <c r="S836" i="1"/>
  <c r="P836" i="1"/>
  <c r="P911" i="1"/>
  <c r="X608" i="1"/>
  <c r="V608" i="1"/>
  <c r="T608" i="1"/>
  <c r="U608" i="1"/>
  <c r="X759" i="1"/>
  <c r="W608" i="1"/>
  <c r="X1562" i="1"/>
  <c r="X1567" i="1" s="1"/>
  <c r="X1594" i="1" s="1"/>
  <c r="X1600" i="1" s="1"/>
  <c r="X1605" i="1" s="1"/>
  <c r="X1632" i="1" s="1"/>
  <c r="X1638" i="1" s="1"/>
  <c r="X1643" i="1" s="1"/>
  <c r="X1670" i="1" s="1"/>
  <c r="X1676" i="1" s="1"/>
  <c r="X1681" i="1" s="1"/>
  <c r="X1708" i="1" s="1"/>
  <c r="X1714" i="1" s="1"/>
  <c r="X1719" i="1" s="1"/>
  <c r="X1746" i="1" s="1"/>
  <c r="X1752" i="1" s="1"/>
  <c r="X1757" i="1" s="1"/>
  <c r="X1784" i="1" s="1"/>
  <c r="X1790" i="1" s="1"/>
  <c r="X1795" i="1" s="1"/>
  <c r="X1822" i="1" s="1"/>
  <c r="X1828" i="1" s="1"/>
  <c r="X1833" i="1" s="1"/>
  <c r="X1860" i="1" s="1"/>
  <c r="X1866" i="1" s="1"/>
  <c r="X1871" i="1" s="1"/>
  <c r="X1898" i="1" s="1"/>
  <c r="X1904" i="1" s="1"/>
  <c r="X1909" i="1" s="1"/>
  <c r="X1936" i="1" s="1"/>
  <c r="X1942" i="1" s="1"/>
  <c r="X1947" i="1" s="1"/>
  <c r="X1974" i="1" s="1"/>
  <c r="X1980" i="1" s="1"/>
  <c r="X1985" i="1" s="1"/>
  <c r="X2012" i="1" s="1"/>
  <c r="X2018" i="1" s="1"/>
  <c r="X2023" i="1" s="1"/>
  <c r="X2050" i="1" s="1"/>
  <c r="X2056" i="1" s="1"/>
  <c r="X2061" i="1" s="1"/>
  <c r="X2088" i="1" s="1"/>
  <c r="X2094" i="1" s="1"/>
  <c r="X2099" i="1" s="1"/>
  <c r="X2126" i="1" s="1"/>
  <c r="X2132" i="1" s="1"/>
  <c r="X2137" i="1" s="1"/>
  <c r="X2164" i="1" s="1"/>
  <c r="X2170" i="1" s="1"/>
  <c r="X2175" i="1" s="1"/>
  <c r="X2202" i="1" s="1"/>
  <c r="X2208" i="1" s="1"/>
  <c r="X2213" i="1" s="1"/>
  <c r="X2240" i="1" s="1"/>
  <c r="X2246" i="1" s="1"/>
  <c r="X2251" i="1" s="1"/>
  <c r="X2278" i="1" s="1"/>
  <c r="X2284" i="1" s="1"/>
  <c r="X2289" i="1" s="1"/>
  <c r="X2316" i="1" s="1"/>
  <c r="X2322" i="1" s="1"/>
  <c r="X2327" i="1" s="1"/>
  <c r="X2354" i="1" s="1"/>
  <c r="X2360" i="1" s="1"/>
  <c r="X2365" i="1" s="1"/>
  <c r="X2392" i="1" s="1"/>
  <c r="X2398" i="1" s="1"/>
  <c r="X2403" i="1" s="1"/>
  <c r="X2430" i="1" s="1"/>
  <c r="X2436" i="1" s="1"/>
  <c r="X2441" i="1" s="1"/>
  <c r="X2468" i="1" s="1"/>
  <c r="X2474" i="1" s="1"/>
  <c r="X2479" i="1" s="1"/>
  <c r="X2506" i="1" s="1"/>
  <c r="X2512" i="1" s="1"/>
  <c r="X2517" i="1" s="1"/>
  <c r="X2544" i="1" s="1"/>
  <c r="X2550" i="1" s="1"/>
  <c r="X2555" i="1" s="1"/>
  <c r="X2582" i="1" s="1"/>
  <c r="X2588" i="1" s="1"/>
  <c r="X2593" i="1" s="1"/>
  <c r="X2620" i="1" s="1"/>
  <c r="X2626" i="1" s="1"/>
  <c r="X2631" i="1" s="1"/>
  <c r="X2658" i="1" s="1"/>
  <c r="X2664" i="1" s="1"/>
  <c r="X2669" i="1" s="1"/>
  <c r="X2696" i="1" s="1"/>
  <c r="X2702" i="1" s="1"/>
  <c r="X2707" i="1" s="1"/>
  <c r="X2734" i="1" s="1"/>
  <c r="X2740" i="1" s="1"/>
  <c r="X2745" i="1" s="1"/>
  <c r="X2772" i="1" s="1"/>
  <c r="X1557" i="1"/>
  <c r="U1557" i="1"/>
  <c r="V1557" i="1"/>
  <c r="W1557" i="1"/>
  <c r="X2778" i="1" l="1"/>
  <c r="X2783" i="1" s="1"/>
  <c r="X2810" i="1" s="1"/>
  <c r="V2811" i="1"/>
  <c r="W2811" i="1"/>
  <c r="U2811" i="1"/>
  <c r="T2811" i="1"/>
  <c r="X2773" i="1"/>
  <c r="V2773" i="1"/>
  <c r="U2773" i="1"/>
  <c r="W2773" i="1"/>
  <c r="T2773" i="1"/>
  <c r="T2735" i="1"/>
  <c r="U2735" i="1"/>
  <c r="V2735" i="1"/>
  <c r="X2735" i="1"/>
  <c r="W2735" i="1"/>
  <c r="V1975" i="1"/>
  <c r="T1975" i="1"/>
  <c r="U1975" i="1"/>
  <c r="X1975" i="1"/>
  <c r="W1975" i="1"/>
  <c r="X760" i="1"/>
  <c r="V760" i="1"/>
  <c r="X835" i="1"/>
  <c r="U760" i="1"/>
  <c r="T760" i="1"/>
  <c r="W760" i="1"/>
  <c r="F226" i="1"/>
  <c r="W1519" i="1"/>
  <c r="W1785" i="1" s="1"/>
  <c r="K188" i="1"/>
  <c r="L161" i="1"/>
  <c r="Q1291" i="1"/>
  <c r="Q912" i="1"/>
  <c r="O992" i="1"/>
  <c r="O997" i="1" s="1"/>
  <c r="O1024" i="1" s="1"/>
  <c r="O1030" i="1" s="1"/>
  <c r="O1035" i="1" s="1"/>
  <c r="O1062" i="1" s="1"/>
  <c r="O1068" i="1" s="1"/>
  <c r="O1073" i="1" s="1"/>
  <c r="O1100" i="1" s="1"/>
  <c r="O1106" i="1" s="1"/>
  <c r="O1111" i="1" s="1"/>
  <c r="O1138" i="1" s="1"/>
  <c r="O1144" i="1" s="1"/>
  <c r="O1149" i="1" s="1"/>
  <c r="O1176" i="1" s="1"/>
  <c r="O1182" i="1" s="1"/>
  <c r="O1187" i="1" s="1"/>
  <c r="O1214" i="1" s="1"/>
  <c r="O1220" i="1" s="1"/>
  <c r="O1225" i="1" s="1"/>
  <c r="O1252" i="1" s="1"/>
  <c r="O1258" i="1" s="1"/>
  <c r="O1263" i="1" s="1"/>
  <c r="O1290" i="1" s="1"/>
  <c r="O1296" i="1" s="1"/>
  <c r="O1301" i="1" s="1"/>
  <c r="O1328" i="1" s="1"/>
  <c r="O1334" i="1" s="1"/>
  <c r="O1339" i="1" s="1"/>
  <c r="O1366" i="1" s="1"/>
  <c r="O1372" i="1" s="1"/>
  <c r="O1377" i="1" s="1"/>
  <c r="O1404" i="1" s="1"/>
  <c r="O1410" i="1" s="1"/>
  <c r="O1415" i="1" s="1"/>
  <c r="O1442" i="1" s="1"/>
  <c r="O1448" i="1" s="1"/>
  <c r="O1453" i="1" s="1"/>
  <c r="O1480" i="1" s="1"/>
  <c r="O1486" i="1" s="1"/>
  <c r="O1491" i="1" s="1"/>
  <c r="O1518" i="1" s="1"/>
  <c r="O1524" i="1" s="1"/>
  <c r="O1529" i="1" s="1"/>
  <c r="O1556" i="1" s="1"/>
  <c r="O1562" i="1" s="1"/>
  <c r="O1567" i="1" s="1"/>
  <c r="O1594" i="1" s="1"/>
  <c r="O1600" i="1" s="1"/>
  <c r="O1605" i="1" s="1"/>
  <c r="O1632" i="1" s="1"/>
  <c r="O1638" i="1" s="1"/>
  <c r="O1643" i="1" s="1"/>
  <c r="O1670" i="1" s="1"/>
  <c r="O1676" i="1" s="1"/>
  <c r="O1681" i="1" s="1"/>
  <c r="O1708" i="1" s="1"/>
  <c r="O1714" i="1" s="1"/>
  <c r="O1719" i="1" s="1"/>
  <c r="O1746" i="1" s="1"/>
  <c r="O1752" i="1" s="1"/>
  <c r="O1757" i="1" s="1"/>
  <c r="O1784" i="1" s="1"/>
  <c r="O1790" i="1" s="1"/>
  <c r="O1795" i="1" s="1"/>
  <c r="O1822" i="1" s="1"/>
  <c r="O1828" i="1" s="1"/>
  <c r="O1833" i="1" s="1"/>
  <c r="O1860" i="1" s="1"/>
  <c r="O1866" i="1" s="1"/>
  <c r="O1871" i="1" s="1"/>
  <c r="O1898" i="1" s="1"/>
  <c r="O1904" i="1" s="1"/>
  <c r="O1909" i="1" s="1"/>
  <c r="O1936" i="1" s="1"/>
  <c r="O1942" i="1" s="1"/>
  <c r="O1947" i="1" s="1"/>
  <c r="O1974" i="1" s="1"/>
  <c r="O1980" i="1" s="1"/>
  <c r="O1985" i="1" s="1"/>
  <c r="O2012" i="1" s="1"/>
  <c r="O2018" i="1" s="1"/>
  <c r="O2023" i="1" s="1"/>
  <c r="O2050" i="1" s="1"/>
  <c r="O2056" i="1" s="1"/>
  <c r="O2061" i="1" s="1"/>
  <c r="O2088" i="1" s="1"/>
  <c r="O2094" i="1" s="1"/>
  <c r="O2099" i="1" s="1"/>
  <c r="O2126" i="1" s="1"/>
  <c r="O2132" i="1" s="1"/>
  <c r="O2137" i="1" s="1"/>
  <c r="O2164" i="1" s="1"/>
  <c r="O2170" i="1" s="1"/>
  <c r="O2175" i="1" s="1"/>
  <c r="O2202" i="1" s="1"/>
  <c r="O2208" i="1" s="1"/>
  <c r="O2213" i="1" s="1"/>
  <c r="O2240" i="1" s="1"/>
  <c r="O2246" i="1" s="1"/>
  <c r="O2251" i="1" s="1"/>
  <c r="O2278" i="1" s="1"/>
  <c r="O2284" i="1" s="1"/>
  <c r="O2289" i="1" s="1"/>
  <c r="O2316" i="1" s="1"/>
  <c r="O2322" i="1" s="1"/>
  <c r="O2327" i="1" s="1"/>
  <c r="O2354" i="1" s="1"/>
  <c r="O2360" i="1" s="1"/>
  <c r="O2365" i="1" s="1"/>
  <c r="O2392" i="1" s="1"/>
  <c r="O2398" i="1" s="1"/>
  <c r="O2403" i="1" s="1"/>
  <c r="O2430" i="1" s="1"/>
  <c r="O2436" i="1" s="1"/>
  <c r="O2441" i="1" s="1"/>
  <c r="O2468" i="1" s="1"/>
  <c r="O2474" i="1" s="1"/>
  <c r="O2479" i="1" s="1"/>
  <c r="O2506" i="1" s="1"/>
  <c r="O2512" i="1" s="1"/>
  <c r="O2517" i="1" s="1"/>
  <c r="O2544" i="1" s="1"/>
  <c r="O2550" i="1" s="1"/>
  <c r="O2555" i="1" s="1"/>
  <c r="O2582" i="1" s="1"/>
  <c r="O2588" i="1" s="1"/>
  <c r="O2593" i="1" s="1"/>
  <c r="O2620" i="1" s="1"/>
  <c r="O2626" i="1" s="1"/>
  <c r="O2631" i="1" s="1"/>
  <c r="O2658" i="1" s="1"/>
  <c r="O2664" i="1" s="1"/>
  <c r="O2669" i="1" s="1"/>
  <c r="O2696" i="1" s="1"/>
  <c r="O2702" i="1" s="1"/>
  <c r="O2707" i="1" s="1"/>
  <c r="O2734" i="1" s="1"/>
  <c r="O2740" i="1" s="1"/>
  <c r="O2745" i="1" s="1"/>
  <c r="O2772" i="1" s="1"/>
  <c r="O2778" i="1" s="1"/>
  <c r="O2783" i="1" s="1"/>
  <c r="O2810" i="1" s="1"/>
  <c r="O2816" i="1" s="1"/>
  <c r="O2821" i="1" s="1"/>
  <c r="O2848" i="1" s="1"/>
  <c r="O2854" i="1" s="1"/>
  <c r="O2859" i="1" s="1"/>
  <c r="O2886" i="1" s="1"/>
  <c r="R912" i="1"/>
  <c r="R1291" i="1"/>
  <c r="O1519" i="1"/>
  <c r="Y188" i="1"/>
  <c r="Y194" i="1" s="1"/>
  <c r="S194" i="1"/>
  <c r="S199" i="1" s="1"/>
  <c r="P912" i="1"/>
  <c r="P1291" i="1"/>
  <c r="S912" i="1"/>
  <c r="S1291" i="1"/>
  <c r="X2811" i="1" l="1"/>
  <c r="X2816" i="1"/>
  <c r="X2821" i="1" s="1"/>
  <c r="X2848" i="1" s="1"/>
  <c r="X2854" i="1" s="1"/>
  <c r="X2859" i="1" s="1"/>
  <c r="X2886" i="1" s="1"/>
  <c r="F232" i="1"/>
  <c r="F237" i="1" s="1"/>
  <c r="S1292" i="1"/>
  <c r="S1519" i="1"/>
  <c r="Q1292" i="1"/>
  <c r="Q1519" i="1"/>
  <c r="P1292" i="1"/>
  <c r="P1519" i="1"/>
  <c r="S226" i="1"/>
  <c r="Y199" i="1"/>
  <c r="O1785" i="1"/>
  <c r="O1520" i="1"/>
  <c r="O1292" i="1"/>
  <c r="K194" i="1"/>
  <c r="K199" i="1" s="1"/>
  <c r="L188" i="1"/>
  <c r="L194" i="1" s="1"/>
  <c r="R1519" i="1"/>
  <c r="R1292" i="1"/>
  <c r="X836" i="1"/>
  <c r="X911" i="1"/>
  <c r="V836" i="1"/>
  <c r="T836" i="1"/>
  <c r="U836" i="1"/>
  <c r="W836" i="1"/>
  <c r="S232" i="1" l="1"/>
  <c r="S237" i="1" s="1"/>
  <c r="S227" i="1"/>
  <c r="Y226" i="1"/>
  <c r="Y232" i="1" s="1"/>
  <c r="P227" i="1"/>
  <c r="Q227" i="1"/>
  <c r="R227" i="1"/>
  <c r="O227" i="1"/>
  <c r="F264" i="1"/>
  <c r="R1785" i="1"/>
  <c r="R1520" i="1"/>
  <c r="P1785" i="1"/>
  <c r="P1520" i="1"/>
  <c r="K226" i="1"/>
  <c r="L199" i="1"/>
  <c r="Q1785" i="1"/>
  <c r="Q1520" i="1"/>
  <c r="S1520" i="1"/>
  <c r="S1785" i="1"/>
  <c r="S1786" i="1" s="1"/>
  <c r="X912" i="1"/>
  <c r="X1291" i="1"/>
  <c r="V912" i="1"/>
  <c r="T912" i="1"/>
  <c r="U912" i="1"/>
  <c r="W912" i="1"/>
  <c r="Q1786" i="1" l="1"/>
  <c r="X1292" i="1"/>
  <c r="X1519" i="1"/>
  <c r="X1785" i="1" s="1"/>
  <c r="V1292" i="1"/>
  <c r="T1292" i="1"/>
  <c r="U1292" i="1"/>
  <c r="W1292" i="1"/>
  <c r="K232" i="1"/>
  <c r="K237" i="1" s="1"/>
  <c r="L226" i="1"/>
  <c r="L232" i="1" s="1"/>
  <c r="O1786" i="1"/>
  <c r="P1786" i="1"/>
  <c r="R1786" i="1"/>
  <c r="F270" i="1"/>
  <c r="F275" i="1" s="1"/>
  <c r="S264" i="1"/>
  <c r="Y237" i="1"/>
  <c r="X1786" i="1" l="1"/>
  <c r="V1786" i="1"/>
  <c r="U1786" i="1"/>
  <c r="T1786" i="1"/>
  <c r="W1786" i="1"/>
  <c r="K264" i="1"/>
  <c r="L237" i="1"/>
  <c r="S270" i="1"/>
  <c r="S275" i="1" s="1"/>
  <c r="Y264" i="1"/>
  <c r="Y270" i="1" s="1"/>
  <c r="F302" i="1"/>
  <c r="W1520" i="1"/>
  <c r="X1520" i="1"/>
  <c r="V1520" i="1"/>
  <c r="T1520" i="1"/>
  <c r="U1520" i="1"/>
  <c r="F308" i="1" l="1"/>
  <c r="F313" i="1" s="1"/>
  <c r="Y275" i="1"/>
  <c r="S302" i="1"/>
  <c r="K270" i="1"/>
  <c r="K275" i="1" s="1"/>
  <c r="L264" i="1"/>
  <c r="L270" i="1" s="1"/>
  <c r="K302" i="1" l="1"/>
  <c r="L275" i="1"/>
  <c r="Y302" i="1"/>
  <c r="Y308" i="1" s="1"/>
  <c r="S308" i="1"/>
  <c r="S313" i="1" s="1"/>
  <c r="F340" i="1"/>
  <c r="F346" i="1" l="1"/>
  <c r="F351" i="1" s="1"/>
  <c r="S340" i="1"/>
  <c r="Y313" i="1"/>
  <c r="K308" i="1"/>
  <c r="K313" i="1" s="1"/>
  <c r="L302" i="1"/>
  <c r="L308" i="1" s="1"/>
  <c r="K340" i="1" l="1"/>
  <c r="L313" i="1"/>
  <c r="Y340" i="1"/>
  <c r="Y346" i="1" s="1"/>
  <c r="S346" i="1"/>
  <c r="S351" i="1" s="1"/>
  <c r="F378" i="1"/>
  <c r="F384" i="1" l="1"/>
  <c r="F389" i="1" s="1"/>
  <c r="Y351" i="1"/>
  <c r="S378" i="1"/>
  <c r="K346" i="1"/>
  <c r="K351" i="1" s="1"/>
  <c r="L340" i="1"/>
  <c r="L346" i="1" s="1"/>
  <c r="K378" i="1" l="1"/>
  <c r="L351" i="1"/>
  <c r="S384" i="1"/>
  <c r="S389" i="1" s="1"/>
  <c r="Y378" i="1"/>
  <c r="Y384" i="1" s="1"/>
  <c r="F416" i="1"/>
  <c r="F422" i="1" l="1"/>
  <c r="F427" i="1" s="1"/>
  <c r="Y389" i="1"/>
  <c r="S416" i="1"/>
  <c r="K384" i="1"/>
  <c r="K389" i="1" s="1"/>
  <c r="L378" i="1"/>
  <c r="L384" i="1" s="1"/>
  <c r="K416" i="1" l="1"/>
  <c r="L389" i="1"/>
  <c r="Y416" i="1"/>
  <c r="Y422" i="1" s="1"/>
  <c r="S422" i="1"/>
  <c r="S427" i="1" s="1"/>
  <c r="F454" i="1"/>
  <c r="F460" i="1" l="1"/>
  <c r="F465" i="1" s="1"/>
  <c r="S454" i="1"/>
  <c r="Y427" i="1"/>
  <c r="K422" i="1"/>
  <c r="K427" i="1" s="1"/>
  <c r="L416" i="1"/>
  <c r="L422" i="1" s="1"/>
  <c r="K454" i="1" l="1"/>
  <c r="L427" i="1"/>
  <c r="Y454" i="1"/>
  <c r="Y460" i="1" s="1"/>
  <c r="S460" i="1"/>
  <c r="S465" i="1" s="1"/>
  <c r="F492" i="1"/>
  <c r="F498" i="1" l="1"/>
  <c r="F503" i="1" s="1"/>
  <c r="S492" i="1"/>
  <c r="Y465" i="1"/>
  <c r="K460" i="1"/>
  <c r="K465" i="1" s="1"/>
  <c r="L454" i="1"/>
  <c r="L460" i="1" s="1"/>
  <c r="K492" i="1" l="1"/>
  <c r="L465" i="1"/>
  <c r="Y492" i="1"/>
  <c r="Y498" i="1" s="1"/>
  <c r="S498" i="1"/>
  <c r="S503" i="1" s="1"/>
  <c r="F530" i="1"/>
  <c r="F536" i="1" l="1"/>
  <c r="F541" i="1" s="1"/>
  <c r="Y503" i="1"/>
  <c r="S530" i="1"/>
  <c r="K498" i="1"/>
  <c r="K503" i="1" s="1"/>
  <c r="L492" i="1"/>
  <c r="L498" i="1" s="1"/>
  <c r="K530" i="1" l="1"/>
  <c r="L503" i="1"/>
  <c r="Y530" i="1"/>
  <c r="Y536" i="1" s="1"/>
  <c r="S536" i="1"/>
  <c r="S541" i="1" s="1"/>
  <c r="F568" i="1"/>
  <c r="Y541" i="1" l="1"/>
  <c r="S568" i="1"/>
  <c r="F574" i="1"/>
  <c r="F579" i="1" s="1"/>
  <c r="K536" i="1"/>
  <c r="K541" i="1" s="1"/>
  <c r="L530" i="1"/>
  <c r="L536" i="1" s="1"/>
  <c r="K568" i="1" l="1"/>
  <c r="L541" i="1"/>
  <c r="F606" i="1"/>
  <c r="S574" i="1"/>
  <c r="S579" i="1" s="1"/>
  <c r="Y568" i="1"/>
  <c r="Y574" i="1" s="1"/>
  <c r="S606" i="1" l="1"/>
  <c r="Y579" i="1"/>
  <c r="F612" i="1"/>
  <c r="F617" i="1" s="1"/>
  <c r="K574" i="1"/>
  <c r="K579" i="1" s="1"/>
  <c r="L568" i="1"/>
  <c r="L574" i="1" s="1"/>
  <c r="K606" i="1" l="1"/>
  <c r="L579" i="1"/>
  <c r="F644" i="1"/>
  <c r="Y606" i="1"/>
  <c r="Y612" i="1" s="1"/>
  <c r="S612" i="1"/>
  <c r="S617" i="1" s="1"/>
  <c r="S644" i="1" l="1"/>
  <c r="Y617" i="1"/>
  <c r="F650" i="1"/>
  <c r="F655" i="1" s="1"/>
  <c r="K612" i="1"/>
  <c r="K617" i="1" s="1"/>
  <c r="L606" i="1"/>
  <c r="L612" i="1" s="1"/>
  <c r="K644" i="1" l="1"/>
  <c r="L617" i="1"/>
  <c r="F682" i="1"/>
  <c r="Y644" i="1"/>
  <c r="Y650" i="1" s="1"/>
  <c r="S650" i="1"/>
  <c r="S655" i="1" s="1"/>
  <c r="Y655" i="1" l="1"/>
  <c r="S682" i="1"/>
  <c r="F688" i="1"/>
  <c r="F693" i="1" s="1"/>
  <c r="K650" i="1"/>
  <c r="K655" i="1" s="1"/>
  <c r="L644" i="1"/>
  <c r="L650" i="1" s="1"/>
  <c r="K682" i="1" l="1"/>
  <c r="L655" i="1"/>
  <c r="F720" i="1"/>
  <c r="S683" i="1"/>
  <c r="S688" i="1"/>
  <c r="S693" i="1" s="1"/>
  <c r="Y682" i="1"/>
  <c r="Y688" i="1" s="1"/>
  <c r="R683" i="1"/>
  <c r="P683" i="1"/>
  <c r="Q683" i="1"/>
  <c r="O683" i="1"/>
  <c r="Y693" i="1" l="1"/>
  <c r="S720" i="1"/>
  <c r="F726" i="1"/>
  <c r="F731" i="1" s="1"/>
  <c r="K688" i="1"/>
  <c r="K693" i="1" s="1"/>
  <c r="L682" i="1"/>
  <c r="L688" i="1" s="1"/>
  <c r="K720" i="1" l="1"/>
  <c r="L693" i="1"/>
  <c r="Y720" i="1"/>
  <c r="Y726" i="1" s="1"/>
  <c r="S726" i="1"/>
  <c r="S731" i="1" s="1"/>
  <c r="F758" i="1"/>
  <c r="F764" i="1" l="1"/>
  <c r="F769" i="1" s="1"/>
  <c r="Y731" i="1"/>
  <c r="S758" i="1"/>
  <c r="K726" i="1"/>
  <c r="K731" i="1" s="1"/>
  <c r="L720" i="1"/>
  <c r="L726" i="1" s="1"/>
  <c r="F796" i="1" l="1"/>
  <c r="K758" i="1"/>
  <c r="L731" i="1"/>
  <c r="S764" i="1"/>
  <c r="S769" i="1" s="1"/>
  <c r="Y758" i="1"/>
  <c r="Y764" i="1" s="1"/>
  <c r="S796" i="1" l="1"/>
  <c r="Y769" i="1"/>
  <c r="K764" i="1"/>
  <c r="K769" i="1" s="1"/>
  <c r="L758" i="1"/>
  <c r="L764" i="1" s="1"/>
  <c r="F802" i="1"/>
  <c r="F807" i="1" s="1"/>
  <c r="F834" i="1" l="1"/>
  <c r="K796" i="1"/>
  <c r="L769" i="1"/>
  <c r="S802" i="1"/>
  <c r="S807" i="1" s="1"/>
  <c r="Y796" i="1"/>
  <c r="Y802" i="1" s="1"/>
  <c r="Y807" i="1" l="1"/>
  <c r="S834" i="1"/>
  <c r="K802" i="1"/>
  <c r="K807" i="1" s="1"/>
  <c r="L796" i="1"/>
  <c r="L802" i="1" s="1"/>
  <c r="F840" i="1"/>
  <c r="F845" i="1" s="1"/>
  <c r="F872" i="1" l="1"/>
  <c r="K834" i="1"/>
  <c r="L807" i="1"/>
  <c r="S840" i="1"/>
  <c r="S845" i="1" s="1"/>
  <c r="Y834" i="1"/>
  <c r="Y840" i="1" s="1"/>
  <c r="Y845" i="1" l="1"/>
  <c r="S872" i="1"/>
  <c r="K840" i="1"/>
  <c r="K845" i="1" s="1"/>
  <c r="L834" i="1"/>
  <c r="L840" i="1" s="1"/>
  <c r="F878" i="1"/>
  <c r="F883" i="1" s="1"/>
  <c r="K872" i="1" l="1"/>
  <c r="L845" i="1"/>
  <c r="S878" i="1"/>
  <c r="S883" i="1" s="1"/>
  <c r="Y872" i="1"/>
  <c r="Y878" i="1" s="1"/>
  <c r="F910" i="1"/>
  <c r="F916" i="1" l="1"/>
  <c r="F921" i="1" s="1"/>
  <c r="S910" i="1"/>
  <c r="Y883" i="1"/>
  <c r="K878" i="1"/>
  <c r="K883" i="1" s="1"/>
  <c r="L872" i="1"/>
  <c r="L878" i="1" s="1"/>
  <c r="S916" i="1" l="1"/>
  <c r="S921" i="1" s="1"/>
  <c r="Y910" i="1"/>
  <c r="Y916" i="1" s="1"/>
  <c r="F948" i="1"/>
  <c r="K910" i="1"/>
  <c r="L883" i="1"/>
  <c r="K916" i="1" l="1"/>
  <c r="K921" i="1" s="1"/>
  <c r="L910" i="1"/>
  <c r="L916" i="1" s="1"/>
  <c r="F954" i="1"/>
  <c r="F959" i="1" s="1"/>
  <c r="Y921" i="1"/>
  <c r="S948" i="1"/>
  <c r="S954" i="1" l="1"/>
  <c r="S959" i="1" s="1"/>
  <c r="Y948" i="1"/>
  <c r="Y954" i="1" s="1"/>
  <c r="F986" i="1"/>
  <c r="K948" i="1"/>
  <c r="L921" i="1"/>
  <c r="K954" i="1" l="1"/>
  <c r="K959" i="1" s="1"/>
  <c r="L948" i="1"/>
  <c r="L954" i="1" s="1"/>
  <c r="F992" i="1"/>
  <c r="F997" i="1" s="1"/>
  <c r="S986" i="1"/>
  <c r="Y959" i="1"/>
  <c r="S987" i="1" l="1"/>
  <c r="S992" i="1"/>
  <c r="S997" i="1" s="1"/>
  <c r="Y986" i="1"/>
  <c r="Y992" i="1" s="1"/>
  <c r="P987" i="1"/>
  <c r="R987" i="1"/>
  <c r="Q987" i="1"/>
  <c r="O987" i="1"/>
  <c r="F1024" i="1"/>
  <c r="K986" i="1"/>
  <c r="L959" i="1"/>
  <c r="F1030" i="1" l="1"/>
  <c r="F1035" i="1" s="1"/>
  <c r="S1024" i="1"/>
  <c r="Y997" i="1"/>
  <c r="K992" i="1"/>
  <c r="K997" i="1" s="1"/>
  <c r="L986" i="1"/>
  <c r="L992" i="1" s="1"/>
  <c r="K1024" i="1" l="1"/>
  <c r="L997" i="1"/>
  <c r="S1030" i="1"/>
  <c r="S1035" i="1" s="1"/>
  <c r="Y1024" i="1"/>
  <c r="Y1030" i="1" s="1"/>
  <c r="F1062" i="1"/>
  <c r="F1068" i="1" l="1"/>
  <c r="F1073" i="1" s="1"/>
  <c r="Y1035" i="1"/>
  <c r="S1062" i="1"/>
  <c r="K1030" i="1"/>
  <c r="K1035" i="1" s="1"/>
  <c r="L1024" i="1"/>
  <c r="L1030" i="1" s="1"/>
  <c r="K1062" i="1" l="1"/>
  <c r="L1035" i="1"/>
  <c r="F1100" i="1"/>
  <c r="Y1062" i="1"/>
  <c r="Y1068" i="1" s="1"/>
  <c r="S1068" i="1"/>
  <c r="S1073" i="1" s="1"/>
  <c r="S1100" i="1" l="1"/>
  <c r="Y1073" i="1"/>
  <c r="F1106" i="1"/>
  <c r="F1111" i="1" s="1"/>
  <c r="K1068" i="1"/>
  <c r="K1073" i="1" s="1"/>
  <c r="L1062" i="1"/>
  <c r="L1068" i="1" s="1"/>
  <c r="F1138" i="1" l="1"/>
  <c r="K1100" i="1"/>
  <c r="L1073" i="1"/>
  <c r="Y1100" i="1"/>
  <c r="Y1106" i="1" s="1"/>
  <c r="S1106" i="1"/>
  <c r="S1111" i="1" s="1"/>
  <c r="Y1111" i="1" l="1"/>
  <c r="S1138" i="1"/>
  <c r="K1106" i="1"/>
  <c r="K1111" i="1" s="1"/>
  <c r="L1100" i="1"/>
  <c r="L1106" i="1" s="1"/>
  <c r="F1144" i="1"/>
  <c r="F1149" i="1" s="1"/>
  <c r="F1176" i="1" l="1"/>
  <c r="K1138" i="1"/>
  <c r="L1111" i="1"/>
  <c r="Y1138" i="1"/>
  <c r="Y1144" i="1" s="1"/>
  <c r="S1144" i="1"/>
  <c r="S1149" i="1" s="1"/>
  <c r="S1176" i="1" l="1"/>
  <c r="Y1149" i="1"/>
  <c r="K1144" i="1"/>
  <c r="K1149" i="1" s="1"/>
  <c r="L1138" i="1"/>
  <c r="L1144" i="1" s="1"/>
  <c r="F1182" i="1"/>
  <c r="F1187" i="1" s="1"/>
  <c r="F1214" i="1" l="1"/>
  <c r="K1176" i="1"/>
  <c r="L1149" i="1"/>
  <c r="S1182" i="1"/>
  <c r="S1187" i="1" s="1"/>
  <c r="Y1176" i="1"/>
  <c r="Y1182" i="1" s="1"/>
  <c r="K1182" i="1" l="1"/>
  <c r="K1187" i="1" s="1"/>
  <c r="L1176" i="1"/>
  <c r="L1182" i="1" s="1"/>
  <c r="Y1187" i="1"/>
  <c r="S1214" i="1"/>
  <c r="F1220" i="1"/>
  <c r="F1225" i="1" s="1"/>
  <c r="F1252" i="1" l="1"/>
  <c r="Y1214" i="1"/>
  <c r="Y1220" i="1" s="1"/>
  <c r="S1220" i="1"/>
  <c r="S1225" i="1" s="1"/>
  <c r="K1214" i="1"/>
  <c r="L1187" i="1"/>
  <c r="K1220" i="1" l="1"/>
  <c r="K1225" i="1" s="1"/>
  <c r="L1214" i="1"/>
  <c r="L1220" i="1" s="1"/>
  <c r="Y1225" i="1"/>
  <c r="S1252" i="1"/>
  <c r="F1258" i="1"/>
  <c r="F1263" i="1" s="1"/>
  <c r="F1290" i="1" l="1"/>
  <c r="Y1252" i="1"/>
  <c r="Y1258" i="1" s="1"/>
  <c r="S1258" i="1"/>
  <c r="S1263" i="1" s="1"/>
  <c r="K1252" i="1"/>
  <c r="L1225" i="1"/>
  <c r="K1258" i="1" l="1"/>
  <c r="K1263" i="1" s="1"/>
  <c r="L1252" i="1"/>
  <c r="L1258" i="1" s="1"/>
  <c r="S1290" i="1"/>
  <c r="Y1263" i="1"/>
  <c r="F1296" i="1"/>
  <c r="F1301" i="1" s="1"/>
  <c r="Y1290" i="1" l="1"/>
  <c r="Y1296" i="1" s="1"/>
  <c r="S1296" i="1"/>
  <c r="S1301" i="1" s="1"/>
  <c r="F1328" i="1"/>
  <c r="K1290" i="1"/>
  <c r="L1263" i="1"/>
  <c r="F1334" i="1" l="1"/>
  <c r="F1339" i="1" s="1"/>
  <c r="K1296" i="1"/>
  <c r="K1301" i="1" s="1"/>
  <c r="L1290" i="1"/>
  <c r="L1296" i="1" s="1"/>
  <c r="Y1301" i="1"/>
  <c r="S1328" i="1"/>
  <c r="Y1328" i="1" l="1"/>
  <c r="Y1334" i="1" s="1"/>
  <c r="S1334" i="1"/>
  <c r="S1339" i="1" s="1"/>
  <c r="K1328" i="1"/>
  <c r="L1301" i="1"/>
  <c r="F1366" i="1"/>
  <c r="F1372" i="1" l="1"/>
  <c r="F1377" i="1" s="1"/>
  <c r="K1334" i="1"/>
  <c r="K1339" i="1" s="1"/>
  <c r="L1328" i="1"/>
  <c r="L1334" i="1" s="1"/>
  <c r="Y1339" i="1"/>
  <c r="S1366" i="1"/>
  <c r="P1367" i="1" l="1"/>
  <c r="R1367" i="1"/>
  <c r="Y1366" i="1"/>
  <c r="Y1372" i="1" s="1"/>
  <c r="Q1367" i="1"/>
  <c r="O1367" i="1"/>
  <c r="S1367" i="1"/>
  <c r="S1372" i="1"/>
  <c r="S1377" i="1" s="1"/>
  <c r="K1366" i="1"/>
  <c r="L1339" i="1"/>
  <c r="F1404" i="1"/>
  <c r="Y1377" i="1" l="1"/>
  <c r="S1404" i="1"/>
  <c r="K1372" i="1"/>
  <c r="K1377" i="1" s="1"/>
  <c r="L1366" i="1"/>
  <c r="L1372" i="1" s="1"/>
  <c r="F1410" i="1"/>
  <c r="F1415" i="1" s="1"/>
  <c r="F1442" i="1" l="1"/>
  <c r="K1404" i="1"/>
  <c r="L1377" i="1"/>
  <c r="Y1404" i="1"/>
  <c r="Y1410" i="1" s="1"/>
  <c r="S1410" i="1"/>
  <c r="S1415" i="1" s="1"/>
  <c r="Y1415" i="1" l="1"/>
  <c r="S1442" i="1"/>
  <c r="K1410" i="1"/>
  <c r="K1415" i="1" s="1"/>
  <c r="L1404" i="1"/>
  <c r="L1410" i="1" s="1"/>
  <c r="F1448" i="1"/>
  <c r="F1453" i="1" s="1"/>
  <c r="F1480" i="1" l="1"/>
  <c r="K1442" i="1"/>
  <c r="L1415" i="1"/>
  <c r="S1448" i="1"/>
  <c r="S1453" i="1" s="1"/>
  <c r="Y1442" i="1"/>
  <c r="Y1448" i="1" s="1"/>
  <c r="S1480" i="1" l="1"/>
  <c r="Y1453" i="1"/>
  <c r="K1448" i="1"/>
  <c r="K1453" i="1" s="1"/>
  <c r="L1442" i="1"/>
  <c r="L1448" i="1" s="1"/>
  <c r="F1486" i="1"/>
  <c r="F1491" i="1" s="1"/>
  <c r="F1518" i="1" l="1"/>
  <c r="K1480" i="1"/>
  <c r="L1453" i="1"/>
  <c r="Y1480" i="1"/>
  <c r="Y1486" i="1" s="1"/>
  <c r="S1486" i="1"/>
  <c r="S1491" i="1" s="1"/>
  <c r="Y1491" i="1" l="1"/>
  <c r="S1518" i="1"/>
  <c r="K1486" i="1"/>
  <c r="K1491" i="1" s="1"/>
  <c r="L1480" i="1"/>
  <c r="L1486" i="1" s="1"/>
  <c r="F1524" i="1"/>
  <c r="F1529" i="1" s="1"/>
  <c r="F1556" i="1" l="1"/>
  <c r="K1518" i="1"/>
  <c r="L1491" i="1"/>
  <c r="Y1518" i="1"/>
  <c r="Y1524" i="1" s="1"/>
  <c r="S1524" i="1"/>
  <c r="S1529" i="1" s="1"/>
  <c r="Y1529" i="1" l="1"/>
  <c r="S1556" i="1"/>
  <c r="K1524" i="1"/>
  <c r="K1529" i="1" s="1"/>
  <c r="L1518" i="1"/>
  <c r="L1524" i="1" s="1"/>
  <c r="F1562" i="1"/>
  <c r="F1567" i="1" s="1"/>
  <c r="F1594" i="1" l="1"/>
  <c r="K1556" i="1"/>
  <c r="L1529" i="1"/>
  <c r="S1562" i="1"/>
  <c r="S1567" i="1" s="1"/>
  <c r="Q1557" i="1"/>
  <c r="P1557" i="1"/>
  <c r="Y1556" i="1"/>
  <c r="Y1562" i="1" s="1"/>
  <c r="S1557" i="1"/>
  <c r="R1557" i="1"/>
  <c r="O1557" i="1"/>
  <c r="S1594" i="1" l="1"/>
  <c r="Y1567" i="1"/>
  <c r="K1562" i="1"/>
  <c r="K1567" i="1" s="1"/>
  <c r="L1556" i="1"/>
  <c r="L1562" i="1" s="1"/>
  <c r="F1600" i="1"/>
  <c r="F1605" i="1" s="1"/>
  <c r="F1632" i="1" l="1"/>
  <c r="K1594" i="1"/>
  <c r="L1567" i="1"/>
  <c r="Y1594" i="1"/>
  <c r="Y1600" i="1" s="1"/>
  <c r="S1600" i="1"/>
  <c r="S1605" i="1" s="1"/>
  <c r="Y1605" i="1" l="1"/>
  <c r="S1632" i="1"/>
  <c r="K1600" i="1"/>
  <c r="K1605" i="1" s="1"/>
  <c r="L1594" i="1"/>
  <c r="L1600" i="1" s="1"/>
  <c r="F1638" i="1"/>
  <c r="F1643" i="1" s="1"/>
  <c r="F1670" i="1" l="1"/>
  <c r="K1632" i="1"/>
  <c r="L1605" i="1"/>
  <c r="S1638" i="1"/>
  <c r="S1643" i="1" s="1"/>
  <c r="Y1632" i="1"/>
  <c r="Y1638" i="1" s="1"/>
  <c r="S1670" i="1" l="1"/>
  <c r="Y1643" i="1"/>
  <c r="K1638" i="1"/>
  <c r="K1643" i="1" s="1"/>
  <c r="L1632" i="1"/>
  <c r="L1638" i="1" s="1"/>
  <c r="F1676" i="1"/>
  <c r="F1681" i="1" s="1"/>
  <c r="F1708" i="1" l="1"/>
  <c r="K1670" i="1"/>
  <c r="L1643" i="1"/>
  <c r="Y1670" i="1"/>
  <c r="Y1676" i="1" s="1"/>
  <c r="S1676" i="1"/>
  <c r="S1681" i="1" s="1"/>
  <c r="S1708" i="1" l="1"/>
  <c r="Y1681" i="1"/>
  <c r="K1676" i="1"/>
  <c r="K1681" i="1" s="1"/>
  <c r="L1670" i="1"/>
  <c r="L1676" i="1" s="1"/>
  <c r="F1714" i="1"/>
  <c r="F1719" i="1" s="1"/>
  <c r="F1746" i="1" l="1"/>
  <c r="K1708" i="1"/>
  <c r="L1681" i="1"/>
  <c r="Y1708" i="1"/>
  <c r="Y1714" i="1" s="1"/>
  <c r="S1714" i="1"/>
  <c r="S1719" i="1" s="1"/>
  <c r="Y1719" i="1" l="1"/>
  <c r="S1746" i="1"/>
  <c r="K1714" i="1"/>
  <c r="K1719" i="1" s="1"/>
  <c r="L1708" i="1"/>
  <c r="L1714" i="1" s="1"/>
  <c r="F1752" i="1"/>
  <c r="F1757" i="1" s="1"/>
  <c r="F1784" i="1" l="1"/>
  <c r="K1746" i="1"/>
  <c r="L1719" i="1"/>
  <c r="Y1746" i="1"/>
  <c r="Y1752" i="1" s="1"/>
  <c r="S1752" i="1"/>
  <c r="S1757" i="1" s="1"/>
  <c r="S1784" i="1" l="1"/>
  <c r="Y1757" i="1"/>
  <c r="K1752" i="1"/>
  <c r="K1757" i="1" s="1"/>
  <c r="L1746" i="1"/>
  <c r="L1752" i="1" s="1"/>
  <c r="F1790" i="1"/>
  <c r="F1795" i="1" s="1"/>
  <c r="F1822" i="1" l="1"/>
  <c r="K1784" i="1"/>
  <c r="L1757" i="1"/>
  <c r="Y1784" i="1"/>
  <c r="Y1790" i="1" s="1"/>
  <c r="S1790" i="1"/>
  <c r="S1795" i="1" s="1"/>
  <c r="Y1795" i="1" l="1"/>
  <c r="S1822" i="1"/>
  <c r="K1790" i="1"/>
  <c r="K1795" i="1" s="1"/>
  <c r="L1784" i="1"/>
  <c r="L1790" i="1" s="1"/>
  <c r="F1828" i="1"/>
  <c r="F1833" i="1" s="1"/>
  <c r="F1860" i="1" s="1"/>
  <c r="K1822" i="1" l="1"/>
  <c r="L1795" i="1"/>
  <c r="Y1822" i="1"/>
  <c r="Y1828" i="1" s="1"/>
  <c r="S1828" i="1"/>
  <c r="S1833" i="1" s="1"/>
  <c r="Y1833" i="1" l="1"/>
  <c r="S1860" i="1"/>
  <c r="K1828" i="1"/>
  <c r="K1833" i="1" s="1"/>
  <c r="L1822" i="1"/>
  <c r="L1828" i="1" s="1"/>
  <c r="F1866" i="1"/>
  <c r="F1871" i="1" s="1"/>
  <c r="F1898" i="1" s="1"/>
  <c r="F1904" i="1" s="1"/>
  <c r="K1860" i="1" l="1"/>
  <c r="L1833" i="1"/>
  <c r="Y1860" i="1"/>
  <c r="Y1866" i="1" s="1"/>
  <c r="S1866" i="1"/>
  <c r="S1871" i="1" s="1"/>
  <c r="Y1871" i="1" l="1"/>
  <c r="S1898" i="1"/>
  <c r="K1866" i="1"/>
  <c r="K1871" i="1" s="1"/>
  <c r="L1860" i="1"/>
  <c r="L1866" i="1" s="1"/>
  <c r="F1909" i="1"/>
  <c r="F1936" i="1" l="1"/>
  <c r="K1898" i="1"/>
  <c r="L1871" i="1"/>
  <c r="S1904" i="1"/>
  <c r="S1909" i="1" s="1"/>
  <c r="Y1898" i="1"/>
  <c r="Y1904" i="1" s="1"/>
  <c r="O1900" i="1"/>
  <c r="P1900" i="1"/>
  <c r="S1900" i="1"/>
  <c r="Q1900" i="1"/>
  <c r="R1900" i="1"/>
  <c r="K1904" i="1" l="1"/>
  <c r="K1909" i="1" s="1"/>
  <c r="L1898" i="1"/>
  <c r="L1904" i="1" s="1"/>
  <c r="Y1909" i="1"/>
  <c r="S1936" i="1"/>
  <c r="F1942" i="1"/>
  <c r="F1947" i="1" s="1"/>
  <c r="F1974" i="1" l="1"/>
  <c r="F1980" i="1" s="1"/>
  <c r="F1985" i="1" s="1"/>
  <c r="F2012" i="1" s="1"/>
  <c r="F2018" i="1" s="1"/>
  <c r="F2023" i="1" s="1"/>
  <c r="F2050" i="1" s="1"/>
  <c r="F2056" i="1" s="1"/>
  <c r="F2061" i="1" s="1"/>
  <c r="Y1936" i="1"/>
  <c r="Y1942" i="1" s="1"/>
  <c r="S1942" i="1"/>
  <c r="S1947" i="1" s="1"/>
  <c r="K1936" i="1"/>
  <c r="L1909" i="1"/>
  <c r="F2088" i="1" l="1"/>
  <c r="F2094" i="1" s="1"/>
  <c r="F2099" i="1" s="1"/>
  <c r="K1942" i="1"/>
  <c r="K1947" i="1" s="1"/>
  <c r="L1936" i="1"/>
  <c r="L1942" i="1" s="1"/>
  <c r="S1974" i="1"/>
  <c r="S1980" i="1" s="1"/>
  <c r="S1985" i="1" s="1"/>
  <c r="Y1947" i="1"/>
  <c r="F2126" i="1" l="1"/>
  <c r="F2132" i="1" s="1"/>
  <c r="F2137" i="1" s="1"/>
  <c r="Y1985" i="1"/>
  <c r="S2012" i="1"/>
  <c r="Y1974" i="1"/>
  <c r="Y1980" i="1" s="1"/>
  <c r="P1975" i="1"/>
  <c r="Q1975" i="1"/>
  <c r="R1975" i="1"/>
  <c r="S1975" i="1"/>
  <c r="O1975" i="1"/>
  <c r="K1974" i="1"/>
  <c r="L1947" i="1"/>
  <c r="F2164" i="1" l="1"/>
  <c r="Y2012" i="1"/>
  <c r="Y2018" i="1" s="1"/>
  <c r="S2018" i="1"/>
  <c r="S2023" i="1" s="1"/>
  <c r="L1974" i="1"/>
  <c r="L1980" i="1" s="1"/>
  <c r="K1980" i="1"/>
  <c r="K1985" i="1" s="1"/>
  <c r="F2170" i="1" l="1"/>
  <c r="F2175" i="1" s="1"/>
  <c r="Y2023" i="1"/>
  <c r="S2050" i="1"/>
  <c r="K2012" i="1"/>
  <c r="L1985" i="1"/>
  <c r="F2202" i="1" l="1"/>
  <c r="Y2050" i="1"/>
  <c r="Y2056" i="1" s="1"/>
  <c r="S2056" i="1"/>
  <c r="S2061" i="1" s="1"/>
  <c r="L2012" i="1"/>
  <c r="L2018" i="1" s="1"/>
  <c r="K2018" i="1"/>
  <c r="K2023" i="1" s="1"/>
  <c r="F2208" i="1" l="1"/>
  <c r="F2213" i="1" s="1"/>
  <c r="Y2061" i="1"/>
  <c r="S2088" i="1"/>
  <c r="L2023" i="1"/>
  <c r="K2050" i="1"/>
  <c r="F2240" i="1" l="1"/>
  <c r="F2246" i="1" s="1"/>
  <c r="F2251" i="1" s="1"/>
  <c r="Y2088" i="1"/>
  <c r="Y2094" i="1" s="1"/>
  <c r="S2094" i="1"/>
  <c r="S2099" i="1" s="1"/>
  <c r="L2050" i="1"/>
  <c r="L2056" i="1" s="1"/>
  <c r="K2056" i="1"/>
  <c r="K2061" i="1" s="1"/>
  <c r="F2278" i="1" l="1"/>
  <c r="F2284" i="1" s="1"/>
  <c r="F2289" i="1" s="1"/>
  <c r="F2316" i="1" s="1"/>
  <c r="F2322" i="1" s="1"/>
  <c r="F2327" i="1" s="1"/>
  <c r="Y2099" i="1"/>
  <c r="S2126" i="1"/>
  <c r="K2088" i="1"/>
  <c r="L2061" i="1"/>
  <c r="F2354" i="1" l="1"/>
  <c r="F2360" i="1" s="1"/>
  <c r="F2365" i="1" s="1"/>
  <c r="Y2126" i="1"/>
  <c r="Y2132" i="1" s="1"/>
  <c r="S2132" i="1"/>
  <c r="S2137" i="1" s="1"/>
  <c r="L2088" i="1"/>
  <c r="L2094" i="1" s="1"/>
  <c r="K2094" i="1"/>
  <c r="K2099" i="1" s="1"/>
  <c r="F2392" i="1" l="1"/>
  <c r="F2398" i="1" s="1"/>
  <c r="F2403" i="1" s="1"/>
  <c r="F2430" i="1" s="1"/>
  <c r="F2436" i="1" s="1"/>
  <c r="F2441" i="1" s="1"/>
  <c r="S2164" i="1"/>
  <c r="Y2137" i="1"/>
  <c r="K2126" i="1"/>
  <c r="L2099" i="1"/>
  <c r="F2468" i="1" l="1"/>
  <c r="F2474" i="1" s="1"/>
  <c r="F2479" i="1" s="1"/>
  <c r="F2506" i="1" s="1"/>
  <c r="F2512" i="1" s="1"/>
  <c r="F2517" i="1" s="1"/>
  <c r="F2544" i="1" s="1"/>
  <c r="F2550" i="1" s="1"/>
  <c r="F2555" i="1" s="1"/>
  <c r="F2582" i="1" s="1"/>
  <c r="F2588" i="1" s="1"/>
  <c r="F2593" i="1" s="1"/>
  <c r="F2620" i="1" s="1"/>
  <c r="F2626" i="1" s="1"/>
  <c r="F2631" i="1" s="1"/>
  <c r="F2658" i="1" s="1"/>
  <c r="F2664" i="1" s="1"/>
  <c r="F2669" i="1" s="1"/>
  <c r="F2696" i="1" s="1"/>
  <c r="F2702" i="1" s="1"/>
  <c r="F2707" i="1" s="1"/>
  <c r="L2126" i="1"/>
  <c r="L2132" i="1" s="1"/>
  <c r="K2132" i="1"/>
  <c r="K2137" i="1" s="1"/>
  <c r="Y2164" i="1"/>
  <c r="Y2170" i="1" s="1"/>
  <c r="S2170" i="1"/>
  <c r="S2175" i="1" s="1"/>
  <c r="F2734" i="1" l="1"/>
  <c r="F2740" i="1" s="1"/>
  <c r="F2745" i="1" s="1"/>
  <c r="K2164" i="1"/>
  <c r="L2137" i="1"/>
  <c r="Y2175" i="1"/>
  <c r="S2202" i="1"/>
  <c r="F2772" i="1" l="1"/>
  <c r="F2778" i="1" s="1"/>
  <c r="F2783" i="1" s="1"/>
  <c r="K2170" i="1"/>
  <c r="K2175" i="1" s="1"/>
  <c r="L2164" i="1"/>
  <c r="L2170" i="1" s="1"/>
  <c r="Y2202" i="1"/>
  <c r="Y2208" i="1" s="1"/>
  <c r="S2208" i="1"/>
  <c r="S2213" i="1" s="1"/>
  <c r="F2810" i="1" l="1"/>
  <c r="F2816" i="1" s="1"/>
  <c r="F2821" i="1" s="1"/>
  <c r="F2848" i="1" s="1"/>
  <c r="F2854" i="1" s="1"/>
  <c r="F2859" i="1" s="1"/>
  <c r="K2202" i="1"/>
  <c r="L2175" i="1"/>
  <c r="Y2213" i="1"/>
  <c r="S2240" i="1"/>
  <c r="F2886" i="1" l="1"/>
  <c r="Y2240" i="1"/>
  <c r="Y2246" i="1" s="1"/>
  <c r="S2246" i="1"/>
  <c r="S2251" i="1" s="1"/>
  <c r="K2208" i="1"/>
  <c r="K2213" i="1" s="1"/>
  <c r="L2202" i="1"/>
  <c r="L2208" i="1" s="1"/>
  <c r="Y2251" i="1" l="1"/>
  <c r="S2278" i="1"/>
  <c r="K2240" i="1"/>
  <c r="L2213" i="1"/>
  <c r="Y2278" i="1" l="1"/>
  <c r="Y2284" i="1" s="1"/>
  <c r="S2284" i="1"/>
  <c r="S2289" i="1" s="1"/>
  <c r="L2240" i="1"/>
  <c r="L2246" i="1" s="1"/>
  <c r="K2246" i="1"/>
  <c r="K2251" i="1" s="1"/>
  <c r="Y2289" i="1" l="1"/>
  <c r="S2316" i="1"/>
  <c r="K2278" i="1"/>
  <c r="L2251" i="1"/>
  <c r="Y2316" i="1" l="1"/>
  <c r="Y2322" i="1" s="1"/>
  <c r="S2322" i="1"/>
  <c r="S2327" i="1" s="1"/>
  <c r="L2278" i="1"/>
  <c r="L2284" i="1" s="1"/>
  <c r="K2284" i="1"/>
  <c r="K2289" i="1" s="1"/>
  <c r="S2354" i="1" l="1"/>
  <c r="Y2327" i="1"/>
  <c r="K2316" i="1"/>
  <c r="L2289" i="1"/>
  <c r="Y2354" i="1" l="1"/>
  <c r="Y2360" i="1" s="1"/>
  <c r="S2360" i="1"/>
  <c r="S2365" i="1" s="1"/>
  <c r="L2316" i="1"/>
  <c r="L2322" i="1" s="1"/>
  <c r="K2322" i="1"/>
  <c r="K2327" i="1" s="1"/>
  <c r="Y2365" i="1" l="1"/>
  <c r="S2392" i="1"/>
  <c r="K2354" i="1"/>
  <c r="L2327" i="1"/>
  <c r="L2354" i="1" l="1"/>
  <c r="L2360" i="1" s="1"/>
  <c r="K2360" i="1"/>
  <c r="K2365" i="1" s="1"/>
  <c r="Y2392" i="1"/>
  <c r="Y2398" i="1" s="1"/>
  <c r="S2398" i="1"/>
  <c r="S2403" i="1" s="1"/>
  <c r="K2392" i="1" l="1"/>
  <c r="L2365" i="1"/>
  <c r="Y2403" i="1"/>
  <c r="S2430" i="1"/>
  <c r="Y2430" i="1" l="1"/>
  <c r="Y2436" i="1" s="1"/>
  <c r="S2436" i="1"/>
  <c r="S2441" i="1" s="1"/>
  <c r="K2398" i="1"/>
  <c r="K2403" i="1" s="1"/>
  <c r="L2392" i="1"/>
  <c r="L2398" i="1" s="1"/>
  <c r="Y2441" i="1" l="1"/>
  <c r="S2468" i="1"/>
  <c r="S2474" i="1" s="1"/>
  <c r="S2479" i="1" s="1"/>
  <c r="K2430" i="1"/>
  <c r="L2403" i="1"/>
  <c r="S2506" i="1" l="1"/>
  <c r="Y2479" i="1"/>
  <c r="Y2468" i="1"/>
  <c r="Y2474" i="1" s="1"/>
  <c r="L2430" i="1"/>
  <c r="L2436" i="1" s="1"/>
  <c r="K2436" i="1"/>
  <c r="K2441" i="1" s="1"/>
  <c r="S2512" i="1" l="1"/>
  <c r="S2517" i="1" s="1"/>
  <c r="Y2506" i="1"/>
  <c r="Y2512" i="1" s="1"/>
  <c r="K2468" i="1"/>
  <c r="L2441" i="1"/>
  <c r="Y2517" i="1" l="1"/>
  <c r="S2544" i="1"/>
  <c r="S2550" i="1" s="1"/>
  <c r="S2555" i="1" s="1"/>
  <c r="L2468" i="1"/>
  <c r="L2474" i="1" s="1"/>
  <c r="K2474" i="1"/>
  <c r="K2479" i="1" s="1"/>
  <c r="Y2555" i="1" l="1"/>
  <c r="S2582" i="1"/>
  <c r="Y2544" i="1"/>
  <c r="Y2550" i="1" s="1"/>
  <c r="K2506" i="1"/>
  <c r="L2479" i="1"/>
  <c r="Y2582" i="1" l="1"/>
  <c r="Y2588" i="1" s="1"/>
  <c r="S2588" i="1"/>
  <c r="S2593" i="1" s="1"/>
  <c r="L2506" i="1"/>
  <c r="L2512" i="1" s="1"/>
  <c r="K2512" i="1"/>
  <c r="K2517" i="1" s="1"/>
  <c r="S2620" i="1" l="1"/>
  <c r="Y2593" i="1"/>
  <c r="K2544" i="1"/>
  <c r="L2517" i="1"/>
  <c r="Y2620" i="1" l="1"/>
  <c r="Y2626" i="1" s="1"/>
  <c r="S2626" i="1"/>
  <c r="S2631" i="1" s="1"/>
  <c r="L2544" i="1"/>
  <c r="L2550" i="1" s="1"/>
  <c r="K2550" i="1"/>
  <c r="K2555" i="1" s="1"/>
  <c r="Y2631" i="1" l="1"/>
  <c r="S2658" i="1"/>
  <c r="K2582" i="1"/>
  <c r="L2555" i="1"/>
  <c r="Y2658" i="1" l="1"/>
  <c r="Y2664" i="1" s="1"/>
  <c r="S2664" i="1"/>
  <c r="S2669" i="1" s="1"/>
  <c r="L2582" i="1"/>
  <c r="L2588" i="1" s="1"/>
  <c r="K2588" i="1"/>
  <c r="K2593" i="1" s="1"/>
  <c r="S2696" i="1" l="1"/>
  <c r="Y2669" i="1"/>
  <c r="K2620" i="1"/>
  <c r="L2593" i="1"/>
  <c r="Y2696" i="1" l="1"/>
  <c r="Y2702" i="1" s="1"/>
  <c r="S2702" i="1"/>
  <c r="S2707" i="1" s="1"/>
  <c r="L2620" i="1"/>
  <c r="L2626" i="1" s="1"/>
  <c r="K2626" i="1"/>
  <c r="K2631" i="1" s="1"/>
  <c r="S2734" i="1" l="1"/>
  <c r="S2740" i="1" s="1"/>
  <c r="S2745" i="1" s="1"/>
  <c r="Y2707" i="1"/>
  <c r="K2658" i="1"/>
  <c r="L2631" i="1"/>
  <c r="Y2745" i="1" l="1"/>
  <c r="S2772" i="1"/>
  <c r="Y2734" i="1"/>
  <c r="Y2740" i="1" s="1"/>
  <c r="S2735" i="1"/>
  <c r="P2735" i="1"/>
  <c r="R2735" i="1"/>
  <c r="Q2735" i="1"/>
  <c r="O2735" i="1"/>
  <c r="L2658" i="1"/>
  <c r="L2664" i="1" s="1"/>
  <c r="K2664" i="1"/>
  <c r="K2669" i="1" s="1"/>
  <c r="S2778" i="1" l="1"/>
  <c r="S2783" i="1" s="1"/>
  <c r="R2811" i="1"/>
  <c r="P2811" i="1"/>
  <c r="Q2811" i="1"/>
  <c r="O2811" i="1"/>
  <c r="Y2772" i="1"/>
  <c r="Y2778" i="1" s="1"/>
  <c r="S2773" i="1"/>
  <c r="R2773" i="1"/>
  <c r="O2773" i="1"/>
  <c r="Q2773" i="1"/>
  <c r="P2773" i="1"/>
  <c r="K2696" i="1"/>
  <c r="L2669" i="1"/>
  <c r="Y2783" i="1" l="1"/>
  <c r="S2810" i="1"/>
  <c r="S2816" i="1" s="1"/>
  <c r="S2821" i="1" s="1"/>
  <c r="L2696" i="1"/>
  <c r="L2702" i="1" s="1"/>
  <c r="K2702" i="1"/>
  <c r="K2707" i="1" s="1"/>
  <c r="Y2821" i="1" l="1"/>
  <c r="S2848" i="1"/>
  <c r="Y2810" i="1"/>
  <c r="Y2816" i="1" s="1"/>
  <c r="S2811" i="1"/>
  <c r="K2734" i="1"/>
  <c r="L2707" i="1"/>
  <c r="Y2848" i="1" l="1"/>
  <c r="Y2854" i="1" s="1"/>
  <c r="S2854" i="1"/>
  <c r="S2859" i="1" s="1"/>
  <c r="L2734" i="1"/>
  <c r="L2740" i="1" s="1"/>
  <c r="K2740" i="1"/>
  <c r="K2745" i="1" s="1"/>
  <c r="S2886" i="1" l="1"/>
  <c r="Y2886" i="1" s="1"/>
  <c r="Y2859" i="1"/>
  <c r="K2772" i="1"/>
  <c r="L2745" i="1"/>
  <c r="L2772" i="1" l="1"/>
  <c r="L2778" i="1" s="1"/>
  <c r="K2778" i="1"/>
  <c r="K2783" i="1" s="1"/>
  <c r="K2810" i="1" l="1"/>
  <c r="L2783" i="1"/>
  <c r="L2810" i="1" l="1"/>
  <c r="L2816" i="1" s="1"/>
  <c r="K2816" i="1"/>
  <c r="K2821" i="1" s="1"/>
  <c r="K2848" i="1" l="1"/>
  <c r="L2821" i="1"/>
  <c r="L2848" i="1" l="1"/>
  <c r="L2854" i="1" s="1"/>
  <c r="K2854" i="1"/>
  <c r="K2859" i="1" s="1"/>
  <c r="K2886" i="1" l="1"/>
  <c r="L2886" i="1" s="1"/>
  <c r="L2859" i="1"/>
</calcChain>
</file>

<file path=xl/sharedStrings.xml><?xml version="1.0" encoding="utf-8"?>
<sst xmlns="http://schemas.openxmlformats.org/spreadsheetml/2006/main" count="6745" uniqueCount="2269">
  <si>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</si>
  <si>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</si>
  <si>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</si>
  <si>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</si>
  <si>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</si>
  <si>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</si>
  <si>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</si>
  <si>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</si>
  <si>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</si>
  <si>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</si>
  <si>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</si>
  <si>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</si>
  <si>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6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</si>
  <si>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</si>
  <si>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</si>
  <si>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</si>
  <si>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</si>
  <si>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</si>
  <si>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ベージュ</t>
    <phoneticPr fontId="6"/>
  </si>
  <si>
    <t>JODメルシー1125</t>
    <phoneticPr fontId="6"/>
  </si>
  <si>
    <t>11/25～</t>
    <phoneticPr fontId="6"/>
  </si>
  <si>
    <t>背筋サポート姿勢ブラ　夢販在庫</t>
    <rPh sb="0" eb="2">
      <t>セスジ</t>
    </rPh>
    <rPh sb="6" eb="8">
      <t>シセイ</t>
    </rPh>
    <rPh sb="11" eb="12">
      <t>ユメ</t>
    </rPh>
    <rPh sb="12" eb="13">
      <t>ハン</t>
    </rPh>
    <rPh sb="13" eb="15">
      <t>ザイコ</t>
    </rPh>
    <phoneticPr fontId="2"/>
  </si>
  <si>
    <t>背筋サポート姿勢ブラ　K-PORT在庫</t>
    <rPh sb="17" eb="19">
      <t>ザイコ</t>
    </rPh>
    <phoneticPr fontId="2"/>
  </si>
  <si>
    <t>アテニア3月号（2月納品）</t>
    <rPh sb="5" eb="7">
      <t>ガツゴウ</t>
    </rPh>
    <rPh sb="9" eb="12">
      <t>ガツノウヒン</t>
    </rPh>
    <phoneticPr fontId="6"/>
  </si>
  <si>
    <t>3/31発刊</t>
    <rPh sb="4" eb="6">
      <t>ハッカン</t>
    </rPh>
    <phoneticPr fontId="6"/>
  </si>
  <si>
    <t>アンファミエ春号</t>
    <rPh sb="6" eb="8">
      <t>ハルゴウ</t>
    </rPh>
    <phoneticPr fontId="6"/>
  </si>
  <si>
    <t>3月</t>
    <rPh sb="1" eb="2">
      <t>ガツ</t>
    </rPh>
    <phoneticPr fontId="6"/>
  </si>
  <si>
    <t>JOD特別号9514</t>
    <rPh sb="3" eb="6">
      <t>トクベツゴウ</t>
    </rPh>
    <phoneticPr fontId="6"/>
  </si>
  <si>
    <t>12/14～</t>
    <phoneticPr fontId="6"/>
  </si>
  <si>
    <t>11/27Ship</t>
    <phoneticPr fontId="6"/>
  </si>
  <si>
    <t>追加１</t>
    <rPh sb="0" eb="2">
      <t>ツイカ</t>
    </rPh>
    <phoneticPr fontId="2"/>
  </si>
  <si>
    <t>コープきんき2月4回</t>
    <rPh sb="7" eb="8">
      <t>ガツ</t>
    </rPh>
    <rPh sb="9" eb="10">
      <t>カイ</t>
    </rPh>
    <phoneticPr fontId="6"/>
  </si>
  <si>
    <t>JOD①</t>
    <phoneticPr fontId="6"/>
  </si>
  <si>
    <t>JOD②</t>
    <phoneticPr fontId="6"/>
  </si>
  <si>
    <t>夢販</t>
    <rPh sb="0" eb="2">
      <t>ユメハン</t>
    </rPh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</si>
  <si>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</si>
  <si>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</si>
  <si>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</si>
  <si>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</si>
  <si>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</si>
  <si>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JOD⑧</t>
    <phoneticPr fontId="6"/>
  </si>
  <si>
    <t>ネット</t>
    <phoneticPr fontId="6"/>
  </si>
  <si>
    <t>アバウト2/15点検1/27本発注2/16～26</t>
    <rPh sb="8" eb="10">
      <t>テンケン</t>
    </rPh>
    <rPh sb="14" eb="17">
      <t>ホンハッチュウ</t>
    </rPh>
    <phoneticPr fontId="6"/>
  </si>
  <si>
    <t>JOD⑨</t>
    <phoneticPr fontId="6"/>
  </si>
  <si>
    <t>JOD⑩</t>
    <phoneticPr fontId="6"/>
  </si>
  <si>
    <t>JOD⑪</t>
    <phoneticPr fontId="6"/>
  </si>
  <si>
    <t>サクラマチ（小山さん）</t>
    <rPh sb="6" eb="8">
      <t>コヤマ</t>
    </rPh>
    <phoneticPr fontId="6"/>
  </si>
  <si>
    <t>JOD⑫</t>
    <phoneticPr fontId="6"/>
  </si>
  <si>
    <t>JOD⑬</t>
    <phoneticPr fontId="6"/>
  </si>
  <si>
    <t>JOD返品</t>
    <rPh sb="3" eb="5">
      <t>ヘンピン</t>
    </rPh>
    <phoneticPr fontId="2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</si>
  <si>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</si>
  <si>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</si>
  <si>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</si>
  <si>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</si>
  <si>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</si>
  <si>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JODさらさ9520</t>
    <phoneticPr fontId="6"/>
  </si>
  <si>
    <t>1/27～</t>
    <phoneticPr fontId="6"/>
  </si>
  <si>
    <t>JOD⑲</t>
    <phoneticPr fontId="6"/>
  </si>
  <si>
    <t>2021/12/3数伝</t>
    <rPh sb="9" eb="10">
      <t>スウ</t>
    </rPh>
    <rPh sb="10" eb="11">
      <t>デン</t>
    </rPh>
    <phoneticPr fontId="6"/>
  </si>
  <si>
    <t>JOD⑳</t>
    <phoneticPr fontId="6"/>
  </si>
  <si>
    <t>JOD返品</t>
    <rPh sb="3" eb="5">
      <t>ヘンピン</t>
    </rPh>
    <phoneticPr fontId="6"/>
  </si>
  <si>
    <t>JOD㉑</t>
    <phoneticPr fontId="6"/>
  </si>
  <si>
    <t>追加</t>
    <rPh sb="0" eb="2">
      <t>ツイカ</t>
    </rPh>
    <phoneticPr fontId="6"/>
  </si>
  <si>
    <t>JOD㉒</t>
    <phoneticPr fontId="6"/>
  </si>
  <si>
    <t>JOD返品</t>
    <rPh sb="3" eb="5">
      <t>ヘンピン</t>
    </rPh>
    <phoneticPr fontId="6"/>
  </si>
  <si>
    <t>生協ひろしま3-1ｗ</t>
    <rPh sb="0" eb="2">
      <t>セイキョウ</t>
    </rPh>
    <phoneticPr fontId="6"/>
  </si>
  <si>
    <t>2/28～3/4</t>
    <phoneticPr fontId="6"/>
  </si>
  <si>
    <t>JOD㉓</t>
    <phoneticPr fontId="6"/>
  </si>
  <si>
    <t>JOD㉔</t>
    <phoneticPr fontId="6"/>
  </si>
  <si>
    <t>夢販</t>
  </si>
  <si>
    <t>追加</t>
    <rPh sb="0" eb="2">
      <t>ツイカ</t>
    </rPh>
    <phoneticPr fontId="6"/>
  </si>
  <si>
    <t>JOD㉕</t>
    <phoneticPr fontId="6"/>
  </si>
  <si>
    <t>JOD㉖</t>
    <phoneticPr fontId="6"/>
  </si>
  <si>
    <t>JOD㉗</t>
    <phoneticPr fontId="6"/>
  </si>
  <si>
    <t>JOD㉘</t>
    <phoneticPr fontId="6"/>
  </si>
  <si>
    <t>JOD㉙</t>
    <phoneticPr fontId="6"/>
  </si>
  <si>
    <t>JOD特別版0226</t>
    <rPh sb="3" eb="6">
      <t>トクベツバン</t>
    </rPh>
    <phoneticPr fontId="6"/>
  </si>
  <si>
    <t>2/25～</t>
    <phoneticPr fontId="6"/>
  </si>
  <si>
    <t>コープきんき2月4回①</t>
    <rPh sb="7" eb="8">
      <t>ガツ</t>
    </rPh>
    <rPh sb="9" eb="10">
      <t>カイ</t>
    </rPh>
    <phoneticPr fontId="6"/>
  </si>
  <si>
    <t>夢販</t>
    <rPh sb="0" eb="2">
      <t>ユメハン</t>
    </rPh>
    <phoneticPr fontId="6"/>
  </si>
  <si>
    <t>アテニア3月号先行量産品</t>
    <rPh sb="5" eb="12">
      <t>ガツゴウセンコウリョウサンヒン</t>
    </rPh>
    <phoneticPr fontId="6"/>
  </si>
  <si>
    <t>JOD㉚</t>
    <phoneticPr fontId="6"/>
  </si>
  <si>
    <t>JOD㉛</t>
    <phoneticPr fontId="6"/>
  </si>
  <si>
    <t>JOD㉜</t>
    <phoneticPr fontId="6"/>
  </si>
  <si>
    <t>JODメルシー0318</t>
    <phoneticPr fontId="6"/>
  </si>
  <si>
    <t>3/18～</t>
    <phoneticPr fontId="6"/>
  </si>
  <si>
    <t>JOD㉝</t>
    <phoneticPr fontId="6"/>
  </si>
  <si>
    <t>JOD㉞</t>
    <phoneticPr fontId="6"/>
  </si>
  <si>
    <t>JOD㉟</t>
    <phoneticPr fontId="6"/>
  </si>
  <si>
    <t>JOD㊱</t>
    <phoneticPr fontId="6"/>
  </si>
  <si>
    <t>JOD㊲</t>
    <phoneticPr fontId="6"/>
  </si>
  <si>
    <t>JODメルシー0326</t>
    <phoneticPr fontId="6"/>
  </si>
  <si>
    <t>3/26～</t>
    <phoneticPr fontId="6"/>
  </si>
  <si>
    <t>丸藤（九州）sample</t>
    <rPh sb="0" eb="2">
      <t>マルフジ</t>
    </rPh>
    <rPh sb="3" eb="5">
      <t>キュウシュウ</t>
    </rPh>
    <phoneticPr fontId="6"/>
  </si>
  <si>
    <t>JOD㊳</t>
    <phoneticPr fontId="6"/>
  </si>
  <si>
    <t>アンファミエ春号①</t>
    <rPh sb="6" eb="8">
      <t>ハルゴウ</t>
    </rPh>
    <phoneticPr fontId="6"/>
  </si>
  <si>
    <t>コープきんき2月4回②</t>
    <rPh sb="7" eb="8">
      <t>ガツ</t>
    </rPh>
    <rPh sb="9" eb="10">
      <t>カイ</t>
    </rPh>
    <phoneticPr fontId="6"/>
  </si>
  <si>
    <t>JOD㊴</t>
    <phoneticPr fontId="6"/>
  </si>
  <si>
    <t>コープきんき2月4回③</t>
    <rPh sb="7" eb="8">
      <t>ガツ</t>
    </rPh>
    <rPh sb="9" eb="10">
      <t>カイ</t>
    </rPh>
    <phoneticPr fontId="6"/>
  </si>
  <si>
    <t>JOD㊵</t>
    <phoneticPr fontId="6"/>
  </si>
  <si>
    <t>コープきんき2月4回④</t>
    <rPh sb="7" eb="8">
      <t>ガツ</t>
    </rPh>
    <rPh sb="9" eb="10">
      <t>カイ</t>
    </rPh>
    <phoneticPr fontId="6"/>
  </si>
  <si>
    <t>JOD㊶</t>
    <phoneticPr fontId="6"/>
  </si>
  <si>
    <t>コープきんき2月4回⑤（直送）</t>
    <rPh sb="7" eb="8">
      <t>ガツ</t>
    </rPh>
    <rPh sb="9" eb="10">
      <t>カイ</t>
    </rPh>
    <rPh sb="12" eb="14">
      <t>チョクソウ</t>
    </rPh>
    <phoneticPr fontId="6"/>
  </si>
  <si>
    <t>追加</t>
    <rPh sb="0" eb="2">
      <t>ツイカ</t>
    </rPh>
    <phoneticPr fontId="6"/>
  </si>
  <si>
    <t>JOD㊷</t>
    <phoneticPr fontId="6"/>
  </si>
  <si>
    <t>背筋サポート前開きブラ　K-PORT在庫</t>
    <rPh sb="6" eb="7">
      <t>マエ</t>
    </rPh>
    <rPh sb="7" eb="8">
      <t>ヒラ</t>
    </rPh>
    <rPh sb="18" eb="20">
      <t>ザイコ</t>
    </rPh>
    <phoneticPr fontId="2"/>
  </si>
  <si>
    <t>背筋サポート前開きブラ　夢販在庫</t>
    <rPh sb="0" eb="2">
      <t>セスジ</t>
    </rPh>
    <rPh sb="6" eb="8">
      <t>マエヒラ</t>
    </rPh>
    <rPh sb="12" eb="13">
      <t>ユメ</t>
    </rPh>
    <rPh sb="13" eb="14">
      <t>ハン</t>
    </rPh>
    <rPh sb="14" eb="16">
      <t>ザイコ</t>
    </rPh>
    <phoneticPr fontId="2"/>
  </si>
  <si>
    <t>JOD㊸</t>
    <phoneticPr fontId="6"/>
  </si>
  <si>
    <t>JOD㊹</t>
    <phoneticPr fontId="6"/>
  </si>
  <si>
    <t>生協ひろしま3-1ｗ①</t>
    <rPh sb="0" eb="2">
      <t>セイキョウ</t>
    </rPh>
    <phoneticPr fontId="6"/>
  </si>
  <si>
    <t>JOD㊺</t>
    <phoneticPr fontId="6"/>
  </si>
  <si>
    <t>サクラマチ（高田さん）</t>
    <rPh sb="6" eb="8">
      <t>タカダ</t>
    </rPh>
    <phoneticPr fontId="6"/>
  </si>
  <si>
    <t>JOD㊻</t>
    <phoneticPr fontId="6"/>
  </si>
  <si>
    <t>夢販</t>
    <rPh sb="0" eb="2">
      <t>ユメハン</t>
    </rPh>
    <phoneticPr fontId="6"/>
  </si>
  <si>
    <t>JOD㊼</t>
    <phoneticPr fontId="6"/>
  </si>
  <si>
    <t>JOD㊽</t>
    <phoneticPr fontId="6"/>
  </si>
  <si>
    <t>JOD㊾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</si>
  <si>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※品名・中入れ①</t>
    </r>
    <rPh sb="4" eb="7">
      <t>ショカゴウ</t>
    </rPh>
    <rPh sb="8" eb="10">
      <t>ヒンメイ</t>
    </rPh>
    <rPh sb="11" eb="13">
      <t>ナカイ</t>
    </rPh>
    <phoneticPr fontId="6"/>
  </si>
  <si>
    <t>JOD㊿</t>
    <phoneticPr fontId="6"/>
  </si>
  <si>
    <t>JOD51</t>
    <phoneticPr fontId="6"/>
  </si>
  <si>
    <t>JOD52</t>
    <phoneticPr fontId="6"/>
  </si>
  <si>
    <t>JOD53</t>
  </si>
  <si>
    <t>JOD特別号9646</t>
    <rPh sb="3" eb="6">
      <t>トクベツゴウ</t>
    </rPh>
    <phoneticPr fontId="6"/>
  </si>
  <si>
    <t>4/14～</t>
    <phoneticPr fontId="6"/>
  </si>
  <si>
    <t>JOD54</t>
    <phoneticPr fontId="6"/>
  </si>
  <si>
    <t>JOD55</t>
  </si>
  <si>
    <t>再生</t>
    <rPh sb="0" eb="2">
      <t>サイセイ</t>
    </rPh>
    <phoneticPr fontId="2"/>
  </si>
  <si>
    <t>JOD56</t>
    <phoneticPr fontId="6"/>
  </si>
  <si>
    <t>JOD57</t>
    <phoneticPr fontId="6"/>
  </si>
  <si>
    <t>夢販</t>
    <rPh sb="0" eb="2">
      <t>ユメハン</t>
    </rPh>
    <phoneticPr fontId="6"/>
  </si>
  <si>
    <t>JOD58</t>
    <phoneticPr fontId="6"/>
  </si>
  <si>
    <t>JOD59（西濃）</t>
    <rPh sb="6" eb="8">
      <t>セイノウ</t>
    </rPh>
    <phoneticPr fontId="6"/>
  </si>
  <si>
    <t>JOD59</t>
    <phoneticPr fontId="6"/>
  </si>
  <si>
    <t>JOD60</t>
  </si>
  <si>
    <t>JOD61</t>
  </si>
  <si>
    <t>アンファミエ春号②</t>
    <rPh sb="6" eb="8">
      <t>ハルゴウ</t>
    </rPh>
    <phoneticPr fontId="6"/>
  </si>
  <si>
    <t>ネット</t>
    <phoneticPr fontId="6"/>
  </si>
  <si>
    <t>JOD62</t>
    <phoneticPr fontId="6"/>
  </si>
  <si>
    <t>JOD63</t>
    <phoneticPr fontId="6"/>
  </si>
  <si>
    <t>JOD64</t>
    <phoneticPr fontId="6"/>
  </si>
  <si>
    <t>夢販</t>
    <rPh sb="0" eb="2">
      <t>ユメハン</t>
    </rPh>
    <phoneticPr fontId="6"/>
  </si>
  <si>
    <t>サクラマチ（高田さん）sample</t>
    <rPh sb="6" eb="8">
      <t>タカダ</t>
    </rPh>
    <phoneticPr fontId="6"/>
  </si>
  <si>
    <t>JOD65</t>
    <phoneticPr fontId="6"/>
  </si>
  <si>
    <t>夢販</t>
    <rPh sb="0" eb="2">
      <t>ユメハン</t>
    </rPh>
    <phoneticPr fontId="6"/>
  </si>
  <si>
    <t>JOD66</t>
  </si>
  <si>
    <t>アンファミエ春号③</t>
    <rPh sb="6" eb="8">
      <t>ハルゴウ</t>
    </rPh>
    <phoneticPr fontId="6"/>
  </si>
  <si>
    <t>JOD67</t>
    <phoneticPr fontId="6"/>
  </si>
  <si>
    <t>JODアクセス7085</t>
    <phoneticPr fontId="6"/>
  </si>
  <si>
    <t>6/15～</t>
    <phoneticPr fontId="6"/>
  </si>
  <si>
    <t>JOD68</t>
    <phoneticPr fontId="6"/>
  </si>
  <si>
    <t>JOD69</t>
    <phoneticPr fontId="6"/>
  </si>
  <si>
    <t>JOD70</t>
    <phoneticPr fontId="6"/>
  </si>
  <si>
    <t>JOD71</t>
  </si>
  <si>
    <t>くらし返品</t>
    <rPh sb="3" eb="5">
      <t>ヘンピン</t>
    </rPh>
    <phoneticPr fontId="2"/>
  </si>
  <si>
    <t>JOD72</t>
    <phoneticPr fontId="6"/>
  </si>
  <si>
    <t>アンファミエ春号④</t>
    <rPh sb="6" eb="8">
      <t>ハルゴウ</t>
    </rPh>
    <phoneticPr fontId="6"/>
  </si>
  <si>
    <t>夢販</t>
    <rPh sb="0" eb="2">
      <t>ユメハン</t>
    </rPh>
    <phoneticPr fontId="6"/>
  </si>
  <si>
    <t>JOD73</t>
    <phoneticPr fontId="6"/>
  </si>
  <si>
    <t>JOD74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</si>
  <si>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※品名・中入れ抜き②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</si>
  <si>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JOD75</t>
    <phoneticPr fontId="6"/>
  </si>
  <si>
    <t>JODメルシー0526</t>
    <phoneticPr fontId="6"/>
  </si>
  <si>
    <t>5/26～</t>
    <phoneticPr fontId="6"/>
  </si>
  <si>
    <t>JOD76</t>
    <phoneticPr fontId="6"/>
  </si>
  <si>
    <t>JOD77</t>
    <phoneticPr fontId="6"/>
  </si>
  <si>
    <t>アンファミエ春号⑤</t>
    <rPh sb="6" eb="8">
      <t>ハルゴウ</t>
    </rPh>
    <phoneticPr fontId="6"/>
  </si>
  <si>
    <t>サクラマチ返品</t>
    <rPh sb="5" eb="7">
      <t>ヘンピン</t>
    </rPh>
    <phoneticPr fontId="2"/>
  </si>
  <si>
    <t>JOD78</t>
  </si>
  <si>
    <t>JOD79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</si>
  <si>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※品名・中入れ抜き③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</si>
  <si>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JOD80</t>
    <phoneticPr fontId="6"/>
  </si>
  <si>
    <t>JOD81</t>
    <phoneticPr fontId="6"/>
  </si>
  <si>
    <t>JOD82</t>
    <phoneticPr fontId="6"/>
  </si>
  <si>
    <t>JOD83</t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</si>
  <si>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</si>
  <si>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</si>
  <si>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JOD84</t>
    <phoneticPr fontId="6"/>
  </si>
  <si>
    <t>サクラマチ（長縄さん）sample</t>
    <rPh sb="6" eb="8">
      <t>ナガナワ</t>
    </rPh>
    <phoneticPr fontId="2"/>
  </si>
  <si>
    <t>JOD85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</si>
  <si>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※品名・中入れ抜き④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</si>
  <si>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JOD86</t>
    <phoneticPr fontId="6"/>
  </si>
  <si>
    <t>5/28ship</t>
    <phoneticPr fontId="6"/>
  </si>
  <si>
    <t>JOD87</t>
  </si>
  <si>
    <t>JOD88</t>
    <phoneticPr fontId="6"/>
  </si>
  <si>
    <t>夢販</t>
    <rPh sb="0" eb="2">
      <t>ユメハン</t>
    </rPh>
    <phoneticPr fontId="6"/>
  </si>
  <si>
    <t>JOD89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</si>
  <si>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※品名・中入れ抜き⑤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</si>
  <si>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JOD90</t>
    <phoneticPr fontId="6"/>
  </si>
  <si>
    <t>JOD91</t>
    <phoneticPr fontId="6"/>
  </si>
  <si>
    <t>JOD92</t>
    <phoneticPr fontId="6"/>
  </si>
  <si>
    <t>JOD93</t>
    <phoneticPr fontId="6"/>
  </si>
  <si>
    <t>くらし企画返品</t>
    <rPh sb="3" eb="7">
      <t>キカクヘンピン</t>
    </rPh>
    <phoneticPr fontId="2"/>
  </si>
  <si>
    <t>千趣会①</t>
    <rPh sb="0" eb="3">
      <t>センシュカイ</t>
    </rPh>
    <phoneticPr fontId="6"/>
  </si>
  <si>
    <t>JOD94</t>
  </si>
  <si>
    <t>サクラマチ返品</t>
    <rPh sb="5" eb="7">
      <t>ヘンピン</t>
    </rPh>
    <phoneticPr fontId="6"/>
  </si>
  <si>
    <t>JOD95</t>
    <phoneticPr fontId="6"/>
  </si>
  <si>
    <t>JOD96</t>
  </si>
  <si>
    <t>アンファミエ春号⑥</t>
    <rPh sb="6" eb="8">
      <t>ハルゴウ</t>
    </rPh>
    <phoneticPr fontId="6"/>
  </si>
  <si>
    <t>JOD97</t>
  </si>
  <si>
    <t>追加</t>
    <rPh sb="0" eb="2">
      <t>ツイカ</t>
    </rPh>
    <phoneticPr fontId="6"/>
  </si>
  <si>
    <t>JOD98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</si>
  <si>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※品名・中入れ抜き⑥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</si>
  <si>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追加</t>
    <rPh sb="0" eb="2">
      <t>ツイカ</t>
    </rPh>
    <phoneticPr fontId="6"/>
  </si>
  <si>
    <t>JOD99</t>
    <phoneticPr fontId="6"/>
  </si>
  <si>
    <t>JOD/BEAUTY通信0627</t>
    <rPh sb="10" eb="12">
      <t>ツウシン</t>
    </rPh>
    <phoneticPr fontId="6"/>
  </si>
  <si>
    <t>6/25～</t>
    <phoneticPr fontId="6"/>
  </si>
  <si>
    <t>JOD100</t>
  </si>
  <si>
    <t>2022/5/24数伝</t>
    <rPh sb="9" eb="10">
      <t>スウ</t>
    </rPh>
    <rPh sb="10" eb="11">
      <t>デン</t>
    </rPh>
    <phoneticPr fontId="6"/>
  </si>
  <si>
    <t>JOD特別版0707</t>
    <rPh sb="3" eb="6">
      <t>トクベツバン</t>
    </rPh>
    <phoneticPr fontId="6"/>
  </si>
  <si>
    <t>7/6～</t>
    <phoneticPr fontId="6"/>
  </si>
  <si>
    <t>8/3、8/8</t>
    <phoneticPr fontId="6"/>
  </si>
  <si>
    <t>JOD101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</si>
  <si>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※品名・中入れ抜き⑦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</si>
  <si>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JOD102</t>
    <phoneticPr fontId="6"/>
  </si>
  <si>
    <t>2022/6/4数</t>
    <rPh sb="8" eb="9">
      <t>スウ</t>
    </rPh>
    <phoneticPr fontId="6"/>
  </si>
  <si>
    <t>JOD103</t>
    <phoneticPr fontId="6"/>
  </si>
  <si>
    <t>サクラマチ（佐藤さん）</t>
    <rPh sb="6" eb="8">
      <t>サトウ</t>
    </rPh>
    <phoneticPr fontId="6"/>
  </si>
  <si>
    <t>JOD104</t>
    <phoneticPr fontId="6"/>
  </si>
  <si>
    <t>JOD105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</si>
  <si>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※品名・中入れ抜き⑧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</si>
  <si>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JOD106</t>
    <phoneticPr fontId="6"/>
  </si>
  <si>
    <t>JOD107</t>
  </si>
  <si>
    <t>JOD108</t>
  </si>
  <si>
    <t>JOD109</t>
    <phoneticPr fontId="6"/>
  </si>
  <si>
    <t>JOD110</t>
    <phoneticPr fontId="6"/>
  </si>
  <si>
    <t>JOD111</t>
    <phoneticPr fontId="6"/>
  </si>
  <si>
    <t>JOD112</t>
  </si>
  <si>
    <t>JOD113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</si>
  <si>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※品名・中入れ抜き⑨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</si>
  <si>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JOD114</t>
    <phoneticPr fontId="6"/>
  </si>
  <si>
    <t>夢販</t>
    <rPh sb="0" eb="2">
      <t>ユメハン</t>
    </rPh>
    <phoneticPr fontId="6"/>
  </si>
  <si>
    <t>JOD115</t>
    <phoneticPr fontId="6"/>
  </si>
  <si>
    <t>JOD特別版0729</t>
    <rPh sb="3" eb="6">
      <t>トクベツバン</t>
    </rPh>
    <phoneticPr fontId="6"/>
  </si>
  <si>
    <t>7/28～</t>
    <phoneticPr fontId="6"/>
  </si>
  <si>
    <t>8/31、9/5</t>
    <phoneticPr fontId="6"/>
  </si>
  <si>
    <t>JOD116</t>
    <phoneticPr fontId="6"/>
  </si>
  <si>
    <t>JOD117</t>
    <phoneticPr fontId="6"/>
  </si>
  <si>
    <t>JOD118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</si>
  <si>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※品名・中入れ抜き⑩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</si>
  <si>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JOD119</t>
  </si>
  <si>
    <t>JOD120</t>
    <phoneticPr fontId="6"/>
  </si>
  <si>
    <t>アンファミエ春号⑦</t>
    <rPh sb="6" eb="8">
      <t>ハルゴウ</t>
    </rPh>
    <phoneticPr fontId="6"/>
  </si>
  <si>
    <t>JOD121</t>
    <phoneticPr fontId="6"/>
  </si>
  <si>
    <t>JOD122</t>
    <phoneticPr fontId="6"/>
  </si>
  <si>
    <t>JOD123</t>
  </si>
  <si>
    <t>JOD返品</t>
    <rPh sb="3" eb="5">
      <t>ヘンピン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</si>
  <si>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※品名・中入れ抜き⑪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</si>
  <si>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JOD124</t>
  </si>
  <si>
    <t>JOD125</t>
    <phoneticPr fontId="6"/>
  </si>
  <si>
    <t>JOD126</t>
    <phoneticPr fontId="6"/>
  </si>
  <si>
    <t>追加</t>
    <rPh sb="0" eb="2">
      <t>ツイカ</t>
    </rPh>
    <phoneticPr fontId="6"/>
  </si>
  <si>
    <t>JOD127</t>
    <phoneticPr fontId="6"/>
  </si>
  <si>
    <t>JOD128</t>
  </si>
  <si>
    <t>JOD129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</si>
  <si>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※品名・中入れ抜き⑫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</si>
  <si>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JOD130</t>
  </si>
  <si>
    <t>JOD131</t>
  </si>
  <si>
    <t>追加</t>
    <rPh sb="0" eb="2">
      <t>ツイカ</t>
    </rPh>
    <phoneticPr fontId="6"/>
  </si>
  <si>
    <t>JOD132</t>
    <phoneticPr fontId="6"/>
  </si>
  <si>
    <t>JOD133</t>
    <phoneticPr fontId="6"/>
  </si>
  <si>
    <t>JOD134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</si>
  <si>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※品名・中入れ抜き⑬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</si>
  <si>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JOD135</t>
    <phoneticPr fontId="6"/>
  </si>
  <si>
    <t>千趣会yurubi23A撮影用sample</t>
    <rPh sb="0" eb="3">
      <t>センシュカイ</t>
    </rPh>
    <rPh sb="12" eb="14">
      <t>サツエイ</t>
    </rPh>
    <rPh sb="14" eb="15">
      <t>ヨウ</t>
    </rPh>
    <phoneticPr fontId="6"/>
  </si>
  <si>
    <t>JOD136</t>
    <phoneticPr fontId="6"/>
  </si>
  <si>
    <t>10/12～26（1～5回）</t>
    <rPh sb="12" eb="13">
      <t>カイ</t>
    </rPh>
    <phoneticPr fontId="6"/>
  </si>
  <si>
    <t>コープ九州10-4w差分予測</t>
    <rPh sb="3" eb="5">
      <t>キュウシュウ</t>
    </rPh>
    <rPh sb="10" eb="14">
      <t>サブンヨソク</t>
    </rPh>
    <phoneticPr fontId="6"/>
  </si>
  <si>
    <t>JOD137</t>
    <phoneticPr fontId="6"/>
  </si>
  <si>
    <t>JOD138</t>
    <phoneticPr fontId="6"/>
  </si>
  <si>
    <t>JOD169</t>
    <phoneticPr fontId="2"/>
  </si>
  <si>
    <t>アテニア１０月号（９月納品）</t>
    <rPh sb="6" eb="7">
      <t>ガツ</t>
    </rPh>
    <rPh sb="7" eb="8">
      <t>ゴウ</t>
    </rPh>
    <rPh sb="10" eb="11">
      <t>ガツ</t>
    </rPh>
    <rPh sb="11" eb="13">
      <t>ノウヒン</t>
    </rPh>
    <phoneticPr fontId="6"/>
  </si>
  <si>
    <t>JOD170</t>
    <phoneticPr fontId="2"/>
  </si>
  <si>
    <r>
      <t>コープさっぽろ8月2週</t>
    </r>
    <r>
      <rPr>
        <b/>
        <sz val="11"/>
        <rFont val="ＭＳ Ｐゴシック"/>
        <family val="3"/>
        <charset val="128"/>
      </rPr>
      <t>（前開きブラ）①</t>
    </r>
    <rPh sb="8" eb="9">
      <t>ガツ</t>
    </rPh>
    <rPh sb="10" eb="11">
      <t>シュウ</t>
    </rPh>
    <rPh sb="12" eb="14">
      <t>マエビラ</t>
    </rPh>
    <phoneticPr fontId="6"/>
  </si>
  <si>
    <t>JOD171</t>
  </si>
  <si>
    <r>
      <t>コープさっぽろ8月2週</t>
    </r>
    <r>
      <rPr>
        <b/>
        <sz val="11"/>
        <rFont val="ＭＳ Ｐゴシック"/>
        <family val="3"/>
        <charset val="128"/>
      </rPr>
      <t>（前開きブラ）</t>
    </r>
    <rPh sb="8" eb="9">
      <t>ガツ</t>
    </rPh>
    <rPh sb="10" eb="11">
      <t>シュウ</t>
    </rPh>
    <rPh sb="12" eb="14">
      <t>マエビラ</t>
    </rPh>
    <phoneticPr fontId="6"/>
  </si>
  <si>
    <t>JOD172</t>
  </si>
  <si>
    <t>アテニア撮影用sample</t>
    <rPh sb="4" eb="7">
      <t>サツエイヨウ</t>
    </rPh>
    <phoneticPr fontId="6"/>
  </si>
  <si>
    <t>JOD173</t>
  </si>
  <si>
    <r>
      <t>コープさっぽろ8月2週</t>
    </r>
    <r>
      <rPr>
        <b/>
        <sz val="11"/>
        <rFont val="ＭＳ Ｐゴシック"/>
        <family val="3"/>
        <charset val="128"/>
      </rPr>
      <t>（前開きブラ）②</t>
    </r>
    <rPh sb="8" eb="9">
      <t>ガツ</t>
    </rPh>
    <rPh sb="10" eb="11">
      <t>シュウ</t>
    </rPh>
    <rPh sb="12" eb="14">
      <t>マエビラ</t>
    </rPh>
    <phoneticPr fontId="6"/>
  </si>
  <si>
    <t>JOD174</t>
  </si>
  <si>
    <t>JOD175</t>
  </si>
  <si>
    <t>JOD176</t>
  </si>
  <si>
    <t>JOD177</t>
    <phoneticPr fontId="6"/>
  </si>
  <si>
    <t>JOD不良品</t>
    <rPh sb="3" eb="5">
      <t>フリョウ</t>
    </rPh>
    <rPh sb="5" eb="6">
      <t>ヒン</t>
    </rPh>
    <phoneticPr fontId="6"/>
  </si>
  <si>
    <t>K-PORT</t>
    <phoneticPr fontId="6"/>
  </si>
  <si>
    <t>再生</t>
    <rPh sb="0" eb="2">
      <t>サイセイ</t>
    </rPh>
    <phoneticPr fontId="6"/>
  </si>
  <si>
    <t>JOD178</t>
    <phoneticPr fontId="6"/>
  </si>
  <si>
    <t>JOD179</t>
    <phoneticPr fontId="6"/>
  </si>
  <si>
    <t>夢販</t>
    <rPh sb="0" eb="2">
      <t>ユメハン</t>
    </rPh>
    <phoneticPr fontId="6"/>
  </si>
  <si>
    <t>JOD180</t>
  </si>
  <si>
    <t>JODアクセス7088</t>
    <phoneticPr fontId="6"/>
  </si>
  <si>
    <t>10/1～</t>
    <phoneticPr fontId="6"/>
  </si>
  <si>
    <t>JOD181</t>
  </si>
  <si>
    <t>棚卸</t>
    <rPh sb="0" eb="2">
      <t>タナオロシ</t>
    </rPh>
    <phoneticPr fontId="2"/>
  </si>
  <si>
    <t>JOD182</t>
    <phoneticPr fontId="6"/>
  </si>
  <si>
    <t>JOD返品</t>
    <rPh sb="3" eb="5">
      <t>ヘンピン</t>
    </rPh>
    <phoneticPr fontId="6"/>
  </si>
  <si>
    <t>アンファミエ春号⑧</t>
    <rPh sb="6" eb="8">
      <t>ハルゴウ</t>
    </rPh>
    <phoneticPr fontId="6"/>
  </si>
  <si>
    <t>JOD返品</t>
    <rPh sb="3" eb="5">
      <t>ヘンピン</t>
    </rPh>
    <phoneticPr fontId="6"/>
  </si>
  <si>
    <r>
      <t>コープさっぽろ9-2ｗ</t>
    </r>
    <r>
      <rPr>
        <b/>
        <sz val="11"/>
        <rFont val="ＭＳ Ｐゴシック"/>
        <family val="3"/>
        <charset val="128"/>
      </rPr>
      <t>（前開きブラ）①</t>
    </r>
    <rPh sb="12" eb="14">
      <t>マエビラ</t>
    </rPh>
    <phoneticPr fontId="6"/>
  </si>
  <si>
    <t>JOD183</t>
    <phoneticPr fontId="6"/>
  </si>
  <si>
    <t>JOD184</t>
  </si>
  <si>
    <r>
      <t>コープさっぽろ9-2ｗ</t>
    </r>
    <r>
      <rPr>
        <b/>
        <sz val="11"/>
        <rFont val="ＭＳ Ｐゴシック"/>
        <family val="3"/>
        <charset val="128"/>
      </rPr>
      <t>（前開きブラ）</t>
    </r>
    <rPh sb="12" eb="14">
      <t>マエビラ</t>
    </rPh>
    <phoneticPr fontId="6"/>
  </si>
  <si>
    <r>
      <t>コープさっぽろ9-2ｗ</t>
    </r>
    <r>
      <rPr>
        <b/>
        <sz val="11"/>
        <rFont val="ＭＳ Ｐゴシック"/>
        <family val="3"/>
        <charset val="128"/>
      </rPr>
      <t>（前開きブラ）②</t>
    </r>
    <rPh sb="12" eb="14">
      <t>マエビラ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</si>
  <si>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※品名・中入れ抜き⑭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</si>
  <si>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KPORT</t>
    <phoneticPr fontId="6"/>
  </si>
  <si>
    <t>夢販移動</t>
    <rPh sb="0" eb="4">
      <t>ユメハンイドウ</t>
    </rPh>
    <phoneticPr fontId="2"/>
  </si>
  <si>
    <t>JOD185</t>
    <phoneticPr fontId="6"/>
  </si>
  <si>
    <t>千趣会yurubi23A</t>
    <rPh sb="0" eb="3">
      <t>センシュカイ</t>
    </rPh>
    <phoneticPr fontId="6"/>
  </si>
  <si>
    <t>JOD186</t>
    <phoneticPr fontId="6"/>
  </si>
  <si>
    <t>JOD返品</t>
    <rPh sb="3" eb="5">
      <t>ヘンピン</t>
    </rPh>
    <phoneticPr fontId="6"/>
  </si>
  <si>
    <t>JOD187</t>
    <phoneticPr fontId="6"/>
  </si>
  <si>
    <t>JOD188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</si>
  <si>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※品名・中入れ抜き⑮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</si>
  <si>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JOD189</t>
  </si>
  <si>
    <t>JOD190</t>
  </si>
  <si>
    <t>JOD191</t>
  </si>
  <si>
    <t>JOD192</t>
  </si>
  <si>
    <t>くらしsample倉田さん</t>
    <rPh sb="9" eb="11">
      <t>クラタ</t>
    </rPh>
    <phoneticPr fontId="6"/>
  </si>
  <si>
    <t>10/3～</t>
    <phoneticPr fontId="6"/>
  </si>
  <si>
    <t>JODルフェリ1022</t>
    <phoneticPr fontId="6"/>
  </si>
  <si>
    <t>10/20～</t>
    <phoneticPr fontId="6"/>
  </si>
  <si>
    <t>JOD193</t>
    <phoneticPr fontId="6"/>
  </si>
  <si>
    <t>JOD新聞折込9082テスト</t>
    <rPh sb="3" eb="7">
      <t>シンブンオリコミ</t>
    </rPh>
    <phoneticPr fontId="6"/>
  </si>
  <si>
    <t>千趣会yurubi23A①</t>
    <rPh sb="0" eb="3">
      <t>センシュカイ</t>
    </rPh>
    <phoneticPr fontId="6"/>
  </si>
  <si>
    <t>1/20～</t>
    <phoneticPr fontId="6"/>
  </si>
  <si>
    <t>追加３  2-1</t>
    <rPh sb="0" eb="2">
      <t>ツイカ</t>
    </rPh>
    <phoneticPr fontId="2"/>
  </si>
  <si>
    <t>追加３ 2-2</t>
    <rPh sb="0" eb="2">
      <t>ツイカ</t>
    </rPh>
    <phoneticPr fontId="2"/>
  </si>
  <si>
    <t>JOD194</t>
    <phoneticPr fontId="6"/>
  </si>
  <si>
    <t>オバタ返品</t>
    <rPh sb="3" eb="5">
      <t>ヘンピン</t>
    </rPh>
    <phoneticPr fontId="6"/>
  </si>
  <si>
    <t>JOD195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</si>
  <si>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※品名・中入れ抜き⑯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</si>
  <si>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JOD196</t>
  </si>
  <si>
    <t>JOD197</t>
  </si>
  <si>
    <t>ニッセン再納品</t>
    <rPh sb="4" eb="7">
      <t>サイノウヒン</t>
    </rPh>
    <phoneticPr fontId="6"/>
  </si>
  <si>
    <t>コープ九州10-4w(不透明袋）</t>
    <rPh sb="3" eb="5">
      <t>キュウシュウ</t>
    </rPh>
    <rPh sb="11" eb="15">
      <t>フトウメイフクロ</t>
    </rPh>
    <phoneticPr fontId="6"/>
  </si>
  <si>
    <t>JOD198</t>
    <phoneticPr fontId="6"/>
  </si>
  <si>
    <t>JOD199</t>
  </si>
  <si>
    <r>
      <t>ニッセン初夏号</t>
    </r>
    <r>
      <rPr>
        <b/>
        <sz val="11"/>
        <rFont val="ＭＳ Ｐゴシック"/>
        <family val="3"/>
        <charset val="128"/>
      </rPr>
      <t>※品名・中入れ抜き⑭誤送分</t>
    </r>
    <rPh sb="4" eb="7">
      <t>ショカゴウ</t>
    </rPh>
    <rPh sb="8" eb="10">
      <t>ヒンメイ</t>
    </rPh>
    <rPh sb="11" eb="13">
      <t>ナカイ</t>
    </rPh>
    <rPh sb="14" eb="15">
      <t>ヌ</t>
    </rPh>
    <rPh sb="17" eb="20">
      <t>ゴソウブン</t>
    </rPh>
    <phoneticPr fontId="6"/>
  </si>
  <si>
    <t>JOD200</t>
  </si>
  <si>
    <t>JOD201</t>
  </si>
  <si>
    <t>千趣会②</t>
    <rPh sb="0" eb="3">
      <t>センシュカイ</t>
    </rPh>
    <phoneticPr fontId="6"/>
  </si>
  <si>
    <t>JODメルシー1105</t>
    <phoneticPr fontId="6"/>
  </si>
  <si>
    <t>11/5～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</si>
  <si>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※品名・中入れ抜き⑰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</si>
  <si>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JOD202</t>
    <phoneticPr fontId="6"/>
  </si>
  <si>
    <t>コープ九州10-4w(不透明袋）①</t>
    <rPh sb="3" eb="5">
      <t>キュウシュウ</t>
    </rPh>
    <rPh sb="11" eb="15">
      <t>フトウメイフクロ</t>
    </rPh>
    <phoneticPr fontId="6"/>
  </si>
  <si>
    <t>11/4～</t>
    <phoneticPr fontId="6"/>
  </si>
  <si>
    <t>JOD特別号R9877</t>
    <rPh sb="3" eb="6">
      <t>トクベツゴウ</t>
    </rPh>
    <phoneticPr fontId="6"/>
  </si>
  <si>
    <t>JOD新聞折込9087</t>
    <rPh sb="3" eb="7">
      <t>シンブンオリコミ</t>
    </rPh>
    <phoneticPr fontId="6"/>
  </si>
  <si>
    <t>10/24～</t>
    <phoneticPr fontId="6"/>
  </si>
  <si>
    <t>夢販</t>
    <rPh sb="0" eb="2">
      <t>ユメハン</t>
    </rPh>
    <phoneticPr fontId="2"/>
  </si>
  <si>
    <t>JOD203</t>
    <phoneticPr fontId="6"/>
  </si>
  <si>
    <t>構成比</t>
    <rPh sb="0" eb="3">
      <t>コウセイヒ</t>
    </rPh>
    <phoneticPr fontId="6"/>
  </si>
  <si>
    <t>JOD204</t>
    <phoneticPr fontId="6"/>
  </si>
  <si>
    <t>コープ九州10-4w(不透明袋）②</t>
    <rPh sb="3" eb="5">
      <t>キュウシュウ</t>
    </rPh>
    <rPh sb="11" eb="15">
      <t>フトウメイフクロ</t>
    </rPh>
    <phoneticPr fontId="6"/>
  </si>
  <si>
    <t>JOD205</t>
  </si>
  <si>
    <t>JOD特別号9988</t>
    <rPh sb="3" eb="6">
      <t>トクベツゴウ</t>
    </rPh>
    <phoneticPr fontId="6"/>
  </si>
  <si>
    <t>11/14～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</si>
  <si>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※品名・中入れ抜き⑱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</si>
  <si>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JOD206</t>
    <phoneticPr fontId="6"/>
  </si>
  <si>
    <t>JOD207</t>
    <phoneticPr fontId="6"/>
  </si>
  <si>
    <t>JOD208</t>
  </si>
  <si>
    <t>JOD209</t>
    <phoneticPr fontId="6"/>
  </si>
  <si>
    <t>JOD新聞折込9090</t>
    <rPh sb="3" eb="7">
      <t>シンブンオリコミ</t>
    </rPh>
    <phoneticPr fontId="6"/>
  </si>
  <si>
    <t>11/7～</t>
    <phoneticPr fontId="6"/>
  </si>
  <si>
    <t>JOD210</t>
    <phoneticPr fontId="6"/>
  </si>
  <si>
    <t>JOD211</t>
    <phoneticPr fontId="6"/>
  </si>
  <si>
    <t>JOD212</t>
    <phoneticPr fontId="6"/>
  </si>
  <si>
    <t>JOD212</t>
  </si>
  <si>
    <t>牧野</t>
    <rPh sb="0" eb="2">
      <t>マキノ</t>
    </rPh>
    <phoneticPr fontId="6"/>
  </si>
  <si>
    <t>JOD213</t>
  </si>
  <si>
    <t>K-PORT</t>
    <phoneticPr fontId="6"/>
  </si>
  <si>
    <t>JOD214</t>
  </si>
  <si>
    <t>JOD別送分</t>
    <rPh sb="3" eb="5">
      <t>ベッソウ</t>
    </rPh>
    <rPh sb="5" eb="6">
      <t>ブン</t>
    </rPh>
    <phoneticPr fontId="6"/>
  </si>
  <si>
    <t>オバタ返品</t>
    <rPh sb="3" eb="5">
      <t>ヘンピン</t>
    </rPh>
    <phoneticPr fontId="2"/>
  </si>
  <si>
    <t>夢販</t>
    <rPh sb="0" eb="2">
      <t>ユメハン</t>
    </rPh>
    <phoneticPr fontId="6"/>
  </si>
  <si>
    <t>JOD215</t>
    <phoneticPr fontId="6"/>
  </si>
  <si>
    <t>JOD216</t>
  </si>
  <si>
    <t>10/28数伝</t>
    <rPh sb="5" eb="6">
      <t>スウ</t>
    </rPh>
    <rPh sb="6" eb="7">
      <t>デン</t>
    </rPh>
    <phoneticPr fontId="6"/>
  </si>
  <si>
    <t>JOD217</t>
    <phoneticPr fontId="6"/>
  </si>
  <si>
    <t>JOD218（西濃）</t>
    <rPh sb="7" eb="9">
      <t>セイノウ</t>
    </rPh>
    <phoneticPr fontId="6"/>
  </si>
  <si>
    <t>JOD218</t>
  </si>
  <si>
    <t>JOD特別号9990裏</t>
    <rPh sb="3" eb="6">
      <t>トクベツゴウ</t>
    </rPh>
    <rPh sb="10" eb="11">
      <t>ウラ</t>
    </rPh>
    <phoneticPr fontId="6"/>
  </si>
  <si>
    <t>12/1～</t>
    <phoneticPr fontId="6"/>
  </si>
  <si>
    <t>JOD219</t>
  </si>
  <si>
    <t>JOD220</t>
  </si>
  <si>
    <t>サクラマチ（佐藤亜）サンプル</t>
    <rPh sb="6" eb="8">
      <t>サトウ</t>
    </rPh>
    <rPh sb="8" eb="9">
      <t>ア</t>
    </rPh>
    <phoneticPr fontId="6"/>
  </si>
  <si>
    <t>JOD221</t>
  </si>
  <si>
    <t>JOD新聞折込9093</t>
    <rPh sb="3" eb="7">
      <t>シンブンオリコミ</t>
    </rPh>
    <phoneticPr fontId="6"/>
  </si>
  <si>
    <t>11/28～</t>
    <phoneticPr fontId="6"/>
  </si>
  <si>
    <t>JOD222</t>
  </si>
  <si>
    <t>JOD223</t>
  </si>
  <si>
    <t>JOD224</t>
  </si>
  <si>
    <t>JOD225</t>
  </si>
  <si>
    <t>JOD226</t>
  </si>
  <si>
    <t>JOD新聞折込9001</t>
    <rPh sb="3" eb="7">
      <t>シンブンオリコミ</t>
    </rPh>
    <phoneticPr fontId="6"/>
  </si>
  <si>
    <t>12/5～</t>
    <phoneticPr fontId="6"/>
  </si>
  <si>
    <t>JOD227</t>
    <phoneticPr fontId="6"/>
  </si>
  <si>
    <t>JOD特別号9992</t>
    <rPh sb="3" eb="6">
      <t>トクベツゴウ</t>
    </rPh>
    <phoneticPr fontId="6"/>
  </si>
  <si>
    <t>JOD228</t>
  </si>
  <si>
    <t>JOD229</t>
  </si>
  <si>
    <t>ニッセン返品</t>
    <rPh sb="4" eb="6">
      <t>ヘンピン</t>
    </rPh>
    <phoneticPr fontId="6"/>
  </si>
  <si>
    <t>サクラマチ（東海）sample</t>
    <rPh sb="6" eb="8">
      <t>トウカイ</t>
    </rPh>
    <phoneticPr fontId="6"/>
  </si>
  <si>
    <t>JOD230</t>
    <phoneticPr fontId="6"/>
  </si>
  <si>
    <t>JOD230</t>
    <phoneticPr fontId="6"/>
  </si>
  <si>
    <t>JOD230残</t>
    <rPh sb="6" eb="7">
      <t>ザン</t>
    </rPh>
    <phoneticPr fontId="6"/>
  </si>
  <si>
    <t>追加４先入れ分</t>
    <rPh sb="0" eb="2">
      <t>ツイカ</t>
    </rPh>
    <rPh sb="3" eb="5">
      <t>サキイ</t>
    </rPh>
    <rPh sb="6" eb="7">
      <t>ブン</t>
    </rPh>
    <phoneticPr fontId="2"/>
  </si>
  <si>
    <t>JOD231</t>
    <phoneticPr fontId="6"/>
  </si>
  <si>
    <t>JOD特別号9554</t>
    <rPh sb="3" eb="6">
      <t>トクベツゴウ</t>
    </rPh>
    <phoneticPr fontId="6"/>
  </si>
  <si>
    <t>1/11～</t>
    <phoneticPr fontId="6"/>
  </si>
  <si>
    <t>JOD232</t>
  </si>
  <si>
    <t>JOD232残</t>
    <rPh sb="6" eb="7">
      <t>ザン</t>
    </rPh>
    <phoneticPr fontId="6"/>
  </si>
  <si>
    <t>JOD233</t>
    <phoneticPr fontId="6"/>
  </si>
  <si>
    <t>JOD233</t>
  </si>
  <si>
    <t>JOD234</t>
  </si>
  <si>
    <t>JOD235</t>
    <phoneticPr fontId="6"/>
  </si>
  <si>
    <t>JOD236</t>
  </si>
  <si>
    <t>JOD237</t>
    <phoneticPr fontId="6"/>
  </si>
  <si>
    <t>JOD238</t>
  </si>
  <si>
    <t xml:space="preserve">追加３ 1-1 </t>
    <rPh sb="0" eb="2">
      <t>ツイカ</t>
    </rPh>
    <phoneticPr fontId="2"/>
  </si>
  <si>
    <t>点2/2、アバウト2/14、本2/15～25</t>
    <rPh sb="0" eb="1">
      <t>テン</t>
    </rPh>
    <rPh sb="14" eb="15">
      <t>ホン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</si>
  <si>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※品名・中入れ抜き⑲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</si>
  <si>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JOD239</t>
    <phoneticPr fontId="6"/>
  </si>
  <si>
    <t>JOD239</t>
    <phoneticPr fontId="6"/>
  </si>
  <si>
    <t>JOD240</t>
  </si>
  <si>
    <t>JOD残</t>
    <rPh sb="3" eb="4">
      <t>ザン</t>
    </rPh>
    <phoneticPr fontId="6"/>
  </si>
  <si>
    <t>JODクレーム対応</t>
    <rPh sb="7" eb="9">
      <t>タイオウ</t>
    </rPh>
    <phoneticPr fontId="6"/>
  </si>
  <si>
    <t>JOD241</t>
    <phoneticPr fontId="6"/>
  </si>
  <si>
    <t>JOD242</t>
  </si>
  <si>
    <t>KPORT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</si>
  <si>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※品名・中入れ抜き⑳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</si>
  <si>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JOD243</t>
  </si>
  <si>
    <t>JOD244</t>
    <phoneticPr fontId="6"/>
  </si>
  <si>
    <t>JOD245</t>
  </si>
  <si>
    <t>JOD246</t>
  </si>
  <si>
    <t>アンファミエ返品</t>
    <rPh sb="6" eb="8">
      <t>ヘンピン</t>
    </rPh>
    <phoneticPr fontId="2"/>
  </si>
  <si>
    <t>JOD247</t>
  </si>
  <si>
    <t>KPORT</t>
    <phoneticPr fontId="6"/>
  </si>
  <si>
    <t>先上げサンプル分</t>
    <rPh sb="0" eb="2">
      <t>サキア</t>
    </rPh>
    <rPh sb="7" eb="8">
      <t>ブン</t>
    </rPh>
    <phoneticPr fontId="2"/>
  </si>
  <si>
    <t>JOD248</t>
  </si>
  <si>
    <t>JOD249</t>
  </si>
  <si>
    <t>JOD250</t>
    <phoneticPr fontId="6"/>
  </si>
  <si>
    <t>JOD250</t>
  </si>
  <si>
    <t>JOD251</t>
    <phoneticPr fontId="6"/>
  </si>
  <si>
    <t>2022/12/10数伝</t>
    <rPh sb="10" eb="11">
      <t>スウ</t>
    </rPh>
    <rPh sb="11" eb="12">
      <t>デン</t>
    </rPh>
    <phoneticPr fontId="6"/>
  </si>
  <si>
    <t>夢販</t>
    <rPh sb="0" eb="2">
      <t>ユメハン</t>
    </rPh>
    <phoneticPr fontId="6"/>
  </si>
  <si>
    <t>JOD252</t>
    <phoneticPr fontId="6"/>
  </si>
  <si>
    <t>JOD253</t>
  </si>
  <si>
    <t>JOD特別号9997</t>
    <rPh sb="3" eb="6">
      <t>トクベツゴウ</t>
    </rPh>
    <phoneticPr fontId="6"/>
  </si>
  <si>
    <t>2/4～</t>
    <phoneticPr fontId="6"/>
  </si>
  <si>
    <t>JOD254</t>
    <phoneticPr fontId="6"/>
  </si>
  <si>
    <t>JOD255</t>
  </si>
  <si>
    <t>JOD</t>
    <phoneticPr fontId="2"/>
  </si>
  <si>
    <r>
      <t>ニッセン初夏号</t>
    </r>
    <r>
      <rPr>
        <b/>
        <sz val="11"/>
        <rFont val="ＭＳ Ｐゴシック"/>
        <family val="3"/>
        <charset val="128"/>
      </rPr>
      <t>※品名・中入れ抜き㉑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</si>
  <si>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JOD256</t>
  </si>
  <si>
    <t>全国通販sample</t>
    <rPh sb="0" eb="4">
      <t>ゼンコクツウハン</t>
    </rPh>
    <phoneticPr fontId="6"/>
  </si>
  <si>
    <t>JOD257</t>
  </si>
  <si>
    <t>JOD258</t>
  </si>
  <si>
    <t>3/8～22（1～5回）</t>
    <rPh sb="10" eb="11">
      <t>カイ</t>
    </rPh>
    <phoneticPr fontId="6"/>
  </si>
  <si>
    <t>コープ九州3-4ｗ（不透明袋）</t>
    <rPh sb="3" eb="5">
      <t>キュウシュウ</t>
    </rPh>
    <rPh sb="10" eb="14">
      <t>フトウメイフクロ</t>
    </rPh>
    <phoneticPr fontId="6"/>
  </si>
  <si>
    <t>オバタサンプル返却</t>
    <rPh sb="7" eb="9">
      <t>ヘンキャク</t>
    </rPh>
    <phoneticPr fontId="2"/>
  </si>
  <si>
    <t>JOD259</t>
  </si>
  <si>
    <t>2/6～</t>
    <phoneticPr fontId="6"/>
  </si>
  <si>
    <t>JOD新聞折込9014</t>
    <rPh sb="3" eb="7">
      <t>シンブンオリコミ</t>
    </rPh>
    <phoneticPr fontId="6"/>
  </si>
  <si>
    <t>コープきんき2月4回 差分予測\1980</t>
    <rPh sb="7" eb="8">
      <t>ガツ</t>
    </rPh>
    <rPh sb="9" eb="10">
      <t>カイ</t>
    </rPh>
    <rPh sb="11" eb="15">
      <t>サブンヨソク</t>
    </rPh>
    <phoneticPr fontId="6"/>
  </si>
  <si>
    <t>K-PORT</t>
    <phoneticPr fontId="6"/>
  </si>
  <si>
    <t>背筋サポート前開きブラ　夢販在庫 BR-001-2</t>
    <rPh sb="0" eb="2">
      <t>セスジ</t>
    </rPh>
    <rPh sb="6" eb="8">
      <t>マエヒラ</t>
    </rPh>
    <rPh sb="12" eb="13">
      <t>ユメ</t>
    </rPh>
    <rPh sb="13" eb="14">
      <t>ハン</t>
    </rPh>
    <rPh sb="14" eb="16">
      <t>ザイコ</t>
    </rPh>
    <phoneticPr fontId="2"/>
  </si>
  <si>
    <t>背筋サポート前開きブラ　K-PORT在庫 BR-001-2</t>
    <rPh sb="6" eb="7">
      <t>マエ</t>
    </rPh>
    <rPh sb="7" eb="8">
      <t>ヒラ</t>
    </rPh>
    <rPh sb="18" eb="20">
      <t>ザイコ</t>
    </rPh>
    <phoneticPr fontId="2"/>
  </si>
  <si>
    <t>JOD260</t>
    <phoneticPr fontId="6"/>
  </si>
  <si>
    <t>再生</t>
    <rPh sb="0" eb="2">
      <t>サイセイ</t>
    </rPh>
    <phoneticPr fontId="6"/>
  </si>
  <si>
    <t>追加</t>
    <rPh sb="0" eb="2">
      <t>ツイカ</t>
    </rPh>
    <phoneticPr fontId="2"/>
  </si>
  <si>
    <t>夢販</t>
    <rPh sb="0" eb="2">
      <t>ユメハン</t>
    </rPh>
    <phoneticPr fontId="6"/>
  </si>
  <si>
    <t>JOD261</t>
    <phoneticPr fontId="6"/>
  </si>
  <si>
    <t>JOD262</t>
  </si>
  <si>
    <t>JOD263</t>
  </si>
  <si>
    <t>gf.p</t>
    <phoneticPr fontId="6"/>
  </si>
  <si>
    <t>東海コープ4-1ｗ（不透明袋）</t>
    <rPh sb="0" eb="2">
      <t>トウカイ</t>
    </rPh>
    <rPh sb="10" eb="14">
      <t>フトウメイフクロ</t>
    </rPh>
    <phoneticPr fontId="6"/>
  </si>
  <si>
    <t>3/22～4/5（1～5回）</t>
    <rPh sb="12" eb="13">
      <t>カイ</t>
    </rPh>
    <phoneticPr fontId="6"/>
  </si>
  <si>
    <t>東海コープ4-1ｗ（不透明袋）差分予測</t>
    <rPh sb="0" eb="2">
      <t>トウカイ</t>
    </rPh>
    <rPh sb="10" eb="14">
      <t>フトウメイフクロ</t>
    </rPh>
    <rPh sb="15" eb="19">
      <t>サブンヨソク</t>
    </rPh>
    <phoneticPr fontId="6"/>
  </si>
  <si>
    <t>コープ九州3-4ｗ（不透明袋）差分予測</t>
    <rPh sb="3" eb="5">
      <t>キュウシュウ</t>
    </rPh>
    <rPh sb="10" eb="14">
      <t>フトウメイフクロ</t>
    </rPh>
    <rPh sb="15" eb="19">
      <t>サブンヨソク</t>
    </rPh>
    <phoneticPr fontId="6"/>
  </si>
  <si>
    <t>JOD264</t>
  </si>
  <si>
    <t>JOD返品</t>
    <rPh sb="3" eb="5">
      <t>ヘンピン</t>
    </rPh>
    <phoneticPr fontId="6"/>
  </si>
  <si>
    <t>JOD265</t>
    <phoneticPr fontId="6"/>
  </si>
  <si>
    <r>
      <t>コープきんき2月4回</t>
    </r>
    <r>
      <rPr>
        <b/>
        <sz val="11"/>
        <rFont val="ＭＳ Ｐゴシック"/>
        <family val="3"/>
        <charset val="128"/>
      </rPr>
      <t>（不透明袋・前開きブラ）①</t>
    </r>
    <rPh sb="7" eb="8">
      <t>ガツ</t>
    </rPh>
    <rPh sb="9" eb="10">
      <t>カイ</t>
    </rPh>
    <rPh sb="11" eb="15">
      <t>フトウメイフクロ</t>
    </rPh>
    <rPh sb="16" eb="18">
      <t>マエビラ</t>
    </rPh>
    <phoneticPr fontId="6"/>
  </si>
  <si>
    <t>夢販</t>
    <rPh sb="0" eb="2">
      <t>ユメハン</t>
    </rPh>
    <phoneticPr fontId="6"/>
  </si>
  <si>
    <t>2022/1/6数伝　12/30Air</t>
    <rPh sb="8" eb="9">
      <t>スウ</t>
    </rPh>
    <rPh sb="9" eb="10">
      <t>デン</t>
    </rPh>
    <phoneticPr fontId="6"/>
  </si>
  <si>
    <t>2023/1/27数伝　1/18ship</t>
    <rPh sb="9" eb="10">
      <t>スウ</t>
    </rPh>
    <rPh sb="10" eb="11">
      <t>デン</t>
    </rPh>
    <phoneticPr fontId="6"/>
  </si>
  <si>
    <t>2/24～</t>
    <phoneticPr fontId="6"/>
  </si>
  <si>
    <t>JOD特別号9999（表）</t>
    <rPh sb="3" eb="6">
      <t>トクベツゴウ</t>
    </rPh>
    <rPh sb="11" eb="12">
      <t>ヒョウ</t>
    </rPh>
    <phoneticPr fontId="6"/>
  </si>
  <si>
    <t>JOD267</t>
    <phoneticPr fontId="6"/>
  </si>
  <si>
    <t>JOD268</t>
  </si>
  <si>
    <t>JOD新聞折込9017</t>
    <rPh sb="3" eb="7">
      <t>シンブンオリコミ</t>
    </rPh>
    <phoneticPr fontId="6"/>
  </si>
  <si>
    <t>2/20～</t>
    <phoneticPr fontId="6"/>
  </si>
  <si>
    <t>6/1～</t>
    <phoneticPr fontId="6"/>
  </si>
  <si>
    <t>JODメルシー0325</t>
    <phoneticPr fontId="6"/>
  </si>
  <si>
    <t>3/25～</t>
    <phoneticPr fontId="6"/>
  </si>
  <si>
    <t>千趣会yurubi23A②</t>
    <rPh sb="0" eb="3">
      <t>センシュカイ</t>
    </rPh>
    <phoneticPr fontId="6"/>
  </si>
  <si>
    <t>JOD269</t>
    <phoneticPr fontId="6"/>
  </si>
  <si>
    <t>JOD270</t>
  </si>
  <si>
    <t>JOD271</t>
  </si>
  <si>
    <t>JOD272</t>
  </si>
  <si>
    <t>3/7～</t>
    <phoneticPr fontId="6"/>
  </si>
  <si>
    <t>JOD特別号9930（表）</t>
    <rPh sb="3" eb="6">
      <t>トクベツゴウ</t>
    </rPh>
    <rPh sb="11" eb="12">
      <t>オモテ</t>
    </rPh>
    <phoneticPr fontId="6"/>
  </si>
  <si>
    <t>JOD273</t>
  </si>
  <si>
    <t>千趣会yurubi23A③</t>
    <rPh sb="0" eb="3">
      <t>センシュカイ</t>
    </rPh>
    <phoneticPr fontId="6"/>
  </si>
  <si>
    <t>JOD274</t>
    <phoneticPr fontId="6"/>
  </si>
  <si>
    <t>千趣会yurubi23A差分予測</t>
    <rPh sb="0" eb="3">
      <t>センシュカイ</t>
    </rPh>
    <rPh sb="12" eb="16">
      <t>サブンヨソク</t>
    </rPh>
    <phoneticPr fontId="6"/>
  </si>
  <si>
    <r>
      <t>コープきんき2月4回</t>
    </r>
    <r>
      <rPr>
        <b/>
        <sz val="11"/>
        <rFont val="ＭＳ Ｐゴシック"/>
        <family val="3"/>
        <charset val="128"/>
      </rPr>
      <t>（不透明袋・前開きブラ）②</t>
    </r>
    <rPh sb="7" eb="8">
      <t>ガツ</t>
    </rPh>
    <rPh sb="9" eb="10">
      <t>カイ</t>
    </rPh>
    <rPh sb="11" eb="15">
      <t>フトウメイフクロ</t>
    </rPh>
    <rPh sb="16" eb="18">
      <t>マエビラ</t>
    </rPh>
    <phoneticPr fontId="6"/>
  </si>
  <si>
    <t>JOD275</t>
    <phoneticPr fontId="6"/>
  </si>
  <si>
    <r>
      <t>コープきんき2月4回</t>
    </r>
    <r>
      <rPr>
        <b/>
        <sz val="11"/>
        <rFont val="ＭＳ Ｐゴシック"/>
        <family val="3"/>
        <charset val="128"/>
      </rPr>
      <t>（不透明袋・前開きブラ）③</t>
    </r>
    <rPh sb="7" eb="8">
      <t>ガツ</t>
    </rPh>
    <rPh sb="9" eb="10">
      <t>カイ</t>
    </rPh>
    <rPh sb="11" eb="15">
      <t>フトウメイフクロ</t>
    </rPh>
    <rPh sb="16" eb="18">
      <t>マエビラ</t>
    </rPh>
    <phoneticPr fontId="6"/>
  </si>
  <si>
    <t>JOD276</t>
    <phoneticPr fontId="6"/>
  </si>
  <si>
    <r>
      <t>コープきんき2月4回</t>
    </r>
    <r>
      <rPr>
        <b/>
        <sz val="11"/>
        <rFont val="ＭＳ Ｐゴシック"/>
        <family val="3"/>
        <charset val="128"/>
      </rPr>
      <t>（不透明袋・前開きブラ）④</t>
    </r>
    <rPh sb="7" eb="8">
      <t>ガツ</t>
    </rPh>
    <rPh sb="9" eb="10">
      <t>カイ</t>
    </rPh>
    <rPh sb="11" eb="15">
      <t>フトウメイフクロ</t>
    </rPh>
    <rPh sb="16" eb="18">
      <t>マエビラ</t>
    </rPh>
    <phoneticPr fontId="6"/>
  </si>
  <si>
    <t>JOD新聞折込9020</t>
    <rPh sb="3" eb="7">
      <t>シンブンオリコミ</t>
    </rPh>
    <phoneticPr fontId="6"/>
  </si>
  <si>
    <t>3/6～</t>
    <phoneticPr fontId="6"/>
  </si>
  <si>
    <r>
      <t>コープきんき2月4回</t>
    </r>
    <r>
      <rPr>
        <b/>
        <sz val="11"/>
        <rFont val="ＭＳ Ｐゴシック"/>
        <family val="3"/>
        <charset val="128"/>
      </rPr>
      <t>（不透明袋・前開きブラ）</t>
    </r>
    <rPh sb="7" eb="8">
      <t>ガツ</t>
    </rPh>
    <rPh sb="9" eb="10">
      <t>カイ</t>
    </rPh>
    <rPh sb="11" eb="15">
      <t>フトウメイフクロ</t>
    </rPh>
    <rPh sb="16" eb="18">
      <t>マエビラ</t>
    </rPh>
    <phoneticPr fontId="6"/>
  </si>
  <si>
    <t>追加３ 1-1</t>
    <rPh sb="0" eb="2">
      <t>ツイカ</t>
    </rPh>
    <phoneticPr fontId="2"/>
  </si>
  <si>
    <t>JOD277</t>
    <phoneticPr fontId="6"/>
  </si>
  <si>
    <t>JOD278</t>
    <phoneticPr fontId="6"/>
  </si>
  <si>
    <t>JOD279</t>
  </si>
  <si>
    <t>3/14～</t>
    <phoneticPr fontId="6"/>
  </si>
  <si>
    <t>JOD新聞折込9023</t>
    <rPh sb="3" eb="7">
      <t>シンブンオリコミ</t>
    </rPh>
    <phoneticPr fontId="6"/>
  </si>
  <si>
    <t>2/27構成比</t>
    <rPh sb="4" eb="7">
      <t>コウセイヒ</t>
    </rPh>
    <phoneticPr fontId="6"/>
  </si>
  <si>
    <t>JOD280</t>
  </si>
  <si>
    <t>JOD281</t>
  </si>
  <si>
    <t>JOD282</t>
    <phoneticPr fontId="6"/>
  </si>
  <si>
    <t>JOD283</t>
  </si>
  <si>
    <t>2022/11/28数伝</t>
    <rPh sb="10" eb="11">
      <t>スウ</t>
    </rPh>
    <rPh sb="11" eb="12">
      <t>デン</t>
    </rPh>
    <phoneticPr fontId="6"/>
  </si>
  <si>
    <t>JODメルシー0415</t>
    <phoneticPr fontId="6"/>
  </si>
  <si>
    <t>4/15～</t>
    <phoneticPr fontId="6"/>
  </si>
  <si>
    <t>3/4確認</t>
    <rPh sb="3" eb="5">
      <t>カクニン</t>
    </rPh>
    <phoneticPr fontId="6"/>
  </si>
  <si>
    <t>千趣会yurubi23A④</t>
    <rPh sb="0" eb="3">
      <t>センシュカイ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</si>
  <si>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※品名・中入れ抜き㉒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</si>
  <si>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JOD284</t>
    <phoneticPr fontId="6"/>
  </si>
  <si>
    <t>JOD特別号9564</t>
    <rPh sb="3" eb="6">
      <t>トクベツゴウ</t>
    </rPh>
    <phoneticPr fontId="6"/>
  </si>
  <si>
    <t>4/20～</t>
    <phoneticPr fontId="6"/>
  </si>
  <si>
    <t>JOD285</t>
    <phoneticPr fontId="6"/>
  </si>
  <si>
    <t>JOD286</t>
  </si>
  <si>
    <t>コープ九州3-4ｗ（不透明袋）①</t>
    <rPh sb="3" eb="5">
      <t>キュウシュウ</t>
    </rPh>
    <rPh sb="10" eb="14">
      <t>フトウメイフクロ</t>
    </rPh>
    <phoneticPr fontId="6"/>
  </si>
  <si>
    <t>JOD287</t>
    <phoneticPr fontId="6"/>
  </si>
  <si>
    <t>JOD特別号9932</t>
    <rPh sb="3" eb="6">
      <t>トクベツゴウ</t>
    </rPh>
    <phoneticPr fontId="6"/>
  </si>
  <si>
    <t>4/3～</t>
    <phoneticPr fontId="6"/>
  </si>
  <si>
    <t>JOD288</t>
  </si>
  <si>
    <t>JOD289</t>
  </si>
  <si>
    <t>千趣会yurubi23A⑤</t>
    <rPh sb="0" eb="3">
      <t>センシュカイ</t>
    </rPh>
    <phoneticPr fontId="6"/>
  </si>
  <si>
    <t>JOD290</t>
  </si>
  <si>
    <t>コープ九州3-4ｗ（不透明袋）②</t>
    <rPh sb="3" eb="5">
      <t>キュウシュウ</t>
    </rPh>
    <rPh sb="10" eb="14">
      <t>フトウメイフクロ</t>
    </rPh>
    <phoneticPr fontId="6"/>
  </si>
  <si>
    <t>JOD291</t>
    <phoneticPr fontId="6"/>
  </si>
  <si>
    <t>コープ九州3-4ｗ（不透明袋）③</t>
    <rPh sb="3" eb="5">
      <t>キュウシュウ</t>
    </rPh>
    <rPh sb="10" eb="14">
      <t>フトウメイフクロ</t>
    </rPh>
    <phoneticPr fontId="6"/>
  </si>
  <si>
    <t>JOD292</t>
    <phoneticPr fontId="6"/>
  </si>
  <si>
    <t>JOD新聞折込9026</t>
    <rPh sb="3" eb="7">
      <t>シンブンオリコミ</t>
    </rPh>
    <phoneticPr fontId="6"/>
  </si>
  <si>
    <t>JOD293</t>
  </si>
  <si>
    <t>再生</t>
    <rPh sb="0" eb="2">
      <t>サイセイ</t>
    </rPh>
    <phoneticPr fontId="6"/>
  </si>
  <si>
    <t>JOD294</t>
  </si>
  <si>
    <r>
      <t>ニッセン初夏号</t>
    </r>
    <r>
      <rPr>
        <b/>
        <sz val="11"/>
        <rFont val="ＭＳ Ｐゴシック"/>
        <family val="3"/>
        <charset val="128"/>
      </rPr>
      <t>※品名・中入れ抜き㉓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</si>
  <si>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JOD295</t>
  </si>
  <si>
    <t>東海コープ4-1ｗ（不透明袋）①</t>
    <rPh sb="0" eb="2">
      <t>トウカイ</t>
    </rPh>
    <rPh sb="10" eb="14">
      <t>フトウメイフクロ</t>
    </rPh>
    <phoneticPr fontId="6"/>
  </si>
  <si>
    <t>JOD296</t>
    <phoneticPr fontId="6"/>
  </si>
  <si>
    <t>JOD297</t>
  </si>
  <si>
    <t>千趣会yurubi23A⑥</t>
    <rPh sb="0" eb="3">
      <t>センシュカイ</t>
    </rPh>
    <phoneticPr fontId="6"/>
  </si>
  <si>
    <t>JOD298</t>
    <phoneticPr fontId="6"/>
  </si>
  <si>
    <t>JODメルシー0506</t>
    <phoneticPr fontId="6"/>
  </si>
  <si>
    <t>5/6～</t>
    <phoneticPr fontId="6"/>
  </si>
  <si>
    <t>JOD299</t>
    <phoneticPr fontId="6"/>
  </si>
  <si>
    <t>東海コープ4-1ｗ（不透明袋）②</t>
    <rPh sb="0" eb="2">
      <t>トウカイ</t>
    </rPh>
    <rPh sb="10" eb="14">
      <t>フトウメイフクロ</t>
    </rPh>
    <phoneticPr fontId="6"/>
  </si>
  <si>
    <t>K-PORT</t>
    <phoneticPr fontId="6"/>
  </si>
  <si>
    <t>夢販移動</t>
    <rPh sb="0" eb="2">
      <t>ユメハン</t>
    </rPh>
    <rPh sb="2" eb="4">
      <t>イドウ</t>
    </rPh>
    <phoneticPr fontId="2"/>
  </si>
  <si>
    <t>JOD299</t>
  </si>
  <si>
    <t>東海コープ4-1ｗ（不透明袋）③</t>
    <rPh sb="0" eb="2">
      <t>トウカイ</t>
    </rPh>
    <rPh sb="10" eb="14">
      <t>フトウメイフクロ</t>
    </rPh>
    <phoneticPr fontId="6"/>
  </si>
  <si>
    <t>JOD300</t>
    <phoneticPr fontId="6"/>
  </si>
  <si>
    <t>JOD新聞折込9031</t>
    <rPh sb="3" eb="7">
      <t>シンブンオリコミ</t>
    </rPh>
    <phoneticPr fontId="6"/>
  </si>
  <si>
    <t>4/18～</t>
    <phoneticPr fontId="6"/>
  </si>
  <si>
    <t>2023/3/7数伝 3/4AIR</t>
    <rPh sb="8" eb="9">
      <t>スウ</t>
    </rPh>
    <rPh sb="9" eb="10">
      <t>デン</t>
    </rPh>
    <phoneticPr fontId="6"/>
  </si>
  <si>
    <t>3/16数伝3/11ship</t>
    <rPh sb="4" eb="5">
      <t>スウ</t>
    </rPh>
    <rPh sb="5" eb="6">
      <t>デン</t>
    </rPh>
    <phoneticPr fontId="6"/>
  </si>
  <si>
    <t>JOD301</t>
  </si>
  <si>
    <t>電話注文</t>
    <rPh sb="0" eb="4">
      <t>デンワチュウモン</t>
    </rPh>
    <phoneticPr fontId="6"/>
  </si>
  <si>
    <t>JOD302</t>
    <phoneticPr fontId="6"/>
  </si>
  <si>
    <t>JOD303</t>
    <phoneticPr fontId="6"/>
  </si>
  <si>
    <t>JODアクセス7093</t>
    <phoneticPr fontId="6"/>
  </si>
  <si>
    <t>JOD304</t>
  </si>
  <si>
    <r>
      <t>ニッセン初夏号</t>
    </r>
    <r>
      <rPr>
        <b/>
        <sz val="11"/>
        <rFont val="ＭＳ Ｐゴシック"/>
        <family val="3"/>
        <charset val="128"/>
      </rPr>
      <t>※品名・中入れ抜き㉔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</si>
  <si>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JOD305</t>
  </si>
  <si>
    <t>千趣会yurubi23A⑦</t>
    <rPh sb="0" eb="3">
      <t>センシュカイ</t>
    </rPh>
    <phoneticPr fontId="6"/>
  </si>
  <si>
    <t>JOD特別号9934</t>
    <rPh sb="3" eb="6">
      <t>トクベツゴウ</t>
    </rPh>
    <phoneticPr fontId="6"/>
  </si>
  <si>
    <t>JOD306</t>
    <phoneticPr fontId="6"/>
  </si>
  <si>
    <t>JOD307</t>
    <phoneticPr fontId="6"/>
  </si>
  <si>
    <t>JOD交換</t>
    <rPh sb="3" eb="5">
      <t>コウカン</t>
    </rPh>
    <phoneticPr fontId="6"/>
  </si>
  <si>
    <t>JOD308</t>
    <phoneticPr fontId="6"/>
  </si>
  <si>
    <t>JOD特別号9935</t>
    <rPh sb="3" eb="6">
      <t>トクベツゴウ</t>
    </rPh>
    <phoneticPr fontId="6"/>
  </si>
  <si>
    <t>5/10～</t>
    <phoneticPr fontId="6"/>
  </si>
  <si>
    <t>JOD309</t>
    <phoneticPr fontId="6"/>
  </si>
  <si>
    <t>はぴねすくらぶsample</t>
    <phoneticPr fontId="6"/>
  </si>
  <si>
    <t>JODメルシー0525</t>
    <phoneticPr fontId="6"/>
  </si>
  <si>
    <t>5/25～</t>
    <phoneticPr fontId="6"/>
  </si>
  <si>
    <t>JOD310</t>
  </si>
  <si>
    <t>再生</t>
    <rPh sb="0" eb="2">
      <t>サイセイ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</si>
  <si>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※品名・中入れ抜き㉕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</si>
  <si>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JOD311</t>
  </si>
  <si>
    <t>JOD312</t>
  </si>
  <si>
    <t>5/8～</t>
    <phoneticPr fontId="6"/>
  </si>
  <si>
    <t>JOD新聞折込9033</t>
    <rPh sb="3" eb="7">
      <t>シンブンオリコミ</t>
    </rPh>
    <phoneticPr fontId="6"/>
  </si>
  <si>
    <t>東海コープ7-3ｗ</t>
    <rPh sb="0" eb="2">
      <t>トウカイ</t>
    </rPh>
    <phoneticPr fontId="6"/>
  </si>
  <si>
    <t>7/5～19（1～5回）</t>
    <rPh sb="10" eb="11">
      <t>カイ</t>
    </rPh>
    <phoneticPr fontId="6"/>
  </si>
  <si>
    <t>東海コープ7-3ｗ差分予測</t>
    <rPh sb="0" eb="2">
      <t>トウカイ</t>
    </rPh>
    <rPh sb="9" eb="13">
      <t>サブンヨソク</t>
    </rPh>
    <phoneticPr fontId="6"/>
  </si>
  <si>
    <t>JOD314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</si>
  <si>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※品名・中入れ抜き㉖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</si>
  <si>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千趣会yurubi23A⑧</t>
    <rPh sb="0" eb="3">
      <t>センシュカイ</t>
    </rPh>
    <phoneticPr fontId="6"/>
  </si>
  <si>
    <t>JOD315</t>
    <phoneticPr fontId="6"/>
  </si>
  <si>
    <t>JOD316</t>
    <phoneticPr fontId="6"/>
  </si>
  <si>
    <t>在庫調整</t>
    <rPh sb="0" eb="4">
      <t>ザイコチョウセイ</t>
    </rPh>
    <phoneticPr fontId="6"/>
  </si>
  <si>
    <t>JOD317</t>
    <phoneticPr fontId="6"/>
  </si>
  <si>
    <t>コープ九州7-3ｗ</t>
    <rPh sb="3" eb="5">
      <t>キュウシュウ</t>
    </rPh>
    <phoneticPr fontId="6"/>
  </si>
  <si>
    <t>コープ九州7-3ｗ差分予測</t>
    <rPh sb="3" eb="5">
      <t>キュウシュウ</t>
    </rPh>
    <rPh sb="9" eb="13">
      <t>サブンヨソク</t>
    </rPh>
    <phoneticPr fontId="6"/>
  </si>
  <si>
    <t>JODメルシー0605</t>
    <phoneticPr fontId="6"/>
  </si>
  <si>
    <t>6/5～</t>
    <phoneticPr fontId="6"/>
  </si>
  <si>
    <t>JOD313</t>
    <phoneticPr fontId="6"/>
  </si>
  <si>
    <t>JOD318</t>
    <phoneticPr fontId="6"/>
  </si>
  <si>
    <t>JOD319</t>
    <phoneticPr fontId="6"/>
  </si>
  <si>
    <t>5/22～</t>
    <phoneticPr fontId="6"/>
  </si>
  <si>
    <t>JOD新聞折込9036</t>
    <rPh sb="3" eb="7">
      <t>シンブンオリコミ</t>
    </rPh>
    <phoneticPr fontId="6"/>
  </si>
  <si>
    <t>JOD320</t>
    <phoneticPr fontId="6"/>
  </si>
  <si>
    <t>くらし返品予定</t>
    <rPh sb="3" eb="7">
      <t>ヘンピンヨテイ</t>
    </rPh>
    <phoneticPr fontId="2"/>
  </si>
  <si>
    <r>
      <t>ニッセン初夏号</t>
    </r>
    <r>
      <rPr>
        <b/>
        <sz val="11"/>
        <rFont val="ＭＳ Ｐゴシック"/>
        <family val="3"/>
        <charset val="128"/>
      </rPr>
      <t>※品名・中入れ抜き㉗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</si>
  <si>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JOD321</t>
    <phoneticPr fontId="6"/>
  </si>
  <si>
    <t>JOD特別号9937</t>
    <rPh sb="3" eb="6">
      <t>トクベツゴウ</t>
    </rPh>
    <phoneticPr fontId="6"/>
  </si>
  <si>
    <t>JOD322</t>
  </si>
  <si>
    <t>JOD323</t>
    <phoneticPr fontId="6"/>
  </si>
  <si>
    <t>JOD324</t>
  </si>
  <si>
    <t>JOD特別号9572</t>
    <rPh sb="3" eb="6">
      <t>トクベツゴウ</t>
    </rPh>
    <phoneticPr fontId="6"/>
  </si>
  <si>
    <t>6/21～</t>
    <phoneticPr fontId="6"/>
  </si>
  <si>
    <t>千趣会yurubi23A撮影用sample返却</t>
    <rPh sb="0" eb="3">
      <t>センシュカイ</t>
    </rPh>
    <rPh sb="12" eb="14">
      <t>サツエイ</t>
    </rPh>
    <rPh sb="14" eb="15">
      <t>ヨウ</t>
    </rPh>
    <rPh sb="21" eb="23">
      <t>ヘンキャク</t>
    </rPh>
    <phoneticPr fontId="6"/>
  </si>
  <si>
    <t>JOD325</t>
  </si>
  <si>
    <r>
      <t>ニッセン初夏号</t>
    </r>
    <r>
      <rPr>
        <b/>
        <sz val="11"/>
        <rFont val="ＭＳ Ｐゴシック"/>
        <family val="3"/>
        <charset val="128"/>
      </rPr>
      <t>※品名・中入れ抜き㉘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</si>
  <si>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JOD326</t>
  </si>
  <si>
    <t>JOD327</t>
  </si>
  <si>
    <t>JOD328</t>
  </si>
  <si>
    <t>JOD新聞折込9039</t>
    <rPh sb="3" eb="7">
      <t>シンブンオリコミ</t>
    </rPh>
    <phoneticPr fontId="6"/>
  </si>
  <si>
    <t>5/29～</t>
    <phoneticPr fontId="6"/>
  </si>
  <si>
    <t>JOD329</t>
    <phoneticPr fontId="6"/>
  </si>
  <si>
    <t>5/22構成比</t>
    <rPh sb="4" eb="7">
      <t>コウセイヒ</t>
    </rPh>
    <phoneticPr fontId="6"/>
  </si>
  <si>
    <t>販売実数</t>
    <rPh sb="0" eb="2">
      <t>ハンバイ</t>
    </rPh>
    <rPh sb="2" eb="4">
      <t>ジッスウ</t>
    </rPh>
    <phoneticPr fontId="6"/>
  </si>
  <si>
    <t>ディノス①</t>
    <phoneticPr fontId="6"/>
  </si>
  <si>
    <t>再生</t>
    <rPh sb="0" eb="2">
      <t>サイセイ</t>
    </rPh>
    <phoneticPr fontId="6"/>
  </si>
  <si>
    <t>JOD新聞折込9044</t>
    <rPh sb="3" eb="7">
      <t>シンブンオリコミ</t>
    </rPh>
    <phoneticPr fontId="6"/>
  </si>
  <si>
    <t>JOD330(西濃）</t>
    <rPh sb="7" eb="9">
      <t>セイノウ</t>
    </rPh>
    <phoneticPr fontId="6"/>
  </si>
  <si>
    <t>JOD330</t>
    <phoneticPr fontId="6"/>
  </si>
  <si>
    <t>追加</t>
    <rPh sb="0" eb="2">
      <t>ツイカ</t>
    </rPh>
    <phoneticPr fontId="6"/>
  </si>
  <si>
    <t>JOD331</t>
    <phoneticPr fontId="6"/>
  </si>
  <si>
    <t>JOD332</t>
  </si>
  <si>
    <t>JOD333</t>
  </si>
  <si>
    <t>JOD334</t>
  </si>
  <si>
    <t>JODメルシー0624</t>
    <phoneticPr fontId="6"/>
  </si>
  <si>
    <t>6/24～</t>
    <phoneticPr fontId="6"/>
  </si>
  <si>
    <t>JOD335</t>
  </si>
  <si>
    <t>JODアクセス7094</t>
    <phoneticPr fontId="6"/>
  </si>
  <si>
    <t>7/12～</t>
    <phoneticPr fontId="6"/>
  </si>
  <si>
    <t>JOD336</t>
    <phoneticPr fontId="6"/>
  </si>
  <si>
    <t>JOD337</t>
  </si>
  <si>
    <t>はぴねすくらぶ8月号sample</t>
    <rPh sb="8" eb="10">
      <t>ガツゴウ</t>
    </rPh>
    <phoneticPr fontId="6"/>
  </si>
  <si>
    <t>2023/5/9数伝</t>
    <rPh sb="8" eb="9">
      <t>スウ</t>
    </rPh>
    <rPh sb="9" eb="10">
      <t>デン</t>
    </rPh>
    <phoneticPr fontId="6"/>
  </si>
  <si>
    <t>JOD338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</si>
  <si>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※品名・中入れ抜き㉙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</si>
  <si>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JOD新聞折込9046</t>
    <rPh sb="3" eb="7">
      <t>シンブンオリコミ</t>
    </rPh>
    <phoneticPr fontId="6"/>
  </si>
  <si>
    <t>6/19～</t>
    <phoneticPr fontId="6"/>
  </si>
  <si>
    <t>JOD339</t>
    <phoneticPr fontId="6"/>
  </si>
  <si>
    <t>はぴねすくらぶ8月号</t>
    <rPh sb="8" eb="9">
      <t>ガツ</t>
    </rPh>
    <rPh sb="9" eb="10">
      <t>ゴウ</t>
    </rPh>
    <phoneticPr fontId="6"/>
  </si>
  <si>
    <t>8/7～</t>
    <phoneticPr fontId="6"/>
  </si>
  <si>
    <t>全国通販sample返却</t>
    <rPh sb="0" eb="4">
      <t>ゼンコクツウハン</t>
    </rPh>
    <rPh sb="10" eb="12">
      <t>ヘンキャク</t>
    </rPh>
    <phoneticPr fontId="6"/>
  </si>
  <si>
    <t>JOD340</t>
  </si>
  <si>
    <t>JOD341</t>
  </si>
  <si>
    <t>JOD342</t>
  </si>
  <si>
    <t>JOD343</t>
  </si>
  <si>
    <t>JODメルシー0718</t>
    <phoneticPr fontId="6"/>
  </si>
  <si>
    <t>7/18～</t>
    <phoneticPr fontId="6"/>
  </si>
  <si>
    <t>ディノス8月美健セレクトチラシ</t>
    <rPh sb="5" eb="6">
      <t>ガツ</t>
    </rPh>
    <rPh sb="6" eb="7">
      <t>ビ</t>
    </rPh>
    <rPh sb="7" eb="8">
      <t>ケン</t>
    </rPh>
    <phoneticPr fontId="6"/>
  </si>
  <si>
    <t>8/18～12/28</t>
    <phoneticPr fontId="6"/>
  </si>
  <si>
    <t>ディノス7月美健セレクトチラシ</t>
    <rPh sb="5" eb="6">
      <t>ガツ</t>
    </rPh>
    <rPh sb="6" eb="7">
      <t>ビ</t>
    </rPh>
    <rPh sb="7" eb="8">
      <t>ケン</t>
    </rPh>
    <phoneticPr fontId="6"/>
  </si>
  <si>
    <t>7/4～10/30</t>
    <phoneticPr fontId="6"/>
  </si>
  <si>
    <t>JOD344</t>
  </si>
  <si>
    <t>JOD345</t>
  </si>
  <si>
    <t>7/5～</t>
    <phoneticPr fontId="6"/>
  </si>
  <si>
    <t>JOD特別号9941(裏)</t>
    <rPh sb="3" eb="6">
      <t>トクベツゴウ</t>
    </rPh>
    <rPh sb="11" eb="12">
      <t>ウラ</t>
    </rPh>
    <phoneticPr fontId="6"/>
  </si>
  <si>
    <t>JOD346</t>
  </si>
  <si>
    <t>JOD347</t>
  </si>
  <si>
    <t>JOD特別版0719</t>
    <rPh sb="3" eb="6">
      <t>トクベツバン</t>
    </rPh>
    <phoneticPr fontId="6"/>
  </si>
  <si>
    <t>JOD348</t>
  </si>
  <si>
    <t>JOD349</t>
  </si>
  <si>
    <t>ネット返品</t>
    <rPh sb="3" eb="5">
      <t>ヘンピン</t>
    </rPh>
    <phoneticPr fontId="6"/>
  </si>
  <si>
    <t>再生</t>
    <rPh sb="0" eb="2">
      <t>サイセイ</t>
    </rPh>
    <phoneticPr fontId="6"/>
  </si>
  <si>
    <t>JOD350</t>
  </si>
  <si>
    <t>JOD351</t>
  </si>
  <si>
    <t>JOD352</t>
    <phoneticPr fontId="6"/>
  </si>
  <si>
    <t>7/25～</t>
    <phoneticPr fontId="6"/>
  </si>
  <si>
    <t>JOD/BEAUTY通信0727(裏)</t>
    <rPh sb="10" eb="12">
      <t>ツウシン</t>
    </rPh>
    <rPh sb="17" eb="18">
      <t>ウラ</t>
    </rPh>
    <phoneticPr fontId="6"/>
  </si>
  <si>
    <t>JOD353</t>
  </si>
  <si>
    <t>電話注文</t>
    <rPh sb="0" eb="2">
      <t>デンワ</t>
    </rPh>
    <rPh sb="2" eb="4">
      <t>チュウモン</t>
    </rPh>
    <phoneticPr fontId="6"/>
  </si>
  <si>
    <t>JOD354</t>
    <phoneticPr fontId="6"/>
  </si>
  <si>
    <t>JOD355</t>
    <phoneticPr fontId="6"/>
  </si>
  <si>
    <t>JOD356</t>
  </si>
  <si>
    <t>JOD特別号9575</t>
    <rPh sb="3" eb="6">
      <t>トクベツゴウ</t>
    </rPh>
    <phoneticPr fontId="6"/>
  </si>
  <si>
    <t>8/8～</t>
    <phoneticPr fontId="6"/>
  </si>
  <si>
    <t>ロイヤルステージ9月号同色2枚組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</si>
  <si>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9/17～</t>
    <phoneticPr fontId="6"/>
  </si>
  <si>
    <t>JOD357</t>
  </si>
  <si>
    <t>ディノス7月美健セレクトチラシ①</t>
    <rPh sb="5" eb="6">
      <t>ガツ</t>
    </rPh>
    <rPh sb="6" eb="7">
      <t>ビ</t>
    </rPh>
    <rPh sb="7" eb="8">
      <t>ケン</t>
    </rPh>
    <phoneticPr fontId="6"/>
  </si>
  <si>
    <t>JOD撮影用sample</t>
    <rPh sb="3" eb="6">
      <t>サツエイヨウ</t>
    </rPh>
    <phoneticPr fontId="2"/>
  </si>
  <si>
    <t>JOD358</t>
    <phoneticPr fontId="6"/>
  </si>
  <si>
    <t>JOD359</t>
  </si>
  <si>
    <t>コープ九州7-3ｗ①</t>
    <rPh sb="3" eb="5">
      <t>キュウシュウ</t>
    </rPh>
    <phoneticPr fontId="6"/>
  </si>
  <si>
    <t>東海コープ7-3ｗ①</t>
    <rPh sb="0" eb="2">
      <t>トウカイ</t>
    </rPh>
    <phoneticPr fontId="6"/>
  </si>
  <si>
    <t>JOD特別版0825</t>
    <rPh sb="3" eb="6">
      <t>トクベツバン</t>
    </rPh>
    <phoneticPr fontId="6"/>
  </si>
  <si>
    <t>8/24～</t>
    <phoneticPr fontId="6"/>
  </si>
  <si>
    <t>ディノス7月美健セレクトチラシ②</t>
    <rPh sb="5" eb="6">
      <t>ガツ</t>
    </rPh>
    <rPh sb="6" eb="7">
      <t>ビ</t>
    </rPh>
    <rPh sb="7" eb="8">
      <t>ケン</t>
    </rPh>
    <phoneticPr fontId="6"/>
  </si>
  <si>
    <t>JOD360</t>
    <phoneticPr fontId="6"/>
  </si>
  <si>
    <t>JOD361</t>
  </si>
  <si>
    <t>コープ九州7-3ｗ②</t>
    <rPh sb="3" eb="5">
      <t>キュウシュウ</t>
    </rPh>
    <phoneticPr fontId="6"/>
  </si>
  <si>
    <t>JOD362</t>
    <phoneticPr fontId="6"/>
  </si>
  <si>
    <t>JOD363</t>
  </si>
  <si>
    <t>ディノス7月美健セレクトチラシ③</t>
    <rPh sb="5" eb="6">
      <t>ガツ</t>
    </rPh>
    <rPh sb="6" eb="7">
      <t>ビ</t>
    </rPh>
    <rPh sb="7" eb="8">
      <t>ケン</t>
    </rPh>
    <phoneticPr fontId="6"/>
  </si>
  <si>
    <t>JOD364</t>
  </si>
  <si>
    <t>東海コープ7-3ｗ②</t>
    <rPh sb="0" eb="2">
      <t>トウカイ</t>
    </rPh>
    <phoneticPr fontId="6"/>
  </si>
  <si>
    <t>JOD365</t>
    <phoneticPr fontId="6"/>
  </si>
  <si>
    <t>東海コープ7-3ｗ③</t>
    <rPh sb="0" eb="2">
      <t>トウカイ</t>
    </rPh>
    <phoneticPr fontId="6"/>
  </si>
  <si>
    <t>コープ九州7-3ｗ③</t>
    <rPh sb="3" eb="5">
      <t>キュウシュウ</t>
    </rPh>
    <phoneticPr fontId="6"/>
  </si>
  <si>
    <t>JOD366</t>
    <phoneticPr fontId="6"/>
  </si>
  <si>
    <t>東海コープ7-3ｗ④</t>
    <rPh sb="0" eb="2">
      <t>トウカイ</t>
    </rPh>
    <phoneticPr fontId="6"/>
  </si>
  <si>
    <t>千趣会返品</t>
    <rPh sb="0" eb="3">
      <t>センシュカイ</t>
    </rPh>
    <rPh sb="3" eb="5">
      <t>ヘンピン</t>
    </rPh>
    <phoneticPr fontId="2"/>
  </si>
  <si>
    <t>コープ九州7-3ｗ④</t>
    <rPh sb="3" eb="5">
      <t>キュウシュウ</t>
    </rPh>
    <phoneticPr fontId="6"/>
  </si>
  <si>
    <t>在庫確認</t>
    <rPh sb="0" eb="4">
      <t>ザイコカクニン</t>
    </rPh>
    <phoneticPr fontId="2"/>
  </si>
  <si>
    <t>JOD367</t>
    <phoneticPr fontId="6"/>
  </si>
  <si>
    <t>JOD368</t>
  </si>
  <si>
    <t>JOD369</t>
  </si>
  <si>
    <t>JODメルシー0901</t>
    <phoneticPr fontId="6"/>
  </si>
  <si>
    <t>9/1～</t>
    <phoneticPr fontId="6"/>
  </si>
  <si>
    <t>JOD370</t>
  </si>
  <si>
    <t>夢販</t>
    <rPh sb="0" eb="2">
      <t>ユメハン</t>
    </rPh>
    <phoneticPr fontId="6"/>
  </si>
  <si>
    <t>JOD371</t>
    <phoneticPr fontId="6"/>
  </si>
  <si>
    <t>JOD372</t>
  </si>
  <si>
    <t>JOD373</t>
  </si>
  <si>
    <t>JOD374</t>
  </si>
  <si>
    <t>JOD375</t>
  </si>
  <si>
    <t>KPORT</t>
    <phoneticPr fontId="6"/>
  </si>
  <si>
    <t>JOD376</t>
  </si>
  <si>
    <t>JOD377</t>
    <phoneticPr fontId="6"/>
  </si>
  <si>
    <t>JOD378</t>
    <phoneticPr fontId="6"/>
  </si>
  <si>
    <t>はぴねすくらぶ8月号①</t>
    <rPh sb="8" eb="9">
      <t>ガツ</t>
    </rPh>
    <rPh sb="9" eb="10">
      <t>ゴウ</t>
    </rPh>
    <phoneticPr fontId="6"/>
  </si>
  <si>
    <t>夢販</t>
    <rPh sb="0" eb="2">
      <t>ユメハン</t>
    </rPh>
    <phoneticPr fontId="6"/>
  </si>
  <si>
    <t>ディノス8月美健セレクトチラシ①</t>
    <rPh sb="5" eb="6">
      <t>ガツ</t>
    </rPh>
    <rPh sb="6" eb="7">
      <t>ビ</t>
    </rPh>
    <rPh sb="7" eb="8">
      <t>ケン</t>
    </rPh>
    <phoneticPr fontId="6"/>
  </si>
  <si>
    <t>ディノス8月美健セレクトチラシ②</t>
    <rPh sb="5" eb="6">
      <t>ガツ</t>
    </rPh>
    <rPh sb="6" eb="7">
      <t>ビ</t>
    </rPh>
    <rPh sb="7" eb="8">
      <t>ケン</t>
    </rPh>
    <phoneticPr fontId="6"/>
  </si>
  <si>
    <t>JOD379</t>
    <phoneticPr fontId="6"/>
  </si>
  <si>
    <t>ノースモール返品</t>
    <rPh sb="6" eb="8">
      <t>ヘンピン</t>
    </rPh>
    <phoneticPr fontId="2"/>
  </si>
  <si>
    <t>JOD380</t>
  </si>
  <si>
    <t>JOD西濃</t>
    <rPh sb="3" eb="5">
      <t>セイノウ</t>
    </rPh>
    <phoneticPr fontId="2"/>
  </si>
  <si>
    <t>JODメルシー0913</t>
    <phoneticPr fontId="6"/>
  </si>
  <si>
    <t>9/13～</t>
    <phoneticPr fontId="6"/>
  </si>
  <si>
    <t>K-PORT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</si>
  <si>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※品名・中入れ抜き㉚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</si>
  <si>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在庫確認</t>
  </si>
  <si>
    <t>JOD381</t>
  </si>
  <si>
    <t>JOD382</t>
  </si>
  <si>
    <t>JOD383</t>
  </si>
  <si>
    <t>JOD383西濃</t>
    <rPh sb="6" eb="8">
      <t>セイノウ</t>
    </rPh>
    <phoneticPr fontId="6"/>
  </si>
  <si>
    <t>JOD特別号9947（表）</t>
    <rPh sb="3" eb="6">
      <t>トクベツゴウ</t>
    </rPh>
    <rPh sb="11" eb="12">
      <t>オモテ</t>
    </rPh>
    <phoneticPr fontId="6"/>
  </si>
  <si>
    <t>9/8～</t>
    <phoneticPr fontId="6"/>
  </si>
  <si>
    <t>はぴねすくらぶ8月号②</t>
    <rPh sb="8" eb="9">
      <t>ガツ</t>
    </rPh>
    <rPh sb="9" eb="10">
      <t>ゴウ</t>
    </rPh>
    <phoneticPr fontId="6"/>
  </si>
  <si>
    <t>JOD384</t>
    <phoneticPr fontId="6"/>
  </si>
  <si>
    <t>JOD385</t>
  </si>
  <si>
    <t>ディノス返品</t>
    <rPh sb="4" eb="6">
      <t>ヘンピン</t>
    </rPh>
    <phoneticPr fontId="6"/>
  </si>
  <si>
    <t>JODアクセス7096</t>
    <phoneticPr fontId="6"/>
  </si>
  <si>
    <t>10/2～</t>
    <phoneticPr fontId="6"/>
  </si>
  <si>
    <t>JOD386</t>
    <phoneticPr fontId="6"/>
  </si>
  <si>
    <t>はぴねすくらぶ8月号③</t>
    <rPh sb="8" eb="9">
      <t>ガツ</t>
    </rPh>
    <rPh sb="9" eb="10">
      <t>ゴウ</t>
    </rPh>
    <phoneticPr fontId="6"/>
  </si>
  <si>
    <t>ディノス8月美健セレクトチラシ③</t>
    <rPh sb="5" eb="6">
      <t>ガツ</t>
    </rPh>
    <rPh sb="6" eb="7">
      <t>ビ</t>
    </rPh>
    <rPh sb="7" eb="8">
      <t>ケン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</si>
  <si>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※品名・中入れ抜き㉛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</si>
  <si>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JOD387</t>
    <phoneticPr fontId="6"/>
  </si>
  <si>
    <t>はぴねすくらぶ8月号④</t>
    <rPh sb="8" eb="9">
      <t>ガツ</t>
    </rPh>
    <rPh sb="9" eb="10">
      <t>ゴウ</t>
    </rPh>
    <phoneticPr fontId="6"/>
  </si>
  <si>
    <t>夢販</t>
    <rPh sb="0" eb="2">
      <t>ユメハン</t>
    </rPh>
    <phoneticPr fontId="6"/>
  </si>
  <si>
    <t>ディノス8月美健セレクトチラシ④</t>
    <rPh sb="5" eb="6">
      <t>ガツ</t>
    </rPh>
    <rPh sb="6" eb="7">
      <t>ビ</t>
    </rPh>
    <rPh sb="7" eb="8">
      <t>ケン</t>
    </rPh>
    <phoneticPr fontId="6"/>
  </si>
  <si>
    <t>JOD388</t>
    <phoneticPr fontId="6"/>
  </si>
  <si>
    <t>JOD389</t>
  </si>
  <si>
    <t>ディノス8月美健セレクトチラシ⑤</t>
    <rPh sb="5" eb="6">
      <t>ガツ</t>
    </rPh>
    <rPh sb="6" eb="7">
      <t>ビ</t>
    </rPh>
    <rPh sb="7" eb="8">
      <t>ケン</t>
    </rPh>
    <phoneticPr fontId="6"/>
  </si>
  <si>
    <t>JOD390</t>
    <phoneticPr fontId="6"/>
  </si>
  <si>
    <t>はぴねすくらぶ8月号⑤</t>
    <rPh sb="8" eb="9">
      <t>ガツ</t>
    </rPh>
    <rPh sb="9" eb="10">
      <t>ゴウ</t>
    </rPh>
    <phoneticPr fontId="6"/>
  </si>
  <si>
    <t>夢販</t>
    <rPh sb="0" eb="2">
      <t>ユメハン</t>
    </rPh>
    <phoneticPr fontId="6"/>
  </si>
  <si>
    <t>JOD391</t>
    <phoneticPr fontId="6"/>
  </si>
  <si>
    <t>電話注文</t>
    <rPh sb="0" eb="4">
      <t>デンワチュウモン</t>
    </rPh>
    <phoneticPr fontId="6"/>
  </si>
  <si>
    <t>ディノス8月美健セレクトチラシ⑥</t>
    <rPh sb="5" eb="6">
      <t>ガツ</t>
    </rPh>
    <rPh sb="6" eb="7">
      <t>ビ</t>
    </rPh>
    <rPh sb="7" eb="8">
      <t>ケン</t>
    </rPh>
    <phoneticPr fontId="6"/>
  </si>
  <si>
    <t>はぴねすくらぶ8月号⑥</t>
    <rPh sb="8" eb="9">
      <t>ガツ</t>
    </rPh>
    <rPh sb="9" eb="10">
      <t>ゴウ</t>
    </rPh>
    <phoneticPr fontId="6"/>
  </si>
  <si>
    <t>ディノス8月美健セレクトチラシ⑦</t>
    <rPh sb="5" eb="6">
      <t>ガツ</t>
    </rPh>
    <rPh sb="6" eb="7">
      <t>ビ</t>
    </rPh>
    <rPh sb="7" eb="8">
      <t>ケン</t>
    </rPh>
    <phoneticPr fontId="6"/>
  </si>
  <si>
    <t>JOD392</t>
    <phoneticPr fontId="6"/>
  </si>
  <si>
    <t>ディノス8月美健セレクトチラシ⑧</t>
    <rPh sb="5" eb="6">
      <t>ガツ</t>
    </rPh>
    <rPh sb="6" eb="7">
      <t>ビ</t>
    </rPh>
    <rPh sb="7" eb="8">
      <t>ケン</t>
    </rPh>
    <phoneticPr fontId="6"/>
  </si>
  <si>
    <t>JOD393</t>
    <phoneticPr fontId="6"/>
  </si>
  <si>
    <t>JOD394</t>
  </si>
  <si>
    <t>ディノス8月美健セレクトチラシ⑨</t>
    <rPh sb="5" eb="6">
      <t>ガツ</t>
    </rPh>
    <rPh sb="6" eb="7">
      <t>ビ</t>
    </rPh>
    <rPh sb="7" eb="8">
      <t>ケン</t>
    </rPh>
    <phoneticPr fontId="6"/>
  </si>
  <si>
    <t>JOD395</t>
    <phoneticPr fontId="6"/>
  </si>
  <si>
    <t>はぴねすくらぶ8月号⑦</t>
    <rPh sb="8" eb="9">
      <t>ガツ</t>
    </rPh>
    <rPh sb="9" eb="10">
      <t>ゴウ</t>
    </rPh>
    <phoneticPr fontId="6"/>
  </si>
  <si>
    <t>JOD396</t>
    <phoneticPr fontId="6"/>
  </si>
  <si>
    <t>JOD397</t>
    <phoneticPr fontId="6"/>
  </si>
  <si>
    <t>ディノス8月美健セレクトチラシ⑩</t>
    <rPh sb="5" eb="6">
      <t>ガツ</t>
    </rPh>
    <rPh sb="6" eb="7">
      <t>ビ</t>
    </rPh>
    <rPh sb="7" eb="8">
      <t>ケン</t>
    </rPh>
    <phoneticPr fontId="6"/>
  </si>
  <si>
    <t>JOD特別版1008</t>
    <rPh sb="3" eb="6">
      <t>トクベツバン</t>
    </rPh>
    <phoneticPr fontId="6"/>
  </si>
  <si>
    <t>10/7～</t>
    <phoneticPr fontId="6"/>
  </si>
  <si>
    <t>JOD398</t>
    <phoneticPr fontId="6"/>
  </si>
  <si>
    <t>JOD399</t>
  </si>
  <si>
    <t>はぴねすくらぶ8月号⑧</t>
    <rPh sb="8" eb="9">
      <t>ガツ</t>
    </rPh>
    <rPh sb="9" eb="10">
      <t>ゴウ</t>
    </rPh>
    <phoneticPr fontId="6"/>
  </si>
  <si>
    <t>JOD400</t>
    <phoneticPr fontId="6"/>
  </si>
  <si>
    <t>JOD新聞折込9059</t>
    <rPh sb="3" eb="7">
      <t>シンブンオリコミ</t>
    </rPh>
    <phoneticPr fontId="6"/>
  </si>
  <si>
    <t>9/25～</t>
    <phoneticPr fontId="6"/>
  </si>
  <si>
    <t>JOD401</t>
  </si>
  <si>
    <t>JOD402西濃</t>
    <rPh sb="6" eb="8">
      <t>セイノウ</t>
    </rPh>
    <phoneticPr fontId="6"/>
  </si>
  <si>
    <t>JOD402</t>
    <phoneticPr fontId="6"/>
  </si>
  <si>
    <t>ディノス8月美健セレクトチラシ⑪</t>
    <rPh sb="5" eb="6">
      <t>ガツ</t>
    </rPh>
    <rPh sb="6" eb="7">
      <t>ビ</t>
    </rPh>
    <rPh sb="7" eb="8">
      <t>ケン</t>
    </rPh>
    <phoneticPr fontId="6"/>
  </si>
  <si>
    <t>JOD403</t>
    <phoneticPr fontId="6"/>
  </si>
  <si>
    <t>JOD特別版1019</t>
    <rPh sb="3" eb="6">
      <t>トクベツバン</t>
    </rPh>
    <phoneticPr fontId="6"/>
  </si>
  <si>
    <t>10/18～</t>
    <phoneticPr fontId="6"/>
  </si>
  <si>
    <t>JOD特別号（裏）9949</t>
    <rPh sb="3" eb="6">
      <t>トクベツゴウ</t>
    </rPh>
    <rPh sb="7" eb="8">
      <t>ウラ</t>
    </rPh>
    <phoneticPr fontId="6"/>
  </si>
  <si>
    <t>10/6～</t>
    <phoneticPr fontId="6"/>
  </si>
  <si>
    <t>JOD404</t>
  </si>
  <si>
    <t>ディノス8月美健セレクトチラシ⑫</t>
    <rPh sb="5" eb="6">
      <t>ガツ</t>
    </rPh>
    <rPh sb="6" eb="7">
      <t>ビ</t>
    </rPh>
    <rPh sb="7" eb="8">
      <t>ケン</t>
    </rPh>
    <phoneticPr fontId="6"/>
  </si>
  <si>
    <t>JOD405</t>
    <phoneticPr fontId="6"/>
  </si>
  <si>
    <t>JOD406</t>
  </si>
  <si>
    <t>JOD新聞折込9064</t>
    <rPh sb="3" eb="7">
      <t>シンブンオリコミ</t>
    </rPh>
    <phoneticPr fontId="6"/>
  </si>
  <si>
    <t>JOD407</t>
  </si>
  <si>
    <t>ディノス8月美健セレクトチラシ⑬</t>
    <rPh sb="5" eb="6">
      <t>ガツ</t>
    </rPh>
    <rPh sb="6" eb="7">
      <t>ビ</t>
    </rPh>
    <rPh sb="7" eb="8">
      <t>ケン</t>
    </rPh>
    <phoneticPr fontId="6"/>
  </si>
  <si>
    <t>M</t>
    <phoneticPr fontId="6"/>
  </si>
  <si>
    <t>L</t>
    <phoneticPr fontId="6"/>
  </si>
  <si>
    <t>LL</t>
    <phoneticPr fontId="6"/>
  </si>
  <si>
    <t>3L</t>
    <phoneticPr fontId="6"/>
  </si>
  <si>
    <t>10/3＆10/24JODベージュ実績</t>
    <rPh sb="17" eb="19">
      <t>ジッセキ</t>
    </rPh>
    <phoneticPr fontId="6"/>
  </si>
  <si>
    <t>11/7JODベージュ実績</t>
    <rPh sb="11" eb="13">
      <t>ジッセキ</t>
    </rPh>
    <phoneticPr fontId="6"/>
  </si>
  <si>
    <t>JOD408</t>
    <phoneticPr fontId="6"/>
  </si>
  <si>
    <t>ロイヤルステージ9月号同色2枚組①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</si>
  <si>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ディノス返品</t>
    <rPh sb="4" eb="6">
      <t>ヘンピン</t>
    </rPh>
    <phoneticPr fontId="2"/>
  </si>
  <si>
    <t>ディノス8月美健セレクトチラシ⑭</t>
    <rPh sb="5" eb="6">
      <t>ガツ</t>
    </rPh>
    <rPh sb="6" eb="7">
      <t>ビ</t>
    </rPh>
    <rPh sb="7" eb="8">
      <t>ケン</t>
    </rPh>
    <phoneticPr fontId="6"/>
  </si>
  <si>
    <t>JOD409</t>
    <phoneticPr fontId="6"/>
  </si>
  <si>
    <t>はぴねすくらぶ8月号⑨</t>
    <rPh sb="8" eb="9">
      <t>ガツ</t>
    </rPh>
    <rPh sb="9" eb="10">
      <t>ゴウ</t>
    </rPh>
    <phoneticPr fontId="6"/>
  </si>
  <si>
    <t>ベルーナsample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</si>
  <si>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※品名・中入れ抜き㉜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</si>
  <si>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JOD410</t>
    <phoneticPr fontId="6"/>
  </si>
  <si>
    <t>ロイヤルステージ9月号同色2枚組②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</si>
  <si>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JOD411</t>
    <phoneticPr fontId="6"/>
  </si>
  <si>
    <t>ロイヤルステージ9月号同色2枚組③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</si>
  <si>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ロイヤルステージ9月号同色2枚組④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</si>
  <si>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追加</t>
    <rPh sb="0" eb="2">
      <t>ツイカ</t>
    </rPh>
    <phoneticPr fontId="6"/>
  </si>
  <si>
    <t>JOD412</t>
    <phoneticPr fontId="6"/>
  </si>
  <si>
    <t>ディノス8月美健セレクトチラシ⑮</t>
    <rPh sb="5" eb="6">
      <t>ガツ</t>
    </rPh>
    <rPh sb="6" eb="7">
      <t>ビ</t>
    </rPh>
    <rPh sb="7" eb="8">
      <t>ケン</t>
    </rPh>
    <phoneticPr fontId="6"/>
  </si>
  <si>
    <t>ロイヤルステージ9月号同色2枚組⑤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</si>
  <si>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はぴねすくらぶ8月号⑩</t>
    <rPh sb="8" eb="9">
      <t>ガツ</t>
    </rPh>
    <rPh sb="9" eb="10">
      <t>ゴウ</t>
    </rPh>
    <phoneticPr fontId="6"/>
  </si>
  <si>
    <t>JOD413</t>
    <phoneticPr fontId="6"/>
  </si>
  <si>
    <t>K-PORT</t>
    <phoneticPr fontId="6"/>
  </si>
  <si>
    <t>在庫調整</t>
    <rPh sb="0" eb="4">
      <t>ザイコチョウセイ</t>
    </rPh>
    <phoneticPr fontId="6"/>
  </si>
  <si>
    <t>JOD新聞折込9067</t>
    <rPh sb="3" eb="7">
      <t>シンブンオリコミ</t>
    </rPh>
    <phoneticPr fontId="6"/>
  </si>
  <si>
    <t>10/16～</t>
    <phoneticPr fontId="6"/>
  </si>
  <si>
    <t>JOD414</t>
  </si>
  <si>
    <r>
      <t>ニッセン初夏号</t>
    </r>
    <r>
      <rPr>
        <b/>
        <sz val="11"/>
        <rFont val="ＭＳ Ｐゴシック"/>
        <family val="3"/>
        <charset val="128"/>
      </rPr>
      <t>※品名・中入れ抜き㉝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</si>
  <si>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JOD415</t>
  </si>
  <si>
    <t>JOD416</t>
  </si>
  <si>
    <t>JOD417</t>
  </si>
  <si>
    <t>JOD418</t>
  </si>
  <si>
    <t>JOD新聞折込9069</t>
    <rPh sb="3" eb="7">
      <t>シンブンオリコミ</t>
    </rPh>
    <phoneticPr fontId="6"/>
  </si>
  <si>
    <t>10/23～</t>
    <phoneticPr fontId="6"/>
  </si>
  <si>
    <t>JOD419</t>
  </si>
  <si>
    <t>はぴねすくらぶ8月号⑪</t>
    <rPh sb="8" eb="9">
      <t>ガツ</t>
    </rPh>
    <rPh sb="9" eb="10">
      <t>ゴウ</t>
    </rPh>
    <phoneticPr fontId="6"/>
  </si>
  <si>
    <t>ロイヤルステージ9月号同色2枚組⑥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</si>
  <si>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ディノス8月美健セレクトチラシ⑯</t>
    <rPh sb="5" eb="6">
      <t>ガツ</t>
    </rPh>
    <rPh sb="6" eb="7">
      <t>ビ</t>
    </rPh>
    <rPh sb="7" eb="8">
      <t>ケン</t>
    </rPh>
    <phoneticPr fontId="6"/>
  </si>
  <si>
    <t>IEI提案sample</t>
    <rPh sb="3" eb="5">
      <t>テイアン</t>
    </rPh>
    <phoneticPr fontId="6"/>
  </si>
  <si>
    <t>JOD420</t>
    <phoneticPr fontId="6"/>
  </si>
  <si>
    <t>JOD421</t>
  </si>
  <si>
    <t>JOD422</t>
    <phoneticPr fontId="6"/>
  </si>
  <si>
    <t>JOD423</t>
  </si>
  <si>
    <t>ディノス8月美健セレクトチラシ⑰</t>
    <rPh sb="5" eb="6">
      <t>ガツ</t>
    </rPh>
    <rPh sb="6" eb="7">
      <t>ビ</t>
    </rPh>
    <rPh sb="7" eb="8">
      <t>ケン</t>
    </rPh>
    <phoneticPr fontId="6"/>
  </si>
  <si>
    <t>追加</t>
    <rPh sb="0" eb="2">
      <t>ツイカ</t>
    </rPh>
    <phoneticPr fontId="6"/>
  </si>
  <si>
    <t>JOD424</t>
    <phoneticPr fontId="6"/>
  </si>
  <si>
    <t>JOD特別号9952</t>
    <rPh sb="3" eb="5">
      <t>トクベツ</t>
    </rPh>
    <rPh sb="5" eb="6">
      <t>ゴウ</t>
    </rPh>
    <phoneticPr fontId="6"/>
  </si>
  <si>
    <t>JOD特別号9953</t>
    <rPh sb="3" eb="5">
      <t>トクベツ</t>
    </rPh>
    <rPh sb="5" eb="6">
      <t>ゴウ</t>
    </rPh>
    <phoneticPr fontId="6"/>
  </si>
  <si>
    <t>11/6～</t>
    <phoneticPr fontId="6"/>
  </si>
  <si>
    <t>12/20～1/10（1～5回）</t>
    <rPh sb="14" eb="15">
      <t>カイ</t>
    </rPh>
    <phoneticPr fontId="6"/>
  </si>
  <si>
    <t>九州　健康TT/1月1週（サクラマチ）</t>
    <rPh sb="0" eb="2">
      <t>キュウシュウ</t>
    </rPh>
    <rPh sb="3" eb="5">
      <t>ケンコウ</t>
    </rPh>
    <rPh sb="9" eb="10">
      <t>ガツ</t>
    </rPh>
    <rPh sb="11" eb="12">
      <t>シュウ</t>
    </rPh>
    <phoneticPr fontId="6"/>
  </si>
  <si>
    <t>JOD425</t>
  </si>
  <si>
    <t>JOD426</t>
  </si>
  <si>
    <t>ディノス返品</t>
    <rPh sb="4" eb="6">
      <t>ヘンピン</t>
    </rPh>
    <phoneticPr fontId="6"/>
  </si>
  <si>
    <t>JOD427</t>
    <phoneticPr fontId="6"/>
  </si>
  <si>
    <t>ロイヤル返品</t>
    <rPh sb="4" eb="6">
      <t>ヘンピン</t>
    </rPh>
    <phoneticPr fontId="2"/>
  </si>
  <si>
    <t>ロイヤルS</t>
    <phoneticPr fontId="6"/>
  </si>
  <si>
    <t>JOD新聞折込9072</t>
    <rPh sb="3" eb="7">
      <t>シンブンオリコミ</t>
    </rPh>
    <phoneticPr fontId="6"/>
  </si>
  <si>
    <t>JOD特別号9954</t>
    <rPh sb="3" eb="6">
      <t>トクベツゴウ</t>
    </rPh>
    <phoneticPr fontId="6"/>
  </si>
  <si>
    <t>11/16～</t>
    <phoneticPr fontId="6"/>
  </si>
  <si>
    <t>はぴねすくらぶ8月号⑫</t>
    <rPh sb="8" eb="9">
      <t>ガツ</t>
    </rPh>
    <rPh sb="9" eb="10">
      <t>ゴウ</t>
    </rPh>
    <phoneticPr fontId="6"/>
  </si>
  <si>
    <t>JOD428</t>
    <phoneticPr fontId="6"/>
  </si>
  <si>
    <t>ディノス8月美健セレクトチラシ⑱</t>
    <rPh sb="5" eb="6">
      <t>ガツ</t>
    </rPh>
    <rPh sb="6" eb="7">
      <t>ビ</t>
    </rPh>
    <rPh sb="7" eb="8">
      <t>ケン</t>
    </rPh>
    <phoneticPr fontId="6"/>
  </si>
  <si>
    <t>JOD429</t>
    <phoneticPr fontId="6"/>
  </si>
  <si>
    <t>JOD430</t>
  </si>
  <si>
    <t>はぴねすくらぶ8月号⑬</t>
    <rPh sb="8" eb="9">
      <t>ガツ</t>
    </rPh>
    <rPh sb="9" eb="10">
      <t>ゴウ</t>
    </rPh>
    <phoneticPr fontId="6"/>
  </si>
  <si>
    <t>JOD431</t>
    <phoneticPr fontId="6"/>
  </si>
  <si>
    <t>JOD432</t>
  </si>
  <si>
    <t>JOD433</t>
  </si>
  <si>
    <t>電話注文</t>
    <rPh sb="0" eb="2">
      <t>デンワ</t>
    </rPh>
    <rPh sb="2" eb="4">
      <t>チュウモン</t>
    </rPh>
    <phoneticPr fontId="6"/>
  </si>
  <si>
    <t>2023/10/10済伝</t>
    <rPh sb="10" eb="11">
      <t>スミ</t>
    </rPh>
    <rPh sb="11" eb="12">
      <t>デン</t>
    </rPh>
    <phoneticPr fontId="6"/>
  </si>
  <si>
    <t>2023/10/20済伝</t>
    <rPh sb="10" eb="11">
      <t>スミ</t>
    </rPh>
    <rPh sb="11" eb="12">
      <t>デン</t>
    </rPh>
    <phoneticPr fontId="6"/>
  </si>
  <si>
    <t>JOD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</si>
  <si>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※品名・中入れ抜き㉞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</si>
  <si>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ディノス8月美健セレクトチラシ⑲</t>
    <rPh sb="5" eb="6">
      <t>ガツ</t>
    </rPh>
    <rPh sb="6" eb="7">
      <t>ビ</t>
    </rPh>
    <rPh sb="7" eb="8">
      <t>ケン</t>
    </rPh>
    <phoneticPr fontId="6"/>
  </si>
  <si>
    <t>ディノス8月美健セレクトチラシ⑳</t>
    <rPh sb="5" eb="6">
      <t>ガツ</t>
    </rPh>
    <rPh sb="6" eb="7">
      <t>ビ</t>
    </rPh>
    <rPh sb="7" eb="8">
      <t>ケン</t>
    </rPh>
    <phoneticPr fontId="6"/>
  </si>
  <si>
    <t>JOD434</t>
    <phoneticPr fontId="6"/>
  </si>
  <si>
    <t>JOD435</t>
    <phoneticPr fontId="6"/>
  </si>
  <si>
    <t>ディノス8月美健セレクトチラシ㉑</t>
    <rPh sb="5" eb="6">
      <t>ガツ</t>
    </rPh>
    <rPh sb="6" eb="7">
      <t>ビ</t>
    </rPh>
    <rPh sb="7" eb="8">
      <t>ケン</t>
    </rPh>
    <phoneticPr fontId="6"/>
  </si>
  <si>
    <t>JOD436</t>
    <phoneticPr fontId="6"/>
  </si>
  <si>
    <t>はぴねすくらぶ8月号⑭</t>
    <rPh sb="8" eb="9">
      <t>ガツ</t>
    </rPh>
    <rPh sb="9" eb="10">
      <t>ゴウ</t>
    </rPh>
    <phoneticPr fontId="6"/>
  </si>
  <si>
    <t>追加</t>
    <rPh sb="0" eb="2">
      <t>ツイカ</t>
    </rPh>
    <phoneticPr fontId="6"/>
  </si>
  <si>
    <t>JOD437</t>
    <phoneticPr fontId="6"/>
  </si>
  <si>
    <t>夢販</t>
    <rPh sb="0" eb="2">
      <t>ユメハン</t>
    </rPh>
    <phoneticPr fontId="6"/>
  </si>
  <si>
    <t>JOD438</t>
  </si>
  <si>
    <t>JOD439</t>
  </si>
  <si>
    <r>
      <t>ニッセン初夏号</t>
    </r>
    <r>
      <rPr>
        <b/>
        <sz val="11"/>
        <rFont val="ＭＳ Ｐゴシック"/>
        <family val="3"/>
        <charset val="128"/>
      </rPr>
      <t>※品名・中入れ抜き㉟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</si>
  <si>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JOD440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</si>
  <si>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※品名・中入れ抜き㊱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</si>
  <si>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JOD441</t>
  </si>
  <si>
    <t>はぴねすくらぶ8月号⑮</t>
    <rPh sb="8" eb="9">
      <t>ガツ</t>
    </rPh>
    <rPh sb="9" eb="10">
      <t>ゴウ</t>
    </rPh>
    <phoneticPr fontId="6"/>
  </si>
  <si>
    <t>JOD特別号9957</t>
    <rPh sb="3" eb="6">
      <t>トクベツゴウ</t>
    </rPh>
    <phoneticPr fontId="6"/>
  </si>
  <si>
    <t>ディノス8月美健セレクトチラシ㉒</t>
    <rPh sb="5" eb="6">
      <t>ガツ</t>
    </rPh>
    <rPh sb="6" eb="7">
      <t>ビ</t>
    </rPh>
    <rPh sb="7" eb="8">
      <t>ケン</t>
    </rPh>
    <phoneticPr fontId="6"/>
  </si>
  <si>
    <t>JOD442</t>
    <phoneticPr fontId="6"/>
  </si>
  <si>
    <t>JOD443</t>
    <phoneticPr fontId="6"/>
  </si>
  <si>
    <t>JOD特別号9585</t>
    <rPh sb="3" eb="6">
      <t>トクベツゴウ</t>
    </rPh>
    <phoneticPr fontId="6"/>
  </si>
  <si>
    <t>JOD444</t>
  </si>
  <si>
    <t>2/13～</t>
    <phoneticPr fontId="6"/>
  </si>
  <si>
    <t>使ってヨカッタ2月号（同色2枚/2色組）</t>
    <rPh sb="0" eb="1">
      <t>ツカ</t>
    </rPh>
    <rPh sb="8" eb="10">
      <t>ガツゴウ</t>
    </rPh>
    <rPh sb="11" eb="13">
      <t>ドウショク</t>
    </rPh>
    <rPh sb="14" eb="15">
      <t>マイ</t>
    </rPh>
    <rPh sb="17" eb="19">
      <t>ショククミ</t>
    </rPh>
    <phoneticPr fontId="6"/>
  </si>
  <si>
    <t>JOD445</t>
  </si>
  <si>
    <r>
      <t>ニッセン初夏号</t>
    </r>
    <r>
      <rPr>
        <b/>
        <sz val="11"/>
        <rFont val="ＭＳ Ｐゴシック"/>
        <family val="3"/>
        <charset val="128"/>
      </rPr>
      <t>※品名・中入れ抜き㊲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</si>
  <si>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K-PORT</t>
    <phoneticPr fontId="6"/>
  </si>
  <si>
    <t>JOD446</t>
  </si>
  <si>
    <t>夢販</t>
    <rPh sb="0" eb="2">
      <t>ユメハン</t>
    </rPh>
    <phoneticPr fontId="6"/>
  </si>
  <si>
    <t>JOD447</t>
    <phoneticPr fontId="6"/>
  </si>
  <si>
    <t>JODメルシー1225</t>
    <phoneticPr fontId="6"/>
  </si>
  <si>
    <t>12/25～</t>
    <phoneticPr fontId="6"/>
  </si>
  <si>
    <t>JOD448</t>
  </si>
  <si>
    <t>JOD449</t>
  </si>
  <si>
    <t>JOD450</t>
    <phoneticPr fontId="6"/>
  </si>
  <si>
    <t>JOD</t>
    <phoneticPr fontId="6"/>
  </si>
  <si>
    <t>ロイヤルステージ返品</t>
    <rPh sb="8" eb="10">
      <t>ヘンピン</t>
    </rPh>
    <phoneticPr fontId="2"/>
  </si>
  <si>
    <t>JOD451</t>
    <phoneticPr fontId="6"/>
  </si>
  <si>
    <t>JOD452</t>
  </si>
  <si>
    <t>JOD453</t>
    <phoneticPr fontId="6"/>
  </si>
  <si>
    <t>KPORT</t>
    <phoneticPr fontId="6"/>
  </si>
  <si>
    <t>JOD454</t>
  </si>
  <si>
    <r>
      <t>ニッセン初夏号</t>
    </r>
    <r>
      <rPr>
        <b/>
        <sz val="11"/>
        <rFont val="ＭＳ Ｐゴシック"/>
        <family val="3"/>
        <charset val="128"/>
      </rPr>
      <t>※品名・中入れ抜き㊳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</si>
  <si>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JOD455</t>
  </si>
  <si>
    <t>ベルーナ3企画sample</t>
    <rPh sb="5" eb="7">
      <t>キカク</t>
    </rPh>
    <phoneticPr fontId="6"/>
  </si>
  <si>
    <t>JOD456</t>
  </si>
  <si>
    <t>3/下旬～</t>
    <rPh sb="2" eb="3">
      <t>ゲ</t>
    </rPh>
    <phoneticPr fontId="6"/>
  </si>
  <si>
    <t>JOD457</t>
  </si>
  <si>
    <t>JOD458</t>
  </si>
  <si>
    <t>JOD459</t>
    <phoneticPr fontId="6"/>
  </si>
  <si>
    <t>JOD460</t>
  </si>
  <si>
    <t>JOD特別号9587</t>
    <rPh sb="3" eb="6">
      <t>トクベツゴウ</t>
    </rPh>
    <phoneticPr fontId="6"/>
  </si>
  <si>
    <t>1/29～</t>
    <phoneticPr fontId="6"/>
  </si>
  <si>
    <t>JOD461</t>
    <phoneticPr fontId="6"/>
  </si>
  <si>
    <t>JOD461</t>
  </si>
  <si>
    <t>ディノス返品</t>
    <rPh sb="4" eb="6">
      <t>ヘンピン</t>
    </rPh>
    <phoneticPr fontId="6"/>
  </si>
  <si>
    <t>JOD462</t>
    <phoneticPr fontId="6"/>
  </si>
  <si>
    <t>はぴねすくらぶ返品</t>
    <rPh sb="7" eb="9">
      <t>ヘンピン</t>
    </rPh>
    <phoneticPr fontId="6"/>
  </si>
  <si>
    <t>JOD463</t>
  </si>
  <si>
    <t>JODメルシー0201</t>
    <phoneticPr fontId="6"/>
  </si>
  <si>
    <t>2/1～</t>
    <phoneticPr fontId="6"/>
  </si>
  <si>
    <t>JOD464</t>
  </si>
  <si>
    <t>点2/1、アバウト2/20、本2/21～3/2</t>
    <rPh sb="0" eb="1">
      <t>テン</t>
    </rPh>
    <rPh sb="14" eb="15">
      <t>ホン</t>
    </rPh>
    <phoneticPr fontId="6"/>
  </si>
  <si>
    <t>コープきんき2月4回差分予測</t>
    <rPh sb="7" eb="8">
      <t>ガツ</t>
    </rPh>
    <rPh sb="9" eb="10">
      <t>カイ</t>
    </rPh>
    <rPh sb="10" eb="14">
      <t>サブンヨソク</t>
    </rPh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</si>
  <si>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※品名・中入れ抜き㊴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</si>
  <si>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JOD465</t>
  </si>
  <si>
    <t>JOD466</t>
  </si>
  <si>
    <t>JOD467</t>
  </si>
  <si>
    <t>九州　健康TT/1月1週（サクラマチ）①</t>
    <rPh sb="0" eb="2">
      <t>キュウシュウ</t>
    </rPh>
    <rPh sb="3" eb="5">
      <t>ケンコウ</t>
    </rPh>
    <rPh sb="9" eb="10">
      <t>ガツ</t>
    </rPh>
    <rPh sb="11" eb="12">
      <t>シュウ</t>
    </rPh>
    <phoneticPr fontId="6"/>
  </si>
  <si>
    <t>JOD468</t>
    <phoneticPr fontId="6"/>
  </si>
  <si>
    <t>JOD469</t>
  </si>
  <si>
    <t>コープきんき2月4回（不透明袋）¥2980</t>
    <rPh sb="7" eb="8">
      <t>ガツ</t>
    </rPh>
    <rPh sb="9" eb="10">
      <t>カイ</t>
    </rPh>
    <rPh sb="11" eb="15">
      <t>フトウメイフクロ</t>
    </rPh>
    <phoneticPr fontId="6"/>
  </si>
  <si>
    <t>九州　健康TT/1月1週（サクラマチ）②</t>
    <rPh sb="0" eb="2">
      <t>キュウシュウ</t>
    </rPh>
    <rPh sb="3" eb="5">
      <t>ケンコウ</t>
    </rPh>
    <rPh sb="9" eb="10">
      <t>ガツ</t>
    </rPh>
    <rPh sb="11" eb="12">
      <t>シュウ</t>
    </rPh>
    <phoneticPr fontId="6"/>
  </si>
  <si>
    <t>JOD特別号9962(裏)</t>
    <rPh sb="3" eb="6">
      <t>トクベツゴウ</t>
    </rPh>
    <rPh sb="11" eb="12">
      <t>ウラ</t>
    </rPh>
    <phoneticPr fontId="6"/>
  </si>
  <si>
    <t>1/22～</t>
    <phoneticPr fontId="6"/>
  </si>
  <si>
    <t>JOD470</t>
    <phoneticPr fontId="6"/>
  </si>
  <si>
    <t>JOD471</t>
    <phoneticPr fontId="6"/>
  </si>
  <si>
    <t>JOD472</t>
    <phoneticPr fontId="6"/>
  </si>
  <si>
    <t>くらし（日生協選定会議用sample）</t>
    <rPh sb="4" eb="7">
      <t>ニッセイキョウ</t>
    </rPh>
    <rPh sb="7" eb="12">
      <t>センテイカイギヨウ</t>
    </rPh>
    <phoneticPr fontId="6"/>
  </si>
  <si>
    <t>ユーコープ3月4週（不透明袋）</t>
    <rPh sb="6" eb="7">
      <t>ガツ</t>
    </rPh>
    <rPh sb="8" eb="9">
      <t>シュウ</t>
    </rPh>
    <rPh sb="10" eb="14">
      <t>フトウメイフクロ</t>
    </rPh>
    <phoneticPr fontId="6"/>
  </si>
  <si>
    <t>3/13～27（1～2回）</t>
    <rPh sb="11" eb="12">
      <t>カイ</t>
    </rPh>
    <phoneticPr fontId="6"/>
  </si>
  <si>
    <t>ニッセン24初夏号楽市※品名・中入れ抜き</t>
    <rPh sb="6" eb="9">
      <t>ショカゴウ</t>
    </rPh>
    <rPh sb="9" eb="11">
      <t>ラクイチ</t>
    </rPh>
    <phoneticPr fontId="6"/>
  </si>
  <si>
    <r>
      <t>ニッセン22年初夏号</t>
    </r>
    <r>
      <rPr>
        <b/>
        <sz val="11"/>
        <rFont val="ＭＳ Ｐゴシック"/>
        <family val="3"/>
        <charset val="128"/>
      </rPr>
      <t>※品名・中入れ抜き</t>
    </r>
    <rPh sb="6" eb="7">
      <t>ネン</t>
    </rPh>
    <rPh sb="7" eb="10">
      <t>ショカゴウ</t>
    </rPh>
    <rPh sb="11" eb="13">
      <t>ヒンメイ</t>
    </rPh>
    <rPh sb="14" eb="16">
      <t>ナカイ</t>
    </rPh>
    <rPh sb="17" eb="18">
      <t>ヌ</t>
    </rPh>
    <phoneticPr fontId="6"/>
  </si>
  <si>
    <t>JOD472</t>
  </si>
  <si>
    <t>JOD473</t>
    <phoneticPr fontId="6"/>
  </si>
  <si>
    <t>JOD特別号（裏）9965</t>
    <rPh sb="3" eb="6">
      <t>トクベツゴウ</t>
    </rPh>
    <rPh sb="7" eb="8">
      <t>ウラ</t>
    </rPh>
    <phoneticPr fontId="6"/>
  </si>
  <si>
    <t>JOD474</t>
  </si>
  <si>
    <t>JOD475</t>
    <phoneticPr fontId="6"/>
  </si>
  <si>
    <t>JOD476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</si>
  <si>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※品名・中入れ抜き㊵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</si>
  <si>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JOD特別号（表）9966</t>
    <rPh sb="3" eb="6">
      <t>トクベツゴウ</t>
    </rPh>
    <rPh sb="7" eb="8">
      <t>オモテ</t>
    </rPh>
    <phoneticPr fontId="6"/>
  </si>
  <si>
    <t>2/9～</t>
    <phoneticPr fontId="6"/>
  </si>
  <si>
    <t>JOD477</t>
    <phoneticPr fontId="6"/>
  </si>
  <si>
    <t>JOD478</t>
    <phoneticPr fontId="6"/>
  </si>
  <si>
    <t>JOD479</t>
    <phoneticPr fontId="6"/>
  </si>
  <si>
    <t>JOD新聞折込9089</t>
    <rPh sb="3" eb="7">
      <t>シンブンオリコミ</t>
    </rPh>
    <phoneticPr fontId="6"/>
  </si>
  <si>
    <t>2/5～</t>
    <phoneticPr fontId="6"/>
  </si>
  <si>
    <t>3/12～</t>
    <phoneticPr fontId="6"/>
  </si>
  <si>
    <t>JOD特別号9593</t>
    <rPh sb="3" eb="6">
      <t>トクベツゴウ</t>
    </rPh>
    <phoneticPr fontId="6"/>
  </si>
  <si>
    <t>ベルーナ3企画sample返却</t>
    <rPh sb="5" eb="7">
      <t>キカク</t>
    </rPh>
    <rPh sb="13" eb="15">
      <t>ヘンキャク</t>
    </rPh>
    <phoneticPr fontId="6"/>
  </si>
  <si>
    <t>JOD480</t>
    <phoneticPr fontId="6"/>
  </si>
  <si>
    <t>コープきんき2023年2-4回実績</t>
    <rPh sb="10" eb="11">
      <t>ネン</t>
    </rPh>
    <rPh sb="14" eb="15">
      <t>カイ</t>
    </rPh>
    <rPh sb="15" eb="17">
      <t>ジッセキ</t>
    </rPh>
    <phoneticPr fontId="6"/>
  </si>
  <si>
    <t>返品</t>
    <rPh sb="0" eb="2">
      <t>ヘンピン</t>
    </rPh>
    <phoneticPr fontId="6"/>
  </si>
  <si>
    <t>ロイヤルステージ2月号同色2枚組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</si>
  <si>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2/2～3/1</t>
    <phoneticPr fontId="6"/>
  </si>
  <si>
    <t>JOD481</t>
  </si>
  <si>
    <t>製品化</t>
    <rPh sb="0" eb="3">
      <t>セイヒンカ</t>
    </rPh>
    <phoneticPr fontId="6"/>
  </si>
  <si>
    <t>JOD482</t>
    <phoneticPr fontId="6"/>
  </si>
  <si>
    <t>JOD483</t>
    <phoneticPr fontId="6"/>
  </si>
  <si>
    <t>JOD484</t>
    <phoneticPr fontId="6"/>
  </si>
  <si>
    <t>日生協5月12号（不透明袋）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phoneticPr fontId="6"/>
  </si>
  <si>
    <t>点5/10、前取5/17、アバウト5/21・28、最終6/5</t>
    <rPh sb="0" eb="1">
      <t>テン</t>
    </rPh>
    <rPh sb="6" eb="7">
      <t>マエ</t>
    </rPh>
    <rPh sb="7" eb="8">
      <t>トリ</t>
    </rPh>
    <rPh sb="25" eb="27">
      <t>サイシュウ</t>
    </rPh>
    <phoneticPr fontId="6"/>
  </si>
  <si>
    <t>日生協5月12号（不透明袋）差分予測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8">
      <t>サブンヨソク</t>
    </rPh>
    <phoneticPr fontId="6"/>
  </si>
  <si>
    <t>JOD485</t>
    <phoneticPr fontId="6"/>
  </si>
  <si>
    <t>JOD特別号（表）9967</t>
    <rPh sb="3" eb="6">
      <t>トクベツゴウ</t>
    </rPh>
    <rPh sb="7" eb="8">
      <t>オモテ</t>
    </rPh>
    <phoneticPr fontId="6"/>
  </si>
  <si>
    <t>JOD486</t>
    <phoneticPr fontId="6"/>
  </si>
  <si>
    <t>JOD487</t>
    <phoneticPr fontId="6"/>
  </si>
  <si>
    <t>ロイヤルステージ3月号同色2枚組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</si>
  <si>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3/1～4/15</t>
    <phoneticPr fontId="6"/>
  </si>
  <si>
    <t>JOD488</t>
  </si>
  <si>
    <t>ロイヤルステージ2月号同色2枚組①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</si>
  <si>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コープきんき2月4回（不透明袋）¥2980①</t>
    <rPh sb="7" eb="8">
      <t>ガツ</t>
    </rPh>
    <rPh sb="9" eb="10">
      <t>カイ</t>
    </rPh>
    <rPh sb="11" eb="15">
      <t>フトウメイフクロ</t>
    </rPh>
    <phoneticPr fontId="6"/>
  </si>
  <si>
    <t>使ってヨカッタ2月号2色組①</t>
    <rPh sb="0" eb="1">
      <t>ツカ</t>
    </rPh>
    <rPh sb="8" eb="10">
      <t>ガツゴウ</t>
    </rPh>
    <rPh sb="11" eb="13">
      <t>ショククミ</t>
    </rPh>
    <phoneticPr fontId="6"/>
  </si>
  <si>
    <t>使ってヨカッタ2月号同色2枚①</t>
    <rPh sb="0" eb="1">
      <t>ツカ</t>
    </rPh>
    <rPh sb="8" eb="10">
      <t>ガツゴウ</t>
    </rPh>
    <rPh sb="10" eb="12">
      <t>ドウショク</t>
    </rPh>
    <rPh sb="13" eb="14">
      <t>マイ</t>
    </rPh>
    <phoneticPr fontId="6"/>
  </si>
  <si>
    <t>JOD489</t>
    <phoneticPr fontId="6"/>
  </si>
  <si>
    <t>追加</t>
    <rPh sb="0" eb="2">
      <t>ツイカ</t>
    </rPh>
    <phoneticPr fontId="6"/>
  </si>
  <si>
    <t>JOD490</t>
    <phoneticPr fontId="6"/>
  </si>
  <si>
    <t>JODアクセス7000</t>
    <phoneticPr fontId="6"/>
  </si>
  <si>
    <t>4/25～</t>
    <phoneticPr fontId="6"/>
  </si>
  <si>
    <t>JOD491</t>
    <phoneticPr fontId="6"/>
  </si>
  <si>
    <t>追加３</t>
  </si>
  <si>
    <t>JOD返品</t>
  </si>
  <si>
    <t>IEI提案sample返却</t>
  </si>
  <si>
    <t>ディノス返品</t>
  </si>
  <si>
    <t>JOD特別号9968</t>
    <rPh sb="3" eb="6">
      <t>トクベツゴウ</t>
    </rPh>
    <phoneticPr fontId="6"/>
  </si>
  <si>
    <t>JOD492</t>
  </si>
  <si>
    <t>背筋サポート前開きブラ　K-PORT在庫</t>
    <phoneticPr fontId="2"/>
  </si>
  <si>
    <t>JOD返品</t>
    <rPh sb="3" eb="5">
      <t>ヘンピン</t>
    </rPh>
    <phoneticPr fontId="6"/>
  </si>
  <si>
    <t>JOD493</t>
  </si>
  <si>
    <t>ロイヤルステージ2月号同色2枚組②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</si>
  <si>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JOD494</t>
    <phoneticPr fontId="6"/>
  </si>
  <si>
    <t>使ってヨカッタ2月号2色組②</t>
    <rPh sb="0" eb="1">
      <t>ツカ</t>
    </rPh>
    <rPh sb="8" eb="10">
      <t>ガツゴウ</t>
    </rPh>
    <rPh sb="11" eb="13">
      <t>ショククミ</t>
    </rPh>
    <phoneticPr fontId="6"/>
  </si>
  <si>
    <t>使ってヨカッタ2月号同色2枚②</t>
    <rPh sb="0" eb="1">
      <t>ツカ</t>
    </rPh>
    <rPh sb="8" eb="10">
      <t>ガツゴウ</t>
    </rPh>
    <rPh sb="10" eb="12">
      <t>ドウショク</t>
    </rPh>
    <rPh sb="13" eb="14">
      <t>マイ</t>
    </rPh>
    <phoneticPr fontId="6"/>
  </si>
  <si>
    <t>JOD495</t>
  </si>
  <si>
    <t>使ってヨカッタ2月号2色組③</t>
    <rPh sb="0" eb="1">
      <t>ツカ</t>
    </rPh>
    <rPh sb="8" eb="10">
      <t>ガツゴウ</t>
    </rPh>
    <rPh sb="11" eb="13">
      <t>ショククミ</t>
    </rPh>
    <phoneticPr fontId="6"/>
  </si>
  <si>
    <t>使ってヨカッタ2月号同色2枚③</t>
    <rPh sb="0" eb="1">
      <t>ツカ</t>
    </rPh>
    <rPh sb="8" eb="10">
      <t>ガツゴウ</t>
    </rPh>
    <rPh sb="10" eb="12">
      <t>ドウショク</t>
    </rPh>
    <rPh sb="13" eb="14">
      <t>マイ</t>
    </rPh>
    <phoneticPr fontId="6"/>
  </si>
  <si>
    <t>JOD496</t>
    <phoneticPr fontId="6"/>
  </si>
  <si>
    <t>ロイヤルステージ2月号同色2枚組③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</si>
  <si>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ユーコープ3月3週（不透明袋）差分予測</t>
    <rPh sb="6" eb="7">
      <t>ガツ</t>
    </rPh>
    <rPh sb="8" eb="9">
      <t>シュウ</t>
    </rPh>
    <rPh sb="10" eb="14">
      <t>フトウメイフクロ</t>
    </rPh>
    <rPh sb="15" eb="19">
      <t>サブンヨソク</t>
    </rPh>
    <phoneticPr fontId="6"/>
  </si>
  <si>
    <t>K-PORT</t>
    <phoneticPr fontId="6"/>
  </si>
  <si>
    <t>使ってヨカッタ2月号同色2枚④</t>
    <rPh sb="0" eb="1">
      <t>ツカ</t>
    </rPh>
    <rPh sb="8" eb="10">
      <t>ガツゴウ</t>
    </rPh>
    <rPh sb="10" eb="12">
      <t>ドウショク</t>
    </rPh>
    <rPh sb="13" eb="14">
      <t>マイ</t>
    </rPh>
    <phoneticPr fontId="6"/>
  </si>
  <si>
    <t>ディノスチラシsample</t>
    <phoneticPr fontId="6"/>
  </si>
  <si>
    <t>ディノスチラシsample返却</t>
    <rPh sb="13" eb="15">
      <t>ヘンキャク</t>
    </rPh>
    <phoneticPr fontId="6"/>
  </si>
  <si>
    <t>JOD497</t>
    <phoneticPr fontId="6"/>
  </si>
  <si>
    <r>
      <t>ニッセン初夏号</t>
    </r>
    <r>
      <rPr>
        <b/>
        <sz val="11"/>
        <rFont val="ＭＳ Ｐゴシック"/>
        <family val="3"/>
        <charset val="128"/>
      </rPr>
      <t>※品名・中入れ抜き㊶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</si>
  <si>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JOD498</t>
    <phoneticPr fontId="6"/>
  </si>
  <si>
    <t>コープきんき2月4回（不透明袋）¥2980②</t>
    <rPh sb="7" eb="8">
      <t>ガツ</t>
    </rPh>
    <rPh sb="9" eb="10">
      <t>カイ</t>
    </rPh>
    <rPh sb="11" eb="15">
      <t>フトウメイフクロ</t>
    </rPh>
    <phoneticPr fontId="6"/>
  </si>
  <si>
    <t>JOD499</t>
    <phoneticPr fontId="6"/>
  </si>
  <si>
    <t>ネット不良品</t>
    <rPh sb="3" eb="6">
      <t>フリョウヒン</t>
    </rPh>
    <phoneticPr fontId="6"/>
  </si>
  <si>
    <t>JOD500</t>
    <phoneticPr fontId="6"/>
  </si>
  <si>
    <t>コープきんき2月4回（不透明袋）¥2980③</t>
    <rPh sb="7" eb="8">
      <t>ガツ</t>
    </rPh>
    <rPh sb="9" eb="10">
      <t>カイ</t>
    </rPh>
    <rPh sb="11" eb="15">
      <t>フトウメイフクロ</t>
    </rPh>
    <phoneticPr fontId="6"/>
  </si>
  <si>
    <t>JOD501</t>
    <phoneticPr fontId="6"/>
  </si>
  <si>
    <t>JOD不良</t>
    <rPh sb="3" eb="5">
      <t>フリョウ</t>
    </rPh>
    <phoneticPr fontId="6"/>
  </si>
  <si>
    <t>ロイヤルステージ2月号同色2枚組④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</si>
  <si>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JOD502</t>
    <phoneticPr fontId="6"/>
  </si>
  <si>
    <t>ロイヤルステージ2月号同色2枚組⑤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</si>
  <si>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JOD返品</t>
    <rPh sb="3" eb="5">
      <t>ヘンピン</t>
    </rPh>
    <phoneticPr fontId="6"/>
  </si>
  <si>
    <t>JOD503</t>
    <phoneticPr fontId="6"/>
  </si>
  <si>
    <t>JOD504</t>
  </si>
  <si>
    <t>JOD505</t>
  </si>
  <si>
    <r>
      <t>ニッセン初夏号</t>
    </r>
    <r>
      <rPr>
        <b/>
        <sz val="11"/>
        <rFont val="ＭＳ Ｐゴシック"/>
        <family val="3"/>
        <charset val="128"/>
      </rPr>
      <t>※品名・中入れ抜き㊷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</si>
  <si>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JOD506</t>
    <phoneticPr fontId="6"/>
  </si>
  <si>
    <t>IEI交換</t>
    <rPh sb="3" eb="5">
      <t>コウカン</t>
    </rPh>
    <phoneticPr fontId="6"/>
  </si>
  <si>
    <t>JOD507</t>
    <phoneticPr fontId="6"/>
  </si>
  <si>
    <t>IEI返品</t>
    <rPh sb="3" eb="5">
      <t>ヘンピン</t>
    </rPh>
    <phoneticPr fontId="6"/>
  </si>
  <si>
    <t>追加</t>
    <rPh sb="0" eb="2">
      <t>ツイカ</t>
    </rPh>
    <phoneticPr fontId="6"/>
  </si>
  <si>
    <t>コープきんき2月4回④直送</t>
    <rPh sb="7" eb="8">
      <t>ガツ</t>
    </rPh>
    <rPh sb="9" eb="10">
      <t>カイ</t>
    </rPh>
    <rPh sb="11" eb="13">
      <t>チョクソウ</t>
    </rPh>
    <phoneticPr fontId="6"/>
  </si>
  <si>
    <t>5/13～</t>
    <phoneticPr fontId="6"/>
  </si>
  <si>
    <t>IEI使ってヨカッタ5月号（同色2枚/2色組）</t>
    <rPh sb="3" eb="4">
      <t>ツカ</t>
    </rPh>
    <rPh sb="11" eb="13">
      <t>ガツゴウ</t>
    </rPh>
    <phoneticPr fontId="6"/>
  </si>
  <si>
    <t>ロイヤルステージ5月号同色2枚組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</si>
  <si>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5/9～</t>
    <phoneticPr fontId="6"/>
  </si>
  <si>
    <t>JOD508</t>
    <phoneticPr fontId="6"/>
  </si>
  <si>
    <t>JOD509</t>
  </si>
  <si>
    <t>コープきんき2月4回⑤直送</t>
    <rPh sb="7" eb="8">
      <t>ガツ</t>
    </rPh>
    <rPh sb="9" eb="10">
      <t>カイ</t>
    </rPh>
    <rPh sb="11" eb="13">
      <t>チョクソウ</t>
    </rPh>
    <phoneticPr fontId="6"/>
  </si>
  <si>
    <t>ネット</t>
    <phoneticPr fontId="6"/>
  </si>
  <si>
    <t>JOD特別号（裏）9970</t>
    <rPh sb="3" eb="6">
      <t>トクベツゴウ</t>
    </rPh>
    <rPh sb="7" eb="8">
      <t>ウラ</t>
    </rPh>
    <phoneticPr fontId="6"/>
  </si>
  <si>
    <t>IEI交換</t>
    <rPh sb="3" eb="5">
      <t>コウカン</t>
    </rPh>
    <phoneticPr fontId="6"/>
  </si>
  <si>
    <t>JOD510</t>
    <phoneticPr fontId="6"/>
  </si>
  <si>
    <t>ネット交換</t>
    <rPh sb="3" eb="5">
      <t>コウカン</t>
    </rPh>
    <phoneticPr fontId="6"/>
  </si>
  <si>
    <t>JOD511</t>
  </si>
  <si>
    <r>
      <t>ニッセン初夏号</t>
    </r>
    <r>
      <rPr>
        <b/>
        <sz val="11"/>
        <rFont val="ＭＳ Ｐゴシック"/>
        <family val="3"/>
        <charset val="128"/>
      </rPr>
      <t>※品名・中入れ抜き㊸</t>
    </r>
    <rPh sb="4" eb="7">
      <t>ショカゴウ</t>
    </rPh>
    <rPh sb="8" eb="10">
      <t>ヒンメイ</t>
    </rPh>
    <rPh sb="11" eb="13">
      <t>ナカイ</t>
    </rPh>
    <rPh sb="14" eb="15">
      <t>ヌ</t>
    </rPh>
    <phoneticPr fontId="6"/>
  </si>
  <si>
    <t>JOD512</t>
  </si>
  <si>
    <t>JOD513</t>
    <phoneticPr fontId="6"/>
  </si>
  <si>
    <t>ディノス5月夏お悩み対策チラシ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</si>
  <si>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4/30～10/31</t>
    <phoneticPr fontId="6"/>
  </si>
  <si>
    <t>ユーコープ3月4週（不透明袋）①</t>
    <rPh sb="6" eb="7">
      <t>ガツ</t>
    </rPh>
    <rPh sb="8" eb="9">
      <t>シュウ</t>
    </rPh>
    <rPh sb="10" eb="14">
      <t>フトウメイフクロ</t>
    </rPh>
    <phoneticPr fontId="6"/>
  </si>
  <si>
    <t>JODメルシー0507</t>
    <phoneticPr fontId="6"/>
  </si>
  <si>
    <t>5/7～</t>
    <phoneticPr fontId="6"/>
  </si>
  <si>
    <t>JOD514</t>
    <phoneticPr fontId="6"/>
  </si>
  <si>
    <t>在庫確認</t>
    <rPh sb="0" eb="4">
      <t>ザイコカクニン</t>
    </rPh>
    <phoneticPr fontId="6"/>
  </si>
  <si>
    <t>JOD515</t>
    <phoneticPr fontId="6"/>
  </si>
  <si>
    <t>JOD516</t>
    <phoneticPr fontId="6"/>
  </si>
  <si>
    <t>再生</t>
    <rPh sb="0" eb="2">
      <t>サイセイ</t>
    </rPh>
    <phoneticPr fontId="6"/>
  </si>
  <si>
    <t>JOD517</t>
    <phoneticPr fontId="6"/>
  </si>
  <si>
    <t>ユーコープ3月4週（不透明袋）②</t>
    <rPh sb="6" eb="7">
      <t>ガツ</t>
    </rPh>
    <rPh sb="8" eb="9">
      <t>シュウ</t>
    </rPh>
    <rPh sb="10" eb="14">
      <t>フトウメイフクロ</t>
    </rPh>
    <phoneticPr fontId="6"/>
  </si>
  <si>
    <t>ユーコープ3月4週（不透明袋）③</t>
    <rPh sb="6" eb="7">
      <t>ガツ</t>
    </rPh>
    <rPh sb="8" eb="9">
      <t>シュウ</t>
    </rPh>
    <rPh sb="10" eb="14">
      <t>フトウメイフクロ</t>
    </rPh>
    <phoneticPr fontId="6"/>
  </si>
  <si>
    <t>JOD518</t>
    <phoneticPr fontId="6"/>
  </si>
  <si>
    <t>JOD特別号9972</t>
    <rPh sb="3" eb="6">
      <t>トクベツゴウ</t>
    </rPh>
    <phoneticPr fontId="6"/>
  </si>
  <si>
    <t>追加</t>
    <rPh sb="0" eb="2">
      <t>ツイカ</t>
    </rPh>
    <phoneticPr fontId="6"/>
  </si>
  <si>
    <t>JOD519</t>
    <phoneticPr fontId="6"/>
  </si>
  <si>
    <t>はぴねすくらぶ6月号</t>
    <rPh sb="8" eb="10">
      <t>ガツゴウ</t>
    </rPh>
    <phoneticPr fontId="6"/>
  </si>
  <si>
    <t>6/7～</t>
    <phoneticPr fontId="6"/>
  </si>
  <si>
    <t>JOD520</t>
    <phoneticPr fontId="6"/>
  </si>
  <si>
    <t>ロイヤルステージ返品</t>
    <rPh sb="8" eb="10">
      <t>ヘンピン</t>
    </rPh>
    <phoneticPr fontId="6"/>
  </si>
  <si>
    <t>JOD521</t>
    <phoneticPr fontId="6"/>
  </si>
  <si>
    <t>JOD522</t>
  </si>
  <si>
    <t>KPORT</t>
    <phoneticPr fontId="6"/>
  </si>
  <si>
    <t>JOD523</t>
    <phoneticPr fontId="6"/>
  </si>
  <si>
    <t>JOD524</t>
    <phoneticPr fontId="6"/>
  </si>
  <si>
    <t>JODアクセス7001</t>
    <phoneticPr fontId="6"/>
  </si>
  <si>
    <t>6/14～</t>
    <phoneticPr fontId="6"/>
  </si>
  <si>
    <t>JOD525</t>
  </si>
  <si>
    <t>使ってヨカッタ2月号同色2枚⑤</t>
    <rPh sb="0" eb="1">
      <t>ツカ</t>
    </rPh>
    <rPh sb="8" eb="10">
      <t>ガツゴウ</t>
    </rPh>
    <rPh sb="10" eb="12">
      <t>ドウショク</t>
    </rPh>
    <rPh sb="13" eb="14">
      <t>マイ</t>
    </rPh>
    <phoneticPr fontId="6"/>
  </si>
  <si>
    <t>使ってヨカッタ2月号2色組④</t>
    <rPh sb="0" eb="1">
      <t>ツカ</t>
    </rPh>
    <rPh sb="8" eb="10">
      <t>ガツゴウ</t>
    </rPh>
    <rPh sb="11" eb="13">
      <t>ショククミ</t>
    </rPh>
    <phoneticPr fontId="6"/>
  </si>
  <si>
    <t>くらし在庫確認　4/3</t>
    <rPh sb="3" eb="7">
      <t>ザイコカクニン</t>
    </rPh>
    <phoneticPr fontId="6"/>
  </si>
  <si>
    <t>JOD526</t>
  </si>
  <si>
    <t>JOD527</t>
  </si>
  <si>
    <t>ベルーナsample返却</t>
    <rPh sb="10" eb="12">
      <t>ヘンキャク</t>
    </rPh>
    <phoneticPr fontId="6"/>
  </si>
  <si>
    <t>JOD528</t>
    <phoneticPr fontId="6"/>
  </si>
  <si>
    <t>追加</t>
    <rPh sb="0" eb="2">
      <t>ツイカ</t>
    </rPh>
    <phoneticPr fontId="6"/>
  </si>
  <si>
    <t>JOD529</t>
    <phoneticPr fontId="6"/>
  </si>
  <si>
    <t>JOD530</t>
    <phoneticPr fontId="6"/>
  </si>
  <si>
    <t>IEIヴィヴァン6月号同梱カタログ（同色2枚/2色組）</t>
    <rPh sb="9" eb="11">
      <t>ガツゴウ</t>
    </rPh>
    <rPh sb="11" eb="13">
      <t>ドウコン</t>
    </rPh>
    <phoneticPr fontId="6"/>
  </si>
  <si>
    <t>ニッセン24秋号楽市※品名・中入れ抜き</t>
    <rPh sb="6" eb="8">
      <t>アキゴウ</t>
    </rPh>
    <rPh sb="8" eb="10">
      <t>ラクイチ</t>
    </rPh>
    <phoneticPr fontId="6"/>
  </si>
  <si>
    <r>
      <t>ニッセン24初夏号</t>
    </r>
    <r>
      <rPr>
        <b/>
        <sz val="11"/>
        <rFont val="ＭＳ Ｐゴシック"/>
        <family val="3"/>
        <charset val="128"/>
      </rPr>
      <t>※品名・中入れ抜き①</t>
    </r>
    <rPh sb="6" eb="9">
      <t>ショカゴウ</t>
    </rPh>
    <rPh sb="10" eb="12">
      <t>ヒンメイ</t>
    </rPh>
    <rPh sb="13" eb="15">
      <t>ナカイ</t>
    </rPh>
    <rPh sb="16" eb="17">
      <t>ヌ</t>
    </rPh>
    <phoneticPr fontId="6"/>
  </si>
  <si>
    <t>JOD531</t>
    <phoneticPr fontId="6"/>
  </si>
  <si>
    <t>JOD532</t>
    <phoneticPr fontId="6"/>
  </si>
  <si>
    <t>JOD返品</t>
    <rPh sb="3" eb="5">
      <t>ヘンピン</t>
    </rPh>
    <phoneticPr fontId="6"/>
  </si>
  <si>
    <t>JOD533</t>
    <phoneticPr fontId="6"/>
  </si>
  <si>
    <t>追加</t>
    <rPh sb="0" eb="2">
      <t>ツイカ</t>
    </rPh>
    <phoneticPr fontId="6"/>
  </si>
  <si>
    <r>
      <t>ニッセン24初夏号</t>
    </r>
    <r>
      <rPr>
        <b/>
        <sz val="11"/>
        <rFont val="ＭＳ Ｐゴシック"/>
        <family val="3"/>
        <charset val="128"/>
      </rPr>
      <t>※品名・中入れ抜き②</t>
    </r>
    <rPh sb="6" eb="9">
      <t>ショカゴウ</t>
    </rPh>
    <rPh sb="10" eb="12">
      <t>ヒンメイ</t>
    </rPh>
    <rPh sb="13" eb="15">
      <t>ナカイ</t>
    </rPh>
    <rPh sb="16" eb="17">
      <t>ヌ</t>
    </rPh>
    <phoneticPr fontId="6"/>
  </si>
  <si>
    <t>JOD534</t>
    <phoneticPr fontId="6"/>
  </si>
  <si>
    <t>JOD535</t>
    <phoneticPr fontId="6"/>
  </si>
  <si>
    <t>ロイヤルステージ6月号同色2枚組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</si>
  <si>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6/6～</t>
    <phoneticPr fontId="6"/>
  </si>
  <si>
    <t>サクラマチ返品予定</t>
    <rPh sb="5" eb="7">
      <t>ヘンピン</t>
    </rPh>
    <rPh sb="7" eb="9">
      <t>ヨテイ</t>
    </rPh>
    <phoneticPr fontId="2"/>
  </si>
  <si>
    <t>JOD535</t>
  </si>
  <si>
    <t>IEI交換</t>
    <rPh sb="3" eb="5">
      <t>コウカン</t>
    </rPh>
    <phoneticPr fontId="6"/>
  </si>
  <si>
    <t>ディノス5月夏お悩み対策チラシ⑩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</si>
  <si>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JOD536</t>
    <phoneticPr fontId="6"/>
  </si>
  <si>
    <t>JOD537</t>
    <phoneticPr fontId="6"/>
  </si>
  <si>
    <t>JOD538</t>
  </si>
  <si>
    <t>JOD/BEAUTY通信0528</t>
    <rPh sb="10" eb="12">
      <t>ツウシン</t>
    </rPh>
    <phoneticPr fontId="6"/>
  </si>
  <si>
    <t>JOD539</t>
  </si>
  <si>
    <t>JOD540</t>
    <phoneticPr fontId="6"/>
  </si>
  <si>
    <t>JOD特別号9500</t>
    <rPh sb="3" eb="6">
      <t>トクベツゴウ</t>
    </rPh>
    <phoneticPr fontId="6"/>
  </si>
  <si>
    <t>6/10～</t>
    <phoneticPr fontId="6"/>
  </si>
  <si>
    <t>JOD541</t>
    <phoneticPr fontId="6"/>
  </si>
  <si>
    <t>追加</t>
    <rPh sb="0" eb="2">
      <t>ツイカ</t>
    </rPh>
    <phoneticPr fontId="6"/>
  </si>
  <si>
    <t>JOD新聞折込9006</t>
    <rPh sb="3" eb="7">
      <t>シンブンオリコミ</t>
    </rPh>
    <phoneticPr fontId="6"/>
  </si>
  <si>
    <t>5/20～</t>
    <phoneticPr fontId="6"/>
  </si>
  <si>
    <t>JOD542</t>
    <phoneticPr fontId="6"/>
  </si>
  <si>
    <t>ロイヤルステージ5月号同色2枚組①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</si>
  <si>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追加</t>
    <rPh sb="0" eb="2">
      <t>ツイカ</t>
    </rPh>
    <phoneticPr fontId="6"/>
  </si>
  <si>
    <t>JOD543</t>
    <phoneticPr fontId="6"/>
  </si>
  <si>
    <t>日生協5月12号（不透明袋）東日本①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7">
      <t>ヒガシニホン</t>
    </rPh>
    <phoneticPr fontId="6"/>
  </si>
  <si>
    <r>
      <t>ニッセン24初夏号</t>
    </r>
    <r>
      <rPr>
        <b/>
        <sz val="11"/>
        <rFont val="ＭＳ Ｐゴシック"/>
        <family val="3"/>
        <charset val="128"/>
      </rPr>
      <t>※品名・中入れ抜き③</t>
    </r>
    <rPh sb="6" eb="9">
      <t>ショカゴウ</t>
    </rPh>
    <rPh sb="10" eb="12">
      <t>ヒンメイ</t>
    </rPh>
    <rPh sb="13" eb="15">
      <t>ナカイ</t>
    </rPh>
    <rPh sb="16" eb="17">
      <t>ヌ</t>
    </rPh>
    <phoneticPr fontId="6"/>
  </si>
  <si>
    <t>JOD544</t>
    <phoneticPr fontId="6"/>
  </si>
  <si>
    <t>JOD返品</t>
    <rPh sb="3" eb="5">
      <t>ヘンピン</t>
    </rPh>
    <phoneticPr fontId="6"/>
  </si>
  <si>
    <t>JOD545</t>
    <phoneticPr fontId="6"/>
  </si>
  <si>
    <t>日生協5月12号（不透明袋）西日本①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ニシ</t>
    </rPh>
    <rPh sb="15" eb="17">
      <t>ニホン</t>
    </rPh>
    <phoneticPr fontId="6"/>
  </si>
  <si>
    <t>日生協5月12号（不透明袋）東日本②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</si>
  <si>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追加</t>
    <rPh sb="0" eb="2">
      <t>ツイカ</t>
    </rPh>
    <phoneticPr fontId="6"/>
  </si>
  <si>
    <t>6/4～</t>
    <phoneticPr fontId="6"/>
  </si>
  <si>
    <t>JOD特別号9979</t>
    <rPh sb="3" eb="6">
      <t>トクベツゴウ</t>
    </rPh>
    <phoneticPr fontId="6"/>
  </si>
  <si>
    <t>5/27～</t>
    <phoneticPr fontId="6"/>
  </si>
  <si>
    <t>JOD新聞折込9010</t>
    <rPh sb="3" eb="7">
      <t>シンブンオリコミ</t>
    </rPh>
    <phoneticPr fontId="6"/>
  </si>
  <si>
    <r>
      <t>ニッセン24初夏号</t>
    </r>
    <r>
      <rPr>
        <b/>
        <sz val="11"/>
        <rFont val="ＭＳ Ｐゴシック"/>
        <family val="3"/>
        <charset val="128"/>
      </rPr>
      <t>※品名・中入れ抜き④</t>
    </r>
    <rPh sb="6" eb="9">
      <t>ショカゴウ</t>
    </rPh>
    <rPh sb="10" eb="12">
      <t>ヒンメイ</t>
    </rPh>
    <rPh sb="13" eb="15">
      <t>ナカイ</t>
    </rPh>
    <rPh sb="16" eb="17">
      <t>ヌ</t>
    </rPh>
    <phoneticPr fontId="6"/>
  </si>
  <si>
    <t>ディノス5月夏お悩み対策チラシ⑪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</si>
  <si>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JOD546</t>
    <phoneticPr fontId="6"/>
  </si>
  <si>
    <t>JOD547</t>
    <phoneticPr fontId="6"/>
  </si>
  <si>
    <t>JOD548</t>
    <phoneticPr fontId="6"/>
  </si>
  <si>
    <t>JOD549</t>
    <phoneticPr fontId="6"/>
  </si>
  <si>
    <t>6/15Ship</t>
    <phoneticPr fontId="6"/>
  </si>
  <si>
    <t>JOD550</t>
    <phoneticPr fontId="6"/>
  </si>
  <si>
    <t>JOD注残</t>
    <rPh sb="3" eb="5">
      <t>チュウザン</t>
    </rPh>
    <phoneticPr fontId="6"/>
  </si>
  <si>
    <t>ロイヤルステージ5月号同色2枚組②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</si>
  <si>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r>
      <t>ニッセン24初夏号</t>
    </r>
    <r>
      <rPr>
        <b/>
        <sz val="11"/>
        <rFont val="ＭＳ Ｐゴシック"/>
        <family val="3"/>
        <charset val="128"/>
      </rPr>
      <t>※品名・中入れ抜き⑤</t>
    </r>
    <rPh sb="6" eb="9">
      <t>ショカゴウ</t>
    </rPh>
    <rPh sb="10" eb="12">
      <t>ヒンメイ</t>
    </rPh>
    <rPh sb="13" eb="15">
      <t>ナカイ</t>
    </rPh>
    <rPh sb="16" eb="17">
      <t>ヌ</t>
    </rPh>
    <phoneticPr fontId="6"/>
  </si>
  <si>
    <t>JOD551</t>
    <phoneticPr fontId="6"/>
  </si>
  <si>
    <t>ロイヤルステージ5月号同色2枚組③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</si>
  <si>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8月下旬～</t>
    <rPh sb="1" eb="2">
      <t>ガツ</t>
    </rPh>
    <rPh sb="2" eb="4">
      <t>ゲジュン</t>
    </rPh>
    <phoneticPr fontId="6"/>
  </si>
  <si>
    <t>ユーコープ7月4週（不透明袋）</t>
    <rPh sb="6" eb="7">
      <t>ガツ</t>
    </rPh>
    <rPh sb="8" eb="9">
      <t>シュウ</t>
    </rPh>
    <rPh sb="10" eb="14">
      <t>フトウメイフクロ</t>
    </rPh>
    <phoneticPr fontId="6"/>
  </si>
  <si>
    <t>7/10～24（1～2回）</t>
    <rPh sb="11" eb="12">
      <t>カイ</t>
    </rPh>
    <phoneticPr fontId="6"/>
  </si>
  <si>
    <t>日生協5月12号（不透明袋）西日本②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ニシ</t>
    </rPh>
    <rPh sb="15" eb="17">
      <t>ニホン</t>
    </rPh>
    <phoneticPr fontId="6"/>
  </si>
  <si>
    <t>日生協5月12号（不透明袋）東日本③-2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</si>
  <si>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JOD552</t>
    <phoneticPr fontId="6"/>
  </si>
  <si>
    <t>日生協5月12号（不透明袋）東日本③-1-1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</si>
  <si>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日生協5月12号（不透明袋）東日本③-1-2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</si>
  <si>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日生協5月12号（不透明袋）西日本③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ニシ</t>
    </rPh>
    <rPh sb="15" eb="17">
      <t>ニホン</t>
    </rPh>
    <phoneticPr fontId="6"/>
  </si>
  <si>
    <t>JOD554</t>
    <phoneticPr fontId="6"/>
  </si>
  <si>
    <t>日生協5月12号（不透明袋）東日本④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</si>
  <si>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JOD555</t>
    <phoneticPr fontId="6"/>
  </si>
  <si>
    <t>日生協5月12号（不透明袋）⑤直送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5" eb="17">
      <t>チョクソウ</t>
    </rPh>
    <phoneticPr fontId="6"/>
  </si>
  <si>
    <t>日生協5月12号（不透明袋）西日本④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ニシ</t>
    </rPh>
    <rPh sb="15" eb="17">
      <t>ニホン</t>
    </rPh>
    <phoneticPr fontId="6"/>
  </si>
  <si>
    <t>ニッセン24初夏号※品名・中入れ抜き⑥</t>
  </si>
  <si>
    <t>JOD556</t>
    <phoneticPr fontId="6"/>
  </si>
  <si>
    <t>日生協5月12号（不透明袋）東日本⑤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</si>
  <si>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JOD557西濃</t>
    <rPh sb="6" eb="8">
      <t>セイノウ</t>
    </rPh>
    <phoneticPr fontId="6"/>
  </si>
  <si>
    <t>JOD557</t>
    <phoneticPr fontId="6"/>
  </si>
  <si>
    <t>JODアクセス7002</t>
    <phoneticPr fontId="6"/>
  </si>
  <si>
    <t>7/10～</t>
    <phoneticPr fontId="6"/>
  </si>
  <si>
    <t>JOD558</t>
  </si>
  <si>
    <t>日生協5月12号（不透明袋）東日本⑥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</si>
  <si>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ディノス5月夏お悩み対策チラシ⑫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</si>
  <si>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JOD559</t>
    <phoneticPr fontId="6"/>
  </si>
  <si>
    <t>6/17～</t>
    <phoneticPr fontId="6"/>
  </si>
  <si>
    <t>JOD新聞折込9018</t>
    <rPh sb="3" eb="7">
      <t>シンブンオリコミ</t>
    </rPh>
    <phoneticPr fontId="6"/>
  </si>
  <si>
    <t>日生協5月12号（不透明袋）東日本⑦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</si>
  <si>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ロイヤルステージ6月号同色2枚組①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</si>
  <si>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はぴねすくらぶ6月号①</t>
    <rPh sb="8" eb="10">
      <t>ガツゴウ</t>
    </rPh>
    <phoneticPr fontId="6"/>
  </si>
  <si>
    <t>日生協5月12号（不透明袋）東日本⑧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4" eb="15">
      <t>ヒガシ</t>
    </rPh>
    <rPh sb="15" eb="17">
      <t>ニホン</t>
    </rPh>
    <phoneticPr fontId="6"/>
  </si>
  <si>
    <t>JOD560</t>
    <phoneticPr fontId="6"/>
  </si>
  <si>
    <t>日生協5月12号（不透明袋）⑨直送</t>
    <rPh sb="0" eb="3">
      <t>ニッセイキョウ</t>
    </rPh>
    <rPh sb="4" eb="5">
      <t>ガツ</t>
    </rPh>
    <rPh sb="7" eb="8">
      <t>ゴウ</t>
    </rPh>
    <rPh sb="9" eb="12">
      <t>フトウメイ</t>
    </rPh>
    <rPh sb="12" eb="13">
      <t>フクロ</t>
    </rPh>
    <rPh sb="15" eb="17">
      <t>チョクソウ</t>
    </rPh>
    <phoneticPr fontId="6"/>
  </si>
  <si>
    <t>ロイヤルステージ6月号同色2枚組②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</si>
  <si>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ディノス5月夏お悩み対策チラシ⑬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</si>
  <si>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JOD561西濃</t>
    <rPh sb="6" eb="8">
      <t>セイノウ</t>
    </rPh>
    <phoneticPr fontId="6"/>
  </si>
  <si>
    <t>JOD561</t>
    <phoneticPr fontId="6"/>
  </si>
  <si>
    <t>ロイヤルステージ6月号同色2枚組③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</si>
  <si>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ディノス5月夏お悩み対策チラシ⑭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</si>
  <si>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JOD562</t>
    <phoneticPr fontId="6"/>
  </si>
  <si>
    <t>ディノス5月夏お悩み対策チラシ⑮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</si>
  <si>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JOD563</t>
    <phoneticPr fontId="6"/>
  </si>
  <si>
    <t>JOD564</t>
  </si>
  <si>
    <t>ロイヤルステージ6月号同色2枚組④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</si>
  <si>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JOD565</t>
    <phoneticPr fontId="6"/>
  </si>
  <si>
    <t>ディノス5月夏お悩み対策チラシ⑯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</si>
  <si>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JOD特別号9981</t>
    <rPh sb="3" eb="6">
      <t>トクベツゴウ</t>
    </rPh>
    <phoneticPr fontId="6"/>
  </si>
  <si>
    <t>7/3～</t>
    <phoneticPr fontId="6"/>
  </si>
  <si>
    <t>JOD566</t>
    <phoneticPr fontId="6"/>
  </si>
  <si>
    <t>ディノス5月夏お悩み対策チラシ⑰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</si>
  <si>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JOD567</t>
    <phoneticPr fontId="6"/>
  </si>
  <si>
    <t>ディノス返品</t>
    <rPh sb="4" eb="6">
      <t>ヘンピン</t>
    </rPh>
    <phoneticPr fontId="6"/>
  </si>
  <si>
    <t>ニッセン24初夏号※品名・中入れ抜き⑦</t>
    <phoneticPr fontId="6"/>
  </si>
  <si>
    <t>JOD568</t>
    <phoneticPr fontId="6"/>
  </si>
  <si>
    <t>Ｋ－ＰＯＲＴ</t>
    <phoneticPr fontId="6"/>
  </si>
  <si>
    <t>8/15～</t>
    <phoneticPr fontId="6"/>
  </si>
  <si>
    <t>ロイヤルステージ返品</t>
    <rPh sb="8" eb="10">
      <t>ヘンピン</t>
    </rPh>
    <phoneticPr fontId="6"/>
  </si>
  <si>
    <t>JOD569</t>
  </si>
  <si>
    <t>JOD570</t>
  </si>
  <si>
    <t>はぴねすくらぶ6月号②</t>
    <rPh sb="8" eb="10">
      <t>ガツゴウ</t>
    </rPh>
    <phoneticPr fontId="6"/>
  </si>
  <si>
    <t>ニッセン24初夏号※品名・中入れ抜き⑧</t>
    <phoneticPr fontId="6"/>
  </si>
  <si>
    <t>JOD571</t>
    <phoneticPr fontId="6"/>
  </si>
  <si>
    <t>JOD57西濃</t>
    <rPh sb="5" eb="7">
      <t>セイノウ</t>
    </rPh>
    <phoneticPr fontId="6"/>
  </si>
  <si>
    <t>JOD572</t>
    <phoneticPr fontId="6"/>
  </si>
  <si>
    <t>IEIヴィヴァン6月号同梱カタログ（同色2枚）①</t>
    <rPh sb="9" eb="11">
      <t>ガツゴウ</t>
    </rPh>
    <rPh sb="11" eb="13">
      <t>ドウコン</t>
    </rPh>
    <phoneticPr fontId="6"/>
  </si>
  <si>
    <t>IEIヴィヴァン6月号同梱カタログ（2色組）①</t>
    <rPh sb="9" eb="11">
      <t>ガツゴウ</t>
    </rPh>
    <rPh sb="11" eb="13">
      <t>ドウコン</t>
    </rPh>
    <phoneticPr fontId="6"/>
  </si>
  <si>
    <t>JOD573</t>
    <phoneticPr fontId="6"/>
  </si>
  <si>
    <t>はぴねすくらぶ6月号③</t>
    <rPh sb="8" eb="10">
      <t>ガツゴウ</t>
    </rPh>
    <phoneticPr fontId="6"/>
  </si>
  <si>
    <t>2024/5/2数伝</t>
    <rPh sb="8" eb="9">
      <t>スウ</t>
    </rPh>
    <rPh sb="9" eb="10">
      <t>デン</t>
    </rPh>
    <phoneticPr fontId="6"/>
  </si>
  <si>
    <t>2024/5/24数伝</t>
    <rPh sb="9" eb="10">
      <t>スウ</t>
    </rPh>
    <rPh sb="10" eb="11">
      <t>デン</t>
    </rPh>
    <phoneticPr fontId="6"/>
  </si>
  <si>
    <t>JOD574</t>
    <phoneticPr fontId="6"/>
  </si>
  <si>
    <t>ニッセン24初夏号※品名・中入れ抜き⑨</t>
    <phoneticPr fontId="6"/>
  </si>
  <si>
    <t>JOD575</t>
    <phoneticPr fontId="6"/>
  </si>
  <si>
    <t>ロイヤルステージ6月号同色2枚組⑤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</si>
  <si>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JOD576</t>
    <phoneticPr fontId="6"/>
  </si>
  <si>
    <t>IEI交換</t>
    <rPh sb="3" eb="5">
      <t>コウカン</t>
    </rPh>
    <phoneticPr fontId="6"/>
  </si>
  <si>
    <t>ディノス5月夏お悩み対策チラシ⑱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</si>
  <si>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JOD577</t>
    <phoneticPr fontId="6"/>
  </si>
  <si>
    <t>はぴねすくらぶ6月号④</t>
    <rPh sb="8" eb="10">
      <t>ガツゴウ</t>
    </rPh>
    <phoneticPr fontId="6"/>
  </si>
  <si>
    <t>2024/6/24数伝</t>
    <rPh sb="9" eb="10">
      <t>スウ</t>
    </rPh>
    <rPh sb="10" eb="11">
      <t>デン</t>
    </rPh>
    <phoneticPr fontId="6"/>
  </si>
  <si>
    <t>JOD578</t>
    <phoneticPr fontId="6"/>
  </si>
  <si>
    <t>JOD579</t>
  </si>
  <si>
    <t>ロイヤルステージ6月号同色2枚組⑥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</si>
  <si>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JOD580</t>
    <phoneticPr fontId="6"/>
  </si>
  <si>
    <t>JOD581</t>
  </si>
  <si>
    <t>ニッセン24初夏号※品名・中入れ抜き⑩</t>
    <phoneticPr fontId="6"/>
  </si>
  <si>
    <t>夢販</t>
    <rPh sb="0" eb="2">
      <t>ユメハン</t>
    </rPh>
    <phoneticPr fontId="6"/>
  </si>
  <si>
    <t>JOD582</t>
    <phoneticPr fontId="6"/>
  </si>
  <si>
    <t>ディノス5月夏お悩み対策チラシ⑲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</si>
  <si>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JOD583</t>
    <phoneticPr fontId="6"/>
  </si>
  <si>
    <t>はぴねすくらぶ6月号⑤</t>
    <rPh sb="8" eb="10">
      <t>ガツゴウ</t>
    </rPh>
    <phoneticPr fontId="6"/>
  </si>
  <si>
    <t>はぴねすくらぶ6月号⑥</t>
    <rPh sb="8" eb="10">
      <t>ガツゴウ</t>
    </rPh>
    <phoneticPr fontId="6"/>
  </si>
  <si>
    <t>JOD584</t>
    <phoneticPr fontId="6"/>
  </si>
  <si>
    <t>JOD585</t>
  </si>
  <si>
    <t>ユーコープ7月4週（不透明袋）①</t>
    <rPh sb="6" eb="7">
      <t>ガツ</t>
    </rPh>
    <rPh sb="8" eb="9">
      <t>シュウ</t>
    </rPh>
    <rPh sb="10" eb="14">
      <t>フトウメイフクロ</t>
    </rPh>
    <phoneticPr fontId="6"/>
  </si>
  <si>
    <t>JOD586</t>
    <phoneticPr fontId="6"/>
  </si>
  <si>
    <t>ニッセン24初夏号※品名・中入れ抜き⑪</t>
    <phoneticPr fontId="6"/>
  </si>
  <si>
    <t>ロイヤルステージ9月号同色2枚組</t>
    <rPh sb="9" eb="11">
      <t>ガツゴウ</t>
    </rPh>
    <rPh sb="11" eb="13">
      <t>ドウショク</t>
    </rPh>
    <rPh sb="14" eb="16">
      <t>マイクミ</t>
    </rPh>
    <phoneticPr fontId="6"/>
  </si>
  <si>
    <t>ロイヤルステージ8月号同色2枚組</t>
    <rPh sb="9" eb="11">
      <t>ガツゴウ</t>
    </rPh>
    <phoneticPr fontId="6"/>
  </si>
  <si>
    <t>9/12～</t>
    <phoneticPr fontId="6"/>
  </si>
  <si>
    <t>JOD587</t>
    <phoneticPr fontId="6"/>
  </si>
  <si>
    <t>JOD588</t>
  </si>
  <si>
    <t>はぴねすくらぶ6月号⑦</t>
    <rPh sb="8" eb="10">
      <t>ガツゴウ</t>
    </rPh>
    <phoneticPr fontId="6"/>
  </si>
  <si>
    <t>JOD589</t>
    <phoneticPr fontId="6"/>
  </si>
  <si>
    <t>ユーコープ7月4週（不透明袋）②</t>
    <rPh sb="6" eb="7">
      <t>ガツ</t>
    </rPh>
    <rPh sb="8" eb="9">
      <t>シュウ</t>
    </rPh>
    <rPh sb="10" eb="14">
      <t>フトウメイフクロ</t>
    </rPh>
    <phoneticPr fontId="6"/>
  </si>
  <si>
    <t>ディノス5月夏お悩み対策チラシ⑳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</si>
  <si>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ニッセン24初夏号※品名・中入れ抜き⑫</t>
    <phoneticPr fontId="6"/>
  </si>
  <si>
    <t>JOD590</t>
    <phoneticPr fontId="6"/>
  </si>
  <si>
    <t>ユーコープ7月4週（不透明袋）③</t>
    <rPh sb="6" eb="7">
      <t>ガツ</t>
    </rPh>
    <rPh sb="8" eb="9">
      <t>シュウ</t>
    </rPh>
    <rPh sb="10" eb="14">
      <t>フトウメイフクロ</t>
    </rPh>
    <phoneticPr fontId="6"/>
  </si>
  <si>
    <t>JOD591</t>
    <phoneticPr fontId="6"/>
  </si>
  <si>
    <t>ユーコープ7月4週（不透明袋）④</t>
    <rPh sb="6" eb="7">
      <t>ガツ</t>
    </rPh>
    <rPh sb="8" eb="9">
      <t>シュウ</t>
    </rPh>
    <rPh sb="10" eb="14">
      <t>フトウメイフクロ</t>
    </rPh>
    <phoneticPr fontId="6"/>
  </si>
  <si>
    <t>ロイヤルステージ6月号同色2枚組⑦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</si>
  <si>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JOD592</t>
    <phoneticPr fontId="6"/>
  </si>
  <si>
    <t>JOD593</t>
    <phoneticPr fontId="6"/>
  </si>
  <si>
    <t>JOD594</t>
  </si>
  <si>
    <t>JOD595</t>
  </si>
  <si>
    <t>はぴねすくらぶ6月号⑧</t>
    <rPh sb="8" eb="10">
      <t>ガツゴウ</t>
    </rPh>
    <phoneticPr fontId="6"/>
  </si>
  <si>
    <t>JOD596</t>
    <phoneticPr fontId="6"/>
  </si>
  <si>
    <t>JOD597西濃</t>
    <rPh sb="6" eb="8">
      <t>セイノウ</t>
    </rPh>
    <phoneticPr fontId="6"/>
  </si>
  <si>
    <t>JOD597</t>
  </si>
  <si>
    <t>JOD598</t>
  </si>
  <si>
    <t>JOD599</t>
  </si>
  <si>
    <t>JOD600</t>
    <phoneticPr fontId="6"/>
  </si>
  <si>
    <t>JOD601</t>
    <phoneticPr fontId="6"/>
  </si>
  <si>
    <t>JOD602</t>
  </si>
  <si>
    <t>はぴねすくらぶ6月号⑨</t>
    <rPh sb="8" eb="10">
      <t>ガツゴウ</t>
    </rPh>
    <phoneticPr fontId="6"/>
  </si>
  <si>
    <t>JOD603</t>
    <phoneticPr fontId="6"/>
  </si>
  <si>
    <t>JOD604</t>
  </si>
  <si>
    <t>JOD605</t>
    <phoneticPr fontId="6"/>
  </si>
  <si>
    <t>JOD606</t>
    <phoneticPr fontId="6"/>
  </si>
  <si>
    <t>JOD607</t>
  </si>
  <si>
    <t>ニッセン24初夏号※品名・中入れ抜き㉓</t>
    <phoneticPr fontId="6"/>
  </si>
  <si>
    <t>ロイヤルステージ10月号同色2枚組</t>
    <rPh sb="10" eb="12">
      <t>ガツゴウ</t>
    </rPh>
    <rPh sb="12" eb="14">
      <t>ドウショク</t>
    </rPh>
    <rPh sb="15" eb="17">
      <t>マイクミ</t>
    </rPh>
    <phoneticPr fontId="6"/>
  </si>
  <si>
    <t>10/10～11/23</t>
    <phoneticPr fontId="6"/>
  </si>
  <si>
    <t>ロイヤルステージ8月号同色2枚組①</t>
    <rPh sb="9" eb="11">
      <t>ガツゴウ</t>
    </rPh>
    <phoneticPr fontId="6"/>
  </si>
  <si>
    <t>JOD608</t>
    <phoneticPr fontId="6"/>
  </si>
  <si>
    <t>JOD609</t>
    <phoneticPr fontId="6"/>
  </si>
  <si>
    <t>ユーコープ10月3回（不透明袋）</t>
    <rPh sb="7" eb="8">
      <t>ガツ</t>
    </rPh>
    <rPh sb="9" eb="10">
      <t>カイ</t>
    </rPh>
    <rPh sb="11" eb="15">
      <t>フトウメイフクロ</t>
    </rPh>
    <phoneticPr fontId="6"/>
  </si>
  <si>
    <t>10/2～16</t>
    <phoneticPr fontId="6"/>
  </si>
  <si>
    <t>JOD610</t>
  </si>
  <si>
    <t>ニッセン24初夏号※品名・中入れ抜き㉔</t>
    <phoneticPr fontId="6"/>
  </si>
  <si>
    <t>JOD611</t>
    <phoneticPr fontId="6"/>
  </si>
  <si>
    <t>JODルリネ7004</t>
    <phoneticPr fontId="6"/>
  </si>
  <si>
    <t>JOD612</t>
  </si>
  <si>
    <t>JOD613</t>
  </si>
  <si>
    <t>JOD614</t>
  </si>
  <si>
    <t>JOD615</t>
  </si>
  <si>
    <t>ロイヤルステージ8月号同色2枚組②</t>
    <rPh sb="9" eb="11">
      <t>ガツゴウ</t>
    </rPh>
    <phoneticPr fontId="6"/>
  </si>
  <si>
    <t>はぴねすくらぶ6月号⑩</t>
    <rPh sb="8" eb="10">
      <t>ガツゴウ</t>
    </rPh>
    <phoneticPr fontId="6"/>
  </si>
  <si>
    <t>JOD616</t>
    <phoneticPr fontId="6"/>
  </si>
  <si>
    <t>JOD特別号9930（裏）</t>
    <rPh sb="3" eb="6">
      <t>トクベツゴウ</t>
    </rPh>
    <rPh sb="11" eb="12">
      <t>ウラ</t>
    </rPh>
    <phoneticPr fontId="6"/>
  </si>
  <si>
    <t>9/24～</t>
    <phoneticPr fontId="6"/>
  </si>
  <si>
    <t>JOD特別版1019</t>
    <rPh sb="3" eb="5">
      <t>トクベツ</t>
    </rPh>
    <rPh sb="5" eb="6">
      <t>バン</t>
    </rPh>
    <phoneticPr fontId="6"/>
  </si>
  <si>
    <t>JOD617</t>
    <phoneticPr fontId="6"/>
  </si>
  <si>
    <t>JOD618</t>
  </si>
  <si>
    <t>IEI交換</t>
    <rPh sb="3" eb="5">
      <t>コウカン</t>
    </rPh>
    <phoneticPr fontId="6"/>
  </si>
  <si>
    <t>ロイヤルステージ8月号同色2枚組③</t>
    <rPh sb="9" eb="11">
      <t>ガツゴウ</t>
    </rPh>
    <phoneticPr fontId="6"/>
  </si>
  <si>
    <t>JOD特別号9931</t>
    <rPh sb="3" eb="6">
      <t>トクベツゴウ</t>
    </rPh>
    <phoneticPr fontId="6"/>
  </si>
  <si>
    <t>9/30～</t>
    <phoneticPr fontId="6"/>
  </si>
  <si>
    <t>JOD619</t>
    <phoneticPr fontId="6"/>
  </si>
  <si>
    <t>JOD620</t>
  </si>
  <si>
    <t>ディノス5月夏お悩み対策チラシ㉑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</si>
  <si>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JOD621</t>
    <phoneticPr fontId="6"/>
  </si>
  <si>
    <t>11/7～12/20</t>
    <phoneticPr fontId="6"/>
  </si>
  <si>
    <t>KPORT</t>
    <phoneticPr fontId="6"/>
  </si>
  <si>
    <t>JOD622</t>
  </si>
  <si>
    <t>JOD623</t>
  </si>
  <si>
    <t>JOD624</t>
  </si>
  <si>
    <t>はぴねすくらぶ6月号⑪</t>
    <rPh sb="8" eb="10">
      <t>ガツゴウ</t>
    </rPh>
    <phoneticPr fontId="6"/>
  </si>
  <si>
    <t>JOD625</t>
    <phoneticPr fontId="6"/>
  </si>
  <si>
    <t>ニッセン24秋号楽市※品名・中入れ抜き①</t>
    <rPh sb="6" eb="8">
      <t>アキゴウ</t>
    </rPh>
    <rPh sb="8" eb="10">
      <t>ラクイチ</t>
    </rPh>
    <phoneticPr fontId="6"/>
  </si>
  <si>
    <t>JOD626</t>
    <phoneticPr fontId="6"/>
  </si>
  <si>
    <t>11/14～12/13</t>
    <phoneticPr fontId="6"/>
  </si>
  <si>
    <t>JOD新聞折込9035（表）</t>
    <rPh sb="3" eb="5">
      <t>シンブン</t>
    </rPh>
    <rPh sb="5" eb="7">
      <t>オリコミ</t>
    </rPh>
    <rPh sb="12" eb="13">
      <t>オモテ</t>
    </rPh>
    <phoneticPr fontId="6"/>
  </si>
  <si>
    <t>JOD627</t>
  </si>
  <si>
    <t>サクラマチ返品</t>
    <rPh sb="5" eb="7">
      <t>ヘンピン</t>
    </rPh>
    <phoneticPr fontId="6"/>
  </si>
  <si>
    <t>JOD628</t>
    <phoneticPr fontId="6"/>
  </si>
  <si>
    <t>JOD629</t>
    <phoneticPr fontId="6"/>
  </si>
  <si>
    <t>ニッセン24秋号楽市※品名・中入れ抜き②</t>
    <rPh sb="6" eb="8">
      <t>アキゴウ</t>
    </rPh>
    <rPh sb="8" eb="10">
      <t>ラクイチ</t>
    </rPh>
    <phoneticPr fontId="6"/>
  </si>
  <si>
    <t>JOD630</t>
    <phoneticPr fontId="6"/>
  </si>
  <si>
    <t>JOD631</t>
  </si>
  <si>
    <t>ロイヤルステージ8月号同色2枚組④</t>
    <rPh sb="9" eb="11">
      <t>ガツゴウ</t>
    </rPh>
    <phoneticPr fontId="6"/>
  </si>
  <si>
    <t>JOD新聞折込9035（表）①</t>
    <rPh sb="3" eb="5">
      <t>シンブン</t>
    </rPh>
    <rPh sb="5" eb="7">
      <t>オリコミ</t>
    </rPh>
    <rPh sb="12" eb="13">
      <t>オモテ</t>
    </rPh>
    <phoneticPr fontId="6"/>
  </si>
  <si>
    <t>2024/9/3数伝</t>
    <rPh sb="8" eb="9">
      <t>スウ</t>
    </rPh>
    <rPh sb="9" eb="10">
      <t>デン</t>
    </rPh>
    <phoneticPr fontId="6"/>
  </si>
  <si>
    <t>2024/9/26数伝</t>
    <rPh sb="9" eb="11">
      <t>スウデン</t>
    </rPh>
    <phoneticPr fontId="6"/>
  </si>
  <si>
    <t>日生協1月47号（不透明袋）</t>
    <rPh sb="0" eb="3">
      <t>ニッセイキョウ</t>
    </rPh>
    <rPh sb="4" eb="5">
      <t>ガツ</t>
    </rPh>
    <rPh sb="7" eb="8">
      <t>ゴウ</t>
    </rPh>
    <phoneticPr fontId="6"/>
  </si>
  <si>
    <t>日生協1月47号差分予測（不透明袋）</t>
    <rPh sb="0" eb="3">
      <t>ニッセイキョウ</t>
    </rPh>
    <rPh sb="4" eb="5">
      <t>ガツ</t>
    </rPh>
    <rPh sb="7" eb="8">
      <t>ゴウ</t>
    </rPh>
    <rPh sb="8" eb="12">
      <t>サブンヨソク</t>
    </rPh>
    <phoneticPr fontId="6"/>
  </si>
  <si>
    <t>点1/10、前取1/17、デリ1/28、最終2/5</t>
    <rPh sb="0" eb="1">
      <t>テン</t>
    </rPh>
    <rPh sb="6" eb="8">
      <t>マエトリ</t>
    </rPh>
    <rPh sb="20" eb="22">
      <t>サイシュウ</t>
    </rPh>
    <phoneticPr fontId="6"/>
  </si>
  <si>
    <t>ディノス5月夏お悩み対策チラシ㉒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</si>
  <si>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JOD/BEAUTY通信1028</t>
    <rPh sb="10" eb="12">
      <t>ツウシン</t>
    </rPh>
    <phoneticPr fontId="6"/>
  </si>
  <si>
    <t>10/26～</t>
    <phoneticPr fontId="6"/>
  </si>
  <si>
    <t>JOD633</t>
    <phoneticPr fontId="6"/>
  </si>
  <si>
    <t>JOD特別版1107</t>
    <rPh sb="3" eb="5">
      <t>トクベツ</t>
    </rPh>
    <rPh sb="5" eb="6">
      <t>バン</t>
    </rPh>
    <phoneticPr fontId="6"/>
  </si>
  <si>
    <t>ロイヤルステージ10月号同色2枚組①</t>
    <rPh sb="10" eb="12">
      <t>ガツゴウ</t>
    </rPh>
    <phoneticPr fontId="6"/>
  </si>
  <si>
    <t>ニッセン24秋号楽市※品名・中入れ抜き③</t>
    <rPh sb="6" eb="8">
      <t>アキゴウ</t>
    </rPh>
    <rPh sb="8" eb="10">
      <t>ラクイチ</t>
    </rPh>
    <phoneticPr fontId="6"/>
  </si>
  <si>
    <t>JOD新聞折込9035（表）②</t>
    <rPh sb="3" eb="5">
      <t>シンブン</t>
    </rPh>
    <rPh sb="5" eb="7">
      <t>オリコミ</t>
    </rPh>
    <rPh sb="12" eb="13">
      <t>オモテ</t>
    </rPh>
    <phoneticPr fontId="6"/>
  </si>
  <si>
    <t>JOD新聞折込9035（表）③</t>
    <rPh sb="3" eb="5">
      <t>シンブン</t>
    </rPh>
    <rPh sb="5" eb="7">
      <t>オリコミ</t>
    </rPh>
    <rPh sb="12" eb="13">
      <t>オモテ</t>
    </rPh>
    <phoneticPr fontId="6"/>
  </si>
  <si>
    <t>JOD新聞折込9035（表）④</t>
    <rPh sb="3" eb="5">
      <t>シンブン</t>
    </rPh>
    <rPh sb="5" eb="7">
      <t>オリコミ</t>
    </rPh>
    <rPh sb="12" eb="13">
      <t>オモテ</t>
    </rPh>
    <phoneticPr fontId="6"/>
  </si>
  <si>
    <t>ユーコープ10月3回（不透明袋）①</t>
    <rPh sb="7" eb="8">
      <t>ガツ</t>
    </rPh>
    <rPh sb="9" eb="10">
      <t>カイ</t>
    </rPh>
    <rPh sb="11" eb="15">
      <t>フトウメイフクロ</t>
    </rPh>
    <phoneticPr fontId="6"/>
  </si>
  <si>
    <t>JOD新聞折込9035（表）⑤</t>
    <rPh sb="3" eb="5">
      <t>シンブン</t>
    </rPh>
    <rPh sb="5" eb="7">
      <t>オリコミ</t>
    </rPh>
    <rPh sb="12" eb="13">
      <t>オモテ</t>
    </rPh>
    <phoneticPr fontId="6"/>
  </si>
  <si>
    <t>IEI交換</t>
    <rPh sb="3" eb="5">
      <t>コウカン</t>
    </rPh>
    <phoneticPr fontId="6"/>
  </si>
  <si>
    <t>JOD新聞折込9040（裏）</t>
    <rPh sb="3" eb="5">
      <t>シンブン</t>
    </rPh>
    <rPh sb="5" eb="7">
      <t>オリコミ</t>
    </rPh>
    <rPh sb="12" eb="13">
      <t>ウラ</t>
    </rPh>
    <phoneticPr fontId="6"/>
  </si>
  <si>
    <t>10/21～</t>
    <phoneticPr fontId="6"/>
  </si>
  <si>
    <t>K-PORT</t>
    <phoneticPr fontId="6"/>
  </si>
  <si>
    <t>はぴねすくらぶsample返却</t>
    <rPh sb="13" eb="15">
      <t>ヘンキャク</t>
    </rPh>
    <phoneticPr fontId="6"/>
  </si>
  <si>
    <t>はぴねすくらぶ8月号sample返却</t>
    <rPh sb="8" eb="10">
      <t>ガツゴウ</t>
    </rPh>
    <rPh sb="16" eb="18">
      <t>ヘンキャク</t>
    </rPh>
    <phoneticPr fontId="6"/>
  </si>
  <si>
    <t>JOD新聞折込9035（表）⑥</t>
    <rPh sb="3" eb="5">
      <t>シンブン</t>
    </rPh>
    <rPh sb="5" eb="7">
      <t>オリコミ</t>
    </rPh>
    <rPh sb="12" eb="13">
      <t>オモテ</t>
    </rPh>
    <phoneticPr fontId="6"/>
  </si>
  <si>
    <t>電話注文</t>
    <rPh sb="0" eb="4">
      <t>デンワチュウモン</t>
    </rPh>
    <phoneticPr fontId="6"/>
  </si>
  <si>
    <t>JOD新聞折込9035（表）⑦</t>
    <rPh sb="3" eb="5">
      <t>シンブン</t>
    </rPh>
    <rPh sb="5" eb="7">
      <t>オリコミ</t>
    </rPh>
    <rPh sb="12" eb="13">
      <t>オモテ</t>
    </rPh>
    <phoneticPr fontId="6"/>
  </si>
  <si>
    <t>JOD新聞折込9035（表）⑧</t>
    <rPh sb="3" eb="5">
      <t>シンブン</t>
    </rPh>
    <rPh sb="5" eb="7">
      <t>オリコミ</t>
    </rPh>
    <rPh sb="12" eb="13">
      <t>オモテ</t>
    </rPh>
    <phoneticPr fontId="6"/>
  </si>
  <si>
    <t>はぴねすくらぶ返品</t>
    <rPh sb="7" eb="9">
      <t>ヘンピン</t>
    </rPh>
    <phoneticPr fontId="2"/>
  </si>
  <si>
    <t>ユーコープ10月3回（不透明袋）②</t>
    <rPh sb="7" eb="8">
      <t>ガツ</t>
    </rPh>
    <rPh sb="9" eb="10">
      <t>カイ</t>
    </rPh>
    <rPh sb="11" eb="15">
      <t>フトウメイフクロ</t>
    </rPh>
    <phoneticPr fontId="6"/>
  </si>
  <si>
    <t>JOD特別号9934</t>
    <rPh sb="3" eb="5">
      <t>トクベツ</t>
    </rPh>
    <rPh sb="5" eb="6">
      <t>ゴウ</t>
    </rPh>
    <phoneticPr fontId="6"/>
  </si>
  <si>
    <t>JOD新聞折込9035（表）⑨</t>
    <rPh sb="3" eb="5">
      <t>シンブン</t>
    </rPh>
    <rPh sb="5" eb="7">
      <t>オリコミ</t>
    </rPh>
    <rPh sb="12" eb="13">
      <t>オモテ</t>
    </rPh>
    <phoneticPr fontId="6"/>
  </si>
  <si>
    <t>ユーコープ10月3回（不透明袋）③</t>
    <rPh sb="7" eb="8">
      <t>ガツ</t>
    </rPh>
    <rPh sb="9" eb="10">
      <t>カイ</t>
    </rPh>
    <rPh sb="11" eb="15">
      <t>フトウメイフクロ</t>
    </rPh>
    <phoneticPr fontId="6"/>
  </si>
  <si>
    <t>ロイヤルステージ10月号同色2枚組②</t>
    <rPh sb="10" eb="12">
      <t>ガツゴウ</t>
    </rPh>
    <phoneticPr fontId="6"/>
  </si>
  <si>
    <t>JOD新聞折込9035（表）⑩</t>
    <rPh sb="3" eb="5">
      <t>シンブン</t>
    </rPh>
    <rPh sb="5" eb="7">
      <t>オリコミ</t>
    </rPh>
    <rPh sb="12" eb="13">
      <t>オモテ</t>
    </rPh>
    <phoneticPr fontId="6"/>
  </si>
  <si>
    <t>ユーコープ10月3回（不透明袋）④</t>
    <rPh sb="7" eb="8">
      <t>ガツ</t>
    </rPh>
    <rPh sb="9" eb="10">
      <t>カイ</t>
    </rPh>
    <rPh sb="11" eb="15">
      <t>フトウメイフクロ</t>
    </rPh>
    <phoneticPr fontId="6"/>
  </si>
  <si>
    <t>ロイヤルステージ12月号同色2枚組</t>
    <rPh sb="10" eb="12">
      <t>ガツゴウ</t>
    </rPh>
    <rPh sb="12" eb="14">
      <t>ドウショク</t>
    </rPh>
    <rPh sb="15" eb="17">
      <t>マイクミ</t>
    </rPh>
    <phoneticPr fontId="6"/>
  </si>
  <si>
    <t>12/5～1/11</t>
    <phoneticPr fontId="6"/>
  </si>
  <si>
    <t>JOD新聞折込9035（表）⑪</t>
    <rPh sb="3" eb="5">
      <t>シンブン</t>
    </rPh>
    <rPh sb="5" eb="7">
      <t>オリコミ</t>
    </rPh>
    <rPh sb="12" eb="13">
      <t>オモテ</t>
    </rPh>
    <phoneticPr fontId="6"/>
  </si>
  <si>
    <t>ニッセン24秋号楽市※品名・中入れ抜き④</t>
    <rPh sb="6" eb="8">
      <t>アキゴウ</t>
    </rPh>
    <rPh sb="8" eb="10">
      <t>ラクイチ</t>
    </rPh>
    <phoneticPr fontId="6"/>
  </si>
  <si>
    <t>JOD新聞折込9035（表）⑫</t>
    <rPh sb="3" eb="5">
      <t>シンブン</t>
    </rPh>
    <rPh sb="5" eb="7">
      <t>オリコミ</t>
    </rPh>
    <rPh sb="12" eb="13">
      <t>オモテ</t>
    </rPh>
    <phoneticPr fontId="6"/>
  </si>
  <si>
    <t>JOD新聞折込9035（表）⑬</t>
    <rPh sb="3" eb="5">
      <t>シンブン</t>
    </rPh>
    <rPh sb="5" eb="7">
      <t>オリコミ</t>
    </rPh>
    <rPh sb="12" eb="13">
      <t>オモテ</t>
    </rPh>
    <phoneticPr fontId="6"/>
  </si>
  <si>
    <t>IEI返品</t>
    <rPh sb="3" eb="5">
      <t>ヘンピン</t>
    </rPh>
    <phoneticPr fontId="2"/>
  </si>
  <si>
    <t>再生</t>
    <rPh sb="0" eb="2">
      <t>サイセイ</t>
    </rPh>
    <phoneticPr fontId="6"/>
  </si>
  <si>
    <t>JOD新聞折込9040（裏）①</t>
    <rPh sb="3" eb="5">
      <t>シンブン</t>
    </rPh>
    <rPh sb="5" eb="7">
      <t>オリコミ</t>
    </rPh>
    <rPh sb="12" eb="13">
      <t>ウラ</t>
    </rPh>
    <phoneticPr fontId="6"/>
  </si>
  <si>
    <t>JOD新聞折込9042</t>
    <rPh sb="3" eb="5">
      <t>シンブン</t>
    </rPh>
    <rPh sb="5" eb="7">
      <t>オリコミ</t>
    </rPh>
    <phoneticPr fontId="6"/>
  </si>
  <si>
    <t>JOD新聞折込9040（裏）②</t>
    <rPh sb="3" eb="5">
      <t>シンブン</t>
    </rPh>
    <rPh sb="5" eb="7">
      <t>オリコミ</t>
    </rPh>
    <rPh sb="12" eb="13">
      <t>ウラ</t>
    </rPh>
    <phoneticPr fontId="6"/>
  </si>
  <si>
    <t>JOD新聞折込9040（裏）③</t>
    <rPh sb="3" eb="5">
      <t>シンブン</t>
    </rPh>
    <rPh sb="5" eb="7">
      <t>オリコミ</t>
    </rPh>
    <rPh sb="12" eb="13">
      <t>ウラ</t>
    </rPh>
    <phoneticPr fontId="6"/>
  </si>
  <si>
    <t>JODメルシー1126</t>
    <phoneticPr fontId="6"/>
  </si>
  <si>
    <t>11/26～</t>
    <phoneticPr fontId="6"/>
  </si>
  <si>
    <t>ユーコープ12月5回（不透明袋）</t>
    <rPh sb="7" eb="8">
      <t>ガツ</t>
    </rPh>
    <rPh sb="9" eb="10">
      <t>カイ</t>
    </rPh>
    <rPh sb="11" eb="15">
      <t>フトウメイフクロ</t>
    </rPh>
    <phoneticPr fontId="6"/>
  </si>
  <si>
    <t>12/11～30</t>
    <phoneticPr fontId="6"/>
  </si>
  <si>
    <t>ニッセン24秋号楽市※品名・中入れ抜き⑤</t>
    <rPh sb="6" eb="8">
      <t>アキゴウ</t>
    </rPh>
    <rPh sb="8" eb="10">
      <t>ラクイチ</t>
    </rPh>
    <phoneticPr fontId="6"/>
  </si>
  <si>
    <t>JOD新聞折込9040（裏）④</t>
    <rPh sb="3" eb="5">
      <t>シンブン</t>
    </rPh>
    <rPh sb="5" eb="7">
      <t>オリコミ</t>
    </rPh>
    <rPh sb="12" eb="13">
      <t>ウラ</t>
    </rPh>
    <phoneticPr fontId="6"/>
  </si>
  <si>
    <t>JOD新聞折込9040（裏）⑤</t>
    <rPh sb="3" eb="5">
      <t>シンブン</t>
    </rPh>
    <rPh sb="5" eb="7">
      <t>オリコミ</t>
    </rPh>
    <rPh sb="12" eb="13">
      <t>ウラ</t>
    </rPh>
    <phoneticPr fontId="6"/>
  </si>
  <si>
    <t>ロイヤルステージ11月号同色2枚組①</t>
    <rPh sb="10" eb="12">
      <t>ガツゴウ</t>
    </rPh>
    <rPh sb="12" eb="14">
      <t>ドウショク</t>
    </rPh>
    <rPh sb="15" eb="17">
      <t>マイクミ</t>
    </rPh>
    <phoneticPr fontId="6"/>
  </si>
  <si>
    <t>JOD特別号（裏）9936</t>
    <rPh sb="3" eb="5">
      <t>トクベツ</t>
    </rPh>
    <rPh sb="5" eb="6">
      <t>ゴウ</t>
    </rPh>
    <rPh sb="7" eb="8">
      <t>ウラ</t>
    </rPh>
    <phoneticPr fontId="6"/>
  </si>
  <si>
    <t>11/20～</t>
    <phoneticPr fontId="6"/>
  </si>
  <si>
    <t>JOD新聞折込9040（裏）⑥</t>
    <rPh sb="3" eb="5">
      <t>シンブン</t>
    </rPh>
    <rPh sb="5" eb="7">
      <t>オリコミ</t>
    </rPh>
    <rPh sb="12" eb="13">
      <t>ウラ</t>
    </rPh>
    <phoneticPr fontId="6"/>
  </si>
  <si>
    <t>JOD不良品</t>
    <rPh sb="3" eb="6">
      <t>フリョウヒン</t>
    </rPh>
    <phoneticPr fontId="2"/>
  </si>
  <si>
    <t>JOD特別号（裏）9937</t>
    <rPh sb="3" eb="5">
      <t>トクベツ</t>
    </rPh>
    <rPh sb="5" eb="6">
      <t>ゴウ</t>
    </rPh>
    <rPh sb="7" eb="8">
      <t>ウラ</t>
    </rPh>
    <phoneticPr fontId="6"/>
  </si>
  <si>
    <t>JOD新聞折込9040（裏）⑦</t>
    <rPh sb="3" eb="5">
      <t>シンブン</t>
    </rPh>
    <rPh sb="5" eb="7">
      <t>オリコミ</t>
    </rPh>
    <rPh sb="12" eb="13">
      <t>ウラ</t>
    </rPh>
    <phoneticPr fontId="6"/>
  </si>
  <si>
    <t>JOD新聞折込9040（裏）⑧</t>
    <rPh sb="3" eb="5">
      <t>シンブン</t>
    </rPh>
    <rPh sb="5" eb="7">
      <t>オリコミ</t>
    </rPh>
    <rPh sb="12" eb="13">
      <t>ウラ</t>
    </rPh>
    <phoneticPr fontId="6"/>
  </si>
  <si>
    <t>JOD新聞折込9040（裏）⑨</t>
    <rPh sb="3" eb="5">
      <t>シンブン</t>
    </rPh>
    <rPh sb="5" eb="7">
      <t>オリコミ</t>
    </rPh>
    <rPh sb="12" eb="13">
      <t>ウラ</t>
    </rPh>
    <phoneticPr fontId="6"/>
  </si>
  <si>
    <t>11/18～</t>
    <phoneticPr fontId="6"/>
  </si>
  <si>
    <t>JOD新聞折込9044（裏）</t>
    <rPh sb="3" eb="5">
      <t>シンブン</t>
    </rPh>
    <rPh sb="5" eb="7">
      <t>オリコミ</t>
    </rPh>
    <rPh sb="12" eb="13">
      <t>ウラ</t>
    </rPh>
    <phoneticPr fontId="6"/>
  </si>
  <si>
    <t>JOD新聞折込9042①</t>
    <rPh sb="3" eb="5">
      <t>シンブン</t>
    </rPh>
    <rPh sb="5" eb="7">
      <t>オリコミ</t>
    </rPh>
    <phoneticPr fontId="6"/>
  </si>
  <si>
    <t>ロイヤルステージ11月号同色2枚組②</t>
    <rPh sb="10" eb="12">
      <t>ガツゴウ</t>
    </rPh>
    <rPh sb="12" eb="14">
      <t>ドウショク</t>
    </rPh>
    <rPh sb="15" eb="17">
      <t>マイクミ</t>
    </rPh>
    <phoneticPr fontId="6"/>
  </si>
  <si>
    <t>K-PORT</t>
    <phoneticPr fontId="6"/>
  </si>
  <si>
    <t>JOD特別版1206</t>
    <rPh sb="3" eb="5">
      <t>トクベツ</t>
    </rPh>
    <rPh sb="5" eb="6">
      <t>バン</t>
    </rPh>
    <phoneticPr fontId="6"/>
  </si>
  <si>
    <t>JOD新聞折込9042②</t>
    <rPh sb="3" eb="5">
      <t>シンブン</t>
    </rPh>
    <rPh sb="5" eb="7">
      <t>オリコミ</t>
    </rPh>
    <phoneticPr fontId="6"/>
  </si>
  <si>
    <t>JOD新聞折込9042③</t>
    <rPh sb="3" eb="5">
      <t>シンブン</t>
    </rPh>
    <rPh sb="5" eb="7">
      <t>オリコミ</t>
    </rPh>
    <phoneticPr fontId="6"/>
  </si>
  <si>
    <t>JOD新聞折込9042⑤</t>
    <rPh sb="3" eb="5">
      <t>シンブン</t>
    </rPh>
    <rPh sb="5" eb="7">
      <t>オリコミ</t>
    </rPh>
    <phoneticPr fontId="6"/>
  </si>
  <si>
    <t>JOD新聞折込9042④</t>
    <rPh sb="3" eb="5">
      <t>シンブン</t>
    </rPh>
    <rPh sb="5" eb="7">
      <t>オリコミ</t>
    </rPh>
    <phoneticPr fontId="6"/>
  </si>
  <si>
    <t>JOD新聞折込9042⑥</t>
    <rPh sb="3" eb="5">
      <t>シンブン</t>
    </rPh>
    <rPh sb="5" eb="7">
      <t>オリコミ</t>
    </rPh>
    <phoneticPr fontId="6"/>
  </si>
  <si>
    <t>12/4～</t>
    <phoneticPr fontId="6"/>
  </si>
  <si>
    <t>JOD特別号（裏）9938</t>
    <rPh sb="3" eb="5">
      <t>トクベツ</t>
    </rPh>
    <rPh sb="5" eb="6">
      <t>ゴウ</t>
    </rPh>
    <rPh sb="7" eb="8">
      <t>ウラ</t>
    </rPh>
    <phoneticPr fontId="6"/>
  </si>
  <si>
    <t>JOD新聞折込9042⑦</t>
    <rPh sb="3" eb="5">
      <t>シンブン</t>
    </rPh>
    <rPh sb="5" eb="7">
      <t>オリコミ</t>
    </rPh>
    <phoneticPr fontId="6"/>
  </si>
  <si>
    <t>ロイヤルステージ11月号同色2枚組③</t>
    <rPh sb="10" eb="12">
      <t>ガツゴウ</t>
    </rPh>
    <rPh sb="12" eb="14">
      <t>ドウショク</t>
    </rPh>
    <rPh sb="15" eb="17">
      <t>マイクミ</t>
    </rPh>
    <phoneticPr fontId="6"/>
  </si>
  <si>
    <t>JOD新聞折込9042⑧</t>
    <rPh sb="3" eb="5">
      <t>シンブン</t>
    </rPh>
    <rPh sb="5" eb="7">
      <t>オリコミ</t>
    </rPh>
    <phoneticPr fontId="6"/>
  </si>
  <si>
    <t>JOD新聞折込9044（裏）①</t>
    <rPh sb="3" eb="5">
      <t>シンブン</t>
    </rPh>
    <rPh sb="5" eb="7">
      <t>オリコミ</t>
    </rPh>
    <rPh sb="12" eb="13">
      <t>ウラ</t>
    </rPh>
    <phoneticPr fontId="6"/>
  </si>
  <si>
    <t>K-PORT</t>
    <phoneticPr fontId="6"/>
  </si>
  <si>
    <t>ニッセン25初夏楽市</t>
    <rPh sb="6" eb="8">
      <t>ショカ</t>
    </rPh>
    <rPh sb="8" eb="10">
      <t>ラクイチ</t>
    </rPh>
    <phoneticPr fontId="6"/>
  </si>
  <si>
    <t>3月下旬～9月末</t>
    <rPh sb="1" eb="2">
      <t>ガツ</t>
    </rPh>
    <rPh sb="2" eb="4">
      <t>ゲジュン</t>
    </rPh>
    <rPh sb="6" eb="7">
      <t>ガツ</t>
    </rPh>
    <rPh sb="7" eb="8">
      <t>マツ</t>
    </rPh>
    <phoneticPr fontId="6"/>
  </si>
  <si>
    <t>JOD新聞折込9044（裏）②</t>
    <rPh sb="3" eb="5">
      <t>シンブン</t>
    </rPh>
    <rPh sb="5" eb="7">
      <t>オリコミ</t>
    </rPh>
    <rPh sb="12" eb="13">
      <t>ウラ</t>
    </rPh>
    <phoneticPr fontId="6"/>
  </si>
  <si>
    <t>JOD特別号（裏）9940</t>
    <rPh sb="3" eb="5">
      <t>トクベツ</t>
    </rPh>
    <rPh sb="5" eb="6">
      <t>ゴウ</t>
    </rPh>
    <rPh sb="7" eb="8">
      <t>ウラ</t>
    </rPh>
    <phoneticPr fontId="6"/>
  </si>
  <si>
    <t>12/12～</t>
    <phoneticPr fontId="6"/>
  </si>
  <si>
    <t>JOD新聞折込9044（裏）③</t>
    <rPh sb="3" eb="5">
      <t>シンブン</t>
    </rPh>
    <rPh sb="5" eb="7">
      <t>オリコミ</t>
    </rPh>
    <rPh sb="12" eb="13">
      <t>ウラ</t>
    </rPh>
    <phoneticPr fontId="6"/>
  </si>
  <si>
    <t>JOD新聞折込9044（裏）④</t>
    <rPh sb="3" eb="5">
      <t>シンブン</t>
    </rPh>
    <rPh sb="5" eb="7">
      <t>オリコミ</t>
    </rPh>
    <rPh sb="12" eb="13">
      <t>ウラ</t>
    </rPh>
    <phoneticPr fontId="6"/>
  </si>
  <si>
    <t>ディノス返品</t>
    <rPh sb="4" eb="6">
      <t>ヘンピン</t>
    </rPh>
    <phoneticPr fontId="6"/>
  </si>
  <si>
    <t>JOD新聞折込9044（裏）⑤</t>
    <rPh sb="3" eb="5">
      <t>シンブン</t>
    </rPh>
    <rPh sb="5" eb="7">
      <t>オリコミ</t>
    </rPh>
    <rPh sb="12" eb="13">
      <t>ウラ</t>
    </rPh>
    <phoneticPr fontId="6"/>
  </si>
  <si>
    <t>2/10～</t>
    <phoneticPr fontId="6"/>
  </si>
  <si>
    <t>JOD新聞折込9044（裏）⑥</t>
    <rPh sb="3" eb="5">
      <t>シンブン</t>
    </rPh>
    <rPh sb="5" eb="7">
      <t>オリコミ</t>
    </rPh>
    <rPh sb="12" eb="13">
      <t>ウラ</t>
    </rPh>
    <phoneticPr fontId="6"/>
  </si>
  <si>
    <r>
      <t>ロイヤルステージ11月号</t>
    </r>
    <r>
      <rPr>
        <b/>
        <sz val="11"/>
        <rFont val="ＭＳ Ｐゴシック"/>
        <family val="3"/>
        <charset val="128"/>
      </rPr>
      <t>ロイステ</t>
    </r>
    <r>
      <rPr>
        <sz val="11"/>
        <rFont val="ＭＳ Ｐゴシック"/>
        <family val="3"/>
        <charset val="128"/>
      </rPr>
      <t>同色2枚組</t>
    </r>
    <rPh sb="10" eb="12">
      <t>ガツゴウ</t>
    </rPh>
    <rPh sb="16" eb="18">
      <t>ドウショク</t>
    </rPh>
    <rPh sb="19" eb="21">
      <t>マイクミ</t>
    </rPh>
    <phoneticPr fontId="6"/>
  </si>
  <si>
    <r>
      <t>ロイヤルステージ11月号</t>
    </r>
    <r>
      <rPr>
        <b/>
        <sz val="11"/>
        <rFont val="ＭＳ Ｐゴシック"/>
        <family val="3"/>
        <charset val="128"/>
      </rPr>
      <t>ロイアプ</t>
    </r>
    <r>
      <rPr>
        <sz val="11"/>
        <rFont val="ＭＳ Ｐゴシック"/>
        <family val="3"/>
        <charset val="128"/>
      </rPr>
      <t>同色2枚組</t>
    </r>
    <rPh sb="10" eb="12">
      <t>ガツゴウ</t>
    </rPh>
    <rPh sb="16" eb="18">
      <t>ドウショク</t>
    </rPh>
    <rPh sb="19" eb="21">
      <t>マイクミ</t>
    </rPh>
    <phoneticPr fontId="6"/>
  </si>
  <si>
    <t>日生協3月1号差分予測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6"/>
  </si>
  <si>
    <t>日生協3月1号（不透明袋）￥2980</t>
    <rPh sb="0" eb="3">
      <t>ニッセイキョウ</t>
    </rPh>
    <rPh sb="4" eb="5">
      <t>ガツ</t>
    </rPh>
    <rPh sb="6" eb="7">
      <t>ゴウ</t>
    </rPh>
    <phoneticPr fontId="6"/>
  </si>
  <si>
    <t>点2/28、前取3/7、アバウト3/13・18、最終3/26</t>
    <rPh sb="0" eb="1">
      <t>テン</t>
    </rPh>
    <rPh sb="6" eb="8">
      <t>マエトリ</t>
    </rPh>
    <rPh sb="24" eb="26">
      <t>サイシュウ</t>
    </rPh>
    <phoneticPr fontId="6"/>
  </si>
  <si>
    <t>JOD新聞折込9044（裏）⑦</t>
    <rPh sb="3" eb="5">
      <t>シンブン</t>
    </rPh>
    <rPh sb="5" eb="7">
      <t>オリコミ</t>
    </rPh>
    <rPh sb="12" eb="13">
      <t>ウラ</t>
    </rPh>
    <phoneticPr fontId="6"/>
  </si>
  <si>
    <t>東北サンネット2月4回（不透明袋）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</si>
  <si>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2/12～26</t>
    <phoneticPr fontId="6"/>
  </si>
  <si>
    <t>JODメルシー1224</t>
    <phoneticPr fontId="6"/>
  </si>
  <si>
    <t>12/24～</t>
    <phoneticPr fontId="6"/>
  </si>
  <si>
    <t>くらし返品</t>
    <rPh sb="3" eb="5">
      <t>ヘンピン</t>
    </rPh>
    <phoneticPr fontId="6"/>
  </si>
  <si>
    <t>JOD新聞折込9044（裏）⑧</t>
    <rPh sb="3" eb="5">
      <t>シンブン</t>
    </rPh>
    <rPh sb="5" eb="7">
      <t>オリコミ</t>
    </rPh>
    <rPh sb="12" eb="13">
      <t>ウラ</t>
    </rPh>
    <phoneticPr fontId="6"/>
  </si>
  <si>
    <t>JOD新聞折込9044（裏）⑨</t>
    <rPh sb="3" eb="5">
      <t>シンブン</t>
    </rPh>
    <rPh sb="5" eb="7">
      <t>オリコミ</t>
    </rPh>
    <rPh sb="12" eb="13">
      <t>ウラ</t>
    </rPh>
    <phoneticPr fontId="6"/>
  </si>
  <si>
    <t>JOD返品</t>
    <rPh sb="3" eb="5">
      <t>ヘンピン</t>
    </rPh>
    <phoneticPr fontId="6"/>
  </si>
  <si>
    <t>JOD634</t>
    <phoneticPr fontId="6"/>
  </si>
  <si>
    <t>JODアクセス7006</t>
    <phoneticPr fontId="6"/>
  </si>
  <si>
    <t>1/15～</t>
    <phoneticPr fontId="6"/>
  </si>
  <si>
    <t>JOD635</t>
    <phoneticPr fontId="6"/>
  </si>
  <si>
    <t>JOD636</t>
    <phoneticPr fontId="6"/>
  </si>
  <si>
    <t>IEIヴィヴァン1月号同梱カタログ（同色2枚/2色組）</t>
    <rPh sb="9" eb="11">
      <t>ガツゴウ</t>
    </rPh>
    <rPh sb="11" eb="13">
      <t>ドウコン</t>
    </rPh>
    <phoneticPr fontId="6"/>
  </si>
  <si>
    <t>1/14～</t>
    <phoneticPr fontId="6"/>
  </si>
  <si>
    <t>電話注文</t>
    <rPh sb="0" eb="4">
      <t>デンワチュウモン</t>
    </rPh>
    <phoneticPr fontId="6"/>
  </si>
  <si>
    <t>JOD637</t>
    <phoneticPr fontId="6"/>
  </si>
  <si>
    <t>追加</t>
    <rPh sb="0" eb="2">
      <t>ツイカ</t>
    </rPh>
    <phoneticPr fontId="6"/>
  </si>
  <si>
    <t>JOD638</t>
    <phoneticPr fontId="6"/>
  </si>
  <si>
    <t>IEI使ってヨカッタ2月号（同色2枚/2色組）</t>
    <rPh sb="3" eb="4">
      <t>ツカ</t>
    </rPh>
    <rPh sb="11" eb="13">
      <t>ガツゴウ</t>
    </rPh>
    <rPh sb="14" eb="16">
      <t>ドウショク</t>
    </rPh>
    <rPh sb="17" eb="18">
      <t>マイ</t>
    </rPh>
    <rPh sb="20" eb="21">
      <t>ショク</t>
    </rPh>
    <rPh sb="21" eb="22">
      <t>クミ</t>
    </rPh>
    <phoneticPr fontId="6"/>
  </si>
  <si>
    <t>JOD639</t>
    <phoneticPr fontId="6"/>
  </si>
  <si>
    <t>JOD特別号9519</t>
    <rPh sb="3" eb="6">
      <t>トクベツゴウ</t>
    </rPh>
    <phoneticPr fontId="6"/>
  </si>
  <si>
    <t>JOD640</t>
  </si>
  <si>
    <t>JOD641</t>
    <phoneticPr fontId="6"/>
  </si>
  <si>
    <t>JOD642</t>
  </si>
  <si>
    <t>ニッセン24秋号楽市※品名・中入れ抜き⑥</t>
    <rPh sb="6" eb="8">
      <t>アキゴウ</t>
    </rPh>
    <rPh sb="8" eb="10">
      <t>ラクイチ</t>
    </rPh>
    <phoneticPr fontId="6"/>
  </si>
  <si>
    <t>JOD643</t>
    <phoneticPr fontId="6"/>
  </si>
  <si>
    <t>JOD返品</t>
    <rPh sb="3" eb="5">
      <t>ヘンピン</t>
    </rPh>
    <phoneticPr fontId="6"/>
  </si>
  <si>
    <t>JOD644</t>
    <phoneticPr fontId="6"/>
  </si>
  <si>
    <t>JOD645</t>
    <phoneticPr fontId="6"/>
  </si>
  <si>
    <t>点1/31、アバウト2/18、本2/18～24</t>
    <rPh sb="0" eb="1">
      <t>テン</t>
    </rPh>
    <rPh sb="15" eb="16">
      <t>ホン</t>
    </rPh>
    <phoneticPr fontId="6"/>
  </si>
  <si>
    <t>コープきんき2月4回￥2980（不透明袋）</t>
    <rPh sb="7" eb="8">
      <t>ガツ</t>
    </rPh>
    <rPh sb="9" eb="10">
      <t>カイ</t>
    </rPh>
    <rPh sb="16" eb="20">
      <t>フトウメイフクロ</t>
    </rPh>
    <phoneticPr fontId="6"/>
  </si>
  <si>
    <t>コープきんき2月4回差分予測</t>
    <rPh sb="7" eb="8">
      <t>ガツ</t>
    </rPh>
    <rPh sb="9" eb="10">
      <t>カイ</t>
    </rPh>
    <rPh sb="10" eb="14">
      <t>サブンヨソク</t>
    </rPh>
    <phoneticPr fontId="6"/>
  </si>
  <si>
    <t>JOD646</t>
  </si>
  <si>
    <t>ユーコープ12月5回（不透明袋）①</t>
    <rPh sb="7" eb="8">
      <t>ガツ</t>
    </rPh>
    <rPh sb="9" eb="10">
      <t>カイ</t>
    </rPh>
    <rPh sb="11" eb="15">
      <t>フトウメイフクロ</t>
    </rPh>
    <phoneticPr fontId="6"/>
  </si>
  <si>
    <t>JOD647</t>
    <phoneticPr fontId="6"/>
  </si>
  <si>
    <t>ロイヤルステージ12月号同色2枚組①</t>
    <rPh sb="10" eb="12">
      <t>ガツゴウ</t>
    </rPh>
    <rPh sb="12" eb="14">
      <t>ドウショク</t>
    </rPh>
    <rPh sb="15" eb="17">
      <t>マイクミ</t>
    </rPh>
    <phoneticPr fontId="6"/>
  </si>
  <si>
    <t>JOD648</t>
    <phoneticPr fontId="6"/>
  </si>
  <si>
    <t>ロイヤルステージ12月号同色2枚組②</t>
    <rPh sb="10" eb="12">
      <t>ガツゴウ</t>
    </rPh>
    <rPh sb="12" eb="14">
      <t>ドウショク</t>
    </rPh>
    <rPh sb="15" eb="17">
      <t>マイクミ</t>
    </rPh>
    <phoneticPr fontId="6"/>
  </si>
  <si>
    <t>JOD649</t>
  </si>
  <si>
    <t>JOD特別号9522</t>
    <rPh sb="3" eb="6">
      <t>トクベツゴウ</t>
    </rPh>
    <phoneticPr fontId="6"/>
  </si>
  <si>
    <t>2/7～</t>
    <phoneticPr fontId="6"/>
  </si>
  <si>
    <t>JOD650</t>
    <phoneticPr fontId="6"/>
  </si>
  <si>
    <t>ユーコープ12月5回（不透明袋）②</t>
    <rPh sb="7" eb="8">
      <t>ガツ</t>
    </rPh>
    <rPh sb="9" eb="10">
      <t>カイ</t>
    </rPh>
    <rPh sb="11" eb="15">
      <t>フトウメイフクロ</t>
    </rPh>
    <phoneticPr fontId="6"/>
  </si>
  <si>
    <t>12/23ユーコープ12月5回（不透明袋）計画数オーバー分</t>
    <rPh sb="12" eb="13">
      <t>ガツ</t>
    </rPh>
    <rPh sb="14" eb="15">
      <t>カイ</t>
    </rPh>
    <rPh sb="16" eb="20">
      <t>フトウメイフクロ</t>
    </rPh>
    <rPh sb="21" eb="24">
      <t>ケイカクスウ</t>
    </rPh>
    <rPh sb="28" eb="29">
      <t>ブン</t>
    </rPh>
    <phoneticPr fontId="6"/>
  </si>
  <si>
    <t>JOD651</t>
    <phoneticPr fontId="6"/>
  </si>
  <si>
    <t>JOD652</t>
  </si>
  <si>
    <t>IEI使ってヨカッタ3月号（同色2枚/2色組）</t>
    <rPh sb="3" eb="4">
      <t>ツカ</t>
    </rPh>
    <rPh sb="11" eb="13">
      <t>ガツゴウ</t>
    </rPh>
    <rPh sb="14" eb="16">
      <t>ドウショク</t>
    </rPh>
    <rPh sb="17" eb="18">
      <t>マイ</t>
    </rPh>
    <rPh sb="20" eb="21">
      <t>ショク</t>
    </rPh>
    <rPh sb="21" eb="22">
      <t>クミ</t>
    </rPh>
    <phoneticPr fontId="6"/>
  </si>
  <si>
    <t>3/10～</t>
    <phoneticPr fontId="6"/>
  </si>
  <si>
    <t>JOD653</t>
    <phoneticPr fontId="6"/>
  </si>
  <si>
    <t>JOD654</t>
    <phoneticPr fontId="6"/>
  </si>
  <si>
    <t>ロイヤルステージ12月号同色2枚組③</t>
    <rPh sb="10" eb="12">
      <t>ガツゴウ</t>
    </rPh>
    <rPh sb="12" eb="14">
      <t>ドウショク</t>
    </rPh>
    <rPh sb="15" eb="17">
      <t>マイクミ</t>
    </rPh>
    <phoneticPr fontId="6"/>
  </si>
  <si>
    <t>JOD655</t>
    <phoneticPr fontId="6"/>
  </si>
  <si>
    <t>ロイヤルステージ12月号同色2枚組④</t>
    <rPh sb="10" eb="12">
      <t>ガツゴウ</t>
    </rPh>
    <rPh sb="12" eb="14">
      <t>ドウショク</t>
    </rPh>
    <rPh sb="15" eb="17">
      <t>マイクミ</t>
    </rPh>
    <phoneticPr fontId="6"/>
  </si>
  <si>
    <t>追加</t>
    <rPh sb="0" eb="2">
      <t>ツイカ</t>
    </rPh>
    <phoneticPr fontId="6"/>
  </si>
  <si>
    <t>JOD656</t>
    <phoneticPr fontId="6"/>
  </si>
  <si>
    <t>JOD657</t>
  </si>
  <si>
    <t>日生協1月47号（不透明袋）①</t>
    <phoneticPr fontId="6"/>
  </si>
  <si>
    <t>JOD658</t>
    <phoneticPr fontId="6"/>
  </si>
  <si>
    <t>JOD特別号9944(表)</t>
    <rPh sb="3" eb="6">
      <t>トクベツゴウ</t>
    </rPh>
    <rPh sb="11" eb="12">
      <t>オモテ</t>
    </rPh>
    <phoneticPr fontId="6"/>
  </si>
  <si>
    <t>JOD659</t>
    <phoneticPr fontId="6"/>
  </si>
  <si>
    <t>JOD不良</t>
    <rPh sb="3" eb="5">
      <t>フリョウ</t>
    </rPh>
    <phoneticPr fontId="6"/>
  </si>
  <si>
    <t>JOD660</t>
    <phoneticPr fontId="6"/>
  </si>
  <si>
    <t>ロイヤルステージ12月号同色2枚組⑤</t>
    <rPh sb="10" eb="12">
      <t>ガツゴウ</t>
    </rPh>
    <rPh sb="12" eb="14">
      <t>ドウショク</t>
    </rPh>
    <rPh sb="15" eb="17">
      <t>マイクミ</t>
    </rPh>
    <phoneticPr fontId="6"/>
  </si>
  <si>
    <t>JOD661</t>
  </si>
  <si>
    <t>JOD662</t>
  </si>
  <si>
    <t>東北サンネット4月2回（不透明袋）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</si>
  <si>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3/26～4/9</t>
    <phoneticPr fontId="6"/>
  </si>
  <si>
    <t>ユーコープ3月4回（不透明袋）</t>
    <rPh sb="6" eb="7">
      <t>ガツ</t>
    </rPh>
    <rPh sb="8" eb="9">
      <t>カイ</t>
    </rPh>
    <rPh sb="10" eb="14">
      <t>フトウメイフクロ</t>
    </rPh>
    <phoneticPr fontId="6"/>
  </si>
  <si>
    <t>3/12～26</t>
    <phoneticPr fontId="6"/>
  </si>
  <si>
    <t>JOD663</t>
  </si>
  <si>
    <t>日生協1月47号（不透明袋）②</t>
    <phoneticPr fontId="6"/>
  </si>
  <si>
    <t>ニッセン24秋号楽市※品名・中入れ抜き⑦</t>
    <rPh sb="6" eb="8">
      <t>アキゴウ</t>
    </rPh>
    <rPh sb="8" eb="10">
      <t>ラクイチ</t>
    </rPh>
    <phoneticPr fontId="6"/>
  </si>
  <si>
    <t>JOD664</t>
    <phoneticPr fontId="6"/>
  </si>
  <si>
    <t>JOD新聞折込9060（表）</t>
    <rPh sb="3" eb="5">
      <t>シンブン</t>
    </rPh>
    <rPh sb="5" eb="7">
      <t>オリコミ</t>
    </rPh>
    <rPh sb="12" eb="13">
      <t>オモテ</t>
    </rPh>
    <phoneticPr fontId="6"/>
  </si>
  <si>
    <t>2/3～</t>
    <phoneticPr fontId="6"/>
  </si>
  <si>
    <t>JOD665</t>
  </si>
  <si>
    <t>IEIヴィヴァン1月号同梱カタログ2色組①</t>
    <rPh sb="9" eb="11">
      <t>ガツゴウ</t>
    </rPh>
    <rPh sb="11" eb="13">
      <t>ドウコン</t>
    </rPh>
    <rPh sb="18" eb="20">
      <t>ショクグミ</t>
    </rPh>
    <phoneticPr fontId="6"/>
  </si>
  <si>
    <t>IEIヴィヴァン1月号同梱カタログ同色2枚組①</t>
    <rPh sb="9" eb="11">
      <t>ガツゴウ</t>
    </rPh>
    <rPh sb="11" eb="13">
      <t>ドウコン</t>
    </rPh>
    <rPh sb="17" eb="19">
      <t>ドウショク</t>
    </rPh>
    <rPh sb="20" eb="22">
      <t>マイグミ</t>
    </rPh>
    <phoneticPr fontId="6"/>
  </si>
  <si>
    <t>JOD666</t>
    <phoneticPr fontId="6"/>
  </si>
  <si>
    <t>再生</t>
    <rPh sb="0" eb="2">
      <t>サイセイ</t>
    </rPh>
    <phoneticPr fontId="6"/>
  </si>
  <si>
    <t>IEIヴィヴァン1月号同梱カタログ2色組②</t>
    <rPh sb="9" eb="11">
      <t>ガツゴウ</t>
    </rPh>
    <rPh sb="11" eb="13">
      <t>ドウコン</t>
    </rPh>
    <rPh sb="18" eb="20">
      <t>ショクグミ</t>
    </rPh>
    <phoneticPr fontId="6"/>
  </si>
  <si>
    <t>IEIヴィヴァン1月号同梱カタログ同色2枚組②</t>
    <rPh sb="9" eb="11">
      <t>ガツゴウ</t>
    </rPh>
    <rPh sb="11" eb="13">
      <t>ドウコン</t>
    </rPh>
    <rPh sb="17" eb="19">
      <t>ドウショク</t>
    </rPh>
    <rPh sb="20" eb="22">
      <t>マイグミ</t>
    </rPh>
    <phoneticPr fontId="6"/>
  </si>
  <si>
    <t>JOD667</t>
  </si>
  <si>
    <t>ユーコープ3月4回（不透明袋）差分予測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</si>
  <si>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JOD668</t>
    <phoneticPr fontId="6"/>
  </si>
  <si>
    <t>JOD669</t>
    <phoneticPr fontId="6"/>
  </si>
  <si>
    <t>JOD670</t>
    <phoneticPr fontId="6"/>
  </si>
  <si>
    <t>JOD671</t>
    <phoneticPr fontId="6"/>
  </si>
  <si>
    <t>日生協1月47号（不透明袋）③</t>
    <phoneticPr fontId="6"/>
  </si>
  <si>
    <t>K-PORT</t>
    <phoneticPr fontId="6"/>
  </si>
  <si>
    <t>コープきんき2月4回￥2980（不透明袋）①</t>
    <rPh sb="7" eb="8">
      <t>ガツ</t>
    </rPh>
    <rPh sb="9" eb="10">
      <t>カイ</t>
    </rPh>
    <rPh sb="16" eb="20">
      <t>フトウメイフクロ</t>
    </rPh>
    <phoneticPr fontId="6"/>
  </si>
  <si>
    <t>JOD新聞折込9060（表）①</t>
    <rPh sb="3" eb="5">
      <t>シンブン</t>
    </rPh>
    <rPh sb="5" eb="7">
      <t>オリコミ</t>
    </rPh>
    <rPh sb="12" eb="13">
      <t>オモテ</t>
    </rPh>
    <phoneticPr fontId="6"/>
  </si>
  <si>
    <t>JOD新聞折込9060（表）②</t>
    <rPh sb="3" eb="5">
      <t>シンブン</t>
    </rPh>
    <rPh sb="5" eb="7">
      <t>オリコミ</t>
    </rPh>
    <rPh sb="12" eb="13">
      <t>オモテ</t>
    </rPh>
    <phoneticPr fontId="6"/>
  </si>
  <si>
    <t>IEI使ってヨカッタ4月号（同色2枚/2色組）</t>
    <rPh sb="3" eb="4">
      <t>ツカ</t>
    </rPh>
    <rPh sb="11" eb="13">
      <t>ガツゴウ</t>
    </rPh>
    <rPh sb="14" eb="16">
      <t>ドウショク</t>
    </rPh>
    <rPh sb="17" eb="18">
      <t>マイ</t>
    </rPh>
    <rPh sb="20" eb="21">
      <t>ショク</t>
    </rPh>
    <rPh sb="21" eb="22">
      <t>クミ</t>
    </rPh>
    <phoneticPr fontId="6"/>
  </si>
  <si>
    <t>JOD新聞折込9060（表）③</t>
    <rPh sb="3" eb="5">
      <t>シンブン</t>
    </rPh>
    <rPh sb="5" eb="7">
      <t>オリコミ</t>
    </rPh>
    <rPh sb="12" eb="13">
      <t>オモテ</t>
    </rPh>
    <phoneticPr fontId="6"/>
  </si>
  <si>
    <t>急ぎ分</t>
    <rPh sb="0" eb="1">
      <t>イソ</t>
    </rPh>
    <rPh sb="2" eb="3">
      <t>ブン</t>
    </rPh>
    <phoneticPr fontId="2"/>
  </si>
  <si>
    <t>JOD新聞折込9060（表）④</t>
    <rPh sb="3" eb="5">
      <t>シンブン</t>
    </rPh>
    <rPh sb="5" eb="7">
      <t>オリコミ</t>
    </rPh>
    <rPh sb="12" eb="13">
      <t>オモテ</t>
    </rPh>
    <phoneticPr fontId="6"/>
  </si>
  <si>
    <t>JOD新聞折込9060（表）⑤</t>
    <rPh sb="3" eb="5">
      <t>シンブン</t>
    </rPh>
    <rPh sb="5" eb="7">
      <t>オリコミ</t>
    </rPh>
    <rPh sb="12" eb="13">
      <t>オモテ</t>
    </rPh>
    <phoneticPr fontId="6"/>
  </si>
  <si>
    <t>JOD新聞折込9060（表）⑥</t>
    <rPh sb="3" eb="5">
      <t>シンブン</t>
    </rPh>
    <rPh sb="5" eb="7">
      <t>オリコミ</t>
    </rPh>
    <rPh sb="12" eb="13">
      <t>オモテ</t>
    </rPh>
    <phoneticPr fontId="6"/>
  </si>
  <si>
    <t>ニッセン25初夏楽市①</t>
    <rPh sb="6" eb="8">
      <t>ショカ</t>
    </rPh>
    <rPh sb="8" eb="10">
      <t>ラクイチ</t>
    </rPh>
    <phoneticPr fontId="6"/>
  </si>
  <si>
    <t>JOD新聞折込9060（表）⑦</t>
    <rPh sb="3" eb="5">
      <t>シンブン</t>
    </rPh>
    <rPh sb="5" eb="7">
      <t>オリコミ</t>
    </rPh>
    <rPh sb="12" eb="13">
      <t>オモテ</t>
    </rPh>
    <phoneticPr fontId="6"/>
  </si>
  <si>
    <t>夢販</t>
    <rPh sb="0" eb="2">
      <t>ユメハン</t>
    </rPh>
    <phoneticPr fontId="6"/>
  </si>
  <si>
    <t>ロイヤルステージ12月号同色2枚組⑥</t>
    <rPh sb="10" eb="12">
      <t>ガツゴウ</t>
    </rPh>
    <rPh sb="12" eb="14">
      <t>ドウショク</t>
    </rPh>
    <rPh sb="15" eb="17">
      <t>マイクミ</t>
    </rPh>
    <phoneticPr fontId="6"/>
  </si>
  <si>
    <t>日生協5月11号（不透明袋）￥2980</t>
    <rPh sb="0" eb="3">
      <t>ニッセイキョウ</t>
    </rPh>
    <rPh sb="4" eb="5">
      <t>ガツ</t>
    </rPh>
    <rPh sb="7" eb="8">
      <t>ゴウ</t>
    </rPh>
    <phoneticPr fontId="6"/>
  </si>
  <si>
    <t>点5/9、前取5/16、アバウト5/20・27、最終6/4</t>
    <rPh sb="0" eb="1">
      <t>テン</t>
    </rPh>
    <rPh sb="5" eb="7">
      <t>マエトリ</t>
    </rPh>
    <rPh sb="24" eb="26">
      <t>サイシュウ</t>
    </rPh>
    <phoneticPr fontId="6"/>
  </si>
  <si>
    <t>日生協5月11号差分予測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6"/>
  </si>
  <si>
    <t>JOD新聞折込9060（表）⑧</t>
    <rPh sb="3" eb="5">
      <t>シンブン</t>
    </rPh>
    <rPh sb="5" eb="7">
      <t>オリコミ</t>
    </rPh>
    <rPh sb="12" eb="13">
      <t>オモテ</t>
    </rPh>
    <phoneticPr fontId="6"/>
  </si>
  <si>
    <t>JOD新聞折込9060（表）⑨</t>
    <rPh sb="3" eb="5">
      <t>シンブン</t>
    </rPh>
    <rPh sb="5" eb="7">
      <t>オリコミ</t>
    </rPh>
    <rPh sb="12" eb="13">
      <t>オモテ</t>
    </rPh>
    <phoneticPr fontId="6"/>
  </si>
  <si>
    <t>JOD新聞折込9060（表）⑩</t>
    <rPh sb="3" eb="5">
      <t>シンブン</t>
    </rPh>
    <rPh sb="5" eb="7">
      <t>オリコミ</t>
    </rPh>
    <rPh sb="12" eb="13">
      <t>オモテ</t>
    </rPh>
    <phoneticPr fontId="6"/>
  </si>
  <si>
    <t>追加</t>
    <rPh sb="0" eb="2">
      <t>ツイカ</t>
    </rPh>
    <phoneticPr fontId="6"/>
  </si>
  <si>
    <t>コープきんき2月4回￥2980（不透明袋）②</t>
    <rPh sb="7" eb="8">
      <t>ガツ</t>
    </rPh>
    <rPh sb="9" eb="10">
      <t>カイ</t>
    </rPh>
    <rPh sb="16" eb="20">
      <t>フトウメイフクロ</t>
    </rPh>
    <phoneticPr fontId="6"/>
  </si>
  <si>
    <t>IEI使ってヨカッタ2月号（2色組）①</t>
    <rPh sb="3" eb="4">
      <t>ツカ</t>
    </rPh>
    <rPh sb="11" eb="13">
      <t>ガツゴウ</t>
    </rPh>
    <rPh sb="15" eb="16">
      <t>ショク</t>
    </rPh>
    <rPh sb="16" eb="17">
      <t>クミ</t>
    </rPh>
    <phoneticPr fontId="6"/>
  </si>
  <si>
    <t>IEI使ってヨカッタ2月号（同色2枚）①</t>
    <rPh sb="3" eb="4">
      <t>ツカ</t>
    </rPh>
    <rPh sb="11" eb="13">
      <t>ガツゴウ</t>
    </rPh>
    <rPh sb="14" eb="16">
      <t>ドウショク</t>
    </rPh>
    <rPh sb="17" eb="18">
      <t>マイ</t>
    </rPh>
    <phoneticPr fontId="6"/>
  </si>
  <si>
    <t>東北サンネット2月4回（不透明袋）①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</si>
  <si>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再生</t>
    <rPh sb="0" eb="2">
      <t>サイセイ</t>
    </rPh>
    <phoneticPr fontId="6"/>
  </si>
  <si>
    <t>東北サンネット2月4回（不透明袋）②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</si>
  <si>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JOD新聞折込9060（表）⑪</t>
    <rPh sb="3" eb="5">
      <t>シンブン</t>
    </rPh>
    <rPh sb="5" eb="7">
      <t>オリコミ</t>
    </rPh>
    <rPh sb="12" eb="13">
      <t>オモテ</t>
    </rPh>
    <phoneticPr fontId="6"/>
  </si>
  <si>
    <t>コープきんき2月4回￥2980（不透明袋）③</t>
    <rPh sb="7" eb="8">
      <t>ガツ</t>
    </rPh>
    <rPh sb="9" eb="10">
      <t>カイ</t>
    </rPh>
    <rPh sb="16" eb="20">
      <t>フトウメイフクロ</t>
    </rPh>
    <phoneticPr fontId="6"/>
  </si>
  <si>
    <t>JOD新聞折込9060（表）⑫</t>
    <rPh sb="3" eb="5">
      <t>シンブン</t>
    </rPh>
    <rPh sb="5" eb="7">
      <t>オリコミ</t>
    </rPh>
    <rPh sb="12" eb="13">
      <t>オモテ</t>
    </rPh>
    <phoneticPr fontId="6"/>
  </si>
  <si>
    <t>東北サンネット2月4回（不透明袋）③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</si>
  <si>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コープきんき2月4回￥2980（不透明袋）④</t>
    <rPh sb="7" eb="8">
      <t>ガツ</t>
    </rPh>
    <rPh sb="9" eb="10">
      <t>カイ</t>
    </rPh>
    <rPh sb="16" eb="20">
      <t>フトウメイフクロ</t>
    </rPh>
    <phoneticPr fontId="6"/>
  </si>
  <si>
    <t>JOD新聞折込9060（表）⑬</t>
    <rPh sb="3" eb="5">
      <t>シンブン</t>
    </rPh>
    <rPh sb="5" eb="7">
      <t>オリコミ</t>
    </rPh>
    <rPh sb="12" eb="13">
      <t>オモテ</t>
    </rPh>
    <phoneticPr fontId="6"/>
  </si>
  <si>
    <t>2/28ship</t>
    <phoneticPr fontId="6"/>
  </si>
  <si>
    <t>3/15ship</t>
    <phoneticPr fontId="6"/>
  </si>
  <si>
    <t>JOD新聞折込9060（表）⑭</t>
    <rPh sb="3" eb="5">
      <t>シンブン</t>
    </rPh>
    <rPh sb="5" eb="7">
      <t>オリコミ</t>
    </rPh>
    <rPh sb="12" eb="13">
      <t>オモテ</t>
    </rPh>
    <phoneticPr fontId="6"/>
  </si>
  <si>
    <t>JOD新聞折込9060（表）⑮</t>
    <rPh sb="3" eb="5">
      <t>シンブン</t>
    </rPh>
    <rPh sb="5" eb="7">
      <t>オリコミ</t>
    </rPh>
    <rPh sb="12" eb="13">
      <t>オモテ</t>
    </rPh>
    <phoneticPr fontId="6"/>
  </si>
  <si>
    <t>日生協3月1号（不透明袋）￥2980東日本①</t>
    <rPh sb="0" eb="3">
      <t>ニッセイキョウ</t>
    </rPh>
    <rPh sb="4" eb="5">
      <t>ガツ</t>
    </rPh>
    <rPh sb="6" eb="7">
      <t>ゴウ</t>
    </rPh>
    <rPh sb="18" eb="21">
      <t>ヒガシニホン</t>
    </rPh>
    <phoneticPr fontId="6"/>
  </si>
  <si>
    <t>日生協3月1号（不透明袋）￥2980西日本①</t>
    <rPh sb="0" eb="3">
      <t>ニッセイキョウ</t>
    </rPh>
    <rPh sb="4" eb="5">
      <t>ガツ</t>
    </rPh>
    <rPh sb="6" eb="7">
      <t>ゴウ</t>
    </rPh>
    <rPh sb="18" eb="19">
      <t>ニシ</t>
    </rPh>
    <rPh sb="19" eb="21">
      <t>ニホン</t>
    </rPh>
    <phoneticPr fontId="6"/>
  </si>
  <si>
    <t>JOD新聞折込9060（表）⑯</t>
    <rPh sb="3" eb="5">
      <t>シンブン</t>
    </rPh>
    <rPh sb="5" eb="7">
      <t>オリコミ</t>
    </rPh>
    <rPh sb="12" eb="13">
      <t>オモテ</t>
    </rPh>
    <phoneticPr fontId="6"/>
  </si>
  <si>
    <t>JOD新聞折込9060（表）⑰</t>
    <rPh sb="3" eb="5">
      <t>シンブン</t>
    </rPh>
    <rPh sb="5" eb="7">
      <t>オリコミ</t>
    </rPh>
    <rPh sb="12" eb="13">
      <t>オモテ</t>
    </rPh>
    <phoneticPr fontId="6"/>
  </si>
  <si>
    <t>JOD新聞折込9060（表）⑱</t>
    <rPh sb="3" eb="5">
      <t>シンブン</t>
    </rPh>
    <rPh sb="5" eb="7">
      <t>オリコミ</t>
    </rPh>
    <rPh sb="12" eb="13">
      <t>オモテ</t>
    </rPh>
    <phoneticPr fontId="6"/>
  </si>
  <si>
    <t>IEI使ってヨカッタ3月号2色組①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</si>
  <si>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IEI使ってヨカッタ3月号同色2枚①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</si>
  <si>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ロイヤルステージ12月号同色2枚組⑦</t>
    <rPh sb="10" eb="12">
      <t>ガツゴウ</t>
    </rPh>
    <rPh sb="12" eb="14">
      <t>ドウショク</t>
    </rPh>
    <rPh sb="15" eb="17">
      <t>マイクミ</t>
    </rPh>
    <phoneticPr fontId="6"/>
  </si>
  <si>
    <t>JOD新聞折込9060（表）⑲</t>
    <rPh sb="3" eb="5">
      <t>シンブン</t>
    </rPh>
    <rPh sb="5" eb="7">
      <t>オリコミ</t>
    </rPh>
    <rPh sb="12" eb="13">
      <t>オモテ</t>
    </rPh>
    <phoneticPr fontId="6"/>
  </si>
  <si>
    <t>ロイヤルステージ5月号同色2枚組</t>
    <rPh sb="9" eb="11">
      <t>ガツゴウ</t>
    </rPh>
    <rPh sb="11" eb="13">
      <t>ドウショク</t>
    </rPh>
    <rPh sb="14" eb="16">
      <t>マイクミ</t>
    </rPh>
    <phoneticPr fontId="6"/>
  </si>
  <si>
    <t>5/8～6/22</t>
    <phoneticPr fontId="6"/>
  </si>
  <si>
    <t>JOD新聞折込9060（表）⑳</t>
    <rPh sb="3" eb="5">
      <t>シンブン</t>
    </rPh>
    <rPh sb="5" eb="7">
      <t>オリコミ</t>
    </rPh>
    <rPh sb="12" eb="13">
      <t>オモテ</t>
    </rPh>
    <phoneticPr fontId="6"/>
  </si>
  <si>
    <t>日生協3月1号（不透明袋）￥2980東日本②</t>
    <rPh sb="0" eb="3">
      <t>ニッセイキョウ</t>
    </rPh>
    <rPh sb="4" eb="5">
      <t>ガツ</t>
    </rPh>
    <rPh sb="6" eb="7">
      <t>ゴウ</t>
    </rPh>
    <rPh sb="18" eb="21">
      <t>ヒガシニホン</t>
    </rPh>
    <phoneticPr fontId="6"/>
  </si>
  <si>
    <t>JODプリマナ7278</t>
    <phoneticPr fontId="6"/>
  </si>
  <si>
    <t>4/4～</t>
    <phoneticPr fontId="6"/>
  </si>
  <si>
    <t>JOD新聞折込9060（表）㉑</t>
    <rPh sb="3" eb="5">
      <t>シンブン</t>
    </rPh>
    <rPh sb="5" eb="7">
      <t>オリコミ</t>
    </rPh>
    <rPh sb="12" eb="13">
      <t>オモテ</t>
    </rPh>
    <phoneticPr fontId="6"/>
  </si>
  <si>
    <t>ロイヤルステージ12月号同色2枚組⑧</t>
    <rPh sb="10" eb="12">
      <t>ガツゴウ</t>
    </rPh>
    <rPh sb="12" eb="14">
      <t>ドウショク</t>
    </rPh>
    <rPh sb="15" eb="17">
      <t>マイクミ</t>
    </rPh>
    <phoneticPr fontId="6"/>
  </si>
  <si>
    <t>ユーコープ3月4回（不透明袋）①</t>
    <rPh sb="6" eb="7">
      <t>ガツ</t>
    </rPh>
    <rPh sb="8" eb="9">
      <t>カイ</t>
    </rPh>
    <rPh sb="10" eb="14">
      <t>フトウメイフクロ</t>
    </rPh>
    <phoneticPr fontId="6"/>
  </si>
  <si>
    <t>日生協3月1号（不透明袋）￥2980西日本②</t>
    <rPh sb="0" eb="3">
      <t>ニッセイキョウ</t>
    </rPh>
    <rPh sb="4" eb="5">
      <t>ガツ</t>
    </rPh>
    <rPh sb="6" eb="7">
      <t>ゴウ</t>
    </rPh>
    <rPh sb="18" eb="19">
      <t>ニシ</t>
    </rPh>
    <rPh sb="19" eb="21">
      <t>ニホン</t>
    </rPh>
    <phoneticPr fontId="6"/>
  </si>
  <si>
    <t>JOD新聞折込9060（表）㉒</t>
    <rPh sb="3" eb="5">
      <t>シンブン</t>
    </rPh>
    <rPh sb="5" eb="7">
      <t>オリコミ</t>
    </rPh>
    <rPh sb="12" eb="13">
      <t>オモテ</t>
    </rPh>
    <phoneticPr fontId="6"/>
  </si>
  <si>
    <t>JOD新聞折込9060（表）㉓</t>
    <rPh sb="3" eb="5">
      <t>シンブン</t>
    </rPh>
    <rPh sb="5" eb="7">
      <t>オリコミ</t>
    </rPh>
    <rPh sb="12" eb="13">
      <t>オモテ</t>
    </rPh>
    <phoneticPr fontId="6"/>
  </si>
  <si>
    <t>JOD新聞折込9060（表）㉔</t>
    <rPh sb="3" eb="5">
      <t>シンブン</t>
    </rPh>
    <rPh sb="5" eb="7">
      <t>オリコミ</t>
    </rPh>
    <rPh sb="12" eb="13">
      <t>オモテ</t>
    </rPh>
    <phoneticPr fontId="6"/>
  </si>
  <si>
    <t>IEI使ってヨカッタ3月号2色組②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</si>
  <si>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IEI使ってヨカッタ3月号同色2枚②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</si>
  <si>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ユーコープ3月4回（不透明袋）②</t>
    <rPh sb="6" eb="7">
      <t>ガツ</t>
    </rPh>
    <rPh sb="8" eb="9">
      <t>カイ</t>
    </rPh>
    <rPh sb="10" eb="14">
      <t>フトウメイフクロ</t>
    </rPh>
    <phoneticPr fontId="6"/>
  </si>
  <si>
    <t>JOD新聞折込9060（表）㉕</t>
    <rPh sb="3" eb="5">
      <t>シンブン</t>
    </rPh>
    <rPh sb="5" eb="7">
      <t>オリコミ</t>
    </rPh>
    <rPh sb="12" eb="13">
      <t>オモテ</t>
    </rPh>
    <phoneticPr fontId="6"/>
  </si>
  <si>
    <t>ユーコープ3月4回（不透明袋）③</t>
    <rPh sb="6" eb="7">
      <t>ガツ</t>
    </rPh>
    <rPh sb="8" eb="9">
      <t>カイ</t>
    </rPh>
    <rPh sb="10" eb="14">
      <t>フトウメイフクロ</t>
    </rPh>
    <phoneticPr fontId="6"/>
  </si>
  <si>
    <t>JOD新聞折込9060（表）㉖</t>
    <rPh sb="3" eb="5">
      <t>シンブン</t>
    </rPh>
    <rPh sb="5" eb="7">
      <t>オリコミ</t>
    </rPh>
    <rPh sb="12" eb="13">
      <t>オモテ</t>
    </rPh>
    <phoneticPr fontId="6"/>
  </si>
  <si>
    <t>西夢</t>
    <rPh sb="0" eb="2">
      <t>ニシユメ</t>
    </rPh>
    <phoneticPr fontId="6"/>
  </si>
  <si>
    <t>JOD新聞折込9060（表）㉗</t>
    <rPh sb="3" eb="5">
      <t>シンブン</t>
    </rPh>
    <rPh sb="5" eb="7">
      <t>オリコミ</t>
    </rPh>
    <rPh sb="12" eb="13">
      <t>オモテ</t>
    </rPh>
    <phoneticPr fontId="6"/>
  </si>
  <si>
    <t>東北サンネット4月2回（不透明袋）①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</si>
  <si>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JOD新聞折込9060（表）㉘</t>
    <rPh sb="3" eb="5">
      <t>シンブン</t>
    </rPh>
    <rPh sb="5" eb="7">
      <t>オリコミ</t>
    </rPh>
    <rPh sb="12" eb="13">
      <t>オモテ</t>
    </rPh>
    <phoneticPr fontId="6"/>
  </si>
  <si>
    <t>2025/3/3数伝</t>
    <rPh sb="8" eb="9">
      <t>スウ</t>
    </rPh>
    <rPh sb="9" eb="10">
      <t>デン</t>
    </rPh>
    <phoneticPr fontId="6"/>
  </si>
  <si>
    <t>2025/3/25数伝</t>
    <rPh sb="9" eb="10">
      <t>スウ</t>
    </rPh>
    <rPh sb="10" eb="11">
      <t>デン</t>
    </rPh>
    <phoneticPr fontId="6"/>
  </si>
  <si>
    <t>JOD新聞折込9060（表）㉙</t>
    <rPh sb="3" eb="5">
      <t>シンブン</t>
    </rPh>
    <rPh sb="5" eb="7">
      <t>オリコミ</t>
    </rPh>
    <rPh sb="12" eb="13">
      <t>オモテ</t>
    </rPh>
    <phoneticPr fontId="6"/>
  </si>
  <si>
    <t>東北サンネット4月2回（不透明袋）②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</si>
  <si>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追加</t>
    <rPh sb="0" eb="2">
      <t>ツイカ</t>
    </rPh>
    <phoneticPr fontId="6"/>
  </si>
  <si>
    <t>JOD新聞折込9060（表）㉚</t>
    <rPh sb="3" eb="5">
      <t>シンブン</t>
    </rPh>
    <rPh sb="5" eb="7">
      <t>オリコミ</t>
    </rPh>
    <rPh sb="12" eb="13">
      <t>オモテ</t>
    </rPh>
    <phoneticPr fontId="6"/>
  </si>
  <si>
    <t>ニッセン25初夏楽市②</t>
    <rPh sb="6" eb="8">
      <t>ショカ</t>
    </rPh>
    <rPh sb="8" eb="10">
      <t>ラクイチ</t>
    </rPh>
    <phoneticPr fontId="6"/>
  </si>
  <si>
    <t>東北サンネット4月2回（不透明袋）③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</si>
  <si>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東北サンネット4月2回（不透明袋）④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</si>
  <si>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JOD新聞折込9060（表）㉛</t>
    <rPh sb="3" eb="5">
      <t>シンブン</t>
    </rPh>
    <rPh sb="5" eb="7">
      <t>オリコミ</t>
    </rPh>
    <rPh sb="12" eb="13">
      <t>オモテ</t>
    </rPh>
    <phoneticPr fontId="6"/>
  </si>
  <si>
    <t>東北サンネット4月2回（不透明袋）⑤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</si>
  <si>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追加</t>
    <rPh sb="0" eb="2">
      <t>ツイカ</t>
    </rPh>
    <phoneticPr fontId="6"/>
  </si>
  <si>
    <t>JOD新聞折込9060（表）㉜</t>
    <rPh sb="3" eb="5">
      <t>シンブン</t>
    </rPh>
    <rPh sb="5" eb="7">
      <t>オリコミ</t>
    </rPh>
    <rPh sb="12" eb="13">
      <t>オモテ</t>
    </rPh>
    <phoneticPr fontId="6"/>
  </si>
  <si>
    <t>東北サンネット直送⑥</t>
    <rPh sb="0" eb="2">
      <t>トウホク</t>
    </rPh>
    <rPh sb="7" eb="9">
      <t>チョクソウ</t>
    </rPh>
    <phoneticPr fontId="6"/>
  </si>
  <si>
    <t>IEI使ってヨカッタ4月号同色2枚①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</si>
  <si>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IEI使ってヨカッタ4月号2色組①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</si>
  <si>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ニッセン25初夏楽市③</t>
    <rPh sb="6" eb="8">
      <t>ショカ</t>
    </rPh>
    <rPh sb="8" eb="10">
      <t>ラクイチ</t>
    </rPh>
    <phoneticPr fontId="6"/>
  </si>
  <si>
    <t>JOD672</t>
    <phoneticPr fontId="6"/>
  </si>
  <si>
    <t>JOD673</t>
    <phoneticPr fontId="6"/>
  </si>
  <si>
    <t>5/12～</t>
    <phoneticPr fontId="6"/>
  </si>
  <si>
    <t>JOD特別号9953（表）</t>
    <rPh sb="3" eb="6">
      <t>トクベツゴウ</t>
    </rPh>
    <rPh sb="11" eb="12">
      <t>オモテ</t>
    </rPh>
    <phoneticPr fontId="6"/>
  </si>
  <si>
    <t>JOD674</t>
  </si>
  <si>
    <t>JOD675</t>
  </si>
  <si>
    <t>JOD676</t>
  </si>
  <si>
    <t>JOD677</t>
    <phoneticPr fontId="6"/>
  </si>
  <si>
    <t>JOD678</t>
  </si>
  <si>
    <t>K-PORT</t>
    <phoneticPr fontId="6"/>
  </si>
  <si>
    <t>JOD679</t>
    <phoneticPr fontId="6"/>
  </si>
  <si>
    <t>JOD680</t>
    <phoneticPr fontId="6"/>
  </si>
  <si>
    <t>ユーコープ7月1回</t>
    <rPh sb="6" eb="7">
      <t>ガツ</t>
    </rPh>
    <rPh sb="8" eb="9">
      <t>カイ</t>
    </rPh>
    <phoneticPr fontId="6"/>
  </si>
  <si>
    <t>6/18～7/2</t>
    <phoneticPr fontId="6"/>
  </si>
  <si>
    <t>JOD681</t>
    <phoneticPr fontId="6"/>
  </si>
  <si>
    <t>JOD682</t>
    <phoneticPr fontId="6"/>
  </si>
  <si>
    <t>JOD/BEAUTY通信0529</t>
    <rPh sb="10" eb="12">
      <t>ツウシン</t>
    </rPh>
    <phoneticPr fontId="6"/>
  </si>
  <si>
    <t>JOD683</t>
  </si>
  <si>
    <t>ニッセン25初冬号楽市</t>
    <rPh sb="6" eb="8">
      <t>ショトウ</t>
    </rPh>
    <rPh sb="8" eb="9">
      <t>ゴウ</t>
    </rPh>
    <rPh sb="9" eb="11">
      <t>ラクイチ</t>
    </rPh>
    <phoneticPr fontId="6"/>
  </si>
  <si>
    <t>10月上旬～2月末</t>
    <rPh sb="2" eb="3">
      <t>ガツ</t>
    </rPh>
    <rPh sb="3" eb="4">
      <t>ウエ</t>
    </rPh>
    <rPh sb="7" eb="8">
      <t>ガツ</t>
    </rPh>
    <rPh sb="8" eb="9">
      <t>マツ</t>
    </rPh>
    <phoneticPr fontId="6"/>
  </si>
  <si>
    <t>IEI使ってヨカッタ4月号2色組②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</si>
  <si>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IEI使ってヨカッタ4月号同色2枚②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</si>
  <si>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ロイヤルステージ5月号同色2枚組①</t>
    <rPh sb="9" eb="11">
      <t>ガツゴウ</t>
    </rPh>
    <rPh sb="11" eb="13">
      <t>ドウショク</t>
    </rPh>
    <rPh sb="14" eb="16">
      <t>マイクミ</t>
    </rPh>
    <phoneticPr fontId="6"/>
  </si>
  <si>
    <t>夢販</t>
    <rPh sb="0" eb="2">
      <t>ユメハン</t>
    </rPh>
    <phoneticPr fontId="6"/>
  </si>
  <si>
    <t>ニッセン25初夏楽市④</t>
    <rPh sb="6" eb="8">
      <t>ショカ</t>
    </rPh>
    <rPh sb="8" eb="10">
      <t>ラクイチ</t>
    </rPh>
    <phoneticPr fontId="6"/>
  </si>
  <si>
    <t>JOD684</t>
    <phoneticPr fontId="6"/>
  </si>
  <si>
    <t>5/3ship</t>
    <phoneticPr fontId="6"/>
  </si>
  <si>
    <t>ロイヤルステージ5月号同色2枚組②</t>
    <rPh sb="9" eb="11">
      <t>ガツゴウ</t>
    </rPh>
    <rPh sb="11" eb="13">
      <t>ドウショク</t>
    </rPh>
    <rPh sb="14" eb="16">
      <t>マイクミ</t>
    </rPh>
    <phoneticPr fontId="6"/>
  </si>
  <si>
    <t>日生協5月11号（不透明袋）￥2980西日本①</t>
    <rPh sb="0" eb="3">
      <t>ニッセイキョウ</t>
    </rPh>
    <rPh sb="4" eb="5">
      <t>ガツ</t>
    </rPh>
    <rPh sb="7" eb="8">
      <t>ゴウ</t>
    </rPh>
    <rPh sb="19" eb="22">
      <t>ニシニホン</t>
    </rPh>
    <phoneticPr fontId="6"/>
  </si>
  <si>
    <t>日生協5月11号（不透明袋）￥2980東日本①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</si>
  <si>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JOD685</t>
    <phoneticPr fontId="6"/>
  </si>
  <si>
    <t>ニッセン25初夏楽市⑤</t>
    <rPh sb="6" eb="8">
      <t>ショカ</t>
    </rPh>
    <rPh sb="8" eb="10">
      <t>ラクイチ</t>
    </rPh>
    <phoneticPr fontId="6"/>
  </si>
  <si>
    <t>JOD686</t>
    <phoneticPr fontId="6"/>
  </si>
  <si>
    <t>JOD687</t>
    <phoneticPr fontId="6"/>
  </si>
  <si>
    <t>ニッセン25初夏楽市⑥</t>
    <rPh sb="6" eb="8">
      <t>ショカ</t>
    </rPh>
    <rPh sb="8" eb="10">
      <t>ラクイチ</t>
    </rPh>
    <phoneticPr fontId="6"/>
  </si>
  <si>
    <t>IEI返品</t>
    <rPh sb="3" eb="5">
      <t>ヘンピン</t>
    </rPh>
    <phoneticPr fontId="6"/>
  </si>
  <si>
    <t>JOD688</t>
    <phoneticPr fontId="6"/>
  </si>
  <si>
    <t>日生協5月11号（不透明袋）￥2980東日本②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</si>
  <si>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JOD689</t>
    <phoneticPr fontId="6"/>
  </si>
  <si>
    <t>日生協5月11号（不透明袋）￥2980西日本②</t>
    <rPh sb="0" eb="3">
      <t>ニッセイキョウ</t>
    </rPh>
    <rPh sb="4" eb="5">
      <t>ガツ</t>
    </rPh>
    <rPh sb="7" eb="8">
      <t>ゴウ</t>
    </rPh>
    <rPh sb="19" eb="22">
      <t>ニシニホン</t>
    </rPh>
    <phoneticPr fontId="6"/>
  </si>
  <si>
    <t>JOD690</t>
    <phoneticPr fontId="6"/>
  </si>
  <si>
    <t>日生協5月11号（不透明袋）￥2980西日本③</t>
    <rPh sb="0" eb="3">
      <t>ニッセイキョウ</t>
    </rPh>
    <rPh sb="4" eb="5">
      <t>ガツ</t>
    </rPh>
    <rPh sb="7" eb="8">
      <t>ゴウ</t>
    </rPh>
    <rPh sb="19" eb="22">
      <t>ニシニホン</t>
    </rPh>
    <phoneticPr fontId="6"/>
  </si>
  <si>
    <t>日生協5月11号（不透明袋）￥2980東日本③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</si>
  <si>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ロイヤルステージ5月号同色2枚組③</t>
    <rPh sb="9" eb="11">
      <t>ガツゴウ</t>
    </rPh>
    <rPh sb="11" eb="13">
      <t>ドウショク</t>
    </rPh>
    <rPh sb="14" eb="16">
      <t>マイクミ</t>
    </rPh>
    <phoneticPr fontId="6"/>
  </si>
  <si>
    <t>JOD691</t>
    <phoneticPr fontId="6"/>
  </si>
  <si>
    <t>くらし企画（パル）sample</t>
    <rPh sb="3" eb="5">
      <t>キカク</t>
    </rPh>
    <phoneticPr fontId="6"/>
  </si>
  <si>
    <t>日生協5月11号（不透明袋）￥2980東日本④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</si>
  <si>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JOD692</t>
    <phoneticPr fontId="6"/>
  </si>
  <si>
    <t>日生協5月11号（不透明袋）￥2980東日本⑤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</si>
  <si>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日生協5月11号（不透明袋）￥2980東日本⑥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</si>
  <si>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ニッセン25初夏楽市⑦</t>
    <rPh sb="6" eb="8">
      <t>ショカ</t>
    </rPh>
    <rPh sb="8" eb="10">
      <t>ラクイチ</t>
    </rPh>
    <phoneticPr fontId="6"/>
  </si>
  <si>
    <t>再生</t>
    <rPh sb="0" eb="2">
      <t>サイセイ</t>
    </rPh>
    <phoneticPr fontId="6"/>
  </si>
  <si>
    <t>JOD693</t>
    <phoneticPr fontId="6"/>
  </si>
  <si>
    <t>日生協5月11号（不透明袋）￥2980東日本⑦</t>
    <rPh sb="0" eb="3">
      <t>ニッセイキョウ</t>
    </rPh>
    <rPh sb="4" eb="5">
      <t>ガツ</t>
    </rPh>
    <rPh sb="7" eb="8">
      <t>ゴウ</t>
    </rPh>
    <rPh sb="19" eb="20">
      <t>ヒガシ</t>
    </rPh>
    <rPh sb="20" eb="22">
      <t>ニホン</t>
    </rPh>
    <phoneticPr fontId="6"/>
  </si>
  <si>
    <t>K-PORT</t>
    <phoneticPr fontId="6"/>
  </si>
  <si>
    <t>JOD694</t>
    <phoneticPr fontId="6"/>
  </si>
  <si>
    <t>2025/5/13数伝</t>
    <rPh sb="9" eb="10">
      <t>スウ</t>
    </rPh>
    <rPh sb="10" eb="11">
      <t>デン</t>
    </rPh>
    <phoneticPr fontId="6"/>
  </si>
  <si>
    <t>西夢</t>
    <rPh sb="0" eb="2">
      <t>ニシユメ</t>
    </rPh>
    <phoneticPr fontId="6"/>
  </si>
  <si>
    <t>日生協5月11号（不透明袋）￥2980直送⑧</t>
    <rPh sb="0" eb="3">
      <t>ニッセイキョウ</t>
    </rPh>
    <rPh sb="4" eb="5">
      <t>ガツ</t>
    </rPh>
    <rPh sb="7" eb="8">
      <t>ゴウ</t>
    </rPh>
    <rPh sb="19" eb="21">
      <t>チョクソウ</t>
    </rPh>
    <phoneticPr fontId="6"/>
  </si>
  <si>
    <t>JODメルシー0704</t>
    <phoneticPr fontId="6"/>
  </si>
  <si>
    <t>7/4～</t>
    <phoneticPr fontId="6"/>
  </si>
  <si>
    <t>JOD695</t>
    <phoneticPr fontId="6"/>
  </si>
  <si>
    <t>JOD696</t>
  </si>
  <si>
    <t>ニッセン25初夏楽市⑧</t>
    <rPh sb="6" eb="8">
      <t>ショカ</t>
    </rPh>
    <rPh sb="8" eb="10">
      <t>ラクイチ</t>
    </rPh>
    <phoneticPr fontId="6"/>
  </si>
  <si>
    <t>JOD697</t>
    <phoneticPr fontId="6"/>
  </si>
  <si>
    <t>JOD698</t>
    <phoneticPr fontId="6"/>
  </si>
  <si>
    <t>JOD699</t>
    <phoneticPr fontId="6"/>
  </si>
  <si>
    <t>コープきんき10月1回（不透明袋）</t>
    <rPh sb="8" eb="9">
      <t>ガツ</t>
    </rPh>
    <rPh sb="10" eb="11">
      <t>カイ</t>
    </rPh>
    <rPh sb="12" eb="16">
      <t>フトウメイフクロ</t>
    </rPh>
    <phoneticPr fontId="6"/>
  </si>
  <si>
    <t>コープきんき10月1回差分予測</t>
    <rPh sb="8" eb="9">
      <t>ガツ</t>
    </rPh>
    <rPh sb="10" eb="11">
      <t>カイ</t>
    </rPh>
    <rPh sb="11" eb="15">
      <t>サブンヨソク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</si>
  <si>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</si>
  <si>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東北サンネット9月1回（不透明袋）サクラマチ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</si>
  <si>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8/20～9/3</t>
    <phoneticPr fontId="6"/>
  </si>
  <si>
    <t>東北サンネット9月1回（不透明袋）差分予測</t>
    <rPh sb="0" eb="2">
      <t>トウホク</t>
    </rPh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</si>
  <si>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ユーコープ7月1回差分予測</t>
    <rPh sb="6" eb="7">
      <t>ガツ</t>
    </rPh>
    <rPh sb="8" eb="9">
      <t>カイ</t>
    </rPh>
    <rPh sb="9" eb="13">
      <t>サブンヨソク</t>
    </rPh>
    <phoneticPr fontId="6"/>
  </si>
  <si>
    <t>JOD700</t>
    <phoneticPr fontId="6"/>
  </si>
  <si>
    <t>JOD701</t>
    <phoneticPr fontId="6"/>
  </si>
  <si>
    <t>JOD702</t>
    <phoneticPr fontId="6"/>
  </si>
  <si>
    <t>追加</t>
    <rPh sb="0" eb="2">
      <t>ツイカ</t>
    </rPh>
    <phoneticPr fontId="6"/>
  </si>
  <si>
    <t>JOD返品</t>
    <rPh sb="3" eb="5">
      <t>ヘンピン</t>
    </rPh>
    <phoneticPr fontId="6"/>
  </si>
  <si>
    <t>JOD703</t>
    <phoneticPr fontId="6"/>
  </si>
  <si>
    <t>JOD704</t>
    <phoneticPr fontId="6"/>
  </si>
  <si>
    <t>JOD705</t>
  </si>
  <si>
    <t>ユーコープ9月1回差分予測</t>
    <rPh sb="6" eb="7">
      <t>ガツ</t>
    </rPh>
    <rPh sb="8" eb="9">
      <t>カイ</t>
    </rPh>
    <rPh sb="9" eb="13">
      <t>サブンヨソク</t>
    </rPh>
    <phoneticPr fontId="6"/>
  </si>
  <si>
    <t>ユーコープ9月1回（不透明袋）</t>
    <rPh sb="6" eb="7">
      <t>ガツ</t>
    </rPh>
    <rPh sb="8" eb="9">
      <t>カイ</t>
    </rPh>
    <phoneticPr fontId="6"/>
  </si>
  <si>
    <t>ユーコープ7月1回①</t>
    <rPh sb="6" eb="7">
      <t>ガツ</t>
    </rPh>
    <rPh sb="8" eb="9">
      <t>カイ</t>
    </rPh>
    <phoneticPr fontId="6"/>
  </si>
  <si>
    <t>JOD706</t>
    <phoneticPr fontId="6"/>
  </si>
  <si>
    <t>JOD707</t>
    <phoneticPr fontId="6"/>
  </si>
  <si>
    <t>ユーコープ7月1回②</t>
    <rPh sb="6" eb="7">
      <t>ガツ</t>
    </rPh>
    <rPh sb="8" eb="9">
      <t>カイ</t>
    </rPh>
    <phoneticPr fontId="6"/>
  </si>
  <si>
    <t>ニッセン25初夏楽市⑨</t>
    <rPh sb="6" eb="8">
      <t>ショカ</t>
    </rPh>
    <rPh sb="8" eb="10">
      <t>ラクイチ</t>
    </rPh>
    <phoneticPr fontId="6"/>
  </si>
  <si>
    <t>JOD708</t>
    <phoneticPr fontId="6"/>
  </si>
  <si>
    <t>ユーコープ7月1回③</t>
    <rPh sb="6" eb="7">
      <t>ガツ</t>
    </rPh>
    <rPh sb="8" eb="9">
      <t>カイ</t>
    </rPh>
    <phoneticPr fontId="6"/>
  </si>
  <si>
    <t>JOD返品</t>
    <rPh sb="3" eb="5">
      <t>ヘンピン</t>
    </rPh>
    <phoneticPr fontId="6"/>
  </si>
  <si>
    <t>JOD709</t>
    <phoneticPr fontId="6"/>
  </si>
  <si>
    <t>JOD710</t>
    <phoneticPr fontId="6"/>
  </si>
  <si>
    <t>JOD特別号9961</t>
    <rPh sb="3" eb="5">
      <t>トクベツ</t>
    </rPh>
    <rPh sb="5" eb="6">
      <t>ゴウ</t>
    </rPh>
    <phoneticPr fontId="6"/>
  </si>
  <si>
    <t>IEI使ってヨカッタ8月号（同色2枚/2色組）</t>
    <rPh sb="3" eb="4">
      <t>ツカ</t>
    </rPh>
    <rPh sb="11" eb="13">
      <t>ガツゴウ</t>
    </rPh>
    <rPh sb="14" eb="16">
      <t>ドウショク</t>
    </rPh>
    <rPh sb="17" eb="18">
      <t>マイ</t>
    </rPh>
    <rPh sb="20" eb="21">
      <t>ショク</t>
    </rPh>
    <rPh sb="21" eb="22">
      <t>クミ</t>
    </rPh>
    <phoneticPr fontId="6"/>
  </si>
  <si>
    <t>8/4～10/31</t>
    <phoneticPr fontId="6"/>
  </si>
  <si>
    <t>JOD711</t>
    <phoneticPr fontId="6"/>
  </si>
  <si>
    <t>JOD712</t>
    <phoneticPr fontId="6"/>
  </si>
  <si>
    <t>IEI交換</t>
    <rPh sb="3" eb="5">
      <t>コウカン</t>
    </rPh>
    <phoneticPr fontId="6"/>
  </si>
  <si>
    <t>くらし（日生協選定会議用sample）返却</t>
    <rPh sb="4" eb="7">
      <t>ニッセイキョウ</t>
    </rPh>
    <rPh sb="7" eb="12">
      <t>センテイカイギヨウ</t>
    </rPh>
    <rPh sb="19" eb="21">
      <t>ヘンキャク</t>
    </rPh>
    <phoneticPr fontId="6"/>
  </si>
  <si>
    <t>JOD713</t>
    <phoneticPr fontId="6"/>
  </si>
  <si>
    <t>ニッセン25秋号</t>
    <rPh sb="6" eb="8">
      <t>アキゴウ</t>
    </rPh>
    <phoneticPr fontId="6"/>
  </si>
  <si>
    <t>8/下旬～2/末</t>
    <rPh sb="2" eb="4">
      <t>ゲジュン</t>
    </rPh>
    <rPh sb="7" eb="8">
      <t>マツ</t>
    </rPh>
    <phoneticPr fontId="6"/>
  </si>
  <si>
    <t>8/25～</t>
    <phoneticPr fontId="6"/>
  </si>
  <si>
    <t>JOD714</t>
    <phoneticPr fontId="6"/>
  </si>
  <si>
    <t>JOD715</t>
    <phoneticPr fontId="6"/>
  </si>
  <si>
    <t>追加</t>
    <rPh sb="0" eb="2">
      <t>ツイカ</t>
    </rPh>
    <phoneticPr fontId="6"/>
  </si>
  <si>
    <t>JOD716</t>
    <phoneticPr fontId="6"/>
  </si>
  <si>
    <t>JOD717</t>
    <phoneticPr fontId="6"/>
  </si>
  <si>
    <t>JOD718</t>
  </si>
  <si>
    <t>JOD719</t>
    <phoneticPr fontId="6"/>
  </si>
  <si>
    <t>IEI使ってヨカッタ9月号（同色2枚/2色組）</t>
    <rPh sb="3" eb="4">
      <t>ツカ</t>
    </rPh>
    <rPh sb="11" eb="13">
      <t>ガツゴウ</t>
    </rPh>
    <rPh sb="14" eb="16">
      <t>ドウショク</t>
    </rPh>
    <rPh sb="17" eb="18">
      <t>マイ</t>
    </rPh>
    <rPh sb="20" eb="21">
      <t>ショク</t>
    </rPh>
    <rPh sb="21" eb="22">
      <t>クミ</t>
    </rPh>
    <phoneticPr fontId="6"/>
  </si>
  <si>
    <t>9/8～12/31</t>
    <phoneticPr fontId="6"/>
  </si>
  <si>
    <t>JOD720</t>
    <phoneticPr fontId="6"/>
  </si>
  <si>
    <t>IEI使ってヨカッタ8月号2色組①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</si>
  <si>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IEI使ってヨカッタ8月号同色2枚①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</si>
  <si>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あいコープみやぎ9月2回</t>
    <rPh sb="9" eb="10">
      <t>ガツ</t>
    </rPh>
    <rPh sb="11" eb="12">
      <t>カイ</t>
    </rPh>
    <phoneticPr fontId="6"/>
  </si>
  <si>
    <t>確定発注9/3</t>
    <rPh sb="0" eb="4">
      <t>カクテイハッチュウ</t>
    </rPh>
    <phoneticPr fontId="6"/>
  </si>
  <si>
    <t>JOD721</t>
    <phoneticPr fontId="6"/>
  </si>
  <si>
    <t>点9/5、アバウト9/23、本9/23～29</t>
    <rPh sb="0" eb="1">
      <t>テン</t>
    </rPh>
    <rPh sb="14" eb="15">
      <t>ホン</t>
    </rPh>
    <phoneticPr fontId="6"/>
  </si>
  <si>
    <t>ロイヤルステージ5月号同色2枚組④</t>
    <rPh sb="9" eb="11">
      <t>ガツゴウ</t>
    </rPh>
    <rPh sb="11" eb="13">
      <t>ドウショク</t>
    </rPh>
    <rPh sb="14" eb="16">
      <t>マイクミ</t>
    </rPh>
    <phoneticPr fontId="6"/>
  </si>
  <si>
    <t>JOD722</t>
    <phoneticPr fontId="6"/>
  </si>
  <si>
    <t>ロイヤルステージ返品</t>
    <rPh sb="8" eb="10">
      <t>ヘンピン</t>
    </rPh>
    <phoneticPr fontId="6"/>
  </si>
  <si>
    <t>ネット</t>
    <phoneticPr fontId="6"/>
  </si>
  <si>
    <t>JOD723</t>
    <phoneticPr fontId="6"/>
  </si>
  <si>
    <t>JOD725</t>
    <phoneticPr fontId="6"/>
  </si>
  <si>
    <t>西夢</t>
    <rPh sb="0" eb="2">
      <t>ニシユメ</t>
    </rPh>
    <phoneticPr fontId="6"/>
  </si>
  <si>
    <t>JOD726</t>
    <phoneticPr fontId="6"/>
  </si>
  <si>
    <t>JOD727</t>
  </si>
  <si>
    <t>ニッセン⑪</t>
    <phoneticPr fontId="6"/>
  </si>
  <si>
    <t>ニッセン⑩</t>
    <phoneticPr fontId="6"/>
  </si>
  <si>
    <t>ニッセン⑫</t>
    <phoneticPr fontId="6"/>
  </si>
  <si>
    <t>JOD728</t>
    <phoneticPr fontId="6"/>
  </si>
  <si>
    <t>K-PORT</t>
    <phoneticPr fontId="6"/>
  </si>
  <si>
    <t>JOD729</t>
    <phoneticPr fontId="6"/>
  </si>
  <si>
    <t>JOD730</t>
  </si>
  <si>
    <t>在庫確認</t>
    <rPh sb="0" eb="4">
      <t>ザイコカクニン</t>
    </rPh>
    <phoneticPr fontId="6"/>
  </si>
  <si>
    <t>JOD731</t>
  </si>
  <si>
    <t>IEIヴィヴァン9月号（同色2枚/2色組）</t>
    <rPh sb="9" eb="11">
      <t>ガツゴウ</t>
    </rPh>
    <rPh sb="12" eb="14">
      <t>ドウショク</t>
    </rPh>
    <rPh sb="15" eb="16">
      <t>マイ</t>
    </rPh>
    <rPh sb="18" eb="19">
      <t>ショク</t>
    </rPh>
    <rPh sb="19" eb="20">
      <t>クミ</t>
    </rPh>
    <phoneticPr fontId="6"/>
  </si>
  <si>
    <t>9/22～12/31</t>
    <phoneticPr fontId="6"/>
  </si>
  <si>
    <t>JOD732</t>
    <phoneticPr fontId="6"/>
  </si>
  <si>
    <t>追加</t>
    <rPh sb="0" eb="2">
      <t>ツイカ</t>
    </rPh>
    <phoneticPr fontId="6"/>
  </si>
  <si>
    <t>IEI使ってヨカッタ8月号2色組②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</si>
  <si>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JOD733</t>
    <phoneticPr fontId="6"/>
  </si>
  <si>
    <t>JOD返品</t>
    <rPh sb="3" eb="5">
      <t>ヘンピン</t>
    </rPh>
    <phoneticPr fontId="6"/>
  </si>
  <si>
    <t>JOD734</t>
    <phoneticPr fontId="6"/>
  </si>
  <si>
    <t>IEI使ってヨカッタ8月号2色組③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</si>
  <si>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IEI使ってヨカッタ8月号同色2枚②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</si>
  <si>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JOD735</t>
    <phoneticPr fontId="6"/>
  </si>
  <si>
    <t>JOD736</t>
    <phoneticPr fontId="6"/>
  </si>
  <si>
    <t>JODアクセス7012</t>
    <phoneticPr fontId="6"/>
  </si>
  <si>
    <t>JOD737</t>
    <phoneticPr fontId="6"/>
  </si>
  <si>
    <t>ニッセン⑬</t>
    <phoneticPr fontId="6"/>
  </si>
  <si>
    <t>ユーコープ9月1回（不透明袋）①</t>
    <rPh sb="6" eb="7">
      <t>ガツ</t>
    </rPh>
    <rPh sb="8" eb="9">
      <t>カイ</t>
    </rPh>
    <phoneticPr fontId="6"/>
  </si>
  <si>
    <t>IEI使ってヨカッタ8月号2色組④</t>
    <rPh sb="3" eb="4">
      <t>ツカ</t>
    </rPh>
    <rPh sb="11" eb="13">
      <t>ガツゴウ</t>
    </rPh>
    <rPh sb="14" eb="15">
      <t>ショク</t>
    </rPh>
    <rPh sb="15" eb="16">
      <t>クミ</t>
    </rPh>
    <phoneticPr fontId="6"/>
  </si>
  <si>
    <t>IEI使ってヨカッタ8月号同色2枚③</t>
    <rPh sb="3" eb="4">
      <t>ツカ</t>
    </rPh>
    <rPh sb="11" eb="13">
      <t>ガツゴウ</t>
    </rPh>
    <rPh sb="13" eb="15">
      <t>ドウショク</t>
    </rPh>
    <rPh sb="16" eb="17">
      <t>マイ</t>
    </rPh>
    <phoneticPr fontId="6"/>
  </si>
  <si>
    <t>JOD738</t>
    <phoneticPr fontId="6"/>
  </si>
  <si>
    <t>JOD739</t>
    <phoneticPr fontId="6"/>
  </si>
  <si>
    <t>ユーコープ9月1回（不透明袋）②</t>
    <rPh sb="6" eb="7">
      <t>ガツ</t>
    </rPh>
    <rPh sb="8" eb="9">
      <t>カイ</t>
    </rPh>
    <phoneticPr fontId="6"/>
  </si>
  <si>
    <t>東北サンネット9月1回（不透明袋）サクラマチ①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</si>
  <si>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JOD740</t>
    <phoneticPr fontId="6"/>
  </si>
  <si>
    <t>東北サンネット9月1回（不透明袋）サクラマチ②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</si>
  <si>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ユーコープ9月1回（不透明袋）③</t>
    <rPh sb="6" eb="7">
      <t>ガツ</t>
    </rPh>
    <rPh sb="8" eb="9">
      <t>カイ</t>
    </rPh>
    <phoneticPr fontId="6"/>
  </si>
  <si>
    <t>IEI返品</t>
    <rPh sb="3" eb="5">
      <t>ヘンピン</t>
    </rPh>
    <phoneticPr fontId="6"/>
  </si>
  <si>
    <t>JOD返品</t>
    <rPh sb="3" eb="5">
      <t>ヘンピン</t>
    </rPh>
    <phoneticPr fontId="6"/>
  </si>
  <si>
    <r>
      <t>追加３</t>
    </r>
    <r>
      <rPr>
        <b/>
        <sz val="11"/>
        <rFont val="ＭＳ Ｐゴシック"/>
        <family val="3"/>
        <charset val="128"/>
      </rPr>
      <t>　(新絵表示分）</t>
    </r>
    <rPh sb="0" eb="2">
      <t>ツイカ</t>
    </rPh>
    <rPh sb="5" eb="9">
      <t>シンエヒョウジ</t>
    </rPh>
    <rPh sb="9" eb="10">
      <t>ブン</t>
    </rPh>
    <phoneticPr fontId="2"/>
  </si>
  <si>
    <t>JOD741</t>
    <phoneticPr fontId="6"/>
  </si>
  <si>
    <t>JOD2色組</t>
    <rPh sb="4" eb="6">
      <t>ショクグミ</t>
    </rPh>
    <phoneticPr fontId="6"/>
  </si>
  <si>
    <t>東北サンネット9月1回（不透明袋）サクラマチ③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</si>
  <si>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ユーコープ9月1回（不透明袋）④</t>
    <rPh sb="6" eb="7">
      <t>ガツ</t>
    </rPh>
    <rPh sb="8" eb="9">
      <t>カイ</t>
    </rPh>
    <phoneticPr fontId="6"/>
  </si>
  <si>
    <t>東北サンネット9月1回（不透明袋）サクラマチ④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</si>
  <si>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JODメルシー1008</t>
    <phoneticPr fontId="6"/>
  </si>
  <si>
    <t>10/8～</t>
    <phoneticPr fontId="6"/>
  </si>
  <si>
    <t>JOD742</t>
    <phoneticPr fontId="6"/>
  </si>
  <si>
    <t>JOD743</t>
    <phoneticPr fontId="6"/>
  </si>
  <si>
    <t>コープきんき10月1回（不透明袋）①</t>
    <rPh sb="8" eb="9">
      <t>ガツ</t>
    </rPh>
    <rPh sb="10" eb="11">
      <t>カイ</t>
    </rPh>
    <rPh sb="12" eb="16">
      <t>フトウメイフクロ</t>
    </rPh>
    <phoneticPr fontId="6"/>
  </si>
  <si>
    <r>
      <t>JOD特別版0826</t>
    </r>
    <r>
      <rPr>
        <b/>
        <sz val="11"/>
        <rFont val="ＭＳ Ｐゴシック"/>
        <family val="3"/>
        <charset val="128"/>
      </rPr>
      <t>（単品と2色組）</t>
    </r>
    <rPh sb="3" eb="6">
      <t>トクベツバン</t>
    </rPh>
    <rPh sb="11" eb="13">
      <t>タンピン</t>
    </rPh>
    <rPh sb="15" eb="17">
      <t>ショククミ</t>
    </rPh>
    <phoneticPr fontId="6"/>
  </si>
  <si>
    <t>JOD744</t>
    <phoneticPr fontId="6"/>
  </si>
  <si>
    <t>夢販</t>
    <rPh sb="0" eb="2">
      <t>ユメハン</t>
    </rPh>
    <phoneticPr fontId="6"/>
  </si>
  <si>
    <t>IEI使ってヨカッタ9月号(2色組）</t>
    <rPh sb="3" eb="4">
      <t>ツカ</t>
    </rPh>
    <rPh sb="11" eb="13">
      <t>ガツゴウ</t>
    </rPh>
    <rPh sb="15" eb="16">
      <t>ショク</t>
    </rPh>
    <rPh sb="16" eb="17">
      <t>クミ</t>
    </rPh>
    <phoneticPr fontId="6"/>
  </si>
  <si>
    <t>IEI使ってヨカッタ9月号（同色2枚）</t>
    <rPh sb="3" eb="4">
      <t>ツカ</t>
    </rPh>
    <rPh sb="11" eb="13">
      <t>ガツゴウ</t>
    </rPh>
    <rPh sb="14" eb="16">
      <t>ドウショク</t>
    </rPh>
    <rPh sb="17" eb="18">
      <t>マイ</t>
    </rPh>
    <phoneticPr fontId="6"/>
  </si>
  <si>
    <t>JOD745</t>
    <phoneticPr fontId="6"/>
  </si>
  <si>
    <t>ニッセン⑭</t>
    <phoneticPr fontId="6"/>
  </si>
  <si>
    <t>KADOKAWAサンプル</t>
    <phoneticPr fontId="6"/>
  </si>
  <si>
    <t>JOD746</t>
    <phoneticPr fontId="6"/>
  </si>
  <si>
    <t>くらし企画返品</t>
    <rPh sb="3" eb="5">
      <t>キカク</t>
    </rPh>
    <rPh sb="5" eb="7">
      <t>ヘンピン</t>
    </rPh>
    <phoneticPr fontId="2"/>
  </si>
  <si>
    <t>追加</t>
    <rPh sb="0" eb="2">
      <t>ツイカ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</si>
  <si>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</si>
  <si>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KPORT</t>
    <phoneticPr fontId="6"/>
  </si>
  <si>
    <t>JOD747</t>
    <phoneticPr fontId="6"/>
  </si>
  <si>
    <t>追加</t>
    <rPh sb="0" eb="2">
      <t>ツイカ</t>
    </rPh>
    <phoneticPr fontId="6"/>
  </si>
  <si>
    <t>JOD748</t>
    <phoneticPr fontId="6"/>
  </si>
  <si>
    <t>JOD749</t>
    <phoneticPr fontId="6"/>
  </si>
  <si>
    <t>JOD750</t>
    <phoneticPr fontId="6"/>
  </si>
  <si>
    <t>ニッセン⑮</t>
    <phoneticPr fontId="6"/>
  </si>
  <si>
    <t>JOD751</t>
    <phoneticPr fontId="6"/>
  </si>
  <si>
    <t>JOD新聞折込9011</t>
    <rPh sb="3" eb="7">
      <t>シンブンオリコミ</t>
    </rPh>
    <phoneticPr fontId="6"/>
  </si>
  <si>
    <t>9/29～</t>
    <phoneticPr fontId="6"/>
  </si>
  <si>
    <t>JOD752</t>
    <phoneticPr fontId="6"/>
  </si>
  <si>
    <t>東北サンネット9月1回（不透明袋）サクラマチ⑤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</si>
  <si>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西夢取り置き</t>
    <rPh sb="0" eb="3">
      <t>ニシユメト</t>
    </rPh>
    <rPh sb="4" eb="5">
      <t>オ</t>
    </rPh>
    <phoneticPr fontId="6"/>
  </si>
  <si>
    <t>JOD753</t>
    <phoneticPr fontId="6"/>
  </si>
  <si>
    <t>くらし企画返品</t>
    <rPh sb="3" eb="5">
      <t>キカク</t>
    </rPh>
    <rPh sb="5" eb="7">
      <t>ヘンピン</t>
    </rPh>
    <phoneticPr fontId="6"/>
  </si>
  <si>
    <t>サクラマチ返品</t>
  </si>
  <si>
    <t>IEIヴィヴァン9月号（2色組）①</t>
    <rPh sb="9" eb="11">
      <t>ガツゴウ</t>
    </rPh>
    <rPh sb="13" eb="14">
      <t>ショク</t>
    </rPh>
    <rPh sb="14" eb="15">
      <t>クミ</t>
    </rPh>
    <phoneticPr fontId="6"/>
  </si>
  <si>
    <t>IEIヴィヴァン9月号（同色2枚）①</t>
    <rPh sb="9" eb="11">
      <t>ガツゴウ</t>
    </rPh>
    <rPh sb="12" eb="14">
      <t>ドウショク</t>
    </rPh>
    <rPh sb="15" eb="16">
      <t>マイ</t>
    </rPh>
    <phoneticPr fontId="6"/>
  </si>
  <si>
    <t>ニッセン⑯</t>
    <phoneticPr fontId="6"/>
  </si>
  <si>
    <t>IEIヴィヴァン9月号（2色組）②</t>
    <rPh sb="9" eb="11">
      <t>ガツゴウ</t>
    </rPh>
    <rPh sb="13" eb="14">
      <t>ショク</t>
    </rPh>
    <rPh sb="14" eb="15">
      <t>クミ</t>
    </rPh>
    <phoneticPr fontId="6"/>
  </si>
  <si>
    <t>IEIヴィヴァン9月号（同色2枚）②</t>
    <rPh sb="9" eb="11">
      <t>ガツゴウ</t>
    </rPh>
    <rPh sb="12" eb="14">
      <t>ドウショク</t>
    </rPh>
    <rPh sb="15" eb="16">
      <t>マイ</t>
    </rPh>
    <phoneticPr fontId="6"/>
  </si>
  <si>
    <t>K-PORT</t>
    <phoneticPr fontId="6"/>
  </si>
  <si>
    <t>JOD新聞折込9015</t>
    <rPh sb="3" eb="7">
      <t>シンブンオリコミ</t>
    </rPh>
    <phoneticPr fontId="6"/>
  </si>
  <si>
    <t>JOD754</t>
    <phoneticPr fontId="6"/>
  </si>
  <si>
    <t>JOD755</t>
    <phoneticPr fontId="6"/>
  </si>
  <si>
    <t>JOD756</t>
    <phoneticPr fontId="6"/>
  </si>
  <si>
    <t>コープきんき10月1回（不透明袋）②</t>
    <rPh sb="8" eb="9">
      <t>ガツ</t>
    </rPh>
    <rPh sb="10" eb="11">
      <t>カイ</t>
    </rPh>
    <rPh sb="12" eb="16">
      <t>フトウメイフクロ</t>
    </rPh>
    <phoneticPr fontId="6"/>
  </si>
  <si>
    <t>JOD特別号9969</t>
    <rPh sb="3" eb="6">
      <t>トクベツゴウ</t>
    </rPh>
    <phoneticPr fontId="6"/>
  </si>
  <si>
    <t>JOD新聞折込9011①</t>
    <rPh sb="3" eb="7">
      <t>シンブンオリコミ</t>
    </rPh>
    <phoneticPr fontId="6"/>
  </si>
  <si>
    <t>コープきんき10月1回（不透明袋）③</t>
    <rPh sb="8" eb="9">
      <t>ガツ</t>
    </rPh>
    <rPh sb="10" eb="11">
      <t>カイ</t>
    </rPh>
    <rPh sb="12" eb="16">
      <t>フトウメイフクロ</t>
    </rPh>
    <phoneticPr fontId="6"/>
  </si>
  <si>
    <t>IEI交換</t>
    <rPh sb="3" eb="5">
      <t>コウカン</t>
    </rPh>
    <phoneticPr fontId="6"/>
  </si>
  <si>
    <t>JOD757</t>
    <phoneticPr fontId="6"/>
  </si>
  <si>
    <t>西夢</t>
    <rPh sb="0" eb="2">
      <t>ニシユメ</t>
    </rPh>
    <phoneticPr fontId="6"/>
  </si>
  <si>
    <t>IEI返品</t>
    <rPh sb="3" eb="5">
      <t>ヘンピン</t>
    </rPh>
    <phoneticPr fontId="6"/>
  </si>
  <si>
    <t>11/26～12/10</t>
    <phoneticPr fontId="6"/>
  </si>
  <si>
    <t>点12/26　前1/2　アバ1/6～21（キャロット）</t>
    <rPh sb="0" eb="1">
      <t>テン</t>
    </rPh>
    <rPh sb="7" eb="8">
      <t>マエ</t>
    </rPh>
    <phoneticPr fontId="6"/>
  </si>
  <si>
    <t>ベルーナ26春sample</t>
    <rPh sb="6" eb="7">
      <t>ハル</t>
    </rPh>
    <phoneticPr fontId="6"/>
  </si>
  <si>
    <t>JOD新聞折込9011②</t>
    <rPh sb="3" eb="7">
      <t>シンブンオリコミ</t>
    </rPh>
    <phoneticPr fontId="6"/>
  </si>
  <si>
    <t>ニッセン⑰</t>
    <phoneticPr fontId="6"/>
  </si>
  <si>
    <t>JOD新聞折込9011③</t>
    <rPh sb="3" eb="7">
      <t>シンブンオリコミ</t>
    </rPh>
    <phoneticPr fontId="6"/>
  </si>
  <si>
    <t>西夢</t>
    <rPh sb="0" eb="2">
      <t>ニシユメ</t>
    </rPh>
    <phoneticPr fontId="6"/>
  </si>
  <si>
    <t>JOD新聞折込9015①</t>
    <rPh sb="3" eb="7">
      <t>シンブンオリコミ</t>
    </rPh>
    <phoneticPr fontId="6"/>
  </si>
  <si>
    <t>ベルーナ元気とキレイの秘訣26年春号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</si>
  <si>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ベルーナ元気とキレイの秘訣26年春号差分予測</t>
    <rPh sb="4" eb="6">
      <t>ゲンキ</t>
    </rPh>
    <rPh sb="11" eb="13">
      <t>ヒケツ</t>
    </rPh>
    <rPh sb="15" eb="16">
      <t>ネン</t>
    </rPh>
    <rPh sb="16" eb="18">
      <t>ハルゴウ</t>
    </rPh>
    <rPh sb="18" eb="22">
      <t>サブンヨソク</t>
    </rPh>
    <phoneticPr fontId="6"/>
  </si>
  <si>
    <t>本番2/4～</t>
    <rPh sb="0" eb="2">
      <t>ホンバン</t>
    </rPh>
    <phoneticPr fontId="6"/>
  </si>
  <si>
    <t>日生協キャロット2026年1月44号クローズアップ</t>
    <rPh sb="0" eb="3">
      <t>ニッセイキョウ</t>
    </rPh>
    <rPh sb="12" eb="13">
      <t>ネン</t>
    </rPh>
    <rPh sb="14" eb="15">
      <t>ガツ</t>
    </rPh>
    <rPh sb="17" eb="18">
      <t>ゴウ</t>
    </rPh>
    <phoneticPr fontId="6"/>
  </si>
  <si>
    <t>日生協キャロット2026年1月44号差分予測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</si>
  <si>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JODメルシー1106</t>
    <phoneticPr fontId="6"/>
  </si>
  <si>
    <t>夢販</t>
    <rPh sb="0" eb="2">
      <t>ユメハン</t>
    </rPh>
    <phoneticPr fontId="6"/>
  </si>
  <si>
    <t>JOD新聞折込9015②</t>
    <rPh sb="3" eb="7">
      <t>シンブンオリコミ</t>
    </rPh>
    <phoneticPr fontId="6"/>
  </si>
  <si>
    <t>JOD特別号9970</t>
    <rPh sb="3" eb="6">
      <t>トクベツゴウ</t>
    </rPh>
    <phoneticPr fontId="6"/>
  </si>
  <si>
    <t>JOD新聞折込9015③</t>
    <rPh sb="3" eb="7">
      <t>シンブンオリコミ</t>
    </rPh>
    <phoneticPr fontId="6"/>
  </si>
  <si>
    <t>JOD新聞折込9015④</t>
    <rPh sb="3" eb="7">
      <t>シンブンオリコミ</t>
    </rPh>
    <phoneticPr fontId="6"/>
  </si>
  <si>
    <t>JOD新聞折込9015⑤</t>
    <rPh sb="3" eb="7">
      <t>シンブンオリコミ</t>
    </rPh>
    <phoneticPr fontId="6"/>
  </si>
  <si>
    <t>IEI交換</t>
    <rPh sb="3" eb="5">
      <t>コウカン</t>
    </rPh>
    <phoneticPr fontId="6"/>
  </si>
  <si>
    <t>10/27～</t>
    <phoneticPr fontId="6"/>
  </si>
  <si>
    <t>JOD新聞折込9015⑥</t>
    <rPh sb="3" eb="7">
      <t>シンブンオリコミ</t>
    </rPh>
    <phoneticPr fontId="6"/>
  </si>
  <si>
    <t>JOD新聞折込9015⑦</t>
    <rPh sb="3" eb="7">
      <t>シンブンオリコミ</t>
    </rPh>
    <phoneticPr fontId="6"/>
  </si>
  <si>
    <t>コープきんき2月1回差分予測</t>
    <rPh sb="7" eb="8">
      <t>ガツ</t>
    </rPh>
    <rPh sb="9" eb="10">
      <t>カイ</t>
    </rPh>
    <rPh sb="10" eb="14">
      <t>サブンヨソク</t>
    </rPh>
    <phoneticPr fontId="6"/>
  </si>
  <si>
    <t>コープきんき2月1回（不透明袋）</t>
    <rPh sb="7" eb="8">
      <t>ガツ</t>
    </rPh>
    <rPh sb="9" eb="10">
      <t>カイ</t>
    </rPh>
    <rPh sb="11" eb="15">
      <t>フトウメイフクロ</t>
    </rPh>
    <phoneticPr fontId="6"/>
  </si>
  <si>
    <t>JOD新聞折込9015⑧</t>
    <rPh sb="3" eb="7">
      <t>シンブンオリコミ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</si>
  <si>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</si>
  <si>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</si>
  <si>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JOD新聞折込9015⑨</t>
    <rPh sb="3" eb="7">
      <t>シンブンオリコミ</t>
    </rPh>
    <phoneticPr fontId="6"/>
  </si>
  <si>
    <t>サクラマチ返品</t>
    <rPh sb="5" eb="7">
      <t>ヘンピン</t>
    </rPh>
    <phoneticPr fontId="6"/>
  </si>
  <si>
    <t>JOD新聞折込9021</t>
    <rPh sb="3" eb="7">
      <t>シンブンオリコミ</t>
    </rPh>
    <phoneticPr fontId="6"/>
  </si>
  <si>
    <t>JOD新聞折込9015⑩</t>
    <rPh sb="3" eb="7">
      <t>シンブンオリコミ</t>
    </rPh>
    <phoneticPr fontId="6"/>
  </si>
  <si>
    <t>ニッセン26初夏号楽市</t>
    <rPh sb="6" eb="8">
      <t>ショカ</t>
    </rPh>
    <rPh sb="8" eb="9">
      <t>ゴウ</t>
    </rPh>
    <rPh sb="9" eb="11">
      <t>ラクイチ</t>
    </rPh>
    <phoneticPr fontId="6"/>
  </si>
  <si>
    <t>3月中旬～9月末日</t>
    <rPh sb="1" eb="2">
      <t>ガツ</t>
    </rPh>
    <rPh sb="2" eb="7">
      <t>チュウジュンカラ9ガツ</t>
    </rPh>
    <rPh sb="7" eb="9">
      <t>マツジツ</t>
    </rPh>
    <phoneticPr fontId="6"/>
  </si>
  <si>
    <t>JOD新聞折込9015⑪</t>
    <rPh sb="3" eb="7">
      <t>シンブンオリコミ</t>
    </rPh>
    <phoneticPr fontId="6"/>
  </si>
  <si>
    <t>JOD新聞折込9015⑫</t>
    <rPh sb="3" eb="7">
      <t>シンブンオリコミ</t>
    </rPh>
    <phoneticPr fontId="6"/>
  </si>
  <si>
    <t>KPORT</t>
    <phoneticPr fontId="6"/>
  </si>
  <si>
    <t>JOD新聞折込9015⑬</t>
    <rPh sb="3" eb="7">
      <t>シンブンオリコミ</t>
    </rPh>
    <phoneticPr fontId="6"/>
  </si>
  <si>
    <t>JOD新聞折込9018①</t>
    <rPh sb="3" eb="7">
      <t>シンブンオリコミ</t>
    </rPh>
    <phoneticPr fontId="6"/>
  </si>
  <si>
    <t>コープ東北サンネット２０２６年１月４回</t>
    <rPh sb="3" eb="5">
      <t>トウホク</t>
    </rPh>
    <rPh sb="14" eb="15">
      <t>ネン</t>
    </rPh>
    <rPh sb="16" eb="17">
      <t>ガツ</t>
    </rPh>
    <rPh sb="18" eb="19">
      <t>カイ</t>
    </rPh>
    <phoneticPr fontId="6"/>
  </si>
  <si>
    <t>コープ東北サンネット２０２６年１月４回差分予測</t>
    <rPh sb="3" eb="5">
      <t>トウホク</t>
    </rPh>
    <rPh sb="14" eb="15">
      <t>ネン</t>
    </rPh>
    <rPh sb="16" eb="17">
      <t>ガツ</t>
    </rPh>
    <rPh sb="18" eb="19">
      <t>カイ</t>
    </rPh>
    <rPh sb="19" eb="23">
      <t>サブンヨソク</t>
    </rPh>
    <phoneticPr fontId="6"/>
  </si>
  <si>
    <t>1/7～21</t>
    <phoneticPr fontId="6"/>
  </si>
  <si>
    <t>IEI返品</t>
    <rPh sb="3" eb="5">
      <t>ヘンピン</t>
    </rPh>
    <phoneticPr fontId="6"/>
  </si>
  <si>
    <t>ニッセン⑱</t>
    <phoneticPr fontId="6"/>
  </si>
  <si>
    <t>JOD新聞折込9018②</t>
    <rPh sb="3" eb="7">
      <t>シンブンオリコミ</t>
    </rPh>
    <phoneticPr fontId="6"/>
  </si>
  <si>
    <t>1/5～4/30</t>
    <phoneticPr fontId="6"/>
  </si>
  <si>
    <t>IEI使ってヨカッタ1月号（同色2枚/2色組）</t>
    <rPh sb="3" eb="4">
      <t>ツカ</t>
    </rPh>
    <rPh sb="11" eb="13">
      <t>ガツゴウ</t>
    </rPh>
    <phoneticPr fontId="6"/>
  </si>
  <si>
    <t>ユーコープ12月2回差分予測</t>
    <rPh sb="7" eb="8">
      <t>ガツ</t>
    </rPh>
    <rPh sb="9" eb="10">
      <t>カイ</t>
    </rPh>
    <rPh sb="10" eb="14">
      <t>サブンヨソク</t>
    </rPh>
    <phoneticPr fontId="6"/>
  </si>
  <si>
    <t>ユーコープ12月2回(不透明袋)</t>
    <rPh sb="7" eb="8">
      <t>ガツ</t>
    </rPh>
    <rPh sb="9" eb="10">
      <t>カイ</t>
    </rPh>
    <rPh sb="11" eb="15">
      <t>フトウメイフクロ</t>
    </rPh>
    <phoneticPr fontId="6"/>
  </si>
  <si>
    <t>IEI交換</t>
    <rPh sb="3" eb="5">
      <t>コウカン</t>
    </rPh>
    <phoneticPr fontId="6"/>
  </si>
  <si>
    <t>KPORT</t>
    <phoneticPr fontId="6"/>
  </si>
  <si>
    <t>JOD新聞折込9018③</t>
    <rPh sb="3" eb="7">
      <t>シンブンオリコミ</t>
    </rPh>
    <phoneticPr fontId="6"/>
  </si>
  <si>
    <t>IEIヴィヴァン9月号（2色組）③</t>
    <rPh sb="9" eb="11">
      <t>ガツゴウ</t>
    </rPh>
    <rPh sb="13" eb="14">
      <t>ショク</t>
    </rPh>
    <rPh sb="14" eb="15">
      <t>クミ</t>
    </rPh>
    <phoneticPr fontId="6"/>
  </si>
  <si>
    <t>IEIヴィヴァン9月号（同色2枚）③</t>
    <rPh sb="9" eb="11">
      <t>ガツゴウ</t>
    </rPh>
    <rPh sb="12" eb="14">
      <t>ドウショク</t>
    </rPh>
    <rPh sb="15" eb="16">
      <t>マイ</t>
    </rPh>
    <phoneticPr fontId="6"/>
  </si>
  <si>
    <t>JOD新聞折込9018④</t>
    <rPh sb="3" eb="7">
      <t>シンブンオリコミ</t>
    </rPh>
    <phoneticPr fontId="6"/>
  </si>
  <si>
    <t>JOD新聞折込9018⑤</t>
    <rPh sb="3" eb="7">
      <t>シンブンオリコミ</t>
    </rPh>
    <phoneticPr fontId="6"/>
  </si>
  <si>
    <t>西夢</t>
    <rPh sb="0" eb="2">
      <t>ニシユメ</t>
    </rPh>
    <phoneticPr fontId="6"/>
  </si>
  <si>
    <t>ニッセン⑲</t>
    <phoneticPr fontId="6"/>
  </si>
  <si>
    <t>JOD新聞折込9018⑥</t>
    <rPh sb="3" eb="7">
      <t>シンブンオリコミ</t>
    </rPh>
    <phoneticPr fontId="6"/>
  </si>
  <si>
    <t>JOD新聞折込9018⑦</t>
    <rPh sb="3" eb="7">
      <t>シンブンオリコミ</t>
    </rPh>
    <phoneticPr fontId="6"/>
  </si>
  <si>
    <t>KADOKAWAサンプル返却</t>
    <rPh sb="12" eb="14">
      <t>ヘンキャク</t>
    </rPh>
    <phoneticPr fontId="6"/>
  </si>
  <si>
    <t>JOD新聞折込9018⑧</t>
    <rPh sb="3" eb="7">
      <t>シンブンオリコミ</t>
    </rPh>
    <phoneticPr fontId="6"/>
  </si>
  <si>
    <t>JOD新聞折込9018⑨</t>
    <rPh sb="3" eb="7">
      <t>シンブンオリコミ</t>
    </rPh>
    <phoneticPr fontId="6"/>
  </si>
  <si>
    <t>JOD新聞折込9018⑩</t>
    <rPh sb="3" eb="7">
      <t>シンブンオリコミ</t>
    </rPh>
    <phoneticPr fontId="6"/>
  </si>
  <si>
    <t>JOD新聞折込9018⑪</t>
    <rPh sb="3" eb="7">
      <t>シンブンオリコミ</t>
    </rPh>
    <phoneticPr fontId="6"/>
  </si>
  <si>
    <t>JOD新聞折込9018⑫</t>
    <rPh sb="3" eb="7">
      <t>シンブンオリコミ</t>
    </rPh>
    <phoneticPr fontId="6"/>
  </si>
  <si>
    <t>JOD新聞折込9018⑬</t>
    <rPh sb="3" eb="7">
      <t>シンブンオリコミ</t>
    </rPh>
    <phoneticPr fontId="6"/>
  </si>
  <si>
    <t>JOD新聞折込9018⑭</t>
    <rPh sb="3" eb="7">
      <t>シンブンオリコミ</t>
    </rPh>
    <phoneticPr fontId="6"/>
  </si>
  <si>
    <t>JOD新聞折込9018⑮</t>
    <rPh sb="3" eb="7">
      <t>シンブンオリコミ</t>
    </rPh>
    <phoneticPr fontId="6"/>
  </si>
  <si>
    <t>JOD新聞折込9018⑯</t>
    <rPh sb="3" eb="7">
      <t>シンブンオリコミ</t>
    </rPh>
    <phoneticPr fontId="6"/>
  </si>
  <si>
    <t>夢販</t>
    <rPh sb="0" eb="2">
      <t>ユメハン</t>
    </rPh>
    <phoneticPr fontId="6"/>
  </si>
  <si>
    <t>IEI使ってヨカッタ2月号（同色2枚/2色組）</t>
    <rPh sb="3" eb="4">
      <t>ツカ</t>
    </rPh>
    <rPh sb="11" eb="13">
      <t>ガツゴウ</t>
    </rPh>
    <phoneticPr fontId="6"/>
  </si>
  <si>
    <t>2/2～5/31</t>
    <phoneticPr fontId="6"/>
  </si>
  <si>
    <t>点1/9、アバウト1/27、本1/27～2/2</t>
    <rPh sb="0" eb="1">
      <t>テン</t>
    </rPh>
    <rPh sb="14" eb="15">
      <t>ホン</t>
    </rPh>
    <phoneticPr fontId="6"/>
  </si>
  <si>
    <t>JOD新聞折込9018⑰</t>
    <rPh sb="3" eb="7">
      <t>シンブンオリコミ</t>
    </rPh>
    <phoneticPr fontId="6"/>
  </si>
  <si>
    <t>JOD新聞折込9018⑱</t>
    <rPh sb="3" eb="7">
      <t>シンブンオリコミ</t>
    </rPh>
    <phoneticPr fontId="6"/>
  </si>
  <si>
    <t>コープきんき3月3回（不透明袋）</t>
    <rPh sb="7" eb="8">
      <t>ガツ</t>
    </rPh>
    <rPh sb="9" eb="10">
      <t>カイ</t>
    </rPh>
    <rPh sb="11" eb="15">
      <t>フトウメイフクロ</t>
    </rPh>
    <phoneticPr fontId="6"/>
  </si>
  <si>
    <t>コープきんき3月3回（不透明袋）差分予測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</si>
  <si>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JOD返品</t>
    <rPh sb="3" eb="5">
      <t>ヘンピン</t>
    </rPh>
    <phoneticPr fontId="6"/>
  </si>
  <si>
    <t>ニッセン⑳</t>
    <phoneticPr fontId="6"/>
  </si>
  <si>
    <t>JOD新聞折込9018⑲</t>
    <rPh sb="3" eb="7">
      <t>シンブンオリコミ</t>
    </rPh>
    <phoneticPr fontId="6"/>
  </si>
  <si>
    <t>ユーコープ12月2回(不透明袋)①</t>
    <rPh sb="7" eb="8">
      <t>ガツ</t>
    </rPh>
    <rPh sb="9" eb="10">
      <t>カイ</t>
    </rPh>
    <rPh sb="11" eb="15">
      <t>フトウメイフクロ</t>
    </rPh>
    <phoneticPr fontId="6"/>
  </si>
  <si>
    <t>夢販</t>
    <rPh sb="0" eb="2">
      <t>ユメハン</t>
    </rPh>
    <phoneticPr fontId="6"/>
  </si>
  <si>
    <t>KPORT</t>
    <phoneticPr fontId="6"/>
  </si>
  <si>
    <t>JOD758</t>
    <phoneticPr fontId="6"/>
  </si>
  <si>
    <t>JOD759</t>
  </si>
  <si>
    <t>2/4～2/18</t>
    <phoneticPr fontId="6"/>
  </si>
  <si>
    <t>コープ東北サンネット2月3回差分予測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6"/>
  </si>
  <si>
    <t>IEI使ってヨカッタ2月号（同色2枚/2色組）差分予測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</si>
  <si>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コープ東北サンネット2月3回（不透明袋）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</si>
  <si>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JOD760</t>
  </si>
  <si>
    <t>ユーコープ12月2回(不透明袋)②</t>
    <rPh sb="7" eb="8">
      <t>ガツ</t>
    </rPh>
    <rPh sb="9" eb="10">
      <t>カイ</t>
    </rPh>
    <rPh sb="11" eb="15">
      <t>フトウメイフクロ</t>
    </rPh>
    <phoneticPr fontId="6"/>
  </si>
  <si>
    <t>JOD761</t>
    <phoneticPr fontId="6"/>
  </si>
  <si>
    <t>ユーコープ12月2回(不透明袋)③</t>
    <rPh sb="7" eb="8">
      <t>ガツ</t>
    </rPh>
    <rPh sb="9" eb="10">
      <t>カイ</t>
    </rPh>
    <rPh sb="11" eb="15">
      <t>フトウメイフクロ</t>
    </rPh>
    <phoneticPr fontId="6"/>
  </si>
  <si>
    <t>JOD762</t>
    <phoneticPr fontId="6"/>
  </si>
  <si>
    <t>JOD763</t>
  </si>
  <si>
    <t>IEI使ってヨカッタ1月号（2色組）①</t>
    <rPh sb="3" eb="4">
      <t>ツカ</t>
    </rPh>
    <rPh sb="11" eb="13">
      <t>ガツゴウ</t>
    </rPh>
    <phoneticPr fontId="6"/>
  </si>
  <si>
    <t>IEI使ってヨカッタ1月号（同色2枚）①</t>
    <rPh sb="3" eb="4">
      <t>ツカ</t>
    </rPh>
    <rPh sb="11" eb="13">
      <t>ガツゴウ</t>
    </rPh>
    <phoneticPr fontId="6"/>
  </si>
  <si>
    <t>ユーコープ12月2回(不透明袋)④</t>
    <rPh sb="7" eb="8">
      <t>ガツ</t>
    </rPh>
    <rPh sb="9" eb="10">
      <t>カイ</t>
    </rPh>
    <rPh sb="11" eb="15">
      <t>フトウメイフクロ</t>
    </rPh>
    <phoneticPr fontId="6"/>
  </si>
  <si>
    <t>夢販</t>
    <rPh sb="0" eb="2">
      <t>ユメハン</t>
    </rPh>
    <phoneticPr fontId="6"/>
  </si>
  <si>
    <t>JOD764</t>
    <phoneticPr fontId="6"/>
  </si>
  <si>
    <t>JOD特別号9552</t>
    <rPh sb="3" eb="6">
      <t>トクベツゴウ</t>
    </rPh>
    <phoneticPr fontId="6"/>
  </si>
  <si>
    <t>JOD765</t>
    <phoneticPr fontId="6"/>
  </si>
  <si>
    <t>JOD766</t>
    <phoneticPr fontId="6"/>
  </si>
  <si>
    <t>くらし企画（くらしのおと）sample</t>
    <rPh sb="3" eb="5">
      <t>キカク</t>
    </rPh>
    <phoneticPr fontId="6"/>
  </si>
  <si>
    <t>JOD767</t>
    <phoneticPr fontId="6"/>
  </si>
  <si>
    <t>JODメルシー0202</t>
    <phoneticPr fontId="6"/>
  </si>
  <si>
    <t>2/2～</t>
    <phoneticPr fontId="6"/>
  </si>
  <si>
    <t>JOD768</t>
    <phoneticPr fontId="6"/>
  </si>
  <si>
    <t>日生協キャロット2026年1月44号クローズアップ東日本①</t>
    <rPh sb="0" eb="3">
      <t>ニッセイキョウ</t>
    </rPh>
    <rPh sb="12" eb="13">
      <t>ネン</t>
    </rPh>
    <rPh sb="14" eb="15">
      <t>ガツ</t>
    </rPh>
    <rPh sb="17" eb="18">
      <t>ゴウ</t>
    </rPh>
    <rPh sb="25" eb="28">
      <t>ヒガシニホン</t>
    </rPh>
    <phoneticPr fontId="6"/>
  </si>
  <si>
    <t>ロイヤルステージ</t>
    <phoneticPr fontId="6"/>
  </si>
  <si>
    <t>JOD769</t>
    <phoneticPr fontId="6"/>
  </si>
  <si>
    <t>くらし返品</t>
    <rPh sb="3" eb="5">
      <t>ヘンピン</t>
    </rPh>
    <phoneticPr fontId="6"/>
  </si>
  <si>
    <t>JOD770</t>
    <phoneticPr fontId="6"/>
  </si>
  <si>
    <t>JOD771</t>
  </si>
  <si>
    <t>JOD772</t>
    <phoneticPr fontId="6"/>
  </si>
  <si>
    <t>夢販</t>
    <rPh sb="0" eb="2">
      <t>y</t>
    </rPh>
    <phoneticPr fontId="6"/>
  </si>
  <si>
    <t>JOD773</t>
    <phoneticPr fontId="6"/>
  </si>
  <si>
    <t>ニッセン㉑</t>
    <phoneticPr fontId="6"/>
  </si>
  <si>
    <t>ユーコープ３月１回　差分予測</t>
    <rPh sb="6" eb="7">
      <t>ガツ</t>
    </rPh>
    <rPh sb="8" eb="9">
      <t>カイ</t>
    </rPh>
    <rPh sb="10" eb="14">
      <t>サブンヨソク</t>
    </rPh>
    <phoneticPr fontId="6"/>
  </si>
  <si>
    <t>2/18～3/4</t>
    <phoneticPr fontId="6"/>
  </si>
  <si>
    <t>ユーコープ３月１回（不透明袋）</t>
    <rPh sb="6" eb="7">
      <t>ガツ</t>
    </rPh>
    <rPh sb="8" eb="9">
      <t>カイ</t>
    </rPh>
    <phoneticPr fontId="6"/>
  </si>
  <si>
    <t>JOD774</t>
    <phoneticPr fontId="6"/>
  </si>
  <si>
    <t>JOD775</t>
    <phoneticPr fontId="6"/>
  </si>
  <si>
    <t>JOD776</t>
    <phoneticPr fontId="6"/>
  </si>
  <si>
    <t>ニッセン㉒</t>
    <phoneticPr fontId="6"/>
  </si>
  <si>
    <t>西夢</t>
    <rPh sb="0" eb="2">
      <t>ニシユメ</t>
    </rPh>
    <phoneticPr fontId="6"/>
  </si>
  <si>
    <t>JOD777</t>
    <phoneticPr fontId="6"/>
  </si>
  <si>
    <t>JOD特別号(裏)9978</t>
    <rPh sb="3" eb="6">
      <t>トクベツゴウ</t>
    </rPh>
    <rPh sb="7" eb="8">
      <t>ウラ</t>
    </rPh>
    <phoneticPr fontId="6"/>
  </si>
  <si>
    <t>JOD778</t>
  </si>
  <si>
    <t>点2/20、アバウト3/10、本3/10～16</t>
    <rPh sb="0" eb="1">
      <t>テン</t>
    </rPh>
    <rPh sb="15" eb="16">
      <t>ホン</t>
    </rPh>
    <phoneticPr fontId="6"/>
  </si>
  <si>
    <t>コープきんき2月1回（不透明袋）①</t>
    <rPh sb="7" eb="8">
      <t>ガツ</t>
    </rPh>
    <rPh sb="9" eb="10">
      <t>カイ</t>
    </rPh>
    <rPh sb="11" eb="15">
      <t>フトウメイフクロ</t>
    </rPh>
    <phoneticPr fontId="6"/>
  </si>
  <si>
    <t>2025年1月～2025年12月</t>
    <rPh sb="4" eb="5">
      <t>ネン</t>
    </rPh>
    <rPh sb="6" eb="7">
      <t>ガツ</t>
    </rPh>
    <rPh sb="12" eb="13">
      <t>ネン</t>
    </rPh>
    <rPh sb="15" eb="16">
      <t>ガツ</t>
    </rPh>
    <phoneticPr fontId="6"/>
  </si>
  <si>
    <t>実績構成比</t>
    <rPh sb="0" eb="2">
      <t>ジッセキ</t>
    </rPh>
    <rPh sb="2" eb="5">
      <t>コウセイヒ</t>
    </rPh>
    <phoneticPr fontId="6"/>
  </si>
  <si>
    <t>在庫構成比</t>
    <rPh sb="0" eb="2">
      <t>ザイコ</t>
    </rPh>
    <rPh sb="2" eb="5">
      <t>コウセイヒ</t>
    </rPh>
    <phoneticPr fontId="6"/>
  </si>
  <si>
    <t>JOD779</t>
    <phoneticPr fontId="6"/>
  </si>
  <si>
    <t>JOD780</t>
    <phoneticPr fontId="6"/>
  </si>
  <si>
    <t>IEI交換</t>
    <rPh sb="3" eb="5">
      <t>コウカン</t>
    </rPh>
    <phoneticPr fontId="6"/>
  </si>
  <si>
    <t>JOD781</t>
    <phoneticPr fontId="6"/>
  </si>
  <si>
    <t>JOD返品</t>
    <rPh sb="3" eb="5">
      <t>ヘンピン</t>
    </rPh>
    <phoneticPr fontId="6"/>
  </si>
  <si>
    <t>JOD782</t>
    <phoneticPr fontId="6"/>
  </si>
  <si>
    <t>コープ東北サンネット２０２６年１月４回①</t>
    <rPh sb="3" eb="5">
      <t>トウホク</t>
    </rPh>
    <rPh sb="14" eb="15">
      <t>ネン</t>
    </rPh>
    <rPh sb="16" eb="17">
      <t>ガツ</t>
    </rPh>
    <rPh sb="18" eb="19">
      <t>カイ</t>
    </rPh>
    <phoneticPr fontId="6"/>
  </si>
  <si>
    <t>IEI使ってヨカッタ3月号（同色2枚/2色組）</t>
    <rPh sb="3" eb="4">
      <t>ツカ</t>
    </rPh>
    <rPh sb="11" eb="13">
      <t>ガツゴウ</t>
    </rPh>
    <phoneticPr fontId="6"/>
  </si>
  <si>
    <t>IEI使ってヨカッタ3月号（同色2枚/2色組）差分予測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</si>
  <si>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3/7～4/30</t>
    <phoneticPr fontId="6"/>
  </si>
  <si>
    <t>JOD783</t>
    <phoneticPr fontId="6"/>
  </si>
  <si>
    <t>JOD784</t>
    <phoneticPr fontId="6"/>
  </si>
  <si>
    <t>コープ東北サンネット２０２６年１月４回②</t>
    <rPh sb="3" eb="5">
      <t>トウホク</t>
    </rPh>
    <rPh sb="14" eb="15">
      <t>ネン</t>
    </rPh>
    <rPh sb="16" eb="17">
      <t>ガツ</t>
    </rPh>
    <rPh sb="18" eb="19">
      <t>カイ</t>
    </rPh>
    <phoneticPr fontId="6"/>
  </si>
  <si>
    <t>くらし返品</t>
    <rPh sb="3" eb="5">
      <t>ヘンピン</t>
    </rPh>
    <phoneticPr fontId="6"/>
  </si>
  <si>
    <t>JOD785</t>
    <phoneticPr fontId="6"/>
  </si>
  <si>
    <t>ベルーナ元気とキレイの秘訣26年春号①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</si>
  <si>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JOD786</t>
    <phoneticPr fontId="6"/>
  </si>
  <si>
    <t>追加</t>
    <rPh sb="0" eb="2">
      <t>ツイカ</t>
    </rPh>
    <phoneticPr fontId="6"/>
  </si>
  <si>
    <t>ゆめはん</t>
    <phoneticPr fontId="6"/>
  </si>
  <si>
    <t>JOD787</t>
    <phoneticPr fontId="6"/>
  </si>
  <si>
    <t>JODメルシー0303</t>
    <phoneticPr fontId="6"/>
  </si>
  <si>
    <t>3/3～</t>
    <phoneticPr fontId="6"/>
  </si>
  <si>
    <t>JOD788</t>
    <phoneticPr fontId="6"/>
  </si>
  <si>
    <t>コープ東北サンネット4月2回差分予測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6"/>
  </si>
  <si>
    <t>コープ東北サンネット4月2回（不透明袋）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</si>
  <si>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3/25～4/8</t>
    <phoneticPr fontId="6"/>
  </si>
  <si>
    <t>コープきんき2月1回（不透明袋）②</t>
    <rPh sb="7" eb="8">
      <t>ガツ</t>
    </rPh>
    <rPh sb="9" eb="10">
      <t>カイ</t>
    </rPh>
    <rPh sb="11" eb="15">
      <t>フトウメイフクロ</t>
    </rPh>
    <phoneticPr fontId="6"/>
  </si>
  <si>
    <t>JOD789</t>
    <phoneticPr fontId="6"/>
  </si>
  <si>
    <t>JOD新聞折込9039①</t>
    <rPh sb="3" eb="7">
      <t>シンブンオリコミ</t>
    </rPh>
    <phoneticPr fontId="6"/>
  </si>
  <si>
    <t>コープきんき2月1回（不透明袋）③</t>
    <rPh sb="7" eb="8">
      <t>ガツ</t>
    </rPh>
    <rPh sb="9" eb="10">
      <t>カイ</t>
    </rPh>
    <rPh sb="11" eb="15">
      <t>フトウメイフクロ</t>
    </rPh>
    <phoneticPr fontId="6"/>
  </si>
  <si>
    <t>コープきんき2月1回（不透明袋）④</t>
    <rPh sb="7" eb="8">
      <t>ガツ</t>
    </rPh>
    <rPh sb="9" eb="10">
      <t>カイ</t>
    </rPh>
    <rPh sb="11" eb="15">
      <t>フトウメイフクロ</t>
    </rPh>
    <phoneticPr fontId="6"/>
  </si>
  <si>
    <t>JOD新聞折込9041</t>
    <rPh sb="3" eb="7">
      <t>シンブンオリコミ</t>
    </rPh>
    <phoneticPr fontId="6"/>
  </si>
  <si>
    <t>2/16～</t>
    <phoneticPr fontId="6"/>
  </si>
  <si>
    <t>JOD新聞折込9039②</t>
    <rPh sb="3" eb="7">
      <t>シンブンオリコミ</t>
    </rPh>
    <phoneticPr fontId="6"/>
  </si>
  <si>
    <t>JOD新聞折込9039③</t>
    <rPh sb="3" eb="7">
      <t>シンブンオリコミ</t>
    </rPh>
    <phoneticPr fontId="6"/>
  </si>
  <si>
    <t>ニッセン㉓</t>
    <phoneticPr fontId="6"/>
  </si>
  <si>
    <t>日生協キャロット5月11号差分予測</t>
    <rPh sb="0" eb="2">
      <t>ニッセイ</t>
    </rPh>
    <rPh sb="2" eb="3">
      <t>キョウ</t>
    </rPh>
    <rPh sb="9" eb="10">
      <t>ガツ</t>
    </rPh>
    <rPh sb="12" eb="13">
      <t>ゴウ</t>
    </rPh>
    <rPh sb="13" eb="17">
      <t>サブンヨソク</t>
    </rPh>
    <phoneticPr fontId="6"/>
  </si>
  <si>
    <t>日生協キャロット5月11号（不透明袋）\2980</t>
    <rPh sb="0" eb="2">
      <t>ニッセイ</t>
    </rPh>
    <rPh sb="2" eb="3">
      <t>キョウ</t>
    </rPh>
    <rPh sb="9" eb="10">
      <t>ガツ</t>
    </rPh>
    <rPh sb="12" eb="13">
      <t>ゴウ</t>
    </rPh>
    <rPh sb="14" eb="18">
      <t>フトウメイフクロ</t>
    </rPh>
    <phoneticPr fontId="6"/>
  </si>
  <si>
    <t>点5/8　前5/15　アバウト5/19・5/26、最終6/3</t>
    <rPh sb="0" eb="1">
      <t>テン</t>
    </rPh>
    <rPh sb="5" eb="6">
      <t>マエ</t>
    </rPh>
    <rPh sb="25" eb="27">
      <t>サイシュウ</t>
    </rPh>
    <phoneticPr fontId="6"/>
  </si>
  <si>
    <t>JOD新聞折込9039④</t>
    <rPh sb="3" eb="7">
      <t>シンブンオリコミ</t>
    </rPh>
    <phoneticPr fontId="6"/>
  </si>
  <si>
    <t>JOD新聞折込9039⑤</t>
    <rPh sb="3" eb="7">
      <t>シンブンオリコミ</t>
    </rPh>
    <phoneticPr fontId="6"/>
  </si>
  <si>
    <t>IEI使ってヨカッタ4月号（同色2枚/2色組）差分予測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</si>
  <si>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IEI使ってヨカッタ4月号（同色2枚/2色組）</t>
    <rPh sb="3" eb="4">
      <t>ツカ</t>
    </rPh>
    <rPh sb="11" eb="13">
      <t>ガツゴウ</t>
    </rPh>
    <phoneticPr fontId="6"/>
  </si>
  <si>
    <t>4/11～8/31</t>
    <phoneticPr fontId="6"/>
  </si>
  <si>
    <t>JOD特別号9980</t>
    <rPh sb="3" eb="6">
      <t>トクベツゴウ</t>
    </rPh>
    <phoneticPr fontId="6"/>
  </si>
  <si>
    <t>3/2～</t>
    <phoneticPr fontId="6"/>
  </si>
  <si>
    <t>JODアクセス7016</t>
    <phoneticPr fontId="6"/>
  </si>
  <si>
    <t>JOD新聞折込9039⑥</t>
    <rPh sb="3" eb="7">
      <t>シンブンオリコミ</t>
    </rPh>
    <phoneticPr fontId="6"/>
  </si>
  <si>
    <t>IEI使ってヨカッタ2月号（2色組）①</t>
    <rPh sb="3" eb="4">
      <t>ツカ</t>
    </rPh>
    <rPh sb="11" eb="13">
      <t>ガツゴウ</t>
    </rPh>
    <phoneticPr fontId="6"/>
  </si>
  <si>
    <t>JOD新聞折込9039⑦</t>
    <rPh sb="3" eb="7">
      <t>シンブンオリコミ</t>
    </rPh>
    <phoneticPr fontId="6"/>
  </si>
  <si>
    <r>
      <t>JOD特別版0211/</t>
    </r>
    <r>
      <rPr>
        <b/>
        <sz val="11"/>
        <rFont val="ＭＳ Ｐゴシック"/>
        <family val="3"/>
        <charset val="128"/>
      </rPr>
      <t>2色組</t>
    </r>
    <rPh sb="3" eb="6">
      <t>トクベツバン</t>
    </rPh>
    <rPh sb="12" eb="14">
      <t>ショククミ</t>
    </rPh>
    <phoneticPr fontId="6"/>
  </si>
  <si>
    <t>JOD新聞折込9041①</t>
    <rPh sb="3" eb="7">
      <t>シンブンオリコミ</t>
    </rPh>
    <phoneticPr fontId="6"/>
  </si>
  <si>
    <t>コープ東北サンネット2月3回（不透明袋）①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</si>
  <si>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コープ東北サンネット2月3回（不透明袋）②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</si>
  <si>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JOD再撮用sample</t>
    <rPh sb="3" eb="6">
      <t>サイサツヨウ</t>
    </rPh>
    <phoneticPr fontId="6"/>
  </si>
  <si>
    <t>JOD新聞折込9041②</t>
    <rPh sb="3" eb="7">
      <t>シンブンオリコミ</t>
    </rPh>
    <phoneticPr fontId="6"/>
  </si>
  <si>
    <t>ベルーナ元気とキレイの秘訣26年春号②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</si>
  <si>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JOD2色組</t>
    <rPh sb="4" eb="6">
      <t>ショクグミ</t>
    </rPh>
    <phoneticPr fontId="6"/>
  </si>
  <si>
    <t>JOD新聞折込9041③</t>
    <rPh sb="3" eb="7">
      <t>シンブンオリコミ</t>
    </rPh>
    <phoneticPr fontId="6"/>
  </si>
  <si>
    <t>コープきんき3月3回（不透明袋）①</t>
    <rPh sb="7" eb="8">
      <t>ガツ</t>
    </rPh>
    <rPh sb="9" eb="10">
      <t>カイ</t>
    </rPh>
    <rPh sb="11" eb="15">
      <t>フトウメイフクロ</t>
    </rPh>
    <phoneticPr fontId="6"/>
  </si>
  <si>
    <t>ニッセン㉔</t>
    <phoneticPr fontId="6"/>
  </si>
  <si>
    <t>JOD新聞折込9041④</t>
    <rPh sb="3" eb="7">
      <t>シンブンオリコミ</t>
    </rPh>
    <phoneticPr fontId="6"/>
  </si>
  <si>
    <t>サクラマチ返品</t>
    <rPh sb="5" eb="7">
      <t>ヘンピン</t>
    </rPh>
    <phoneticPr fontId="6"/>
  </si>
  <si>
    <t>在庫確認</t>
    <rPh sb="0" eb="4">
      <t>ザイコカクニン</t>
    </rPh>
    <phoneticPr fontId="6"/>
  </si>
  <si>
    <t>JOD新聞折込9041⑤</t>
    <rPh sb="3" eb="7">
      <t>シンブンオリコミ</t>
    </rPh>
    <phoneticPr fontId="6"/>
  </si>
  <si>
    <t>ユーコープ３月１回（不透明袋）①</t>
    <rPh sb="6" eb="7">
      <t>ガツ</t>
    </rPh>
    <rPh sb="8" eb="9">
      <t>カイ</t>
    </rPh>
    <phoneticPr fontId="6"/>
  </si>
  <si>
    <t>3/9～</t>
    <phoneticPr fontId="6"/>
  </si>
  <si>
    <t>ゆめはん</t>
    <phoneticPr fontId="6"/>
  </si>
  <si>
    <t>JOD新聞折込9041⑥</t>
    <rPh sb="3" eb="7">
      <t>シンブンオリコミ</t>
    </rPh>
    <phoneticPr fontId="6"/>
  </si>
  <si>
    <t>JOD新聞折込9041⑦</t>
    <rPh sb="3" eb="7">
      <t>シンブンオリコミ</t>
    </rPh>
    <phoneticPr fontId="6"/>
  </si>
  <si>
    <t>ユーコープ３月１回（不透明袋）②</t>
    <rPh sb="6" eb="7">
      <t>ガツ</t>
    </rPh>
    <rPh sb="8" eb="9">
      <t>カイ</t>
    </rPh>
    <phoneticPr fontId="6"/>
  </si>
  <si>
    <t>←ここまで在庫管理済2026/2/25</t>
    <rPh sb="5" eb="7">
      <t>ザイコ</t>
    </rPh>
    <rPh sb="7" eb="10">
      <t>カンリスミ</t>
    </rPh>
    <phoneticPr fontId="6"/>
  </si>
  <si>
    <t>JOD新聞折込9041⑧</t>
    <rPh sb="3" eb="7">
      <t>シンブンオリコミ</t>
    </rPh>
    <phoneticPr fontId="6"/>
  </si>
  <si>
    <t>ニッセン㉕</t>
    <phoneticPr fontId="6"/>
  </si>
  <si>
    <t>ユーコープ３月１回（不透明袋）③</t>
    <rPh sb="6" eb="7">
      <t>ガツ</t>
    </rPh>
    <rPh sb="8" eb="9">
      <t>カイ</t>
    </rPh>
    <phoneticPr fontId="6"/>
  </si>
  <si>
    <t>ベルーナ元気とキレイの秘訣26年春号③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</si>
  <si>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4/22、27</t>
    <phoneticPr fontId="6"/>
  </si>
  <si>
    <t>コープさっぽろ4月5回（不透明袋）</t>
    <rPh sb="8" eb="9">
      <t>ガツ</t>
    </rPh>
    <rPh sb="10" eb="11">
      <t>カイ</t>
    </rPh>
    <rPh sb="12" eb="16">
      <t>フトウメイフクロ</t>
    </rPh>
    <phoneticPr fontId="6"/>
  </si>
  <si>
    <t>コープさっぽろ4月5回（不透明袋）差分予測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</si>
  <si>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JOD新聞折込9041⑨</t>
    <rPh sb="3" eb="7">
      <t>シンブンオリコミ</t>
    </rPh>
    <phoneticPr fontId="6"/>
  </si>
  <si>
    <t>JOD新聞折込9041⑩</t>
    <rPh sb="3" eb="7">
      <t>シンブンオリコミ</t>
    </rPh>
    <phoneticPr fontId="6"/>
  </si>
  <si>
    <t>JOD特別号（表）9981</t>
    <rPh sb="3" eb="6">
      <t>トクベツゴウ</t>
    </rPh>
    <rPh sb="7" eb="8">
      <t>オモテ</t>
    </rPh>
    <phoneticPr fontId="6"/>
  </si>
  <si>
    <t>JOD新聞折込9041⑪</t>
    <rPh sb="3" eb="7">
      <t>シンブンオリコミ</t>
    </rPh>
    <phoneticPr fontId="6"/>
  </si>
  <si>
    <t>IEI使ってヨカッタ3月号（2色組）①</t>
    <rPh sb="3" eb="4">
      <t>ツカ</t>
    </rPh>
    <rPh sb="11" eb="13">
      <t>ガツゴウ</t>
    </rPh>
    <phoneticPr fontId="6"/>
  </si>
  <si>
    <t>IEI使ってヨカッタ3月号（同色2枚）①</t>
    <rPh sb="3" eb="4">
      <t>ツカ</t>
    </rPh>
    <rPh sb="11" eb="13">
      <t>ガツゴウ</t>
    </rPh>
    <phoneticPr fontId="6"/>
  </si>
  <si>
    <t>ニッセン㉖</t>
    <phoneticPr fontId="6"/>
  </si>
  <si>
    <t>JOD新聞折込9044①</t>
    <rPh sb="3" eb="7">
      <t>シンブンオリコミ</t>
    </rPh>
    <phoneticPr fontId="6"/>
  </si>
  <si>
    <t>JOD特別版0416</t>
    <rPh sb="3" eb="6">
      <t>トクベツバン</t>
    </rPh>
    <phoneticPr fontId="6"/>
  </si>
  <si>
    <t>5/7～6/6</t>
    <phoneticPr fontId="6"/>
  </si>
  <si>
    <t>JOD新聞折込9047</t>
    <rPh sb="3" eb="7">
      <t>シンブンオリコミ</t>
    </rPh>
    <phoneticPr fontId="6"/>
  </si>
  <si>
    <t>3/23～</t>
    <phoneticPr fontId="6"/>
  </si>
  <si>
    <t>←ここまで在庫管理済2026/3/9</t>
    <rPh sb="5" eb="7">
      <t>ザイコ</t>
    </rPh>
    <rPh sb="7" eb="10">
      <t>カンリスミ</t>
    </rPh>
    <phoneticPr fontId="6"/>
  </si>
  <si>
    <t>JOD特別号R9982</t>
    <rPh sb="3" eb="5">
      <t>トクベツ</t>
    </rPh>
    <rPh sb="5" eb="6">
      <t>ゴウ</t>
    </rPh>
    <phoneticPr fontId="6"/>
  </si>
  <si>
    <t>JOD新聞折込9044②</t>
    <rPh sb="3" eb="7">
      <t>シンブンオリコミ</t>
    </rPh>
    <phoneticPr fontId="6"/>
  </si>
  <si>
    <t>ニッセン㉗</t>
    <phoneticPr fontId="6"/>
  </si>
  <si>
    <t>JOD新聞折込9044③</t>
    <rPh sb="3" eb="7">
      <t>シンブンオリコミ</t>
    </rPh>
    <phoneticPr fontId="6"/>
  </si>
  <si>
    <t>←ここまで在庫管理済2026/3/11</t>
    <rPh sb="5" eb="7">
      <t>ザイコ</t>
    </rPh>
    <rPh sb="7" eb="10">
      <t>カンリスミ</t>
    </rPh>
    <phoneticPr fontId="6"/>
  </si>
  <si>
    <t>JOD新聞折込9044④</t>
    <rPh sb="3" eb="7">
      <t>シンブンオリコミ</t>
    </rPh>
    <phoneticPr fontId="6"/>
  </si>
  <si>
    <t>JOD新聞折込9044⑤</t>
    <rPh sb="3" eb="7">
      <t>シンブンオリコミ</t>
    </rPh>
    <phoneticPr fontId="6"/>
  </si>
  <si>
    <t>コープきんき3月3回（不透明袋）②</t>
    <rPh sb="7" eb="8">
      <t>ガツ</t>
    </rPh>
    <rPh sb="9" eb="10">
      <t>カイ</t>
    </rPh>
    <rPh sb="11" eb="15">
      <t>フトウメイフクロ</t>
    </rPh>
    <phoneticPr fontId="6"/>
  </si>
  <si>
    <t>ベルーナ元気とキレイの秘訣26年春号④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</si>
  <si>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JOD新聞折込9044⑥</t>
    <rPh sb="3" eb="7">
      <t>シンブンオリコミ</t>
    </rPh>
    <phoneticPr fontId="6"/>
  </si>
  <si>
    <t>IEI使ってヨカッタ6月号（同色2枚/2色組）差分予測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</si>
  <si>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IEI使ってヨカッタ6月号（同色2枚/2色組）</t>
    <rPh sb="3" eb="4">
      <t>ツカ</t>
    </rPh>
    <rPh sb="11" eb="13">
      <t>ガツゴウ</t>
    </rPh>
    <phoneticPr fontId="6"/>
  </si>
  <si>
    <t>5/30～9/30</t>
    <phoneticPr fontId="6"/>
  </si>
  <si>
    <t>JOD新聞折込9044⑦</t>
    <rPh sb="3" eb="7">
      <t>シンブンオリコミ</t>
    </rPh>
    <phoneticPr fontId="6"/>
  </si>
  <si>
    <t>JOD新聞折込9044⑧</t>
    <rPh sb="3" eb="7">
      <t>シンブンオリコミ</t>
    </rPh>
    <phoneticPr fontId="6"/>
  </si>
  <si>
    <t>くらし企画（パル）sample返却</t>
    <rPh sb="3" eb="5">
      <t>キカク</t>
    </rPh>
    <rPh sb="15" eb="17">
      <t>ヘンキャク</t>
    </rPh>
    <phoneticPr fontId="6"/>
  </si>
  <si>
    <t>JOD新聞折込9044⑨</t>
    <rPh sb="3" eb="7">
      <t>シンブンオリコミ</t>
    </rPh>
    <phoneticPr fontId="6"/>
  </si>
  <si>
    <t>JOD新聞折込9050</t>
    <rPh sb="3" eb="7">
      <t>シンブンオリコミ</t>
    </rPh>
    <phoneticPr fontId="6"/>
  </si>
  <si>
    <t>4/6～</t>
    <phoneticPr fontId="6"/>
  </si>
  <si>
    <t>ベルーナ元気とキレイの秘訣26年春号⑤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</si>
  <si>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JOD新聞折込9044⑩</t>
    <rPh sb="3" eb="7">
      <t>シンブンオリコミ</t>
    </rPh>
    <phoneticPr fontId="6"/>
  </si>
  <si>
    <t>ニッセン㉘</t>
    <phoneticPr fontId="6"/>
  </si>
  <si>
    <t>コープさっぽろ6月1回（不透明袋）差分予測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</si>
  <si>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コープさっぽろ6月1回（不透明袋）</t>
    <rPh sb="8" eb="9">
      <t>ガツ</t>
    </rPh>
    <rPh sb="10" eb="11">
      <t>カイ</t>
    </rPh>
    <rPh sb="12" eb="16">
      <t>フトウメイフクロ</t>
    </rPh>
    <phoneticPr fontId="6"/>
  </si>
  <si>
    <t>5/27、6/1</t>
    <phoneticPr fontId="6"/>
  </si>
  <si>
    <t>JOD返品</t>
    <rPh sb="3" eb="5">
      <t>ヘンピン</t>
    </rPh>
    <phoneticPr fontId="6"/>
  </si>
  <si>
    <t>JOD新聞折込9044⑪</t>
    <rPh sb="3" eb="7">
      <t>シンブンオリコミ</t>
    </rPh>
    <phoneticPr fontId="6"/>
  </si>
  <si>
    <t>ベルーナ元気とキレイの秘訣26年春号⑥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</si>
  <si>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JOD新聞折込9044⑫</t>
    <rPh sb="3" eb="7">
      <t>シンブンオリコミ</t>
    </rPh>
    <phoneticPr fontId="6"/>
  </si>
  <si>
    <t>IEI使ってヨカッタ3月号（同色2枚）②</t>
    <rPh sb="3" eb="4">
      <t>ツカ</t>
    </rPh>
    <rPh sb="11" eb="13">
      <t>ガツゴウ</t>
    </rPh>
    <phoneticPr fontId="6"/>
  </si>
  <si>
    <t>JOD新聞折込9044⑬</t>
    <rPh sb="3" eb="7">
      <t>シンブンオリコミ</t>
    </rPh>
    <phoneticPr fontId="6"/>
  </si>
  <si>
    <t>JOD新聞折込9044⑭</t>
    <rPh sb="3" eb="7">
      <t>シンブンオリコミ</t>
    </rPh>
    <phoneticPr fontId="6"/>
  </si>
  <si>
    <t>ニッセン26初夏号楽市 差分予測</t>
    <rPh sb="6" eb="9">
      <t>ショカゴウ</t>
    </rPh>
    <rPh sb="9" eb="11">
      <t>ラクイチ</t>
    </rPh>
    <rPh sb="12" eb="16">
      <t>サブンヨソク</t>
    </rPh>
    <phoneticPr fontId="2"/>
  </si>
  <si>
    <t>ニッセン㉙</t>
    <phoneticPr fontId="6"/>
  </si>
  <si>
    <t>JOD新聞折込9050①</t>
    <rPh sb="3" eb="7">
      <t>シンブンオリコミ</t>
    </rPh>
    <phoneticPr fontId="6"/>
  </si>
  <si>
    <t>JOD残</t>
    <rPh sb="3" eb="4">
      <t>ザン</t>
    </rPh>
    <phoneticPr fontId="6"/>
  </si>
  <si>
    <t>コープ東北サンネット4月2回（不透明袋）①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</si>
  <si>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コープ東北サンネット4月2回（不透明袋）②</t>
    <rPh sb="3" eb="5">
      <t>トウホク</t>
    </rPh>
    <rPh sb="11" eb="12">
      <t>ガツ</t>
    </rPh>
    <rPh sb="13" eb="14">
      <t>カイ</t>
    </rPh>
    <rPh sb="15" eb="19">
      <t>フトウメイフクロ</t>
    </rPh>
    <phoneticPr fontId="6"/>
  </si>
  <si>
    <t>JOD新聞折込9053</t>
    <rPh sb="3" eb="7">
      <t>シンブンオリコミ</t>
    </rPh>
    <phoneticPr fontId="6"/>
  </si>
  <si>
    <t>JOD新聞折込9050②</t>
    <rPh sb="3" eb="7">
      <t>シンブンオリコミ</t>
    </rPh>
    <phoneticPr fontId="6"/>
  </si>
  <si>
    <t>ニッセン㉚</t>
    <phoneticPr fontId="6"/>
  </si>
  <si>
    <t>JODアクセス7017</t>
    <phoneticPr fontId="6"/>
  </si>
  <si>
    <t>JOD特別号9984</t>
    <rPh sb="3" eb="6">
      <t>トクベツゴウ</t>
    </rPh>
    <phoneticPr fontId="6"/>
  </si>
  <si>
    <t>JOD新聞折込9050③</t>
    <rPh sb="3" eb="7">
      <t>シンブンオリコミ</t>
    </rPh>
    <phoneticPr fontId="6"/>
  </si>
  <si>
    <t>JOD返品</t>
    <rPh sb="3" eb="5">
      <t>ヘンピン</t>
    </rPh>
    <phoneticPr fontId="6"/>
  </si>
  <si>
    <t>JOD新聞折込9050④</t>
    <rPh sb="3" eb="7">
      <t>シンブンオリコミ</t>
    </rPh>
    <phoneticPr fontId="6"/>
  </si>
  <si>
    <t>2026/4/10数</t>
    <rPh sb="9" eb="10">
      <t>スウ</t>
    </rPh>
    <phoneticPr fontId="6"/>
  </si>
  <si>
    <t>ベルーナ元気とキレイの秘訣26年春号⑦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</si>
  <si>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JOD新聞折込9050⑤</t>
    <rPh sb="3" eb="7">
      <t>シンブンオリコミ</t>
    </rPh>
    <phoneticPr fontId="6"/>
  </si>
  <si>
    <t>JOD新聞折込9050⑥</t>
    <rPh sb="3" eb="7">
      <t>シンブンオリコミ</t>
    </rPh>
    <phoneticPr fontId="6"/>
  </si>
  <si>
    <t>東北サンネット7月３回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6"/>
  </si>
  <si>
    <t>7/2～7/15</t>
    <phoneticPr fontId="6"/>
  </si>
  <si>
    <t>東北サンネット7月３回（不透明袋）</t>
    <rPh sb="0" eb="2">
      <t>トウホク</t>
    </rPh>
    <rPh sb="8" eb="9">
      <t>ガツ</t>
    </rPh>
    <rPh sb="10" eb="11">
      <t>カイ</t>
    </rPh>
    <phoneticPr fontId="6"/>
  </si>
  <si>
    <t>JOD新聞折込9050⑦</t>
    <rPh sb="3" eb="7">
      <t>シンブンオリコミ</t>
    </rPh>
    <phoneticPr fontId="6"/>
  </si>
  <si>
    <t>ニッセン㉛</t>
    <phoneticPr fontId="6"/>
  </si>
  <si>
    <t>JOD新聞折込9053①</t>
    <rPh sb="3" eb="7">
      <t>シンブンオリコミ</t>
    </rPh>
    <phoneticPr fontId="6"/>
  </si>
  <si>
    <t>ロイヤルステージ6月号同色2枚組</t>
    <rPh sb="9" eb="11">
      <t>ガツゴウ</t>
    </rPh>
    <rPh sb="11" eb="13">
      <t>ドウショク</t>
    </rPh>
    <rPh sb="14" eb="16">
      <t>マイクミ</t>
    </rPh>
    <phoneticPr fontId="6"/>
  </si>
  <si>
    <t>6/4～7/3</t>
    <phoneticPr fontId="6"/>
  </si>
  <si>
    <t>IEI使ってヨカッタ4月号（2色組）①</t>
    <rPh sb="3" eb="4">
      <t>ツカ</t>
    </rPh>
    <rPh sb="11" eb="13">
      <t>ガツゴウ</t>
    </rPh>
    <phoneticPr fontId="6"/>
  </si>
  <si>
    <t>IEI使ってヨカッタ4月号（同色2枚）①</t>
    <rPh sb="3" eb="4">
      <t>ツカ</t>
    </rPh>
    <rPh sb="11" eb="13">
      <t>ガツゴウ</t>
    </rPh>
    <phoneticPr fontId="6"/>
  </si>
  <si>
    <t>KPORT</t>
    <phoneticPr fontId="6"/>
  </si>
  <si>
    <t>ベルーナ元気とキレイの秘訣26年春号⑧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</si>
  <si>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サクラマチ直送</t>
    <rPh sb="5" eb="7">
      <t>チョクソウ</t>
    </rPh>
    <phoneticPr fontId="6"/>
  </si>
  <si>
    <t>JOD新聞折込9053②</t>
    <rPh sb="3" eb="7">
      <t>シンブンオリコミ</t>
    </rPh>
    <phoneticPr fontId="6"/>
  </si>
  <si>
    <t>JOD新聞折込9053③</t>
    <rPh sb="3" eb="7">
      <t>シンブンオリコミ</t>
    </rPh>
    <phoneticPr fontId="6"/>
  </si>
  <si>
    <t>コープさっぽろ4月5回（不透明袋）①</t>
    <rPh sb="8" eb="9">
      <t>ガツ</t>
    </rPh>
    <rPh sb="10" eb="11">
      <t>カイ</t>
    </rPh>
    <rPh sb="12" eb="16">
      <t>フトウメイフクロ</t>
    </rPh>
    <phoneticPr fontId="6"/>
  </si>
  <si>
    <t>JOD新聞折込9053④</t>
    <rPh sb="3" eb="7">
      <t>シンブンオリコミ</t>
    </rPh>
    <phoneticPr fontId="6"/>
  </si>
  <si>
    <t>ニッセン㉜</t>
    <phoneticPr fontId="6"/>
  </si>
  <si>
    <t>JOD特別号9985</t>
    <rPh sb="3" eb="6">
      <t>トクベツゴウ</t>
    </rPh>
    <phoneticPr fontId="6"/>
  </si>
  <si>
    <t>5/19～</t>
    <phoneticPr fontId="6"/>
  </si>
  <si>
    <t>JOD新聞折込9053⑤</t>
    <rPh sb="3" eb="7">
      <t>シンブンオリコミ</t>
    </rPh>
    <phoneticPr fontId="6"/>
  </si>
  <si>
    <t>JOD新聞折込9056</t>
    <rPh sb="3" eb="7">
      <t>シンブンオリコミ</t>
    </rPh>
    <phoneticPr fontId="6"/>
  </si>
  <si>
    <t>5/18～</t>
    <phoneticPr fontId="6"/>
  </si>
  <si>
    <t>ゆめはん</t>
    <phoneticPr fontId="6"/>
  </si>
  <si>
    <t>追加３　1-1</t>
    <rPh sb="0" eb="2">
      <t>ツイカ</t>
    </rPh>
    <phoneticPr fontId="2"/>
  </si>
  <si>
    <t>JOD新聞折込9053⑥</t>
    <rPh sb="3" eb="7">
      <t>シンブンオリコミ</t>
    </rPh>
    <phoneticPr fontId="6"/>
  </si>
  <si>
    <t>コープさっぽろ4月5回（不透明袋）②</t>
    <rPh sb="8" eb="9">
      <t>ガツ</t>
    </rPh>
    <rPh sb="10" eb="11">
      <t>カイ</t>
    </rPh>
    <rPh sb="12" eb="16">
      <t>フトウメイフクロ</t>
    </rPh>
    <phoneticPr fontId="6"/>
  </si>
  <si>
    <t>ベルーナ元気とキレイの秘訣26年春号⑨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</si>
  <si>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IEI使ってヨカッタ7月号（同色2枚/2色組）</t>
    <rPh sb="3" eb="4">
      <t>ツカ</t>
    </rPh>
    <rPh sb="11" eb="13">
      <t>ガツゴウ</t>
    </rPh>
    <phoneticPr fontId="6"/>
  </si>
  <si>
    <t>IEI使ってヨカッタ7月号（同色2枚/2色組）差分予測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</si>
  <si>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7/4～10/31</t>
    <phoneticPr fontId="6"/>
  </si>
  <si>
    <t>JOD新聞折込9053⑦</t>
    <rPh sb="3" eb="7">
      <t>シンブンオリコミ</t>
    </rPh>
    <phoneticPr fontId="6"/>
  </si>
  <si>
    <t>IEI使ってヨカッタ4月号（同色2枚）②</t>
    <rPh sb="3" eb="4">
      <t>ツカ</t>
    </rPh>
    <rPh sb="11" eb="13">
      <t>ガツゴウ</t>
    </rPh>
    <phoneticPr fontId="6"/>
  </si>
  <si>
    <t>JOD新聞折込9053⑧</t>
    <rPh sb="3" eb="7">
      <t>シンブンオリコミ</t>
    </rPh>
    <phoneticPr fontId="6"/>
  </si>
  <si>
    <t>ニッセン㉝</t>
    <phoneticPr fontId="6"/>
  </si>
  <si>
    <t>2026/3/27数伝</t>
    <rPh sb="9" eb="10">
      <t>スウ</t>
    </rPh>
    <rPh sb="10" eb="11">
      <t>デン</t>
    </rPh>
    <phoneticPr fontId="6"/>
  </si>
  <si>
    <t>JOD特別号9566</t>
    <rPh sb="3" eb="6">
      <t>トクベツゴウ</t>
    </rPh>
    <phoneticPr fontId="6"/>
  </si>
  <si>
    <t>6/9～</t>
    <phoneticPr fontId="6"/>
  </si>
  <si>
    <t>JOD新聞折込9053⑨</t>
    <rPh sb="3" eb="7">
      <t>シンブンオリコミ</t>
    </rPh>
    <phoneticPr fontId="6"/>
  </si>
  <si>
    <t>JOD新聞折込9054⑩</t>
    <rPh sb="3" eb="7">
      <t>シンブンオリコミ</t>
    </rPh>
    <phoneticPr fontId="6"/>
  </si>
  <si>
    <t>IEI交換</t>
    <rPh sb="3" eb="5">
      <t>コウカン</t>
    </rPh>
    <phoneticPr fontId="6"/>
  </si>
  <si>
    <t>日生協キャロット5月11号（不透明袋）\2980東日本①</t>
    <rPh sb="0" eb="2">
      <t>ニッセイ</t>
    </rPh>
    <rPh sb="2" eb="3">
      <t>キョウ</t>
    </rPh>
    <rPh sb="9" eb="10">
      <t>ガツ</t>
    </rPh>
    <rPh sb="12" eb="13">
      <t>ゴウ</t>
    </rPh>
    <rPh sb="14" eb="18">
      <t>フトウメイフクロ</t>
    </rPh>
    <rPh sb="24" eb="27">
      <t>ヒガシニホン</t>
    </rPh>
    <phoneticPr fontId="6"/>
  </si>
  <si>
    <t>JOD新聞折込9054⑪</t>
    <rPh sb="3" eb="7">
      <t>シンブンオリコミ</t>
    </rPh>
    <phoneticPr fontId="6"/>
  </si>
  <si>
    <t>JOD新聞折込9054⑫</t>
    <rPh sb="3" eb="7">
      <t>シンブンオリコミ</t>
    </rPh>
    <phoneticPr fontId="6"/>
  </si>
  <si>
    <t>ネット返品交換</t>
    <rPh sb="3" eb="7">
      <t>ヘンピンコウカン</t>
    </rPh>
    <phoneticPr fontId="6"/>
  </si>
  <si>
    <t>JOD新聞折込9054⑬</t>
    <rPh sb="3" eb="7">
      <t>シンブンオリコミ</t>
    </rPh>
    <phoneticPr fontId="6"/>
  </si>
  <si>
    <t>東北サンネット8月1回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6"/>
  </si>
  <si>
    <t>東北サンネット8月1回（不透明袋）</t>
    <rPh sb="0" eb="2">
      <t>トウホク</t>
    </rPh>
    <rPh sb="8" eb="9">
      <t>ガツ</t>
    </rPh>
    <rPh sb="10" eb="11">
      <t>カイ</t>
    </rPh>
    <phoneticPr fontId="6"/>
  </si>
  <si>
    <t>7/23～8/5</t>
    <phoneticPr fontId="6"/>
  </si>
  <si>
    <t>JOD新聞折込9054⑭</t>
    <rPh sb="3" eb="7">
      <t>シンブンオリコミ</t>
    </rPh>
    <phoneticPr fontId="6"/>
  </si>
  <si>
    <t>JOD新聞折込9056①</t>
    <rPh sb="3" eb="7">
      <t>シンブンオリコミ</t>
    </rPh>
    <phoneticPr fontId="6"/>
  </si>
  <si>
    <t>KPORT</t>
    <phoneticPr fontId="6"/>
  </si>
  <si>
    <t>電話注文</t>
    <rPh sb="0" eb="4">
      <t>デンワチュウモン</t>
    </rPh>
    <phoneticPr fontId="6"/>
  </si>
  <si>
    <t>JOD新聞折込9056②</t>
    <rPh sb="3" eb="7">
      <t>シンブンオリコミ</t>
    </rPh>
    <phoneticPr fontId="6"/>
  </si>
  <si>
    <t>ロイヤルステージ7月号同色2枚組</t>
    <rPh sb="9" eb="11">
      <t>ガツゴウ</t>
    </rPh>
    <rPh sb="11" eb="13">
      <t>ドウショク</t>
    </rPh>
    <rPh sb="14" eb="16">
      <t>マイクミ</t>
    </rPh>
    <phoneticPr fontId="6"/>
  </si>
  <si>
    <t>7/2～8/15</t>
    <phoneticPr fontId="6"/>
  </si>
  <si>
    <t>日生協キャロット5月11号（不透明袋）\2980東日本②</t>
    <rPh sb="0" eb="2">
      <t>ニッセイ</t>
    </rPh>
    <rPh sb="2" eb="3">
      <t>キョウ</t>
    </rPh>
    <rPh sb="9" eb="10">
      <t>ガツ</t>
    </rPh>
    <rPh sb="12" eb="13">
      <t>ゴウ</t>
    </rPh>
    <rPh sb="14" eb="18">
      <t>フトウメイフクロ</t>
    </rPh>
    <rPh sb="24" eb="27">
      <t>ヒガシニホン</t>
    </rPh>
    <phoneticPr fontId="6"/>
  </si>
  <si>
    <t>JOD新聞折込9056③</t>
    <rPh sb="3" eb="7">
      <t>シンブンオリコミ</t>
    </rPh>
    <phoneticPr fontId="6"/>
  </si>
  <si>
    <t>JOD新聞折込9056④</t>
    <rPh sb="3" eb="7">
      <t>シンブンオリコミ</t>
    </rPh>
    <phoneticPr fontId="6"/>
  </si>
  <si>
    <t>ニッセン㉞</t>
    <phoneticPr fontId="6"/>
  </si>
  <si>
    <t>IEI使ってヨカッタ8月号（同色2枚/2色組）差分予測</t>
    <rPh sb="3" eb="4">
      <t>ツカ</t>
    </rPh>
    <rPh sb="11" eb="13">
      <t>ガツゴウ</t>
    </rPh>
    <rPh sb="23" eb="27">
      <t>サブンヨソク</t>
    </rPh>
    <phoneticPr fontId="6"/>
  </si>
  <si>
    <t>IEI使ってヨカッタ8月号（同色2枚/2色組）</t>
    <rPh sb="3" eb="4">
      <t>ツカ</t>
    </rPh>
    <rPh sb="11" eb="13">
      <t>ガツゴウ</t>
    </rPh>
    <phoneticPr fontId="6"/>
  </si>
  <si>
    <t>8/1～9/30</t>
    <phoneticPr fontId="6"/>
  </si>
  <si>
    <t>ニッセン26年12月号楽市</t>
    <rPh sb="6" eb="7">
      <t>ネン</t>
    </rPh>
    <rPh sb="9" eb="11">
      <t>ガツゴウ</t>
    </rPh>
    <rPh sb="11" eb="13">
      <t>ラクイチ</t>
    </rPh>
    <phoneticPr fontId="6"/>
  </si>
  <si>
    <t>11/中旬～2/末</t>
    <rPh sb="3" eb="5">
      <t>チュウジュン</t>
    </rPh>
    <rPh sb="8" eb="9">
      <t>マツ</t>
    </rPh>
    <phoneticPr fontId="6"/>
  </si>
  <si>
    <t>JOD新聞折込9056⑤</t>
    <rPh sb="3" eb="7">
      <t>シンブンオリコミ</t>
    </rPh>
    <phoneticPr fontId="6"/>
  </si>
  <si>
    <t>ネット</t>
    <phoneticPr fontId="6"/>
  </si>
  <si>
    <t>ゆめはん</t>
    <phoneticPr fontId="6"/>
  </si>
  <si>
    <t>JOD新聞折込9056⑥</t>
    <rPh sb="3" eb="7">
      <t>シンブンオリコミ</t>
    </rPh>
    <phoneticPr fontId="6"/>
  </si>
  <si>
    <t>JOD新聞折込9056⑦</t>
    <rPh sb="3" eb="7">
      <t>シンブンオリコミ</t>
    </rPh>
    <phoneticPr fontId="6"/>
  </si>
  <si>
    <t>IEI使ってヨカッタ6月号（2色組）①</t>
    <rPh sb="3" eb="4">
      <t>ツカ</t>
    </rPh>
    <rPh sb="11" eb="13">
      <t>ガツゴウ</t>
    </rPh>
    <phoneticPr fontId="6"/>
  </si>
  <si>
    <t>IEI使ってヨカッタ6月号（同色2枚）①</t>
    <rPh sb="3" eb="4">
      <t>ツカ</t>
    </rPh>
    <rPh sb="11" eb="13">
      <t>ガツゴウ</t>
    </rPh>
    <phoneticPr fontId="6"/>
  </si>
  <si>
    <t>コープさっぽろ6月1回（不透明袋）①</t>
    <rPh sb="8" eb="9">
      <t>ガツ</t>
    </rPh>
    <rPh sb="10" eb="11">
      <t>カイ</t>
    </rPh>
    <rPh sb="12" eb="16">
      <t>フトウメイフクロ</t>
    </rPh>
    <phoneticPr fontId="6"/>
  </si>
  <si>
    <t>日生協キャロット5月11号（不透明袋）\2980東日本③</t>
    <rPh sb="0" eb="2">
      <t>ニッセイ</t>
    </rPh>
    <rPh sb="2" eb="3">
      <t>キョウ</t>
    </rPh>
    <rPh sb="9" eb="10">
      <t>ガツ</t>
    </rPh>
    <rPh sb="12" eb="13">
      <t>ゴウ</t>
    </rPh>
    <rPh sb="14" eb="18">
      <t>フトウメイフクロ</t>
    </rPh>
    <rPh sb="24" eb="27">
      <t>ヒガシニホン</t>
    </rPh>
    <phoneticPr fontId="6"/>
  </si>
  <si>
    <t>JOD新聞折込9056⑨</t>
    <rPh sb="3" eb="7">
      <t>シンブンオリコミ</t>
    </rPh>
    <phoneticPr fontId="6"/>
  </si>
  <si>
    <t>西夢取り置き</t>
    <rPh sb="0" eb="3">
      <t>ニシユメト</t>
    </rPh>
    <rPh sb="4" eb="5">
      <t>オ</t>
    </rPh>
    <phoneticPr fontId="6"/>
  </si>
  <si>
    <t>ニッセン㉟</t>
    <phoneticPr fontId="6"/>
  </si>
  <si>
    <t>JOD新聞折込9056⑩</t>
    <rPh sb="3" eb="7">
      <t>シンブンオリコミ</t>
    </rPh>
    <phoneticPr fontId="6"/>
  </si>
  <si>
    <t>ゆめはん</t>
    <phoneticPr fontId="6"/>
  </si>
  <si>
    <t>JOD新聞折込9056⑪</t>
    <rPh sb="3" eb="7">
      <t>シンブンオリコミ</t>
    </rPh>
    <phoneticPr fontId="6"/>
  </si>
  <si>
    <t>ネット</t>
    <phoneticPr fontId="6"/>
  </si>
  <si>
    <t>KPORT</t>
    <phoneticPr fontId="6"/>
  </si>
  <si>
    <t>JOD新聞折込9056⑫</t>
    <rPh sb="3" eb="7">
      <t>シンブンオリコミ</t>
    </rPh>
    <phoneticPr fontId="6"/>
  </si>
  <si>
    <t>日生協キャロット5月11号（不透明袋）\2980東日本④</t>
    <rPh sb="0" eb="2">
      <t>ニッセイ</t>
    </rPh>
    <rPh sb="2" eb="3">
      <t>キョウ</t>
    </rPh>
    <rPh sb="9" eb="10">
      <t>ガツ</t>
    </rPh>
    <rPh sb="12" eb="13">
      <t>ゴウ</t>
    </rPh>
    <rPh sb="14" eb="18">
      <t>フトウメイフクロ</t>
    </rPh>
    <rPh sb="24" eb="27">
      <t>ヒガシニホン</t>
    </rPh>
    <phoneticPr fontId="6"/>
  </si>
  <si>
    <t>コープさっぽろ6月1回（不透明袋）②</t>
    <rPh sb="8" eb="9">
      <t>ガツ</t>
    </rPh>
    <rPh sb="10" eb="11">
      <t>カイ</t>
    </rPh>
    <rPh sb="12" eb="16">
      <t>フトウメイフクロ</t>
    </rPh>
    <phoneticPr fontId="6"/>
  </si>
  <si>
    <t>夢販</t>
    <rPh sb="0" eb="2">
      <t>ｙ</t>
    </rPh>
    <phoneticPr fontId="2"/>
  </si>
  <si>
    <t>ロイヤルステージ6月号同色2枚組①</t>
    <rPh sb="9" eb="11">
      <t>ガツゴウ</t>
    </rPh>
    <rPh sb="11" eb="13">
      <t>ドウショク</t>
    </rPh>
    <rPh sb="14" eb="16">
      <t>マイクミ</t>
    </rPh>
    <phoneticPr fontId="6"/>
  </si>
  <si>
    <t>JOD新聞折込9056⑬</t>
    <rPh sb="3" eb="7">
      <t>シンブンオリコミ</t>
    </rPh>
    <phoneticPr fontId="6"/>
  </si>
  <si>
    <t>JOD新聞折込9056⑭</t>
    <rPh sb="3" eb="7">
      <t>シンブンオリコミ</t>
    </rPh>
    <phoneticPr fontId="6"/>
  </si>
  <si>
    <t>追加</t>
    <rPh sb="0" eb="2">
      <t>ツイカ</t>
    </rPh>
    <phoneticPr fontId="6"/>
  </si>
  <si>
    <t>ゆめはん</t>
    <phoneticPr fontId="6"/>
  </si>
  <si>
    <t>JOD新聞折込9056⑮</t>
    <rPh sb="3" eb="7">
      <t>シンブンオリコミ</t>
    </rPh>
    <phoneticPr fontId="6"/>
  </si>
  <si>
    <t>ニッセン㊱</t>
    <phoneticPr fontId="6"/>
  </si>
  <si>
    <t>JOD新聞折込9056⑯</t>
    <rPh sb="3" eb="7">
      <t>シンブンオリコミ</t>
    </rPh>
    <phoneticPr fontId="6"/>
  </si>
  <si>
    <t>2026/8/1→7月中旬</t>
    <rPh sb="10" eb="11">
      <t>ガツ</t>
    </rPh>
    <rPh sb="11" eb="13">
      <t>チュウジュン</t>
    </rPh>
    <phoneticPr fontId="6"/>
  </si>
  <si>
    <t>JOD新聞折込9056⑰</t>
    <rPh sb="3" eb="7">
      <t>シンブンオリコミ</t>
    </rPh>
    <phoneticPr fontId="6"/>
  </si>
  <si>
    <t>IEI使ってヨカッタ6月号（2色組）②</t>
    <rPh sb="3" eb="4">
      <t>ツカ</t>
    </rPh>
    <rPh sb="11" eb="13">
      <t>ガツゴウ</t>
    </rPh>
    <phoneticPr fontId="6"/>
  </si>
  <si>
    <t>IEI使ってヨカッタ6月号（同色2枚）②</t>
    <rPh sb="3" eb="4">
      <t>ツカ</t>
    </rPh>
    <rPh sb="11" eb="13">
      <t>ガツゴウ</t>
    </rPh>
    <phoneticPr fontId="6"/>
  </si>
  <si>
    <t>JOD新聞折込9056⑱</t>
    <rPh sb="3" eb="7">
      <t>シンブンオリコミ</t>
    </rPh>
    <phoneticPr fontId="6"/>
  </si>
  <si>
    <t>JOD返品</t>
    <rPh sb="3" eb="5">
      <t>ヘンピン</t>
    </rPh>
    <phoneticPr fontId="6"/>
  </si>
  <si>
    <t>ニッセン㊲</t>
    <phoneticPr fontId="6"/>
  </si>
  <si>
    <t>西夢</t>
    <rPh sb="0" eb="2">
      <t>ニシユメ</t>
    </rPh>
    <phoneticPr fontId="6"/>
  </si>
  <si>
    <t>JOD返品</t>
    <rPh sb="3" eb="5">
      <t>ヘンピン</t>
    </rPh>
    <phoneticPr fontId="6"/>
  </si>
  <si>
    <t>JOD新聞折込9056⑲</t>
    <rPh sb="3" eb="7">
      <t>シンブンオリコミ</t>
    </rPh>
    <phoneticPr fontId="6"/>
  </si>
  <si>
    <t>コープさっぽろ6月1回（不透明袋）③</t>
    <rPh sb="8" eb="9">
      <t>ガツ</t>
    </rPh>
    <rPh sb="10" eb="11">
      <t>カイ</t>
    </rPh>
    <rPh sb="12" eb="16">
      <t>フトウメイフクロ</t>
    </rPh>
    <phoneticPr fontId="6"/>
  </si>
  <si>
    <t>JOD新聞折込9056⑳</t>
    <rPh sb="3" eb="7">
      <t>シンブンオリコミ</t>
    </rPh>
    <phoneticPr fontId="6"/>
  </si>
  <si>
    <t>6/末AIR</t>
    <rPh sb="2" eb="3">
      <t>マツ</t>
    </rPh>
    <phoneticPr fontId="6"/>
  </si>
  <si>
    <t>JOD新聞折込9056㉙</t>
    <rPh sb="3" eb="7">
      <t>シンブンオリコミ</t>
    </rPh>
    <phoneticPr fontId="6"/>
  </si>
  <si>
    <t>コープさっぽろ6月1回（不透明袋）④</t>
    <rPh sb="8" eb="9">
      <t>ガツ</t>
    </rPh>
    <rPh sb="10" eb="11">
      <t>カイ</t>
    </rPh>
    <rPh sb="12" eb="16">
      <t>フトウメイフクロ</t>
    </rPh>
    <phoneticPr fontId="6"/>
  </si>
  <si>
    <t>JOD新聞折込9056㉚</t>
    <rPh sb="3" eb="7">
      <t>シンブンオリコミ</t>
    </rPh>
    <phoneticPr fontId="6"/>
  </si>
  <si>
    <t>ロイヤルステージ6月号同色2枚組②</t>
    <rPh sb="9" eb="11">
      <t>ガツゴウ</t>
    </rPh>
    <rPh sb="11" eb="13">
      <t>ドウショク</t>
    </rPh>
    <rPh sb="14" eb="16">
      <t>マイクミ</t>
    </rPh>
    <phoneticPr fontId="6"/>
  </si>
  <si>
    <t>内定</t>
    <rPh sb="0" eb="2">
      <t>ナイテイ</t>
    </rPh>
    <phoneticPr fontId="6"/>
  </si>
  <si>
    <t>コープきんき10月2回（不透明袋）</t>
    <rPh sb="8" eb="9">
      <t>ガツ</t>
    </rPh>
    <rPh sb="10" eb="11">
      <t>カイ</t>
    </rPh>
    <rPh sb="12" eb="16">
      <t>フトウメイフクロ</t>
    </rPh>
    <phoneticPr fontId="6"/>
  </si>
  <si>
    <t>コープきんき10月2回（不透明袋）差分予測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</si>
  <si>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JOD新聞折込9056㉛</t>
    <rPh sb="3" eb="7">
      <t>シンブンオリコミ</t>
    </rPh>
    <phoneticPr fontId="6"/>
  </si>
  <si>
    <t>ニッセン㊳</t>
    <phoneticPr fontId="6"/>
  </si>
  <si>
    <t>くらし直送</t>
    <rPh sb="3" eb="5">
      <t>チョクソウ</t>
    </rPh>
    <phoneticPr fontId="6"/>
  </si>
  <si>
    <t>JOD新聞折込9056㉜</t>
    <rPh sb="3" eb="7">
      <t>シンブンオリコミ</t>
    </rPh>
    <phoneticPr fontId="6"/>
  </si>
  <si>
    <t>ベルーナ元気とキレイの秘訣26年春号⑩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</si>
  <si>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ロイヤルステージ6月号同色2枚組③</t>
    <rPh sb="9" eb="11">
      <t>ガツゴウ</t>
    </rPh>
    <rPh sb="11" eb="13">
      <t>ドウショク</t>
    </rPh>
    <rPh sb="14" eb="16">
      <t>マイクミ</t>
    </rPh>
    <phoneticPr fontId="6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</si>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</sst>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38" fontId="14" fillId="0" borderId="0" applyFont="0" applyFill="0" applyBorder="0" applyAlignment="0" applyProtection="0">
      <alignment vertical="center"/>
    </xf>
  </cellStyleXfs>
  <cellXfs count="356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8" fillId="0" borderId="9" xfId="1" applyFont="1" applyBorder="1"/>
    <xf numFmtId="0" fontId="8" fillId="0" borderId="3" xfId="1" applyFont="1" applyBorder="1" applyAlignment="1">
      <alignment horizontal="center" vertical="center"/>
    </xf>
    <xf numFmtId="0" fontId="8" fillId="0" borderId="12" xfId="1" applyFont="1" applyBorder="1"/>
    <xf numFmtId="0" fontId="8" fillId="0" borderId="13" xfId="1" applyFont="1" applyBorder="1"/>
    <xf numFmtId="0" fontId="8" fillId="0" borderId="14" xfId="1" applyFont="1" applyBorder="1"/>
    <xf numFmtId="0" fontId="8" fillId="0" borderId="3" xfId="1" applyFont="1" applyBorder="1"/>
    <xf numFmtId="0" fontId="8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2" borderId="19" xfId="1" applyFont="1" applyFill="1" applyBorder="1"/>
    <xf numFmtId="0" fontId="8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8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2" borderId="19" xfId="1" applyFont="1" applyFill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8" fillId="0" borderId="22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2" borderId="43" xfId="1" applyFont="1" applyFill="1" applyBorder="1"/>
    <xf numFmtId="0" fontId="8" fillId="2" borderId="44" xfId="1" applyFont="1" applyFill="1" applyBorder="1"/>
    <xf numFmtId="0" fontId="1" fillId="2" borderId="45" xfId="1" applyFill="1" applyBorder="1"/>
    <xf numFmtId="0" fontId="1" fillId="2" borderId="46" xfId="1" applyFill="1" applyBorder="1"/>
    <xf numFmtId="0" fontId="1" fillId="0" borderId="22" xfId="1" applyBorder="1" applyAlignment="1">
      <alignment horizontal="center" vertical="center"/>
    </xf>
    <xf numFmtId="0" fontId="1" fillId="2" borderId="43" xfId="1" applyFill="1" applyBorder="1"/>
    <xf numFmtId="0" fontId="1" fillId="0" borderId="24" xfId="1" applyBorder="1"/>
    <xf numFmtId="0" fontId="1" fillId="0" borderId="26" xfId="1" applyBorder="1"/>
    <xf numFmtId="0" fontId="1" fillId="0" borderId="33" xfId="1" applyBorder="1"/>
    <xf numFmtId="0" fontId="1" fillId="0" borderId="27" xfId="1" applyBorder="1"/>
    <xf numFmtId="0" fontId="1" fillId="0" borderId="28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7" xfId="1" applyBorder="1" applyAlignment="1">
      <alignment horizontal="center" vertical="center" shrinkToFit="1"/>
    </xf>
    <xf numFmtId="0" fontId="1" fillId="2" borderId="9" xfId="1" applyFill="1" applyBorder="1"/>
    <xf numFmtId="0" fontId="8" fillId="0" borderId="16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0" fontId="1" fillId="0" borderId="47" xfId="1" applyBorder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0" fontId="1" fillId="0" borderId="17" xfId="1" applyBorder="1"/>
    <xf numFmtId="0" fontId="1" fillId="0" borderId="32" xfId="1" applyBorder="1"/>
    <xf numFmtId="0" fontId="1" fillId="0" borderId="18" xfId="1" applyBorder="1"/>
    <xf numFmtId="0" fontId="1" fillId="0" borderId="23" xfId="1" applyBorder="1"/>
    <xf numFmtId="0" fontId="1" fillId="0" borderId="7" xfId="1" applyBorder="1"/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0" fillId="0" borderId="10" xfId="1" applyFont="1" applyBorder="1" applyAlignment="1">
      <alignment horizontal="center" vertical="center"/>
    </xf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2" borderId="19" xfId="1" applyFill="1" applyBorder="1"/>
    <xf numFmtId="0" fontId="1" fillId="0" borderId="19" xfId="1" applyBorder="1"/>
    <xf numFmtId="0" fontId="1" fillId="2" borderId="54" xfId="1" applyFill="1" applyBorder="1"/>
    <xf numFmtId="0" fontId="1" fillId="0" borderId="8" xfId="1" applyBorder="1"/>
    <xf numFmtId="176" fontId="8" fillId="0" borderId="0" xfId="1" applyNumberFormat="1" applyFont="1" applyAlignment="1">
      <alignment horizontal="center"/>
    </xf>
    <xf numFmtId="176" fontId="0" fillId="0" borderId="0" xfId="0" applyNumberFormat="1">
      <alignment vertical="center"/>
    </xf>
    <xf numFmtId="0" fontId="1" fillId="6" borderId="24" xfId="1" applyFill="1" applyBorder="1" applyAlignment="1">
      <alignment horizontal="center"/>
    </xf>
    <xf numFmtId="176" fontId="7" fillId="0" borderId="0" xfId="0" applyNumberFormat="1" applyFont="1">
      <alignment vertical="center"/>
    </xf>
    <xf numFmtId="56" fontId="0" fillId="0" borderId="0" xfId="0" applyNumberFormat="1" applyAlignment="1">
      <alignment horizontal="left" vertical="center"/>
    </xf>
    <xf numFmtId="0" fontId="1" fillId="0" borderId="0" xfId="1" applyAlignment="1">
      <alignment horizontal="center"/>
    </xf>
    <xf numFmtId="0" fontId="8" fillId="0" borderId="1" xfId="1" applyFont="1" applyBorder="1"/>
    <xf numFmtId="0" fontId="8" fillId="0" borderId="30" xfId="1" applyFont="1" applyBorder="1"/>
    <xf numFmtId="0" fontId="8" fillId="0" borderId="2" xfId="1" applyFont="1" applyBorder="1"/>
    <xf numFmtId="0" fontId="8" fillId="0" borderId="16" xfId="1" applyFont="1" applyBorder="1"/>
    <xf numFmtId="0" fontId="8" fillId="2" borderId="3" xfId="1" applyFont="1" applyFill="1" applyBorder="1"/>
    <xf numFmtId="0" fontId="8" fillId="0" borderId="19" xfId="1" applyFont="1" applyBorder="1" applyAlignment="1">
      <alignment horizontal="center" vertical="center"/>
    </xf>
    <xf numFmtId="0" fontId="1" fillId="2" borderId="55" xfId="1" applyFill="1" applyBorder="1"/>
    <xf numFmtId="0" fontId="1" fillId="0" borderId="8" xfId="1" applyBorder="1" applyAlignment="1">
      <alignment horizontal="center" vertical="center"/>
    </xf>
    <xf numFmtId="0" fontId="1" fillId="2" borderId="56" xfId="1" applyFill="1" applyBorder="1"/>
    <xf numFmtId="0" fontId="8" fillId="0" borderId="19" xfId="1" applyFont="1" applyBorder="1"/>
    <xf numFmtId="0" fontId="7" fillId="7" borderId="0" xfId="0" applyFont="1" applyFill="1">
      <alignment vertical="center"/>
    </xf>
    <xf numFmtId="176" fontId="12" fillId="7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7" borderId="0" xfId="1" applyFont="1" applyFill="1"/>
    <xf numFmtId="0" fontId="1" fillId="7" borderId="0" xfId="1" applyFill="1"/>
    <xf numFmtId="9" fontId="4" fillId="7" borderId="0" xfId="1" applyNumberFormat="1" applyFont="1" applyFill="1"/>
    <xf numFmtId="0" fontId="11" fillId="0" borderId="10" xfId="1" applyFont="1" applyBorder="1" applyAlignment="1">
      <alignment horizontal="center" vertical="center"/>
    </xf>
    <xf numFmtId="0" fontId="11" fillId="0" borderId="4" xfId="1" applyFont="1" applyBorder="1"/>
    <xf numFmtId="0" fontId="11" fillId="0" borderId="20" xfId="1" applyFont="1" applyBorder="1"/>
    <xf numFmtId="0" fontId="11" fillId="0" borderId="5" xfId="1" applyFont="1" applyBorder="1"/>
    <xf numFmtId="0" fontId="11" fillId="0" borderId="6" xfId="1" applyFont="1" applyBorder="1"/>
    <xf numFmtId="0" fontId="11" fillId="2" borderId="7" xfId="1" applyFont="1" applyFill="1" applyBorder="1"/>
    <xf numFmtId="0" fontId="11" fillId="0" borderId="9" xfId="1" applyFont="1" applyBorder="1"/>
    <xf numFmtId="56" fontId="12" fillId="0" borderId="0" xfId="0" applyNumberFormat="1" applyFont="1" applyAlignment="1">
      <alignment horizontal="left" vertical="center"/>
    </xf>
    <xf numFmtId="0" fontId="1" fillId="0" borderId="47" xfId="1" applyBorder="1"/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7" xfId="1" applyFont="1" applyBorder="1"/>
    <xf numFmtId="0" fontId="13" fillId="0" borderId="0" xfId="0" applyFont="1" applyAlignment="1">
      <alignment horizontal="left" vertical="center"/>
    </xf>
    <xf numFmtId="0" fontId="1" fillId="0" borderId="43" xfId="1" applyBorder="1" applyAlignment="1">
      <alignment horizontal="center" vertical="center"/>
    </xf>
    <xf numFmtId="0" fontId="0" fillId="8" borderId="0" xfId="0" applyFill="1">
      <alignment vertical="center"/>
    </xf>
    <xf numFmtId="0" fontId="7" fillId="8" borderId="0" xfId="0" applyFont="1" applyFill="1">
      <alignment vertical="center"/>
    </xf>
    <xf numFmtId="0" fontId="8" fillId="8" borderId="0" xfId="1" applyFont="1" applyFill="1" applyAlignment="1">
      <alignment horizontal="right" vertical="center"/>
    </xf>
    <xf numFmtId="176" fontId="12" fillId="8" borderId="0" xfId="0" applyNumberFormat="1" applyFont="1" applyFill="1">
      <alignment vertical="center"/>
    </xf>
    <xf numFmtId="176" fontId="12" fillId="9" borderId="0" xfId="0" applyNumberFormat="1" applyFont="1" applyFill="1">
      <alignment vertical="center"/>
    </xf>
    <xf numFmtId="0" fontId="12" fillId="9" borderId="0" xfId="0" applyFont="1" applyFill="1">
      <alignment vertical="center"/>
    </xf>
    <xf numFmtId="0" fontId="7" fillId="9" borderId="0" xfId="0" applyFont="1" applyFill="1" applyAlignment="1">
      <alignment horizontal="right" vertical="center"/>
    </xf>
    <xf numFmtId="0" fontId="1" fillId="5" borderId="34" xfId="1" applyFill="1" applyBorder="1" applyAlignment="1">
      <alignment horizontal="center"/>
    </xf>
    <xf numFmtId="0" fontId="1" fillId="5" borderId="35" xfId="1" applyFill="1" applyBorder="1" applyAlignment="1">
      <alignment horizontal="center"/>
    </xf>
    <xf numFmtId="0" fontId="1" fillId="5" borderId="36" xfId="1" applyFill="1" applyBorder="1" applyAlignment="1">
      <alignment horizontal="center"/>
    </xf>
    <xf numFmtId="0" fontId="1" fillId="5" borderId="37" xfId="1" applyFill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0" borderId="41" xfId="1" applyFont="1" applyBorder="1" applyAlignment="1">
      <alignment horizontal="center"/>
    </xf>
    <xf numFmtId="0" fontId="4" fillId="2" borderId="42" xfId="1" applyFont="1" applyFill="1" applyBorder="1"/>
    <xf numFmtId="0" fontId="4" fillId="0" borderId="9" xfId="1" applyFont="1" applyBorder="1"/>
    <xf numFmtId="0" fontId="1" fillId="2" borderId="57" xfId="1" applyFill="1" applyBorder="1"/>
    <xf numFmtId="0" fontId="4" fillId="0" borderId="8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2" borderId="54" xfId="1" applyFont="1" applyFill="1" applyBorder="1"/>
    <xf numFmtId="0" fontId="4" fillId="0" borderId="8" xfId="1" applyFont="1" applyBorder="1"/>
    <xf numFmtId="0" fontId="4" fillId="0" borderId="19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/>
    </xf>
    <xf numFmtId="0" fontId="4" fillId="0" borderId="51" xfId="1" applyFont="1" applyBorder="1" applyAlignment="1">
      <alignment horizontal="center"/>
    </xf>
    <xf numFmtId="0" fontId="4" fillId="0" borderId="52" xfId="1" applyFont="1" applyBorder="1" applyAlignment="1">
      <alignment horizontal="center"/>
    </xf>
    <xf numFmtId="0" fontId="4" fillId="0" borderId="53" xfId="1" applyFont="1" applyBorder="1" applyAlignment="1">
      <alignment horizontal="center"/>
    </xf>
    <xf numFmtId="0" fontId="4" fillId="2" borderId="55" xfId="1" applyFont="1" applyFill="1" applyBorder="1"/>
    <xf numFmtId="0" fontId="4" fillId="0" borderId="19" xfId="1" applyFont="1" applyBorder="1"/>
    <xf numFmtId="0" fontId="12" fillId="0" borderId="0" xfId="0" applyFont="1" applyAlignment="1">
      <alignment horizontal="left" vertical="center"/>
    </xf>
    <xf numFmtId="1" fontId="7" fillId="4" borderId="0" xfId="0" applyNumberFormat="1" applyFont="1" applyFill="1">
      <alignment vertical="center"/>
    </xf>
    <xf numFmtId="176" fontId="12" fillId="4" borderId="0" xfId="0" applyNumberFormat="1" applyFont="1" applyFill="1">
      <alignment vertical="center"/>
    </xf>
    <xf numFmtId="0" fontId="0" fillId="4" borderId="0" xfId="0" applyFill="1">
      <alignment vertical="center"/>
    </xf>
    <xf numFmtId="56" fontId="0" fillId="0" borderId="0" xfId="0" applyNumberFormat="1">
      <alignment vertical="center"/>
    </xf>
    <xf numFmtId="56" fontId="7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9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56" fontId="13" fillId="0" borderId="0" xfId="0" applyNumberFormat="1" applyFont="1" applyAlignment="1">
      <alignment horizontal="left" vertical="center"/>
    </xf>
    <xf numFmtId="0" fontId="8" fillId="0" borderId="26" xfId="1" applyFont="1" applyBorder="1"/>
    <xf numFmtId="0" fontId="8" fillId="0" borderId="33" xfId="1" applyFont="1" applyBorder="1"/>
    <xf numFmtId="0" fontId="8" fillId="0" borderId="27" xfId="1" applyFont="1" applyBorder="1"/>
    <xf numFmtId="0" fontId="8" fillId="0" borderId="28" xfId="1" applyFont="1" applyBorder="1"/>
    <xf numFmtId="38" fontId="7" fillId="0" borderId="0" xfId="2" applyFont="1">
      <alignment vertical="center"/>
    </xf>
    <xf numFmtId="176" fontId="12" fillId="0" borderId="0" xfId="0" applyNumberFormat="1" applyFont="1">
      <alignment vertical="center"/>
    </xf>
    <xf numFmtId="0" fontId="15" fillId="0" borderId="0" xfId="1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8" fillId="0" borderId="0" xfId="1" applyFont="1" applyAlignment="1">
      <alignment horizontal="right" vertical="center"/>
    </xf>
    <xf numFmtId="0" fontId="1" fillId="3" borderId="42" xfId="1" applyFill="1" applyBorder="1"/>
    <xf numFmtId="38" fontId="7" fillId="0" borderId="0" xfId="0" applyNumberFormat="1" applyFont="1">
      <alignment vertical="center"/>
    </xf>
    <xf numFmtId="0" fontId="1" fillId="5" borderId="24" xfId="1" applyFill="1" applyBorder="1" applyAlignment="1">
      <alignment horizontal="center"/>
    </xf>
    <xf numFmtId="0" fontId="1" fillId="0" borderId="19" xfId="1" applyBorder="1" applyAlignment="1">
      <alignment horizontal="center" vertical="center"/>
    </xf>
    <xf numFmtId="0" fontId="1" fillId="3" borderId="25" xfId="1" applyFill="1" applyBorder="1"/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/>
    </xf>
    <xf numFmtId="0" fontId="1" fillId="0" borderId="60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0" borderId="62" xfId="1" applyBorder="1" applyAlignment="1">
      <alignment horizontal="center"/>
    </xf>
    <xf numFmtId="0" fontId="1" fillId="2" borderId="63" xfId="1" applyFill="1" applyBorder="1"/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2" borderId="64" xfId="1" applyFill="1" applyBorder="1"/>
    <xf numFmtId="0" fontId="7" fillId="0" borderId="0" xfId="0" applyFont="1">
      <alignment vertical="center"/>
    </xf>
    <xf numFmtId="0" fontId="8" fillId="0" borderId="4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8" fillId="2" borderId="25" xfId="1" applyFont="1" applyFill="1" applyBorder="1"/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0" xfId="1" applyAlignment="1">
      <alignment horizontal="center" vertical="center"/>
    </xf>
    <xf numFmtId="0" fontId="8" fillId="0" borderId="6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28" xfId="1" applyFont="1" applyBorder="1" applyAlignment="1">
      <alignment horizontal="center"/>
    </xf>
    <xf numFmtId="0" fontId="1" fillId="0" borderId="57" xfId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4" fillId="2" borderId="7" xfId="1" applyFont="1" applyFill="1" applyBorder="1"/>
    <xf numFmtId="0" fontId="1" fillId="0" borderId="22" xfId="1" applyBorder="1" applyAlignment="1">
      <alignment horizontal="center"/>
    </xf>
    <xf numFmtId="0" fontId="1" fillId="0" borderId="42" xfId="1" applyBorder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1" fillId="2" borderId="67" xfId="1" applyFill="1" applyBorder="1"/>
    <xf numFmtId="0" fontId="1" fillId="0" borderId="43" xfId="1" applyBorder="1"/>
    <xf numFmtId="0" fontId="4" fillId="0" borderId="47" xfId="1" applyFont="1" applyBorder="1" applyAlignment="1">
      <alignment horizontal="center"/>
    </xf>
    <xf numFmtId="0" fontId="4" fillId="2" borderId="9" xfId="1" applyFont="1" applyFill="1" applyBorder="1"/>
    <xf numFmtId="0" fontId="1" fillId="0" borderId="66" xfId="1" applyBorder="1" applyAlignment="1">
      <alignment horizontal="center"/>
    </xf>
    <xf numFmtId="0" fontId="1" fillId="3" borderId="8" xfId="1" applyFill="1" applyBorder="1"/>
    <xf numFmtId="1" fontId="12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3" borderId="42" xfId="1" applyFont="1" applyFill="1" applyBorder="1"/>
    <xf numFmtId="0" fontId="1" fillId="0" borderId="11" xfId="1" applyBorder="1" applyAlignment="1">
      <alignment horizontal="center" vertical="center"/>
    </xf>
    <xf numFmtId="0" fontId="1" fillId="0" borderId="43" xfId="1" applyBorder="1" applyAlignment="1">
      <alignment horizontal="center" vertical="center" shrinkToFit="1"/>
    </xf>
    <xf numFmtId="0" fontId="16" fillId="0" borderId="0" xfId="1" applyFont="1"/>
    <xf numFmtId="0" fontId="1" fillId="0" borderId="10" xfId="1" applyBorder="1" applyAlignment="1">
      <alignment horizontal="center"/>
    </xf>
    <xf numFmtId="0" fontId="9" fillId="0" borderId="58" xfId="0" applyFont="1" applyBorder="1" applyAlignment="1">
      <alignment horizontal="left" vertical="center"/>
    </xf>
    <xf numFmtId="0" fontId="4" fillId="0" borderId="66" xfId="1" applyFont="1" applyBorder="1" applyAlignment="1">
      <alignment horizontal="center"/>
    </xf>
    <xf numFmtId="0" fontId="4" fillId="2" borderId="8" xfId="1" applyFont="1" applyFill="1" applyBorder="1"/>
    <xf numFmtId="176" fontId="12" fillId="0" borderId="0" xfId="0" applyNumberFormat="1" applyFont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8" fillId="0" borderId="34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6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2" borderId="54" xfId="1" applyFont="1" applyFill="1" applyBorder="1"/>
    <xf numFmtId="0" fontId="8" fillId="0" borderId="8" xfId="1" applyFont="1" applyBorder="1"/>
    <xf numFmtId="0" fontId="17" fillId="0" borderId="51" xfId="1" applyFont="1" applyBorder="1" applyAlignment="1">
      <alignment horizontal="center"/>
    </xf>
    <xf numFmtId="0" fontId="11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2" borderId="25" xfId="1" applyFont="1" applyFill="1" applyBorder="1"/>
    <xf numFmtId="0" fontId="11" fillId="0" borderId="7" xfId="1" applyFont="1" applyBorder="1" applyAlignment="1">
      <alignment horizontal="center" vertical="center"/>
    </xf>
    <xf numFmtId="0" fontId="8" fillId="0" borderId="7" xfId="1" applyFont="1" applyBorder="1"/>
    <xf numFmtId="0" fontId="18" fillId="0" borderId="10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20" xfId="1" applyFont="1" applyBorder="1" applyAlignment="1">
      <alignment horizontal="center"/>
    </xf>
    <xf numFmtId="0" fontId="18" fillId="0" borderId="5" xfId="1" applyFont="1" applyBorder="1" applyAlignment="1">
      <alignment horizontal="center"/>
    </xf>
    <xf numFmtId="0" fontId="18" fillId="0" borderId="6" xfId="1" applyFont="1" applyBorder="1" applyAlignment="1">
      <alignment horizontal="center"/>
    </xf>
    <xf numFmtId="0" fontId="18" fillId="2" borderId="7" xfId="1" applyFont="1" applyFill="1" applyBorder="1"/>
    <xf numFmtId="0" fontId="18" fillId="0" borderId="9" xfId="1" applyFont="1" applyBorder="1"/>
    <xf numFmtId="56" fontId="14" fillId="0" borderId="0" xfId="0" applyNumberFormat="1" applyFont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1" fillId="0" borderId="68" xfId="1" applyBorder="1" applyAlignment="1">
      <alignment horizontal="center" vertical="center"/>
    </xf>
    <xf numFmtId="0" fontId="1" fillId="0" borderId="68" xfId="1" applyBorder="1"/>
    <xf numFmtId="0" fontId="18" fillId="0" borderId="7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/>
    </xf>
    <xf numFmtId="0" fontId="18" fillId="2" borderId="25" xfId="1" applyFont="1" applyFill="1" applyBorder="1"/>
    <xf numFmtId="0" fontId="18" fillId="2" borderId="8" xfId="1" applyFont="1" applyFill="1" applyBorder="1"/>
    <xf numFmtId="0" fontId="18" fillId="0" borderId="11" xfId="1" applyFont="1" applyBorder="1"/>
    <xf numFmtId="0" fontId="18" fillId="0" borderId="9" xfId="1" applyFont="1" applyBorder="1" applyAlignment="1">
      <alignment horizontal="center" vertical="center"/>
    </xf>
    <xf numFmtId="0" fontId="8" fillId="2" borderId="7" xfId="1" applyFont="1" applyFill="1" applyBorder="1"/>
    <xf numFmtId="0" fontId="7" fillId="0" borderId="0" xfId="0" applyFont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2" borderId="45" xfId="1" applyFont="1" applyFill="1" applyBorder="1"/>
    <xf numFmtId="0" fontId="11" fillId="0" borderId="7" xfId="1" applyFont="1" applyBorder="1"/>
    <xf numFmtId="0" fontId="19" fillId="0" borderId="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41" xfId="1" applyFont="1" applyBorder="1" applyAlignment="1">
      <alignment horizontal="center"/>
    </xf>
    <xf numFmtId="0" fontId="8" fillId="2" borderId="42" xfId="1" applyFont="1" applyFill="1" applyBorder="1"/>
    <xf numFmtId="56" fontId="7" fillId="0" borderId="0" xfId="0" applyNumberFormat="1" applyFont="1" applyAlignment="1">
      <alignment horizontal="left" vertic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11" fillId="0" borderId="40" xfId="1" applyFont="1" applyBorder="1" applyAlignment="1">
      <alignment horizontal="center"/>
    </xf>
    <xf numFmtId="0" fontId="11" fillId="0" borderId="41" xfId="1" applyFont="1" applyBorder="1" applyAlignment="1">
      <alignment horizontal="center"/>
    </xf>
    <xf numFmtId="0" fontId="11" fillId="2" borderId="42" xfId="1" applyFont="1" applyFill="1" applyBorder="1"/>
    <xf numFmtId="0" fontId="11" fillId="0" borderId="11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/>
    </xf>
    <xf numFmtId="0" fontId="11" fillId="0" borderId="33" xfId="1" applyFont="1" applyBorder="1" applyAlignment="1">
      <alignment horizontal="center"/>
    </xf>
    <xf numFmtId="0" fontId="11" fillId="0" borderId="69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9" fillId="0" borderId="22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0" fontId="8" fillId="0" borderId="11" xfId="1" applyFont="1" applyBorder="1"/>
    <xf numFmtId="0" fontId="8" fillId="0" borderId="8" xfId="1" applyFont="1" applyBorder="1" applyAlignment="1">
      <alignment horizontal="center" vertical="center"/>
    </xf>
    <xf numFmtId="0" fontId="8" fillId="0" borderId="69" xfId="1" applyFont="1" applyBorder="1" applyAlignment="1">
      <alignment horizontal="center"/>
    </xf>
    <xf numFmtId="0" fontId="8" fillId="2" borderId="0" xfId="1" applyFont="1" applyFill="1"/>
    <xf numFmtId="0" fontId="20" fillId="0" borderId="22" xfId="1" applyFont="1" applyBorder="1" applyAlignment="1">
      <alignment horizontal="center" vertical="center"/>
    </xf>
    <xf numFmtId="0" fontId="8" fillId="0" borderId="6" xfId="1" applyFont="1" applyBorder="1" applyAlignment="1">
      <alignment horizontal="center"/>
    </xf>
    <xf numFmtId="0" fontId="4" fillId="4" borderId="15" xfId="1" applyFont="1" applyFill="1" applyBorder="1" applyAlignment="1">
      <alignment horizontal="center" vertical="center"/>
    </xf>
    <xf numFmtId="0" fontId="4" fillId="4" borderId="48" xfId="1" applyFont="1" applyFill="1" applyBorder="1" applyAlignment="1">
      <alignment horizontal="center" vertical="center"/>
    </xf>
    <xf numFmtId="0" fontId="4" fillId="4" borderId="49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48" xfId="1" applyFont="1" applyFill="1" applyBorder="1" applyAlignment="1">
      <alignment horizontal="center" vertical="center"/>
    </xf>
    <xf numFmtId="0" fontId="4" fillId="5" borderId="49" xfId="1" applyFont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0" fillId="4" borderId="48" xfId="0" applyFill="1" applyBorder="1">
      <alignment vertical="center"/>
    </xf>
    <xf numFmtId="0" fontId="0" fillId="4" borderId="49" xfId="0" applyFill="1" applyBorder="1">
      <alignment vertical="center"/>
    </xf>
    <xf numFmtId="0" fontId="0" fillId="5" borderId="48" xfId="0" applyFill="1" applyBorder="1">
      <alignment vertical="center"/>
    </xf>
    <xf numFmtId="0" fontId="0" fillId="5" borderId="49" xfId="0" applyFill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86"/>
  <sheetViews>
    <sheetView tabSelected="1" topLeftCell="A2743" zoomScaleNormal="100" workbookViewId="0">
      <selection activeCell="A2751" sqref="A2751"/>
    </sheetView>
  </sheetViews>
  <sheetFormatPr defaultRowHeight="13.5" x14ac:dyDescent="0.15"/>
  <cols>
    <col min="1" max="1" width="29.875" customWidth="1"/>
    <col min="2" max="11" width="7.5" customWidth="1"/>
    <col min="13" max="13" width="13" style="100" customWidth="1"/>
    <col min="14" max="14" width="44" customWidth="1"/>
    <col min="15" max="24" width="7.5" customWidth="1"/>
    <col min="26" max="26" width="9.25" style="100" bestFit="1" customWidth="1"/>
    <col min="28" max="28" width="8.75" customWidth="1"/>
    <col min="29" max="29" width="6.75" customWidth="1"/>
  </cols>
  <sheetData>
    <row r="1" spans="1:26" ht="19.5" thickBot="1" x14ac:dyDescent="0.25">
      <c r="A1" s="2" t="s">
        <v>21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95"/>
      <c r="N1" s="2" t="s">
        <v>22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thickBot="1" x14ac:dyDescent="0.2">
      <c r="A2" s="5" t="s">
        <v>0</v>
      </c>
      <c r="B2" s="342" t="s">
        <v>18</v>
      </c>
      <c r="C2" s="350"/>
      <c r="D2" s="350"/>
      <c r="E2" s="350"/>
      <c r="F2" s="351"/>
      <c r="G2" s="345" t="s">
        <v>12</v>
      </c>
      <c r="H2" s="352"/>
      <c r="I2" s="352"/>
      <c r="J2" s="352"/>
      <c r="K2" s="353"/>
      <c r="L2" s="354" t="s">
        <v>1</v>
      </c>
      <c r="M2" s="96"/>
      <c r="N2" s="5" t="s">
        <v>0</v>
      </c>
      <c r="O2" s="342" t="s">
        <v>18</v>
      </c>
      <c r="P2" s="350"/>
      <c r="Q2" s="350"/>
      <c r="R2" s="350"/>
      <c r="S2" s="351"/>
      <c r="T2" s="345" t="s">
        <v>12</v>
      </c>
      <c r="U2" s="352"/>
      <c r="V2" s="352"/>
      <c r="W2" s="352"/>
      <c r="X2" s="353"/>
      <c r="Y2" s="354" t="s">
        <v>1</v>
      </c>
    </row>
    <row r="3" spans="1:26" ht="14.25" thickBot="1" x14ac:dyDescent="0.2">
      <c r="A3" s="5" t="s">
        <v>2</v>
      </c>
      <c r="B3" s="3" t="s">
        <v>13</v>
      </c>
      <c r="C3" s="44" t="s">
        <v>14</v>
      </c>
      <c r="D3" s="4" t="s">
        <v>15</v>
      </c>
      <c r="E3" s="23" t="s">
        <v>16</v>
      </c>
      <c r="F3" s="31" t="s">
        <v>3</v>
      </c>
      <c r="G3" s="3" t="s">
        <v>13</v>
      </c>
      <c r="H3" s="44" t="s">
        <v>14</v>
      </c>
      <c r="I3" s="4" t="s">
        <v>15</v>
      </c>
      <c r="J3" s="23" t="s">
        <v>16</v>
      </c>
      <c r="K3" s="31" t="s">
        <v>3</v>
      </c>
      <c r="L3" s="355"/>
      <c r="M3" s="96"/>
      <c r="N3" s="5" t="s">
        <v>2</v>
      </c>
      <c r="O3" s="3" t="s">
        <v>13</v>
      </c>
      <c r="P3" s="44" t="s">
        <v>14</v>
      </c>
      <c r="Q3" s="4" t="s">
        <v>15</v>
      </c>
      <c r="R3" s="23" t="s">
        <v>16</v>
      </c>
      <c r="S3" s="31" t="s">
        <v>3</v>
      </c>
      <c r="T3" s="3" t="s">
        <v>13</v>
      </c>
      <c r="U3" s="44" t="s">
        <v>14</v>
      </c>
      <c r="V3" s="4" t="s">
        <v>15</v>
      </c>
      <c r="W3" s="23" t="s">
        <v>16</v>
      </c>
      <c r="X3" s="31" t="s">
        <v>3</v>
      </c>
      <c r="Y3" s="355"/>
    </row>
    <row r="4" spans="1:26" x14ac:dyDescent="0.15">
      <c r="A4" s="79" t="s">
        <v>4</v>
      </c>
      <c r="B4" s="24">
        <v>5</v>
      </c>
      <c r="C4" s="46">
        <v>5</v>
      </c>
      <c r="D4" s="25">
        <v>5</v>
      </c>
      <c r="E4" s="33">
        <v>5</v>
      </c>
      <c r="F4" s="80">
        <f>SUM(B4:E4)</f>
        <v>20</v>
      </c>
      <c r="G4" s="24">
        <v>5</v>
      </c>
      <c r="H4" s="46">
        <v>5</v>
      </c>
      <c r="I4" s="25">
        <v>5</v>
      </c>
      <c r="J4" s="33">
        <v>5</v>
      </c>
      <c r="K4" s="80">
        <f>SUM(G4:J4)</f>
        <v>20</v>
      </c>
      <c r="L4" s="11">
        <f t="shared" ref="L4" si="0">F4+K4</f>
        <v>40</v>
      </c>
      <c r="M4" s="99">
        <v>44525</v>
      </c>
      <c r="N4" s="13" t="s">
        <v>30</v>
      </c>
      <c r="O4" s="26">
        <v>392</v>
      </c>
      <c r="P4" s="47">
        <v>492</v>
      </c>
      <c r="Q4" s="27">
        <v>392</v>
      </c>
      <c r="R4" s="34">
        <v>292</v>
      </c>
      <c r="S4" s="9">
        <f>SUM(O4:R4)</f>
        <v>1568</v>
      </c>
      <c r="T4" s="26">
        <v>392</v>
      </c>
      <c r="U4" s="47">
        <v>492</v>
      </c>
      <c r="V4" s="27">
        <v>392</v>
      </c>
      <c r="W4" s="34">
        <v>292</v>
      </c>
      <c r="X4" s="9">
        <f>SUM(T4:W4)</f>
        <v>1568</v>
      </c>
      <c r="Y4" s="11">
        <f t="shared" ref="Y4:Y6" si="1">S4+X4</f>
        <v>3136</v>
      </c>
      <c r="Z4" s="99" t="s">
        <v>58</v>
      </c>
    </row>
    <row r="5" spans="1:26" x14ac:dyDescent="0.15">
      <c r="A5" s="13" t="s">
        <v>5</v>
      </c>
      <c r="B5" s="6">
        <v>3</v>
      </c>
      <c r="C5" s="30">
        <v>5</v>
      </c>
      <c r="D5" s="7">
        <v>3</v>
      </c>
      <c r="E5" s="8">
        <v>3</v>
      </c>
      <c r="F5" s="9">
        <f>SUM(B5:E5)</f>
        <v>14</v>
      </c>
      <c r="G5" s="30">
        <v>3</v>
      </c>
      <c r="H5" s="30">
        <v>3</v>
      </c>
      <c r="I5" s="7">
        <v>3</v>
      </c>
      <c r="J5" s="8">
        <v>3</v>
      </c>
      <c r="K5" s="9">
        <f>SUM(G5:J5)</f>
        <v>12</v>
      </c>
      <c r="L5" s="11">
        <f t="shared" ref="L5:L36" si="2">F5+K5</f>
        <v>26</v>
      </c>
      <c r="M5" s="97">
        <v>44534</v>
      </c>
      <c r="N5" s="13" t="s">
        <v>5</v>
      </c>
      <c r="O5" s="26"/>
      <c r="P5" s="47"/>
      <c r="Q5" s="27"/>
      <c r="R5" s="50"/>
      <c r="S5" s="9">
        <f>SUM(O5:R5)</f>
        <v>0</v>
      </c>
      <c r="T5" s="47"/>
      <c r="U5" s="47"/>
      <c r="V5" s="27"/>
      <c r="W5" s="50"/>
      <c r="X5" s="9">
        <f>SUM(T5:W5)</f>
        <v>0</v>
      </c>
      <c r="Y5" s="11">
        <f t="shared" si="1"/>
        <v>0</v>
      </c>
      <c r="Z5" s="99" t="s">
        <v>29</v>
      </c>
    </row>
    <row r="6" spans="1:26" x14ac:dyDescent="0.15">
      <c r="A6" s="13" t="s">
        <v>49</v>
      </c>
      <c r="B6" s="26"/>
      <c r="C6" s="47"/>
      <c r="D6" s="27"/>
      <c r="E6" s="34">
        <v>1</v>
      </c>
      <c r="F6" s="9">
        <f>SUM(B6:E6)</f>
        <v>1</v>
      </c>
      <c r="G6" s="30"/>
      <c r="H6" s="30"/>
      <c r="I6" s="7"/>
      <c r="J6" s="8"/>
      <c r="K6" s="9">
        <f>SUM(G6:J6)</f>
        <v>0</v>
      </c>
      <c r="L6" s="11">
        <f t="shared" si="2"/>
        <v>1</v>
      </c>
      <c r="M6" s="97">
        <v>44551</v>
      </c>
      <c r="N6" s="12" t="s">
        <v>6</v>
      </c>
      <c r="O6" s="26"/>
      <c r="P6" s="47"/>
      <c r="Q6" s="27"/>
      <c r="R6" s="50"/>
      <c r="S6" s="9">
        <f>SUM(O6:R6)</f>
        <v>0</v>
      </c>
      <c r="T6" s="47"/>
      <c r="U6" s="47"/>
      <c r="V6" s="27"/>
      <c r="W6" s="50"/>
      <c r="X6" s="9">
        <f>SUM(T6:W6)</f>
        <v>0</v>
      </c>
      <c r="Y6" s="11">
        <f t="shared" si="1"/>
        <v>0</v>
      </c>
    </row>
    <row r="7" spans="1:26" x14ac:dyDescent="0.15">
      <c r="A7" s="13" t="s">
        <v>49</v>
      </c>
      <c r="B7" s="6">
        <v>2</v>
      </c>
      <c r="C7" s="30"/>
      <c r="D7" s="7"/>
      <c r="E7" s="8"/>
      <c r="F7" s="9">
        <f>SUM(B7:E7)</f>
        <v>2</v>
      </c>
      <c r="G7" s="30">
        <v>1</v>
      </c>
      <c r="H7" s="30"/>
      <c r="I7" s="7"/>
      <c r="J7" s="8"/>
      <c r="K7" s="9">
        <f>SUM(G7:J7)</f>
        <v>1</v>
      </c>
      <c r="L7" s="11">
        <f t="shared" si="2"/>
        <v>3</v>
      </c>
      <c r="M7" s="97">
        <v>44552</v>
      </c>
      <c r="N7" s="12" t="s">
        <v>7</v>
      </c>
      <c r="O7" s="26"/>
      <c r="P7" s="47"/>
      <c r="Q7" s="27"/>
      <c r="R7" s="50"/>
      <c r="S7" s="9">
        <f>SUM(O7:R7)</f>
        <v>0</v>
      </c>
      <c r="T7" s="47"/>
      <c r="U7" s="47"/>
      <c r="V7" s="27"/>
      <c r="W7" s="50"/>
      <c r="X7" s="9">
        <f>SUM(T7:W7)</f>
        <v>0</v>
      </c>
      <c r="Y7" s="11">
        <f t="shared" ref="Y7:Y36" si="3">S7+X7</f>
        <v>0</v>
      </c>
    </row>
    <row r="8" spans="1:26" ht="14.25" thickBot="1" x14ac:dyDescent="0.2">
      <c r="A8" s="13" t="s">
        <v>8</v>
      </c>
      <c r="B8" s="6"/>
      <c r="C8" s="30">
        <v>3</v>
      </c>
      <c r="D8" s="7">
        <v>3</v>
      </c>
      <c r="E8" s="8"/>
      <c r="F8" s="10">
        <f>SUM(B8:E8)</f>
        <v>6</v>
      </c>
      <c r="G8" s="30">
        <v>3</v>
      </c>
      <c r="H8" s="30"/>
      <c r="I8" s="7"/>
      <c r="J8" s="8"/>
      <c r="K8" s="10">
        <f>SUM(G8:J8)</f>
        <v>3</v>
      </c>
      <c r="L8" s="14">
        <f t="shared" si="2"/>
        <v>9</v>
      </c>
      <c r="M8" s="97">
        <v>44557</v>
      </c>
      <c r="N8" s="12" t="s">
        <v>8</v>
      </c>
      <c r="O8" s="26"/>
      <c r="P8" s="47"/>
      <c r="Q8" s="27"/>
      <c r="R8" s="50"/>
      <c r="S8" s="10">
        <f>SUM(O8:R8)</f>
        <v>0</v>
      </c>
      <c r="T8" s="47"/>
      <c r="U8" s="47"/>
      <c r="V8" s="27"/>
      <c r="W8" s="50"/>
      <c r="X8" s="10">
        <f>SUM(T8:W8)</f>
        <v>0</v>
      </c>
      <c r="Y8" s="14">
        <f t="shared" si="3"/>
        <v>0</v>
      </c>
      <c r="Z8" s="99"/>
    </row>
    <row r="9" spans="1:26" ht="14.25" thickBot="1" x14ac:dyDescent="0.2">
      <c r="A9" s="22" t="s">
        <v>9</v>
      </c>
      <c r="B9" s="18">
        <f t="shared" ref="B9:K9" si="4">SUM(B4:B8)</f>
        <v>10</v>
      </c>
      <c r="C9" s="45">
        <f t="shared" si="4"/>
        <v>13</v>
      </c>
      <c r="D9" s="19">
        <f t="shared" si="4"/>
        <v>11</v>
      </c>
      <c r="E9" s="20">
        <f t="shared" si="4"/>
        <v>9</v>
      </c>
      <c r="F9" s="28">
        <f t="shared" si="4"/>
        <v>43</v>
      </c>
      <c r="G9" s="18">
        <f t="shared" si="4"/>
        <v>12</v>
      </c>
      <c r="H9" s="45">
        <f t="shared" si="4"/>
        <v>8</v>
      </c>
      <c r="I9" s="19">
        <f t="shared" si="4"/>
        <v>8</v>
      </c>
      <c r="J9" s="20">
        <f t="shared" si="4"/>
        <v>8</v>
      </c>
      <c r="K9" s="28">
        <f t="shared" si="4"/>
        <v>36</v>
      </c>
      <c r="L9" s="21">
        <f t="shared" si="2"/>
        <v>79</v>
      </c>
      <c r="M9" s="98"/>
      <c r="N9" s="17" t="s">
        <v>9</v>
      </c>
      <c r="O9" s="51">
        <f t="shared" ref="O9:X9" si="5">SUM(O4:O8)</f>
        <v>392</v>
      </c>
      <c r="P9" s="52">
        <f t="shared" si="5"/>
        <v>492</v>
      </c>
      <c r="Q9" s="53">
        <f t="shared" si="5"/>
        <v>392</v>
      </c>
      <c r="R9" s="54">
        <f t="shared" si="5"/>
        <v>292</v>
      </c>
      <c r="S9" s="55">
        <f t="shared" si="5"/>
        <v>1568</v>
      </c>
      <c r="T9" s="51">
        <f t="shared" si="5"/>
        <v>392</v>
      </c>
      <c r="U9" s="52">
        <f t="shared" si="5"/>
        <v>492</v>
      </c>
      <c r="V9" s="53">
        <f t="shared" si="5"/>
        <v>392</v>
      </c>
      <c r="W9" s="54">
        <f t="shared" si="5"/>
        <v>292</v>
      </c>
      <c r="X9" s="55">
        <f t="shared" si="5"/>
        <v>1568</v>
      </c>
      <c r="Y9" s="56">
        <f t="shared" si="3"/>
        <v>3136</v>
      </c>
    </row>
    <row r="10" spans="1:26" x14ac:dyDescent="0.15">
      <c r="A10" s="32" t="s">
        <v>32</v>
      </c>
      <c r="B10" s="104">
        <v>3</v>
      </c>
      <c r="C10" s="105">
        <v>3</v>
      </c>
      <c r="D10" s="106">
        <v>3</v>
      </c>
      <c r="E10" s="107">
        <v>3</v>
      </c>
      <c r="F10" s="35">
        <f>SUM(B10:E10)</f>
        <v>12</v>
      </c>
      <c r="G10" s="104">
        <v>3</v>
      </c>
      <c r="H10" s="105">
        <v>3</v>
      </c>
      <c r="I10" s="106">
        <v>3</v>
      </c>
      <c r="J10" s="107">
        <v>3</v>
      </c>
      <c r="K10" s="35">
        <f>SUM(G10:J10)</f>
        <v>12</v>
      </c>
      <c r="L10" s="11">
        <f t="shared" si="2"/>
        <v>24</v>
      </c>
      <c r="M10" s="97">
        <v>44531</v>
      </c>
      <c r="N10" s="57" t="s">
        <v>34</v>
      </c>
      <c r="O10" s="24">
        <v>3</v>
      </c>
      <c r="P10" s="46">
        <v>5</v>
      </c>
      <c r="Q10" s="25">
        <v>3</v>
      </c>
      <c r="R10" s="33">
        <v>3</v>
      </c>
      <c r="S10" s="35">
        <f>SUM(O10:R10)</f>
        <v>14</v>
      </c>
      <c r="T10" s="24">
        <v>3</v>
      </c>
      <c r="U10" s="46">
        <v>3</v>
      </c>
      <c r="V10" s="25">
        <v>3</v>
      </c>
      <c r="W10" s="33">
        <v>3</v>
      </c>
      <c r="X10" s="35">
        <f>SUM(T10:W10)</f>
        <v>12</v>
      </c>
      <c r="Y10" s="11">
        <f t="shared" si="3"/>
        <v>26</v>
      </c>
      <c r="Z10" s="99">
        <v>44534</v>
      </c>
    </row>
    <row r="11" spans="1:26" x14ac:dyDescent="0.15">
      <c r="A11" s="32" t="s">
        <v>33</v>
      </c>
      <c r="B11" s="6"/>
      <c r="C11" s="30">
        <v>2</v>
      </c>
      <c r="D11" s="7"/>
      <c r="E11" s="81"/>
      <c r="F11" s="35">
        <f>SUM(B11:E11)</f>
        <v>2</v>
      </c>
      <c r="G11" s="6"/>
      <c r="H11" s="30"/>
      <c r="I11" s="7"/>
      <c r="J11" s="81"/>
      <c r="K11" s="35">
        <f>SUM(G11:J11)</f>
        <v>0</v>
      </c>
      <c r="L11" s="11">
        <f t="shared" si="2"/>
        <v>2</v>
      </c>
      <c r="M11" s="97">
        <v>44533</v>
      </c>
      <c r="N11" s="32" t="s">
        <v>35</v>
      </c>
      <c r="O11" s="26"/>
      <c r="P11" s="47">
        <v>3</v>
      </c>
      <c r="Q11" s="27"/>
      <c r="R11" s="34"/>
      <c r="S11" s="35">
        <f t="shared" ref="S11:S16" si="6">SUM(O11:R11)</f>
        <v>3</v>
      </c>
      <c r="T11" s="26"/>
      <c r="U11" s="47"/>
      <c r="V11" s="27"/>
      <c r="W11" s="34"/>
      <c r="X11" s="35">
        <f t="shared" ref="X11:X16" si="7">SUM(T11:W11)</f>
        <v>0</v>
      </c>
      <c r="Y11" s="11">
        <f t="shared" si="3"/>
        <v>3</v>
      </c>
      <c r="Z11" s="97">
        <v>44537</v>
      </c>
    </row>
    <row r="12" spans="1:26" ht="15" customHeight="1" x14ac:dyDescent="0.15">
      <c r="A12" s="13" t="s">
        <v>41</v>
      </c>
      <c r="B12" s="86"/>
      <c r="C12" s="87"/>
      <c r="D12" s="88">
        <f>1+1</f>
        <v>2</v>
      </c>
      <c r="E12" s="89"/>
      <c r="F12" s="70">
        <f t="shared" ref="F12:F25" si="8">SUM(B12:E12)</f>
        <v>2</v>
      </c>
      <c r="G12" s="86"/>
      <c r="H12" s="87"/>
      <c r="I12" s="88">
        <v>1</v>
      </c>
      <c r="J12" s="89"/>
      <c r="K12" s="70">
        <f t="shared" ref="K12:K25" si="9">SUM(G12:J12)</f>
        <v>1</v>
      </c>
      <c r="L12" s="11">
        <f t="shared" ref="L12:L25" si="10">F12+K12</f>
        <v>3</v>
      </c>
      <c r="M12" s="99">
        <v>44543</v>
      </c>
      <c r="N12" s="32" t="s">
        <v>36</v>
      </c>
      <c r="O12" s="26"/>
      <c r="P12" s="47">
        <v>4</v>
      </c>
      <c r="Q12" s="27">
        <v>2</v>
      </c>
      <c r="R12" s="34"/>
      <c r="S12" s="35">
        <f t="shared" si="6"/>
        <v>6</v>
      </c>
      <c r="T12" s="26"/>
      <c r="U12" s="47"/>
      <c r="V12" s="27"/>
      <c r="W12" s="34"/>
      <c r="X12" s="35">
        <f t="shared" si="7"/>
        <v>0</v>
      </c>
      <c r="Y12" s="11">
        <f t="shared" si="3"/>
        <v>6</v>
      </c>
      <c r="Z12" s="97">
        <v>44538</v>
      </c>
    </row>
    <row r="13" spans="1:26" x14ac:dyDescent="0.15">
      <c r="A13" s="32" t="s">
        <v>46</v>
      </c>
      <c r="B13" s="6">
        <v>1</v>
      </c>
      <c r="C13" s="30"/>
      <c r="D13" s="7"/>
      <c r="E13" s="81"/>
      <c r="F13" s="35">
        <f t="shared" si="8"/>
        <v>1</v>
      </c>
      <c r="G13" s="6">
        <v>1</v>
      </c>
      <c r="H13" s="30"/>
      <c r="I13" s="7"/>
      <c r="J13" s="81"/>
      <c r="K13" s="35">
        <f t="shared" si="9"/>
        <v>1</v>
      </c>
      <c r="L13" s="11">
        <f t="shared" si="10"/>
        <v>2</v>
      </c>
      <c r="M13" s="97">
        <v>44550</v>
      </c>
      <c r="N13" s="32" t="s">
        <v>37</v>
      </c>
      <c r="O13" s="66">
        <v>1</v>
      </c>
      <c r="P13" s="67">
        <v>1</v>
      </c>
      <c r="Q13" s="68">
        <v>1</v>
      </c>
      <c r="R13" s="69">
        <v>1</v>
      </c>
      <c r="S13" s="35">
        <f t="shared" si="6"/>
        <v>4</v>
      </c>
      <c r="T13" s="66"/>
      <c r="U13" s="67"/>
      <c r="V13" s="68"/>
      <c r="W13" s="69"/>
      <c r="X13" s="35">
        <f t="shared" si="7"/>
        <v>0</v>
      </c>
      <c r="Y13" s="11">
        <f t="shared" si="3"/>
        <v>4</v>
      </c>
      <c r="Z13" s="99">
        <v>44539</v>
      </c>
    </row>
    <row r="14" spans="1:26" x14ac:dyDescent="0.15">
      <c r="A14" s="32" t="s">
        <v>48</v>
      </c>
      <c r="B14" s="6"/>
      <c r="C14" s="30">
        <v>2</v>
      </c>
      <c r="D14" s="7"/>
      <c r="E14" s="81"/>
      <c r="F14" s="35">
        <f t="shared" si="8"/>
        <v>2</v>
      </c>
      <c r="G14" s="6"/>
      <c r="H14" s="30">
        <v>1</v>
      </c>
      <c r="I14" s="7"/>
      <c r="J14" s="81"/>
      <c r="K14" s="35">
        <f t="shared" si="9"/>
        <v>1</v>
      </c>
      <c r="L14" s="11">
        <f t="shared" si="10"/>
        <v>3</v>
      </c>
      <c r="M14" s="97">
        <v>44552</v>
      </c>
      <c r="N14" s="32" t="s">
        <v>38</v>
      </c>
      <c r="O14" s="66">
        <v>1</v>
      </c>
      <c r="P14" s="67"/>
      <c r="Q14" s="68">
        <v>1</v>
      </c>
      <c r="R14" s="69">
        <v>1</v>
      </c>
      <c r="S14" s="35">
        <f t="shared" si="6"/>
        <v>3</v>
      </c>
      <c r="T14" s="66">
        <v>1</v>
      </c>
      <c r="U14" s="67"/>
      <c r="V14" s="68"/>
      <c r="W14" s="69"/>
      <c r="X14" s="35">
        <f t="shared" si="7"/>
        <v>1</v>
      </c>
      <c r="Y14" s="11">
        <f t="shared" si="3"/>
        <v>4</v>
      </c>
      <c r="Z14" s="99">
        <v>44540</v>
      </c>
    </row>
    <row r="15" spans="1:26" x14ac:dyDescent="0.15">
      <c r="A15" s="32" t="s">
        <v>50</v>
      </c>
      <c r="B15" s="6"/>
      <c r="C15" s="30"/>
      <c r="D15" s="7"/>
      <c r="E15" s="81"/>
      <c r="F15" s="35">
        <f t="shared" si="8"/>
        <v>0</v>
      </c>
      <c r="G15" s="6">
        <v>3</v>
      </c>
      <c r="H15" s="30"/>
      <c r="I15" s="7"/>
      <c r="J15" s="81"/>
      <c r="K15" s="35">
        <f t="shared" si="9"/>
        <v>3</v>
      </c>
      <c r="L15" s="11">
        <f t="shared" si="10"/>
        <v>3</v>
      </c>
      <c r="M15" s="97">
        <v>44553</v>
      </c>
      <c r="N15" s="32" t="s">
        <v>39</v>
      </c>
      <c r="O15" s="26"/>
      <c r="P15" s="47">
        <v>5</v>
      </c>
      <c r="Q15" s="27">
        <v>1</v>
      </c>
      <c r="R15" s="34"/>
      <c r="S15" s="35">
        <f t="shared" si="6"/>
        <v>6</v>
      </c>
      <c r="T15" s="26">
        <v>1</v>
      </c>
      <c r="U15" s="47"/>
      <c r="V15" s="27"/>
      <c r="W15" s="34"/>
      <c r="X15" s="35">
        <f t="shared" si="7"/>
        <v>1</v>
      </c>
      <c r="Y15" s="11">
        <f t="shared" si="3"/>
        <v>7</v>
      </c>
      <c r="Z15" s="99">
        <v>44543</v>
      </c>
    </row>
    <row r="16" spans="1:26" x14ac:dyDescent="0.15">
      <c r="A16" s="13" t="s">
        <v>41</v>
      </c>
      <c r="B16" s="6"/>
      <c r="C16" s="30"/>
      <c r="D16" s="7"/>
      <c r="E16" s="81">
        <v>1</v>
      </c>
      <c r="F16" s="35">
        <f t="shared" si="8"/>
        <v>1</v>
      </c>
      <c r="G16" s="6"/>
      <c r="H16" s="30"/>
      <c r="I16" s="7"/>
      <c r="J16" s="81"/>
      <c r="K16" s="35">
        <f t="shared" si="9"/>
        <v>0</v>
      </c>
      <c r="L16" s="11">
        <f t="shared" si="10"/>
        <v>1</v>
      </c>
      <c r="M16" s="97">
        <v>44554</v>
      </c>
      <c r="N16" s="32" t="s">
        <v>40</v>
      </c>
      <c r="O16" s="26">
        <v>1</v>
      </c>
      <c r="P16" s="47">
        <v>2</v>
      </c>
      <c r="Q16" s="27">
        <v>1</v>
      </c>
      <c r="R16" s="50"/>
      <c r="S16" s="9">
        <f t="shared" si="6"/>
        <v>4</v>
      </c>
      <c r="T16" s="47"/>
      <c r="U16" s="47"/>
      <c r="V16" s="27"/>
      <c r="W16" s="50"/>
      <c r="X16" s="9">
        <f t="shared" si="7"/>
        <v>0</v>
      </c>
      <c r="Y16" s="11">
        <f t="shared" si="3"/>
        <v>4</v>
      </c>
      <c r="Z16" s="97">
        <v>44544</v>
      </c>
    </row>
    <row r="17" spans="1:26" x14ac:dyDescent="0.15">
      <c r="A17" s="32" t="s">
        <v>57</v>
      </c>
      <c r="B17" s="6"/>
      <c r="C17" s="30">
        <v>2</v>
      </c>
      <c r="D17" s="7"/>
      <c r="E17" s="81">
        <v>2</v>
      </c>
      <c r="F17" s="35">
        <f t="shared" si="8"/>
        <v>4</v>
      </c>
      <c r="G17" s="6">
        <v>1</v>
      </c>
      <c r="H17" s="30"/>
      <c r="I17" s="7"/>
      <c r="J17" s="81"/>
      <c r="K17" s="35">
        <f t="shared" si="9"/>
        <v>1</v>
      </c>
      <c r="L17" s="11">
        <f t="shared" si="10"/>
        <v>5</v>
      </c>
      <c r="M17" s="97">
        <v>44567</v>
      </c>
      <c r="N17" s="32" t="s">
        <v>43</v>
      </c>
      <c r="O17" s="26">
        <v>2</v>
      </c>
      <c r="P17" s="47"/>
      <c r="Q17" s="27"/>
      <c r="R17" s="34">
        <v>1</v>
      </c>
      <c r="S17" s="35">
        <f t="shared" ref="S17:S34" si="11">SUM(O17:R17)</f>
        <v>3</v>
      </c>
      <c r="T17" s="26">
        <v>1</v>
      </c>
      <c r="U17" s="47"/>
      <c r="V17" s="27"/>
      <c r="W17" s="34"/>
      <c r="X17" s="35">
        <f t="shared" ref="X17:X34" si="12">SUM(T17:W17)</f>
        <v>1</v>
      </c>
      <c r="Y17" s="11">
        <f t="shared" si="3"/>
        <v>4</v>
      </c>
      <c r="Z17" s="99">
        <v>44546</v>
      </c>
    </row>
    <row r="18" spans="1:26" x14ac:dyDescent="0.15">
      <c r="A18" s="13" t="s">
        <v>41</v>
      </c>
      <c r="B18" s="6"/>
      <c r="C18" s="30"/>
      <c r="D18" s="7">
        <v>1</v>
      </c>
      <c r="E18" s="81"/>
      <c r="F18" s="35">
        <f t="shared" si="8"/>
        <v>1</v>
      </c>
      <c r="G18" s="6"/>
      <c r="H18" s="30"/>
      <c r="I18" s="7"/>
      <c r="J18" s="81"/>
      <c r="K18" s="35">
        <f t="shared" si="9"/>
        <v>0</v>
      </c>
      <c r="L18" s="11">
        <f t="shared" si="10"/>
        <v>1</v>
      </c>
      <c r="M18" s="97">
        <v>44566</v>
      </c>
      <c r="N18" s="32" t="s">
        <v>44</v>
      </c>
      <c r="O18" s="26">
        <v>1</v>
      </c>
      <c r="P18" s="47">
        <v>2</v>
      </c>
      <c r="Q18" s="27"/>
      <c r="R18" s="34"/>
      <c r="S18" s="35">
        <f t="shared" si="11"/>
        <v>3</v>
      </c>
      <c r="T18" s="26"/>
      <c r="U18" s="47"/>
      <c r="V18" s="27"/>
      <c r="W18" s="34"/>
      <c r="X18" s="35">
        <f t="shared" si="12"/>
        <v>0</v>
      </c>
      <c r="Y18" s="11">
        <f t="shared" si="3"/>
        <v>3</v>
      </c>
      <c r="Z18" s="99">
        <v>44547</v>
      </c>
    </row>
    <row r="19" spans="1:26" x14ac:dyDescent="0.15">
      <c r="A19" s="13" t="s">
        <v>41</v>
      </c>
      <c r="B19" s="6"/>
      <c r="C19" s="30">
        <v>1</v>
      </c>
      <c r="D19" s="7"/>
      <c r="E19" s="81"/>
      <c r="F19" s="35">
        <f t="shared" si="8"/>
        <v>1</v>
      </c>
      <c r="G19" s="6"/>
      <c r="H19" s="30">
        <v>1</v>
      </c>
      <c r="I19" s="7"/>
      <c r="J19" s="81"/>
      <c r="K19" s="35">
        <f t="shared" si="9"/>
        <v>1</v>
      </c>
      <c r="L19" s="11">
        <f t="shared" si="10"/>
        <v>2</v>
      </c>
      <c r="M19" s="97">
        <v>44568</v>
      </c>
      <c r="N19" s="32" t="s">
        <v>45</v>
      </c>
      <c r="O19" s="26">
        <v>2</v>
      </c>
      <c r="P19" s="47"/>
      <c r="Q19" s="27"/>
      <c r="R19" s="34">
        <v>1</v>
      </c>
      <c r="S19" s="35">
        <f t="shared" si="11"/>
        <v>3</v>
      </c>
      <c r="T19" s="26">
        <v>1</v>
      </c>
      <c r="U19" s="47"/>
      <c r="V19" s="27"/>
      <c r="W19" s="34"/>
      <c r="X19" s="35">
        <f t="shared" si="12"/>
        <v>1</v>
      </c>
      <c r="Y19" s="11">
        <f t="shared" si="3"/>
        <v>4</v>
      </c>
      <c r="Z19" s="99">
        <v>44548</v>
      </c>
    </row>
    <row r="20" spans="1:26" x14ac:dyDescent="0.15">
      <c r="A20" s="32" t="s">
        <v>60</v>
      </c>
      <c r="B20" s="6"/>
      <c r="C20" s="30"/>
      <c r="D20" s="7"/>
      <c r="E20" s="81"/>
      <c r="F20" s="35">
        <f t="shared" si="8"/>
        <v>0</v>
      </c>
      <c r="G20" s="6"/>
      <c r="H20" s="30"/>
      <c r="I20" s="7"/>
      <c r="J20" s="81">
        <v>-1</v>
      </c>
      <c r="K20" s="35">
        <f t="shared" si="9"/>
        <v>-1</v>
      </c>
      <c r="L20" s="11">
        <f t="shared" si="10"/>
        <v>-1</v>
      </c>
      <c r="M20" s="97">
        <v>44568</v>
      </c>
      <c r="N20" s="32" t="s">
        <v>47</v>
      </c>
      <c r="O20" s="26">
        <v>2</v>
      </c>
      <c r="P20" s="47">
        <v>2</v>
      </c>
      <c r="Q20" s="27"/>
      <c r="R20" s="34"/>
      <c r="S20" s="35">
        <f t="shared" si="11"/>
        <v>4</v>
      </c>
      <c r="T20" s="26">
        <v>2</v>
      </c>
      <c r="U20" s="47">
        <v>1</v>
      </c>
      <c r="V20" s="27">
        <v>1</v>
      </c>
      <c r="W20" s="34"/>
      <c r="X20" s="35">
        <f t="shared" si="12"/>
        <v>4</v>
      </c>
      <c r="Y20" s="11">
        <f t="shared" si="3"/>
        <v>8</v>
      </c>
      <c r="Z20" s="99">
        <v>44551</v>
      </c>
    </row>
    <row r="21" spans="1:26" x14ac:dyDescent="0.15">
      <c r="A21" s="32" t="s">
        <v>61</v>
      </c>
      <c r="B21" s="6"/>
      <c r="C21" s="30"/>
      <c r="D21" s="7"/>
      <c r="E21" s="81">
        <v>1</v>
      </c>
      <c r="F21" s="35">
        <f t="shared" si="8"/>
        <v>1</v>
      </c>
      <c r="G21" s="6"/>
      <c r="H21" s="30"/>
      <c r="I21" s="7"/>
      <c r="J21" s="81"/>
      <c r="K21" s="35">
        <f t="shared" si="9"/>
        <v>0</v>
      </c>
      <c r="L21" s="11">
        <f t="shared" si="10"/>
        <v>1</v>
      </c>
      <c r="M21" s="97">
        <v>44573</v>
      </c>
      <c r="N21" s="32" t="s">
        <v>51</v>
      </c>
      <c r="O21" s="26">
        <v>3</v>
      </c>
      <c r="P21" s="47"/>
      <c r="Q21" s="27">
        <v>1</v>
      </c>
      <c r="R21" s="34"/>
      <c r="S21" s="35">
        <f t="shared" si="11"/>
        <v>4</v>
      </c>
      <c r="T21" s="26"/>
      <c r="U21" s="47">
        <v>1</v>
      </c>
      <c r="V21" s="27"/>
      <c r="W21" s="34"/>
      <c r="X21" s="35">
        <f t="shared" si="12"/>
        <v>1</v>
      </c>
      <c r="Y21" s="11">
        <f t="shared" si="3"/>
        <v>5</v>
      </c>
      <c r="Z21" s="99">
        <v>44554</v>
      </c>
    </row>
    <row r="22" spans="1:26" x14ac:dyDescent="0.15">
      <c r="A22" s="13" t="s">
        <v>41</v>
      </c>
      <c r="B22" s="6"/>
      <c r="C22" s="30"/>
      <c r="D22" s="7">
        <v>2</v>
      </c>
      <c r="E22" s="81">
        <f>1+1</f>
        <v>2</v>
      </c>
      <c r="F22" s="35">
        <f t="shared" si="8"/>
        <v>4</v>
      </c>
      <c r="G22" s="6"/>
      <c r="H22" s="30"/>
      <c r="I22" s="7"/>
      <c r="J22" s="81"/>
      <c r="K22" s="35">
        <f t="shared" si="9"/>
        <v>0</v>
      </c>
      <c r="L22" s="11">
        <f t="shared" si="10"/>
        <v>4</v>
      </c>
      <c r="M22" s="97">
        <v>44572</v>
      </c>
      <c r="N22" s="32" t="s">
        <v>52</v>
      </c>
      <c r="O22" s="26">
        <v>2</v>
      </c>
      <c r="P22" s="47"/>
      <c r="Q22" s="27">
        <v>2</v>
      </c>
      <c r="R22" s="34">
        <v>1</v>
      </c>
      <c r="S22" s="35">
        <f>SUM(O22:R22)</f>
        <v>5</v>
      </c>
      <c r="T22" s="26"/>
      <c r="U22" s="47"/>
      <c r="V22" s="27"/>
      <c r="W22" s="34"/>
      <c r="X22" s="35">
        <f>SUM(T22:W22)</f>
        <v>0</v>
      </c>
      <c r="Y22" s="11">
        <f>S22+X22</f>
        <v>5</v>
      </c>
      <c r="Z22" s="99">
        <v>44557</v>
      </c>
    </row>
    <row r="23" spans="1:26" x14ac:dyDescent="0.15">
      <c r="A23" s="32" t="s">
        <v>62</v>
      </c>
      <c r="B23" s="6"/>
      <c r="C23" s="30"/>
      <c r="D23" s="7"/>
      <c r="E23" s="81">
        <v>-5</v>
      </c>
      <c r="F23" s="35">
        <f t="shared" si="8"/>
        <v>-5</v>
      </c>
      <c r="G23" s="6"/>
      <c r="H23" s="30"/>
      <c r="I23" s="7"/>
      <c r="J23" s="81"/>
      <c r="K23" s="35">
        <f t="shared" si="9"/>
        <v>0</v>
      </c>
      <c r="L23" s="11">
        <f t="shared" si="10"/>
        <v>-5</v>
      </c>
      <c r="M23" s="97">
        <v>44573</v>
      </c>
      <c r="N23" s="57" t="s">
        <v>34</v>
      </c>
      <c r="O23" s="26"/>
      <c r="P23" s="47">
        <v>3</v>
      </c>
      <c r="Q23" s="27">
        <v>3</v>
      </c>
      <c r="R23" s="34"/>
      <c r="S23" s="35">
        <f>SUM(O23:R23)</f>
        <v>6</v>
      </c>
      <c r="T23" s="26">
        <v>3</v>
      </c>
      <c r="U23" s="47"/>
      <c r="V23" s="27"/>
      <c r="W23" s="34"/>
      <c r="X23" s="35">
        <f>SUM(T23:W23)</f>
        <v>3</v>
      </c>
      <c r="Y23" s="11">
        <f t="shared" ref="Y23" si="13">S23+X23</f>
        <v>9</v>
      </c>
      <c r="Z23" s="99">
        <v>44557</v>
      </c>
    </row>
    <row r="24" spans="1:26" x14ac:dyDescent="0.15">
      <c r="A24" s="32" t="s">
        <v>63</v>
      </c>
      <c r="B24" s="6">
        <v>2</v>
      </c>
      <c r="C24" s="30">
        <v>1</v>
      </c>
      <c r="D24" s="7">
        <v>1</v>
      </c>
      <c r="E24" s="81">
        <v>1</v>
      </c>
      <c r="F24" s="35">
        <f t="shared" si="8"/>
        <v>5</v>
      </c>
      <c r="G24" s="6"/>
      <c r="H24" s="30"/>
      <c r="I24" s="7">
        <v>1</v>
      </c>
      <c r="J24" s="81"/>
      <c r="K24" s="35">
        <f t="shared" si="9"/>
        <v>1</v>
      </c>
      <c r="L24" s="11">
        <f t="shared" si="10"/>
        <v>6</v>
      </c>
      <c r="M24" s="97">
        <v>44574</v>
      </c>
      <c r="N24" s="32" t="s">
        <v>53</v>
      </c>
      <c r="O24" s="26">
        <v>1</v>
      </c>
      <c r="P24" s="47">
        <v>4</v>
      </c>
      <c r="Q24" s="27">
        <v>2</v>
      </c>
      <c r="R24" s="34"/>
      <c r="S24" s="35">
        <f t="shared" si="11"/>
        <v>7</v>
      </c>
      <c r="T24" s="26">
        <v>1</v>
      </c>
      <c r="U24" s="47">
        <v>6</v>
      </c>
      <c r="V24" s="27">
        <v>1</v>
      </c>
      <c r="W24" s="34"/>
      <c r="X24" s="35">
        <f t="shared" si="12"/>
        <v>8</v>
      </c>
      <c r="Y24" s="11">
        <f t="shared" si="3"/>
        <v>15</v>
      </c>
      <c r="Z24" s="99">
        <v>44558</v>
      </c>
    </row>
    <row r="25" spans="1:26" x14ac:dyDescent="0.15">
      <c r="A25" s="32" t="s">
        <v>64</v>
      </c>
      <c r="B25" s="6">
        <v>-1</v>
      </c>
      <c r="C25" s="30">
        <v>-4</v>
      </c>
      <c r="D25" s="7"/>
      <c r="E25" s="81"/>
      <c r="F25" s="35">
        <f t="shared" si="8"/>
        <v>-5</v>
      </c>
      <c r="G25" s="6">
        <v>-1</v>
      </c>
      <c r="H25" s="30"/>
      <c r="I25" s="7"/>
      <c r="J25" s="81"/>
      <c r="K25" s="35">
        <f t="shared" si="9"/>
        <v>-1</v>
      </c>
      <c r="L25" s="11">
        <f t="shared" si="10"/>
        <v>-6</v>
      </c>
      <c r="M25" s="97">
        <v>44574</v>
      </c>
      <c r="N25" s="32" t="s">
        <v>54</v>
      </c>
      <c r="O25" s="26">
        <v>2</v>
      </c>
      <c r="P25" s="47">
        <v>2</v>
      </c>
      <c r="Q25" s="27">
        <v>3</v>
      </c>
      <c r="R25" s="34"/>
      <c r="S25" s="35">
        <f t="shared" si="11"/>
        <v>7</v>
      </c>
      <c r="T25" s="26"/>
      <c r="U25" s="47"/>
      <c r="V25" s="27"/>
      <c r="W25" s="34"/>
      <c r="X25" s="35">
        <f t="shared" si="12"/>
        <v>0</v>
      </c>
      <c r="Y25" s="11">
        <f t="shared" si="3"/>
        <v>7</v>
      </c>
      <c r="Z25" s="99">
        <v>44201</v>
      </c>
    </row>
    <row r="26" spans="1:26" x14ac:dyDescent="0.15">
      <c r="A26" s="13" t="s">
        <v>41</v>
      </c>
      <c r="B26" s="6">
        <v>1</v>
      </c>
      <c r="C26" s="30"/>
      <c r="D26" s="7"/>
      <c r="E26" s="81"/>
      <c r="F26" s="35">
        <f t="shared" ref="F26:F34" si="14">SUM(B26:E26)</f>
        <v>1</v>
      </c>
      <c r="G26" s="6"/>
      <c r="H26" s="30"/>
      <c r="I26" s="7"/>
      <c r="J26" s="81"/>
      <c r="K26" s="35">
        <f t="shared" ref="K26:K34" si="15">SUM(G26:J26)</f>
        <v>0</v>
      </c>
      <c r="L26" s="11">
        <f t="shared" si="2"/>
        <v>1</v>
      </c>
      <c r="M26" s="97">
        <v>44574</v>
      </c>
      <c r="N26" s="32" t="s">
        <v>59</v>
      </c>
      <c r="O26" s="26"/>
      <c r="P26" s="47">
        <v>2</v>
      </c>
      <c r="Q26" s="27"/>
      <c r="R26" s="34"/>
      <c r="S26" s="35">
        <f t="shared" si="11"/>
        <v>2</v>
      </c>
      <c r="T26" s="26"/>
      <c r="U26" s="47">
        <v>1</v>
      </c>
      <c r="V26" s="27"/>
      <c r="W26" s="34"/>
      <c r="X26" s="35">
        <f t="shared" si="12"/>
        <v>1</v>
      </c>
      <c r="Y26" s="11">
        <f t="shared" si="3"/>
        <v>3</v>
      </c>
      <c r="Z26" s="99">
        <v>44569</v>
      </c>
    </row>
    <row r="27" spans="1:26" x14ac:dyDescent="0.15">
      <c r="A27" s="32" t="s">
        <v>62</v>
      </c>
      <c r="B27" s="6"/>
      <c r="C27" s="30"/>
      <c r="D27" s="7">
        <v>-3</v>
      </c>
      <c r="E27" s="81"/>
      <c r="F27" s="35">
        <f t="shared" si="14"/>
        <v>-3</v>
      </c>
      <c r="G27" s="6"/>
      <c r="H27" s="30">
        <v>-3</v>
      </c>
      <c r="I27" s="7">
        <v>-3</v>
      </c>
      <c r="J27" s="81"/>
      <c r="K27" s="35">
        <f t="shared" si="15"/>
        <v>-6</v>
      </c>
      <c r="L27" s="11">
        <f t="shared" si="2"/>
        <v>-9</v>
      </c>
      <c r="M27" s="97">
        <v>44575</v>
      </c>
      <c r="N27" s="57" t="s">
        <v>34</v>
      </c>
      <c r="O27" s="26"/>
      <c r="P27" s="47"/>
      <c r="Q27" s="27"/>
      <c r="R27" s="34">
        <v>5</v>
      </c>
      <c r="S27" s="35">
        <f t="shared" si="11"/>
        <v>5</v>
      </c>
      <c r="T27" s="26"/>
      <c r="U27" s="47"/>
      <c r="V27" s="27"/>
      <c r="W27" s="34"/>
      <c r="X27" s="35">
        <f t="shared" si="12"/>
        <v>0</v>
      </c>
      <c r="Y27" s="11">
        <f t="shared" si="3"/>
        <v>5</v>
      </c>
      <c r="Z27" s="99">
        <v>44573</v>
      </c>
    </row>
    <row r="28" spans="1:26" x14ac:dyDescent="0.15">
      <c r="A28" s="32" t="s">
        <v>67</v>
      </c>
      <c r="B28" s="6"/>
      <c r="C28" s="30"/>
      <c r="D28" s="7">
        <v>1</v>
      </c>
      <c r="E28" s="81"/>
      <c r="F28" s="35">
        <f t="shared" si="14"/>
        <v>1</v>
      </c>
      <c r="G28" s="6"/>
      <c r="H28" s="30"/>
      <c r="I28" s="7"/>
      <c r="J28" s="81"/>
      <c r="K28" s="35">
        <f t="shared" si="15"/>
        <v>0</v>
      </c>
      <c r="L28" s="11">
        <f t="shared" si="2"/>
        <v>1</v>
      </c>
      <c r="M28" s="97">
        <v>44578</v>
      </c>
      <c r="N28" s="57" t="s">
        <v>34</v>
      </c>
      <c r="O28" s="26"/>
      <c r="P28" s="47"/>
      <c r="Q28" s="27">
        <v>3</v>
      </c>
      <c r="R28" s="34"/>
      <c r="S28" s="35">
        <f t="shared" si="11"/>
        <v>3</v>
      </c>
      <c r="T28" s="26"/>
      <c r="U28" s="47">
        <v>3</v>
      </c>
      <c r="V28" s="27">
        <v>3</v>
      </c>
      <c r="W28" s="34"/>
      <c r="X28" s="35">
        <f t="shared" si="12"/>
        <v>6</v>
      </c>
      <c r="Y28" s="11">
        <f t="shared" si="3"/>
        <v>9</v>
      </c>
      <c r="Z28" s="99">
        <v>44575</v>
      </c>
    </row>
    <row r="29" spans="1:26" x14ac:dyDescent="0.15">
      <c r="A29" s="13" t="s">
        <v>41</v>
      </c>
      <c r="B29" s="6">
        <v>2</v>
      </c>
      <c r="C29" s="30"/>
      <c r="D29" s="7"/>
      <c r="E29" s="81"/>
      <c r="F29" s="35">
        <f t="shared" si="14"/>
        <v>2</v>
      </c>
      <c r="G29" s="6"/>
      <c r="H29" s="30">
        <v>1</v>
      </c>
      <c r="I29" s="7"/>
      <c r="J29" s="81"/>
      <c r="K29" s="35">
        <f t="shared" si="15"/>
        <v>1</v>
      </c>
      <c r="L29" s="11">
        <f t="shared" si="2"/>
        <v>3</v>
      </c>
      <c r="M29" s="97">
        <v>44576</v>
      </c>
      <c r="N29" s="57" t="s">
        <v>69</v>
      </c>
      <c r="O29" s="26">
        <v>5</v>
      </c>
      <c r="P29" s="47"/>
      <c r="Q29" s="27">
        <v>3</v>
      </c>
      <c r="R29" s="34"/>
      <c r="S29" s="35">
        <f t="shared" si="11"/>
        <v>8</v>
      </c>
      <c r="T29" s="26">
        <v>3</v>
      </c>
      <c r="U29" s="47"/>
      <c r="V29" s="27"/>
      <c r="W29" s="34"/>
      <c r="X29" s="35">
        <f t="shared" si="12"/>
        <v>3</v>
      </c>
      <c r="Y29" s="11">
        <f t="shared" si="3"/>
        <v>11</v>
      </c>
      <c r="Z29" s="99">
        <v>44579</v>
      </c>
    </row>
    <row r="30" spans="1:26" x14ac:dyDescent="0.15">
      <c r="A30" s="32" t="s">
        <v>68</v>
      </c>
      <c r="B30" s="6"/>
      <c r="C30" s="30"/>
      <c r="D30" s="7">
        <v>1</v>
      </c>
      <c r="E30" s="81"/>
      <c r="F30" s="35">
        <f t="shared" si="14"/>
        <v>1</v>
      </c>
      <c r="G30" s="6"/>
      <c r="H30" s="30"/>
      <c r="I30" s="7">
        <v>1</v>
      </c>
      <c r="J30" s="81"/>
      <c r="K30" s="35">
        <f t="shared" si="15"/>
        <v>1</v>
      </c>
      <c r="L30" s="11">
        <f t="shared" si="2"/>
        <v>2</v>
      </c>
      <c r="M30" s="97">
        <v>44579</v>
      </c>
      <c r="N30" s="32" t="s">
        <v>73</v>
      </c>
      <c r="O30" s="26">
        <v>2</v>
      </c>
      <c r="P30" s="47"/>
      <c r="Q30" s="27"/>
      <c r="R30" s="34"/>
      <c r="S30" s="35">
        <f>SUM(O30:R30)</f>
        <v>2</v>
      </c>
      <c r="T30" s="26"/>
      <c r="U30" s="47"/>
      <c r="V30" s="27">
        <v>1</v>
      </c>
      <c r="W30" s="34"/>
      <c r="X30" s="35">
        <f>SUM(T30:W30)</f>
        <v>1</v>
      </c>
      <c r="Y30" s="11">
        <f>S30+X30</f>
        <v>3</v>
      </c>
      <c r="Z30" s="99">
        <v>44585</v>
      </c>
    </row>
    <row r="31" spans="1:26" x14ac:dyDescent="0.15">
      <c r="A31" s="13" t="s">
        <v>41</v>
      </c>
      <c r="B31" s="6">
        <v>1</v>
      </c>
      <c r="C31" s="30"/>
      <c r="D31" s="7"/>
      <c r="E31" s="81"/>
      <c r="F31" s="35">
        <f t="shared" si="14"/>
        <v>1</v>
      </c>
      <c r="G31" s="6">
        <f>1+1</f>
        <v>2</v>
      </c>
      <c r="H31" s="30">
        <v>1</v>
      </c>
      <c r="I31" s="7"/>
      <c r="J31" s="81"/>
      <c r="K31" s="35">
        <f t="shared" si="15"/>
        <v>3</v>
      </c>
      <c r="L31" s="11">
        <f t="shared" si="2"/>
        <v>4</v>
      </c>
      <c r="M31" s="97">
        <v>44578</v>
      </c>
      <c r="N31" s="15"/>
      <c r="O31" s="26"/>
      <c r="P31" s="47"/>
      <c r="Q31" s="27"/>
      <c r="R31" s="34"/>
      <c r="S31" s="35">
        <f>SUM(O31:R31)</f>
        <v>0</v>
      </c>
      <c r="T31" s="26"/>
      <c r="U31" s="47"/>
      <c r="V31" s="27"/>
      <c r="W31" s="34"/>
      <c r="X31" s="35">
        <f>SUM(T31:W31)</f>
        <v>0</v>
      </c>
      <c r="Y31" s="11">
        <f>S31+X31</f>
        <v>0</v>
      </c>
      <c r="Z31" s="99"/>
    </row>
    <row r="32" spans="1:26" x14ac:dyDescent="0.15">
      <c r="A32" s="113" t="s">
        <v>70</v>
      </c>
      <c r="B32" s="6">
        <v>-5</v>
      </c>
      <c r="C32" s="30"/>
      <c r="D32" s="7">
        <v>-3</v>
      </c>
      <c r="E32" s="81"/>
      <c r="F32" s="35">
        <f t="shared" si="14"/>
        <v>-8</v>
      </c>
      <c r="G32" s="6">
        <v>-3</v>
      </c>
      <c r="H32" s="30"/>
      <c r="I32" s="7"/>
      <c r="J32" s="81"/>
      <c r="K32" s="35">
        <f t="shared" si="15"/>
        <v>-3</v>
      </c>
      <c r="L32" s="11">
        <f t="shared" si="2"/>
        <v>-11</v>
      </c>
      <c r="M32" s="97">
        <v>44579</v>
      </c>
      <c r="N32" s="57"/>
      <c r="O32" s="26"/>
      <c r="P32" s="47"/>
      <c r="Q32" s="27"/>
      <c r="R32" s="34"/>
      <c r="S32" s="35">
        <f t="shared" si="11"/>
        <v>0</v>
      </c>
      <c r="T32" s="26"/>
      <c r="U32" s="47"/>
      <c r="V32" s="27"/>
      <c r="W32" s="34"/>
      <c r="X32" s="35">
        <f t="shared" si="12"/>
        <v>0</v>
      </c>
      <c r="Y32" s="11">
        <f t="shared" si="3"/>
        <v>0</v>
      </c>
      <c r="Z32" s="99"/>
    </row>
    <row r="33" spans="1:26" x14ac:dyDescent="0.15">
      <c r="A33" s="32" t="s">
        <v>71</v>
      </c>
      <c r="B33" s="6">
        <v>1</v>
      </c>
      <c r="C33" s="30"/>
      <c r="D33" s="7"/>
      <c r="E33" s="81"/>
      <c r="F33" s="35">
        <f t="shared" si="14"/>
        <v>1</v>
      </c>
      <c r="G33" s="6"/>
      <c r="H33" s="30"/>
      <c r="I33" s="7"/>
      <c r="J33" s="81"/>
      <c r="K33" s="35">
        <f t="shared" si="15"/>
        <v>0</v>
      </c>
      <c r="L33" s="11">
        <f t="shared" si="2"/>
        <v>1</v>
      </c>
      <c r="M33" s="97">
        <v>44580</v>
      </c>
      <c r="N33" s="57" t="s">
        <v>19</v>
      </c>
      <c r="O33" s="26"/>
      <c r="P33" s="47"/>
      <c r="Q33" s="27"/>
      <c r="R33" s="34"/>
      <c r="S33" s="35">
        <f t="shared" ref="S33" si="16">SUM(O33:R33)</f>
        <v>0</v>
      </c>
      <c r="T33" s="26"/>
      <c r="U33" s="47"/>
      <c r="V33" s="27"/>
      <c r="W33" s="34"/>
      <c r="X33" s="35">
        <f t="shared" ref="X33" si="17">SUM(T33:W33)</f>
        <v>0</v>
      </c>
      <c r="Y33" s="108">
        <f t="shared" ref="Y33" si="18">S33+X33</f>
        <v>0</v>
      </c>
      <c r="Z33" s="99" t="s">
        <v>20</v>
      </c>
    </row>
    <row r="34" spans="1:26" ht="14.25" thickBot="1" x14ac:dyDescent="0.2">
      <c r="A34" s="32" t="s">
        <v>72</v>
      </c>
      <c r="B34" s="114"/>
      <c r="C34" s="115"/>
      <c r="D34" s="116"/>
      <c r="E34" s="117"/>
      <c r="F34" s="35">
        <f t="shared" si="14"/>
        <v>0</v>
      </c>
      <c r="G34" s="114"/>
      <c r="H34" s="115"/>
      <c r="I34" s="116"/>
      <c r="J34" s="117">
        <v>1</v>
      </c>
      <c r="K34" s="35">
        <f t="shared" si="15"/>
        <v>1</v>
      </c>
      <c r="L34" s="14">
        <f t="shared" si="2"/>
        <v>1</v>
      </c>
      <c r="M34" s="97">
        <v>44581</v>
      </c>
      <c r="N34" s="57" t="s">
        <v>27</v>
      </c>
      <c r="O34" s="109"/>
      <c r="P34" s="110"/>
      <c r="Q34" s="111"/>
      <c r="R34" s="112"/>
      <c r="S34" s="70">
        <f t="shared" si="11"/>
        <v>0</v>
      </c>
      <c r="T34" s="109"/>
      <c r="U34" s="110"/>
      <c r="V34" s="111"/>
      <c r="W34" s="112"/>
      <c r="X34" s="70">
        <f t="shared" si="12"/>
        <v>0</v>
      </c>
      <c r="Y34" s="14">
        <f t="shared" si="3"/>
        <v>0</v>
      </c>
      <c r="Z34" s="99" t="s">
        <v>28</v>
      </c>
    </row>
    <row r="35" spans="1:26" ht="14.25" thickBot="1" x14ac:dyDescent="0.2">
      <c r="A35" s="17" t="s">
        <v>10</v>
      </c>
      <c r="B35" s="82">
        <f>SUM(B10:B34)</f>
        <v>5</v>
      </c>
      <c r="C35" s="83">
        <f>SUM(C10:C34)</f>
        <v>7</v>
      </c>
      <c r="D35" s="84">
        <f>SUM(D10:D34)</f>
        <v>5</v>
      </c>
      <c r="E35" s="85">
        <f>SUM(E10:E34)</f>
        <v>5</v>
      </c>
      <c r="F35" s="36">
        <f>SUM(B35:E35)</f>
        <v>22</v>
      </c>
      <c r="G35" s="82">
        <f>SUM(G10:G34)</f>
        <v>6</v>
      </c>
      <c r="H35" s="83">
        <f>SUM(H10:H34)</f>
        <v>4</v>
      </c>
      <c r="I35" s="84">
        <f>SUM(I10:I34)</f>
        <v>3</v>
      </c>
      <c r="J35" s="85">
        <f>SUM(J10:J34)</f>
        <v>3</v>
      </c>
      <c r="K35" s="36">
        <f>SUM(G35:J35)</f>
        <v>16</v>
      </c>
      <c r="L35" s="37">
        <f t="shared" si="2"/>
        <v>38</v>
      </c>
      <c r="M35" s="95"/>
      <c r="N35" s="17" t="s">
        <v>10</v>
      </c>
      <c r="O35" s="38">
        <f>SUM(O10:O34)</f>
        <v>28</v>
      </c>
      <c r="P35" s="48">
        <f>SUM(P10:P34)</f>
        <v>35</v>
      </c>
      <c r="Q35" s="39">
        <f>SUM(Q10:Q34)</f>
        <v>26</v>
      </c>
      <c r="R35" s="40">
        <f>SUM(R10:R34)</f>
        <v>13</v>
      </c>
      <c r="S35" s="36">
        <f>SUM(O35:R35)</f>
        <v>102</v>
      </c>
      <c r="T35" s="38">
        <f>SUM(T10:T34)</f>
        <v>16</v>
      </c>
      <c r="U35" s="48">
        <f>SUM(U10:U34)</f>
        <v>15</v>
      </c>
      <c r="V35" s="39">
        <f>SUM(V10:V34)</f>
        <v>9</v>
      </c>
      <c r="W35" s="40">
        <f>SUM(W10:W34)</f>
        <v>3</v>
      </c>
      <c r="X35" s="36">
        <f>SUM(T35:W35)</f>
        <v>43</v>
      </c>
      <c r="Y35" s="37">
        <f t="shared" si="3"/>
        <v>145</v>
      </c>
    </row>
    <row r="36" spans="1:26" ht="14.25" thickBot="1" x14ac:dyDescent="0.2">
      <c r="A36" s="22" t="s">
        <v>11</v>
      </c>
      <c r="B36" s="41">
        <f t="shared" ref="B36:K36" si="19">B9-B35</f>
        <v>5</v>
      </c>
      <c r="C36" s="49">
        <f t="shared" si="19"/>
        <v>6</v>
      </c>
      <c r="D36" s="42">
        <f t="shared" si="19"/>
        <v>6</v>
      </c>
      <c r="E36" s="43">
        <f t="shared" si="19"/>
        <v>4</v>
      </c>
      <c r="F36" s="61">
        <f t="shared" si="19"/>
        <v>21</v>
      </c>
      <c r="G36" s="41">
        <f t="shared" si="19"/>
        <v>6</v>
      </c>
      <c r="H36" s="49">
        <f t="shared" si="19"/>
        <v>4</v>
      </c>
      <c r="I36" s="42">
        <f t="shared" si="19"/>
        <v>5</v>
      </c>
      <c r="J36" s="43">
        <f t="shared" si="19"/>
        <v>5</v>
      </c>
      <c r="K36" s="61">
        <f t="shared" si="19"/>
        <v>20</v>
      </c>
      <c r="L36" s="21">
        <f t="shared" si="2"/>
        <v>41</v>
      </c>
      <c r="M36" s="98"/>
      <c r="N36" s="17" t="s">
        <v>11</v>
      </c>
      <c r="O36" s="41">
        <f t="shared" ref="O36:X36" si="20">O9-O35</f>
        <v>364</v>
      </c>
      <c r="P36" s="49">
        <f t="shared" si="20"/>
        <v>457</v>
      </c>
      <c r="Q36" s="42">
        <f t="shared" si="20"/>
        <v>366</v>
      </c>
      <c r="R36" s="43">
        <f t="shared" si="20"/>
        <v>279</v>
      </c>
      <c r="S36" s="61">
        <f t="shared" si="20"/>
        <v>1466</v>
      </c>
      <c r="T36" s="41">
        <f t="shared" si="20"/>
        <v>376</v>
      </c>
      <c r="U36" s="49">
        <f t="shared" si="20"/>
        <v>477</v>
      </c>
      <c r="V36" s="42">
        <f t="shared" si="20"/>
        <v>383</v>
      </c>
      <c r="W36" s="43">
        <f t="shared" si="20"/>
        <v>289</v>
      </c>
      <c r="X36" s="61">
        <f t="shared" si="20"/>
        <v>1525</v>
      </c>
      <c r="Y36" s="21">
        <f t="shared" si="3"/>
        <v>2991</v>
      </c>
    </row>
    <row r="37" spans="1:26" x14ac:dyDescent="0.15">
      <c r="A37" s="59"/>
      <c r="B37" s="60"/>
      <c r="C37" s="60"/>
      <c r="D37" s="60"/>
      <c r="E37" s="60"/>
      <c r="F37" s="29"/>
      <c r="G37" s="60"/>
      <c r="H37" s="60"/>
      <c r="I37" s="60"/>
      <c r="J37" s="60"/>
      <c r="K37" s="29"/>
      <c r="L37" s="29"/>
      <c r="M37" s="98"/>
      <c r="N37" s="59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29"/>
    </row>
    <row r="38" spans="1:26" x14ac:dyDescent="0.15">
      <c r="S38" s="123"/>
      <c r="X38" s="123"/>
    </row>
    <row r="39" spans="1:26" ht="19.5" thickBot="1" x14ac:dyDescent="0.25">
      <c r="A39" s="2" t="s">
        <v>21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95"/>
      <c r="N39" s="2" t="s">
        <v>22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342" t="s">
        <v>18</v>
      </c>
      <c r="C40" s="350"/>
      <c r="D40" s="350"/>
      <c r="E40" s="350"/>
      <c r="F40" s="351"/>
      <c r="G40" s="345" t="s">
        <v>12</v>
      </c>
      <c r="H40" s="352"/>
      <c r="I40" s="352"/>
      <c r="J40" s="352"/>
      <c r="K40" s="353"/>
      <c r="L40" s="354" t="s">
        <v>1</v>
      </c>
      <c r="M40" s="96"/>
      <c r="N40" s="5" t="s">
        <v>0</v>
      </c>
      <c r="O40" s="342" t="s">
        <v>18</v>
      </c>
      <c r="P40" s="350"/>
      <c r="Q40" s="350"/>
      <c r="R40" s="350"/>
      <c r="S40" s="351"/>
      <c r="T40" s="345" t="s">
        <v>12</v>
      </c>
      <c r="U40" s="352"/>
      <c r="V40" s="352"/>
      <c r="W40" s="352"/>
      <c r="X40" s="353"/>
      <c r="Y40" s="354" t="s">
        <v>1</v>
      </c>
    </row>
    <row r="41" spans="1:26" ht="14.25" thickBot="1" x14ac:dyDescent="0.2">
      <c r="A41" s="5" t="s">
        <v>2</v>
      </c>
      <c r="B41" s="3" t="s">
        <v>13</v>
      </c>
      <c r="C41" s="44" t="s">
        <v>14</v>
      </c>
      <c r="D41" s="4" t="s">
        <v>15</v>
      </c>
      <c r="E41" s="23" t="s">
        <v>16</v>
      </c>
      <c r="F41" s="31" t="s">
        <v>3</v>
      </c>
      <c r="G41" s="3" t="s">
        <v>13</v>
      </c>
      <c r="H41" s="44" t="s">
        <v>14</v>
      </c>
      <c r="I41" s="4" t="s">
        <v>15</v>
      </c>
      <c r="J41" s="23" t="s">
        <v>16</v>
      </c>
      <c r="K41" s="31" t="s">
        <v>3</v>
      </c>
      <c r="L41" s="355"/>
      <c r="M41" s="96"/>
      <c r="N41" s="5" t="s">
        <v>2</v>
      </c>
      <c r="O41" s="3" t="s">
        <v>13</v>
      </c>
      <c r="P41" s="44" t="s">
        <v>14</v>
      </c>
      <c r="Q41" s="4" t="s">
        <v>15</v>
      </c>
      <c r="R41" s="23" t="s">
        <v>16</v>
      </c>
      <c r="S41" s="31" t="s">
        <v>3</v>
      </c>
      <c r="T41" s="3" t="s">
        <v>13</v>
      </c>
      <c r="U41" s="44" t="s">
        <v>14</v>
      </c>
      <c r="V41" s="4" t="s">
        <v>15</v>
      </c>
      <c r="W41" s="23" t="s">
        <v>16</v>
      </c>
      <c r="X41" s="31" t="s">
        <v>3</v>
      </c>
      <c r="Y41" s="355"/>
    </row>
    <row r="42" spans="1:26" x14ac:dyDescent="0.15">
      <c r="A42" s="71" t="s">
        <v>17</v>
      </c>
      <c r="B42" s="72">
        <f>B36</f>
        <v>5</v>
      </c>
      <c r="C42" s="73">
        <f>C36</f>
        <v>6</v>
      </c>
      <c r="D42" s="73">
        <f>D36</f>
        <v>6</v>
      </c>
      <c r="E42" s="74">
        <f>E36</f>
        <v>4</v>
      </c>
      <c r="F42" s="76">
        <f>SUM(B42:E42)</f>
        <v>21</v>
      </c>
      <c r="G42" s="72">
        <f>G36</f>
        <v>6</v>
      </c>
      <c r="H42" s="73">
        <f>H36</f>
        <v>4</v>
      </c>
      <c r="I42" s="73">
        <f>I36</f>
        <v>5</v>
      </c>
      <c r="J42" s="74">
        <f>J36</f>
        <v>5</v>
      </c>
      <c r="K42" s="75">
        <f>SUM(G42:J42)</f>
        <v>20</v>
      </c>
      <c r="L42" s="16">
        <f>F42+K42</f>
        <v>41</v>
      </c>
      <c r="M42" s="97"/>
      <c r="N42" s="71" t="s">
        <v>17</v>
      </c>
      <c r="O42" s="72">
        <f>O36</f>
        <v>364</v>
      </c>
      <c r="P42" s="73">
        <f>P36</f>
        <v>457</v>
      </c>
      <c r="Q42" s="73">
        <f>Q36</f>
        <v>366</v>
      </c>
      <c r="R42" s="74">
        <f>R36</f>
        <v>279</v>
      </c>
      <c r="S42" s="76">
        <f>SUM(O42:R42)</f>
        <v>1466</v>
      </c>
      <c r="T42" s="72">
        <f>T36</f>
        <v>376</v>
      </c>
      <c r="U42" s="73">
        <f>U36</f>
        <v>477</v>
      </c>
      <c r="V42" s="73">
        <f>V36</f>
        <v>383</v>
      </c>
      <c r="W42" s="74">
        <f>W36</f>
        <v>289</v>
      </c>
      <c r="X42" s="75">
        <f>SUM(T42:W42)</f>
        <v>1525</v>
      </c>
      <c r="Y42" s="16">
        <f t="shared" ref="Y42:Y59" si="21">S42+X42</f>
        <v>2991</v>
      </c>
    </row>
    <row r="43" spans="1:26" x14ac:dyDescent="0.15">
      <c r="A43" s="13" t="s">
        <v>49</v>
      </c>
      <c r="B43" s="6"/>
      <c r="C43" s="30"/>
      <c r="D43" s="7">
        <v>2</v>
      </c>
      <c r="E43" s="8"/>
      <c r="F43" s="9">
        <f>SUM(B43:E43)</f>
        <v>2</v>
      </c>
      <c r="G43" s="30"/>
      <c r="H43" s="30">
        <v>1</v>
      </c>
      <c r="I43" s="7"/>
      <c r="J43" s="8"/>
      <c r="K43" s="9">
        <f>SUM(G43:J43)</f>
        <v>1</v>
      </c>
      <c r="L43" s="11">
        <f t="shared" ref="L43:L74" si="22">F43+K43</f>
        <v>3</v>
      </c>
      <c r="M43" s="97">
        <v>44587</v>
      </c>
      <c r="N43" s="13" t="s">
        <v>5</v>
      </c>
      <c r="O43" s="26"/>
      <c r="P43" s="47"/>
      <c r="Q43" s="27"/>
      <c r="R43" s="34"/>
      <c r="S43" s="77">
        <f>SUM(O43:R43)</f>
        <v>0</v>
      </c>
      <c r="T43" s="26"/>
      <c r="U43" s="47"/>
      <c r="V43" s="27"/>
      <c r="W43" s="34"/>
      <c r="X43" s="9">
        <f>SUM(T43:W43)</f>
        <v>0</v>
      </c>
      <c r="Y43" s="11">
        <f t="shared" si="21"/>
        <v>0</v>
      </c>
    </row>
    <row r="44" spans="1:26" x14ac:dyDescent="0.15">
      <c r="A44" s="13" t="s">
        <v>6</v>
      </c>
      <c r="B44" s="6"/>
      <c r="C44" s="30">
        <v>5</v>
      </c>
      <c r="D44" s="7"/>
      <c r="E44" s="8"/>
      <c r="F44" s="9">
        <f>SUM(B44:E44)</f>
        <v>5</v>
      </c>
      <c r="G44" s="30"/>
      <c r="H44" s="30"/>
      <c r="I44" s="7"/>
      <c r="J44" s="8"/>
      <c r="K44" s="9">
        <f>SUM(G44:J44)</f>
        <v>0</v>
      </c>
      <c r="L44" s="11">
        <f t="shared" si="22"/>
        <v>5</v>
      </c>
      <c r="M44" s="97">
        <v>44590</v>
      </c>
      <c r="N44" s="13" t="s">
        <v>6</v>
      </c>
      <c r="O44" s="26"/>
      <c r="P44" s="47"/>
      <c r="Q44" s="27"/>
      <c r="R44" s="34"/>
      <c r="S44" s="77">
        <f>SUM(O44:R44)</f>
        <v>0</v>
      </c>
      <c r="T44" s="26"/>
      <c r="U44" s="47"/>
      <c r="V44" s="27"/>
      <c r="W44" s="34"/>
      <c r="X44" s="9">
        <f>SUM(T44:W44)</f>
        <v>0</v>
      </c>
      <c r="Y44" s="11">
        <f t="shared" si="21"/>
        <v>0</v>
      </c>
      <c r="Z44" s="99"/>
    </row>
    <row r="45" spans="1:26" x14ac:dyDescent="0.15">
      <c r="A45" s="13" t="s">
        <v>7</v>
      </c>
      <c r="B45" s="6"/>
      <c r="C45" s="30"/>
      <c r="D45" s="7"/>
      <c r="E45" s="8"/>
      <c r="F45" s="9">
        <f>SUM(B45:E45)</f>
        <v>0</v>
      </c>
      <c r="G45" s="30"/>
      <c r="H45" s="30">
        <v>5</v>
      </c>
      <c r="I45" s="7"/>
      <c r="J45" s="8"/>
      <c r="K45" s="9">
        <f>SUM(G45:J45)</f>
        <v>5</v>
      </c>
      <c r="L45" s="11">
        <f t="shared" si="22"/>
        <v>5</v>
      </c>
      <c r="M45" s="97">
        <v>44601</v>
      </c>
      <c r="N45" s="13" t="s">
        <v>7</v>
      </c>
      <c r="O45" s="26"/>
      <c r="P45" s="47"/>
      <c r="Q45" s="27"/>
      <c r="R45" s="34"/>
      <c r="S45" s="77">
        <f>SUM(O45:R45)</f>
        <v>0</v>
      </c>
      <c r="T45" s="47"/>
      <c r="U45" s="47"/>
      <c r="V45" s="27"/>
      <c r="W45" s="50"/>
      <c r="X45" s="9">
        <f>SUM(T45:W45)</f>
        <v>0</v>
      </c>
      <c r="Y45" s="11">
        <f t="shared" si="21"/>
        <v>0</v>
      </c>
      <c r="Z45" s="101"/>
    </row>
    <row r="46" spans="1:26" ht="14.25" thickBot="1" x14ac:dyDescent="0.2">
      <c r="A46" s="13" t="s">
        <v>8</v>
      </c>
      <c r="B46" s="6">
        <v>3</v>
      </c>
      <c r="C46" s="30"/>
      <c r="D46" s="7"/>
      <c r="E46" s="8">
        <v>3</v>
      </c>
      <c r="F46" s="10">
        <f>SUM(B46:E46)</f>
        <v>6</v>
      </c>
      <c r="G46" s="30">
        <v>3</v>
      </c>
      <c r="H46" s="30"/>
      <c r="I46" s="7">
        <v>3</v>
      </c>
      <c r="J46" s="8">
        <v>3</v>
      </c>
      <c r="K46" s="10">
        <f>SUM(G46:J46)</f>
        <v>9</v>
      </c>
      <c r="L46" s="14">
        <f t="shared" si="22"/>
        <v>15</v>
      </c>
      <c r="M46" s="97">
        <v>44606</v>
      </c>
      <c r="N46" s="13" t="s">
        <v>8</v>
      </c>
      <c r="O46" s="62"/>
      <c r="P46" s="63"/>
      <c r="Q46" s="64"/>
      <c r="R46" s="65"/>
      <c r="S46" s="78">
        <f>SUM(O46:R46)</f>
        <v>0</v>
      </c>
      <c r="T46" s="47"/>
      <c r="U46" s="47"/>
      <c r="V46" s="27"/>
      <c r="W46" s="50"/>
      <c r="X46" s="10">
        <f>SUM(T46:W46)</f>
        <v>0</v>
      </c>
      <c r="Y46" s="14">
        <f t="shared" si="21"/>
        <v>0</v>
      </c>
    </row>
    <row r="47" spans="1:26" ht="14.25" thickBot="1" x14ac:dyDescent="0.2">
      <c r="A47" s="22" t="s">
        <v>9</v>
      </c>
      <c r="B47" s="18">
        <f t="shared" ref="B47:K47" si="23">SUM(B42:B46)</f>
        <v>8</v>
      </c>
      <c r="C47" s="45">
        <f t="shared" si="23"/>
        <v>11</v>
      </c>
      <c r="D47" s="19">
        <f t="shared" si="23"/>
        <v>8</v>
      </c>
      <c r="E47" s="20">
        <f t="shared" si="23"/>
        <v>7</v>
      </c>
      <c r="F47" s="28">
        <f t="shared" si="23"/>
        <v>34</v>
      </c>
      <c r="G47" s="18">
        <f t="shared" si="23"/>
        <v>9</v>
      </c>
      <c r="H47" s="45">
        <f t="shared" si="23"/>
        <v>10</v>
      </c>
      <c r="I47" s="19">
        <f t="shared" si="23"/>
        <v>8</v>
      </c>
      <c r="J47" s="20">
        <f t="shared" si="23"/>
        <v>8</v>
      </c>
      <c r="K47" s="28">
        <f t="shared" si="23"/>
        <v>35</v>
      </c>
      <c r="L47" s="21">
        <f t="shared" si="22"/>
        <v>69</v>
      </c>
      <c r="M47" s="98"/>
      <c r="N47" s="17" t="s">
        <v>9</v>
      </c>
      <c r="O47" s="41">
        <f t="shared" ref="O47:X47" si="24">SUM(O42:O46)</f>
        <v>364</v>
      </c>
      <c r="P47" s="49">
        <f t="shared" si="24"/>
        <v>457</v>
      </c>
      <c r="Q47" s="42">
        <f t="shared" si="24"/>
        <v>366</v>
      </c>
      <c r="R47" s="92">
        <f t="shared" si="24"/>
        <v>279</v>
      </c>
      <c r="S47" s="93">
        <f t="shared" si="24"/>
        <v>1466</v>
      </c>
      <c r="T47" s="41">
        <f t="shared" si="24"/>
        <v>376</v>
      </c>
      <c r="U47" s="49">
        <f t="shared" si="24"/>
        <v>477</v>
      </c>
      <c r="V47" s="42">
        <f t="shared" si="24"/>
        <v>383</v>
      </c>
      <c r="W47" s="92">
        <f t="shared" si="24"/>
        <v>289</v>
      </c>
      <c r="X47" s="93">
        <f t="shared" si="24"/>
        <v>1525</v>
      </c>
      <c r="Y47" s="56">
        <f t="shared" si="21"/>
        <v>2991</v>
      </c>
    </row>
    <row r="48" spans="1:26" x14ac:dyDescent="0.15">
      <c r="A48" s="32" t="s">
        <v>74</v>
      </c>
      <c r="B48" s="24"/>
      <c r="C48" s="46">
        <v>3</v>
      </c>
      <c r="D48" s="25"/>
      <c r="E48" s="33"/>
      <c r="F48" s="35">
        <f>SUM(B48:E48)</f>
        <v>3</v>
      </c>
      <c r="G48" s="24"/>
      <c r="H48" s="46"/>
      <c r="I48" s="25"/>
      <c r="J48" s="33"/>
      <c r="K48" s="35">
        <f>SUM(G48:J48)</f>
        <v>0</v>
      </c>
      <c r="L48" s="11">
        <f t="shared" si="22"/>
        <v>3</v>
      </c>
      <c r="M48" s="97">
        <v>44586</v>
      </c>
      <c r="N48" s="90" t="s">
        <v>78</v>
      </c>
      <c r="O48" s="66">
        <v>30</v>
      </c>
      <c r="P48" s="67">
        <v>30</v>
      </c>
      <c r="Q48" s="68">
        <v>20</v>
      </c>
      <c r="R48" s="94">
        <v>20</v>
      </c>
      <c r="S48" s="91">
        <f>SUM(O48:R48)</f>
        <v>100</v>
      </c>
      <c r="T48" s="67">
        <v>10</v>
      </c>
      <c r="U48" s="67">
        <v>20</v>
      </c>
      <c r="V48" s="68">
        <v>10</v>
      </c>
      <c r="W48" s="94">
        <v>10</v>
      </c>
      <c r="X48" s="91">
        <f>SUM(T48:W48)</f>
        <v>50</v>
      </c>
      <c r="Y48" s="11">
        <f t="shared" si="21"/>
        <v>150</v>
      </c>
      <c r="Z48" s="97">
        <v>44595</v>
      </c>
    </row>
    <row r="49" spans="1:27" x14ac:dyDescent="0.15">
      <c r="A49" s="13" t="s">
        <v>41</v>
      </c>
      <c r="B49" s="26"/>
      <c r="C49" s="47"/>
      <c r="D49" s="27"/>
      <c r="E49" s="34"/>
      <c r="F49" s="35">
        <f>SUM(B49:E49)</f>
        <v>0</v>
      </c>
      <c r="G49" s="26">
        <v>1</v>
      </c>
      <c r="H49" s="47"/>
      <c r="I49" s="27"/>
      <c r="J49" s="34"/>
      <c r="K49" s="35">
        <f>SUM(G49:J49)</f>
        <v>1</v>
      </c>
      <c r="L49" s="11">
        <f t="shared" si="22"/>
        <v>1</v>
      </c>
      <c r="M49" s="97">
        <v>44586</v>
      </c>
      <c r="N49" s="15" t="s">
        <v>79</v>
      </c>
      <c r="O49" s="26"/>
      <c r="P49" s="47">
        <v>5</v>
      </c>
      <c r="Q49" s="27"/>
      <c r="R49" s="34"/>
      <c r="S49" s="35">
        <f t="shared" ref="S49:S50" si="25">SUM(O49:R49)</f>
        <v>5</v>
      </c>
      <c r="T49" s="26"/>
      <c r="U49" s="47"/>
      <c r="V49" s="27"/>
      <c r="W49" s="34"/>
      <c r="X49" s="35">
        <f t="shared" ref="X49:X50" si="26">SUM(T49:W49)</f>
        <v>0</v>
      </c>
      <c r="Y49" s="11">
        <f t="shared" si="21"/>
        <v>5</v>
      </c>
      <c r="Z49" s="97">
        <v>44590</v>
      </c>
    </row>
    <row r="50" spans="1:27" x14ac:dyDescent="0.15">
      <c r="A50" s="32" t="s">
        <v>75</v>
      </c>
      <c r="B50" s="26"/>
      <c r="C50" s="47">
        <v>1</v>
      </c>
      <c r="D50" s="27"/>
      <c r="E50" s="34"/>
      <c r="F50" s="35">
        <f t="shared" ref="F50:F72" si="27">SUM(B50:E50)</f>
        <v>1</v>
      </c>
      <c r="G50" s="26"/>
      <c r="H50" s="47"/>
      <c r="I50" s="27"/>
      <c r="J50" s="34"/>
      <c r="K50" s="35">
        <f t="shared" ref="K50:K72" si="28">SUM(G50:J50)</f>
        <v>0</v>
      </c>
      <c r="L50" s="11">
        <f t="shared" si="22"/>
        <v>1</v>
      </c>
      <c r="M50" s="97">
        <v>44587</v>
      </c>
      <c r="N50" s="32" t="s">
        <v>83</v>
      </c>
      <c r="O50" s="26"/>
      <c r="P50" s="47">
        <v>7</v>
      </c>
      <c r="Q50" s="27">
        <v>9</v>
      </c>
      <c r="R50" s="34">
        <v>1</v>
      </c>
      <c r="S50" s="35">
        <f t="shared" si="25"/>
        <v>17</v>
      </c>
      <c r="T50" s="26"/>
      <c r="U50" s="47"/>
      <c r="V50" s="27">
        <v>1</v>
      </c>
      <c r="W50" s="34"/>
      <c r="X50" s="35">
        <f t="shared" si="26"/>
        <v>1</v>
      </c>
      <c r="Y50" s="11">
        <f t="shared" ref="Y50" si="29">S50+X50</f>
        <v>18</v>
      </c>
      <c r="Z50" s="99">
        <v>44596</v>
      </c>
    </row>
    <row r="51" spans="1:27" x14ac:dyDescent="0.15">
      <c r="A51" s="13" t="s">
        <v>41</v>
      </c>
      <c r="B51" s="66"/>
      <c r="C51" s="67"/>
      <c r="D51" s="68"/>
      <c r="E51" s="69"/>
      <c r="F51" s="70">
        <f t="shared" si="27"/>
        <v>0</v>
      </c>
      <c r="G51" s="66"/>
      <c r="H51" s="67">
        <v>2</v>
      </c>
      <c r="I51" s="68"/>
      <c r="J51" s="69">
        <v>1</v>
      </c>
      <c r="K51" s="70">
        <f t="shared" si="28"/>
        <v>3</v>
      </c>
      <c r="L51" s="11">
        <f t="shared" si="22"/>
        <v>3</v>
      </c>
      <c r="M51" s="99">
        <v>44587</v>
      </c>
      <c r="N51" s="32" t="s">
        <v>86</v>
      </c>
      <c r="O51" s="66">
        <v>1</v>
      </c>
      <c r="P51" s="67"/>
      <c r="Q51" s="68"/>
      <c r="R51" s="94"/>
      <c r="S51" s="91">
        <f>SUM(O51:R51)</f>
        <v>1</v>
      </c>
      <c r="T51" s="67"/>
      <c r="U51" s="67"/>
      <c r="V51" s="68">
        <v>1</v>
      </c>
      <c r="W51" s="94"/>
      <c r="X51" s="91">
        <f>SUM(T51:W51)</f>
        <v>1</v>
      </c>
      <c r="Y51" s="11">
        <f t="shared" si="21"/>
        <v>2</v>
      </c>
      <c r="Z51" s="97">
        <v>44599</v>
      </c>
    </row>
    <row r="52" spans="1:27" x14ac:dyDescent="0.15">
      <c r="A52" s="13" t="s">
        <v>41</v>
      </c>
      <c r="B52" s="26"/>
      <c r="C52" s="47">
        <v>1</v>
      </c>
      <c r="D52" s="27"/>
      <c r="E52" s="34"/>
      <c r="F52" s="35">
        <f t="shared" si="27"/>
        <v>1</v>
      </c>
      <c r="G52" s="26"/>
      <c r="H52" s="47"/>
      <c r="I52" s="27"/>
      <c r="J52" s="34"/>
      <c r="K52" s="35">
        <f t="shared" si="28"/>
        <v>0</v>
      </c>
      <c r="L52" s="11">
        <f t="shared" si="22"/>
        <v>1</v>
      </c>
      <c r="M52" s="97">
        <v>44587</v>
      </c>
      <c r="N52" s="32" t="s">
        <v>87</v>
      </c>
      <c r="O52" s="26">
        <v>5</v>
      </c>
      <c r="P52" s="47">
        <v>6</v>
      </c>
      <c r="Q52" s="27">
        <v>1</v>
      </c>
      <c r="R52" s="34">
        <v>5</v>
      </c>
      <c r="S52" s="35">
        <f t="shared" ref="S52:S54" si="30">SUM(O52:R52)</f>
        <v>17</v>
      </c>
      <c r="T52" s="26">
        <v>3</v>
      </c>
      <c r="U52" s="47">
        <v>1</v>
      </c>
      <c r="V52" s="27"/>
      <c r="W52" s="34">
        <v>2</v>
      </c>
      <c r="X52" s="35">
        <f t="shared" ref="X52:X54" si="31">SUM(T52:W52)</f>
        <v>6</v>
      </c>
      <c r="Y52" s="11">
        <f t="shared" si="21"/>
        <v>23</v>
      </c>
      <c r="Z52" s="97">
        <v>44600</v>
      </c>
      <c r="AA52" s="58"/>
    </row>
    <row r="53" spans="1:27" x14ac:dyDescent="0.15">
      <c r="A53" s="13" t="s">
        <v>41</v>
      </c>
      <c r="B53" s="26"/>
      <c r="C53" s="47">
        <v>2</v>
      </c>
      <c r="D53" s="27"/>
      <c r="E53" s="34"/>
      <c r="F53" s="35">
        <f t="shared" si="27"/>
        <v>2</v>
      </c>
      <c r="G53" s="26"/>
      <c r="H53" s="47"/>
      <c r="I53" s="27"/>
      <c r="J53" s="34"/>
      <c r="K53" s="35">
        <f t="shared" si="28"/>
        <v>0</v>
      </c>
      <c r="L53" s="11">
        <f t="shared" si="22"/>
        <v>2</v>
      </c>
      <c r="M53" s="97">
        <v>44589</v>
      </c>
      <c r="N53" s="15" t="s">
        <v>34</v>
      </c>
      <c r="O53" s="26"/>
      <c r="P53" s="47"/>
      <c r="Q53" s="27"/>
      <c r="R53" s="34"/>
      <c r="S53" s="35">
        <f t="shared" si="30"/>
        <v>0</v>
      </c>
      <c r="T53" s="26"/>
      <c r="U53" s="47">
        <v>5</v>
      </c>
      <c r="V53" s="27"/>
      <c r="W53" s="34"/>
      <c r="X53" s="35">
        <f t="shared" si="31"/>
        <v>5</v>
      </c>
      <c r="Y53" s="11">
        <f t="shared" si="21"/>
        <v>5</v>
      </c>
      <c r="Z53" s="99">
        <v>44601</v>
      </c>
    </row>
    <row r="54" spans="1:27" x14ac:dyDescent="0.15">
      <c r="A54" s="79" t="s">
        <v>80</v>
      </c>
      <c r="B54" s="26">
        <v>1</v>
      </c>
      <c r="C54" s="47">
        <v>1</v>
      </c>
      <c r="D54" s="27">
        <v>1</v>
      </c>
      <c r="E54" s="34"/>
      <c r="F54" s="35">
        <f t="shared" si="27"/>
        <v>3</v>
      </c>
      <c r="G54" s="26">
        <v>1</v>
      </c>
      <c r="H54" s="47">
        <v>1</v>
      </c>
      <c r="I54" s="27">
        <v>1</v>
      </c>
      <c r="J54" s="34"/>
      <c r="K54" s="35">
        <f t="shared" si="28"/>
        <v>3</v>
      </c>
      <c r="L54" s="11">
        <f t="shared" si="22"/>
        <v>6</v>
      </c>
      <c r="M54" s="97">
        <v>44593</v>
      </c>
      <c r="N54" s="32" t="s">
        <v>88</v>
      </c>
      <c r="O54" s="26"/>
      <c r="P54" s="47">
        <v>6</v>
      </c>
      <c r="Q54" s="27"/>
      <c r="R54" s="34"/>
      <c r="S54" s="35">
        <f t="shared" si="30"/>
        <v>6</v>
      </c>
      <c r="T54" s="26"/>
      <c r="U54" s="47">
        <v>4</v>
      </c>
      <c r="V54" s="27"/>
      <c r="W54" s="34"/>
      <c r="X54" s="35">
        <f t="shared" si="31"/>
        <v>4</v>
      </c>
      <c r="Y54" s="11">
        <f t="shared" si="21"/>
        <v>10</v>
      </c>
      <c r="Z54" s="97">
        <v>44602</v>
      </c>
    </row>
    <row r="55" spans="1:27" x14ac:dyDescent="0.15">
      <c r="A55" s="32" t="s">
        <v>81</v>
      </c>
      <c r="B55" s="26"/>
      <c r="C55" s="47"/>
      <c r="D55" s="27">
        <v>1</v>
      </c>
      <c r="E55" s="34"/>
      <c r="F55" s="35">
        <f t="shared" ref="F55" si="32">SUM(B55:E55)</f>
        <v>1</v>
      </c>
      <c r="G55" s="26">
        <v>1</v>
      </c>
      <c r="H55" s="47">
        <v>1</v>
      </c>
      <c r="I55" s="27"/>
      <c r="J55" s="34"/>
      <c r="K55" s="35">
        <f t="shared" ref="K55" si="33">SUM(G55:J55)</f>
        <v>2</v>
      </c>
      <c r="L55" s="11">
        <f t="shared" ref="L55" si="34">F55+K55</f>
        <v>3</v>
      </c>
      <c r="M55" s="97">
        <v>44594</v>
      </c>
      <c r="N55" s="32" t="s">
        <v>89</v>
      </c>
      <c r="O55" s="26">
        <v>2</v>
      </c>
      <c r="P55" s="47">
        <v>1</v>
      </c>
      <c r="Q55" s="27"/>
      <c r="R55" s="50"/>
      <c r="S55" s="9">
        <f>SUM(O55:R55)</f>
        <v>3</v>
      </c>
      <c r="T55" s="47"/>
      <c r="U55" s="47">
        <v>3</v>
      </c>
      <c r="V55" s="27"/>
      <c r="W55" s="50"/>
      <c r="X55" s="9">
        <f>SUM(T55:W55)</f>
        <v>3</v>
      </c>
      <c r="Y55" s="11">
        <f t="shared" si="21"/>
        <v>6</v>
      </c>
      <c r="Z55" s="97">
        <v>44606</v>
      </c>
    </row>
    <row r="56" spans="1:27" x14ac:dyDescent="0.15">
      <c r="A56" s="32" t="s">
        <v>82</v>
      </c>
      <c r="B56" s="26">
        <v>1</v>
      </c>
      <c r="C56" s="47"/>
      <c r="D56" s="27">
        <v>1</v>
      </c>
      <c r="E56" s="34">
        <v>1</v>
      </c>
      <c r="F56" s="35">
        <f t="shared" si="27"/>
        <v>3</v>
      </c>
      <c r="G56" s="26"/>
      <c r="H56" s="47"/>
      <c r="I56" s="27"/>
      <c r="J56" s="34"/>
      <c r="K56" s="35">
        <f t="shared" si="28"/>
        <v>0</v>
      </c>
      <c r="L56" s="11">
        <f t="shared" si="22"/>
        <v>3</v>
      </c>
      <c r="M56" s="97">
        <v>44595</v>
      </c>
      <c r="N56" s="15" t="s">
        <v>34</v>
      </c>
      <c r="O56" s="26">
        <v>3</v>
      </c>
      <c r="P56" s="47"/>
      <c r="Q56" s="27"/>
      <c r="R56" s="34">
        <v>3</v>
      </c>
      <c r="S56" s="35">
        <f>SUM(O56:R56)</f>
        <v>6</v>
      </c>
      <c r="T56" s="26">
        <v>3</v>
      </c>
      <c r="U56" s="47"/>
      <c r="V56" s="27">
        <v>3</v>
      </c>
      <c r="W56" s="34">
        <v>3</v>
      </c>
      <c r="X56" s="35">
        <f>SUM(T56:W56)</f>
        <v>9</v>
      </c>
      <c r="Y56" s="11">
        <f t="shared" si="21"/>
        <v>15</v>
      </c>
      <c r="Z56" s="99">
        <v>44606</v>
      </c>
    </row>
    <row r="57" spans="1:27" x14ac:dyDescent="0.15">
      <c r="A57" s="13" t="s">
        <v>41</v>
      </c>
      <c r="B57" s="26"/>
      <c r="C57" s="47">
        <v>1</v>
      </c>
      <c r="D57" s="27"/>
      <c r="E57" s="34"/>
      <c r="F57" s="35">
        <f t="shared" si="27"/>
        <v>1</v>
      </c>
      <c r="G57" s="26"/>
      <c r="H57" s="47"/>
      <c r="I57" s="27">
        <v>1</v>
      </c>
      <c r="J57" s="34"/>
      <c r="K57" s="35">
        <f t="shared" si="28"/>
        <v>1</v>
      </c>
      <c r="L57" s="11">
        <f t="shared" si="22"/>
        <v>2</v>
      </c>
      <c r="M57" s="97">
        <v>44602</v>
      </c>
      <c r="N57" s="32" t="s">
        <v>90</v>
      </c>
      <c r="O57" s="26"/>
      <c r="P57" s="47">
        <v>3</v>
      </c>
      <c r="Q57" s="27"/>
      <c r="R57" s="34"/>
      <c r="S57" s="35">
        <f t="shared" ref="S57:S73" si="35">SUM(O57:R57)</f>
        <v>3</v>
      </c>
      <c r="T57" s="26">
        <v>1</v>
      </c>
      <c r="U57" s="47"/>
      <c r="V57" s="27">
        <v>1</v>
      </c>
      <c r="W57" s="34"/>
      <c r="X57" s="35">
        <f t="shared" ref="X57:X73" si="36">SUM(T57:W57)</f>
        <v>2</v>
      </c>
      <c r="Y57" s="11">
        <f t="shared" si="21"/>
        <v>5</v>
      </c>
      <c r="Z57" s="99">
        <v>44607</v>
      </c>
    </row>
    <row r="58" spans="1:27" x14ac:dyDescent="0.15">
      <c r="A58" s="13" t="s">
        <v>41</v>
      </c>
      <c r="B58" s="26">
        <v>1</v>
      </c>
      <c r="C58" s="47">
        <v>1</v>
      </c>
      <c r="D58" s="27"/>
      <c r="E58" s="34"/>
      <c r="F58" s="35">
        <f t="shared" si="27"/>
        <v>2</v>
      </c>
      <c r="G58" s="26"/>
      <c r="H58" s="47"/>
      <c r="I58" s="27">
        <f>1+1</f>
        <v>2</v>
      </c>
      <c r="J58" s="34"/>
      <c r="K58" s="35">
        <f t="shared" si="28"/>
        <v>2</v>
      </c>
      <c r="L58" s="11">
        <f t="shared" si="22"/>
        <v>4</v>
      </c>
      <c r="M58" s="97">
        <v>44606</v>
      </c>
      <c r="N58" s="32" t="s">
        <v>94</v>
      </c>
      <c r="O58" s="26">
        <v>4</v>
      </c>
      <c r="P58" s="47"/>
      <c r="Q58" s="27"/>
      <c r="R58" s="34"/>
      <c r="S58" s="35">
        <f t="shared" si="35"/>
        <v>4</v>
      </c>
      <c r="T58" s="26"/>
      <c r="U58" s="47">
        <v>1</v>
      </c>
      <c r="V58" s="27"/>
      <c r="W58" s="34"/>
      <c r="X58" s="35">
        <f t="shared" si="36"/>
        <v>1</v>
      </c>
      <c r="Y58" s="11">
        <f t="shared" si="21"/>
        <v>5</v>
      </c>
      <c r="Z58" s="99">
        <v>44608</v>
      </c>
    </row>
    <row r="59" spans="1:27" x14ac:dyDescent="0.15">
      <c r="A59" s="13" t="s">
        <v>93</v>
      </c>
      <c r="B59" s="26">
        <v>1</v>
      </c>
      <c r="C59" s="47"/>
      <c r="D59" s="27"/>
      <c r="E59" s="34"/>
      <c r="F59" s="35">
        <f t="shared" si="27"/>
        <v>1</v>
      </c>
      <c r="G59" s="26"/>
      <c r="H59" s="47"/>
      <c r="I59" s="27"/>
      <c r="J59" s="34"/>
      <c r="K59" s="35">
        <f t="shared" si="28"/>
        <v>0</v>
      </c>
      <c r="L59" s="11">
        <f t="shared" si="22"/>
        <v>1</v>
      </c>
      <c r="M59" s="97">
        <v>44608</v>
      </c>
      <c r="N59" s="12" t="s">
        <v>96</v>
      </c>
      <c r="O59" s="26">
        <v>60</v>
      </c>
      <c r="P59" s="47">
        <v>110</v>
      </c>
      <c r="Q59" s="27">
        <v>60</v>
      </c>
      <c r="R59" s="34">
        <v>40</v>
      </c>
      <c r="S59" s="35">
        <f t="shared" si="35"/>
        <v>270</v>
      </c>
      <c r="T59" s="26">
        <v>40</v>
      </c>
      <c r="U59" s="47"/>
      <c r="V59" s="27">
        <v>20</v>
      </c>
      <c r="W59" s="34">
        <v>10</v>
      </c>
      <c r="X59" s="35">
        <f t="shared" si="36"/>
        <v>70</v>
      </c>
      <c r="Y59" s="11">
        <f t="shared" si="21"/>
        <v>340</v>
      </c>
      <c r="Z59" s="99">
        <v>44609</v>
      </c>
    </row>
    <row r="60" spans="1:27" x14ac:dyDescent="0.15">
      <c r="A60" s="13" t="s">
        <v>41</v>
      </c>
      <c r="B60" s="26"/>
      <c r="C60" s="47"/>
      <c r="D60" s="27"/>
      <c r="E60" s="34">
        <v>1</v>
      </c>
      <c r="F60" s="35">
        <f t="shared" si="27"/>
        <v>1</v>
      </c>
      <c r="G60" s="26"/>
      <c r="H60" s="47"/>
      <c r="I60" s="27">
        <v>1</v>
      </c>
      <c r="J60" s="34"/>
      <c r="K60" s="35">
        <f t="shared" si="28"/>
        <v>1</v>
      </c>
      <c r="L60" s="11">
        <f t="shared" si="22"/>
        <v>2</v>
      </c>
      <c r="M60" s="97">
        <v>44609</v>
      </c>
      <c r="N60" s="32" t="s">
        <v>97</v>
      </c>
      <c r="O60" s="26">
        <v>1</v>
      </c>
      <c r="P60" s="47"/>
      <c r="Q60" s="27"/>
      <c r="R60" s="34"/>
      <c r="S60" s="35">
        <f t="shared" si="35"/>
        <v>1</v>
      </c>
      <c r="T60" s="26"/>
      <c r="U60" s="47"/>
      <c r="V60" s="27"/>
      <c r="W60" s="34"/>
      <c r="X60" s="35">
        <f t="shared" si="36"/>
        <v>0</v>
      </c>
      <c r="Y60" s="11">
        <f t="shared" ref="Y60:Y74" si="37">S60+X60</f>
        <v>1</v>
      </c>
      <c r="Z60" s="99">
        <v>44610</v>
      </c>
    </row>
    <row r="61" spans="1:27" x14ac:dyDescent="0.15">
      <c r="A61" s="32" t="s">
        <v>99</v>
      </c>
      <c r="B61" s="26">
        <v>1</v>
      </c>
      <c r="C61" s="47"/>
      <c r="D61" s="27"/>
      <c r="E61" s="34"/>
      <c r="F61" s="35">
        <f t="shared" si="27"/>
        <v>1</v>
      </c>
      <c r="G61" s="26"/>
      <c r="H61" s="47"/>
      <c r="I61" s="27">
        <v>1</v>
      </c>
      <c r="J61" s="34"/>
      <c r="K61" s="35">
        <f t="shared" si="28"/>
        <v>1</v>
      </c>
      <c r="L61" s="11">
        <f t="shared" si="22"/>
        <v>2</v>
      </c>
      <c r="M61" s="97">
        <v>44613</v>
      </c>
      <c r="N61" s="12" t="s">
        <v>98</v>
      </c>
      <c r="O61" s="26"/>
      <c r="P61" s="47"/>
      <c r="Q61" s="27"/>
      <c r="R61" s="34"/>
      <c r="S61" s="35">
        <f t="shared" si="35"/>
        <v>0</v>
      </c>
      <c r="T61" s="26"/>
      <c r="U61" s="47">
        <v>25</v>
      </c>
      <c r="V61" s="27">
        <v>25</v>
      </c>
      <c r="W61" s="34">
        <v>10</v>
      </c>
      <c r="X61" s="35">
        <f t="shared" si="36"/>
        <v>60</v>
      </c>
      <c r="Y61" s="11">
        <f t="shared" si="37"/>
        <v>60</v>
      </c>
      <c r="Z61" s="99">
        <v>44610</v>
      </c>
    </row>
    <row r="62" spans="1:27" x14ac:dyDescent="0.15">
      <c r="A62" s="13" t="s">
        <v>41</v>
      </c>
      <c r="B62" s="26"/>
      <c r="C62" s="47">
        <v>1</v>
      </c>
      <c r="D62" s="27"/>
      <c r="E62" s="34"/>
      <c r="F62" s="35">
        <f t="shared" si="27"/>
        <v>1</v>
      </c>
      <c r="G62" s="26"/>
      <c r="H62" s="47"/>
      <c r="I62" s="27"/>
      <c r="J62" s="34"/>
      <c r="K62" s="35">
        <f t="shared" si="28"/>
        <v>0</v>
      </c>
      <c r="L62" s="11">
        <f t="shared" si="22"/>
        <v>1</v>
      </c>
      <c r="M62" s="97">
        <v>44610</v>
      </c>
      <c r="N62" s="57" t="s">
        <v>23</v>
      </c>
      <c r="O62" s="26">
        <v>145</v>
      </c>
      <c r="P62" s="47">
        <v>165</v>
      </c>
      <c r="Q62" s="27">
        <v>90</v>
      </c>
      <c r="R62" s="124"/>
      <c r="S62" s="35">
        <f t="shared" si="35"/>
        <v>400</v>
      </c>
      <c r="T62" s="26">
        <v>220</v>
      </c>
      <c r="U62" s="47">
        <v>240</v>
      </c>
      <c r="V62" s="27">
        <v>140</v>
      </c>
      <c r="W62" s="124"/>
      <c r="X62" s="35">
        <f t="shared" si="36"/>
        <v>600</v>
      </c>
      <c r="Y62" s="108">
        <f t="shared" si="37"/>
        <v>1000</v>
      </c>
      <c r="Z62" s="99">
        <v>44241</v>
      </c>
    </row>
    <row r="63" spans="1:27" x14ac:dyDescent="0.15">
      <c r="A63" s="13" t="s">
        <v>103</v>
      </c>
      <c r="B63" s="26">
        <v>-3</v>
      </c>
      <c r="C63" s="47">
        <v>-3</v>
      </c>
      <c r="D63" s="27"/>
      <c r="E63" s="34"/>
      <c r="F63" s="35">
        <f t="shared" si="27"/>
        <v>-6</v>
      </c>
      <c r="G63" s="26"/>
      <c r="H63" s="47"/>
      <c r="I63" s="27">
        <v>-3</v>
      </c>
      <c r="J63" s="34"/>
      <c r="K63" s="35">
        <f t="shared" si="28"/>
        <v>-3</v>
      </c>
      <c r="L63" s="11">
        <f t="shared" si="22"/>
        <v>-9</v>
      </c>
      <c r="M63" s="97">
        <v>44614</v>
      </c>
      <c r="N63" s="12" t="s">
        <v>100</v>
      </c>
      <c r="O63" s="66"/>
      <c r="P63" s="67"/>
      <c r="Q63" s="68"/>
      <c r="R63" s="69"/>
      <c r="S63" s="70">
        <f t="shared" si="35"/>
        <v>0</v>
      </c>
      <c r="T63" s="66">
        <v>5</v>
      </c>
      <c r="U63" s="67">
        <v>10</v>
      </c>
      <c r="V63" s="68">
        <v>10</v>
      </c>
      <c r="W63" s="69"/>
      <c r="X63" s="70">
        <f t="shared" si="36"/>
        <v>25</v>
      </c>
      <c r="Y63" s="11">
        <f t="shared" si="37"/>
        <v>25</v>
      </c>
      <c r="Z63" s="99">
        <v>44611</v>
      </c>
    </row>
    <row r="64" spans="1:27" x14ac:dyDescent="0.15">
      <c r="A64" s="13" t="s">
        <v>41</v>
      </c>
      <c r="B64" s="26"/>
      <c r="C64" s="47"/>
      <c r="D64" s="27"/>
      <c r="E64" s="34">
        <v>1</v>
      </c>
      <c r="F64" s="35">
        <f t="shared" si="27"/>
        <v>1</v>
      </c>
      <c r="G64" s="26"/>
      <c r="H64" s="47"/>
      <c r="I64" s="27"/>
      <c r="J64" s="34">
        <v>1</v>
      </c>
      <c r="K64" s="35">
        <f t="shared" si="28"/>
        <v>1</v>
      </c>
      <c r="L64" s="11">
        <f t="shared" si="22"/>
        <v>2</v>
      </c>
      <c r="M64" s="97">
        <v>44613</v>
      </c>
      <c r="N64" s="32" t="s">
        <v>101</v>
      </c>
      <c r="O64" s="26">
        <v>3</v>
      </c>
      <c r="P64" s="47">
        <v>1</v>
      </c>
      <c r="Q64" s="27">
        <v>1</v>
      </c>
      <c r="R64" s="34"/>
      <c r="S64" s="35">
        <f t="shared" si="35"/>
        <v>5</v>
      </c>
      <c r="T64" s="26"/>
      <c r="U64" s="47"/>
      <c r="V64" s="27"/>
      <c r="W64" s="34"/>
      <c r="X64" s="35">
        <f t="shared" si="36"/>
        <v>0</v>
      </c>
      <c r="Y64" s="11">
        <f t="shared" si="37"/>
        <v>5</v>
      </c>
      <c r="Z64" s="99">
        <v>44614</v>
      </c>
      <c r="AA64" s="58"/>
    </row>
    <row r="65" spans="1:27" x14ac:dyDescent="0.15">
      <c r="A65" s="32" t="s">
        <v>104</v>
      </c>
      <c r="B65" s="26"/>
      <c r="C65" s="47"/>
      <c r="D65" s="27"/>
      <c r="E65" s="34"/>
      <c r="F65" s="35">
        <f t="shared" si="27"/>
        <v>0</v>
      </c>
      <c r="G65" s="26"/>
      <c r="H65" s="47"/>
      <c r="I65" s="27">
        <v>1</v>
      </c>
      <c r="J65" s="34"/>
      <c r="K65" s="35">
        <f t="shared" si="28"/>
        <v>1</v>
      </c>
      <c r="L65" s="11">
        <f t="shared" si="22"/>
        <v>1</v>
      </c>
      <c r="M65" s="97">
        <v>44616</v>
      </c>
      <c r="N65" s="12" t="s">
        <v>102</v>
      </c>
      <c r="O65" s="26"/>
      <c r="P65" s="47"/>
      <c r="Q65" s="27"/>
      <c r="R65" s="34"/>
      <c r="S65" s="35">
        <f t="shared" si="35"/>
        <v>0</v>
      </c>
      <c r="T65" s="26"/>
      <c r="U65" s="47">
        <v>19</v>
      </c>
      <c r="V65" s="27"/>
      <c r="W65" s="34">
        <v>8</v>
      </c>
      <c r="X65" s="35">
        <f t="shared" si="36"/>
        <v>27</v>
      </c>
      <c r="Y65" s="11">
        <f t="shared" si="37"/>
        <v>27</v>
      </c>
      <c r="Z65" s="99">
        <v>44615</v>
      </c>
    </row>
    <row r="66" spans="1:27" x14ac:dyDescent="0.15">
      <c r="A66" s="32" t="s">
        <v>107</v>
      </c>
      <c r="B66" s="26"/>
      <c r="C66" s="47"/>
      <c r="D66" s="27"/>
      <c r="E66" s="34">
        <v>1</v>
      </c>
      <c r="F66" s="35">
        <f t="shared" si="27"/>
        <v>1</v>
      </c>
      <c r="G66" s="26"/>
      <c r="H66" s="47"/>
      <c r="I66" s="27"/>
      <c r="J66" s="34"/>
      <c r="K66" s="35">
        <f t="shared" si="28"/>
        <v>0</v>
      </c>
      <c r="L66" s="11">
        <f t="shared" si="22"/>
        <v>1</v>
      </c>
      <c r="M66" s="97">
        <v>44617</v>
      </c>
      <c r="N66" s="15" t="s">
        <v>34</v>
      </c>
      <c r="O66" s="26">
        <v>3</v>
      </c>
      <c r="P66" s="47">
        <v>3</v>
      </c>
      <c r="Q66" s="27"/>
      <c r="R66" s="34"/>
      <c r="S66" s="35">
        <f t="shared" si="35"/>
        <v>6</v>
      </c>
      <c r="T66" s="26"/>
      <c r="U66" s="47"/>
      <c r="V66" s="27">
        <v>3</v>
      </c>
      <c r="W66" s="34"/>
      <c r="X66" s="35">
        <f t="shared" si="36"/>
        <v>3</v>
      </c>
      <c r="Y66" s="11">
        <f t="shared" si="37"/>
        <v>9</v>
      </c>
      <c r="Z66" s="97">
        <v>44614</v>
      </c>
    </row>
    <row r="67" spans="1:27" x14ac:dyDescent="0.15">
      <c r="A67" s="13" t="s">
        <v>41</v>
      </c>
      <c r="B67" s="26"/>
      <c r="C67" s="47"/>
      <c r="D67" s="27"/>
      <c r="E67" s="34"/>
      <c r="F67" s="35">
        <f t="shared" si="27"/>
        <v>0</v>
      </c>
      <c r="G67" s="26"/>
      <c r="H67" s="47"/>
      <c r="I67" s="27">
        <v>1</v>
      </c>
      <c r="J67" s="34"/>
      <c r="K67" s="35">
        <f t="shared" si="28"/>
        <v>1</v>
      </c>
      <c r="L67" s="11">
        <f t="shared" si="22"/>
        <v>1</v>
      </c>
      <c r="M67" s="97">
        <v>44616</v>
      </c>
      <c r="N67" s="103"/>
      <c r="O67" s="26"/>
      <c r="P67" s="47"/>
      <c r="Q67" s="27"/>
      <c r="R67" s="34"/>
      <c r="S67" s="35">
        <f t="shared" si="35"/>
        <v>0</v>
      </c>
      <c r="T67" s="26"/>
      <c r="U67" s="47"/>
      <c r="V67" s="27"/>
      <c r="W67" s="34"/>
      <c r="X67" s="35">
        <f t="shared" si="36"/>
        <v>0</v>
      </c>
      <c r="Y67" s="11">
        <f t="shared" si="37"/>
        <v>0</v>
      </c>
      <c r="Z67" s="101"/>
    </row>
    <row r="68" spans="1:27" x14ac:dyDescent="0.15">
      <c r="A68" s="32" t="s">
        <v>108</v>
      </c>
      <c r="B68" s="26"/>
      <c r="C68" s="47"/>
      <c r="D68" s="27"/>
      <c r="E68" s="34">
        <v>1</v>
      </c>
      <c r="F68" s="35">
        <f t="shared" si="27"/>
        <v>1</v>
      </c>
      <c r="G68" s="26"/>
      <c r="H68" s="47"/>
      <c r="I68" s="27"/>
      <c r="J68" s="34"/>
      <c r="K68" s="35">
        <f t="shared" si="28"/>
        <v>0</v>
      </c>
      <c r="L68" s="11">
        <f t="shared" si="22"/>
        <v>1</v>
      </c>
      <c r="M68" s="97">
        <v>44620</v>
      </c>
      <c r="N68" s="57"/>
      <c r="O68" s="26"/>
      <c r="P68" s="47"/>
      <c r="Q68" s="27"/>
      <c r="R68" s="34"/>
      <c r="S68" s="35">
        <f t="shared" ref="S68" si="38">SUM(O68:R68)</f>
        <v>0</v>
      </c>
      <c r="T68" s="26"/>
      <c r="U68" s="47"/>
      <c r="V68" s="27"/>
      <c r="W68" s="34"/>
      <c r="X68" s="35">
        <f t="shared" ref="X68" si="39">SUM(T68:W68)</f>
        <v>0</v>
      </c>
      <c r="Y68" s="11">
        <f t="shared" ref="Y68" si="40">S68+X68</f>
        <v>0</v>
      </c>
      <c r="Z68" s="99"/>
    </row>
    <row r="69" spans="1:27" x14ac:dyDescent="0.15">
      <c r="A69" s="12" t="s">
        <v>111</v>
      </c>
      <c r="B69" s="26"/>
      <c r="C69" s="47"/>
      <c r="D69" s="27"/>
      <c r="E69" s="34"/>
      <c r="F69" s="35">
        <f t="shared" si="27"/>
        <v>0</v>
      </c>
      <c r="G69" s="26">
        <v>2</v>
      </c>
      <c r="H69" s="47"/>
      <c r="I69" s="27"/>
      <c r="J69" s="34"/>
      <c r="K69" s="35">
        <f t="shared" si="28"/>
        <v>2</v>
      </c>
      <c r="L69" s="11">
        <f t="shared" si="22"/>
        <v>2</v>
      </c>
      <c r="M69" s="97">
        <v>44623</v>
      </c>
      <c r="N69" s="90"/>
      <c r="O69" s="26"/>
      <c r="P69" s="47"/>
      <c r="Q69" s="27"/>
      <c r="R69" s="34"/>
      <c r="S69" s="35">
        <f t="shared" si="35"/>
        <v>0</v>
      </c>
      <c r="T69" s="26"/>
      <c r="U69" s="47"/>
      <c r="V69" s="27"/>
      <c r="W69" s="34"/>
      <c r="X69" s="35">
        <f t="shared" si="36"/>
        <v>0</v>
      </c>
      <c r="Y69" s="11">
        <f t="shared" si="37"/>
        <v>0</v>
      </c>
      <c r="Z69" s="99"/>
    </row>
    <row r="70" spans="1:27" x14ac:dyDescent="0.15">
      <c r="A70" s="13" t="s">
        <v>41</v>
      </c>
      <c r="B70" s="26">
        <v>3</v>
      </c>
      <c r="C70" s="47"/>
      <c r="D70" s="27"/>
      <c r="E70" s="34">
        <v>1</v>
      </c>
      <c r="F70" s="35">
        <f t="shared" si="27"/>
        <v>4</v>
      </c>
      <c r="G70" s="26"/>
      <c r="H70" s="47"/>
      <c r="I70" s="27"/>
      <c r="J70" s="34">
        <v>1</v>
      </c>
      <c r="K70" s="35">
        <f t="shared" si="28"/>
        <v>1</v>
      </c>
      <c r="L70" s="11">
        <f t="shared" si="22"/>
        <v>5</v>
      </c>
      <c r="M70" s="97">
        <v>44622</v>
      </c>
      <c r="N70" s="57"/>
      <c r="O70" s="26"/>
      <c r="P70" s="47"/>
      <c r="Q70" s="27"/>
      <c r="R70" s="34"/>
      <c r="S70" s="35">
        <f t="shared" si="35"/>
        <v>0</v>
      </c>
      <c r="T70" s="26"/>
      <c r="U70" s="47"/>
      <c r="V70" s="27"/>
      <c r="W70" s="34"/>
      <c r="X70" s="35">
        <f t="shared" si="36"/>
        <v>0</v>
      </c>
      <c r="Y70" s="11">
        <f t="shared" si="37"/>
        <v>0</v>
      </c>
      <c r="Z70" s="99"/>
    </row>
    <row r="71" spans="1:27" x14ac:dyDescent="0.15">
      <c r="A71" s="57"/>
      <c r="B71" s="26"/>
      <c r="C71" s="47"/>
      <c r="D71" s="27"/>
      <c r="E71" s="34"/>
      <c r="F71" s="35">
        <f t="shared" si="27"/>
        <v>0</v>
      </c>
      <c r="G71" s="26"/>
      <c r="H71" s="47"/>
      <c r="I71" s="27"/>
      <c r="J71" s="34"/>
      <c r="K71" s="35">
        <f t="shared" si="28"/>
        <v>0</v>
      </c>
      <c r="L71" s="11">
        <f t="shared" si="22"/>
        <v>0</v>
      </c>
      <c r="M71" s="97"/>
      <c r="N71" s="57" t="s">
        <v>55</v>
      </c>
      <c r="O71" s="26"/>
      <c r="P71" s="47"/>
      <c r="Q71" s="27"/>
      <c r="R71" s="34"/>
      <c r="S71" s="35">
        <f t="shared" ref="S71" si="41">SUM(O71:R71)</f>
        <v>0</v>
      </c>
      <c r="T71" s="26"/>
      <c r="U71" s="47"/>
      <c r="V71" s="27"/>
      <c r="W71" s="34"/>
      <c r="X71" s="35">
        <f t="shared" ref="X71" si="42">SUM(T71:W71)</f>
        <v>0</v>
      </c>
      <c r="Y71" s="11">
        <f t="shared" ref="Y71" si="43">S71+X71</f>
        <v>0</v>
      </c>
      <c r="Z71" s="99" t="s">
        <v>56</v>
      </c>
    </row>
    <row r="72" spans="1:27" ht="14.25" thickBot="1" x14ac:dyDescent="0.2">
      <c r="A72" s="90"/>
      <c r="B72" s="62"/>
      <c r="C72" s="63"/>
      <c r="D72" s="64"/>
      <c r="E72" s="65"/>
      <c r="F72" s="35">
        <f t="shared" si="27"/>
        <v>0</v>
      </c>
      <c r="G72" s="62"/>
      <c r="H72" s="63"/>
      <c r="I72" s="64"/>
      <c r="J72" s="65"/>
      <c r="K72" s="35">
        <f t="shared" si="28"/>
        <v>0</v>
      </c>
      <c r="L72" s="14">
        <f t="shared" si="22"/>
        <v>0</v>
      </c>
      <c r="M72" s="97"/>
      <c r="N72" s="90" t="s">
        <v>31</v>
      </c>
      <c r="O72" s="62"/>
      <c r="P72" s="63"/>
      <c r="Q72" s="64"/>
      <c r="R72" s="65"/>
      <c r="S72" s="120">
        <f t="shared" si="35"/>
        <v>0</v>
      </c>
      <c r="T72" s="62"/>
      <c r="U72" s="63"/>
      <c r="V72" s="64"/>
      <c r="W72" s="65"/>
      <c r="X72" s="120">
        <f t="shared" si="36"/>
        <v>0</v>
      </c>
      <c r="Y72" s="121">
        <f t="shared" si="37"/>
        <v>0</v>
      </c>
      <c r="Z72" s="99" t="s">
        <v>42</v>
      </c>
      <c r="AA72" s="58"/>
    </row>
    <row r="73" spans="1:27" ht="14.25" thickBot="1" x14ac:dyDescent="0.2">
      <c r="A73" s="17" t="s">
        <v>10</v>
      </c>
      <c r="B73" s="38">
        <f>SUM(B48:B72)</f>
        <v>5</v>
      </c>
      <c r="C73" s="48">
        <f>SUM(C48:C72)</f>
        <v>8</v>
      </c>
      <c r="D73" s="39">
        <f>SUM(D48:D72)</f>
        <v>3</v>
      </c>
      <c r="E73" s="40">
        <f>SUM(E48:E72)</f>
        <v>6</v>
      </c>
      <c r="F73" s="36">
        <f>SUM(B73:E73)</f>
        <v>22</v>
      </c>
      <c r="G73" s="38">
        <f>SUM(G48:G72)</f>
        <v>5</v>
      </c>
      <c r="H73" s="48">
        <f>SUM(H48:H72)</f>
        <v>4</v>
      </c>
      <c r="I73" s="39">
        <f>SUM(I48:I72)</f>
        <v>5</v>
      </c>
      <c r="J73" s="40">
        <f>SUM(J48:J72)</f>
        <v>3</v>
      </c>
      <c r="K73" s="36">
        <f>SUM(G73:J73)</f>
        <v>17</v>
      </c>
      <c r="L73" s="37">
        <f t="shared" si="22"/>
        <v>39</v>
      </c>
      <c r="M73" s="95"/>
      <c r="N73" s="17" t="s">
        <v>10</v>
      </c>
      <c r="O73" s="38">
        <f>SUM(O48:O72)</f>
        <v>257</v>
      </c>
      <c r="P73" s="48">
        <f>SUM(P48:P72)</f>
        <v>337</v>
      </c>
      <c r="Q73" s="39">
        <f>SUM(Q48:Q72)</f>
        <v>181</v>
      </c>
      <c r="R73" s="40">
        <f>SUM(R48:R72)</f>
        <v>69</v>
      </c>
      <c r="S73" s="118">
        <f t="shared" si="35"/>
        <v>844</v>
      </c>
      <c r="T73" s="38">
        <f>SUM(T48:T72)</f>
        <v>282</v>
      </c>
      <c r="U73" s="48">
        <f>SUM(U48:U72)</f>
        <v>328</v>
      </c>
      <c r="V73" s="39">
        <f>SUM(V48:V72)</f>
        <v>214</v>
      </c>
      <c r="W73" s="40">
        <f>SUM(W48:W72)</f>
        <v>43</v>
      </c>
      <c r="X73" s="118">
        <f t="shared" si="36"/>
        <v>867</v>
      </c>
      <c r="Y73" s="119">
        <f t="shared" si="37"/>
        <v>1711</v>
      </c>
    </row>
    <row r="74" spans="1:27" ht="14.25" thickBot="1" x14ac:dyDescent="0.2">
      <c r="A74" s="22" t="s">
        <v>11</v>
      </c>
      <c r="B74" s="41">
        <f t="shared" ref="B74:K74" si="44">B47-B73</f>
        <v>3</v>
      </c>
      <c r="C74" s="49">
        <f t="shared" si="44"/>
        <v>3</v>
      </c>
      <c r="D74" s="42">
        <f t="shared" si="44"/>
        <v>5</v>
      </c>
      <c r="E74" s="43">
        <f t="shared" si="44"/>
        <v>1</v>
      </c>
      <c r="F74" s="61">
        <f t="shared" si="44"/>
        <v>12</v>
      </c>
      <c r="G74" s="41">
        <f t="shared" si="44"/>
        <v>4</v>
      </c>
      <c r="H74" s="49">
        <f t="shared" si="44"/>
        <v>6</v>
      </c>
      <c r="I74" s="42">
        <f t="shared" si="44"/>
        <v>3</v>
      </c>
      <c r="J74" s="43">
        <f t="shared" si="44"/>
        <v>5</v>
      </c>
      <c r="K74" s="61">
        <f t="shared" si="44"/>
        <v>18</v>
      </c>
      <c r="L74" s="21">
        <f t="shared" si="22"/>
        <v>30</v>
      </c>
      <c r="M74" s="98"/>
      <c r="N74" s="17" t="s">
        <v>11</v>
      </c>
      <c r="O74" s="41">
        <f t="shared" ref="O74:X74" si="45">O47-O73</f>
        <v>107</v>
      </c>
      <c r="P74" s="49">
        <f t="shared" si="45"/>
        <v>120</v>
      </c>
      <c r="Q74" s="42">
        <f t="shared" si="45"/>
        <v>185</v>
      </c>
      <c r="R74" s="43">
        <f t="shared" si="45"/>
        <v>210</v>
      </c>
      <c r="S74" s="61">
        <f t="shared" si="45"/>
        <v>622</v>
      </c>
      <c r="T74" s="41">
        <f t="shared" si="45"/>
        <v>94</v>
      </c>
      <c r="U74" s="49">
        <f t="shared" si="45"/>
        <v>149</v>
      </c>
      <c r="V74" s="42">
        <f t="shared" si="45"/>
        <v>169</v>
      </c>
      <c r="W74" s="43">
        <f t="shared" si="45"/>
        <v>246</v>
      </c>
      <c r="X74" s="61">
        <f t="shared" si="45"/>
        <v>658</v>
      </c>
      <c r="Y74" s="21">
        <f t="shared" si="37"/>
        <v>1280</v>
      </c>
    </row>
    <row r="75" spans="1:27" x14ac:dyDescent="0.15">
      <c r="O75">
        <f>O73+O35</f>
        <v>285</v>
      </c>
      <c r="P75">
        <f t="shared" ref="P75:Y75" si="46">P73+P35</f>
        <v>372</v>
      </c>
      <c r="Q75">
        <f t="shared" si="46"/>
        <v>207</v>
      </c>
      <c r="R75">
        <f t="shared" si="46"/>
        <v>82</v>
      </c>
      <c r="S75">
        <f t="shared" si="46"/>
        <v>946</v>
      </c>
      <c r="T75">
        <f t="shared" si="46"/>
        <v>298</v>
      </c>
      <c r="U75">
        <f t="shared" si="46"/>
        <v>343</v>
      </c>
      <c r="V75">
        <f t="shared" si="46"/>
        <v>223</v>
      </c>
      <c r="W75">
        <f t="shared" si="46"/>
        <v>46</v>
      </c>
      <c r="X75">
        <f t="shared" si="46"/>
        <v>910</v>
      </c>
      <c r="Y75">
        <f t="shared" si="46"/>
        <v>1856</v>
      </c>
    </row>
    <row r="76" spans="1:27" x14ac:dyDescent="0.15">
      <c r="O76" s="125">
        <f>O75/$S$75*100</f>
        <v>30.126849894291759</v>
      </c>
      <c r="P76" s="125">
        <f t="shared" ref="P76:S76" si="47">P75/$S$75*100</f>
        <v>39.323467230443974</v>
      </c>
      <c r="Q76" s="125">
        <f t="shared" si="47"/>
        <v>21.881606765327696</v>
      </c>
      <c r="R76" s="125">
        <f t="shared" si="47"/>
        <v>8.6680761099365746</v>
      </c>
      <c r="S76" s="125">
        <f t="shared" si="47"/>
        <v>100</v>
      </c>
      <c r="T76" s="125">
        <f>T75/$X$75*100</f>
        <v>32.747252747252745</v>
      </c>
      <c r="U76" s="125">
        <f t="shared" ref="U76:X76" si="48">U75/$X$75*100</f>
        <v>37.692307692307693</v>
      </c>
      <c r="V76" s="125">
        <f t="shared" si="48"/>
        <v>24.505494505494504</v>
      </c>
      <c r="W76" s="125">
        <f t="shared" si="48"/>
        <v>5.0549450549450547</v>
      </c>
      <c r="X76" s="125">
        <f t="shared" si="48"/>
        <v>100</v>
      </c>
    </row>
    <row r="77" spans="1:27" ht="19.5" thickBot="1" x14ac:dyDescent="0.25">
      <c r="A77" s="2" t="s">
        <v>106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105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4.25" thickBot="1" x14ac:dyDescent="0.2">
      <c r="A78" s="5" t="s">
        <v>0</v>
      </c>
      <c r="B78" s="342" t="s">
        <v>18</v>
      </c>
      <c r="C78" s="350"/>
      <c r="D78" s="350"/>
      <c r="E78" s="350"/>
      <c r="F78" s="351"/>
      <c r="G78" s="345" t="s">
        <v>12</v>
      </c>
      <c r="H78" s="352"/>
      <c r="I78" s="352"/>
      <c r="J78" s="352"/>
      <c r="K78" s="353"/>
      <c r="L78" s="354" t="s">
        <v>1</v>
      </c>
      <c r="N78" s="5" t="s">
        <v>0</v>
      </c>
      <c r="O78" s="342" t="s">
        <v>18</v>
      </c>
      <c r="P78" s="350"/>
      <c r="Q78" s="350"/>
      <c r="R78" s="350"/>
      <c r="S78" s="351"/>
      <c r="T78" s="345" t="s">
        <v>12</v>
      </c>
      <c r="U78" s="352"/>
      <c r="V78" s="352"/>
      <c r="W78" s="352"/>
      <c r="X78" s="353"/>
      <c r="Y78" s="354" t="s">
        <v>1</v>
      </c>
    </row>
    <row r="79" spans="1:27" ht="14.25" thickBot="1" x14ac:dyDescent="0.2">
      <c r="A79" s="5" t="s">
        <v>2</v>
      </c>
      <c r="B79" s="3" t="s">
        <v>13</v>
      </c>
      <c r="C79" s="44" t="s">
        <v>14</v>
      </c>
      <c r="D79" s="4" t="s">
        <v>15</v>
      </c>
      <c r="E79" s="23" t="s">
        <v>16</v>
      </c>
      <c r="F79" s="31" t="s">
        <v>3</v>
      </c>
      <c r="G79" s="3" t="s">
        <v>13</v>
      </c>
      <c r="H79" s="44" t="s">
        <v>14</v>
      </c>
      <c r="I79" s="4" t="s">
        <v>15</v>
      </c>
      <c r="J79" s="23" t="s">
        <v>16</v>
      </c>
      <c r="K79" s="31" t="s">
        <v>3</v>
      </c>
      <c r="L79" s="355"/>
      <c r="N79" s="5" t="s">
        <v>2</v>
      </c>
      <c r="O79" s="3" t="s">
        <v>13</v>
      </c>
      <c r="P79" s="44" t="s">
        <v>14</v>
      </c>
      <c r="Q79" s="4" t="s">
        <v>15</v>
      </c>
      <c r="R79" s="23" t="s">
        <v>16</v>
      </c>
      <c r="S79" s="31" t="s">
        <v>3</v>
      </c>
      <c r="T79" s="3" t="s">
        <v>13</v>
      </c>
      <c r="U79" s="44" t="s">
        <v>14</v>
      </c>
      <c r="V79" s="4" t="s">
        <v>15</v>
      </c>
      <c r="W79" s="23" t="s">
        <v>16</v>
      </c>
      <c r="X79" s="31" t="s">
        <v>3</v>
      </c>
      <c r="Y79" s="355"/>
    </row>
    <row r="80" spans="1:27" x14ac:dyDescent="0.15">
      <c r="A80" s="71" t="s">
        <v>17</v>
      </c>
      <c r="B80" s="72">
        <f>B74</f>
        <v>3</v>
      </c>
      <c r="C80" s="73">
        <f>C74</f>
        <v>3</v>
      </c>
      <c r="D80" s="73">
        <f>D74</f>
        <v>5</v>
      </c>
      <c r="E80" s="74">
        <f>E74</f>
        <v>1</v>
      </c>
      <c r="F80" s="76">
        <f>SUM(B80:E80)</f>
        <v>12</v>
      </c>
      <c r="G80" s="72">
        <f>G74</f>
        <v>4</v>
      </c>
      <c r="H80" s="73">
        <f>H74</f>
        <v>6</v>
      </c>
      <c r="I80" s="73">
        <f>I74</f>
        <v>3</v>
      </c>
      <c r="J80" s="74">
        <f>J74</f>
        <v>5</v>
      </c>
      <c r="K80" s="75">
        <f>SUM(G80:J80)</f>
        <v>18</v>
      </c>
      <c r="L80" s="16">
        <f>F80+K80</f>
        <v>30</v>
      </c>
      <c r="N80" s="71" t="s">
        <v>17</v>
      </c>
      <c r="O80" s="72">
        <f>O74</f>
        <v>107</v>
      </c>
      <c r="P80" s="73">
        <f>P74</f>
        <v>120</v>
      </c>
      <c r="Q80" s="73">
        <f>Q74</f>
        <v>185</v>
      </c>
      <c r="R80" s="74">
        <f>R74</f>
        <v>210</v>
      </c>
      <c r="S80" s="76">
        <f>SUM(O80:R80)</f>
        <v>622</v>
      </c>
      <c r="T80" s="72">
        <f>T74</f>
        <v>94</v>
      </c>
      <c r="U80" s="73">
        <f>U74</f>
        <v>149</v>
      </c>
      <c r="V80" s="73">
        <f>V74</f>
        <v>169</v>
      </c>
      <c r="W80" s="74">
        <f>W74</f>
        <v>246</v>
      </c>
      <c r="X80" s="75">
        <f>SUM(T80:W80)</f>
        <v>658</v>
      </c>
      <c r="Y80" s="16">
        <f t="shared" ref="Y80:Y112" si="49">S80+X80</f>
        <v>1280</v>
      </c>
    </row>
    <row r="81" spans="1:26" x14ac:dyDescent="0.15">
      <c r="A81" s="13" t="s">
        <v>49</v>
      </c>
      <c r="B81" s="6">
        <v>2</v>
      </c>
      <c r="C81" s="30">
        <v>7</v>
      </c>
      <c r="D81" s="7"/>
      <c r="E81" s="8">
        <v>2</v>
      </c>
      <c r="F81" s="9">
        <f>SUM(B81:E81)</f>
        <v>11</v>
      </c>
      <c r="G81" s="30"/>
      <c r="H81" s="30">
        <v>2</v>
      </c>
      <c r="I81" s="7"/>
      <c r="J81" s="8"/>
      <c r="K81" s="9">
        <f>SUM(G81:J81)</f>
        <v>2</v>
      </c>
      <c r="L81" s="11">
        <f t="shared" ref="L81:L112" si="50">F81+K81</f>
        <v>13</v>
      </c>
      <c r="M81" s="126">
        <v>44617</v>
      </c>
      <c r="N81" s="13" t="s">
        <v>5</v>
      </c>
      <c r="O81" s="26"/>
      <c r="P81" s="47"/>
      <c r="Q81" s="27"/>
      <c r="R81" s="34"/>
      <c r="S81" s="77">
        <f>SUM(O81:R81)</f>
        <v>0</v>
      </c>
      <c r="T81" s="26"/>
      <c r="U81" s="47"/>
      <c r="V81" s="27"/>
      <c r="W81" s="34"/>
      <c r="X81" s="9">
        <f>SUM(T81:W81)</f>
        <v>0</v>
      </c>
      <c r="Y81" s="11">
        <f t="shared" si="49"/>
        <v>0</v>
      </c>
    </row>
    <row r="82" spans="1:26" x14ac:dyDescent="0.15">
      <c r="A82" s="13" t="s">
        <v>6</v>
      </c>
      <c r="B82" s="6"/>
      <c r="C82" s="30"/>
      <c r="D82" s="7">
        <v>3</v>
      </c>
      <c r="E82" s="8">
        <v>3</v>
      </c>
      <c r="F82" s="9">
        <f>SUM(B82:E82)</f>
        <v>6</v>
      </c>
      <c r="G82" s="30"/>
      <c r="H82" s="30"/>
      <c r="I82" s="7">
        <v>3</v>
      </c>
      <c r="J82" s="8"/>
      <c r="K82" s="9">
        <f>SUM(G82:J82)</f>
        <v>3</v>
      </c>
      <c r="L82" s="11">
        <f t="shared" si="50"/>
        <v>9</v>
      </c>
      <c r="M82" s="99">
        <v>44624</v>
      </c>
      <c r="N82" s="13" t="s">
        <v>6</v>
      </c>
      <c r="O82" s="26"/>
      <c r="P82" s="47"/>
      <c r="Q82" s="27"/>
      <c r="R82" s="34"/>
      <c r="S82" s="77">
        <f>SUM(O82:R82)</f>
        <v>0</v>
      </c>
      <c r="T82" s="26"/>
      <c r="U82" s="47"/>
      <c r="V82" s="27"/>
      <c r="W82" s="34"/>
      <c r="X82" s="9">
        <f>SUM(T82:W82)</f>
        <v>0</v>
      </c>
      <c r="Y82" s="11">
        <f t="shared" si="49"/>
        <v>0</v>
      </c>
      <c r="Z82" s="99"/>
    </row>
    <row r="83" spans="1:26" x14ac:dyDescent="0.15">
      <c r="A83" s="13" t="s">
        <v>7</v>
      </c>
      <c r="B83" s="6">
        <v>3</v>
      </c>
      <c r="C83" s="30"/>
      <c r="D83" s="7"/>
      <c r="E83" s="8">
        <v>5</v>
      </c>
      <c r="F83" s="9">
        <f>SUM(B83:E83)</f>
        <v>8</v>
      </c>
      <c r="G83" s="30"/>
      <c r="H83" s="30">
        <v>3</v>
      </c>
      <c r="I83" s="7"/>
      <c r="J83" s="8">
        <v>3</v>
      </c>
      <c r="K83" s="9">
        <f>SUM(G83:J83)</f>
        <v>6</v>
      </c>
      <c r="L83" s="11">
        <f t="shared" si="50"/>
        <v>14</v>
      </c>
      <c r="M83" s="99">
        <v>44629</v>
      </c>
      <c r="N83" s="13" t="s">
        <v>7</v>
      </c>
      <c r="O83" s="26"/>
      <c r="P83" s="47"/>
      <c r="Q83" s="27"/>
      <c r="R83" s="34"/>
      <c r="S83" s="77">
        <f>SUM(O83:R83)</f>
        <v>0</v>
      </c>
      <c r="T83" s="47"/>
      <c r="U83" s="47"/>
      <c r="V83" s="27"/>
      <c r="W83" s="50"/>
      <c r="X83" s="9">
        <f>SUM(T83:W83)</f>
        <v>0</v>
      </c>
      <c r="Y83" s="11">
        <f t="shared" si="49"/>
        <v>0</v>
      </c>
      <c r="Z83" s="101"/>
    </row>
    <row r="84" spans="1:26" ht="14.25" thickBot="1" x14ac:dyDescent="0.2">
      <c r="A84" s="13" t="s">
        <v>8</v>
      </c>
      <c r="B84" s="6">
        <v>3</v>
      </c>
      <c r="C84" s="30">
        <v>3</v>
      </c>
      <c r="D84" s="7">
        <v>3</v>
      </c>
      <c r="E84" s="8">
        <v>3</v>
      </c>
      <c r="F84" s="10">
        <f>SUM(B84:E84)</f>
        <v>12</v>
      </c>
      <c r="G84" s="30"/>
      <c r="H84" s="30">
        <v>3</v>
      </c>
      <c r="I84" s="7"/>
      <c r="J84" s="8"/>
      <c r="K84" s="10">
        <f>SUM(G84:J84)</f>
        <v>3</v>
      </c>
      <c r="L84" s="14">
        <f t="shared" si="50"/>
        <v>15</v>
      </c>
      <c r="M84" s="99">
        <v>44635</v>
      </c>
      <c r="N84" s="13" t="s">
        <v>8</v>
      </c>
      <c r="O84" s="62"/>
      <c r="P84" s="63"/>
      <c r="Q84" s="64"/>
      <c r="R84" s="65"/>
      <c r="S84" s="78">
        <f>SUM(O84:R84)</f>
        <v>0</v>
      </c>
      <c r="T84" s="47"/>
      <c r="U84" s="47"/>
      <c r="V84" s="27"/>
      <c r="W84" s="50"/>
      <c r="X84" s="10">
        <f>SUM(T84:W84)</f>
        <v>0</v>
      </c>
      <c r="Y84" s="14">
        <f t="shared" si="49"/>
        <v>0</v>
      </c>
    </row>
    <row r="85" spans="1:26" ht="14.25" thickBot="1" x14ac:dyDescent="0.2">
      <c r="A85" s="22" t="s">
        <v>9</v>
      </c>
      <c r="B85" s="18">
        <f t="shared" ref="B85:K85" si="51">SUM(B80:B84)</f>
        <v>11</v>
      </c>
      <c r="C85" s="45">
        <f t="shared" si="51"/>
        <v>13</v>
      </c>
      <c r="D85" s="19">
        <f t="shared" si="51"/>
        <v>11</v>
      </c>
      <c r="E85" s="20">
        <f t="shared" si="51"/>
        <v>14</v>
      </c>
      <c r="F85" s="28">
        <f t="shared" si="51"/>
        <v>49</v>
      </c>
      <c r="G85" s="18">
        <f t="shared" si="51"/>
        <v>4</v>
      </c>
      <c r="H85" s="45">
        <f t="shared" si="51"/>
        <v>14</v>
      </c>
      <c r="I85" s="19">
        <f t="shared" si="51"/>
        <v>6</v>
      </c>
      <c r="J85" s="20">
        <f t="shared" si="51"/>
        <v>8</v>
      </c>
      <c r="K85" s="28">
        <f t="shared" si="51"/>
        <v>32</v>
      </c>
      <c r="L85" s="21">
        <f t="shared" si="50"/>
        <v>81</v>
      </c>
      <c r="N85" s="17" t="s">
        <v>9</v>
      </c>
      <c r="O85" s="41">
        <f t="shared" ref="O85:X85" si="52">SUM(O80:O84)</f>
        <v>107</v>
      </c>
      <c r="P85" s="49">
        <f t="shared" si="52"/>
        <v>120</v>
      </c>
      <c r="Q85" s="42">
        <f t="shared" si="52"/>
        <v>185</v>
      </c>
      <c r="R85" s="92">
        <f t="shared" si="52"/>
        <v>210</v>
      </c>
      <c r="S85" s="93">
        <f t="shared" si="52"/>
        <v>622</v>
      </c>
      <c r="T85" s="41">
        <f t="shared" si="52"/>
        <v>94</v>
      </c>
      <c r="U85" s="49">
        <f t="shared" si="52"/>
        <v>149</v>
      </c>
      <c r="V85" s="42">
        <f t="shared" si="52"/>
        <v>169</v>
      </c>
      <c r="W85" s="92">
        <f t="shared" si="52"/>
        <v>246</v>
      </c>
      <c r="X85" s="93">
        <f t="shared" si="52"/>
        <v>658</v>
      </c>
      <c r="Y85" s="56">
        <f t="shared" si="49"/>
        <v>1280</v>
      </c>
    </row>
    <row r="86" spans="1:26" x14ac:dyDescent="0.15">
      <c r="A86" s="32" t="s">
        <v>110</v>
      </c>
      <c r="B86" s="24"/>
      <c r="C86" s="46">
        <v>1</v>
      </c>
      <c r="D86" s="25">
        <v>1</v>
      </c>
      <c r="E86" s="33">
        <v>1</v>
      </c>
      <c r="F86" s="35">
        <f>SUM(B86:E86)</f>
        <v>3</v>
      </c>
      <c r="G86" s="24"/>
      <c r="H86" s="46">
        <v>2</v>
      </c>
      <c r="I86" s="25"/>
      <c r="J86" s="33"/>
      <c r="K86" s="35">
        <f>SUM(G86:J86)</f>
        <v>2</v>
      </c>
      <c r="L86" s="11">
        <f t="shared" si="50"/>
        <v>5</v>
      </c>
      <c r="M86" s="99">
        <v>44622</v>
      </c>
      <c r="N86" s="12" t="s">
        <v>95</v>
      </c>
      <c r="O86" s="66">
        <v>10</v>
      </c>
      <c r="P86" s="67">
        <v>10</v>
      </c>
      <c r="Q86" s="68">
        <v>10</v>
      </c>
      <c r="R86" s="94">
        <v>10</v>
      </c>
      <c r="S86" s="91">
        <f>SUM(O86:R86)</f>
        <v>40</v>
      </c>
      <c r="T86" s="67">
        <v>10</v>
      </c>
      <c r="U86" s="67">
        <v>10</v>
      </c>
      <c r="V86" s="68">
        <v>10</v>
      </c>
      <c r="W86" s="94">
        <v>10</v>
      </c>
      <c r="X86" s="91">
        <f>SUM(T86:W86)</f>
        <v>40</v>
      </c>
      <c r="Y86" s="11">
        <f t="shared" si="49"/>
        <v>80</v>
      </c>
      <c r="Z86" s="97">
        <v>44624</v>
      </c>
    </row>
    <row r="87" spans="1:26" x14ac:dyDescent="0.15">
      <c r="A87" s="32" t="s">
        <v>112</v>
      </c>
      <c r="B87" s="26"/>
      <c r="C87" s="47"/>
      <c r="D87" s="27">
        <v>1</v>
      </c>
      <c r="E87" s="34">
        <v>1</v>
      </c>
      <c r="F87" s="35">
        <f>SUM(B87:E87)</f>
        <v>2</v>
      </c>
      <c r="G87" s="26"/>
      <c r="H87" s="47"/>
      <c r="I87" s="27"/>
      <c r="J87" s="34"/>
      <c r="K87" s="35">
        <f>SUM(G87:J87)</f>
        <v>0</v>
      </c>
      <c r="L87" s="11">
        <f t="shared" si="50"/>
        <v>2</v>
      </c>
      <c r="M87" s="99">
        <v>44624</v>
      </c>
      <c r="N87" s="90" t="s">
        <v>109</v>
      </c>
      <c r="O87" s="26">
        <v>27</v>
      </c>
      <c r="P87" s="47">
        <v>28</v>
      </c>
      <c r="Q87" s="27">
        <v>8</v>
      </c>
      <c r="R87" s="34">
        <v>9</v>
      </c>
      <c r="S87" s="35">
        <f t="shared" ref="S87:S88" si="53">SUM(O87:R87)</f>
        <v>72</v>
      </c>
      <c r="T87" s="26">
        <v>3</v>
      </c>
      <c r="U87" s="47">
        <v>6</v>
      </c>
      <c r="V87" s="27">
        <v>2</v>
      </c>
      <c r="W87" s="34">
        <v>6</v>
      </c>
      <c r="X87" s="35">
        <f t="shared" ref="X87:X88" si="54">SUM(T87:W87)</f>
        <v>17</v>
      </c>
      <c r="Y87" s="11">
        <f t="shared" si="49"/>
        <v>89</v>
      </c>
      <c r="Z87" s="97">
        <v>44623</v>
      </c>
    </row>
    <row r="88" spans="1:26" x14ac:dyDescent="0.15">
      <c r="A88" s="32" t="s">
        <v>114</v>
      </c>
      <c r="B88" s="26">
        <v>1</v>
      </c>
      <c r="C88" s="47"/>
      <c r="D88" s="27"/>
      <c r="E88" s="34"/>
      <c r="F88" s="35">
        <f t="shared" ref="F88:F110" si="55">SUM(B88:E88)</f>
        <v>1</v>
      </c>
      <c r="G88" s="26"/>
      <c r="H88" s="47"/>
      <c r="I88" s="27"/>
      <c r="J88" s="34"/>
      <c r="K88" s="35">
        <f t="shared" ref="K88:K110" si="56">SUM(G88:J88)</f>
        <v>0</v>
      </c>
      <c r="L88" s="11">
        <f t="shared" si="50"/>
        <v>1</v>
      </c>
      <c r="M88" s="99">
        <v>44627</v>
      </c>
      <c r="N88" s="12" t="s">
        <v>113</v>
      </c>
      <c r="O88" s="26"/>
      <c r="P88" s="47"/>
      <c r="Q88" s="27">
        <v>3</v>
      </c>
      <c r="R88" s="34">
        <v>3</v>
      </c>
      <c r="S88" s="35">
        <f t="shared" si="53"/>
        <v>6</v>
      </c>
      <c r="T88" s="26"/>
      <c r="U88" s="47"/>
      <c r="V88" s="27">
        <v>3</v>
      </c>
      <c r="W88" s="34"/>
      <c r="X88" s="35">
        <f t="shared" si="54"/>
        <v>3</v>
      </c>
      <c r="Y88" s="11">
        <f t="shared" si="49"/>
        <v>9</v>
      </c>
      <c r="Z88" s="99">
        <v>44624</v>
      </c>
    </row>
    <row r="89" spans="1:26" x14ac:dyDescent="0.15">
      <c r="A89" s="32" t="s">
        <v>41</v>
      </c>
      <c r="B89" s="66"/>
      <c r="C89" s="67"/>
      <c r="D89" s="68"/>
      <c r="E89" s="69">
        <v>1</v>
      </c>
      <c r="F89" s="70">
        <f t="shared" si="55"/>
        <v>1</v>
      </c>
      <c r="G89" s="66"/>
      <c r="H89" s="67"/>
      <c r="I89" s="68"/>
      <c r="J89" s="69">
        <v>2</v>
      </c>
      <c r="K89" s="70">
        <f t="shared" si="56"/>
        <v>2</v>
      </c>
      <c r="L89" s="11">
        <f t="shared" si="50"/>
        <v>3</v>
      </c>
      <c r="M89" s="126">
        <v>44625</v>
      </c>
      <c r="N89" s="12" t="s">
        <v>34</v>
      </c>
      <c r="O89" s="66">
        <v>3</v>
      </c>
      <c r="P89" s="67"/>
      <c r="Q89" s="68"/>
      <c r="R89" s="94">
        <v>5</v>
      </c>
      <c r="S89" s="91">
        <f>SUM(O89:R89)</f>
        <v>8</v>
      </c>
      <c r="T89" s="67"/>
      <c r="U89" s="67">
        <v>3</v>
      </c>
      <c r="V89" s="68"/>
      <c r="W89" s="94">
        <v>3</v>
      </c>
      <c r="X89" s="91">
        <f>SUM(T89:W89)</f>
        <v>6</v>
      </c>
      <c r="Y89" s="11">
        <f t="shared" si="49"/>
        <v>14</v>
      </c>
      <c r="Z89" s="97">
        <v>44629</v>
      </c>
    </row>
    <row r="90" spans="1:26" x14ac:dyDescent="0.15">
      <c r="A90" s="32" t="s">
        <v>115</v>
      </c>
      <c r="B90" s="26"/>
      <c r="C90" s="47">
        <v>1</v>
      </c>
      <c r="D90" s="27"/>
      <c r="E90" s="34"/>
      <c r="F90" s="35">
        <f t="shared" si="55"/>
        <v>1</v>
      </c>
      <c r="G90" s="26"/>
      <c r="H90" s="47"/>
      <c r="I90" s="27"/>
      <c r="J90" s="34"/>
      <c r="K90" s="35">
        <f t="shared" si="56"/>
        <v>0</v>
      </c>
      <c r="L90" s="11">
        <f t="shared" si="50"/>
        <v>1</v>
      </c>
      <c r="M90" s="99">
        <v>44628</v>
      </c>
      <c r="N90" s="32" t="s">
        <v>119</v>
      </c>
      <c r="O90" s="26"/>
      <c r="P90" s="47">
        <v>5</v>
      </c>
      <c r="Q90" s="27"/>
      <c r="R90" s="34"/>
      <c r="S90" s="35">
        <f t="shared" ref="S90:S92" si="57">SUM(O90:R90)</f>
        <v>5</v>
      </c>
      <c r="T90" s="26"/>
      <c r="U90" s="47">
        <v>1</v>
      </c>
      <c r="V90" s="27">
        <v>1</v>
      </c>
      <c r="W90" s="34"/>
      <c r="X90" s="35">
        <f t="shared" ref="X90:X92" si="58">SUM(T90:W90)</f>
        <v>2</v>
      </c>
      <c r="Y90" s="11">
        <f t="shared" si="49"/>
        <v>7</v>
      </c>
      <c r="Z90" s="97">
        <v>44631</v>
      </c>
    </row>
    <row r="91" spans="1:26" x14ac:dyDescent="0.15">
      <c r="A91" s="32" t="s">
        <v>41</v>
      </c>
      <c r="B91" s="26">
        <v>1</v>
      </c>
      <c r="C91" s="47">
        <f>2+1</f>
        <v>3</v>
      </c>
      <c r="D91" s="27">
        <v>2</v>
      </c>
      <c r="E91" s="34">
        <v>1</v>
      </c>
      <c r="F91" s="35">
        <f t="shared" si="55"/>
        <v>7</v>
      </c>
      <c r="G91" s="26"/>
      <c r="H91" s="47">
        <v>3</v>
      </c>
      <c r="I91" s="27"/>
      <c r="J91" s="34"/>
      <c r="K91" s="35">
        <f t="shared" si="56"/>
        <v>3</v>
      </c>
      <c r="L91" s="11">
        <f t="shared" si="50"/>
        <v>10</v>
      </c>
      <c r="M91" s="126">
        <v>44627</v>
      </c>
      <c r="N91" s="90" t="s">
        <v>117</v>
      </c>
      <c r="O91" s="66">
        <v>4</v>
      </c>
      <c r="P91" s="67">
        <v>6</v>
      </c>
      <c r="Q91" s="68">
        <v>10</v>
      </c>
      <c r="R91" s="94">
        <v>10</v>
      </c>
      <c r="S91" s="91">
        <f>SUM(O91:R91)</f>
        <v>30</v>
      </c>
      <c r="T91" s="67">
        <v>8</v>
      </c>
      <c r="U91" s="67">
        <v>6</v>
      </c>
      <c r="V91" s="68">
        <v>10</v>
      </c>
      <c r="W91" s="94">
        <v>15</v>
      </c>
      <c r="X91" s="91">
        <f>SUM(T91:W91)</f>
        <v>39</v>
      </c>
      <c r="Y91" s="11">
        <f t="shared" si="49"/>
        <v>69</v>
      </c>
      <c r="Z91" s="97">
        <v>44629</v>
      </c>
    </row>
    <row r="92" spans="1:26" x14ac:dyDescent="0.15">
      <c r="A92" s="32" t="s">
        <v>116</v>
      </c>
      <c r="B92" s="26"/>
      <c r="C92" s="47"/>
      <c r="D92" s="27"/>
      <c r="E92" s="34">
        <v>1</v>
      </c>
      <c r="F92" s="35">
        <f t="shared" si="55"/>
        <v>1</v>
      </c>
      <c r="G92" s="26"/>
      <c r="H92" s="47">
        <v>1</v>
      </c>
      <c r="I92" s="27">
        <v>1</v>
      </c>
      <c r="J92" s="34">
        <v>1</v>
      </c>
      <c r="K92" s="35">
        <f t="shared" si="56"/>
        <v>3</v>
      </c>
      <c r="L92" s="11">
        <f t="shared" si="50"/>
        <v>4</v>
      </c>
      <c r="M92" s="99">
        <v>44629</v>
      </c>
      <c r="N92" s="12" t="s">
        <v>34</v>
      </c>
      <c r="O92" s="26">
        <v>3</v>
      </c>
      <c r="P92" s="47">
        <v>3</v>
      </c>
      <c r="Q92" s="27">
        <v>3</v>
      </c>
      <c r="R92" s="34">
        <v>3</v>
      </c>
      <c r="S92" s="35">
        <f t="shared" si="57"/>
        <v>12</v>
      </c>
      <c r="T92" s="26"/>
      <c r="U92" s="47">
        <v>3</v>
      </c>
      <c r="V92" s="27"/>
      <c r="W92" s="34"/>
      <c r="X92" s="35">
        <f t="shared" si="58"/>
        <v>3</v>
      </c>
      <c r="Y92" s="11">
        <f t="shared" si="49"/>
        <v>15</v>
      </c>
      <c r="Z92" s="97">
        <v>44635</v>
      </c>
    </row>
    <row r="93" spans="1:26" x14ac:dyDescent="0.15">
      <c r="A93" s="32" t="s">
        <v>118</v>
      </c>
      <c r="B93" s="26">
        <v>1</v>
      </c>
      <c r="C93" s="47"/>
      <c r="D93" s="27"/>
      <c r="E93" s="34">
        <v>1</v>
      </c>
      <c r="F93" s="35">
        <f t="shared" si="55"/>
        <v>2</v>
      </c>
      <c r="G93" s="26"/>
      <c r="H93" s="47"/>
      <c r="I93" s="27"/>
      <c r="J93" s="34"/>
      <c r="K93" s="35">
        <f t="shared" si="56"/>
        <v>0</v>
      </c>
      <c r="L93" s="11">
        <f t="shared" si="50"/>
        <v>2</v>
      </c>
      <c r="M93" s="99">
        <v>44630</v>
      </c>
      <c r="N93" s="32" t="s">
        <v>127</v>
      </c>
      <c r="O93" s="26">
        <v>2</v>
      </c>
      <c r="P93" s="47">
        <v>2</v>
      </c>
      <c r="Q93" s="27">
        <v>2</v>
      </c>
      <c r="R93" s="50">
        <v>1</v>
      </c>
      <c r="S93" s="9">
        <f>SUM(O93:R93)</f>
        <v>7</v>
      </c>
      <c r="T93" s="47">
        <v>1</v>
      </c>
      <c r="U93" s="47">
        <v>2</v>
      </c>
      <c r="V93" s="27">
        <v>1</v>
      </c>
      <c r="W93" s="50">
        <v>1</v>
      </c>
      <c r="X93" s="9">
        <f>SUM(T93:W93)</f>
        <v>5</v>
      </c>
      <c r="Y93" s="11">
        <f t="shared" si="49"/>
        <v>12</v>
      </c>
      <c r="Z93" s="97">
        <v>44642</v>
      </c>
    </row>
    <row r="94" spans="1:26" x14ac:dyDescent="0.15">
      <c r="A94" s="32" t="s">
        <v>41</v>
      </c>
      <c r="B94" s="26"/>
      <c r="C94" s="47"/>
      <c r="D94" s="27"/>
      <c r="E94" s="34"/>
      <c r="F94" s="35">
        <f t="shared" si="55"/>
        <v>0</v>
      </c>
      <c r="G94" s="26"/>
      <c r="H94" s="47">
        <v>1</v>
      </c>
      <c r="I94" s="27"/>
      <c r="J94" s="34"/>
      <c r="K94" s="35">
        <f t="shared" si="56"/>
        <v>1</v>
      </c>
      <c r="L94" s="11">
        <f t="shared" si="50"/>
        <v>1</v>
      </c>
      <c r="M94" s="126">
        <v>44630</v>
      </c>
      <c r="N94" s="15"/>
      <c r="O94" s="26"/>
      <c r="P94" s="47"/>
      <c r="Q94" s="27"/>
      <c r="R94" s="34"/>
      <c r="S94" s="35">
        <f t="shared" ref="S94:S111" si="59">SUM(O94:R94)</f>
        <v>0</v>
      </c>
      <c r="T94" s="26"/>
      <c r="U94" s="47"/>
      <c r="V94" s="27"/>
      <c r="W94" s="34"/>
      <c r="X94" s="35">
        <f t="shared" ref="X94:X111" si="60">SUM(T94:W94)</f>
        <v>0</v>
      </c>
      <c r="Y94" s="11">
        <f t="shared" si="49"/>
        <v>0</v>
      </c>
      <c r="Z94" s="99"/>
    </row>
    <row r="95" spans="1:26" x14ac:dyDescent="0.15">
      <c r="A95" s="32" t="s">
        <v>120</v>
      </c>
      <c r="B95" s="26">
        <v>1</v>
      </c>
      <c r="C95" s="47"/>
      <c r="D95" s="27">
        <v>1</v>
      </c>
      <c r="E95" s="34">
        <v>2</v>
      </c>
      <c r="F95" s="35">
        <f t="shared" si="55"/>
        <v>4</v>
      </c>
      <c r="G95" s="26"/>
      <c r="H95" s="47"/>
      <c r="I95" s="27"/>
      <c r="J95" s="34">
        <v>1</v>
      </c>
      <c r="K95" s="35">
        <f t="shared" si="56"/>
        <v>1</v>
      </c>
      <c r="L95" s="11">
        <f t="shared" si="50"/>
        <v>5</v>
      </c>
      <c r="M95" s="99">
        <v>44634</v>
      </c>
      <c r="N95" s="15"/>
      <c r="O95" s="26"/>
      <c r="P95" s="47"/>
      <c r="Q95" s="27"/>
      <c r="R95" s="34"/>
      <c r="S95" s="35">
        <f t="shared" si="59"/>
        <v>0</v>
      </c>
      <c r="T95" s="26"/>
      <c r="U95" s="47"/>
      <c r="V95" s="27"/>
      <c r="W95" s="34"/>
      <c r="X95" s="35">
        <f t="shared" si="60"/>
        <v>0</v>
      </c>
      <c r="Y95" s="11">
        <f t="shared" si="49"/>
        <v>0</v>
      </c>
      <c r="Z95" s="99"/>
    </row>
    <row r="96" spans="1:26" x14ac:dyDescent="0.15">
      <c r="A96" s="32" t="s">
        <v>121</v>
      </c>
      <c r="B96" s="26">
        <v>1</v>
      </c>
      <c r="C96" s="47"/>
      <c r="D96" s="27"/>
      <c r="E96" s="34">
        <v>2</v>
      </c>
      <c r="F96" s="35">
        <f t="shared" si="55"/>
        <v>3</v>
      </c>
      <c r="G96" s="26"/>
      <c r="H96" s="47">
        <v>2</v>
      </c>
      <c r="I96" s="27"/>
      <c r="J96" s="34"/>
      <c r="K96" s="35">
        <f t="shared" si="56"/>
        <v>2</v>
      </c>
      <c r="L96" s="11">
        <f t="shared" si="50"/>
        <v>5</v>
      </c>
      <c r="M96" s="99">
        <v>44635</v>
      </c>
      <c r="N96" s="15"/>
      <c r="O96" s="26"/>
      <c r="P96" s="47"/>
      <c r="Q96" s="27"/>
      <c r="R96" s="34"/>
      <c r="S96" s="35">
        <f t="shared" si="59"/>
        <v>0</v>
      </c>
      <c r="T96" s="26"/>
      <c r="U96" s="47"/>
      <c r="V96" s="27"/>
      <c r="W96" s="34"/>
      <c r="X96" s="35">
        <f t="shared" si="60"/>
        <v>0</v>
      </c>
      <c r="Y96" s="11">
        <f t="shared" si="49"/>
        <v>0</v>
      </c>
      <c r="Z96" s="99"/>
    </row>
    <row r="97" spans="1:27" x14ac:dyDescent="0.15">
      <c r="A97" s="32" t="s">
        <v>41</v>
      </c>
      <c r="B97" s="26"/>
      <c r="C97" s="47"/>
      <c r="D97" s="27">
        <v>1</v>
      </c>
      <c r="E97" s="34">
        <v>1</v>
      </c>
      <c r="F97" s="35">
        <f t="shared" si="55"/>
        <v>2</v>
      </c>
      <c r="G97" s="26">
        <v>1</v>
      </c>
      <c r="H97" s="47"/>
      <c r="I97" s="27">
        <v>1</v>
      </c>
      <c r="J97" s="34"/>
      <c r="K97" s="35">
        <f t="shared" si="56"/>
        <v>2</v>
      </c>
      <c r="L97" s="11">
        <f t="shared" si="50"/>
        <v>4</v>
      </c>
      <c r="M97" s="126">
        <v>44634</v>
      </c>
      <c r="N97" s="12"/>
      <c r="O97" s="26"/>
      <c r="P97" s="47"/>
      <c r="Q97" s="27"/>
      <c r="R97" s="34"/>
      <c r="S97" s="35">
        <f t="shared" si="59"/>
        <v>0</v>
      </c>
      <c r="T97" s="26"/>
      <c r="U97" s="47"/>
      <c r="V97" s="27"/>
      <c r="W97" s="34"/>
      <c r="X97" s="35">
        <f t="shared" si="60"/>
        <v>0</v>
      </c>
      <c r="Y97" s="11">
        <f t="shared" si="49"/>
        <v>0</v>
      </c>
      <c r="Z97" s="99"/>
    </row>
    <row r="98" spans="1:27" x14ac:dyDescent="0.15">
      <c r="A98" s="32" t="s">
        <v>124</v>
      </c>
      <c r="B98" s="26"/>
      <c r="C98" s="47">
        <v>1</v>
      </c>
      <c r="D98" s="27"/>
      <c r="E98" s="34"/>
      <c r="F98" s="35">
        <f t="shared" si="55"/>
        <v>1</v>
      </c>
      <c r="G98" s="26"/>
      <c r="H98" s="47"/>
      <c r="I98" s="27"/>
      <c r="J98" s="34">
        <v>2</v>
      </c>
      <c r="K98" s="35">
        <f t="shared" si="56"/>
        <v>2</v>
      </c>
      <c r="L98" s="11">
        <f t="shared" si="50"/>
        <v>3</v>
      </c>
      <c r="M98" s="99">
        <v>44636</v>
      </c>
      <c r="N98" s="12"/>
      <c r="O98" s="26"/>
      <c r="P98" s="47"/>
      <c r="Q98" s="27"/>
      <c r="R98" s="34"/>
      <c r="S98" s="35">
        <f t="shared" si="59"/>
        <v>0</v>
      </c>
      <c r="T98" s="26"/>
      <c r="U98" s="47"/>
      <c r="V98" s="27"/>
      <c r="W98" s="34"/>
      <c r="X98" s="35">
        <f t="shared" si="60"/>
        <v>0</v>
      </c>
      <c r="Y98" s="11">
        <f t="shared" si="49"/>
        <v>0</v>
      </c>
      <c r="Z98" s="99"/>
    </row>
    <row r="99" spans="1:27" x14ac:dyDescent="0.15">
      <c r="A99" s="32" t="s">
        <v>125</v>
      </c>
      <c r="B99" s="26"/>
      <c r="C99" s="47">
        <v>2</v>
      </c>
      <c r="D99" s="27">
        <v>1</v>
      </c>
      <c r="E99" s="34"/>
      <c r="F99" s="35">
        <f t="shared" si="55"/>
        <v>3</v>
      </c>
      <c r="G99" s="26"/>
      <c r="H99" s="47"/>
      <c r="I99" s="27"/>
      <c r="J99" s="34"/>
      <c r="K99" s="35">
        <f t="shared" si="56"/>
        <v>0</v>
      </c>
      <c r="L99" s="11">
        <f t="shared" si="50"/>
        <v>3</v>
      </c>
      <c r="M99" s="99">
        <v>44637</v>
      </c>
      <c r="N99" s="15"/>
      <c r="O99" s="26"/>
      <c r="P99" s="47"/>
      <c r="Q99" s="27"/>
      <c r="R99" s="34"/>
      <c r="S99" s="35">
        <f t="shared" si="59"/>
        <v>0</v>
      </c>
      <c r="T99" s="26"/>
      <c r="U99" s="47"/>
      <c r="V99" s="27"/>
      <c r="W99" s="34"/>
      <c r="X99" s="35">
        <f t="shared" si="60"/>
        <v>0</v>
      </c>
      <c r="Y99" s="11">
        <f t="shared" si="49"/>
        <v>0</v>
      </c>
      <c r="Z99" s="99"/>
    </row>
    <row r="100" spans="1:27" x14ac:dyDescent="0.15">
      <c r="A100" s="32" t="s">
        <v>41</v>
      </c>
      <c r="B100" s="26"/>
      <c r="C100" s="47">
        <v>3</v>
      </c>
      <c r="D100" s="27"/>
      <c r="E100" s="34"/>
      <c r="F100" s="35">
        <f t="shared" si="55"/>
        <v>3</v>
      </c>
      <c r="G100" s="26"/>
      <c r="H100" s="47">
        <v>1</v>
      </c>
      <c r="I100" s="27"/>
      <c r="J100" s="34"/>
      <c r="K100" s="35">
        <f t="shared" si="56"/>
        <v>1</v>
      </c>
      <c r="L100" s="11">
        <f t="shared" si="50"/>
        <v>4</v>
      </c>
      <c r="M100" s="126">
        <v>44642</v>
      </c>
      <c r="N100" s="57"/>
      <c r="O100" s="26"/>
      <c r="P100" s="47"/>
      <c r="Q100" s="27"/>
      <c r="R100" s="34"/>
      <c r="S100" s="35">
        <f t="shared" si="59"/>
        <v>0</v>
      </c>
      <c r="T100" s="26"/>
      <c r="U100" s="47"/>
      <c r="V100" s="27"/>
      <c r="W100" s="34"/>
      <c r="X100" s="35">
        <f t="shared" si="60"/>
        <v>0</v>
      </c>
      <c r="Y100" s="11">
        <f t="shared" si="49"/>
        <v>0</v>
      </c>
      <c r="Z100" s="99"/>
    </row>
    <row r="101" spans="1:27" x14ac:dyDescent="0.15">
      <c r="A101" s="32" t="s">
        <v>128</v>
      </c>
      <c r="B101" s="26"/>
      <c r="C101" s="47"/>
      <c r="D101" s="27"/>
      <c r="E101" s="34"/>
      <c r="F101" s="35">
        <f t="shared" si="55"/>
        <v>0</v>
      </c>
      <c r="G101" s="26">
        <v>1</v>
      </c>
      <c r="H101" s="47"/>
      <c r="I101" s="27"/>
      <c r="J101" s="34"/>
      <c r="K101" s="35">
        <f t="shared" si="56"/>
        <v>1</v>
      </c>
      <c r="L101" s="11">
        <f t="shared" si="50"/>
        <v>1</v>
      </c>
      <c r="M101" s="99">
        <v>44644</v>
      </c>
      <c r="N101" s="15"/>
      <c r="O101" s="26"/>
      <c r="P101" s="47"/>
      <c r="Q101" s="27"/>
      <c r="R101" s="34"/>
      <c r="S101" s="35">
        <f t="shared" si="59"/>
        <v>0</v>
      </c>
      <c r="T101" s="26"/>
      <c r="U101" s="47"/>
      <c r="V101" s="27"/>
      <c r="W101" s="34"/>
      <c r="X101" s="35">
        <f t="shared" si="60"/>
        <v>0</v>
      </c>
      <c r="Y101" s="11">
        <f t="shared" si="49"/>
        <v>0</v>
      </c>
      <c r="Z101" s="99"/>
    </row>
    <row r="102" spans="1:27" x14ac:dyDescent="0.15">
      <c r="A102" s="32"/>
      <c r="B102" s="26"/>
      <c r="C102" s="47"/>
      <c r="D102" s="27"/>
      <c r="E102" s="34"/>
      <c r="F102" s="35">
        <f t="shared" si="55"/>
        <v>0</v>
      </c>
      <c r="G102" s="26"/>
      <c r="H102" s="47"/>
      <c r="I102" s="27"/>
      <c r="J102" s="34"/>
      <c r="K102" s="35">
        <f t="shared" si="56"/>
        <v>0</v>
      </c>
      <c r="L102" s="11">
        <f t="shared" si="50"/>
        <v>0</v>
      </c>
      <c r="N102" s="57"/>
      <c r="O102" s="26"/>
      <c r="P102" s="47"/>
      <c r="Q102" s="27"/>
      <c r="R102" s="34"/>
      <c r="S102" s="35">
        <f t="shared" si="59"/>
        <v>0</v>
      </c>
      <c r="T102" s="26"/>
      <c r="U102" s="47"/>
      <c r="V102" s="27"/>
      <c r="W102" s="34"/>
      <c r="X102" s="35">
        <f t="shared" si="60"/>
        <v>0</v>
      </c>
      <c r="Y102" s="11">
        <f t="shared" si="49"/>
        <v>0</v>
      </c>
      <c r="Z102" s="99"/>
    </row>
    <row r="103" spans="1:27" x14ac:dyDescent="0.15">
      <c r="A103" s="15"/>
      <c r="B103" s="26"/>
      <c r="C103" s="47"/>
      <c r="D103" s="27"/>
      <c r="E103" s="34"/>
      <c r="F103" s="35">
        <f t="shared" si="55"/>
        <v>0</v>
      </c>
      <c r="G103" s="26"/>
      <c r="H103" s="47"/>
      <c r="I103" s="27"/>
      <c r="J103" s="34"/>
      <c r="K103" s="35">
        <f t="shared" si="56"/>
        <v>0</v>
      </c>
      <c r="L103" s="11">
        <f t="shared" si="50"/>
        <v>0</v>
      </c>
      <c r="N103" s="57"/>
      <c r="O103" s="26"/>
      <c r="P103" s="47"/>
      <c r="Q103" s="27"/>
      <c r="R103" s="34"/>
      <c r="S103" s="35">
        <f t="shared" si="59"/>
        <v>0</v>
      </c>
      <c r="T103" s="26"/>
      <c r="U103" s="47"/>
      <c r="V103" s="27"/>
      <c r="W103" s="34"/>
      <c r="X103" s="35">
        <f t="shared" si="60"/>
        <v>0</v>
      </c>
      <c r="Y103" s="11">
        <f t="shared" si="49"/>
        <v>0</v>
      </c>
      <c r="Z103" s="99"/>
    </row>
    <row r="104" spans="1:27" x14ac:dyDescent="0.15">
      <c r="A104" s="13"/>
      <c r="B104" s="26"/>
      <c r="C104" s="47"/>
      <c r="D104" s="27"/>
      <c r="E104" s="34"/>
      <c r="F104" s="35">
        <f t="shared" si="55"/>
        <v>0</v>
      </c>
      <c r="G104" s="26"/>
      <c r="H104" s="47"/>
      <c r="I104" s="27"/>
      <c r="J104" s="34"/>
      <c r="K104" s="35">
        <f t="shared" si="56"/>
        <v>0</v>
      </c>
      <c r="L104" s="11">
        <f t="shared" si="50"/>
        <v>0</v>
      </c>
      <c r="N104" s="15"/>
      <c r="O104" s="26"/>
      <c r="P104" s="47"/>
      <c r="Q104" s="27"/>
      <c r="R104" s="34"/>
      <c r="S104" s="35">
        <f t="shared" si="59"/>
        <v>0</v>
      </c>
      <c r="T104" s="26"/>
      <c r="U104" s="47"/>
      <c r="V104" s="27"/>
      <c r="W104" s="34"/>
      <c r="X104" s="35">
        <f t="shared" si="60"/>
        <v>0</v>
      </c>
      <c r="Y104" s="11">
        <f t="shared" si="49"/>
        <v>0</v>
      </c>
      <c r="Z104" s="99"/>
    </row>
    <row r="105" spans="1:27" x14ac:dyDescent="0.15">
      <c r="A105" s="32"/>
      <c r="B105" s="26"/>
      <c r="C105" s="47"/>
      <c r="D105" s="27"/>
      <c r="E105" s="34"/>
      <c r="F105" s="35">
        <f t="shared" si="55"/>
        <v>0</v>
      </c>
      <c r="G105" s="26"/>
      <c r="H105" s="47"/>
      <c r="I105" s="27"/>
      <c r="J105" s="34"/>
      <c r="K105" s="35">
        <f t="shared" si="56"/>
        <v>0</v>
      </c>
      <c r="L105" s="11">
        <f t="shared" si="50"/>
        <v>0</v>
      </c>
      <c r="N105" s="57"/>
      <c r="O105" s="26"/>
      <c r="P105" s="47"/>
      <c r="Q105" s="27"/>
      <c r="R105" s="34"/>
      <c r="S105" s="35">
        <f>SUM(O105:R105)</f>
        <v>0</v>
      </c>
      <c r="T105" s="26"/>
      <c r="U105" s="47"/>
      <c r="V105" s="27"/>
      <c r="W105" s="34"/>
      <c r="X105" s="35">
        <f t="shared" ref="X105:X110" si="61">SUM(T105:W105)</f>
        <v>0</v>
      </c>
      <c r="Y105" s="11">
        <f t="shared" ref="Y105:Y110" si="62">S105+X105</f>
        <v>0</v>
      </c>
      <c r="Z105" s="99"/>
    </row>
    <row r="106" spans="1:27" x14ac:dyDescent="0.15">
      <c r="A106" s="32"/>
      <c r="B106" s="26"/>
      <c r="C106" s="47"/>
      <c r="D106" s="27"/>
      <c r="E106" s="34"/>
      <c r="F106" s="35">
        <f t="shared" si="55"/>
        <v>0</v>
      </c>
      <c r="G106" s="26"/>
      <c r="H106" s="47"/>
      <c r="I106" s="27"/>
      <c r="J106" s="34"/>
      <c r="K106" s="35">
        <f t="shared" si="56"/>
        <v>0</v>
      </c>
      <c r="L106" s="11">
        <f t="shared" si="50"/>
        <v>0</v>
      </c>
      <c r="N106" s="90"/>
      <c r="O106" s="26"/>
      <c r="P106" s="47"/>
      <c r="Q106" s="27"/>
      <c r="R106" s="34"/>
      <c r="S106" s="35">
        <f>SUM(O106:R106)</f>
        <v>0</v>
      </c>
      <c r="T106" s="26"/>
      <c r="U106" s="47"/>
      <c r="V106" s="27"/>
      <c r="W106" s="34"/>
      <c r="X106" s="35">
        <f t="shared" si="61"/>
        <v>0</v>
      </c>
      <c r="Y106" s="108">
        <f t="shared" si="62"/>
        <v>0</v>
      </c>
      <c r="Z106" s="99"/>
    </row>
    <row r="107" spans="1:27" x14ac:dyDescent="0.15">
      <c r="A107" s="12"/>
      <c r="B107" s="26"/>
      <c r="C107" s="47"/>
      <c r="D107" s="27"/>
      <c r="E107" s="34"/>
      <c r="F107" s="35">
        <f t="shared" si="55"/>
        <v>0</v>
      </c>
      <c r="G107" s="26"/>
      <c r="H107" s="47"/>
      <c r="I107" s="27"/>
      <c r="J107" s="34"/>
      <c r="K107" s="35">
        <f t="shared" si="56"/>
        <v>0</v>
      </c>
      <c r="L107" s="11">
        <f t="shared" si="50"/>
        <v>0</v>
      </c>
      <c r="N107" s="57"/>
      <c r="O107" s="66"/>
      <c r="P107" s="67"/>
      <c r="Q107" s="68"/>
      <c r="R107" s="69"/>
      <c r="S107" s="70">
        <f>SUM(O107:R107)</f>
        <v>0</v>
      </c>
      <c r="T107" s="66"/>
      <c r="U107" s="67"/>
      <c r="V107" s="68"/>
      <c r="W107" s="69"/>
      <c r="X107" s="70">
        <f t="shared" si="61"/>
        <v>0</v>
      </c>
      <c r="Y107" s="11">
        <f t="shared" si="62"/>
        <v>0</v>
      </c>
      <c r="Z107" s="99"/>
    </row>
    <row r="108" spans="1:27" x14ac:dyDescent="0.15">
      <c r="A108" s="79"/>
      <c r="B108" s="26"/>
      <c r="C108" s="47"/>
      <c r="D108" s="27"/>
      <c r="E108" s="34"/>
      <c r="F108" s="35">
        <f t="shared" si="55"/>
        <v>0</v>
      </c>
      <c r="G108" s="26"/>
      <c r="H108" s="47"/>
      <c r="I108" s="27"/>
      <c r="J108" s="34"/>
      <c r="K108" s="35">
        <f t="shared" si="56"/>
        <v>0</v>
      </c>
      <c r="L108" s="11">
        <f t="shared" si="50"/>
        <v>0</v>
      </c>
      <c r="N108" s="57" t="s">
        <v>76</v>
      </c>
      <c r="O108" s="66"/>
      <c r="P108" s="67"/>
      <c r="Q108" s="68"/>
      <c r="R108" s="69"/>
      <c r="S108" s="70">
        <f>SUM(O108:R108)</f>
        <v>0</v>
      </c>
      <c r="T108" s="66"/>
      <c r="U108" s="67"/>
      <c r="V108" s="68"/>
      <c r="W108" s="69"/>
      <c r="X108" s="70">
        <f t="shared" ref="X108:X109" si="63">SUM(T108:W108)</f>
        <v>0</v>
      </c>
      <c r="Y108" s="11">
        <f t="shared" ref="Y108:Y109" si="64">S108+X108</f>
        <v>0</v>
      </c>
      <c r="Z108" s="99" t="s">
        <v>77</v>
      </c>
      <c r="AA108" s="58"/>
    </row>
    <row r="109" spans="1:27" x14ac:dyDescent="0.15">
      <c r="A109" s="57"/>
      <c r="B109" s="26"/>
      <c r="C109" s="47"/>
      <c r="D109" s="27"/>
      <c r="E109" s="34"/>
      <c r="F109" s="35">
        <f t="shared" si="55"/>
        <v>0</v>
      </c>
      <c r="G109" s="26"/>
      <c r="H109" s="47"/>
      <c r="I109" s="27"/>
      <c r="J109" s="34"/>
      <c r="K109" s="35">
        <f t="shared" si="56"/>
        <v>0</v>
      </c>
      <c r="L109" s="11">
        <f t="shared" si="50"/>
        <v>0</v>
      </c>
      <c r="N109" s="90" t="s">
        <v>65</v>
      </c>
      <c r="O109" s="26"/>
      <c r="P109" s="47"/>
      <c r="Q109" s="27"/>
      <c r="R109" s="34"/>
      <c r="S109" s="35">
        <f>SUM(O109:R109)</f>
        <v>0</v>
      </c>
      <c r="T109" s="26"/>
      <c r="U109" s="47"/>
      <c r="V109" s="27"/>
      <c r="W109" s="34"/>
      <c r="X109" s="35">
        <f t="shared" si="63"/>
        <v>0</v>
      </c>
      <c r="Y109" s="108">
        <f t="shared" si="64"/>
        <v>0</v>
      </c>
      <c r="Z109" s="99" t="s">
        <v>66</v>
      </c>
      <c r="AA109" s="58"/>
    </row>
    <row r="110" spans="1:27" ht="14.25" thickBot="1" x14ac:dyDescent="0.2">
      <c r="A110" s="90"/>
      <c r="B110" s="62"/>
      <c r="C110" s="63"/>
      <c r="D110" s="64"/>
      <c r="E110" s="65"/>
      <c r="F110" s="35">
        <f t="shared" si="55"/>
        <v>0</v>
      </c>
      <c r="G110" s="62"/>
      <c r="H110" s="63"/>
      <c r="I110" s="64"/>
      <c r="J110" s="65"/>
      <c r="K110" s="35">
        <f t="shared" si="56"/>
        <v>0</v>
      </c>
      <c r="L110" s="14">
        <f t="shared" si="50"/>
        <v>0</v>
      </c>
      <c r="N110" s="57" t="s">
        <v>84</v>
      </c>
      <c r="O110" s="62"/>
      <c r="P110" s="63"/>
      <c r="Q110" s="64"/>
      <c r="R110" s="65"/>
      <c r="S110" s="120">
        <f t="shared" ref="S110" si="65">SUM(O110:R110)</f>
        <v>0</v>
      </c>
      <c r="T110" s="62"/>
      <c r="U110" s="63"/>
      <c r="V110" s="64"/>
      <c r="W110" s="65"/>
      <c r="X110" s="120">
        <f t="shared" si="61"/>
        <v>0</v>
      </c>
      <c r="Y110" s="121">
        <f t="shared" si="62"/>
        <v>0</v>
      </c>
      <c r="Z110" s="99" t="s">
        <v>85</v>
      </c>
    </row>
    <row r="111" spans="1:27" ht="14.25" thickBot="1" x14ac:dyDescent="0.2">
      <c r="A111" s="17" t="s">
        <v>10</v>
      </c>
      <c r="B111" s="38">
        <f>SUM(B86:B110)</f>
        <v>5</v>
      </c>
      <c r="C111" s="48">
        <f>SUM(C86:C110)</f>
        <v>11</v>
      </c>
      <c r="D111" s="39">
        <f>SUM(D86:D110)</f>
        <v>7</v>
      </c>
      <c r="E111" s="40">
        <f>SUM(E86:E110)</f>
        <v>11</v>
      </c>
      <c r="F111" s="36">
        <f>SUM(B111:E111)</f>
        <v>34</v>
      </c>
      <c r="G111" s="38">
        <f>SUM(G86:G110)</f>
        <v>2</v>
      </c>
      <c r="H111" s="48">
        <f>SUM(H86:H110)</f>
        <v>10</v>
      </c>
      <c r="I111" s="39">
        <f>SUM(I86:I110)</f>
        <v>2</v>
      </c>
      <c r="J111" s="40">
        <f>SUM(J86:J110)</f>
        <v>6</v>
      </c>
      <c r="K111" s="36">
        <f>SUM(G111:J111)</f>
        <v>20</v>
      </c>
      <c r="L111" s="37">
        <f t="shared" si="50"/>
        <v>54</v>
      </c>
      <c r="N111" s="17" t="s">
        <v>10</v>
      </c>
      <c r="O111" s="38">
        <f>SUM(O86:O110)</f>
        <v>49</v>
      </c>
      <c r="P111" s="48">
        <f>SUM(P86:P110)</f>
        <v>54</v>
      </c>
      <c r="Q111" s="39">
        <f>SUM(Q86:Q110)</f>
        <v>36</v>
      </c>
      <c r="R111" s="40">
        <f>SUM(R86:R110)</f>
        <v>41</v>
      </c>
      <c r="S111" s="118">
        <f t="shared" si="59"/>
        <v>180</v>
      </c>
      <c r="T111" s="38">
        <f>SUM(T86:T110)</f>
        <v>22</v>
      </c>
      <c r="U111" s="48">
        <f>SUM(U86:U110)</f>
        <v>31</v>
      </c>
      <c r="V111" s="39">
        <f>SUM(V86:V110)</f>
        <v>27</v>
      </c>
      <c r="W111" s="40">
        <f>SUM(W86:W110)</f>
        <v>35</v>
      </c>
      <c r="X111" s="118">
        <f t="shared" si="60"/>
        <v>115</v>
      </c>
      <c r="Y111" s="119">
        <f t="shared" si="49"/>
        <v>295</v>
      </c>
    </row>
    <row r="112" spans="1:27" ht="14.25" thickBot="1" x14ac:dyDescent="0.2">
      <c r="A112" s="22" t="s">
        <v>11</v>
      </c>
      <c r="B112" s="41">
        <f t="shared" ref="B112:K112" si="66">B85-B111</f>
        <v>6</v>
      </c>
      <c r="C112" s="49">
        <f t="shared" si="66"/>
        <v>2</v>
      </c>
      <c r="D112" s="42">
        <f t="shared" si="66"/>
        <v>4</v>
      </c>
      <c r="E112" s="43">
        <f t="shared" si="66"/>
        <v>3</v>
      </c>
      <c r="F112" s="61">
        <f t="shared" si="66"/>
        <v>15</v>
      </c>
      <c r="G112" s="41">
        <f t="shared" si="66"/>
        <v>2</v>
      </c>
      <c r="H112" s="49">
        <f t="shared" si="66"/>
        <v>4</v>
      </c>
      <c r="I112" s="42">
        <f t="shared" si="66"/>
        <v>4</v>
      </c>
      <c r="J112" s="43">
        <f t="shared" si="66"/>
        <v>2</v>
      </c>
      <c r="K112" s="61">
        <f t="shared" si="66"/>
        <v>12</v>
      </c>
      <c r="L112" s="21">
        <f t="shared" si="50"/>
        <v>27</v>
      </c>
      <c r="N112" s="17" t="s">
        <v>11</v>
      </c>
      <c r="O112" s="41">
        <f t="shared" ref="O112:X112" si="67">O85-O111</f>
        <v>58</v>
      </c>
      <c r="P112" s="49">
        <f t="shared" si="67"/>
        <v>66</v>
      </c>
      <c r="Q112" s="42">
        <f t="shared" si="67"/>
        <v>149</v>
      </c>
      <c r="R112" s="43">
        <f t="shared" si="67"/>
        <v>169</v>
      </c>
      <c r="S112" s="61">
        <f t="shared" si="67"/>
        <v>442</v>
      </c>
      <c r="T112" s="41">
        <f t="shared" si="67"/>
        <v>72</v>
      </c>
      <c r="U112" s="49">
        <f t="shared" si="67"/>
        <v>118</v>
      </c>
      <c r="V112" s="42">
        <f t="shared" si="67"/>
        <v>142</v>
      </c>
      <c r="W112" s="43">
        <f t="shared" si="67"/>
        <v>211</v>
      </c>
      <c r="X112" s="61">
        <f t="shared" si="67"/>
        <v>543</v>
      </c>
      <c r="Y112" s="21">
        <f t="shared" si="49"/>
        <v>985</v>
      </c>
    </row>
    <row r="115" spans="1:26" ht="19.5" thickBot="1" x14ac:dyDescent="0.25">
      <c r="A115" s="2" t="s">
        <v>106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105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342" t="s">
        <v>18</v>
      </c>
      <c r="C116" s="350"/>
      <c r="D116" s="350"/>
      <c r="E116" s="350"/>
      <c r="F116" s="351"/>
      <c r="G116" s="345" t="s">
        <v>12</v>
      </c>
      <c r="H116" s="352"/>
      <c r="I116" s="352"/>
      <c r="J116" s="352"/>
      <c r="K116" s="353"/>
      <c r="L116" s="354" t="s">
        <v>1</v>
      </c>
      <c r="N116" s="5" t="s">
        <v>0</v>
      </c>
      <c r="O116" s="342" t="s">
        <v>18</v>
      </c>
      <c r="P116" s="350"/>
      <c r="Q116" s="350"/>
      <c r="R116" s="350"/>
      <c r="S116" s="351"/>
      <c r="T116" s="345" t="s">
        <v>12</v>
      </c>
      <c r="U116" s="352"/>
      <c r="V116" s="352"/>
      <c r="W116" s="352"/>
      <c r="X116" s="353"/>
      <c r="Y116" s="354" t="s">
        <v>1</v>
      </c>
    </row>
    <row r="117" spans="1:26" ht="14.25" thickBot="1" x14ac:dyDescent="0.2">
      <c r="A117" s="5" t="s">
        <v>2</v>
      </c>
      <c r="B117" s="3" t="s">
        <v>13</v>
      </c>
      <c r="C117" s="44" t="s">
        <v>14</v>
      </c>
      <c r="D117" s="4" t="s">
        <v>15</v>
      </c>
      <c r="E117" s="23" t="s">
        <v>16</v>
      </c>
      <c r="F117" s="31" t="s">
        <v>3</v>
      </c>
      <c r="G117" s="3" t="s">
        <v>13</v>
      </c>
      <c r="H117" s="44" t="s">
        <v>14</v>
      </c>
      <c r="I117" s="4" t="s">
        <v>15</v>
      </c>
      <c r="J117" s="23" t="s">
        <v>16</v>
      </c>
      <c r="K117" s="31" t="s">
        <v>3</v>
      </c>
      <c r="L117" s="355"/>
      <c r="N117" s="5" t="s">
        <v>2</v>
      </c>
      <c r="O117" s="3" t="s">
        <v>13</v>
      </c>
      <c r="P117" s="44" t="s">
        <v>14</v>
      </c>
      <c r="Q117" s="4" t="s">
        <v>15</v>
      </c>
      <c r="R117" s="23" t="s">
        <v>16</v>
      </c>
      <c r="S117" s="31" t="s">
        <v>3</v>
      </c>
      <c r="T117" s="3" t="s">
        <v>13</v>
      </c>
      <c r="U117" s="44" t="s">
        <v>14</v>
      </c>
      <c r="V117" s="4" t="s">
        <v>15</v>
      </c>
      <c r="W117" s="23" t="s">
        <v>16</v>
      </c>
      <c r="X117" s="31" t="s">
        <v>3</v>
      </c>
      <c r="Y117" s="355"/>
    </row>
    <row r="118" spans="1:26" x14ac:dyDescent="0.15">
      <c r="A118" s="71" t="s">
        <v>17</v>
      </c>
      <c r="B118" s="72">
        <f>B112</f>
        <v>6</v>
      </c>
      <c r="C118" s="73">
        <f>C112</f>
        <v>2</v>
      </c>
      <c r="D118" s="73">
        <f>D112</f>
        <v>4</v>
      </c>
      <c r="E118" s="74">
        <f>E112</f>
        <v>3</v>
      </c>
      <c r="F118" s="76">
        <f>SUM(B118:E118)</f>
        <v>15</v>
      </c>
      <c r="G118" s="72">
        <f>G112</f>
        <v>2</v>
      </c>
      <c r="H118" s="73">
        <f>H112</f>
        <v>4</v>
      </c>
      <c r="I118" s="73">
        <f>I112</f>
        <v>4</v>
      </c>
      <c r="J118" s="74">
        <f>J112</f>
        <v>2</v>
      </c>
      <c r="K118" s="75">
        <f>SUM(G118:J118)</f>
        <v>12</v>
      </c>
      <c r="L118" s="16">
        <f>F118+K118</f>
        <v>27</v>
      </c>
      <c r="N118" s="71" t="s">
        <v>17</v>
      </c>
      <c r="O118" s="72">
        <f>O112</f>
        <v>58</v>
      </c>
      <c r="P118" s="73">
        <f>P112</f>
        <v>66</v>
      </c>
      <c r="Q118" s="73">
        <f>Q112</f>
        <v>149</v>
      </c>
      <c r="R118" s="74">
        <f>R112</f>
        <v>169</v>
      </c>
      <c r="S118" s="76">
        <f>SUM(O118:R118)</f>
        <v>442</v>
      </c>
      <c r="T118" s="72">
        <f>T112</f>
        <v>72</v>
      </c>
      <c r="U118" s="73">
        <f>U112</f>
        <v>118</v>
      </c>
      <c r="V118" s="73">
        <f>V112</f>
        <v>142</v>
      </c>
      <c r="W118" s="74">
        <f>W112</f>
        <v>211</v>
      </c>
      <c r="X118" s="75">
        <f>SUM(T118:W118)</f>
        <v>543</v>
      </c>
      <c r="Y118" s="16">
        <f t="shared" ref="Y118:Y150" si="68">S118+X118</f>
        <v>985</v>
      </c>
    </row>
    <row r="119" spans="1:26" x14ac:dyDescent="0.15">
      <c r="A119" s="13" t="s">
        <v>126</v>
      </c>
      <c r="B119" s="6"/>
      <c r="C119" s="30"/>
      <c r="D119" s="7">
        <v>1</v>
      </c>
      <c r="E119" s="8"/>
      <c r="F119" s="9">
        <f>SUM(B119:E119)</f>
        <v>1</v>
      </c>
      <c r="G119" s="30"/>
      <c r="H119" s="30"/>
      <c r="I119" s="7"/>
      <c r="J119" s="8"/>
      <c r="K119" s="9">
        <f>SUM(G119:J119)</f>
        <v>0</v>
      </c>
      <c r="L119" s="11">
        <f t="shared" ref="L119:L150" si="69">F119+K119</f>
        <v>1</v>
      </c>
      <c r="M119" s="126">
        <v>44637</v>
      </c>
      <c r="N119" s="13" t="s">
        <v>5</v>
      </c>
      <c r="O119" s="26"/>
      <c r="P119" s="47"/>
      <c r="Q119" s="27"/>
      <c r="R119" s="34"/>
      <c r="S119" s="77">
        <f>SUM(O119:R119)</f>
        <v>0</v>
      </c>
      <c r="T119" s="26"/>
      <c r="U119" s="47"/>
      <c r="V119" s="27"/>
      <c r="W119" s="34"/>
      <c r="X119" s="9">
        <f>SUM(T119:W119)</f>
        <v>0</v>
      </c>
      <c r="Y119" s="11">
        <f t="shared" si="68"/>
        <v>0</v>
      </c>
    </row>
    <row r="120" spans="1:26" x14ac:dyDescent="0.15">
      <c r="A120" s="13" t="s">
        <v>6</v>
      </c>
      <c r="B120" s="6"/>
      <c r="C120" s="30">
        <v>5</v>
      </c>
      <c r="D120" s="7">
        <v>3</v>
      </c>
      <c r="E120" s="8"/>
      <c r="F120" s="9">
        <f>SUM(B120:E120)</f>
        <v>8</v>
      </c>
      <c r="G120" s="30">
        <v>3</v>
      </c>
      <c r="H120" s="30"/>
      <c r="I120" s="7"/>
      <c r="J120" s="8">
        <v>3</v>
      </c>
      <c r="K120" s="9">
        <f>SUM(G120:J120)</f>
        <v>6</v>
      </c>
      <c r="L120" s="11">
        <f t="shared" si="69"/>
        <v>14</v>
      </c>
      <c r="M120" s="99">
        <v>44644</v>
      </c>
      <c r="N120" s="13" t="s">
        <v>6</v>
      </c>
      <c r="O120" s="26"/>
      <c r="P120" s="47"/>
      <c r="Q120" s="27"/>
      <c r="R120" s="34"/>
      <c r="S120" s="77">
        <f>SUM(O120:R120)</f>
        <v>0</v>
      </c>
      <c r="T120" s="26"/>
      <c r="U120" s="47"/>
      <c r="V120" s="27"/>
      <c r="W120" s="34"/>
      <c r="X120" s="9">
        <f>SUM(T120:W120)</f>
        <v>0</v>
      </c>
      <c r="Y120" s="11">
        <f t="shared" si="68"/>
        <v>0</v>
      </c>
      <c r="Z120" s="99"/>
    </row>
    <row r="121" spans="1:26" x14ac:dyDescent="0.15">
      <c r="A121" s="13" t="s">
        <v>49</v>
      </c>
      <c r="B121" s="6"/>
      <c r="C121" s="30"/>
      <c r="D121" s="7"/>
      <c r="E121" s="8">
        <v>1</v>
      </c>
      <c r="F121" s="9">
        <f>SUM(B121:E121)</f>
        <v>1</v>
      </c>
      <c r="G121" s="30"/>
      <c r="H121" s="30"/>
      <c r="I121" s="7"/>
      <c r="J121" s="8"/>
      <c r="K121" s="9">
        <f>SUM(G121:J121)</f>
        <v>0</v>
      </c>
      <c r="L121" s="11">
        <f t="shared" si="69"/>
        <v>1</v>
      </c>
      <c r="M121" s="126">
        <v>44645</v>
      </c>
      <c r="N121" s="13" t="s">
        <v>7</v>
      </c>
      <c r="O121" s="26"/>
      <c r="P121" s="47"/>
      <c r="Q121" s="27"/>
      <c r="R121" s="34"/>
      <c r="S121" s="77">
        <f>SUM(O121:R121)</f>
        <v>0</v>
      </c>
      <c r="T121" s="47"/>
      <c r="U121" s="47"/>
      <c r="V121" s="27"/>
      <c r="W121" s="50"/>
      <c r="X121" s="9">
        <f>SUM(T121:W121)</f>
        <v>0</v>
      </c>
      <c r="Y121" s="11">
        <f t="shared" si="68"/>
        <v>0</v>
      </c>
      <c r="Z121" s="101"/>
    </row>
    <row r="122" spans="1:26" ht="14.25" thickBot="1" x14ac:dyDescent="0.2">
      <c r="A122" s="13" t="s">
        <v>8</v>
      </c>
      <c r="B122" s="6">
        <v>5</v>
      </c>
      <c r="C122" s="30"/>
      <c r="D122" s="7"/>
      <c r="E122" s="8"/>
      <c r="F122" s="10">
        <f>SUM(B122:E122)</f>
        <v>5</v>
      </c>
      <c r="G122" s="30">
        <v>3</v>
      </c>
      <c r="H122" s="30">
        <v>3</v>
      </c>
      <c r="I122" s="7">
        <v>3</v>
      </c>
      <c r="J122" s="8"/>
      <c r="K122" s="10">
        <f>SUM(G122:J122)</f>
        <v>9</v>
      </c>
      <c r="L122" s="14">
        <f t="shared" si="69"/>
        <v>14</v>
      </c>
      <c r="M122" s="99">
        <v>44653</v>
      </c>
      <c r="N122" s="13" t="s">
        <v>8</v>
      </c>
      <c r="O122" s="62"/>
      <c r="P122" s="63"/>
      <c r="Q122" s="64"/>
      <c r="R122" s="65"/>
      <c r="S122" s="78">
        <f>SUM(O122:R122)</f>
        <v>0</v>
      </c>
      <c r="T122" s="47"/>
      <c r="U122" s="47"/>
      <c r="V122" s="27"/>
      <c r="W122" s="50"/>
      <c r="X122" s="10">
        <f>SUM(T122:W122)</f>
        <v>0</v>
      </c>
      <c r="Y122" s="14">
        <f t="shared" si="68"/>
        <v>0</v>
      </c>
    </row>
    <row r="123" spans="1:26" ht="14.25" thickBot="1" x14ac:dyDescent="0.2">
      <c r="A123" s="22" t="s">
        <v>9</v>
      </c>
      <c r="B123" s="18">
        <f t="shared" ref="B123:K123" si="70">SUM(B118:B122)</f>
        <v>11</v>
      </c>
      <c r="C123" s="45">
        <f t="shared" si="70"/>
        <v>7</v>
      </c>
      <c r="D123" s="19">
        <f t="shared" si="70"/>
        <v>8</v>
      </c>
      <c r="E123" s="20">
        <f t="shared" si="70"/>
        <v>4</v>
      </c>
      <c r="F123" s="28">
        <f t="shared" si="70"/>
        <v>30</v>
      </c>
      <c r="G123" s="18">
        <f t="shared" si="70"/>
        <v>8</v>
      </c>
      <c r="H123" s="45">
        <f t="shared" si="70"/>
        <v>7</v>
      </c>
      <c r="I123" s="19">
        <f t="shared" si="70"/>
        <v>7</v>
      </c>
      <c r="J123" s="20">
        <f t="shared" si="70"/>
        <v>5</v>
      </c>
      <c r="K123" s="28">
        <f t="shared" si="70"/>
        <v>27</v>
      </c>
      <c r="L123" s="21">
        <f t="shared" si="69"/>
        <v>57</v>
      </c>
      <c r="N123" s="17" t="s">
        <v>9</v>
      </c>
      <c r="O123" s="41">
        <f t="shared" ref="O123:X123" si="71">SUM(O118:O122)</f>
        <v>58</v>
      </c>
      <c r="P123" s="49">
        <f t="shared" si="71"/>
        <v>66</v>
      </c>
      <c r="Q123" s="42">
        <f t="shared" si="71"/>
        <v>149</v>
      </c>
      <c r="R123" s="92">
        <f t="shared" si="71"/>
        <v>169</v>
      </c>
      <c r="S123" s="93">
        <f t="shared" si="71"/>
        <v>442</v>
      </c>
      <c r="T123" s="41">
        <f t="shared" si="71"/>
        <v>72</v>
      </c>
      <c r="U123" s="49">
        <f t="shared" si="71"/>
        <v>118</v>
      </c>
      <c r="V123" s="42">
        <f t="shared" si="71"/>
        <v>142</v>
      </c>
      <c r="W123" s="92">
        <f t="shared" si="71"/>
        <v>211</v>
      </c>
      <c r="X123" s="93">
        <f t="shared" si="71"/>
        <v>543</v>
      </c>
      <c r="Y123" s="56">
        <f t="shared" si="68"/>
        <v>985</v>
      </c>
    </row>
    <row r="124" spans="1:26" x14ac:dyDescent="0.15">
      <c r="A124" s="32" t="s">
        <v>130</v>
      </c>
      <c r="B124" s="24">
        <v>2</v>
      </c>
      <c r="C124" s="46">
        <v>1</v>
      </c>
      <c r="D124" s="25"/>
      <c r="E124" s="33"/>
      <c r="F124" s="35">
        <f>SUM(B124:E124)</f>
        <v>3</v>
      </c>
      <c r="G124" s="24">
        <v>1</v>
      </c>
      <c r="H124" s="46"/>
      <c r="I124" s="25"/>
      <c r="J124" s="33"/>
      <c r="K124" s="35">
        <f>SUM(G124:J124)</f>
        <v>1</v>
      </c>
      <c r="L124" s="11">
        <f t="shared" si="69"/>
        <v>4</v>
      </c>
      <c r="M124" s="99">
        <v>44645</v>
      </c>
      <c r="N124" s="90" t="s">
        <v>129</v>
      </c>
      <c r="O124" s="6"/>
      <c r="P124" s="30">
        <v>5</v>
      </c>
      <c r="Q124" s="7">
        <v>3</v>
      </c>
      <c r="R124" s="8"/>
      <c r="S124" s="9">
        <f>SUM(O124:R124)</f>
        <v>8</v>
      </c>
      <c r="T124" s="30">
        <v>3</v>
      </c>
      <c r="U124" s="30"/>
      <c r="V124" s="7"/>
      <c r="W124" s="8">
        <v>3</v>
      </c>
      <c r="X124" s="9">
        <f>SUM(T124:W124)</f>
        <v>6</v>
      </c>
      <c r="Y124" s="11">
        <f t="shared" si="68"/>
        <v>14</v>
      </c>
      <c r="Z124" s="99">
        <v>44644</v>
      </c>
    </row>
    <row r="125" spans="1:26" x14ac:dyDescent="0.15">
      <c r="A125" s="32" t="s">
        <v>131</v>
      </c>
      <c r="B125" s="26">
        <v>1</v>
      </c>
      <c r="C125" s="47"/>
      <c r="D125" s="27"/>
      <c r="E125" s="34"/>
      <c r="F125" s="35">
        <f>SUM(B125:E125)</f>
        <v>1</v>
      </c>
      <c r="G125" s="26"/>
      <c r="H125" s="47"/>
      <c r="I125" s="27"/>
      <c r="J125" s="34"/>
      <c r="K125" s="35">
        <f>SUM(G125:J125)</f>
        <v>0</v>
      </c>
      <c r="L125" s="11">
        <f t="shared" si="69"/>
        <v>1</v>
      </c>
      <c r="M125" s="99">
        <v>44648</v>
      </c>
      <c r="N125" s="32" t="s">
        <v>132</v>
      </c>
      <c r="O125" s="26">
        <v>7</v>
      </c>
      <c r="P125" s="47"/>
      <c r="Q125" s="27"/>
      <c r="R125" s="34">
        <v>4</v>
      </c>
      <c r="S125" s="35">
        <f t="shared" ref="S125:S126" si="72">SUM(O125:R125)</f>
        <v>11</v>
      </c>
      <c r="T125" s="26">
        <v>1</v>
      </c>
      <c r="U125" s="47"/>
      <c r="V125" s="27"/>
      <c r="W125" s="34"/>
      <c r="X125" s="35">
        <f t="shared" ref="X125:X126" si="73">SUM(T125:W125)</f>
        <v>1</v>
      </c>
      <c r="Y125" s="11">
        <f t="shared" si="68"/>
        <v>12</v>
      </c>
      <c r="Z125" s="97">
        <v>44648</v>
      </c>
    </row>
    <row r="126" spans="1:26" x14ac:dyDescent="0.15">
      <c r="A126" s="13" t="s">
        <v>136</v>
      </c>
      <c r="B126" s="26"/>
      <c r="C126" s="47"/>
      <c r="D126" s="27"/>
      <c r="E126" s="34"/>
      <c r="F126" s="35">
        <f t="shared" ref="F126:F148" si="74">SUM(B126:E126)</f>
        <v>0</v>
      </c>
      <c r="G126" s="26"/>
      <c r="H126" s="47"/>
      <c r="I126" s="27">
        <v>1</v>
      </c>
      <c r="J126" s="34"/>
      <c r="K126" s="35">
        <f t="shared" ref="K126:K148" si="75">SUM(G126:J126)</f>
        <v>1</v>
      </c>
      <c r="L126" s="11">
        <f t="shared" si="69"/>
        <v>1</v>
      </c>
      <c r="M126" s="126">
        <v>44649</v>
      </c>
      <c r="N126" s="32" t="s">
        <v>133</v>
      </c>
      <c r="O126" s="26">
        <v>4</v>
      </c>
      <c r="P126" s="47">
        <v>4</v>
      </c>
      <c r="Q126" s="27">
        <v>2</v>
      </c>
      <c r="R126" s="34">
        <v>1</v>
      </c>
      <c r="S126" s="35">
        <f t="shared" si="72"/>
        <v>11</v>
      </c>
      <c r="T126" s="26">
        <v>1</v>
      </c>
      <c r="U126" s="47">
        <v>1</v>
      </c>
      <c r="V126" s="27">
        <v>1</v>
      </c>
      <c r="W126" s="34">
        <v>5</v>
      </c>
      <c r="X126" s="35">
        <f t="shared" si="73"/>
        <v>8</v>
      </c>
      <c r="Y126" s="11">
        <f t="shared" si="68"/>
        <v>19</v>
      </c>
      <c r="Z126" s="99">
        <v>44649</v>
      </c>
    </row>
    <row r="127" spans="1:26" x14ac:dyDescent="0.15">
      <c r="A127" s="13" t="s">
        <v>41</v>
      </c>
      <c r="B127" s="66"/>
      <c r="C127" s="67">
        <v>1</v>
      </c>
      <c r="D127" s="68">
        <v>1</v>
      </c>
      <c r="E127" s="69"/>
      <c r="F127" s="70">
        <f t="shared" si="74"/>
        <v>2</v>
      </c>
      <c r="G127" s="66"/>
      <c r="H127" s="67">
        <v>1</v>
      </c>
      <c r="I127" s="68"/>
      <c r="J127" s="69"/>
      <c r="K127" s="70">
        <f t="shared" si="75"/>
        <v>1</v>
      </c>
      <c r="L127" s="11">
        <f t="shared" si="69"/>
        <v>3</v>
      </c>
      <c r="M127" s="126">
        <v>44650</v>
      </c>
      <c r="N127" s="32" t="s">
        <v>134</v>
      </c>
      <c r="O127" s="66">
        <v>4</v>
      </c>
      <c r="P127" s="67"/>
      <c r="Q127" s="68">
        <v>3</v>
      </c>
      <c r="R127" s="94"/>
      <c r="S127" s="91">
        <f>SUM(O127:R127)</f>
        <v>7</v>
      </c>
      <c r="T127" s="67"/>
      <c r="U127" s="67"/>
      <c r="V127" s="68"/>
      <c r="W127" s="94"/>
      <c r="X127" s="91">
        <f>SUM(T127:W127)</f>
        <v>0</v>
      </c>
      <c r="Y127" s="11">
        <f t="shared" si="68"/>
        <v>7</v>
      </c>
      <c r="Z127" s="97">
        <v>44650</v>
      </c>
    </row>
    <row r="128" spans="1:26" x14ac:dyDescent="0.15">
      <c r="A128" s="32" t="s">
        <v>138</v>
      </c>
      <c r="B128" s="26">
        <v>2</v>
      </c>
      <c r="C128" s="47"/>
      <c r="D128" s="27"/>
      <c r="E128" s="34">
        <v>1</v>
      </c>
      <c r="F128" s="35">
        <f t="shared" si="74"/>
        <v>3</v>
      </c>
      <c r="G128" s="26">
        <v>1</v>
      </c>
      <c r="H128" s="47"/>
      <c r="I128" s="27">
        <v>1</v>
      </c>
      <c r="J128" s="34"/>
      <c r="K128" s="35">
        <f t="shared" si="75"/>
        <v>2</v>
      </c>
      <c r="L128" s="11">
        <f t="shared" si="69"/>
        <v>5</v>
      </c>
      <c r="M128" s="99">
        <v>44652</v>
      </c>
      <c r="N128" s="12" t="s">
        <v>135</v>
      </c>
      <c r="O128" s="26"/>
      <c r="P128" s="47"/>
      <c r="Q128" s="27"/>
      <c r="R128" s="34"/>
      <c r="S128" s="35">
        <f t="shared" ref="S128:S130" si="76">SUM(O128:R128)</f>
        <v>0</v>
      </c>
      <c r="T128" s="26"/>
      <c r="U128" s="47">
        <v>10</v>
      </c>
      <c r="V128" s="27">
        <v>10</v>
      </c>
      <c r="W128" s="34">
        <v>10</v>
      </c>
      <c r="X128" s="35">
        <f t="shared" ref="X128:X130" si="77">SUM(T128:W128)</f>
        <v>30</v>
      </c>
      <c r="Y128" s="11">
        <f t="shared" si="68"/>
        <v>30</v>
      </c>
      <c r="Z128" s="97">
        <v>44653</v>
      </c>
    </row>
    <row r="129" spans="1:27" x14ac:dyDescent="0.15">
      <c r="A129" s="13" t="s">
        <v>41</v>
      </c>
      <c r="B129" s="26"/>
      <c r="C129" s="47">
        <v>1</v>
      </c>
      <c r="D129" s="27"/>
      <c r="E129" s="34"/>
      <c r="F129" s="35">
        <f t="shared" si="74"/>
        <v>1</v>
      </c>
      <c r="G129" s="26"/>
      <c r="H129" s="47"/>
      <c r="I129" s="27"/>
      <c r="J129" s="34"/>
      <c r="K129" s="35">
        <f t="shared" si="75"/>
        <v>0</v>
      </c>
      <c r="L129" s="11">
        <f t="shared" si="69"/>
        <v>1</v>
      </c>
      <c r="M129" s="99">
        <v>44652</v>
      </c>
      <c r="N129" s="32" t="s">
        <v>137</v>
      </c>
      <c r="O129" s="26"/>
      <c r="P129" s="47"/>
      <c r="Q129" s="27">
        <v>3</v>
      </c>
      <c r="R129" s="34">
        <v>1</v>
      </c>
      <c r="S129" s="35">
        <f t="shared" si="76"/>
        <v>4</v>
      </c>
      <c r="T129" s="26">
        <v>3</v>
      </c>
      <c r="U129" s="47"/>
      <c r="V129" s="27"/>
      <c r="W129" s="34"/>
      <c r="X129" s="35">
        <f t="shared" si="77"/>
        <v>3</v>
      </c>
      <c r="Y129" s="11">
        <f t="shared" si="68"/>
        <v>7</v>
      </c>
      <c r="Z129" s="99">
        <v>44651</v>
      </c>
    </row>
    <row r="130" spans="1:27" x14ac:dyDescent="0.15">
      <c r="A130" s="79" t="s">
        <v>141</v>
      </c>
      <c r="B130" s="26">
        <v>1</v>
      </c>
      <c r="C130" s="47"/>
      <c r="D130" s="27"/>
      <c r="E130" s="34"/>
      <c r="F130" s="35">
        <f t="shared" si="74"/>
        <v>1</v>
      </c>
      <c r="G130" s="26"/>
      <c r="H130" s="47">
        <v>1</v>
      </c>
      <c r="I130" s="27"/>
      <c r="J130" s="34"/>
      <c r="K130" s="35">
        <f t="shared" si="75"/>
        <v>1</v>
      </c>
      <c r="L130" s="11">
        <f t="shared" si="69"/>
        <v>2</v>
      </c>
      <c r="M130" s="126">
        <v>44653</v>
      </c>
      <c r="N130" s="32" t="s">
        <v>139</v>
      </c>
      <c r="O130" s="26"/>
      <c r="P130" s="47"/>
      <c r="Q130" s="27">
        <v>1</v>
      </c>
      <c r="R130" s="34">
        <v>2</v>
      </c>
      <c r="S130" s="35">
        <f t="shared" si="76"/>
        <v>3</v>
      </c>
      <c r="T130" s="26">
        <v>1</v>
      </c>
      <c r="U130" s="47"/>
      <c r="V130" s="27">
        <v>2</v>
      </c>
      <c r="W130" s="34"/>
      <c r="X130" s="35">
        <f t="shared" si="77"/>
        <v>3</v>
      </c>
      <c r="Y130" s="11">
        <f t="shared" si="68"/>
        <v>6</v>
      </c>
      <c r="Z130" s="97">
        <v>44655</v>
      </c>
    </row>
    <row r="131" spans="1:27" x14ac:dyDescent="0.15">
      <c r="A131" s="13" t="s">
        <v>41</v>
      </c>
      <c r="B131" s="26"/>
      <c r="C131" s="47">
        <v>2</v>
      </c>
      <c r="D131" s="27"/>
      <c r="E131" s="34"/>
      <c r="F131" s="35">
        <f t="shared" si="74"/>
        <v>2</v>
      </c>
      <c r="G131" s="26"/>
      <c r="H131" s="47"/>
      <c r="I131" s="27"/>
      <c r="J131" s="34"/>
      <c r="K131" s="35">
        <f t="shared" si="75"/>
        <v>0</v>
      </c>
      <c r="L131" s="11">
        <f t="shared" si="69"/>
        <v>2</v>
      </c>
      <c r="M131" s="126">
        <v>44653</v>
      </c>
      <c r="N131" s="12" t="s">
        <v>140</v>
      </c>
      <c r="O131" s="26">
        <v>5</v>
      </c>
      <c r="P131" s="47"/>
      <c r="Q131" s="27"/>
      <c r="R131" s="50"/>
      <c r="S131" s="9">
        <f>SUM(O131:R131)</f>
        <v>5</v>
      </c>
      <c r="T131" s="47">
        <v>3</v>
      </c>
      <c r="U131" s="47">
        <v>3</v>
      </c>
      <c r="V131" s="27">
        <v>3</v>
      </c>
      <c r="W131" s="50"/>
      <c r="X131" s="9">
        <f>SUM(T131:W131)</f>
        <v>9</v>
      </c>
      <c r="Y131" s="11">
        <f t="shared" si="68"/>
        <v>14</v>
      </c>
      <c r="Z131" s="97">
        <v>44653</v>
      </c>
    </row>
    <row r="132" spans="1:27" x14ac:dyDescent="0.15">
      <c r="A132" s="13" t="s">
        <v>41</v>
      </c>
      <c r="B132" s="26"/>
      <c r="C132" s="47"/>
      <c r="D132" s="27">
        <v>1</v>
      </c>
      <c r="E132" s="34"/>
      <c r="F132" s="35">
        <f t="shared" si="74"/>
        <v>1</v>
      </c>
      <c r="G132" s="26"/>
      <c r="H132" s="47"/>
      <c r="I132" s="27"/>
      <c r="J132" s="34"/>
      <c r="K132" s="35">
        <f t="shared" si="75"/>
        <v>0</v>
      </c>
      <c r="L132" s="11">
        <f t="shared" si="69"/>
        <v>1</v>
      </c>
      <c r="M132" s="126">
        <v>44657</v>
      </c>
      <c r="N132" s="32" t="s">
        <v>142</v>
      </c>
      <c r="O132" s="26">
        <v>3</v>
      </c>
      <c r="P132" s="47">
        <v>7</v>
      </c>
      <c r="Q132" s="27">
        <v>4</v>
      </c>
      <c r="R132" s="34">
        <v>4</v>
      </c>
      <c r="S132" s="35">
        <f t="shared" ref="S132:S149" si="78">SUM(O132:R132)</f>
        <v>18</v>
      </c>
      <c r="T132" s="26"/>
      <c r="U132" s="47"/>
      <c r="V132" s="27">
        <v>1</v>
      </c>
      <c r="W132" s="34">
        <v>1</v>
      </c>
      <c r="X132" s="35">
        <f t="shared" ref="X132:X149" si="79">SUM(T132:W132)</f>
        <v>2</v>
      </c>
      <c r="Y132" s="11">
        <f t="shared" si="68"/>
        <v>20</v>
      </c>
      <c r="Z132" s="99">
        <v>44656</v>
      </c>
    </row>
    <row r="133" spans="1:27" x14ac:dyDescent="0.15">
      <c r="A133" s="32" t="s">
        <v>149</v>
      </c>
      <c r="B133" s="26">
        <v>1</v>
      </c>
      <c r="C133" s="47">
        <v>2</v>
      </c>
      <c r="D133" s="27"/>
      <c r="E133" s="34">
        <v>1</v>
      </c>
      <c r="F133" s="35">
        <f t="shared" si="74"/>
        <v>4</v>
      </c>
      <c r="G133" s="26"/>
      <c r="H133" s="47"/>
      <c r="I133" s="27"/>
      <c r="J133" s="34"/>
      <c r="K133" s="35">
        <f t="shared" si="75"/>
        <v>0</v>
      </c>
      <c r="L133" s="11">
        <f t="shared" si="69"/>
        <v>4</v>
      </c>
      <c r="M133" s="99">
        <v>44659</v>
      </c>
      <c r="N133" s="32" t="s">
        <v>144</v>
      </c>
      <c r="O133" s="26">
        <v>2</v>
      </c>
      <c r="P133" s="47">
        <v>3</v>
      </c>
      <c r="Q133" s="27">
        <v>4</v>
      </c>
      <c r="R133" s="34"/>
      <c r="S133" s="35">
        <f t="shared" si="78"/>
        <v>9</v>
      </c>
      <c r="T133" s="26">
        <v>2</v>
      </c>
      <c r="U133" s="47"/>
      <c r="V133" s="27"/>
      <c r="W133" s="34"/>
      <c r="X133" s="35">
        <f t="shared" si="79"/>
        <v>2</v>
      </c>
      <c r="Y133" s="11">
        <f t="shared" si="68"/>
        <v>11</v>
      </c>
      <c r="Z133" s="99">
        <v>44657</v>
      </c>
      <c r="AA133" s="58"/>
    </row>
    <row r="134" spans="1:27" x14ac:dyDescent="0.15">
      <c r="A134" s="13" t="s">
        <v>41</v>
      </c>
      <c r="B134" s="26">
        <v>1</v>
      </c>
      <c r="C134" s="47"/>
      <c r="D134" s="27"/>
      <c r="E134" s="34"/>
      <c r="F134" s="35">
        <f t="shared" si="74"/>
        <v>1</v>
      </c>
      <c r="G134" s="26"/>
      <c r="H134" s="47"/>
      <c r="I134" s="27">
        <v>1</v>
      </c>
      <c r="J134" s="34"/>
      <c r="K134" s="35">
        <f t="shared" si="75"/>
        <v>1</v>
      </c>
      <c r="L134" s="11">
        <f t="shared" si="69"/>
        <v>2</v>
      </c>
      <c r="M134" s="126">
        <v>44658</v>
      </c>
      <c r="N134" s="12" t="s">
        <v>145</v>
      </c>
      <c r="O134" s="26"/>
      <c r="P134" s="47"/>
      <c r="Q134" s="27">
        <v>10</v>
      </c>
      <c r="R134" s="34"/>
      <c r="S134" s="35">
        <f t="shared" si="78"/>
        <v>10</v>
      </c>
      <c r="T134" s="26">
        <v>5</v>
      </c>
      <c r="U134" s="47">
        <v>10</v>
      </c>
      <c r="V134" s="27"/>
      <c r="W134" s="34"/>
      <c r="X134" s="35">
        <f t="shared" si="79"/>
        <v>15</v>
      </c>
      <c r="Y134" s="11">
        <f t="shared" si="68"/>
        <v>25</v>
      </c>
      <c r="Z134" s="99">
        <v>44659</v>
      </c>
    </row>
    <row r="135" spans="1:27" x14ac:dyDescent="0.15">
      <c r="A135" s="32"/>
      <c r="B135" s="26"/>
      <c r="C135" s="47"/>
      <c r="D135" s="27"/>
      <c r="E135" s="34"/>
      <c r="F135" s="35">
        <f t="shared" si="74"/>
        <v>0</v>
      </c>
      <c r="G135" s="26"/>
      <c r="H135" s="47"/>
      <c r="I135" s="27"/>
      <c r="J135" s="34"/>
      <c r="K135" s="35">
        <f t="shared" si="75"/>
        <v>0</v>
      </c>
      <c r="L135" s="11">
        <f t="shared" si="69"/>
        <v>0</v>
      </c>
      <c r="M135" s="99"/>
      <c r="N135" s="32" t="s">
        <v>146</v>
      </c>
      <c r="O135" s="26"/>
      <c r="P135" s="47">
        <v>4</v>
      </c>
      <c r="Q135" s="27"/>
      <c r="R135" s="34">
        <v>1</v>
      </c>
      <c r="S135" s="35">
        <f t="shared" si="78"/>
        <v>5</v>
      </c>
      <c r="T135" s="26"/>
      <c r="U135" s="47"/>
      <c r="V135" s="27"/>
      <c r="W135" s="34">
        <v>1</v>
      </c>
      <c r="X135" s="35">
        <f t="shared" si="79"/>
        <v>1</v>
      </c>
      <c r="Y135" s="11">
        <f t="shared" si="68"/>
        <v>6</v>
      </c>
      <c r="Z135" s="99">
        <v>44658</v>
      </c>
    </row>
    <row r="136" spans="1:27" x14ac:dyDescent="0.15">
      <c r="A136" s="15"/>
      <c r="B136" s="26"/>
      <c r="C136" s="47"/>
      <c r="D136" s="27"/>
      <c r="E136" s="34"/>
      <c r="F136" s="35">
        <f t="shared" si="74"/>
        <v>0</v>
      </c>
      <c r="G136" s="26"/>
      <c r="H136" s="47"/>
      <c r="I136" s="27"/>
      <c r="J136" s="34"/>
      <c r="K136" s="35">
        <f t="shared" si="75"/>
        <v>0</v>
      </c>
      <c r="L136" s="11">
        <f t="shared" si="69"/>
        <v>0</v>
      </c>
      <c r="M136" s="101"/>
      <c r="N136" s="12"/>
      <c r="O136" s="26"/>
      <c r="P136" s="47"/>
      <c r="Q136" s="27"/>
      <c r="R136" s="34"/>
      <c r="S136" s="35">
        <f t="shared" si="78"/>
        <v>0</v>
      </c>
      <c r="T136" s="26"/>
      <c r="U136" s="47"/>
      <c r="V136" s="27"/>
      <c r="W136" s="34"/>
      <c r="X136" s="35">
        <f t="shared" si="79"/>
        <v>0</v>
      </c>
      <c r="Y136" s="11">
        <f t="shared" si="68"/>
        <v>0</v>
      </c>
      <c r="Z136" s="99"/>
    </row>
    <row r="137" spans="1:27" x14ac:dyDescent="0.15">
      <c r="A137" s="13"/>
      <c r="B137" s="26"/>
      <c r="C137" s="47"/>
      <c r="D137" s="27"/>
      <c r="E137" s="34"/>
      <c r="F137" s="35">
        <f t="shared" si="74"/>
        <v>0</v>
      </c>
      <c r="G137" s="26"/>
      <c r="H137" s="47"/>
      <c r="I137" s="27"/>
      <c r="J137" s="34"/>
      <c r="K137" s="35">
        <f t="shared" si="75"/>
        <v>0</v>
      </c>
      <c r="L137" s="11">
        <f t="shared" si="69"/>
        <v>0</v>
      </c>
      <c r="N137" s="15"/>
      <c r="O137" s="26"/>
      <c r="P137" s="47"/>
      <c r="Q137" s="27"/>
      <c r="R137" s="34"/>
      <c r="S137" s="35">
        <f t="shared" si="78"/>
        <v>0</v>
      </c>
      <c r="T137" s="26"/>
      <c r="U137" s="47"/>
      <c r="V137" s="27"/>
      <c r="W137" s="34"/>
      <c r="X137" s="35">
        <f t="shared" si="79"/>
        <v>0</v>
      </c>
      <c r="Y137" s="11">
        <f t="shared" si="68"/>
        <v>0</v>
      </c>
      <c r="Z137" s="99"/>
    </row>
    <row r="138" spans="1:27" x14ac:dyDescent="0.15">
      <c r="A138" s="15"/>
      <c r="B138" s="26"/>
      <c r="C138" s="47"/>
      <c r="D138" s="27"/>
      <c r="E138" s="34"/>
      <c r="F138" s="35">
        <f t="shared" si="74"/>
        <v>0</v>
      </c>
      <c r="G138" s="26"/>
      <c r="H138" s="47"/>
      <c r="I138" s="27"/>
      <c r="J138" s="34"/>
      <c r="K138" s="35">
        <f t="shared" si="75"/>
        <v>0</v>
      </c>
      <c r="L138" s="11">
        <f t="shared" si="69"/>
        <v>0</v>
      </c>
      <c r="N138" s="57"/>
      <c r="O138" s="26"/>
      <c r="P138" s="47"/>
      <c r="Q138" s="27"/>
      <c r="R138" s="34"/>
      <c r="S138" s="35">
        <f t="shared" si="78"/>
        <v>0</v>
      </c>
      <c r="T138" s="26"/>
      <c r="U138" s="47"/>
      <c r="V138" s="27"/>
      <c r="W138" s="34"/>
      <c r="X138" s="35">
        <f t="shared" si="79"/>
        <v>0</v>
      </c>
      <c r="Y138" s="11">
        <f t="shared" si="68"/>
        <v>0</v>
      </c>
      <c r="Z138" s="99"/>
    </row>
    <row r="139" spans="1:27" x14ac:dyDescent="0.15">
      <c r="A139" s="13"/>
      <c r="B139" s="26"/>
      <c r="C139" s="47"/>
      <c r="D139" s="27"/>
      <c r="E139" s="34"/>
      <c r="F139" s="35">
        <f t="shared" si="74"/>
        <v>0</v>
      </c>
      <c r="G139" s="26"/>
      <c r="H139" s="47"/>
      <c r="I139" s="27"/>
      <c r="J139" s="34"/>
      <c r="K139" s="35">
        <f t="shared" si="75"/>
        <v>0</v>
      </c>
      <c r="L139" s="11">
        <f t="shared" si="69"/>
        <v>0</v>
      </c>
      <c r="N139" s="15"/>
      <c r="O139" s="26"/>
      <c r="P139" s="47"/>
      <c r="Q139" s="27"/>
      <c r="R139" s="34"/>
      <c r="S139" s="35">
        <f t="shared" si="78"/>
        <v>0</v>
      </c>
      <c r="T139" s="26"/>
      <c r="U139" s="47"/>
      <c r="V139" s="27"/>
      <c r="W139" s="34"/>
      <c r="X139" s="35">
        <f t="shared" si="79"/>
        <v>0</v>
      </c>
      <c r="Y139" s="11">
        <f t="shared" si="68"/>
        <v>0</v>
      </c>
      <c r="Z139" s="99"/>
    </row>
    <row r="140" spans="1:27" x14ac:dyDescent="0.15">
      <c r="A140" s="15"/>
      <c r="B140" s="26"/>
      <c r="C140" s="47"/>
      <c r="D140" s="27"/>
      <c r="E140" s="34"/>
      <c r="F140" s="35">
        <f t="shared" si="74"/>
        <v>0</v>
      </c>
      <c r="G140" s="26"/>
      <c r="H140" s="47"/>
      <c r="I140" s="27"/>
      <c r="J140" s="34"/>
      <c r="K140" s="35">
        <f t="shared" si="75"/>
        <v>0</v>
      </c>
      <c r="L140" s="11">
        <f t="shared" si="69"/>
        <v>0</v>
      </c>
      <c r="N140" s="57"/>
      <c r="O140" s="26"/>
      <c r="P140" s="47"/>
      <c r="Q140" s="27"/>
      <c r="R140" s="34"/>
      <c r="S140" s="35">
        <f t="shared" si="78"/>
        <v>0</v>
      </c>
      <c r="T140" s="26"/>
      <c r="U140" s="47"/>
      <c r="V140" s="27"/>
      <c r="W140" s="34"/>
      <c r="X140" s="35">
        <f t="shared" si="79"/>
        <v>0</v>
      </c>
      <c r="Y140" s="11">
        <f t="shared" si="68"/>
        <v>0</v>
      </c>
      <c r="Z140" s="99"/>
    </row>
    <row r="141" spans="1:27" x14ac:dyDescent="0.15">
      <c r="A141" s="15"/>
      <c r="B141" s="26"/>
      <c r="C141" s="47"/>
      <c r="D141" s="27"/>
      <c r="E141" s="34"/>
      <c r="F141" s="35">
        <f t="shared" si="74"/>
        <v>0</v>
      </c>
      <c r="G141" s="26"/>
      <c r="H141" s="47"/>
      <c r="I141" s="27"/>
      <c r="J141" s="34"/>
      <c r="K141" s="35">
        <f t="shared" si="75"/>
        <v>0</v>
      </c>
      <c r="L141" s="11">
        <f t="shared" si="69"/>
        <v>0</v>
      </c>
      <c r="N141" s="57"/>
      <c r="O141" s="26"/>
      <c r="P141" s="47"/>
      <c r="Q141" s="27"/>
      <c r="R141" s="34"/>
      <c r="S141" s="35">
        <f t="shared" si="78"/>
        <v>0</v>
      </c>
      <c r="T141" s="26"/>
      <c r="U141" s="47"/>
      <c r="V141" s="27"/>
      <c r="W141" s="34"/>
      <c r="X141" s="35">
        <f t="shared" si="79"/>
        <v>0</v>
      </c>
      <c r="Y141" s="11">
        <f t="shared" si="68"/>
        <v>0</v>
      </c>
      <c r="Z141" s="99"/>
    </row>
    <row r="142" spans="1:27" x14ac:dyDescent="0.15">
      <c r="A142" s="13"/>
      <c r="B142" s="26"/>
      <c r="C142" s="47"/>
      <c r="D142" s="27"/>
      <c r="E142" s="34"/>
      <c r="F142" s="35">
        <f t="shared" si="74"/>
        <v>0</v>
      </c>
      <c r="G142" s="26"/>
      <c r="H142" s="47"/>
      <c r="I142" s="27"/>
      <c r="J142" s="34"/>
      <c r="K142" s="35">
        <f t="shared" si="75"/>
        <v>0</v>
      </c>
      <c r="L142" s="11">
        <f t="shared" si="69"/>
        <v>0</v>
      </c>
      <c r="N142" s="15"/>
      <c r="O142" s="26"/>
      <c r="P142" s="47"/>
      <c r="Q142" s="27"/>
      <c r="R142" s="34"/>
      <c r="S142" s="35">
        <f t="shared" si="78"/>
        <v>0</v>
      </c>
      <c r="T142" s="26"/>
      <c r="U142" s="47"/>
      <c r="V142" s="27"/>
      <c r="W142" s="34"/>
      <c r="X142" s="35">
        <f t="shared" si="79"/>
        <v>0</v>
      </c>
      <c r="Y142" s="11">
        <f t="shared" si="68"/>
        <v>0</v>
      </c>
      <c r="Z142" s="99"/>
    </row>
    <row r="143" spans="1:27" x14ac:dyDescent="0.15">
      <c r="A143" s="32"/>
      <c r="B143" s="26"/>
      <c r="C143" s="47"/>
      <c r="D143" s="27"/>
      <c r="E143" s="34"/>
      <c r="F143" s="35">
        <f t="shared" si="74"/>
        <v>0</v>
      </c>
      <c r="G143" s="26"/>
      <c r="H143" s="47"/>
      <c r="I143" s="27"/>
      <c r="J143" s="34"/>
      <c r="K143" s="35">
        <f t="shared" si="75"/>
        <v>0</v>
      </c>
      <c r="L143" s="11">
        <f t="shared" si="69"/>
        <v>0</v>
      </c>
      <c r="N143" s="12"/>
      <c r="O143" s="26"/>
      <c r="P143" s="47"/>
      <c r="Q143" s="27"/>
      <c r="R143" s="34"/>
      <c r="S143" s="35">
        <f t="shared" si="78"/>
        <v>0</v>
      </c>
      <c r="T143" s="26"/>
      <c r="U143" s="47"/>
      <c r="V143" s="27"/>
      <c r="W143" s="34"/>
      <c r="X143" s="35">
        <f t="shared" si="79"/>
        <v>0</v>
      </c>
      <c r="Y143" s="11">
        <f t="shared" si="68"/>
        <v>0</v>
      </c>
      <c r="Z143" s="101"/>
    </row>
    <row r="144" spans="1:27" x14ac:dyDescent="0.15">
      <c r="A144" s="32"/>
      <c r="B144" s="26"/>
      <c r="C144" s="47"/>
      <c r="D144" s="27"/>
      <c r="E144" s="34"/>
      <c r="F144" s="35">
        <f t="shared" si="74"/>
        <v>0</v>
      </c>
      <c r="G144" s="26"/>
      <c r="H144" s="47"/>
      <c r="I144" s="27"/>
      <c r="J144" s="34"/>
      <c r="K144" s="35">
        <f t="shared" si="75"/>
        <v>0</v>
      </c>
      <c r="L144" s="11">
        <f t="shared" si="69"/>
        <v>0</v>
      </c>
      <c r="N144" s="57"/>
      <c r="O144" s="26"/>
      <c r="P144" s="47"/>
      <c r="Q144" s="27"/>
      <c r="R144" s="34"/>
      <c r="S144" s="35">
        <f t="shared" si="78"/>
        <v>0</v>
      </c>
      <c r="T144" s="26"/>
      <c r="U144" s="47"/>
      <c r="V144" s="27"/>
      <c r="W144" s="34"/>
      <c r="X144" s="35">
        <f t="shared" si="79"/>
        <v>0</v>
      </c>
      <c r="Y144" s="11">
        <f t="shared" si="68"/>
        <v>0</v>
      </c>
      <c r="Z144" s="99"/>
    </row>
    <row r="145" spans="1:37" x14ac:dyDescent="0.15">
      <c r="A145" s="12"/>
      <c r="B145" s="26"/>
      <c r="C145" s="47"/>
      <c r="D145" s="27"/>
      <c r="E145" s="34"/>
      <c r="F145" s="35">
        <f t="shared" si="74"/>
        <v>0</v>
      </c>
      <c r="G145" s="26"/>
      <c r="H145" s="47"/>
      <c r="I145" s="27"/>
      <c r="J145" s="34"/>
      <c r="K145" s="35">
        <f t="shared" si="75"/>
        <v>0</v>
      </c>
      <c r="L145" s="11">
        <f t="shared" si="69"/>
        <v>0</v>
      </c>
      <c r="N145" s="57"/>
      <c r="O145" s="66"/>
      <c r="P145" s="67"/>
      <c r="Q145" s="68"/>
      <c r="R145" s="69"/>
      <c r="S145" s="70">
        <f t="shared" si="78"/>
        <v>0</v>
      </c>
      <c r="T145" s="66"/>
      <c r="U145" s="67"/>
      <c r="V145" s="68"/>
      <c r="W145" s="69"/>
      <c r="X145" s="70">
        <f t="shared" si="79"/>
        <v>0</v>
      </c>
      <c r="Y145" s="11">
        <f t="shared" si="68"/>
        <v>0</v>
      </c>
      <c r="Z145" s="99"/>
      <c r="AA145" s="127"/>
      <c r="AB145" s="60"/>
      <c r="AC145" s="60"/>
      <c r="AD145" s="60"/>
      <c r="AE145" s="29"/>
      <c r="AF145" s="60"/>
      <c r="AG145" s="60"/>
      <c r="AH145" s="60"/>
      <c r="AI145" s="60"/>
      <c r="AJ145" s="29"/>
      <c r="AK145" s="29"/>
    </row>
    <row r="146" spans="1:37" x14ac:dyDescent="0.15">
      <c r="A146" s="79"/>
      <c r="B146" s="26"/>
      <c r="C146" s="47"/>
      <c r="D146" s="27"/>
      <c r="E146" s="34"/>
      <c r="F146" s="35">
        <f t="shared" si="74"/>
        <v>0</v>
      </c>
      <c r="G146" s="26"/>
      <c r="H146" s="47"/>
      <c r="I146" s="27"/>
      <c r="J146" s="34"/>
      <c r="K146" s="35">
        <f t="shared" si="75"/>
        <v>0</v>
      </c>
      <c r="L146" s="11">
        <f t="shared" si="69"/>
        <v>0</v>
      </c>
      <c r="N146" s="57"/>
      <c r="O146" s="66"/>
      <c r="P146" s="67"/>
      <c r="Q146" s="68"/>
      <c r="R146" s="69"/>
      <c r="S146" s="70">
        <f t="shared" ref="S146:S148" si="80">SUM(O146:R146)</f>
        <v>0</v>
      </c>
      <c r="T146" s="66"/>
      <c r="U146" s="67"/>
      <c r="V146" s="68"/>
      <c r="W146" s="69"/>
      <c r="X146" s="70">
        <f t="shared" ref="X146" si="81">SUM(T146:W146)</f>
        <v>0</v>
      </c>
      <c r="Y146" s="11">
        <f t="shared" ref="Y146" si="82">S146+X146</f>
        <v>0</v>
      </c>
      <c r="Z146" s="99"/>
      <c r="AA146" s="60"/>
      <c r="AB146" s="60"/>
      <c r="AC146" s="60"/>
      <c r="AD146" s="60"/>
      <c r="AE146" s="29"/>
      <c r="AF146" s="60"/>
      <c r="AG146" s="60"/>
      <c r="AH146" s="60"/>
      <c r="AI146" s="60"/>
      <c r="AJ146" s="29"/>
      <c r="AK146" s="29"/>
    </row>
    <row r="147" spans="1:37" x14ac:dyDescent="0.15">
      <c r="A147" s="57"/>
      <c r="B147" s="26"/>
      <c r="C147" s="47"/>
      <c r="D147" s="27"/>
      <c r="E147" s="34"/>
      <c r="F147" s="35">
        <f t="shared" si="74"/>
        <v>0</v>
      </c>
      <c r="G147" s="26"/>
      <c r="H147" s="47"/>
      <c r="I147" s="27"/>
      <c r="J147" s="34"/>
      <c r="K147" s="35">
        <f t="shared" si="75"/>
        <v>0</v>
      </c>
      <c r="L147" s="11">
        <f t="shared" si="69"/>
        <v>0</v>
      </c>
      <c r="N147" s="57" t="s">
        <v>91</v>
      </c>
      <c r="O147" s="66"/>
      <c r="P147" s="67"/>
      <c r="Q147" s="68"/>
      <c r="R147" s="69"/>
      <c r="S147" s="70">
        <f t="shared" ref="S147" si="83">SUM(O147:R147)</f>
        <v>0</v>
      </c>
      <c r="T147" s="66"/>
      <c r="U147" s="67"/>
      <c r="V147" s="68"/>
      <c r="W147" s="69"/>
      <c r="X147" s="70">
        <f t="shared" ref="X147" si="84">SUM(T147:W147)</f>
        <v>0</v>
      </c>
      <c r="Y147" s="11">
        <f t="shared" ref="Y147" si="85">S147+X147</f>
        <v>0</v>
      </c>
      <c r="Z147" s="99" t="s">
        <v>92</v>
      </c>
      <c r="AA147" s="60"/>
      <c r="AB147" s="60"/>
      <c r="AC147" s="60"/>
      <c r="AD147" s="60"/>
      <c r="AE147" s="29"/>
      <c r="AF147" s="60"/>
      <c r="AG147" s="60"/>
      <c r="AH147" s="60"/>
      <c r="AI147" s="60"/>
      <c r="AJ147" s="29"/>
      <c r="AK147" s="29"/>
    </row>
    <row r="148" spans="1:37" ht="14.25" thickBot="1" x14ac:dyDescent="0.2">
      <c r="A148" s="90"/>
      <c r="B148" s="62"/>
      <c r="C148" s="63"/>
      <c r="D148" s="64"/>
      <c r="E148" s="65"/>
      <c r="F148" s="35">
        <f t="shared" si="74"/>
        <v>0</v>
      </c>
      <c r="G148" s="62"/>
      <c r="H148" s="63"/>
      <c r="I148" s="64"/>
      <c r="J148" s="65"/>
      <c r="K148" s="35">
        <f t="shared" si="75"/>
        <v>0</v>
      </c>
      <c r="L148" s="14">
        <f t="shared" si="69"/>
        <v>0</v>
      </c>
      <c r="N148" s="12" t="s">
        <v>25</v>
      </c>
      <c r="O148" s="109"/>
      <c r="P148" s="110"/>
      <c r="Q148" s="111"/>
      <c r="R148" s="112"/>
      <c r="S148" s="134">
        <f t="shared" si="80"/>
        <v>0</v>
      </c>
      <c r="T148" s="109"/>
      <c r="U148" s="110"/>
      <c r="V148" s="111"/>
      <c r="W148" s="112"/>
      <c r="X148" s="134">
        <f>SUM(T148:W148)</f>
        <v>0</v>
      </c>
      <c r="Y148" s="119">
        <f>S148+X148</f>
        <v>0</v>
      </c>
      <c r="Z148" s="101" t="s">
        <v>26</v>
      </c>
      <c r="AA148" s="60"/>
      <c r="AB148" s="60"/>
      <c r="AC148" s="60"/>
      <c r="AD148" s="60"/>
      <c r="AE148" s="29"/>
      <c r="AF148" s="60"/>
      <c r="AG148" s="60"/>
      <c r="AH148" s="60"/>
      <c r="AI148" s="60"/>
      <c r="AJ148" s="29"/>
      <c r="AK148" s="29"/>
    </row>
    <row r="149" spans="1:37" ht="14.25" thickBot="1" x14ac:dyDescent="0.2">
      <c r="A149" s="17" t="s">
        <v>10</v>
      </c>
      <c r="B149" s="38">
        <f>SUM(B124:B148)</f>
        <v>8</v>
      </c>
      <c r="C149" s="48">
        <f>SUM(C124:C148)</f>
        <v>7</v>
      </c>
      <c r="D149" s="39">
        <f>SUM(D124:D148)</f>
        <v>2</v>
      </c>
      <c r="E149" s="40">
        <f>SUM(E124:E148)</f>
        <v>2</v>
      </c>
      <c r="F149" s="36">
        <f>SUM(B149:E149)</f>
        <v>19</v>
      </c>
      <c r="G149" s="38">
        <f>SUM(G124:G148)</f>
        <v>2</v>
      </c>
      <c r="H149" s="48">
        <f>SUM(H124:H148)</f>
        <v>2</v>
      </c>
      <c r="I149" s="39">
        <f>SUM(I124:I148)</f>
        <v>3</v>
      </c>
      <c r="J149" s="40">
        <f>SUM(J124:J148)</f>
        <v>0</v>
      </c>
      <c r="K149" s="36">
        <f>SUM(G149:J149)</f>
        <v>7</v>
      </c>
      <c r="L149" s="37">
        <f t="shared" si="69"/>
        <v>26</v>
      </c>
      <c r="N149" s="17" t="s">
        <v>10</v>
      </c>
      <c r="O149" s="38">
        <f>SUM(O124:O148)</f>
        <v>25</v>
      </c>
      <c r="P149" s="48">
        <f>SUM(P124:P148)</f>
        <v>23</v>
      </c>
      <c r="Q149" s="39">
        <f>SUM(Q124:Q148)</f>
        <v>30</v>
      </c>
      <c r="R149" s="40">
        <f>SUM(R124:R148)</f>
        <v>13</v>
      </c>
      <c r="S149" s="118">
        <f t="shared" si="78"/>
        <v>91</v>
      </c>
      <c r="T149" s="38">
        <f>SUM(T124:T148)</f>
        <v>19</v>
      </c>
      <c r="U149" s="48">
        <f>SUM(U124:U148)</f>
        <v>24</v>
      </c>
      <c r="V149" s="39">
        <f>SUM(V124:V148)</f>
        <v>17</v>
      </c>
      <c r="W149" s="40">
        <f>SUM(W124:W148)</f>
        <v>20</v>
      </c>
      <c r="X149" s="118">
        <f t="shared" si="79"/>
        <v>80</v>
      </c>
      <c r="Y149" s="119">
        <f t="shared" si="68"/>
        <v>171</v>
      </c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 spans="1:37" ht="14.25" thickBot="1" x14ac:dyDescent="0.2">
      <c r="A150" s="22" t="s">
        <v>11</v>
      </c>
      <c r="B150" s="41">
        <f t="shared" ref="B150:K150" si="86">B123-B149</f>
        <v>3</v>
      </c>
      <c r="C150" s="49">
        <f t="shared" si="86"/>
        <v>0</v>
      </c>
      <c r="D150" s="42">
        <f t="shared" si="86"/>
        <v>6</v>
      </c>
      <c r="E150" s="43">
        <f t="shared" si="86"/>
        <v>2</v>
      </c>
      <c r="F150" s="61">
        <f t="shared" si="86"/>
        <v>11</v>
      </c>
      <c r="G150" s="41">
        <f t="shared" si="86"/>
        <v>6</v>
      </c>
      <c r="H150" s="49">
        <f t="shared" si="86"/>
        <v>5</v>
      </c>
      <c r="I150" s="42">
        <f t="shared" si="86"/>
        <v>4</v>
      </c>
      <c r="J150" s="43">
        <f t="shared" si="86"/>
        <v>5</v>
      </c>
      <c r="K150" s="61">
        <f t="shared" si="86"/>
        <v>20</v>
      </c>
      <c r="L150" s="21">
        <f t="shared" si="69"/>
        <v>31</v>
      </c>
      <c r="N150" s="17" t="s">
        <v>11</v>
      </c>
      <c r="O150" s="41">
        <f t="shared" ref="O150:X150" si="87">O123-O149</f>
        <v>33</v>
      </c>
      <c r="P150" s="49">
        <f t="shared" si="87"/>
        <v>43</v>
      </c>
      <c r="Q150" s="42">
        <f t="shared" si="87"/>
        <v>119</v>
      </c>
      <c r="R150" s="43">
        <f t="shared" si="87"/>
        <v>156</v>
      </c>
      <c r="S150" s="61">
        <f t="shared" si="87"/>
        <v>351</v>
      </c>
      <c r="T150" s="41">
        <f t="shared" si="87"/>
        <v>53</v>
      </c>
      <c r="U150" s="49">
        <f t="shared" si="87"/>
        <v>94</v>
      </c>
      <c r="V150" s="42">
        <f t="shared" si="87"/>
        <v>125</v>
      </c>
      <c r="W150" s="43">
        <f t="shared" si="87"/>
        <v>191</v>
      </c>
      <c r="X150" s="61">
        <f t="shared" si="87"/>
        <v>463</v>
      </c>
      <c r="Y150" s="21">
        <f t="shared" si="68"/>
        <v>814</v>
      </c>
    </row>
    <row r="153" spans="1:37" ht="19.5" thickBot="1" x14ac:dyDescent="0.25">
      <c r="A153" s="2" t="s">
        <v>106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105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37" ht="14.25" thickBot="1" x14ac:dyDescent="0.2">
      <c r="A154" s="5" t="s">
        <v>0</v>
      </c>
      <c r="B154" s="342" t="s">
        <v>18</v>
      </c>
      <c r="C154" s="350"/>
      <c r="D154" s="350"/>
      <c r="E154" s="350"/>
      <c r="F154" s="351"/>
      <c r="G154" s="345" t="s">
        <v>12</v>
      </c>
      <c r="H154" s="352"/>
      <c r="I154" s="352"/>
      <c r="J154" s="352"/>
      <c r="K154" s="353"/>
      <c r="L154" s="354" t="s">
        <v>1</v>
      </c>
      <c r="N154" s="5" t="s">
        <v>0</v>
      </c>
      <c r="O154" s="342" t="s">
        <v>18</v>
      </c>
      <c r="P154" s="350"/>
      <c r="Q154" s="350"/>
      <c r="R154" s="350"/>
      <c r="S154" s="351"/>
      <c r="T154" s="345" t="s">
        <v>12</v>
      </c>
      <c r="U154" s="352"/>
      <c r="V154" s="352"/>
      <c r="W154" s="352"/>
      <c r="X154" s="353"/>
      <c r="Y154" s="354" t="s">
        <v>1</v>
      </c>
    </row>
    <row r="155" spans="1:37" ht="14.25" thickBot="1" x14ac:dyDescent="0.2">
      <c r="A155" s="5" t="s">
        <v>2</v>
      </c>
      <c r="B155" s="3" t="s">
        <v>13</v>
      </c>
      <c r="C155" s="44" t="s">
        <v>14</v>
      </c>
      <c r="D155" s="4" t="s">
        <v>15</v>
      </c>
      <c r="E155" s="23" t="s">
        <v>16</v>
      </c>
      <c r="F155" s="31" t="s">
        <v>3</v>
      </c>
      <c r="G155" s="3" t="s">
        <v>13</v>
      </c>
      <c r="H155" s="44" t="s">
        <v>14</v>
      </c>
      <c r="I155" s="4" t="s">
        <v>15</v>
      </c>
      <c r="J155" s="23" t="s">
        <v>16</v>
      </c>
      <c r="K155" s="31" t="s">
        <v>3</v>
      </c>
      <c r="L155" s="355"/>
      <c r="N155" s="5" t="s">
        <v>2</v>
      </c>
      <c r="O155" s="3" t="s">
        <v>13</v>
      </c>
      <c r="P155" s="44" t="s">
        <v>14</v>
      </c>
      <c r="Q155" s="4" t="s">
        <v>15</v>
      </c>
      <c r="R155" s="23" t="s">
        <v>16</v>
      </c>
      <c r="S155" s="31" t="s">
        <v>3</v>
      </c>
      <c r="T155" s="3" t="s">
        <v>13</v>
      </c>
      <c r="U155" s="44" t="s">
        <v>14</v>
      </c>
      <c r="V155" s="4" t="s">
        <v>15</v>
      </c>
      <c r="W155" s="23" t="s">
        <v>16</v>
      </c>
      <c r="X155" s="31" t="s">
        <v>3</v>
      </c>
      <c r="Y155" s="355"/>
    </row>
    <row r="156" spans="1:37" x14ac:dyDescent="0.15">
      <c r="A156" s="71" t="s">
        <v>17</v>
      </c>
      <c r="B156" s="72">
        <f>B150</f>
        <v>3</v>
      </c>
      <c r="C156" s="73">
        <f>C150</f>
        <v>0</v>
      </c>
      <c r="D156" s="73">
        <f>D150</f>
        <v>6</v>
      </c>
      <c r="E156" s="74">
        <f>E150</f>
        <v>2</v>
      </c>
      <c r="F156" s="76">
        <f>SUM(B156:E156)</f>
        <v>11</v>
      </c>
      <c r="G156" s="72">
        <f>G150</f>
        <v>6</v>
      </c>
      <c r="H156" s="73">
        <f>H150</f>
        <v>5</v>
      </c>
      <c r="I156" s="73">
        <f>I150</f>
        <v>4</v>
      </c>
      <c r="J156" s="74">
        <f>J150</f>
        <v>5</v>
      </c>
      <c r="K156" s="75">
        <f>SUM(G156:J156)</f>
        <v>20</v>
      </c>
      <c r="L156" s="16">
        <f>F156+K156</f>
        <v>31</v>
      </c>
      <c r="N156" s="71" t="s">
        <v>17</v>
      </c>
      <c r="O156" s="72">
        <f>O150</f>
        <v>33</v>
      </c>
      <c r="P156" s="73">
        <f>P150</f>
        <v>43</v>
      </c>
      <c r="Q156" s="73">
        <f>Q150</f>
        <v>119</v>
      </c>
      <c r="R156" s="74">
        <f>R150</f>
        <v>156</v>
      </c>
      <c r="S156" s="76">
        <f>SUM(O156:R156)</f>
        <v>351</v>
      </c>
      <c r="T156" s="72">
        <f>T150</f>
        <v>53</v>
      </c>
      <c r="U156" s="73">
        <f>U150</f>
        <v>94</v>
      </c>
      <c r="V156" s="73">
        <f>V150</f>
        <v>125</v>
      </c>
      <c r="W156" s="74">
        <f>W150</f>
        <v>191</v>
      </c>
      <c r="X156" s="75">
        <f>SUM(T156:W156)</f>
        <v>463</v>
      </c>
      <c r="Y156" s="16">
        <f t="shared" ref="Y156:Y177" si="88">S156+X156</f>
        <v>814</v>
      </c>
    </row>
    <row r="157" spans="1:37" x14ac:dyDescent="0.15">
      <c r="A157" s="13" t="s">
        <v>5</v>
      </c>
      <c r="B157" s="6"/>
      <c r="C157" s="30">
        <v>3</v>
      </c>
      <c r="D157" s="7"/>
      <c r="E157" s="8"/>
      <c r="F157" s="9">
        <f>SUM(B157:E157)</f>
        <v>3</v>
      </c>
      <c r="G157" s="30"/>
      <c r="H157" s="30"/>
      <c r="I157" s="7"/>
      <c r="J157" s="8"/>
      <c r="K157" s="9">
        <f>SUM(G157:J157)</f>
        <v>0</v>
      </c>
      <c r="L157" s="11">
        <f t="shared" ref="L157" si="89">F157+K157</f>
        <v>3</v>
      </c>
      <c r="M157" s="99">
        <v>44655</v>
      </c>
      <c r="N157" s="13" t="s">
        <v>5</v>
      </c>
      <c r="O157" s="26"/>
      <c r="P157" s="47"/>
      <c r="Q157" s="27"/>
      <c r="R157" s="34"/>
      <c r="S157" s="77">
        <f>SUM(O157:R157)</f>
        <v>0</v>
      </c>
      <c r="T157" s="26"/>
      <c r="U157" s="47"/>
      <c r="V157" s="27"/>
      <c r="W157" s="34"/>
      <c r="X157" s="9">
        <f>SUM(T157:W157)</f>
        <v>0</v>
      </c>
      <c r="Y157" s="11">
        <f t="shared" si="88"/>
        <v>0</v>
      </c>
    </row>
    <row r="158" spans="1:37" x14ac:dyDescent="0.15">
      <c r="A158" s="13" t="s">
        <v>49</v>
      </c>
      <c r="B158" s="6">
        <v>8</v>
      </c>
      <c r="C158" s="30">
        <v>15</v>
      </c>
      <c r="D158" s="7">
        <v>2</v>
      </c>
      <c r="E158" s="8">
        <v>7</v>
      </c>
      <c r="F158" s="9">
        <f>SUM(B158:E158)</f>
        <v>32</v>
      </c>
      <c r="G158" s="30">
        <v>4</v>
      </c>
      <c r="H158" s="30">
        <v>5</v>
      </c>
      <c r="I158" s="7">
        <v>8</v>
      </c>
      <c r="J158" s="8">
        <v>3</v>
      </c>
      <c r="K158" s="9">
        <f>SUM(G158:J158)</f>
        <v>20</v>
      </c>
      <c r="L158" s="11">
        <f t="shared" ref="L158:L188" si="90">F158+K158</f>
        <v>52</v>
      </c>
      <c r="M158" s="99">
        <v>44664</v>
      </c>
      <c r="N158" s="13" t="s">
        <v>153</v>
      </c>
      <c r="O158" s="26">
        <v>12</v>
      </c>
      <c r="P158" s="47">
        <v>27</v>
      </c>
      <c r="Q158" s="27">
        <v>15</v>
      </c>
      <c r="R158" s="34">
        <v>4</v>
      </c>
      <c r="S158" s="77">
        <f>SUM(O158:R158)</f>
        <v>58</v>
      </c>
      <c r="T158" s="26">
        <v>7</v>
      </c>
      <c r="U158" s="47">
        <v>3</v>
      </c>
      <c r="V158" s="27">
        <v>15</v>
      </c>
      <c r="W158" s="34">
        <v>2</v>
      </c>
      <c r="X158" s="9">
        <f>SUM(T158:W158)</f>
        <v>27</v>
      </c>
      <c r="Y158" s="11">
        <f t="shared" si="88"/>
        <v>85</v>
      </c>
      <c r="Z158" s="99">
        <v>44683</v>
      </c>
      <c r="AA158" s="58"/>
    </row>
    <row r="159" spans="1:37" x14ac:dyDescent="0.15">
      <c r="A159" s="13" t="s">
        <v>7</v>
      </c>
      <c r="B159" s="6">
        <v>3</v>
      </c>
      <c r="C159" s="30">
        <v>5</v>
      </c>
      <c r="D159" s="7"/>
      <c r="E159" s="8"/>
      <c r="F159" s="9">
        <f>SUM(B159:E159)</f>
        <v>8</v>
      </c>
      <c r="G159" s="30"/>
      <c r="H159" s="30">
        <v>3</v>
      </c>
      <c r="I159" s="7"/>
      <c r="J159" s="8"/>
      <c r="K159" s="9">
        <f>SUM(G159:J159)</f>
        <v>3</v>
      </c>
      <c r="L159" s="11">
        <f t="shared" si="90"/>
        <v>11</v>
      </c>
      <c r="M159" s="99">
        <v>44665</v>
      </c>
      <c r="N159" s="13" t="s">
        <v>7</v>
      </c>
      <c r="O159" s="26"/>
      <c r="P159" s="47"/>
      <c r="Q159" s="27"/>
      <c r="R159" s="34"/>
      <c r="S159" s="77">
        <f>SUM(O159:R159)</f>
        <v>0</v>
      </c>
      <c r="T159" s="47"/>
      <c r="U159" s="47"/>
      <c r="V159" s="27"/>
      <c r="W159" s="50"/>
      <c r="X159" s="9">
        <f>SUM(T159:W159)</f>
        <v>0</v>
      </c>
      <c r="Y159" s="11">
        <f t="shared" si="88"/>
        <v>0</v>
      </c>
      <c r="Z159" s="101"/>
    </row>
    <row r="160" spans="1:37" ht="14.25" thickBot="1" x14ac:dyDescent="0.2">
      <c r="A160" s="13" t="s">
        <v>166</v>
      </c>
      <c r="B160" s="6"/>
      <c r="C160" s="30">
        <v>1</v>
      </c>
      <c r="D160" s="7">
        <v>2</v>
      </c>
      <c r="E160" s="8">
        <v>1</v>
      </c>
      <c r="F160" s="10"/>
      <c r="G160" s="30"/>
      <c r="H160" s="30"/>
      <c r="I160" s="7"/>
      <c r="J160" s="8">
        <v>1</v>
      </c>
      <c r="K160" s="10">
        <f>SUM(G160:J160)</f>
        <v>1</v>
      </c>
      <c r="L160" s="14">
        <f t="shared" si="90"/>
        <v>1</v>
      </c>
      <c r="M160" s="99">
        <v>44671</v>
      </c>
      <c r="N160" s="13" t="s">
        <v>8</v>
      </c>
      <c r="O160" s="62"/>
      <c r="P160" s="63"/>
      <c r="Q160" s="64"/>
      <c r="R160" s="65"/>
      <c r="S160" s="78">
        <f>SUM(O160:R160)</f>
        <v>0</v>
      </c>
      <c r="T160" s="47"/>
      <c r="U160" s="47"/>
      <c r="V160" s="27"/>
      <c r="W160" s="50"/>
      <c r="X160" s="10">
        <f>SUM(T160:W160)</f>
        <v>0</v>
      </c>
      <c r="Y160" s="14">
        <f t="shared" si="88"/>
        <v>0</v>
      </c>
      <c r="Z160" s="99">
        <v>44700</v>
      </c>
    </row>
    <row r="161" spans="1:27" ht="14.25" thickBot="1" x14ac:dyDescent="0.2">
      <c r="A161" s="22" t="s">
        <v>9</v>
      </c>
      <c r="B161" s="128">
        <f t="shared" ref="B161:K161" si="91">SUM(B156:B160)</f>
        <v>14</v>
      </c>
      <c r="C161" s="129">
        <f t="shared" si="91"/>
        <v>24</v>
      </c>
      <c r="D161" s="130">
        <f t="shared" si="91"/>
        <v>10</v>
      </c>
      <c r="E161" s="131">
        <f t="shared" si="91"/>
        <v>10</v>
      </c>
      <c r="F161" s="132">
        <f t="shared" si="91"/>
        <v>54</v>
      </c>
      <c r="G161" s="128">
        <f t="shared" si="91"/>
        <v>10</v>
      </c>
      <c r="H161" s="129">
        <f t="shared" si="91"/>
        <v>13</v>
      </c>
      <c r="I161" s="130">
        <f t="shared" si="91"/>
        <v>12</v>
      </c>
      <c r="J161" s="131">
        <f t="shared" si="91"/>
        <v>9</v>
      </c>
      <c r="K161" s="132">
        <f t="shared" si="91"/>
        <v>44</v>
      </c>
      <c r="L161" s="21">
        <f t="shared" si="90"/>
        <v>98</v>
      </c>
      <c r="N161" s="17" t="s">
        <v>9</v>
      </c>
      <c r="O161" s="41">
        <f t="shared" ref="O161:X161" si="92">SUM(O156:O160)</f>
        <v>45</v>
      </c>
      <c r="P161" s="49">
        <f t="shared" si="92"/>
        <v>70</v>
      </c>
      <c r="Q161" s="42">
        <f t="shared" si="92"/>
        <v>134</v>
      </c>
      <c r="R161" s="92">
        <f t="shared" si="92"/>
        <v>160</v>
      </c>
      <c r="S161" s="93">
        <f t="shared" si="92"/>
        <v>409</v>
      </c>
      <c r="T161" s="41">
        <f t="shared" si="92"/>
        <v>60</v>
      </c>
      <c r="U161" s="49">
        <f t="shared" si="92"/>
        <v>97</v>
      </c>
      <c r="V161" s="42">
        <f t="shared" si="92"/>
        <v>140</v>
      </c>
      <c r="W161" s="92">
        <f t="shared" si="92"/>
        <v>193</v>
      </c>
      <c r="X161" s="93">
        <f t="shared" si="92"/>
        <v>490</v>
      </c>
      <c r="Y161" s="56">
        <f t="shared" si="88"/>
        <v>899</v>
      </c>
    </row>
    <row r="162" spans="1:27" x14ac:dyDescent="0.15">
      <c r="A162" s="79" t="s">
        <v>150</v>
      </c>
      <c r="B162" s="66"/>
      <c r="C162" s="67">
        <v>1</v>
      </c>
      <c r="D162" s="68"/>
      <c r="E162" s="69"/>
      <c r="F162" s="70">
        <f t="shared" ref="F162" si="93">SUM(B162:E162)</f>
        <v>1</v>
      </c>
      <c r="G162" s="66"/>
      <c r="H162" s="67"/>
      <c r="I162" s="68"/>
      <c r="J162" s="69"/>
      <c r="K162" s="70">
        <f t="shared" ref="K162" si="94">SUM(G162:J162)</f>
        <v>0</v>
      </c>
      <c r="L162" s="11">
        <f t="shared" si="90"/>
        <v>1</v>
      </c>
      <c r="M162" s="99">
        <v>44662</v>
      </c>
      <c r="N162" s="90" t="s">
        <v>143</v>
      </c>
      <c r="O162" s="26"/>
      <c r="P162" s="47">
        <v>3</v>
      </c>
      <c r="Q162" s="27"/>
      <c r="R162" s="50"/>
      <c r="S162" s="9">
        <f>SUM(O162:R162)</f>
        <v>3</v>
      </c>
      <c r="T162" s="30"/>
      <c r="U162" s="30"/>
      <c r="V162" s="7"/>
      <c r="W162" s="8"/>
      <c r="X162" s="9">
        <f>SUM(T162:W162)</f>
        <v>0</v>
      </c>
      <c r="Y162" s="11">
        <f t="shared" si="88"/>
        <v>3</v>
      </c>
      <c r="Z162" s="99">
        <v>44656</v>
      </c>
      <c r="AA162" s="58"/>
    </row>
    <row r="163" spans="1:27" x14ac:dyDescent="0.15">
      <c r="A163" s="13" t="s">
        <v>41</v>
      </c>
      <c r="B163" s="26">
        <v>1</v>
      </c>
      <c r="C163" s="47"/>
      <c r="D163" s="27"/>
      <c r="E163" s="34"/>
      <c r="F163" s="35">
        <f>SUM(B163:E163)</f>
        <v>1</v>
      </c>
      <c r="G163" s="26"/>
      <c r="H163" s="47"/>
      <c r="I163" s="27"/>
      <c r="J163" s="34"/>
      <c r="K163" s="35">
        <f>SUM(G163:J163)</f>
        <v>0</v>
      </c>
      <c r="L163" s="11">
        <f t="shared" si="90"/>
        <v>1</v>
      </c>
      <c r="M163" s="99">
        <v>44662</v>
      </c>
      <c r="N163" s="32" t="s">
        <v>151</v>
      </c>
      <c r="O163" s="26">
        <v>3</v>
      </c>
      <c r="P163" s="47">
        <v>3</v>
      </c>
      <c r="Q163" s="27">
        <v>4</v>
      </c>
      <c r="R163" s="34">
        <v>1</v>
      </c>
      <c r="S163" s="35">
        <f t="shared" ref="S163:S164" si="95">SUM(O163:R163)</f>
        <v>11</v>
      </c>
      <c r="T163" s="26"/>
      <c r="U163" s="47"/>
      <c r="V163" s="27">
        <v>1</v>
      </c>
      <c r="W163" s="34"/>
      <c r="X163" s="35">
        <f t="shared" ref="X163:X164" si="96">SUM(T163:W163)</f>
        <v>1</v>
      </c>
      <c r="Y163" s="11">
        <f t="shared" si="88"/>
        <v>12</v>
      </c>
      <c r="Z163" s="97">
        <v>44663</v>
      </c>
    </row>
    <row r="164" spans="1:27" x14ac:dyDescent="0.15">
      <c r="A164" s="13" t="s">
        <v>41</v>
      </c>
      <c r="B164" s="26"/>
      <c r="C164" s="47">
        <v>1</v>
      </c>
      <c r="D164" s="27"/>
      <c r="E164" s="34"/>
      <c r="F164" s="35">
        <f t="shared" ref="F164:F186" si="97">SUM(B164:E164)</f>
        <v>1</v>
      </c>
      <c r="G164" s="26"/>
      <c r="H164" s="47"/>
      <c r="I164" s="27"/>
      <c r="J164" s="34"/>
      <c r="K164" s="35">
        <f t="shared" ref="K164:K186" si="98">SUM(G164:J164)</f>
        <v>0</v>
      </c>
      <c r="L164" s="11">
        <f t="shared" si="90"/>
        <v>1</v>
      </c>
      <c r="M164" s="99">
        <v>44663</v>
      </c>
      <c r="N164" s="32" t="s">
        <v>152</v>
      </c>
      <c r="O164" s="26">
        <v>1</v>
      </c>
      <c r="P164" s="47">
        <v>3</v>
      </c>
      <c r="Q164" s="27"/>
      <c r="R164" s="34"/>
      <c r="S164" s="35">
        <f t="shared" si="95"/>
        <v>4</v>
      </c>
      <c r="T164" s="26"/>
      <c r="U164" s="47"/>
      <c r="V164" s="27"/>
      <c r="W164" s="34"/>
      <c r="X164" s="35">
        <f t="shared" si="96"/>
        <v>0</v>
      </c>
      <c r="Y164" s="11">
        <f t="shared" si="88"/>
        <v>4</v>
      </c>
      <c r="Z164" s="99">
        <v>44664</v>
      </c>
    </row>
    <row r="165" spans="1:27" x14ac:dyDescent="0.15">
      <c r="A165" s="79" t="s">
        <v>154</v>
      </c>
      <c r="B165" s="66">
        <v>1</v>
      </c>
      <c r="C165" s="67">
        <v>1</v>
      </c>
      <c r="D165" s="68"/>
      <c r="E165" s="69"/>
      <c r="F165" s="70">
        <f t="shared" si="97"/>
        <v>2</v>
      </c>
      <c r="G165" s="66">
        <v>1</v>
      </c>
      <c r="H165" s="67">
        <v>2</v>
      </c>
      <c r="I165" s="68"/>
      <c r="J165" s="69"/>
      <c r="K165" s="70">
        <f t="shared" si="98"/>
        <v>3</v>
      </c>
      <c r="L165" s="11">
        <f t="shared" si="90"/>
        <v>5</v>
      </c>
      <c r="M165" s="99">
        <v>44665</v>
      </c>
      <c r="N165" s="12" t="s">
        <v>155</v>
      </c>
      <c r="O165" s="66"/>
      <c r="P165" s="67">
        <v>5</v>
      </c>
      <c r="Q165" s="68">
        <v>10</v>
      </c>
      <c r="R165" s="94"/>
      <c r="S165" s="91">
        <f>SUM(O165:R165)</f>
        <v>15</v>
      </c>
      <c r="T165" s="67">
        <v>5</v>
      </c>
      <c r="U165" s="67"/>
      <c r="V165" s="68">
        <v>10</v>
      </c>
      <c r="W165" s="94"/>
      <c r="X165" s="91">
        <f>SUM(T165:W165)</f>
        <v>15</v>
      </c>
      <c r="Y165" s="11">
        <f t="shared" si="88"/>
        <v>30</v>
      </c>
      <c r="Z165" s="97">
        <v>44666</v>
      </c>
    </row>
    <row r="166" spans="1:27" x14ac:dyDescent="0.15">
      <c r="A166" s="13" t="s">
        <v>41</v>
      </c>
      <c r="B166" s="26"/>
      <c r="C166" s="47">
        <v>1</v>
      </c>
      <c r="D166" s="27"/>
      <c r="E166" s="34"/>
      <c r="F166" s="35">
        <f t="shared" si="97"/>
        <v>1</v>
      </c>
      <c r="G166" s="26"/>
      <c r="H166" s="47"/>
      <c r="I166" s="27"/>
      <c r="J166" s="34"/>
      <c r="K166" s="35">
        <f t="shared" si="98"/>
        <v>0</v>
      </c>
      <c r="L166" s="11">
        <f t="shared" si="90"/>
        <v>1</v>
      </c>
      <c r="M166" s="99">
        <v>44664</v>
      </c>
      <c r="N166" s="12" t="s">
        <v>156</v>
      </c>
      <c r="O166" s="26">
        <v>3</v>
      </c>
      <c r="P166" s="47">
        <v>5</v>
      </c>
      <c r="Q166" s="27"/>
      <c r="R166" s="34"/>
      <c r="S166" s="35">
        <f t="shared" ref="S166:S168" si="99">SUM(O166:R166)</f>
        <v>8</v>
      </c>
      <c r="T166" s="26"/>
      <c r="U166" s="47">
        <v>3</v>
      </c>
      <c r="V166" s="27"/>
      <c r="W166" s="34"/>
      <c r="X166" s="35">
        <f t="shared" ref="X166:X168" si="100">SUM(T166:W166)</f>
        <v>3</v>
      </c>
      <c r="Y166" s="11">
        <f t="shared" si="88"/>
        <v>11</v>
      </c>
      <c r="Z166" s="97">
        <v>44665</v>
      </c>
    </row>
    <row r="167" spans="1:27" x14ac:dyDescent="0.15">
      <c r="A167" s="90" t="s">
        <v>159</v>
      </c>
      <c r="B167" s="26"/>
      <c r="C167" s="47">
        <v>5</v>
      </c>
      <c r="D167" s="27"/>
      <c r="E167" s="34"/>
      <c r="F167" s="35">
        <f t="shared" si="97"/>
        <v>5</v>
      </c>
      <c r="G167" s="26"/>
      <c r="H167" s="47"/>
      <c r="I167" s="27"/>
      <c r="J167" s="34"/>
      <c r="K167" s="35">
        <f t="shared" si="98"/>
        <v>0</v>
      </c>
      <c r="L167" s="11">
        <f t="shared" si="90"/>
        <v>5</v>
      </c>
      <c r="M167" s="99">
        <v>44669</v>
      </c>
      <c r="N167" s="32" t="s">
        <v>157</v>
      </c>
      <c r="O167" s="26">
        <v>1</v>
      </c>
      <c r="P167" s="47">
        <v>4</v>
      </c>
      <c r="Q167" s="27">
        <v>1</v>
      </c>
      <c r="R167" s="34">
        <v>3</v>
      </c>
      <c r="S167" s="35">
        <f t="shared" si="99"/>
        <v>9</v>
      </c>
      <c r="T167" s="26"/>
      <c r="U167" s="47"/>
      <c r="V167" s="27">
        <v>3</v>
      </c>
      <c r="W167" s="34"/>
      <c r="X167" s="35">
        <f t="shared" si="100"/>
        <v>3</v>
      </c>
      <c r="Y167" s="11">
        <f t="shared" si="88"/>
        <v>12</v>
      </c>
      <c r="Z167" s="99">
        <v>44666</v>
      </c>
    </row>
    <row r="168" spans="1:27" x14ac:dyDescent="0.15">
      <c r="A168" s="13" t="s">
        <v>41</v>
      </c>
      <c r="B168" s="26"/>
      <c r="C168" s="47">
        <v>2</v>
      </c>
      <c r="D168" s="27"/>
      <c r="E168" s="34"/>
      <c r="F168" s="35">
        <f t="shared" si="97"/>
        <v>2</v>
      </c>
      <c r="G168" s="26"/>
      <c r="H168" s="47"/>
      <c r="I168" s="27"/>
      <c r="J168" s="34"/>
      <c r="K168" s="35">
        <f t="shared" si="98"/>
        <v>0</v>
      </c>
      <c r="L168" s="11">
        <f t="shared" si="90"/>
        <v>2</v>
      </c>
      <c r="M168" s="126">
        <v>44665</v>
      </c>
      <c r="N168" s="90" t="s">
        <v>169</v>
      </c>
      <c r="O168" s="26"/>
      <c r="P168" s="47"/>
      <c r="Q168" s="27"/>
      <c r="R168" s="34"/>
      <c r="S168" s="35">
        <f t="shared" si="99"/>
        <v>0</v>
      </c>
      <c r="T168" s="26"/>
      <c r="U168" s="47">
        <v>5</v>
      </c>
      <c r="V168" s="27"/>
      <c r="W168" s="34">
        <v>8</v>
      </c>
      <c r="X168" s="35">
        <f t="shared" si="100"/>
        <v>13</v>
      </c>
      <c r="Y168" s="11">
        <f t="shared" si="88"/>
        <v>13</v>
      </c>
      <c r="Z168" s="97">
        <v>44676</v>
      </c>
      <c r="AA168" s="58"/>
    </row>
    <row r="169" spans="1:27" x14ac:dyDescent="0.15">
      <c r="A169" s="79" t="s">
        <v>158</v>
      </c>
      <c r="B169" s="26">
        <v>2</v>
      </c>
      <c r="C169" s="47"/>
      <c r="D169" s="27"/>
      <c r="E169" s="34"/>
      <c r="F169" s="35">
        <f t="shared" si="97"/>
        <v>2</v>
      </c>
      <c r="G169" s="26"/>
      <c r="H169" s="47">
        <v>1</v>
      </c>
      <c r="I169" s="27"/>
      <c r="J169" s="34">
        <v>1</v>
      </c>
      <c r="K169" s="35">
        <f t="shared" si="98"/>
        <v>2</v>
      </c>
      <c r="L169" s="11">
        <f t="shared" si="90"/>
        <v>4</v>
      </c>
      <c r="M169" s="99">
        <v>44669</v>
      </c>
      <c r="N169" s="12" t="s">
        <v>165</v>
      </c>
      <c r="O169" s="26">
        <v>5</v>
      </c>
      <c r="P169" s="47"/>
      <c r="Q169" s="27"/>
      <c r="R169" s="50"/>
      <c r="S169" s="9">
        <f>SUM(O169:R169)</f>
        <v>5</v>
      </c>
      <c r="T169" s="47">
        <v>10</v>
      </c>
      <c r="U169" s="47"/>
      <c r="V169" s="27"/>
      <c r="W169" s="50"/>
      <c r="X169" s="9">
        <f>SUM(T169:W169)</f>
        <v>10</v>
      </c>
      <c r="Y169" s="11">
        <f t="shared" si="88"/>
        <v>15</v>
      </c>
      <c r="Z169" s="97">
        <v>44673</v>
      </c>
      <c r="AA169" s="58"/>
    </row>
    <row r="170" spans="1:27" x14ac:dyDescent="0.15">
      <c r="A170" s="13" t="s">
        <v>41</v>
      </c>
      <c r="B170" s="26"/>
      <c r="C170" s="47"/>
      <c r="D170" s="27"/>
      <c r="E170" s="34"/>
      <c r="F170" s="35">
        <f t="shared" si="97"/>
        <v>0</v>
      </c>
      <c r="G170" s="26">
        <v>1</v>
      </c>
      <c r="H170" s="47">
        <v>1</v>
      </c>
      <c r="I170" s="27"/>
      <c r="J170" s="34">
        <v>1</v>
      </c>
      <c r="K170" s="35">
        <f t="shared" si="98"/>
        <v>3</v>
      </c>
      <c r="L170" s="11">
        <f t="shared" si="90"/>
        <v>3</v>
      </c>
      <c r="M170" s="126">
        <v>44667</v>
      </c>
      <c r="N170" s="79" t="s">
        <v>170</v>
      </c>
      <c r="O170" s="26"/>
      <c r="P170" s="47">
        <v>5</v>
      </c>
      <c r="Q170" s="27"/>
      <c r="R170" s="34"/>
      <c r="S170" s="35">
        <f t="shared" ref="S170:S187" si="101">SUM(O170:R170)</f>
        <v>5</v>
      </c>
      <c r="T170" s="26"/>
      <c r="U170" s="47">
        <v>1</v>
      </c>
      <c r="V170" s="27"/>
      <c r="W170" s="34">
        <v>1</v>
      </c>
      <c r="X170" s="35">
        <f t="shared" ref="X170:X177" si="102">SUM(T170:W170)</f>
        <v>2</v>
      </c>
      <c r="Y170" s="11">
        <f t="shared" si="88"/>
        <v>7</v>
      </c>
      <c r="Z170" s="99">
        <v>44677</v>
      </c>
      <c r="AA170" s="58"/>
    </row>
    <row r="171" spans="1:27" x14ac:dyDescent="0.15">
      <c r="A171" s="79" t="s">
        <v>160</v>
      </c>
      <c r="B171" s="26"/>
      <c r="C171" s="47">
        <v>2</v>
      </c>
      <c r="D171" s="27"/>
      <c r="E171" s="34"/>
      <c r="F171" s="35">
        <f t="shared" si="97"/>
        <v>2</v>
      </c>
      <c r="G171" s="26"/>
      <c r="H171" s="47"/>
      <c r="I171" s="27"/>
      <c r="J171" s="34"/>
      <c r="K171" s="35">
        <f t="shared" si="98"/>
        <v>0</v>
      </c>
      <c r="L171" s="11">
        <f t="shared" si="90"/>
        <v>2</v>
      </c>
      <c r="M171" s="99">
        <v>44669</v>
      </c>
      <c r="N171" s="79" t="s">
        <v>173</v>
      </c>
      <c r="O171" s="26"/>
      <c r="P171" s="47"/>
      <c r="Q171" s="27">
        <v>3</v>
      </c>
      <c r="R171" s="34">
        <v>1</v>
      </c>
      <c r="S171" s="35">
        <f t="shared" si="101"/>
        <v>4</v>
      </c>
      <c r="T171" s="26">
        <v>4</v>
      </c>
      <c r="U171" s="47">
        <v>1</v>
      </c>
      <c r="V171" s="27">
        <v>1</v>
      </c>
      <c r="W171" s="34"/>
      <c r="X171" s="35">
        <f t="shared" si="102"/>
        <v>6</v>
      </c>
      <c r="Y171" s="11">
        <f t="shared" si="88"/>
        <v>10</v>
      </c>
      <c r="Z171" s="99">
        <v>44681</v>
      </c>
      <c r="AA171" s="58"/>
    </row>
    <row r="172" spans="1:27" x14ac:dyDescent="0.15">
      <c r="A172" s="13" t="s">
        <v>49</v>
      </c>
      <c r="B172" s="26"/>
      <c r="C172" s="47">
        <v>-3</v>
      </c>
      <c r="D172" s="27"/>
      <c r="E172" s="34"/>
      <c r="F172" s="35">
        <f t="shared" si="97"/>
        <v>-3</v>
      </c>
      <c r="G172" s="26"/>
      <c r="H172" s="47"/>
      <c r="I172" s="27"/>
      <c r="J172" s="34"/>
      <c r="K172" s="35">
        <f t="shared" si="98"/>
        <v>0</v>
      </c>
      <c r="L172" s="11">
        <f t="shared" si="90"/>
        <v>-3</v>
      </c>
      <c r="M172" s="126">
        <v>44669</v>
      </c>
      <c r="N172" s="15" t="s">
        <v>175</v>
      </c>
      <c r="O172" s="26"/>
      <c r="P172" s="47"/>
      <c r="Q172" s="27">
        <v>5</v>
      </c>
      <c r="R172" s="34"/>
      <c r="S172" s="35">
        <f t="shared" si="101"/>
        <v>5</v>
      </c>
      <c r="T172" s="26"/>
      <c r="U172" s="47"/>
      <c r="V172" s="27"/>
      <c r="W172" s="34"/>
      <c r="X172" s="35">
        <f t="shared" si="102"/>
        <v>0</v>
      </c>
      <c r="Y172" s="11">
        <f t="shared" si="88"/>
        <v>5</v>
      </c>
      <c r="Z172" s="99">
        <v>44681</v>
      </c>
      <c r="AA172" s="58"/>
    </row>
    <row r="173" spans="1:27" x14ac:dyDescent="0.15">
      <c r="A173" s="79" t="s">
        <v>163</v>
      </c>
      <c r="B173" s="26"/>
      <c r="C173" s="47">
        <v>4</v>
      </c>
      <c r="D173" s="27"/>
      <c r="E173" s="34"/>
      <c r="F173" s="35">
        <f t="shared" si="97"/>
        <v>4</v>
      </c>
      <c r="G173" s="26"/>
      <c r="H173" s="47">
        <v>1</v>
      </c>
      <c r="I173" s="27"/>
      <c r="J173" s="34"/>
      <c r="K173" s="35">
        <f t="shared" si="98"/>
        <v>1</v>
      </c>
      <c r="L173" s="11">
        <f t="shared" si="90"/>
        <v>5</v>
      </c>
      <c r="M173" s="99">
        <v>44671</v>
      </c>
      <c r="N173" s="79" t="s">
        <v>176</v>
      </c>
      <c r="O173" s="26">
        <v>8</v>
      </c>
      <c r="P173" s="47">
        <v>1</v>
      </c>
      <c r="Q173" s="27">
        <v>1</v>
      </c>
      <c r="R173" s="34">
        <v>1</v>
      </c>
      <c r="S173" s="35">
        <f t="shared" si="101"/>
        <v>11</v>
      </c>
      <c r="T173" s="26"/>
      <c r="U173" s="47">
        <v>1</v>
      </c>
      <c r="V173" s="27"/>
      <c r="W173" s="34">
        <v>1</v>
      </c>
      <c r="X173" s="35">
        <f t="shared" si="102"/>
        <v>2</v>
      </c>
      <c r="Y173" s="11">
        <f t="shared" si="88"/>
        <v>13</v>
      </c>
      <c r="Z173" s="99">
        <v>44687</v>
      </c>
      <c r="AA173" s="58"/>
    </row>
    <row r="174" spans="1:27" x14ac:dyDescent="0.15">
      <c r="A174" s="13" t="s">
        <v>41</v>
      </c>
      <c r="B174" s="26"/>
      <c r="C174" s="47"/>
      <c r="D174" s="27"/>
      <c r="E174" s="34">
        <v>1</v>
      </c>
      <c r="F174" s="35">
        <f t="shared" si="97"/>
        <v>1</v>
      </c>
      <c r="G174" s="26"/>
      <c r="H174" s="47"/>
      <c r="I174" s="27"/>
      <c r="J174" s="34"/>
      <c r="K174" s="35">
        <f t="shared" si="98"/>
        <v>0</v>
      </c>
      <c r="L174" s="11">
        <f t="shared" si="90"/>
        <v>1</v>
      </c>
      <c r="M174" s="126">
        <v>44670</v>
      </c>
      <c r="N174" s="79" t="s">
        <v>178</v>
      </c>
      <c r="O174" s="26">
        <v>2</v>
      </c>
      <c r="P174" s="47"/>
      <c r="Q174" s="27">
        <v>4</v>
      </c>
      <c r="R174" s="34">
        <v>1</v>
      </c>
      <c r="S174" s="35">
        <f t="shared" si="101"/>
        <v>7</v>
      </c>
      <c r="T174" s="26"/>
      <c r="U174" s="47">
        <v>1</v>
      </c>
      <c r="V174" s="27">
        <v>2</v>
      </c>
      <c r="W174" s="34"/>
      <c r="X174" s="35">
        <f t="shared" si="102"/>
        <v>3</v>
      </c>
      <c r="Y174" s="11">
        <f t="shared" si="88"/>
        <v>10</v>
      </c>
      <c r="Z174" s="99">
        <v>44690</v>
      </c>
      <c r="AA174" s="58"/>
    </row>
    <row r="175" spans="1:27" x14ac:dyDescent="0.15">
      <c r="A175" s="79" t="s">
        <v>164</v>
      </c>
      <c r="B175" s="26">
        <v>4</v>
      </c>
      <c r="C175" s="47">
        <v>6</v>
      </c>
      <c r="D175" s="27">
        <v>4</v>
      </c>
      <c r="E175" s="34">
        <v>2</v>
      </c>
      <c r="F175" s="35">
        <f t="shared" si="97"/>
        <v>16</v>
      </c>
      <c r="G175" s="26">
        <v>1</v>
      </c>
      <c r="H175" s="47">
        <v>1</v>
      </c>
      <c r="I175" s="27">
        <v>1</v>
      </c>
      <c r="J175" s="34">
        <v>1</v>
      </c>
      <c r="K175" s="35">
        <f t="shared" si="98"/>
        <v>4</v>
      </c>
      <c r="L175" s="11">
        <f t="shared" si="90"/>
        <v>20</v>
      </c>
      <c r="M175" s="99">
        <v>44672</v>
      </c>
      <c r="N175" s="79" t="s">
        <v>180</v>
      </c>
      <c r="O175" s="26">
        <v>9</v>
      </c>
      <c r="P175" s="47">
        <v>6</v>
      </c>
      <c r="Q175" s="27">
        <v>3</v>
      </c>
      <c r="R175" s="34"/>
      <c r="S175" s="35">
        <f t="shared" si="101"/>
        <v>18</v>
      </c>
      <c r="T175" s="26">
        <v>2</v>
      </c>
      <c r="U175" s="47"/>
      <c r="V175" s="27">
        <v>2</v>
      </c>
      <c r="W175" s="34">
        <v>2</v>
      </c>
      <c r="X175" s="35">
        <f t="shared" si="102"/>
        <v>6</v>
      </c>
      <c r="Y175" s="11">
        <f t="shared" si="88"/>
        <v>24</v>
      </c>
      <c r="Z175" s="99">
        <v>44691</v>
      </c>
      <c r="AA175" s="58"/>
    </row>
    <row r="176" spans="1:27" x14ac:dyDescent="0.15">
      <c r="A176" s="79" t="s">
        <v>167</v>
      </c>
      <c r="B176" s="26"/>
      <c r="C176" s="47"/>
      <c r="D176" s="27"/>
      <c r="E176" s="34"/>
      <c r="F176" s="35">
        <f t="shared" si="97"/>
        <v>0</v>
      </c>
      <c r="G176" s="26"/>
      <c r="H176" s="47"/>
      <c r="I176" s="27">
        <v>1</v>
      </c>
      <c r="J176" s="34"/>
      <c r="K176" s="35">
        <f t="shared" si="98"/>
        <v>1</v>
      </c>
      <c r="L176" s="11">
        <f t="shared" si="90"/>
        <v>1</v>
      </c>
      <c r="M176" s="99">
        <v>44673</v>
      </c>
      <c r="N176" s="79" t="s">
        <v>182</v>
      </c>
      <c r="O176" s="26">
        <v>3</v>
      </c>
      <c r="P176" s="47">
        <v>1</v>
      </c>
      <c r="Q176" s="27"/>
      <c r="R176" s="34"/>
      <c r="S176" s="35">
        <f t="shared" si="101"/>
        <v>4</v>
      </c>
      <c r="T176" s="26"/>
      <c r="U176" s="47"/>
      <c r="V176" s="27"/>
      <c r="W176" s="34"/>
      <c r="X176" s="35">
        <f t="shared" si="102"/>
        <v>0</v>
      </c>
      <c r="Y176" s="11">
        <f t="shared" si="88"/>
        <v>4</v>
      </c>
      <c r="Z176" s="99">
        <v>44694</v>
      </c>
      <c r="AA176" s="58"/>
    </row>
    <row r="177" spans="1:37" x14ac:dyDescent="0.15">
      <c r="A177" s="79" t="s">
        <v>168</v>
      </c>
      <c r="B177" s="26"/>
      <c r="C177" s="47"/>
      <c r="D177" s="27"/>
      <c r="E177" s="34"/>
      <c r="F177" s="35">
        <f t="shared" si="97"/>
        <v>0</v>
      </c>
      <c r="G177" s="26">
        <v>1</v>
      </c>
      <c r="H177" s="47">
        <v>2</v>
      </c>
      <c r="I177" s="27"/>
      <c r="J177" s="34"/>
      <c r="K177" s="35">
        <f t="shared" si="98"/>
        <v>3</v>
      </c>
      <c r="L177" s="11">
        <f t="shared" si="90"/>
        <v>3</v>
      </c>
      <c r="M177" s="99">
        <v>44676</v>
      </c>
      <c r="N177" s="90" t="s">
        <v>186</v>
      </c>
      <c r="O177" s="26"/>
      <c r="P177" s="47">
        <v>5</v>
      </c>
      <c r="Q177" s="27">
        <v>5</v>
      </c>
      <c r="R177" s="34"/>
      <c r="S177" s="35">
        <f t="shared" si="101"/>
        <v>10</v>
      </c>
      <c r="T177" s="26"/>
      <c r="U177" s="47">
        <v>5</v>
      </c>
      <c r="V177" s="27">
        <v>5</v>
      </c>
      <c r="W177" s="34">
        <v>5</v>
      </c>
      <c r="X177" s="35">
        <f t="shared" si="102"/>
        <v>15</v>
      </c>
      <c r="Y177" s="11">
        <f t="shared" si="88"/>
        <v>25</v>
      </c>
      <c r="Z177" s="99">
        <v>44697</v>
      </c>
      <c r="AA177" s="58"/>
    </row>
    <row r="178" spans="1:37" x14ac:dyDescent="0.15">
      <c r="A178" s="13" t="s">
        <v>41</v>
      </c>
      <c r="B178" s="26"/>
      <c r="C178" s="47"/>
      <c r="D178" s="27">
        <v>1</v>
      </c>
      <c r="E178" s="34"/>
      <c r="F178" s="35">
        <f t="shared" si="97"/>
        <v>1</v>
      </c>
      <c r="G178" s="26">
        <f>1+1</f>
        <v>2</v>
      </c>
      <c r="H178" s="47"/>
      <c r="I178" s="27"/>
      <c r="J178" s="34"/>
      <c r="K178" s="35">
        <f t="shared" si="98"/>
        <v>2</v>
      </c>
      <c r="L178" s="11">
        <f t="shared" si="90"/>
        <v>3</v>
      </c>
      <c r="M178" s="99">
        <v>44676</v>
      </c>
      <c r="N178" s="79" t="s">
        <v>183</v>
      </c>
      <c r="O178" s="26"/>
      <c r="P178" s="47">
        <v>1</v>
      </c>
      <c r="Q178" s="27"/>
      <c r="R178" s="34"/>
      <c r="S178" s="35">
        <f t="shared" ref="S178:S186" si="103">SUM(O178:R178)</f>
        <v>1</v>
      </c>
      <c r="T178" s="26">
        <v>1</v>
      </c>
      <c r="U178" s="47"/>
      <c r="V178" s="27">
        <v>1</v>
      </c>
      <c r="W178" s="34">
        <v>1</v>
      </c>
      <c r="X178" s="35">
        <f t="shared" ref="X178:X186" si="104">SUM(T178:W178)</f>
        <v>3</v>
      </c>
      <c r="Y178" s="11">
        <f t="shared" ref="Y178:Y186" si="105">S178+X178</f>
        <v>4</v>
      </c>
      <c r="Z178" s="99">
        <v>44694</v>
      </c>
      <c r="AA178" s="58"/>
    </row>
    <row r="179" spans="1:37" x14ac:dyDescent="0.15">
      <c r="A179" s="79" t="s">
        <v>171</v>
      </c>
      <c r="B179" s="26"/>
      <c r="C179" s="47"/>
      <c r="D179" s="27">
        <v>1</v>
      </c>
      <c r="E179" s="34"/>
      <c r="F179" s="35">
        <f t="shared" si="97"/>
        <v>1</v>
      </c>
      <c r="G179" s="26"/>
      <c r="H179" s="47"/>
      <c r="I179" s="27"/>
      <c r="J179" s="34"/>
      <c r="K179" s="35">
        <f t="shared" si="98"/>
        <v>0</v>
      </c>
      <c r="L179" s="11">
        <f t="shared" si="90"/>
        <v>1</v>
      </c>
      <c r="M179" s="99">
        <v>44678</v>
      </c>
      <c r="N179" s="79" t="s">
        <v>185</v>
      </c>
      <c r="O179" s="26">
        <v>1</v>
      </c>
      <c r="P179" s="47"/>
      <c r="Q179" s="27"/>
      <c r="R179" s="34"/>
      <c r="S179" s="35">
        <f t="shared" si="103"/>
        <v>1</v>
      </c>
      <c r="T179" s="26"/>
      <c r="U179" s="47"/>
      <c r="V179" s="27"/>
      <c r="W179" s="34"/>
      <c r="X179" s="35">
        <f t="shared" si="104"/>
        <v>0</v>
      </c>
      <c r="Y179" s="11">
        <f t="shared" si="105"/>
        <v>1</v>
      </c>
      <c r="Z179" s="99">
        <v>44694</v>
      </c>
      <c r="AA179" s="58"/>
    </row>
    <row r="180" spans="1:37" x14ac:dyDescent="0.15">
      <c r="A180" s="13" t="s">
        <v>49</v>
      </c>
      <c r="B180" s="26">
        <v>-3</v>
      </c>
      <c r="C180" s="47"/>
      <c r="D180" s="27"/>
      <c r="E180" s="34">
        <v>-1</v>
      </c>
      <c r="F180" s="35">
        <f t="shared" si="97"/>
        <v>-4</v>
      </c>
      <c r="G180" s="26">
        <v>-1</v>
      </c>
      <c r="H180" s="47"/>
      <c r="I180" s="27">
        <v>-1</v>
      </c>
      <c r="J180" s="34"/>
      <c r="K180" s="35">
        <f t="shared" si="98"/>
        <v>-2</v>
      </c>
      <c r="L180" s="11">
        <f t="shared" si="90"/>
        <v>-6</v>
      </c>
      <c r="M180" s="126">
        <v>44677</v>
      </c>
      <c r="N180" s="15"/>
      <c r="O180" s="26"/>
      <c r="P180" s="47"/>
      <c r="Q180" s="27"/>
      <c r="R180" s="34"/>
      <c r="S180" s="35">
        <f t="shared" si="103"/>
        <v>0</v>
      </c>
      <c r="T180" s="26"/>
      <c r="U180" s="47"/>
      <c r="V180" s="27"/>
      <c r="W180" s="34"/>
      <c r="X180" s="35">
        <f t="shared" si="104"/>
        <v>0</v>
      </c>
      <c r="Y180" s="11">
        <f t="shared" si="105"/>
        <v>0</v>
      </c>
      <c r="Z180" s="99"/>
      <c r="AA180" s="58"/>
    </row>
    <row r="181" spans="1:37" x14ac:dyDescent="0.15">
      <c r="A181" s="90" t="s">
        <v>179</v>
      </c>
      <c r="B181" s="26">
        <v>5</v>
      </c>
      <c r="C181" s="47"/>
      <c r="D181" s="27"/>
      <c r="E181" s="34">
        <v>5</v>
      </c>
      <c r="F181" s="35">
        <f t="shared" si="97"/>
        <v>10</v>
      </c>
      <c r="G181" s="26"/>
      <c r="H181" s="47"/>
      <c r="I181" s="27"/>
      <c r="J181" s="34"/>
      <c r="K181" s="35">
        <f t="shared" si="98"/>
        <v>0</v>
      </c>
      <c r="L181" s="11">
        <f t="shared" si="90"/>
        <v>10</v>
      </c>
      <c r="M181" s="99">
        <v>44691</v>
      </c>
      <c r="N181" s="15"/>
      <c r="O181" s="26"/>
      <c r="P181" s="47"/>
      <c r="Q181" s="27"/>
      <c r="R181" s="34"/>
      <c r="S181" s="35">
        <f t="shared" si="103"/>
        <v>0</v>
      </c>
      <c r="T181" s="26"/>
      <c r="U181" s="47"/>
      <c r="V181" s="27"/>
      <c r="W181" s="34"/>
      <c r="X181" s="35">
        <f t="shared" si="104"/>
        <v>0</v>
      </c>
      <c r="Y181" s="11">
        <f t="shared" si="105"/>
        <v>0</v>
      </c>
      <c r="Z181" s="99"/>
      <c r="AA181" s="58"/>
    </row>
    <row r="182" spans="1:37" x14ac:dyDescent="0.15">
      <c r="A182" s="79" t="s">
        <v>172</v>
      </c>
      <c r="B182" s="26"/>
      <c r="C182" s="47"/>
      <c r="D182" s="27">
        <v>1</v>
      </c>
      <c r="E182" s="34"/>
      <c r="F182" s="35">
        <f t="shared" si="97"/>
        <v>1</v>
      </c>
      <c r="G182" s="26">
        <v>1</v>
      </c>
      <c r="H182" s="47"/>
      <c r="I182" s="27"/>
      <c r="J182" s="34"/>
      <c r="K182" s="35">
        <f t="shared" si="98"/>
        <v>1</v>
      </c>
      <c r="L182" s="11">
        <f t="shared" si="90"/>
        <v>2</v>
      </c>
      <c r="M182" s="99">
        <v>44679</v>
      </c>
      <c r="N182" s="15"/>
      <c r="O182" s="26"/>
      <c r="P182" s="47"/>
      <c r="Q182" s="27"/>
      <c r="R182" s="34"/>
      <c r="S182" s="35">
        <f t="shared" si="103"/>
        <v>0</v>
      </c>
      <c r="T182" s="26"/>
      <c r="U182" s="47"/>
      <c r="V182" s="27"/>
      <c r="W182" s="34"/>
      <c r="X182" s="35">
        <f t="shared" si="104"/>
        <v>0</v>
      </c>
      <c r="Y182" s="11">
        <f t="shared" si="105"/>
        <v>0</v>
      </c>
      <c r="Z182" s="99"/>
    </row>
    <row r="183" spans="1:37" x14ac:dyDescent="0.15">
      <c r="A183" s="13" t="s">
        <v>41</v>
      </c>
      <c r="B183" s="26"/>
      <c r="C183" s="47"/>
      <c r="D183" s="27">
        <v>1</v>
      </c>
      <c r="E183" s="34"/>
      <c r="F183" s="35">
        <f t="shared" si="97"/>
        <v>1</v>
      </c>
      <c r="G183" s="26"/>
      <c r="H183" s="47"/>
      <c r="I183" s="27"/>
      <c r="J183" s="34"/>
      <c r="K183" s="35">
        <f t="shared" si="98"/>
        <v>0</v>
      </c>
      <c r="L183" s="11">
        <f t="shared" si="90"/>
        <v>1</v>
      </c>
      <c r="M183" s="126">
        <v>44679</v>
      </c>
      <c r="N183" s="15"/>
      <c r="O183" s="26"/>
      <c r="P183" s="47"/>
      <c r="Q183" s="27"/>
      <c r="R183" s="34"/>
      <c r="S183" s="35">
        <f t="shared" si="103"/>
        <v>0</v>
      </c>
      <c r="T183" s="26"/>
      <c r="U183" s="47"/>
      <c r="V183" s="27"/>
      <c r="W183" s="34"/>
      <c r="X183" s="35">
        <f t="shared" si="104"/>
        <v>0</v>
      </c>
      <c r="Y183" s="11">
        <f t="shared" si="105"/>
        <v>0</v>
      </c>
      <c r="Z183" s="99"/>
      <c r="AA183" s="127"/>
      <c r="AB183" s="60"/>
      <c r="AC183" s="60"/>
      <c r="AD183" s="60"/>
      <c r="AE183" s="29"/>
      <c r="AF183" s="60"/>
      <c r="AG183" s="60"/>
      <c r="AH183" s="60"/>
      <c r="AI183" s="60"/>
      <c r="AJ183" s="29"/>
      <c r="AK183" s="29"/>
    </row>
    <row r="184" spans="1:37" x14ac:dyDescent="0.15">
      <c r="A184" s="79" t="s">
        <v>174</v>
      </c>
      <c r="B184" s="26"/>
      <c r="C184" s="47"/>
      <c r="D184" s="27">
        <v>-5</v>
      </c>
      <c r="E184" s="34"/>
      <c r="F184" s="35">
        <f t="shared" si="97"/>
        <v>-5</v>
      </c>
      <c r="G184" s="26"/>
      <c r="H184" s="47"/>
      <c r="I184" s="27"/>
      <c r="J184" s="34"/>
      <c r="K184" s="35">
        <f t="shared" si="98"/>
        <v>0</v>
      </c>
      <c r="L184" s="11">
        <f t="shared" si="90"/>
        <v>-5</v>
      </c>
      <c r="M184" s="99">
        <v>44681</v>
      </c>
      <c r="N184" s="15"/>
      <c r="O184" s="26"/>
      <c r="P184" s="47"/>
      <c r="Q184" s="27"/>
      <c r="R184" s="34"/>
      <c r="S184" s="35">
        <f t="shared" si="103"/>
        <v>0</v>
      </c>
      <c r="T184" s="26"/>
      <c r="U184" s="47"/>
      <c r="V184" s="27"/>
      <c r="W184" s="34"/>
      <c r="X184" s="35">
        <f t="shared" si="104"/>
        <v>0</v>
      </c>
      <c r="Y184" s="11">
        <f t="shared" si="105"/>
        <v>0</v>
      </c>
      <c r="Z184" s="99"/>
      <c r="AA184" s="60"/>
      <c r="AB184" s="60"/>
      <c r="AC184" s="60"/>
      <c r="AD184" s="60"/>
      <c r="AE184" s="29"/>
      <c r="AF184" s="60"/>
      <c r="AG184" s="60"/>
      <c r="AH184" s="60"/>
      <c r="AI184" s="60"/>
      <c r="AJ184" s="29"/>
      <c r="AK184" s="29"/>
    </row>
    <row r="185" spans="1:37" x14ac:dyDescent="0.15">
      <c r="A185" s="57" t="s">
        <v>177</v>
      </c>
      <c r="B185" s="26">
        <v>1</v>
      </c>
      <c r="C185" s="47"/>
      <c r="D185" s="27"/>
      <c r="E185" s="34"/>
      <c r="F185" s="35">
        <f t="shared" si="97"/>
        <v>1</v>
      </c>
      <c r="G185" s="26"/>
      <c r="H185" s="47"/>
      <c r="I185" s="27"/>
      <c r="J185" s="34"/>
      <c r="K185" s="35">
        <f t="shared" si="98"/>
        <v>0</v>
      </c>
      <c r="L185" s="11">
        <f t="shared" si="90"/>
        <v>1</v>
      </c>
      <c r="M185" s="99">
        <v>44690</v>
      </c>
      <c r="N185" s="15"/>
      <c r="O185" s="26"/>
      <c r="P185" s="47"/>
      <c r="Q185" s="27"/>
      <c r="R185" s="34"/>
      <c r="S185" s="35">
        <f t="shared" si="103"/>
        <v>0</v>
      </c>
      <c r="T185" s="26"/>
      <c r="U185" s="47"/>
      <c r="V185" s="27"/>
      <c r="W185" s="34"/>
      <c r="X185" s="35">
        <f t="shared" si="104"/>
        <v>0</v>
      </c>
      <c r="Y185" s="11">
        <f t="shared" si="105"/>
        <v>0</v>
      </c>
      <c r="Z185" s="99"/>
      <c r="AA185" s="60"/>
      <c r="AB185" s="60"/>
      <c r="AC185" s="60"/>
      <c r="AD185" s="60"/>
      <c r="AE185" s="29"/>
      <c r="AF185" s="60"/>
      <c r="AG185" s="60"/>
      <c r="AH185" s="60"/>
      <c r="AI185" s="60"/>
      <c r="AJ185" s="29"/>
      <c r="AK185" s="29"/>
    </row>
    <row r="186" spans="1:37" ht="14.25" thickBot="1" x14ac:dyDescent="0.2">
      <c r="A186" s="13" t="s">
        <v>41</v>
      </c>
      <c r="B186" s="62"/>
      <c r="C186" s="63"/>
      <c r="D186" s="64">
        <v>1</v>
      </c>
      <c r="E186" s="65">
        <v>1</v>
      </c>
      <c r="F186" s="35">
        <f t="shared" si="97"/>
        <v>2</v>
      </c>
      <c r="G186" s="62"/>
      <c r="H186" s="63"/>
      <c r="I186" s="64"/>
      <c r="J186" s="65">
        <v>1</v>
      </c>
      <c r="K186" s="35">
        <f t="shared" si="98"/>
        <v>1</v>
      </c>
      <c r="L186" s="14">
        <f t="shared" si="90"/>
        <v>3</v>
      </c>
      <c r="M186" s="126">
        <v>44687</v>
      </c>
      <c r="N186" s="135" t="s">
        <v>122</v>
      </c>
      <c r="O186" s="62"/>
      <c r="P186" s="63"/>
      <c r="Q186" s="64"/>
      <c r="R186" s="65"/>
      <c r="S186" s="120">
        <f t="shared" si="103"/>
        <v>0</v>
      </c>
      <c r="T186" s="62"/>
      <c r="U186" s="63"/>
      <c r="V186" s="64"/>
      <c r="W186" s="65"/>
      <c r="X186" s="120">
        <f t="shared" si="104"/>
        <v>0</v>
      </c>
      <c r="Y186" s="121">
        <f t="shared" si="105"/>
        <v>0</v>
      </c>
      <c r="Z186" s="99" t="s">
        <v>123</v>
      </c>
      <c r="AA186" s="60"/>
      <c r="AB186" s="60"/>
      <c r="AC186" s="60"/>
      <c r="AD186" s="60"/>
      <c r="AE186" s="29"/>
      <c r="AF186" s="60"/>
      <c r="AG186" s="60"/>
      <c r="AH186" s="60"/>
      <c r="AI186" s="60"/>
      <c r="AJ186" s="29"/>
      <c r="AK186" s="29"/>
    </row>
    <row r="187" spans="1:37" ht="14.25" thickBot="1" x14ac:dyDescent="0.2">
      <c r="A187" s="17" t="s">
        <v>10</v>
      </c>
      <c r="B187" s="38">
        <f>SUM(B162:B186)</f>
        <v>11</v>
      </c>
      <c r="C187" s="48">
        <f>SUM(C162:C186)</f>
        <v>20</v>
      </c>
      <c r="D187" s="39">
        <f>SUM(D162:D186)</f>
        <v>4</v>
      </c>
      <c r="E187" s="40">
        <f>SUM(E162:E186)</f>
        <v>8</v>
      </c>
      <c r="F187" s="36">
        <f>SUM(B187:E187)</f>
        <v>43</v>
      </c>
      <c r="G187" s="38">
        <f>SUM(G162:G186)</f>
        <v>6</v>
      </c>
      <c r="H187" s="48">
        <f>SUM(H162:H186)</f>
        <v>8</v>
      </c>
      <c r="I187" s="39">
        <f>SUM(I162:I186)</f>
        <v>1</v>
      </c>
      <c r="J187" s="40">
        <f>SUM(J162:J186)</f>
        <v>4</v>
      </c>
      <c r="K187" s="36">
        <f>SUM(G187:J187)</f>
        <v>19</v>
      </c>
      <c r="L187" s="37">
        <f t="shared" si="90"/>
        <v>62</v>
      </c>
      <c r="N187" s="133" t="s">
        <v>10</v>
      </c>
      <c r="O187" s="38">
        <f>SUM(O162:O186)</f>
        <v>36</v>
      </c>
      <c r="P187" s="48">
        <f>SUM(P162:P186)</f>
        <v>42</v>
      </c>
      <c r="Q187" s="39">
        <f>SUM(Q162:Q186)</f>
        <v>36</v>
      </c>
      <c r="R187" s="40">
        <f>SUM(R162:R186)</f>
        <v>7</v>
      </c>
      <c r="S187" s="118">
        <f t="shared" si="101"/>
        <v>121</v>
      </c>
      <c r="T187" s="38">
        <f>SUM(T162:T186)</f>
        <v>22</v>
      </c>
      <c r="U187" s="48">
        <f>SUM(U162:U186)</f>
        <v>17</v>
      </c>
      <c r="V187" s="39">
        <f>SUM(V162:V186)</f>
        <v>25</v>
      </c>
      <c r="W187" s="40">
        <f>SUM(W162:W186)</f>
        <v>18</v>
      </c>
      <c r="X187" s="118">
        <f t="shared" ref="X187" si="106">SUM(T187:W187)</f>
        <v>82</v>
      </c>
      <c r="Y187" s="119">
        <f t="shared" ref="Y187:Y188" si="107">S187+X187</f>
        <v>203</v>
      </c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 spans="1:37" ht="14.25" thickBot="1" x14ac:dyDescent="0.2">
      <c r="A188" s="22" t="s">
        <v>11</v>
      </c>
      <c r="B188" s="41">
        <f t="shared" ref="B188:K188" si="108">B161-B187</f>
        <v>3</v>
      </c>
      <c r="C188" s="49">
        <f t="shared" si="108"/>
        <v>4</v>
      </c>
      <c r="D188" s="42">
        <f t="shared" si="108"/>
        <v>6</v>
      </c>
      <c r="E188" s="43">
        <f t="shared" si="108"/>
        <v>2</v>
      </c>
      <c r="F188" s="61">
        <f t="shared" si="108"/>
        <v>11</v>
      </c>
      <c r="G188" s="41">
        <f t="shared" si="108"/>
        <v>4</v>
      </c>
      <c r="H188" s="49">
        <f t="shared" si="108"/>
        <v>5</v>
      </c>
      <c r="I188" s="42">
        <f t="shared" si="108"/>
        <v>11</v>
      </c>
      <c r="J188" s="43">
        <f t="shared" si="108"/>
        <v>5</v>
      </c>
      <c r="K188" s="61">
        <f t="shared" si="108"/>
        <v>25</v>
      </c>
      <c r="L188" s="21">
        <f t="shared" si="90"/>
        <v>36</v>
      </c>
      <c r="N188" s="17" t="s">
        <v>11</v>
      </c>
      <c r="O188" s="41">
        <f t="shared" ref="O188:X188" si="109">O161-O187</f>
        <v>9</v>
      </c>
      <c r="P188" s="49">
        <f t="shared" si="109"/>
        <v>28</v>
      </c>
      <c r="Q188" s="42">
        <f t="shared" si="109"/>
        <v>98</v>
      </c>
      <c r="R188" s="43">
        <f t="shared" si="109"/>
        <v>153</v>
      </c>
      <c r="S188" s="61">
        <f t="shared" si="109"/>
        <v>288</v>
      </c>
      <c r="T188" s="41">
        <f t="shared" si="109"/>
        <v>38</v>
      </c>
      <c r="U188" s="49">
        <f t="shared" si="109"/>
        <v>80</v>
      </c>
      <c r="V188" s="42">
        <f t="shared" si="109"/>
        <v>115</v>
      </c>
      <c r="W188" s="43">
        <f t="shared" si="109"/>
        <v>175</v>
      </c>
      <c r="X188" s="61">
        <f t="shared" si="109"/>
        <v>408</v>
      </c>
      <c r="Y188" s="21">
        <f t="shared" si="107"/>
        <v>696</v>
      </c>
    </row>
    <row r="191" spans="1:37" ht="19.5" thickBot="1" x14ac:dyDescent="0.25">
      <c r="A191" s="2" t="s">
        <v>106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105</v>
      </c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37" ht="14.25" thickBot="1" x14ac:dyDescent="0.2">
      <c r="A192" s="5" t="s">
        <v>0</v>
      </c>
      <c r="B192" s="342" t="s">
        <v>18</v>
      </c>
      <c r="C192" s="350"/>
      <c r="D192" s="350"/>
      <c r="E192" s="350"/>
      <c r="F192" s="351"/>
      <c r="G192" s="345" t="s">
        <v>12</v>
      </c>
      <c r="H192" s="352"/>
      <c r="I192" s="352"/>
      <c r="J192" s="352"/>
      <c r="K192" s="353"/>
      <c r="L192" s="354" t="s">
        <v>1</v>
      </c>
      <c r="N192" s="5" t="s">
        <v>0</v>
      </c>
      <c r="O192" s="342" t="s">
        <v>18</v>
      </c>
      <c r="P192" s="350"/>
      <c r="Q192" s="350"/>
      <c r="R192" s="350"/>
      <c r="S192" s="351"/>
      <c r="T192" s="345" t="s">
        <v>12</v>
      </c>
      <c r="U192" s="352"/>
      <c r="V192" s="352"/>
      <c r="W192" s="352"/>
      <c r="X192" s="353"/>
      <c r="Y192" s="354" t="s">
        <v>1</v>
      </c>
    </row>
    <row r="193" spans="1:27" ht="14.25" thickBot="1" x14ac:dyDescent="0.2">
      <c r="A193" s="5" t="s">
        <v>2</v>
      </c>
      <c r="B193" s="3" t="s">
        <v>13</v>
      </c>
      <c r="C193" s="44" t="s">
        <v>14</v>
      </c>
      <c r="D193" s="4" t="s">
        <v>15</v>
      </c>
      <c r="E193" s="23" t="s">
        <v>16</v>
      </c>
      <c r="F193" s="31" t="s">
        <v>3</v>
      </c>
      <c r="G193" s="3" t="s">
        <v>13</v>
      </c>
      <c r="H193" s="44" t="s">
        <v>14</v>
      </c>
      <c r="I193" s="4" t="s">
        <v>15</v>
      </c>
      <c r="J193" s="23" t="s">
        <v>16</v>
      </c>
      <c r="K193" s="31" t="s">
        <v>3</v>
      </c>
      <c r="L193" s="355"/>
      <c r="N193" s="5" t="s">
        <v>2</v>
      </c>
      <c r="O193" s="3" t="s">
        <v>13</v>
      </c>
      <c r="P193" s="44" t="s">
        <v>14</v>
      </c>
      <c r="Q193" s="4" t="s">
        <v>15</v>
      </c>
      <c r="R193" s="23" t="s">
        <v>16</v>
      </c>
      <c r="S193" s="31" t="s">
        <v>3</v>
      </c>
      <c r="T193" s="3" t="s">
        <v>13</v>
      </c>
      <c r="U193" s="44" t="s">
        <v>14</v>
      </c>
      <c r="V193" s="4" t="s">
        <v>15</v>
      </c>
      <c r="W193" s="23" t="s">
        <v>16</v>
      </c>
      <c r="X193" s="31" t="s">
        <v>3</v>
      </c>
      <c r="Y193" s="355"/>
    </row>
    <row r="194" spans="1:27" x14ac:dyDescent="0.15">
      <c r="A194" s="71" t="s">
        <v>17</v>
      </c>
      <c r="B194" s="72">
        <f>B188</f>
        <v>3</v>
      </c>
      <c r="C194" s="73">
        <f t="shared" ref="C194:L194" si="110">C188</f>
        <v>4</v>
      </c>
      <c r="D194" s="73">
        <f t="shared" si="110"/>
        <v>6</v>
      </c>
      <c r="E194" s="74">
        <f t="shared" si="110"/>
        <v>2</v>
      </c>
      <c r="F194" s="76">
        <f t="shared" si="110"/>
        <v>11</v>
      </c>
      <c r="G194" s="72">
        <f t="shared" si="110"/>
        <v>4</v>
      </c>
      <c r="H194" s="73">
        <f t="shared" si="110"/>
        <v>5</v>
      </c>
      <c r="I194" s="73">
        <f t="shared" si="110"/>
        <v>11</v>
      </c>
      <c r="J194" s="74">
        <f t="shared" si="110"/>
        <v>5</v>
      </c>
      <c r="K194" s="75">
        <f t="shared" si="110"/>
        <v>25</v>
      </c>
      <c r="L194" s="16">
        <f t="shared" si="110"/>
        <v>36</v>
      </c>
      <c r="N194" s="71" t="s">
        <v>17</v>
      </c>
      <c r="O194" s="72">
        <f>O188</f>
        <v>9</v>
      </c>
      <c r="P194" s="73">
        <f t="shared" ref="P194:Y194" si="111">P188</f>
        <v>28</v>
      </c>
      <c r="Q194" s="73">
        <f t="shared" si="111"/>
        <v>98</v>
      </c>
      <c r="R194" s="74">
        <f t="shared" si="111"/>
        <v>153</v>
      </c>
      <c r="S194" s="76">
        <f t="shared" si="111"/>
        <v>288</v>
      </c>
      <c r="T194" s="72">
        <f t="shared" si="111"/>
        <v>38</v>
      </c>
      <c r="U194" s="73">
        <f t="shared" si="111"/>
        <v>80</v>
      </c>
      <c r="V194" s="73">
        <f t="shared" si="111"/>
        <v>115</v>
      </c>
      <c r="W194" s="74">
        <f t="shared" si="111"/>
        <v>175</v>
      </c>
      <c r="X194" s="75">
        <f t="shared" si="111"/>
        <v>408</v>
      </c>
      <c r="Y194" s="16">
        <f t="shared" si="111"/>
        <v>696</v>
      </c>
    </row>
    <row r="195" spans="1:27" x14ac:dyDescent="0.15">
      <c r="A195" s="13" t="s">
        <v>5</v>
      </c>
      <c r="B195" s="6"/>
      <c r="C195" s="30"/>
      <c r="D195" s="7"/>
      <c r="E195" s="8"/>
      <c r="F195" s="9">
        <f>SUM(B195:E195)</f>
        <v>0</v>
      </c>
      <c r="G195" s="30"/>
      <c r="H195" s="30"/>
      <c r="I195" s="7"/>
      <c r="J195" s="8">
        <v>5</v>
      </c>
      <c r="K195" s="9">
        <f>SUM(G195:J195)</f>
        <v>5</v>
      </c>
      <c r="L195" s="11">
        <f t="shared" ref="L195:L226" si="112">F195+K195</f>
        <v>5</v>
      </c>
      <c r="M195" s="99">
        <v>44693</v>
      </c>
      <c r="N195" s="13" t="s">
        <v>5</v>
      </c>
      <c r="O195" s="26"/>
      <c r="P195" s="47"/>
      <c r="Q195" s="27"/>
      <c r="R195" s="34"/>
      <c r="S195" s="77">
        <f>SUM(O195:R195)</f>
        <v>0</v>
      </c>
      <c r="T195" s="26"/>
      <c r="U195" s="47"/>
      <c r="V195" s="27"/>
      <c r="W195" s="34"/>
      <c r="X195" s="9">
        <f>SUM(T195:W195)</f>
        <v>0</v>
      </c>
      <c r="Y195" s="11">
        <f t="shared" ref="Y195:Y226" si="113">S195+X195</f>
        <v>0</v>
      </c>
      <c r="Z195" s="99"/>
    </row>
    <row r="196" spans="1:27" x14ac:dyDescent="0.15">
      <c r="A196" s="13" t="s">
        <v>49</v>
      </c>
      <c r="B196" s="6"/>
      <c r="C196" s="30">
        <v>2</v>
      </c>
      <c r="D196" s="7"/>
      <c r="E196" s="8"/>
      <c r="F196" s="9">
        <f>SUM(B196:E196)</f>
        <v>2</v>
      </c>
      <c r="G196" s="30"/>
      <c r="H196" s="30">
        <v>1</v>
      </c>
      <c r="I196" s="7">
        <v>1</v>
      </c>
      <c r="J196" s="8"/>
      <c r="K196" s="9">
        <f>SUM(G196:J196)</f>
        <v>2</v>
      </c>
      <c r="L196" s="11">
        <f t="shared" si="112"/>
        <v>4</v>
      </c>
      <c r="M196" s="99">
        <v>44694</v>
      </c>
      <c r="N196" s="13" t="s">
        <v>6</v>
      </c>
      <c r="O196" s="26">
        <v>60</v>
      </c>
      <c r="P196" s="47">
        <v>60</v>
      </c>
      <c r="Q196" s="27"/>
      <c r="R196" s="34"/>
      <c r="S196" s="77">
        <f>SUM(O196:R196)</f>
        <v>120</v>
      </c>
      <c r="T196" s="47">
        <v>60</v>
      </c>
      <c r="U196" s="47"/>
      <c r="V196" s="27"/>
      <c r="W196" s="50"/>
      <c r="X196" s="9">
        <f>SUM(T196:W196)</f>
        <v>60</v>
      </c>
      <c r="Y196" s="108">
        <f t="shared" si="113"/>
        <v>180</v>
      </c>
      <c r="Z196" s="99" t="s">
        <v>207</v>
      </c>
    </row>
    <row r="197" spans="1:27" x14ac:dyDescent="0.15">
      <c r="A197" s="13" t="s">
        <v>7</v>
      </c>
      <c r="B197" s="6">
        <v>3</v>
      </c>
      <c r="C197" s="30"/>
      <c r="D197" s="7"/>
      <c r="E197" s="8"/>
      <c r="F197" s="9">
        <f>SUM(B197:E197)</f>
        <v>3</v>
      </c>
      <c r="G197" s="30"/>
      <c r="H197" s="30">
        <v>3</v>
      </c>
      <c r="I197" s="7"/>
      <c r="J197" s="8"/>
      <c r="K197" s="9">
        <f>SUM(G197:J197)</f>
        <v>3</v>
      </c>
      <c r="L197" s="11">
        <f t="shared" si="112"/>
        <v>6</v>
      </c>
      <c r="M197" s="99">
        <v>44698</v>
      </c>
      <c r="N197" s="13" t="s">
        <v>7</v>
      </c>
      <c r="O197" s="66"/>
      <c r="P197" s="67"/>
      <c r="Q197" s="68"/>
      <c r="R197" s="69"/>
      <c r="S197" s="136">
        <f>SUM(O197:R197)</f>
        <v>0</v>
      </c>
      <c r="T197" s="67"/>
      <c r="U197" s="67"/>
      <c r="V197" s="68"/>
      <c r="W197" s="94"/>
      <c r="X197" s="91">
        <f>SUM(T197:W197)</f>
        <v>0</v>
      </c>
      <c r="Y197" s="11">
        <f t="shared" si="113"/>
        <v>0</v>
      </c>
      <c r="Z197" s="101"/>
    </row>
    <row r="198" spans="1:27" ht="14.25" thickBot="1" x14ac:dyDescent="0.2">
      <c r="A198" s="13" t="s">
        <v>8</v>
      </c>
      <c r="B198" s="6"/>
      <c r="C198" s="30"/>
      <c r="D198" s="7">
        <v>5</v>
      </c>
      <c r="E198" s="8">
        <v>3</v>
      </c>
      <c r="F198" s="10">
        <f>SUM(B198:E198)</f>
        <v>8</v>
      </c>
      <c r="G198" s="30"/>
      <c r="H198" s="30">
        <v>3</v>
      </c>
      <c r="I198" s="7"/>
      <c r="J198" s="8"/>
      <c r="K198" s="10">
        <f>SUM(G198:J198)</f>
        <v>3</v>
      </c>
      <c r="L198" s="14">
        <f t="shared" si="112"/>
        <v>11</v>
      </c>
      <c r="M198" s="126">
        <v>44701</v>
      </c>
      <c r="N198" s="13" t="s">
        <v>8</v>
      </c>
      <c r="O198" s="62"/>
      <c r="P198" s="63"/>
      <c r="Q198" s="64"/>
      <c r="R198" s="65"/>
      <c r="S198" s="78">
        <f>SUM(O198:R198)</f>
        <v>0</v>
      </c>
      <c r="T198" s="47"/>
      <c r="U198" s="47"/>
      <c r="V198" s="27"/>
      <c r="W198" s="50"/>
      <c r="X198" s="10">
        <f>SUM(T198:W198)</f>
        <v>0</v>
      </c>
      <c r="Y198" s="14">
        <f t="shared" si="113"/>
        <v>0</v>
      </c>
    </row>
    <row r="199" spans="1:27" ht="14.25" thickBot="1" x14ac:dyDescent="0.2">
      <c r="A199" s="22" t="s">
        <v>9</v>
      </c>
      <c r="B199" s="18">
        <f t="shared" ref="B199:K199" si="114">SUM(B194:B198)</f>
        <v>6</v>
      </c>
      <c r="C199" s="45">
        <f t="shared" si="114"/>
        <v>6</v>
      </c>
      <c r="D199" s="19">
        <f t="shared" si="114"/>
        <v>11</v>
      </c>
      <c r="E199" s="20">
        <f t="shared" si="114"/>
        <v>5</v>
      </c>
      <c r="F199" s="28">
        <f t="shared" si="114"/>
        <v>24</v>
      </c>
      <c r="G199" s="18">
        <f t="shared" si="114"/>
        <v>4</v>
      </c>
      <c r="H199" s="45">
        <f t="shared" si="114"/>
        <v>12</v>
      </c>
      <c r="I199" s="19">
        <f t="shared" si="114"/>
        <v>12</v>
      </c>
      <c r="J199" s="20">
        <f t="shared" si="114"/>
        <v>10</v>
      </c>
      <c r="K199" s="28">
        <f t="shared" si="114"/>
        <v>38</v>
      </c>
      <c r="L199" s="21">
        <f t="shared" si="112"/>
        <v>62</v>
      </c>
      <c r="N199" s="17" t="s">
        <v>9</v>
      </c>
      <c r="O199" s="41">
        <f>SUM(O194:O198)</f>
        <v>69</v>
      </c>
      <c r="P199" s="49">
        <f t="shared" ref="P199:X199" si="115">SUM(P194:P198)</f>
        <v>88</v>
      </c>
      <c r="Q199" s="42">
        <f t="shared" si="115"/>
        <v>98</v>
      </c>
      <c r="R199" s="92">
        <f t="shared" si="115"/>
        <v>153</v>
      </c>
      <c r="S199" s="93">
        <f t="shared" si="115"/>
        <v>408</v>
      </c>
      <c r="T199" s="41">
        <f t="shared" si="115"/>
        <v>98</v>
      </c>
      <c r="U199" s="49">
        <f t="shared" si="115"/>
        <v>80</v>
      </c>
      <c r="V199" s="42">
        <f t="shared" si="115"/>
        <v>115</v>
      </c>
      <c r="W199" s="92">
        <f>SUM(W194:W198)</f>
        <v>175</v>
      </c>
      <c r="X199" s="93">
        <f t="shared" si="115"/>
        <v>468</v>
      </c>
      <c r="Y199" s="56">
        <f t="shared" si="113"/>
        <v>876</v>
      </c>
    </row>
    <row r="200" spans="1:27" x14ac:dyDescent="0.15">
      <c r="A200" s="13" t="s">
        <v>41</v>
      </c>
      <c r="B200" s="24"/>
      <c r="C200" s="46"/>
      <c r="D200" s="25"/>
      <c r="E200" s="33"/>
      <c r="F200" s="35">
        <f>SUM(B200:E200)</f>
        <v>0</v>
      </c>
      <c r="G200" s="24"/>
      <c r="H200" s="46">
        <v>1</v>
      </c>
      <c r="I200" s="25"/>
      <c r="J200" s="33">
        <f>1+1</f>
        <v>2</v>
      </c>
      <c r="K200" s="35">
        <f>SUM(G200:J200)</f>
        <v>3</v>
      </c>
      <c r="L200" s="11">
        <f t="shared" si="112"/>
        <v>3</v>
      </c>
      <c r="M200" s="126">
        <v>44691</v>
      </c>
      <c r="N200" s="79" t="s">
        <v>184</v>
      </c>
      <c r="O200" s="66"/>
      <c r="P200" s="67"/>
      <c r="Q200" s="68"/>
      <c r="R200" s="94"/>
      <c r="S200" s="91">
        <f>SUM(O200:R200)</f>
        <v>0</v>
      </c>
      <c r="T200" s="67"/>
      <c r="U200" s="67"/>
      <c r="V200" s="68"/>
      <c r="W200" s="94">
        <v>5</v>
      </c>
      <c r="X200" s="91">
        <f>SUM(T200:W200)</f>
        <v>5</v>
      </c>
      <c r="Y200" s="11">
        <f t="shared" si="113"/>
        <v>5</v>
      </c>
      <c r="Z200" s="99">
        <v>44693</v>
      </c>
    </row>
    <row r="201" spans="1:27" x14ac:dyDescent="0.15">
      <c r="A201" s="13" t="s">
        <v>41</v>
      </c>
      <c r="B201" s="26"/>
      <c r="C201" s="47"/>
      <c r="D201" s="27"/>
      <c r="E201" s="34"/>
      <c r="F201" s="35">
        <f>SUM(B201:E201)</f>
        <v>0</v>
      </c>
      <c r="G201" s="26"/>
      <c r="H201" s="47"/>
      <c r="I201" s="27"/>
      <c r="J201" s="34">
        <v>2</v>
      </c>
      <c r="K201" s="35">
        <f>SUM(G201:J201)</f>
        <v>2</v>
      </c>
      <c r="L201" s="11">
        <f t="shared" si="112"/>
        <v>2</v>
      </c>
      <c r="M201" s="126">
        <v>44692</v>
      </c>
      <c r="N201" s="79" t="s">
        <v>34</v>
      </c>
      <c r="O201" s="26">
        <v>3</v>
      </c>
      <c r="P201" s="47"/>
      <c r="Q201" s="27"/>
      <c r="R201" s="34"/>
      <c r="S201" s="35">
        <f>SUM(O201:R201)</f>
        <v>3</v>
      </c>
      <c r="T201" s="26"/>
      <c r="U201" s="47">
        <v>3</v>
      </c>
      <c r="V201" s="27"/>
      <c r="W201" s="34"/>
      <c r="X201" s="35">
        <f>SUM(T201:W201)</f>
        <v>3</v>
      </c>
      <c r="Y201" s="11">
        <f t="shared" si="113"/>
        <v>6</v>
      </c>
      <c r="Z201" s="99">
        <v>44698</v>
      </c>
    </row>
    <row r="202" spans="1:27" x14ac:dyDescent="0.15">
      <c r="A202" s="79" t="s">
        <v>187</v>
      </c>
      <c r="B202" s="26">
        <v>1</v>
      </c>
      <c r="C202" s="47"/>
      <c r="D202" s="27"/>
      <c r="E202" s="34"/>
      <c r="F202" s="35">
        <f t="shared" ref="F202:F224" si="116">SUM(B202:E202)</f>
        <v>1</v>
      </c>
      <c r="G202" s="26"/>
      <c r="H202" s="47">
        <v>3</v>
      </c>
      <c r="I202" s="27"/>
      <c r="J202" s="34"/>
      <c r="K202" s="35">
        <f t="shared" ref="K202:K224" si="117">SUM(G202:J202)</f>
        <v>3</v>
      </c>
      <c r="L202" s="11">
        <f t="shared" si="112"/>
        <v>4</v>
      </c>
      <c r="M202" s="99">
        <v>44698</v>
      </c>
      <c r="N202" s="90" t="s">
        <v>201</v>
      </c>
      <c r="O202" s="26"/>
      <c r="P202" s="47"/>
      <c r="Q202" s="27"/>
      <c r="R202" s="34"/>
      <c r="S202" s="35">
        <f t="shared" ref="S202" si="118">SUM(O202:R202)</f>
        <v>0</v>
      </c>
      <c r="T202" s="26">
        <v>5</v>
      </c>
      <c r="U202" s="47"/>
      <c r="V202" s="27"/>
      <c r="W202" s="34"/>
      <c r="X202" s="35">
        <f t="shared" ref="X202" si="119">SUM(T202:W202)</f>
        <v>5</v>
      </c>
      <c r="Y202" s="11">
        <f t="shared" si="113"/>
        <v>5</v>
      </c>
      <c r="Z202" s="99">
        <v>44704</v>
      </c>
      <c r="AA202" s="58"/>
    </row>
    <row r="203" spans="1:27" x14ac:dyDescent="0.15">
      <c r="A203" s="13" t="s">
        <v>41</v>
      </c>
      <c r="B203" s="66"/>
      <c r="C203" s="67"/>
      <c r="D203" s="68"/>
      <c r="E203" s="69"/>
      <c r="F203" s="70">
        <f t="shared" si="116"/>
        <v>0</v>
      </c>
      <c r="G203" s="66"/>
      <c r="H203" s="67">
        <v>2</v>
      </c>
      <c r="I203" s="68"/>
      <c r="J203" s="69">
        <v>1</v>
      </c>
      <c r="K203" s="70">
        <f t="shared" si="117"/>
        <v>3</v>
      </c>
      <c r="L203" s="11">
        <f t="shared" si="112"/>
        <v>3</v>
      </c>
      <c r="M203" s="126">
        <v>44697</v>
      </c>
      <c r="N203" s="79" t="s">
        <v>189</v>
      </c>
      <c r="O203" s="66"/>
      <c r="P203" s="67">
        <v>3</v>
      </c>
      <c r="Q203" s="68"/>
      <c r="R203" s="94">
        <v>2</v>
      </c>
      <c r="S203" s="91">
        <f>SUM(O203:R203)</f>
        <v>5</v>
      </c>
      <c r="T203" s="67"/>
      <c r="U203" s="67">
        <v>1</v>
      </c>
      <c r="V203" s="68"/>
      <c r="W203" s="94"/>
      <c r="X203" s="91">
        <f>SUM(T203:W203)</f>
        <v>1</v>
      </c>
      <c r="Y203" s="11">
        <f t="shared" si="113"/>
        <v>6</v>
      </c>
      <c r="Z203" s="99">
        <v>44700</v>
      </c>
    </row>
    <row r="204" spans="1:27" x14ac:dyDescent="0.15">
      <c r="A204" s="79" t="s">
        <v>188</v>
      </c>
      <c r="B204" s="26"/>
      <c r="C204" s="47">
        <v>1</v>
      </c>
      <c r="D204" s="27">
        <v>1</v>
      </c>
      <c r="E204" s="34">
        <v>1</v>
      </c>
      <c r="F204" s="35">
        <f t="shared" si="116"/>
        <v>3</v>
      </c>
      <c r="G204" s="26"/>
      <c r="H204" s="47"/>
      <c r="I204" s="27"/>
      <c r="J204" s="34"/>
      <c r="K204" s="35">
        <f t="shared" si="117"/>
        <v>0</v>
      </c>
      <c r="L204" s="11">
        <f t="shared" si="112"/>
        <v>3</v>
      </c>
      <c r="M204" s="99">
        <v>44699</v>
      </c>
      <c r="N204" s="79" t="s">
        <v>192</v>
      </c>
      <c r="O204" s="26">
        <v>10</v>
      </c>
      <c r="P204" s="47">
        <v>10</v>
      </c>
      <c r="Q204" s="27">
        <v>10</v>
      </c>
      <c r="R204" s="34">
        <v>10</v>
      </c>
      <c r="S204" s="35">
        <f t="shared" ref="S204" si="120">SUM(O204:R204)</f>
        <v>40</v>
      </c>
      <c r="T204" s="26">
        <v>10</v>
      </c>
      <c r="U204" s="47">
        <v>10</v>
      </c>
      <c r="V204" s="27">
        <v>10</v>
      </c>
      <c r="W204" s="34">
        <v>10</v>
      </c>
      <c r="X204" s="35">
        <f t="shared" ref="X204" si="121">SUM(T204:W204)</f>
        <v>40</v>
      </c>
      <c r="Y204" s="11">
        <f t="shared" si="113"/>
        <v>80</v>
      </c>
      <c r="Z204" s="99">
        <v>44708</v>
      </c>
    </row>
    <row r="205" spans="1:27" x14ac:dyDescent="0.15">
      <c r="A205" s="13" t="s">
        <v>41</v>
      </c>
      <c r="B205" s="26"/>
      <c r="C205" s="47"/>
      <c r="D205" s="27"/>
      <c r="E205" s="34"/>
      <c r="F205" s="35">
        <f t="shared" si="116"/>
        <v>0</v>
      </c>
      <c r="G205" s="26"/>
      <c r="H205" s="47">
        <v>1</v>
      </c>
      <c r="I205" s="27"/>
      <c r="J205" s="34"/>
      <c r="K205" s="35">
        <f t="shared" si="117"/>
        <v>1</v>
      </c>
      <c r="L205" s="11">
        <f t="shared" si="112"/>
        <v>1</v>
      </c>
      <c r="M205" s="126">
        <v>44698</v>
      </c>
      <c r="N205" s="79" t="s">
        <v>34</v>
      </c>
      <c r="O205" s="66"/>
      <c r="P205" s="67"/>
      <c r="Q205" s="68">
        <v>5</v>
      </c>
      <c r="R205" s="94">
        <v>3</v>
      </c>
      <c r="S205" s="91">
        <f>SUM(O205:R205)</f>
        <v>8</v>
      </c>
      <c r="T205" s="67"/>
      <c r="U205" s="67">
        <v>3</v>
      </c>
      <c r="V205" s="68"/>
      <c r="W205" s="94"/>
      <c r="X205" s="91">
        <f>SUM(T205:W205)</f>
        <v>3</v>
      </c>
      <c r="Y205" s="11">
        <f t="shared" si="113"/>
        <v>11</v>
      </c>
      <c r="Z205" s="99">
        <v>44701</v>
      </c>
    </row>
    <row r="206" spans="1:27" x14ac:dyDescent="0.15">
      <c r="A206" s="79" t="s">
        <v>190</v>
      </c>
      <c r="B206" s="26"/>
      <c r="C206" s="47">
        <v>1</v>
      </c>
      <c r="D206" s="27">
        <v>3</v>
      </c>
      <c r="E206" s="34"/>
      <c r="F206" s="35">
        <f t="shared" si="116"/>
        <v>4</v>
      </c>
      <c r="G206" s="26"/>
      <c r="H206" s="47"/>
      <c r="I206" s="27">
        <v>1</v>
      </c>
      <c r="J206" s="34">
        <v>1</v>
      </c>
      <c r="K206" s="35">
        <f t="shared" si="117"/>
        <v>2</v>
      </c>
      <c r="L206" s="11">
        <f t="shared" si="112"/>
        <v>6</v>
      </c>
      <c r="M206" s="99">
        <v>44701</v>
      </c>
      <c r="N206" s="12" t="s">
        <v>197</v>
      </c>
      <c r="O206" s="26">
        <v>5</v>
      </c>
      <c r="P206" s="47">
        <v>5</v>
      </c>
      <c r="Q206" s="27"/>
      <c r="R206" s="34">
        <v>5</v>
      </c>
      <c r="S206" s="35">
        <f t="shared" ref="S206" si="122">SUM(O206:R206)</f>
        <v>15</v>
      </c>
      <c r="T206" s="26">
        <v>5</v>
      </c>
      <c r="U206" s="47">
        <v>10</v>
      </c>
      <c r="V206" s="27"/>
      <c r="W206" s="34">
        <v>10</v>
      </c>
      <c r="X206" s="35">
        <f t="shared" ref="X206" si="123">SUM(T206:W206)</f>
        <v>25</v>
      </c>
      <c r="Y206" s="11">
        <f t="shared" si="113"/>
        <v>40</v>
      </c>
      <c r="Z206" s="99">
        <v>44707</v>
      </c>
    </row>
    <row r="207" spans="1:27" x14ac:dyDescent="0.15">
      <c r="A207" s="79" t="s">
        <v>193</v>
      </c>
      <c r="B207" s="26">
        <v>1</v>
      </c>
      <c r="C207" s="47">
        <v>1</v>
      </c>
      <c r="D207" s="27"/>
      <c r="E207" s="34"/>
      <c r="F207" s="35">
        <f t="shared" si="116"/>
        <v>2</v>
      </c>
      <c r="G207" s="26"/>
      <c r="H207" s="47"/>
      <c r="I207" s="27"/>
      <c r="J207" s="34"/>
      <c r="K207" s="35">
        <f t="shared" si="117"/>
        <v>0</v>
      </c>
      <c r="L207" s="11">
        <f t="shared" si="112"/>
        <v>2</v>
      </c>
      <c r="M207" s="99">
        <v>44704</v>
      </c>
      <c r="N207" s="79" t="s">
        <v>34</v>
      </c>
      <c r="O207" s="26">
        <v>3</v>
      </c>
      <c r="P207" s="47">
        <v>3</v>
      </c>
      <c r="Q207" s="27">
        <v>3</v>
      </c>
      <c r="R207" s="50"/>
      <c r="S207" s="9">
        <f>SUM(O207:R207)</f>
        <v>9</v>
      </c>
      <c r="T207" s="47">
        <v>3</v>
      </c>
      <c r="U207" s="47">
        <v>3</v>
      </c>
      <c r="V207" s="27"/>
      <c r="W207" s="50"/>
      <c r="X207" s="9">
        <f>SUM(T207:W207)</f>
        <v>6</v>
      </c>
      <c r="Y207" s="11">
        <f t="shared" si="113"/>
        <v>15</v>
      </c>
      <c r="Z207" s="99">
        <v>44707</v>
      </c>
    </row>
    <row r="208" spans="1:27" x14ac:dyDescent="0.15">
      <c r="A208" s="13" t="s">
        <v>191</v>
      </c>
      <c r="B208" s="6"/>
      <c r="C208" s="30"/>
      <c r="D208" s="7">
        <f>2-1</f>
        <v>1</v>
      </c>
      <c r="E208" s="8"/>
      <c r="F208" s="9">
        <f>SUM(B208:E208)</f>
        <v>1</v>
      </c>
      <c r="G208" s="30"/>
      <c r="H208" s="30">
        <v>1</v>
      </c>
      <c r="I208" s="7"/>
      <c r="J208" s="8"/>
      <c r="K208" s="9">
        <f>SUM(G208:J208)</f>
        <v>1</v>
      </c>
      <c r="L208" s="108">
        <f t="shared" ref="L208" si="124">F208+K208</f>
        <v>2</v>
      </c>
      <c r="M208" s="126">
        <v>44700</v>
      </c>
      <c r="N208" s="79" t="s">
        <v>34</v>
      </c>
      <c r="O208" s="26"/>
      <c r="P208" s="47">
        <v>5</v>
      </c>
      <c r="Q208" s="27"/>
      <c r="R208" s="34"/>
      <c r="S208" s="35">
        <f t="shared" ref="S208:S225" si="125">SUM(O208:R208)</f>
        <v>5</v>
      </c>
      <c r="T208" s="26"/>
      <c r="U208" s="47"/>
      <c r="V208" s="27"/>
      <c r="W208" s="34"/>
      <c r="X208" s="35">
        <f t="shared" ref="X208:X225" si="126">SUM(T208:W208)</f>
        <v>0</v>
      </c>
      <c r="Y208" s="11">
        <f t="shared" si="113"/>
        <v>5</v>
      </c>
      <c r="Z208" s="99">
        <v>44712</v>
      </c>
      <c r="AA208" s="58"/>
    </row>
    <row r="209" spans="1:27" x14ac:dyDescent="0.15">
      <c r="A209" s="79" t="s">
        <v>194</v>
      </c>
      <c r="B209" s="66"/>
      <c r="C209" s="67">
        <v>-1</v>
      </c>
      <c r="D209" s="68"/>
      <c r="E209" s="69"/>
      <c r="F209" s="70">
        <f t="shared" ref="F209" si="127">SUM(B209:E209)</f>
        <v>-1</v>
      </c>
      <c r="G209" s="66"/>
      <c r="H209" s="67"/>
      <c r="I209" s="68"/>
      <c r="J209" s="69"/>
      <c r="K209" s="70">
        <f t="shared" ref="K209" si="128">SUM(G209:J209)</f>
        <v>0</v>
      </c>
      <c r="L209" s="11">
        <f t="shared" ref="L209" si="129">F209+K209</f>
        <v>-1</v>
      </c>
      <c r="M209" s="126">
        <v>44701</v>
      </c>
      <c r="N209" s="79" t="s">
        <v>34</v>
      </c>
      <c r="O209" s="26"/>
      <c r="P209" s="47"/>
      <c r="Q209" s="27"/>
      <c r="R209" s="34">
        <v>3</v>
      </c>
      <c r="S209" s="35">
        <f t="shared" si="125"/>
        <v>3</v>
      </c>
      <c r="T209" s="26"/>
      <c r="U209" s="47"/>
      <c r="V209" s="27"/>
      <c r="W209" s="34"/>
      <c r="X209" s="35">
        <f t="shared" si="126"/>
        <v>0</v>
      </c>
      <c r="Y209" s="11">
        <f t="shared" si="113"/>
        <v>3</v>
      </c>
      <c r="Z209" s="99">
        <v>44714</v>
      </c>
      <c r="AA209" s="58"/>
    </row>
    <row r="210" spans="1:27" x14ac:dyDescent="0.15">
      <c r="A210" s="79" t="s">
        <v>195</v>
      </c>
      <c r="B210" s="26"/>
      <c r="C210" s="47">
        <v>2</v>
      </c>
      <c r="D210" s="27"/>
      <c r="E210" s="34"/>
      <c r="F210" s="35">
        <f t="shared" si="116"/>
        <v>2</v>
      </c>
      <c r="G210" s="26">
        <v>1</v>
      </c>
      <c r="H210" s="47"/>
      <c r="I210" s="27">
        <v>1</v>
      </c>
      <c r="J210" s="34"/>
      <c r="K210" s="35">
        <f t="shared" si="117"/>
        <v>2</v>
      </c>
      <c r="L210" s="11">
        <f t="shared" si="112"/>
        <v>4</v>
      </c>
      <c r="M210" s="99">
        <v>44705</v>
      </c>
      <c r="N210" s="79" t="s">
        <v>34</v>
      </c>
      <c r="O210" s="26"/>
      <c r="P210" s="47"/>
      <c r="Q210" s="27"/>
      <c r="R210" s="34"/>
      <c r="S210" s="35">
        <f t="shared" si="125"/>
        <v>0</v>
      </c>
      <c r="T210" s="26"/>
      <c r="U210" s="47"/>
      <c r="V210" s="27"/>
      <c r="W210" s="34">
        <v>8</v>
      </c>
      <c r="X210" s="35">
        <f t="shared" si="126"/>
        <v>8</v>
      </c>
      <c r="Y210" s="11">
        <f t="shared" si="113"/>
        <v>8</v>
      </c>
      <c r="Z210" s="99">
        <v>44715</v>
      </c>
    </row>
    <row r="211" spans="1:27" x14ac:dyDescent="0.15">
      <c r="A211" s="79" t="s">
        <v>196</v>
      </c>
      <c r="B211" s="26">
        <v>1</v>
      </c>
      <c r="C211" s="47"/>
      <c r="D211" s="27"/>
      <c r="E211" s="34">
        <v>1</v>
      </c>
      <c r="F211" s="35">
        <f t="shared" si="116"/>
        <v>2</v>
      </c>
      <c r="G211" s="26"/>
      <c r="H211" s="47"/>
      <c r="I211" s="27"/>
      <c r="J211" s="34"/>
      <c r="K211" s="35">
        <f t="shared" si="117"/>
        <v>0</v>
      </c>
      <c r="L211" s="11">
        <f t="shared" si="112"/>
        <v>2</v>
      </c>
      <c r="M211" s="99">
        <v>44706</v>
      </c>
      <c r="N211" s="79"/>
      <c r="O211" s="26"/>
      <c r="P211" s="47"/>
      <c r="Q211" s="27"/>
      <c r="R211" s="34"/>
      <c r="S211" s="35">
        <f t="shared" si="125"/>
        <v>0</v>
      </c>
      <c r="T211" s="26"/>
      <c r="U211" s="47"/>
      <c r="V211" s="27"/>
      <c r="W211" s="34"/>
      <c r="X211" s="35">
        <f t="shared" si="126"/>
        <v>0</v>
      </c>
      <c r="Y211" s="11">
        <f t="shared" si="113"/>
        <v>0</v>
      </c>
      <c r="Z211" s="126"/>
    </row>
    <row r="212" spans="1:27" x14ac:dyDescent="0.15">
      <c r="A212" s="79" t="s">
        <v>198</v>
      </c>
      <c r="B212" s="26"/>
      <c r="C212" s="47"/>
      <c r="D212" s="27">
        <v>1</v>
      </c>
      <c r="E212" s="34"/>
      <c r="F212" s="35">
        <f t="shared" si="116"/>
        <v>1</v>
      </c>
      <c r="G212" s="26"/>
      <c r="H212" s="47"/>
      <c r="I212" s="27"/>
      <c r="J212" s="34"/>
      <c r="K212" s="35">
        <f t="shared" si="117"/>
        <v>0</v>
      </c>
      <c r="L212" s="11">
        <f t="shared" si="112"/>
        <v>1</v>
      </c>
      <c r="M212" s="99">
        <v>44707</v>
      </c>
      <c r="N212" s="12"/>
      <c r="O212" s="26"/>
      <c r="P212" s="47"/>
      <c r="Q212" s="27"/>
      <c r="R212" s="34"/>
      <c r="S212" s="35">
        <f t="shared" si="125"/>
        <v>0</v>
      </c>
      <c r="T212" s="26"/>
      <c r="U212" s="47"/>
      <c r="V212" s="27"/>
      <c r="W212" s="34"/>
      <c r="X212" s="35">
        <f t="shared" si="126"/>
        <v>0</v>
      </c>
      <c r="Y212" s="11">
        <f t="shared" si="113"/>
        <v>0</v>
      </c>
    </row>
    <row r="213" spans="1:27" x14ac:dyDescent="0.15">
      <c r="A213" s="13" t="s">
        <v>199</v>
      </c>
      <c r="B213" s="26">
        <v>-3</v>
      </c>
      <c r="C213" s="47">
        <v>-3</v>
      </c>
      <c r="D213" s="27">
        <v>-3</v>
      </c>
      <c r="E213" s="34"/>
      <c r="F213" s="35">
        <f t="shared" si="116"/>
        <v>-9</v>
      </c>
      <c r="G213" s="26">
        <v>-3</v>
      </c>
      <c r="H213" s="47">
        <v>-3</v>
      </c>
      <c r="I213" s="27"/>
      <c r="J213" s="34"/>
      <c r="K213" s="35">
        <f t="shared" si="117"/>
        <v>-6</v>
      </c>
      <c r="L213" s="11">
        <f t="shared" si="112"/>
        <v>-15</v>
      </c>
      <c r="M213" s="99">
        <v>44707</v>
      </c>
      <c r="N213" s="15"/>
      <c r="O213" s="26"/>
      <c r="P213" s="47"/>
      <c r="Q213" s="27"/>
      <c r="R213" s="34"/>
      <c r="S213" s="35">
        <f t="shared" si="125"/>
        <v>0</v>
      </c>
      <c r="T213" s="26"/>
      <c r="U213" s="47"/>
      <c r="V213" s="27"/>
      <c r="W213" s="34"/>
      <c r="X213" s="35">
        <f t="shared" si="126"/>
        <v>0</v>
      </c>
      <c r="Y213" s="11">
        <f t="shared" si="113"/>
        <v>0</v>
      </c>
    </row>
    <row r="214" spans="1:27" x14ac:dyDescent="0.15">
      <c r="A214" s="79" t="s">
        <v>200</v>
      </c>
      <c r="B214" s="26">
        <v>3</v>
      </c>
      <c r="C214" s="47">
        <v>4</v>
      </c>
      <c r="D214" s="27">
        <v>3</v>
      </c>
      <c r="E214" s="34">
        <v>2</v>
      </c>
      <c r="F214" s="35">
        <f t="shared" si="116"/>
        <v>12</v>
      </c>
      <c r="G214" s="26">
        <v>1</v>
      </c>
      <c r="H214" s="47">
        <v>1</v>
      </c>
      <c r="I214" s="27">
        <v>1</v>
      </c>
      <c r="J214" s="34">
        <v>1</v>
      </c>
      <c r="K214" s="35">
        <f t="shared" si="117"/>
        <v>4</v>
      </c>
      <c r="L214" s="11">
        <f t="shared" si="112"/>
        <v>16</v>
      </c>
      <c r="M214" s="99">
        <v>44708</v>
      </c>
      <c r="N214" s="57"/>
      <c r="O214" s="26"/>
      <c r="P214" s="47"/>
      <c r="Q214" s="27"/>
      <c r="R214" s="34"/>
      <c r="S214" s="35">
        <f t="shared" si="125"/>
        <v>0</v>
      </c>
      <c r="T214" s="26"/>
      <c r="U214" s="47"/>
      <c r="V214" s="27"/>
      <c r="W214" s="34"/>
      <c r="X214" s="35">
        <f t="shared" si="126"/>
        <v>0</v>
      </c>
      <c r="Y214" s="11">
        <f t="shared" si="113"/>
        <v>0</v>
      </c>
    </row>
    <row r="215" spans="1:27" x14ac:dyDescent="0.15">
      <c r="A215" s="13" t="s">
        <v>49</v>
      </c>
      <c r="B215" s="26">
        <v>-2</v>
      </c>
      <c r="C215" s="47"/>
      <c r="D215" s="27"/>
      <c r="E215" s="34"/>
      <c r="F215" s="35">
        <f t="shared" si="116"/>
        <v>-2</v>
      </c>
      <c r="G215" s="26">
        <v>-1</v>
      </c>
      <c r="H215" s="47">
        <v>-1</v>
      </c>
      <c r="I215" s="27"/>
      <c r="J215" s="34"/>
      <c r="K215" s="35">
        <f t="shared" si="117"/>
        <v>-2</v>
      </c>
      <c r="L215" s="11">
        <f t="shared" si="112"/>
        <v>-4</v>
      </c>
      <c r="M215" s="99">
        <v>44708</v>
      </c>
      <c r="N215" s="15"/>
      <c r="O215" s="26"/>
      <c r="P215" s="47"/>
      <c r="Q215" s="27"/>
      <c r="R215" s="34"/>
      <c r="S215" s="35">
        <f t="shared" si="125"/>
        <v>0</v>
      </c>
      <c r="T215" s="26"/>
      <c r="U215" s="47"/>
      <c r="V215" s="27"/>
      <c r="W215" s="34"/>
      <c r="X215" s="35">
        <f t="shared" si="126"/>
        <v>0</v>
      </c>
      <c r="Y215" s="11">
        <f t="shared" si="113"/>
        <v>0</v>
      </c>
    </row>
    <row r="216" spans="1:27" x14ac:dyDescent="0.15">
      <c r="A216" s="15" t="s">
        <v>202</v>
      </c>
      <c r="B216" s="26"/>
      <c r="C216" s="47">
        <v>-5</v>
      </c>
      <c r="D216" s="27"/>
      <c r="E216" s="34"/>
      <c r="F216" s="35">
        <f t="shared" si="116"/>
        <v>-5</v>
      </c>
      <c r="G216" s="26"/>
      <c r="H216" s="47"/>
      <c r="I216" s="27"/>
      <c r="J216" s="34"/>
      <c r="K216" s="35">
        <f t="shared" si="117"/>
        <v>0</v>
      </c>
      <c r="L216" s="11">
        <f t="shared" si="112"/>
        <v>-5</v>
      </c>
      <c r="M216" s="99">
        <v>44712</v>
      </c>
      <c r="N216" s="57"/>
      <c r="O216" s="26"/>
      <c r="P216" s="47"/>
      <c r="Q216" s="27"/>
      <c r="R216" s="34"/>
      <c r="S216" s="35">
        <f t="shared" si="125"/>
        <v>0</v>
      </c>
      <c r="T216" s="26"/>
      <c r="U216" s="47"/>
      <c r="V216" s="27"/>
      <c r="W216" s="34"/>
      <c r="X216" s="35">
        <f t="shared" si="126"/>
        <v>0</v>
      </c>
      <c r="Y216" s="11">
        <f t="shared" si="113"/>
        <v>0</v>
      </c>
    </row>
    <row r="217" spans="1:27" x14ac:dyDescent="0.15">
      <c r="A217" s="79" t="s">
        <v>203</v>
      </c>
      <c r="B217" s="26"/>
      <c r="C217" s="47"/>
      <c r="D217" s="27"/>
      <c r="E217" s="34">
        <v>1</v>
      </c>
      <c r="F217" s="35">
        <f t="shared" si="116"/>
        <v>1</v>
      </c>
      <c r="G217" s="26"/>
      <c r="H217" s="47"/>
      <c r="I217" s="27"/>
      <c r="J217" s="34"/>
      <c r="K217" s="35">
        <f t="shared" si="117"/>
        <v>0</v>
      </c>
      <c r="L217" s="11">
        <f t="shared" si="112"/>
        <v>1</v>
      </c>
      <c r="M217" s="99">
        <v>44713</v>
      </c>
      <c r="N217" s="57"/>
      <c r="O217" s="26"/>
      <c r="P217" s="47"/>
      <c r="Q217" s="27"/>
      <c r="R217" s="34"/>
      <c r="S217" s="35">
        <f t="shared" si="125"/>
        <v>0</v>
      </c>
      <c r="T217" s="26"/>
      <c r="U217" s="47"/>
      <c r="V217" s="27"/>
      <c r="W217" s="34"/>
      <c r="X217" s="35">
        <f t="shared" si="126"/>
        <v>0</v>
      </c>
      <c r="Y217" s="11">
        <f t="shared" si="113"/>
        <v>0</v>
      </c>
    </row>
    <row r="218" spans="1:27" x14ac:dyDescent="0.15">
      <c r="A218" s="79" t="s">
        <v>206</v>
      </c>
      <c r="B218" s="26"/>
      <c r="C218" s="47"/>
      <c r="D218" s="27"/>
      <c r="E218" s="34">
        <v>1</v>
      </c>
      <c r="F218" s="35">
        <f t="shared" si="116"/>
        <v>1</v>
      </c>
      <c r="G218" s="26">
        <v>1</v>
      </c>
      <c r="H218" s="47">
        <v>3</v>
      </c>
      <c r="I218" s="27"/>
      <c r="J218" s="34"/>
      <c r="K218" s="35">
        <f t="shared" si="117"/>
        <v>4</v>
      </c>
      <c r="L218" s="11">
        <f t="shared" si="112"/>
        <v>5</v>
      </c>
      <c r="M218" s="99">
        <v>44714</v>
      </c>
      <c r="N218" s="15"/>
      <c r="O218" s="26"/>
      <c r="P218" s="47"/>
      <c r="Q218" s="27"/>
      <c r="R218" s="34"/>
      <c r="S218" s="35">
        <f t="shared" si="125"/>
        <v>0</v>
      </c>
      <c r="T218" s="26"/>
      <c r="U218" s="47"/>
      <c r="V218" s="27"/>
      <c r="W218" s="34"/>
      <c r="X218" s="35">
        <f t="shared" si="126"/>
        <v>0</v>
      </c>
      <c r="Y218" s="11">
        <f t="shared" si="113"/>
        <v>0</v>
      </c>
    </row>
    <row r="219" spans="1:27" x14ac:dyDescent="0.15">
      <c r="A219" s="15" t="s">
        <v>62</v>
      </c>
      <c r="B219" s="26"/>
      <c r="C219" s="47"/>
      <c r="D219" s="27"/>
      <c r="E219" s="34">
        <v>-3</v>
      </c>
      <c r="F219" s="35">
        <f t="shared" si="116"/>
        <v>-3</v>
      </c>
      <c r="G219" s="26"/>
      <c r="H219" s="47"/>
      <c r="I219" s="27"/>
      <c r="J219" s="34"/>
      <c r="K219" s="35">
        <f t="shared" si="117"/>
        <v>0</v>
      </c>
      <c r="L219" s="11">
        <f t="shared" si="112"/>
        <v>-3</v>
      </c>
      <c r="M219" s="99">
        <v>44714</v>
      </c>
      <c r="N219" s="12"/>
      <c r="O219" s="26"/>
      <c r="P219" s="47"/>
      <c r="Q219" s="27"/>
      <c r="R219" s="34"/>
      <c r="S219" s="35">
        <f t="shared" si="125"/>
        <v>0</v>
      </c>
      <c r="T219" s="26"/>
      <c r="U219" s="47"/>
      <c r="V219" s="27"/>
      <c r="W219" s="34"/>
      <c r="X219" s="35">
        <f t="shared" si="126"/>
        <v>0</v>
      </c>
      <c r="Y219" s="11">
        <f t="shared" si="113"/>
        <v>0</v>
      </c>
    </row>
    <row r="220" spans="1:27" x14ac:dyDescent="0.15">
      <c r="A220" s="90" t="s">
        <v>212</v>
      </c>
      <c r="B220" s="26"/>
      <c r="C220" s="47"/>
      <c r="D220" s="27"/>
      <c r="E220" s="34"/>
      <c r="F220" s="35">
        <f t="shared" si="116"/>
        <v>0</v>
      </c>
      <c r="G220" s="26"/>
      <c r="H220" s="47"/>
      <c r="I220" s="27"/>
      <c r="J220" s="34">
        <v>5</v>
      </c>
      <c r="K220" s="35">
        <f t="shared" si="117"/>
        <v>5</v>
      </c>
      <c r="L220" s="11">
        <f t="shared" si="112"/>
        <v>5</v>
      </c>
      <c r="M220" s="99">
        <v>44720</v>
      </c>
      <c r="N220" s="57"/>
      <c r="O220" s="26"/>
      <c r="P220" s="47"/>
      <c r="Q220" s="27"/>
      <c r="R220" s="34"/>
      <c r="S220" s="35">
        <f t="shared" si="125"/>
        <v>0</v>
      </c>
      <c r="T220" s="26"/>
      <c r="U220" s="47"/>
      <c r="V220" s="27"/>
      <c r="W220" s="34"/>
      <c r="X220" s="35">
        <f t="shared" si="126"/>
        <v>0</v>
      </c>
      <c r="Y220" s="11">
        <f t="shared" si="113"/>
        <v>0</v>
      </c>
    </row>
    <row r="221" spans="1:27" x14ac:dyDescent="0.15">
      <c r="A221" s="15" t="s">
        <v>62</v>
      </c>
      <c r="B221" s="26"/>
      <c r="C221" s="47"/>
      <c r="D221" s="27"/>
      <c r="E221" s="34"/>
      <c r="F221" s="35">
        <f t="shared" si="116"/>
        <v>0</v>
      </c>
      <c r="G221" s="26"/>
      <c r="H221" s="47"/>
      <c r="I221" s="27"/>
      <c r="J221" s="34">
        <v>-8</v>
      </c>
      <c r="K221" s="35">
        <f t="shared" si="117"/>
        <v>-8</v>
      </c>
      <c r="L221" s="11">
        <f t="shared" si="112"/>
        <v>-8</v>
      </c>
      <c r="M221" s="99">
        <v>44715</v>
      </c>
      <c r="N221" s="57"/>
      <c r="O221" s="26"/>
      <c r="P221" s="47"/>
      <c r="Q221" s="27"/>
      <c r="R221" s="34"/>
      <c r="S221" s="35">
        <f t="shared" si="125"/>
        <v>0</v>
      </c>
      <c r="T221" s="26"/>
      <c r="U221" s="47"/>
      <c r="V221" s="27"/>
      <c r="W221" s="34"/>
      <c r="X221" s="35">
        <f t="shared" si="126"/>
        <v>0</v>
      </c>
      <c r="Y221" s="11">
        <f t="shared" si="113"/>
        <v>0</v>
      </c>
    </row>
    <row r="222" spans="1:27" x14ac:dyDescent="0.15">
      <c r="A222" s="13" t="s">
        <v>41</v>
      </c>
      <c r="B222" s="26"/>
      <c r="C222" s="47"/>
      <c r="D222" s="27"/>
      <c r="E222" s="34"/>
      <c r="F222" s="35">
        <f t="shared" si="116"/>
        <v>0</v>
      </c>
      <c r="G222" s="26">
        <v>2</v>
      </c>
      <c r="H222" s="47"/>
      <c r="I222" s="27"/>
      <c r="J222" s="34"/>
      <c r="K222" s="35">
        <f t="shared" si="117"/>
        <v>2</v>
      </c>
      <c r="L222" s="11">
        <f t="shared" si="112"/>
        <v>2</v>
      </c>
      <c r="M222" s="126">
        <v>44716</v>
      </c>
      <c r="N222" s="57"/>
      <c r="O222" s="66"/>
      <c r="P222" s="67"/>
      <c r="Q222" s="68"/>
      <c r="R222" s="69"/>
      <c r="S222" s="70">
        <f t="shared" ref="S222:S223" si="130">SUM(O222:R222)</f>
        <v>0</v>
      </c>
      <c r="T222" s="66"/>
      <c r="U222" s="67"/>
      <c r="V222" s="68"/>
      <c r="W222" s="69"/>
      <c r="X222" s="70">
        <f t="shared" ref="X222:X223" si="131">SUM(T222:W222)</f>
        <v>0</v>
      </c>
      <c r="Y222" s="11">
        <f t="shared" ref="Y222:Y223" si="132">S222+X222</f>
        <v>0</v>
      </c>
      <c r="Z222" s="99"/>
    </row>
    <row r="223" spans="1:27" x14ac:dyDescent="0.15">
      <c r="A223" s="79" t="s">
        <v>211</v>
      </c>
      <c r="B223" s="26"/>
      <c r="C223" s="47"/>
      <c r="D223" s="27">
        <v>1</v>
      </c>
      <c r="E223" s="34">
        <v>2</v>
      </c>
      <c r="F223" s="35">
        <f t="shared" si="116"/>
        <v>3</v>
      </c>
      <c r="G223" s="26"/>
      <c r="H223" s="47"/>
      <c r="I223" s="27">
        <v>2</v>
      </c>
      <c r="J223" s="34">
        <v>1</v>
      </c>
      <c r="K223" s="35">
        <f t="shared" si="117"/>
        <v>3</v>
      </c>
      <c r="L223" s="11">
        <f t="shared" si="112"/>
        <v>6</v>
      </c>
      <c r="M223" s="99">
        <v>44719</v>
      </c>
      <c r="N223" s="57" t="s">
        <v>161</v>
      </c>
      <c r="O223" s="66"/>
      <c r="P223" s="67"/>
      <c r="Q223" s="68"/>
      <c r="R223" s="69"/>
      <c r="S223" s="70">
        <f t="shared" si="130"/>
        <v>0</v>
      </c>
      <c r="T223" s="66"/>
      <c r="U223" s="67"/>
      <c r="V223" s="68"/>
      <c r="W223" s="69"/>
      <c r="X223" s="70">
        <f t="shared" si="131"/>
        <v>0</v>
      </c>
      <c r="Y223" s="11">
        <f t="shared" si="132"/>
        <v>0</v>
      </c>
      <c r="Z223" s="99" t="s">
        <v>162</v>
      </c>
    </row>
    <row r="224" spans="1:27" ht="14.25" thickBot="1" x14ac:dyDescent="0.2">
      <c r="A224" s="13" t="s">
        <v>41</v>
      </c>
      <c r="B224" s="62">
        <v>2</v>
      </c>
      <c r="C224" s="63">
        <v>1</v>
      </c>
      <c r="D224" s="64"/>
      <c r="E224" s="65"/>
      <c r="F224" s="35">
        <f t="shared" si="116"/>
        <v>3</v>
      </c>
      <c r="G224" s="62"/>
      <c r="H224" s="63">
        <v>1</v>
      </c>
      <c r="I224" s="64"/>
      <c r="J224" s="65"/>
      <c r="K224" s="35">
        <f t="shared" si="117"/>
        <v>1</v>
      </c>
      <c r="L224" s="14">
        <f t="shared" si="112"/>
        <v>4</v>
      </c>
      <c r="M224" s="126">
        <v>44718</v>
      </c>
      <c r="N224" s="90" t="s">
        <v>982</v>
      </c>
      <c r="O224" s="62"/>
      <c r="P224" s="63"/>
      <c r="Q224" s="64"/>
      <c r="R224" s="65"/>
      <c r="S224" s="120">
        <f t="shared" si="125"/>
        <v>0</v>
      </c>
      <c r="T224" s="62"/>
      <c r="U224" s="63"/>
      <c r="V224" s="64"/>
      <c r="W224" s="65"/>
      <c r="X224" s="120">
        <f>SUM(T224:W224)</f>
        <v>0</v>
      </c>
      <c r="Y224" s="121">
        <f>S224+X224</f>
        <v>0</v>
      </c>
      <c r="Z224" s="101" t="s">
        <v>24</v>
      </c>
    </row>
    <row r="225" spans="1:27" ht="14.25" thickBot="1" x14ac:dyDescent="0.2">
      <c r="A225" s="17" t="s">
        <v>10</v>
      </c>
      <c r="B225" s="38">
        <f>SUM(B200:B224)</f>
        <v>3</v>
      </c>
      <c r="C225" s="48">
        <f>SUM(C200:C224)</f>
        <v>1</v>
      </c>
      <c r="D225" s="39">
        <f>SUM(D200:D224)</f>
        <v>7</v>
      </c>
      <c r="E225" s="40">
        <f>SUM(E200:E224)</f>
        <v>5</v>
      </c>
      <c r="F225" s="36">
        <f>SUM(B225:E225)</f>
        <v>16</v>
      </c>
      <c r="G225" s="38">
        <f>SUM(G200:G224)</f>
        <v>1</v>
      </c>
      <c r="H225" s="48">
        <f>SUM(H200:H224)</f>
        <v>9</v>
      </c>
      <c r="I225" s="39">
        <f>SUM(I200:I224)</f>
        <v>5</v>
      </c>
      <c r="J225" s="40">
        <f>SUM(J200:J224)</f>
        <v>5</v>
      </c>
      <c r="K225" s="36">
        <f>SUM(G225:J225)</f>
        <v>20</v>
      </c>
      <c r="L225" s="37">
        <f t="shared" si="112"/>
        <v>36</v>
      </c>
      <c r="N225" s="17" t="s">
        <v>10</v>
      </c>
      <c r="O225" s="38">
        <f>SUM(O200:O224)</f>
        <v>21</v>
      </c>
      <c r="P225" s="48">
        <f>SUM(P200:P224)</f>
        <v>26</v>
      </c>
      <c r="Q225" s="39">
        <f>SUM(Q200:Q224)</f>
        <v>18</v>
      </c>
      <c r="R225" s="40">
        <f>SUM(R200:R224)</f>
        <v>23</v>
      </c>
      <c r="S225" s="118">
        <f t="shared" si="125"/>
        <v>88</v>
      </c>
      <c r="T225" s="38">
        <f>SUM(T200:T224)</f>
        <v>23</v>
      </c>
      <c r="U225" s="48">
        <f>SUM(U200:U224)</f>
        <v>30</v>
      </c>
      <c r="V225" s="39">
        <f>SUM(V200:V224)</f>
        <v>10</v>
      </c>
      <c r="W225" s="40">
        <f>SUM(W200:W224)</f>
        <v>33</v>
      </c>
      <c r="X225" s="118">
        <f t="shared" si="126"/>
        <v>96</v>
      </c>
      <c r="Y225" s="119">
        <f t="shared" si="113"/>
        <v>184</v>
      </c>
    </row>
    <row r="226" spans="1:27" ht="14.25" thickBot="1" x14ac:dyDescent="0.2">
      <c r="A226" s="22" t="s">
        <v>11</v>
      </c>
      <c r="B226" s="41">
        <f>B199-B225</f>
        <v>3</v>
      </c>
      <c r="C226" s="49">
        <f>C199-C225</f>
        <v>5</v>
      </c>
      <c r="D226" s="42">
        <f t="shared" ref="D226:K226" si="133">D199-D225</f>
        <v>4</v>
      </c>
      <c r="E226" s="43">
        <f t="shared" si="133"/>
        <v>0</v>
      </c>
      <c r="F226" s="61">
        <f t="shared" si="133"/>
        <v>8</v>
      </c>
      <c r="G226" s="41">
        <f t="shared" si="133"/>
        <v>3</v>
      </c>
      <c r="H226" s="49">
        <f t="shared" si="133"/>
        <v>3</v>
      </c>
      <c r="I226" s="42">
        <f t="shared" si="133"/>
        <v>7</v>
      </c>
      <c r="J226" s="43">
        <f t="shared" si="133"/>
        <v>5</v>
      </c>
      <c r="K226" s="61">
        <f t="shared" si="133"/>
        <v>18</v>
      </c>
      <c r="L226" s="21">
        <f t="shared" si="112"/>
        <v>26</v>
      </c>
      <c r="N226" s="17" t="s">
        <v>11</v>
      </c>
      <c r="O226" s="41">
        <f>O199-O225</f>
        <v>48</v>
      </c>
      <c r="P226" s="49">
        <f t="shared" ref="P226:X226" si="134">P199-P225</f>
        <v>62</v>
      </c>
      <c r="Q226" s="42">
        <f t="shared" si="134"/>
        <v>80</v>
      </c>
      <c r="R226" s="43">
        <f t="shared" si="134"/>
        <v>130</v>
      </c>
      <c r="S226" s="61">
        <f t="shared" si="134"/>
        <v>320</v>
      </c>
      <c r="T226" s="41">
        <f t="shared" si="134"/>
        <v>75</v>
      </c>
      <c r="U226" s="49">
        <f t="shared" si="134"/>
        <v>50</v>
      </c>
      <c r="V226" s="42">
        <f t="shared" si="134"/>
        <v>105</v>
      </c>
      <c r="W226" s="43">
        <f t="shared" si="134"/>
        <v>142</v>
      </c>
      <c r="X226" s="61">
        <f t="shared" si="134"/>
        <v>372</v>
      </c>
      <c r="Y226" s="21">
        <f t="shared" si="113"/>
        <v>692</v>
      </c>
    </row>
    <row r="227" spans="1:27" x14ac:dyDescent="0.15">
      <c r="O227" s="125">
        <f>O226/$S$226*100</f>
        <v>15</v>
      </c>
      <c r="P227" s="125">
        <f t="shared" ref="P227:S227" si="135">P226/$S$226*100</f>
        <v>19.375</v>
      </c>
      <c r="Q227" s="125">
        <f t="shared" si="135"/>
        <v>25</v>
      </c>
      <c r="R227" s="125">
        <f t="shared" si="135"/>
        <v>40.625</v>
      </c>
      <c r="S227" s="125">
        <f t="shared" si="135"/>
        <v>100</v>
      </c>
      <c r="T227" s="125">
        <f>T226/$X$226*100</f>
        <v>20.161290322580644</v>
      </c>
      <c r="U227" s="125">
        <f t="shared" ref="U227:X227" si="136">U226/$X$226*100</f>
        <v>13.440860215053762</v>
      </c>
      <c r="V227" s="125">
        <f t="shared" si="136"/>
        <v>28.225806451612907</v>
      </c>
      <c r="W227" s="125">
        <f t="shared" si="136"/>
        <v>38.172043010752688</v>
      </c>
      <c r="X227" s="125">
        <f t="shared" si="136"/>
        <v>100</v>
      </c>
    </row>
    <row r="229" spans="1:27" ht="19.5" thickBot="1" x14ac:dyDescent="0.25">
      <c r="A229" s="2" t="s">
        <v>106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105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7" ht="14.25" thickBot="1" x14ac:dyDescent="0.2">
      <c r="A230" s="5" t="s">
        <v>0</v>
      </c>
      <c r="B230" s="342" t="s">
        <v>18</v>
      </c>
      <c r="C230" s="350"/>
      <c r="D230" s="350"/>
      <c r="E230" s="350"/>
      <c r="F230" s="351"/>
      <c r="G230" s="345" t="s">
        <v>12</v>
      </c>
      <c r="H230" s="352"/>
      <c r="I230" s="352"/>
      <c r="J230" s="352"/>
      <c r="K230" s="353"/>
      <c r="L230" s="354" t="s">
        <v>1</v>
      </c>
      <c r="N230" s="5" t="s">
        <v>0</v>
      </c>
      <c r="O230" s="342" t="s">
        <v>18</v>
      </c>
      <c r="P230" s="350"/>
      <c r="Q230" s="350"/>
      <c r="R230" s="350"/>
      <c r="S230" s="351"/>
      <c r="T230" s="345" t="s">
        <v>12</v>
      </c>
      <c r="U230" s="352"/>
      <c r="V230" s="352"/>
      <c r="W230" s="352"/>
      <c r="X230" s="353"/>
      <c r="Y230" s="354" t="s">
        <v>1</v>
      </c>
    </row>
    <row r="231" spans="1:27" ht="14.25" thickBot="1" x14ac:dyDescent="0.2">
      <c r="A231" s="5" t="s">
        <v>2</v>
      </c>
      <c r="B231" s="3" t="s">
        <v>13</v>
      </c>
      <c r="C231" s="44" t="s">
        <v>14</v>
      </c>
      <c r="D231" s="4" t="s">
        <v>15</v>
      </c>
      <c r="E231" s="23" t="s">
        <v>16</v>
      </c>
      <c r="F231" s="31" t="s">
        <v>3</v>
      </c>
      <c r="G231" s="3" t="s">
        <v>13</v>
      </c>
      <c r="H231" s="44" t="s">
        <v>14</v>
      </c>
      <c r="I231" s="4" t="s">
        <v>15</v>
      </c>
      <c r="J231" s="23" t="s">
        <v>16</v>
      </c>
      <c r="K231" s="31" t="s">
        <v>3</v>
      </c>
      <c r="L231" s="355"/>
      <c r="N231" s="5" t="s">
        <v>2</v>
      </c>
      <c r="O231" s="3" t="s">
        <v>13</v>
      </c>
      <c r="P231" s="44" t="s">
        <v>14</v>
      </c>
      <c r="Q231" s="4" t="s">
        <v>15</v>
      </c>
      <c r="R231" s="23" t="s">
        <v>16</v>
      </c>
      <c r="S231" s="31" t="s">
        <v>3</v>
      </c>
      <c r="T231" s="3" t="s">
        <v>13</v>
      </c>
      <c r="U231" s="44" t="s">
        <v>14</v>
      </c>
      <c r="V231" s="4" t="s">
        <v>15</v>
      </c>
      <c r="W231" s="23" t="s">
        <v>16</v>
      </c>
      <c r="X231" s="31" t="s">
        <v>3</v>
      </c>
      <c r="Y231" s="355"/>
    </row>
    <row r="232" spans="1:27" x14ac:dyDescent="0.15">
      <c r="A232" s="71" t="s">
        <v>17</v>
      </c>
      <c r="B232" s="72">
        <f>B226</f>
        <v>3</v>
      </c>
      <c r="C232" s="73">
        <f t="shared" ref="C232:L232" si="137">C226</f>
        <v>5</v>
      </c>
      <c r="D232" s="73">
        <f t="shared" si="137"/>
        <v>4</v>
      </c>
      <c r="E232" s="74">
        <f t="shared" si="137"/>
        <v>0</v>
      </c>
      <c r="F232" s="76">
        <f t="shared" si="137"/>
        <v>8</v>
      </c>
      <c r="G232" s="72">
        <f t="shared" si="137"/>
        <v>3</v>
      </c>
      <c r="H232" s="73">
        <f t="shared" si="137"/>
        <v>3</v>
      </c>
      <c r="I232" s="73">
        <f t="shared" si="137"/>
        <v>7</v>
      </c>
      <c r="J232" s="74">
        <f t="shared" si="137"/>
        <v>5</v>
      </c>
      <c r="K232" s="75">
        <f t="shared" si="137"/>
        <v>18</v>
      </c>
      <c r="L232" s="16">
        <f t="shared" si="137"/>
        <v>26</v>
      </c>
      <c r="N232" s="71" t="s">
        <v>17</v>
      </c>
      <c r="O232" s="72">
        <f>O226</f>
        <v>48</v>
      </c>
      <c r="P232" s="73">
        <f t="shared" ref="P232:Y232" si="138">P226</f>
        <v>62</v>
      </c>
      <c r="Q232" s="73">
        <f t="shared" si="138"/>
        <v>80</v>
      </c>
      <c r="R232" s="74">
        <f t="shared" si="138"/>
        <v>130</v>
      </c>
      <c r="S232" s="76">
        <f t="shared" si="138"/>
        <v>320</v>
      </c>
      <c r="T232" s="72">
        <f t="shared" si="138"/>
        <v>75</v>
      </c>
      <c r="U232" s="73">
        <f t="shared" si="138"/>
        <v>50</v>
      </c>
      <c r="V232" s="73">
        <f t="shared" si="138"/>
        <v>105</v>
      </c>
      <c r="W232" s="74">
        <f t="shared" si="138"/>
        <v>142</v>
      </c>
      <c r="X232" s="75">
        <f t="shared" si="138"/>
        <v>372</v>
      </c>
      <c r="Y232" s="16">
        <f t="shared" si="138"/>
        <v>692</v>
      </c>
    </row>
    <row r="233" spans="1:27" x14ac:dyDescent="0.15">
      <c r="A233" s="13" t="s">
        <v>5</v>
      </c>
      <c r="B233" s="6"/>
      <c r="C233" s="30"/>
      <c r="D233" s="7">
        <v>3</v>
      </c>
      <c r="E233" s="8">
        <v>3</v>
      </c>
      <c r="F233" s="9">
        <f>SUM(B233:E233)</f>
        <v>6</v>
      </c>
      <c r="G233" s="30">
        <v>3</v>
      </c>
      <c r="H233" s="30">
        <v>3</v>
      </c>
      <c r="I233" s="7"/>
      <c r="J233" s="8"/>
      <c r="K233" s="9">
        <f>SUM(G233:J233)</f>
        <v>6</v>
      </c>
      <c r="L233" s="11">
        <f t="shared" ref="L233:L264" si="139">F233+K233</f>
        <v>12</v>
      </c>
      <c r="M233" s="99">
        <v>44719</v>
      </c>
      <c r="N233" s="13" t="s">
        <v>5</v>
      </c>
      <c r="O233" s="26">
        <v>-60</v>
      </c>
      <c r="P233" s="47">
        <v>-60</v>
      </c>
      <c r="Q233" s="27"/>
      <c r="R233" s="34"/>
      <c r="S233" s="77">
        <f>SUM(O233:R233)</f>
        <v>-120</v>
      </c>
      <c r="T233" s="26">
        <v>-60</v>
      </c>
      <c r="U233" s="47"/>
      <c r="V233" s="27"/>
      <c r="W233" s="34"/>
      <c r="X233" s="9">
        <f>SUM(T233:W233)</f>
        <v>-60</v>
      </c>
      <c r="Y233" s="11">
        <f t="shared" ref="Y233:Y235" si="140">S233+X233</f>
        <v>-180</v>
      </c>
      <c r="Z233" s="99">
        <v>44705</v>
      </c>
    </row>
    <row r="234" spans="1:27" x14ac:dyDescent="0.15">
      <c r="A234" s="13" t="s">
        <v>49</v>
      </c>
      <c r="B234" s="6"/>
      <c r="C234" s="30">
        <v>2</v>
      </c>
      <c r="D234" s="7">
        <f>1-1</f>
        <v>0</v>
      </c>
      <c r="E234" s="8"/>
      <c r="F234" s="9">
        <f>SUM(B234:E234)</f>
        <v>2</v>
      </c>
      <c r="G234" s="30">
        <v>1</v>
      </c>
      <c r="H234" s="30"/>
      <c r="I234" s="7"/>
      <c r="J234" s="8"/>
      <c r="K234" s="9">
        <f>SUM(G234:J234)</f>
        <v>1</v>
      </c>
      <c r="L234" s="11">
        <f t="shared" si="139"/>
        <v>3</v>
      </c>
      <c r="M234" s="99">
        <v>44722</v>
      </c>
      <c r="N234" s="13" t="s">
        <v>6</v>
      </c>
      <c r="O234" s="26">
        <v>450</v>
      </c>
      <c r="P234" s="47">
        <v>650</v>
      </c>
      <c r="Q234" s="27">
        <v>250</v>
      </c>
      <c r="R234" s="34">
        <v>100</v>
      </c>
      <c r="S234" s="77">
        <f>SUM(O234:R234)</f>
        <v>1450</v>
      </c>
      <c r="T234" s="26">
        <v>500</v>
      </c>
      <c r="U234" s="47">
        <v>600</v>
      </c>
      <c r="V234" s="27">
        <v>250</v>
      </c>
      <c r="W234" s="34">
        <v>50</v>
      </c>
      <c r="X234" s="9">
        <f>SUM(T234:W234)</f>
        <v>1400</v>
      </c>
      <c r="Y234" s="11">
        <f t="shared" si="140"/>
        <v>2850</v>
      </c>
      <c r="Z234" s="99" t="s">
        <v>214</v>
      </c>
    </row>
    <row r="235" spans="1:27" x14ac:dyDescent="0.15">
      <c r="A235" s="13" t="s">
        <v>126</v>
      </c>
      <c r="B235" s="6"/>
      <c r="C235" s="30"/>
      <c r="D235" s="7"/>
      <c r="E235" s="8"/>
      <c r="F235" s="9">
        <f>SUM(B235:E235)</f>
        <v>0</v>
      </c>
      <c r="G235" s="30">
        <v>1</v>
      </c>
      <c r="H235" s="30"/>
      <c r="I235" s="7">
        <v>2</v>
      </c>
      <c r="J235" s="8"/>
      <c r="K235" s="9">
        <f>SUM(G235:J235)</f>
        <v>3</v>
      </c>
      <c r="L235" s="11">
        <f t="shared" si="139"/>
        <v>3</v>
      </c>
      <c r="M235" s="99">
        <v>44728</v>
      </c>
      <c r="N235" s="13" t="s">
        <v>7</v>
      </c>
      <c r="O235" s="26"/>
      <c r="P235" s="47"/>
      <c r="Q235" s="27"/>
      <c r="R235" s="34"/>
      <c r="S235" s="77">
        <f>SUM(O235:R235)</f>
        <v>0</v>
      </c>
      <c r="T235" s="47"/>
      <c r="U235" s="47"/>
      <c r="V235" s="27"/>
      <c r="W235" s="50"/>
      <c r="X235" s="9">
        <f>SUM(T235:W235)</f>
        <v>0</v>
      </c>
      <c r="Y235" s="11">
        <f t="shared" si="140"/>
        <v>0</v>
      </c>
      <c r="Z235" s="101" t="s">
        <v>181</v>
      </c>
    </row>
    <row r="236" spans="1:27" ht="14.25" thickBot="1" x14ac:dyDescent="0.2">
      <c r="A236" s="13" t="s">
        <v>8</v>
      </c>
      <c r="B236" s="6">
        <v>3</v>
      </c>
      <c r="C236" s="30">
        <v>10</v>
      </c>
      <c r="D236" s="7"/>
      <c r="E236" s="8">
        <v>3</v>
      </c>
      <c r="F236" s="10">
        <f>SUM(B236:E236)</f>
        <v>16</v>
      </c>
      <c r="G236" s="30"/>
      <c r="H236" s="30"/>
      <c r="I236" s="7"/>
      <c r="J236" s="8"/>
      <c r="K236" s="10">
        <f>SUM(G236:J236)</f>
        <v>0</v>
      </c>
      <c r="L236" s="14">
        <f t="shared" si="139"/>
        <v>16</v>
      </c>
      <c r="M236" s="99">
        <v>44734</v>
      </c>
      <c r="N236" s="13" t="s">
        <v>8</v>
      </c>
      <c r="O236" s="62"/>
      <c r="P236" s="63"/>
      <c r="Q236" s="64"/>
      <c r="R236" s="65"/>
      <c r="S236" s="78">
        <f>SUM(O236:R236)</f>
        <v>0</v>
      </c>
      <c r="T236" s="47"/>
      <c r="U236" s="47"/>
      <c r="V236" s="27"/>
      <c r="W236" s="50"/>
      <c r="X236" s="10">
        <f>SUM(T236:W236)</f>
        <v>0</v>
      </c>
      <c r="Y236" s="14">
        <f t="shared" ref="Y236:Y261" si="141">S236+X236</f>
        <v>0</v>
      </c>
    </row>
    <row r="237" spans="1:27" ht="14.25" thickBot="1" x14ac:dyDescent="0.2">
      <c r="A237" s="22" t="s">
        <v>9</v>
      </c>
      <c r="B237" s="18">
        <f t="shared" ref="B237:K237" si="142">SUM(B232:B236)</f>
        <v>6</v>
      </c>
      <c r="C237" s="45">
        <f t="shared" si="142"/>
        <v>17</v>
      </c>
      <c r="D237" s="19">
        <f t="shared" si="142"/>
        <v>7</v>
      </c>
      <c r="E237" s="20">
        <f t="shared" si="142"/>
        <v>6</v>
      </c>
      <c r="F237" s="28">
        <f t="shared" si="142"/>
        <v>32</v>
      </c>
      <c r="G237" s="18">
        <f t="shared" si="142"/>
        <v>8</v>
      </c>
      <c r="H237" s="45">
        <f t="shared" si="142"/>
        <v>6</v>
      </c>
      <c r="I237" s="19">
        <f t="shared" si="142"/>
        <v>9</v>
      </c>
      <c r="J237" s="20">
        <f t="shared" si="142"/>
        <v>5</v>
      </c>
      <c r="K237" s="28">
        <f t="shared" si="142"/>
        <v>28</v>
      </c>
      <c r="L237" s="21">
        <f t="shared" si="139"/>
        <v>60</v>
      </c>
      <c r="N237" s="17" t="s">
        <v>9</v>
      </c>
      <c r="O237" s="41">
        <f>SUM(O232:O236)</f>
        <v>438</v>
      </c>
      <c r="P237" s="49">
        <f t="shared" ref="P237:V237" si="143">SUM(P232:P236)</f>
        <v>652</v>
      </c>
      <c r="Q237" s="42">
        <f t="shared" si="143"/>
        <v>330</v>
      </c>
      <c r="R237" s="92">
        <f t="shared" si="143"/>
        <v>230</v>
      </c>
      <c r="S237" s="93">
        <f t="shared" si="143"/>
        <v>1650</v>
      </c>
      <c r="T237" s="41">
        <f t="shared" si="143"/>
        <v>515</v>
      </c>
      <c r="U237" s="49">
        <f t="shared" si="143"/>
        <v>650</v>
      </c>
      <c r="V237" s="42">
        <f t="shared" si="143"/>
        <v>355</v>
      </c>
      <c r="W237" s="92">
        <f>SUM(W232:W236)</f>
        <v>192</v>
      </c>
      <c r="X237" s="93">
        <f t="shared" ref="X237" si="144">SUM(X232:X236)</f>
        <v>1712</v>
      </c>
      <c r="Y237" s="56">
        <f t="shared" si="141"/>
        <v>3362</v>
      </c>
    </row>
    <row r="238" spans="1:27" x14ac:dyDescent="0.15">
      <c r="A238" s="79" t="s">
        <v>215</v>
      </c>
      <c r="B238" s="24"/>
      <c r="C238" s="46">
        <v>2</v>
      </c>
      <c r="D238" s="25"/>
      <c r="E238" s="33">
        <v>1</v>
      </c>
      <c r="F238" s="35">
        <f>SUM(B238:E238)</f>
        <v>3</v>
      </c>
      <c r="G238" s="24"/>
      <c r="H238" s="46"/>
      <c r="I238" s="25"/>
      <c r="J238" s="33"/>
      <c r="K238" s="35">
        <f>SUM(G238:J238)</f>
        <v>0</v>
      </c>
      <c r="L238" s="11">
        <f t="shared" si="139"/>
        <v>3</v>
      </c>
      <c r="M238" s="99">
        <v>44721</v>
      </c>
      <c r="N238" s="79" t="s">
        <v>34</v>
      </c>
      <c r="O238" s="66"/>
      <c r="P238" s="67"/>
      <c r="Q238" s="68">
        <v>3</v>
      </c>
      <c r="R238" s="94">
        <v>3</v>
      </c>
      <c r="S238" s="91">
        <f>SUM(O238:R238)</f>
        <v>6</v>
      </c>
      <c r="T238" s="67">
        <v>3</v>
      </c>
      <c r="U238" s="67">
        <v>3</v>
      </c>
      <c r="V238" s="68"/>
      <c r="W238" s="94"/>
      <c r="X238" s="91">
        <f>SUM(T238:W238)</f>
        <v>6</v>
      </c>
      <c r="Y238" s="11">
        <f t="shared" si="141"/>
        <v>12</v>
      </c>
      <c r="Z238" s="99">
        <v>44719</v>
      </c>
      <c r="AA238" s="58"/>
    </row>
    <row r="239" spans="1:27" x14ac:dyDescent="0.15">
      <c r="A239" s="32" t="s">
        <v>216</v>
      </c>
      <c r="B239" s="26"/>
      <c r="C239" s="47"/>
      <c r="D239" s="27"/>
      <c r="E239" s="34"/>
      <c r="F239" s="35">
        <f>SUM(B239:E239)</f>
        <v>0</v>
      </c>
      <c r="G239" s="26">
        <v>1</v>
      </c>
      <c r="H239" s="47"/>
      <c r="I239" s="27"/>
      <c r="J239" s="34"/>
      <c r="K239" s="35">
        <f>SUM(G239:J239)</f>
        <v>1</v>
      </c>
      <c r="L239" s="11">
        <f t="shared" si="139"/>
        <v>1</v>
      </c>
      <c r="M239" s="126">
        <v>44721</v>
      </c>
      <c r="N239" s="79" t="s">
        <v>213</v>
      </c>
      <c r="O239" s="26"/>
      <c r="P239" s="47"/>
      <c r="Q239" s="27">
        <v>4</v>
      </c>
      <c r="R239" s="34">
        <v>4</v>
      </c>
      <c r="S239" s="35">
        <f t="shared" ref="S239" si="145">SUM(O239:R239)</f>
        <v>8</v>
      </c>
      <c r="T239" s="26"/>
      <c r="U239" s="47"/>
      <c r="V239" s="27"/>
      <c r="W239" s="34"/>
      <c r="X239" s="35">
        <f t="shared" ref="X239" si="146">SUM(T239:W239)</f>
        <v>0</v>
      </c>
      <c r="Y239" s="11">
        <f t="shared" si="141"/>
        <v>8</v>
      </c>
      <c r="Z239" s="99">
        <v>44720</v>
      </c>
      <c r="AA239" s="58"/>
    </row>
    <row r="240" spans="1:27" x14ac:dyDescent="0.15">
      <c r="A240" s="13" t="s">
        <v>41</v>
      </c>
      <c r="B240" s="26"/>
      <c r="C240" s="47">
        <v>2</v>
      </c>
      <c r="D240" s="27"/>
      <c r="E240" s="34"/>
      <c r="F240" s="35">
        <f t="shared" ref="F240:F262" si="147">SUM(B240:E240)</f>
        <v>2</v>
      </c>
      <c r="G240" s="26"/>
      <c r="H240" s="47">
        <v>2</v>
      </c>
      <c r="I240" s="27"/>
      <c r="J240" s="34"/>
      <c r="K240" s="35">
        <f t="shared" ref="K240:K262" si="148">SUM(G240:J240)</f>
        <v>2</v>
      </c>
      <c r="L240" s="11">
        <f t="shared" si="139"/>
        <v>4</v>
      </c>
      <c r="M240" s="126">
        <v>44725</v>
      </c>
      <c r="N240" s="90" t="s">
        <v>219</v>
      </c>
      <c r="O240" s="26"/>
      <c r="P240" s="47"/>
      <c r="Q240" s="27"/>
      <c r="R240" s="34"/>
      <c r="S240" s="35">
        <f t="shared" ref="S240" si="149">SUM(O240:R240)</f>
        <v>0</v>
      </c>
      <c r="T240" s="26"/>
      <c r="U240" s="47"/>
      <c r="V240" s="27">
        <v>5</v>
      </c>
      <c r="W240" s="34"/>
      <c r="X240" s="35">
        <f t="shared" ref="X240" si="150">SUM(T240:W240)</f>
        <v>5</v>
      </c>
      <c r="Y240" s="11">
        <f t="shared" si="141"/>
        <v>5</v>
      </c>
      <c r="Z240" s="99">
        <v>44725</v>
      </c>
      <c r="AA240" s="58"/>
    </row>
    <row r="241" spans="1:27" x14ac:dyDescent="0.15">
      <c r="A241" s="13" t="s">
        <v>41</v>
      </c>
      <c r="B241" s="66"/>
      <c r="C241" s="67"/>
      <c r="D241" s="68"/>
      <c r="E241" s="69"/>
      <c r="F241" s="70">
        <f t="shared" si="147"/>
        <v>0</v>
      </c>
      <c r="G241" s="66">
        <v>1</v>
      </c>
      <c r="H241" s="67"/>
      <c r="I241" s="68"/>
      <c r="J241" s="69"/>
      <c r="K241" s="70">
        <f t="shared" si="148"/>
        <v>1</v>
      </c>
      <c r="L241" s="11">
        <f t="shared" si="139"/>
        <v>1</v>
      </c>
      <c r="M241" s="126">
        <v>44732</v>
      </c>
      <c r="N241" s="79" t="s">
        <v>217</v>
      </c>
      <c r="O241" s="66"/>
      <c r="P241" s="67">
        <v>5</v>
      </c>
      <c r="Q241" s="68"/>
      <c r="R241" s="94"/>
      <c r="S241" s="91">
        <f>SUM(O241:R241)</f>
        <v>5</v>
      </c>
      <c r="T241" s="67"/>
      <c r="U241" s="67"/>
      <c r="V241" s="68"/>
      <c r="W241" s="94"/>
      <c r="X241" s="91">
        <f>SUM(T241:W241)</f>
        <v>0</v>
      </c>
      <c r="Y241" s="11">
        <f t="shared" si="141"/>
        <v>5</v>
      </c>
      <c r="Z241" s="99">
        <v>44722</v>
      </c>
      <c r="AA241" s="58"/>
    </row>
    <row r="242" spans="1:27" x14ac:dyDescent="0.15">
      <c r="A242" s="79" t="s">
        <v>224</v>
      </c>
      <c r="B242" s="26"/>
      <c r="C242" s="47">
        <v>2</v>
      </c>
      <c r="D242" s="27"/>
      <c r="E242" s="34">
        <v>1</v>
      </c>
      <c r="F242" s="35">
        <f t="shared" si="147"/>
        <v>3</v>
      </c>
      <c r="G242" s="26"/>
      <c r="H242" s="47"/>
      <c r="I242" s="27"/>
      <c r="J242" s="34"/>
      <c r="K242" s="35">
        <f t="shared" si="148"/>
        <v>0</v>
      </c>
      <c r="L242" s="11">
        <f t="shared" si="139"/>
        <v>3</v>
      </c>
      <c r="M242" s="99">
        <v>44734</v>
      </c>
      <c r="N242" s="79" t="s">
        <v>218</v>
      </c>
      <c r="O242" s="26"/>
      <c r="P242" s="47">
        <v>1</v>
      </c>
      <c r="Q242" s="27"/>
      <c r="R242" s="34">
        <v>1</v>
      </c>
      <c r="S242" s="35">
        <f t="shared" ref="S242:S244" si="151">SUM(O242:R242)</f>
        <v>2</v>
      </c>
      <c r="T242" s="26">
        <v>2</v>
      </c>
      <c r="U242" s="47"/>
      <c r="V242" s="27"/>
      <c r="W242" s="34"/>
      <c r="X242" s="35">
        <f t="shared" ref="X242:X244" si="152">SUM(T242:W242)</f>
        <v>2</v>
      </c>
      <c r="Y242" s="11">
        <f t="shared" si="141"/>
        <v>4</v>
      </c>
      <c r="Z242" s="99">
        <v>44725</v>
      </c>
      <c r="AA242" s="58"/>
    </row>
    <row r="243" spans="1:27" x14ac:dyDescent="0.15">
      <c r="A243" s="13" t="s">
        <v>41</v>
      </c>
      <c r="B243" s="26"/>
      <c r="C243" s="47"/>
      <c r="D243" s="27">
        <v>1</v>
      </c>
      <c r="E243" s="34"/>
      <c r="F243" s="35">
        <f t="shared" si="147"/>
        <v>1</v>
      </c>
      <c r="G243" s="26"/>
      <c r="H243" s="47"/>
      <c r="I243" s="27"/>
      <c r="J243" s="34"/>
      <c r="K243" s="35">
        <f t="shared" si="148"/>
        <v>0</v>
      </c>
      <c r="L243" s="11">
        <f t="shared" si="139"/>
        <v>1</v>
      </c>
      <c r="M243" s="126">
        <v>44733</v>
      </c>
      <c r="N243" s="79" t="s">
        <v>220</v>
      </c>
      <c r="O243" s="26"/>
      <c r="P243" s="47">
        <v>3</v>
      </c>
      <c r="Q243" s="27">
        <v>1</v>
      </c>
      <c r="R243" s="34"/>
      <c r="S243" s="35">
        <f t="shared" si="151"/>
        <v>4</v>
      </c>
      <c r="T243" s="26"/>
      <c r="U243" s="47"/>
      <c r="V243" s="27"/>
      <c r="W243" s="34"/>
      <c r="X243" s="35">
        <f t="shared" si="152"/>
        <v>0</v>
      </c>
      <c r="Y243" s="11">
        <f t="shared" si="141"/>
        <v>4</v>
      </c>
      <c r="Z243" s="99">
        <v>44726</v>
      </c>
      <c r="AA243" s="58"/>
    </row>
    <row r="244" spans="1:27" x14ac:dyDescent="0.15">
      <c r="A244" s="13" t="s">
        <v>41</v>
      </c>
      <c r="B244" s="26">
        <v>1</v>
      </c>
      <c r="C244" s="47">
        <v>3</v>
      </c>
      <c r="D244" s="27"/>
      <c r="E244" s="34">
        <v>1</v>
      </c>
      <c r="F244" s="35">
        <f t="shared" si="147"/>
        <v>5</v>
      </c>
      <c r="G244" s="26"/>
      <c r="H244" s="47"/>
      <c r="I244" s="27"/>
      <c r="J244" s="34"/>
      <c r="K244" s="35">
        <f t="shared" si="148"/>
        <v>0</v>
      </c>
      <c r="L244" s="11">
        <f t="shared" si="139"/>
        <v>5</v>
      </c>
      <c r="M244" s="126">
        <v>44734</v>
      </c>
      <c r="N244" s="79" t="s">
        <v>221</v>
      </c>
      <c r="O244" s="26">
        <v>5</v>
      </c>
      <c r="P244" s="47"/>
      <c r="Q244" s="27"/>
      <c r="R244" s="34"/>
      <c r="S244" s="35">
        <f t="shared" si="151"/>
        <v>5</v>
      </c>
      <c r="T244" s="26">
        <v>2</v>
      </c>
      <c r="U244" s="47"/>
      <c r="V244" s="27">
        <v>1</v>
      </c>
      <c r="W244" s="34"/>
      <c r="X244" s="35">
        <f t="shared" si="152"/>
        <v>3</v>
      </c>
      <c r="Y244" s="11">
        <f t="shared" si="141"/>
        <v>8</v>
      </c>
      <c r="Z244" s="99">
        <v>44727</v>
      </c>
    </row>
    <row r="245" spans="1:27" x14ac:dyDescent="0.15">
      <c r="A245" s="13" t="s">
        <v>41</v>
      </c>
      <c r="B245" s="26"/>
      <c r="C245" s="47">
        <v>1</v>
      </c>
      <c r="D245" s="27"/>
      <c r="E245" s="34">
        <v>1</v>
      </c>
      <c r="F245" s="35">
        <f t="shared" si="147"/>
        <v>2</v>
      </c>
      <c r="G245" s="26"/>
      <c r="H245" s="47"/>
      <c r="I245" s="27"/>
      <c r="J245" s="34"/>
      <c r="K245" s="35">
        <f t="shared" si="148"/>
        <v>0</v>
      </c>
      <c r="L245" s="11">
        <f t="shared" si="139"/>
        <v>2</v>
      </c>
      <c r="M245" s="126">
        <v>44735</v>
      </c>
      <c r="N245" s="79" t="s">
        <v>222</v>
      </c>
      <c r="O245" s="26">
        <v>1</v>
      </c>
      <c r="P245" s="47">
        <v>2</v>
      </c>
      <c r="Q245" s="27">
        <v>2</v>
      </c>
      <c r="R245" s="50">
        <v>1</v>
      </c>
      <c r="S245" s="9">
        <f>SUM(O245:R245)</f>
        <v>6</v>
      </c>
      <c r="T245" s="47">
        <v>2</v>
      </c>
      <c r="U245" s="47">
        <v>1</v>
      </c>
      <c r="V245" s="27">
        <v>1</v>
      </c>
      <c r="W245" s="50"/>
      <c r="X245" s="9">
        <f>SUM(T245:W245)</f>
        <v>4</v>
      </c>
      <c r="Y245" s="11">
        <f t="shared" si="141"/>
        <v>10</v>
      </c>
      <c r="Z245" s="99">
        <v>44728</v>
      </c>
    </row>
    <row r="246" spans="1:27" x14ac:dyDescent="0.15">
      <c r="A246" s="13" t="s">
        <v>41</v>
      </c>
      <c r="B246" s="26"/>
      <c r="C246" s="47"/>
      <c r="D246" s="27"/>
      <c r="E246" s="34">
        <v>1</v>
      </c>
      <c r="F246" s="35">
        <f t="shared" si="147"/>
        <v>1</v>
      </c>
      <c r="G246" s="26"/>
      <c r="H246" s="47"/>
      <c r="I246" s="27"/>
      <c r="J246" s="34"/>
      <c r="K246" s="35">
        <f t="shared" si="148"/>
        <v>0</v>
      </c>
      <c r="L246" s="11">
        <f t="shared" si="139"/>
        <v>1</v>
      </c>
      <c r="M246" s="126">
        <v>44736</v>
      </c>
      <c r="N246" s="90" t="s">
        <v>219</v>
      </c>
      <c r="O246" s="26"/>
      <c r="P246" s="47"/>
      <c r="Q246" s="27">
        <v>5</v>
      </c>
      <c r="R246" s="34"/>
      <c r="S246" s="35">
        <f t="shared" ref="S246:S263" si="153">SUM(O246:R246)</f>
        <v>5</v>
      </c>
      <c r="T246" s="26"/>
      <c r="U246" s="47"/>
      <c r="V246" s="27"/>
      <c r="W246" s="34"/>
      <c r="X246" s="35">
        <f t="shared" ref="X246:X261" si="154">SUM(T246:W246)</f>
        <v>0</v>
      </c>
      <c r="Y246" s="11">
        <f t="shared" si="141"/>
        <v>5</v>
      </c>
      <c r="Z246" s="126">
        <v>44732</v>
      </c>
    </row>
    <row r="247" spans="1:27" x14ac:dyDescent="0.15">
      <c r="A247" s="13" t="s">
        <v>49</v>
      </c>
      <c r="B247" s="26"/>
      <c r="C247" s="47"/>
      <c r="D247" s="27"/>
      <c r="E247" s="34">
        <v>-1</v>
      </c>
      <c r="F247" s="35">
        <f t="shared" si="147"/>
        <v>-1</v>
      </c>
      <c r="G247" s="26"/>
      <c r="H247" s="47"/>
      <c r="I247" s="27"/>
      <c r="J247" s="34"/>
      <c r="K247" s="35">
        <f t="shared" si="148"/>
        <v>0</v>
      </c>
      <c r="L247" s="11">
        <f t="shared" si="139"/>
        <v>-1</v>
      </c>
      <c r="M247" s="126">
        <v>44736</v>
      </c>
      <c r="N247" s="79" t="s">
        <v>223</v>
      </c>
      <c r="O247" s="26"/>
      <c r="P247" s="47">
        <v>1</v>
      </c>
      <c r="Q247" s="27"/>
      <c r="R247" s="34">
        <v>2</v>
      </c>
      <c r="S247" s="35">
        <f t="shared" si="153"/>
        <v>3</v>
      </c>
      <c r="T247" s="26"/>
      <c r="U247" s="47"/>
      <c r="V247" s="27">
        <v>1</v>
      </c>
      <c r="W247" s="34">
        <v>1</v>
      </c>
      <c r="X247" s="35">
        <f t="shared" si="154"/>
        <v>2</v>
      </c>
      <c r="Y247" s="11">
        <f t="shared" si="141"/>
        <v>5</v>
      </c>
      <c r="Z247" s="99">
        <v>44733</v>
      </c>
    </row>
    <row r="248" spans="1:27" x14ac:dyDescent="0.15">
      <c r="A248" s="79" t="s">
        <v>229</v>
      </c>
      <c r="B248" s="26"/>
      <c r="C248" s="47">
        <v>1</v>
      </c>
      <c r="D248" s="27">
        <v>1</v>
      </c>
      <c r="E248" s="34"/>
      <c r="F248" s="35">
        <f t="shared" si="147"/>
        <v>2</v>
      </c>
      <c r="G248" s="26">
        <v>1</v>
      </c>
      <c r="H248" s="47"/>
      <c r="I248" s="27"/>
      <c r="J248" s="34"/>
      <c r="K248" s="35">
        <f t="shared" si="148"/>
        <v>1</v>
      </c>
      <c r="L248" s="11">
        <f t="shared" si="139"/>
        <v>3</v>
      </c>
      <c r="M248" s="99">
        <v>44740</v>
      </c>
      <c r="N248" s="15" t="s">
        <v>34</v>
      </c>
      <c r="O248" s="26">
        <v>3</v>
      </c>
      <c r="P248" s="47">
        <v>10</v>
      </c>
      <c r="Q248" s="27"/>
      <c r="R248" s="34">
        <v>3</v>
      </c>
      <c r="S248" s="35">
        <f>SUM(O248:R248)</f>
        <v>16</v>
      </c>
      <c r="T248" s="26"/>
      <c r="U248" s="47"/>
      <c r="V248" s="27"/>
      <c r="W248" s="34"/>
      <c r="X248" s="35">
        <f>SUM(T248:W248)</f>
        <v>0</v>
      </c>
      <c r="Y248" s="11">
        <f t="shared" si="141"/>
        <v>16</v>
      </c>
      <c r="Z248" s="99">
        <v>44734</v>
      </c>
    </row>
    <row r="249" spans="1:27" x14ac:dyDescent="0.15">
      <c r="A249" s="13" t="s">
        <v>41</v>
      </c>
      <c r="B249" s="26"/>
      <c r="C249" s="47">
        <f>1+1</f>
        <v>2</v>
      </c>
      <c r="D249" s="27"/>
      <c r="E249" s="34"/>
      <c r="F249" s="35">
        <f t="shared" si="147"/>
        <v>2</v>
      </c>
      <c r="G249" s="26"/>
      <c r="H249" s="47">
        <v>1</v>
      </c>
      <c r="I249" s="27"/>
      <c r="J249" s="34">
        <v>5</v>
      </c>
      <c r="K249" s="35">
        <f t="shared" si="148"/>
        <v>6</v>
      </c>
      <c r="L249" s="11">
        <f t="shared" si="139"/>
        <v>8</v>
      </c>
      <c r="M249" s="126">
        <v>44739</v>
      </c>
      <c r="N249" s="90" t="s">
        <v>228</v>
      </c>
      <c r="O249" s="26"/>
      <c r="P249" s="47">
        <v>5</v>
      </c>
      <c r="Q249" s="27"/>
      <c r="R249" s="34"/>
      <c r="S249" s="35">
        <f t="shared" si="153"/>
        <v>5</v>
      </c>
      <c r="T249" s="26"/>
      <c r="U249" s="47"/>
      <c r="V249" s="27">
        <v>5</v>
      </c>
      <c r="W249" s="34">
        <v>8</v>
      </c>
      <c r="X249" s="35">
        <f t="shared" si="154"/>
        <v>13</v>
      </c>
      <c r="Y249" s="11">
        <f t="shared" si="141"/>
        <v>18</v>
      </c>
      <c r="Z249" s="99">
        <v>44739</v>
      </c>
    </row>
    <row r="250" spans="1:27" x14ac:dyDescent="0.15">
      <c r="A250" s="13" t="s">
        <v>41</v>
      </c>
      <c r="B250" s="26"/>
      <c r="C250" s="47">
        <v>1</v>
      </c>
      <c r="D250" s="27"/>
      <c r="E250" s="34"/>
      <c r="F250" s="35">
        <f t="shared" si="147"/>
        <v>1</v>
      </c>
      <c r="G250" s="26"/>
      <c r="H250" s="47"/>
      <c r="I250" s="27"/>
      <c r="J250" s="34"/>
      <c r="K250" s="35">
        <f t="shared" si="148"/>
        <v>0</v>
      </c>
      <c r="L250" s="11">
        <f t="shared" si="139"/>
        <v>1</v>
      </c>
      <c r="M250" s="126">
        <v>44740</v>
      </c>
      <c r="N250" s="79" t="s">
        <v>225</v>
      </c>
      <c r="O250" s="26"/>
      <c r="P250" s="47"/>
      <c r="Q250" s="27"/>
      <c r="R250" s="34"/>
      <c r="S250" s="35">
        <f t="shared" si="153"/>
        <v>0</v>
      </c>
      <c r="T250" s="26"/>
      <c r="U250" s="47"/>
      <c r="V250" s="27"/>
      <c r="W250" s="34">
        <v>3</v>
      </c>
      <c r="X250" s="35">
        <f t="shared" si="154"/>
        <v>3</v>
      </c>
      <c r="Y250" s="11">
        <f t="shared" si="141"/>
        <v>3</v>
      </c>
      <c r="Z250" s="99">
        <v>44735</v>
      </c>
    </row>
    <row r="251" spans="1:27" x14ac:dyDescent="0.15">
      <c r="A251" s="13"/>
      <c r="B251" s="26"/>
      <c r="C251" s="47"/>
      <c r="D251" s="27"/>
      <c r="E251" s="34"/>
      <c r="F251" s="35">
        <f t="shared" si="147"/>
        <v>0</v>
      </c>
      <c r="G251" s="26"/>
      <c r="H251" s="47"/>
      <c r="I251" s="27"/>
      <c r="J251" s="34"/>
      <c r="K251" s="35">
        <f t="shared" si="148"/>
        <v>0</v>
      </c>
      <c r="L251" s="11">
        <f t="shared" si="139"/>
        <v>0</v>
      </c>
      <c r="N251" s="79" t="s">
        <v>226</v>
      </c>
      <c r="O251" s="26"/>
      <c r="P251" s="47">
        <v>3</v>
      </c>
      <c r="Q251" s="27"/>
      <c r="R251" s="34">
        <v>2</v>
      </c>
      <c r="S251" s="35">
        <f t="shared" si="153"/>
        <v>5</v>
      </c>
      <c r="T251" s="26"/>
      <c r="U251" s="47"/>
      <c r="V251" s="27">
        <v>1</v>
      </c>
      <c r="W251" s="34"/>
      <c r="X251" s="35">
        <f t="shared" si="154"/>
        <v>1</v>
      </c>
      <c r="Y251" s="11">
        <f t="shared" si="141"/>
        <v>6</v>
      </c>
      <c r="Z251" s="99">
        <v>44736</v>
      </c>
    </row>
    <row r="252" spans="1:27" x14ac:dyDescent="0.15">
      <c r="A252" s="15"/>
      <c r="B252" s="26"/>
      <c r="C252" s="47"/>
      <c r="D252" s="27"/>
      <c r="E252" s="34"/>
      <c r="F252" s="35">
        <f t="shared" si="147"/>
        <v>0</v>
      </c>
      <c r="G252" s="26"/>
      <c r="H252" s="47"/>
      <c r="I252" s="27"/>
      <c r="J252" s="34"/>
      <c r="K252" s="35">
        <f t="shared" si="148"/>
        <v>0</v>
      </c>
      <c r="L252" s="11">
        <f t="shared" si="139"/>
        <v>0</v>
      </c>
      <c r="N252" s="79" t="s">
        <v>227</v>
      </c>
      <c r="O252" s="26"/>
      <c r="P252" s="47">
        <v>5</v>
      </c>
      <c r="Q252" s="27"/>
      <c r="R252" s="34"/>
      <c r="S252" s="35">
        <f t="shared" si="153"/>
        <v>5</v>
      </c>
      <c r="T252" s="26"/>
      <c r="U252" s="47"/>
      <c r="V252" s="27"/>
      <c r="W252" s="34"/>
      <c r="X252" s="35">
        <f t="shared" si="154"/>
        <v>0</v>
      </c>
      <c r="Y252" s="11">
        <f t="shared" si="141"/>
        <v>5</v>
      </c>
      <c r="Z252" s="99">
        <v>44739</v>
      </c>
    </row>
    <row r="253" spans="1:27" x14ac:dyDescent="0.15">
      <c r="A253" s="13"/>
      <c r="B253" s="26"/>
      <c r="C253" s="47"/>
      <c r="D253" s="27"/>
      <c r="E253" s="34"/>
      <c r="F253" s="35">
        <f t="shared" si="147"/>
        <v>0</v>
      </c>
      <c r="G253" s="26"/>
      <c r="H253" s="47"/>
      <c r="I253" s="27"/>
      <c r="J253" s="34"/>
      <c r="K253" s="35">
        <f t="shared" si="148"/>
        <v>0</v>
      </c>
      <c r="L253" s="11">
        <f t="shared" si="139"/>
        <v>0</v>
      </c>
      <c r="N253" s="79" t="s">
        <v>231</v>
      </c>
      <c r="O253" s="26">
        <v>2</v>
      </c>
      <c r="P253" s="47"/>
      <c r="Q253" s="27"/>
      <c r="R253" s="34"/>
      <c r="S253" s="35">
        <f t="shared" si="153"/>
        <v>2</v>
      </c>
      <c r="T253" s="26"/>
      <c r="U253" s="47">
        <v>1</v>
      </c>
      <c r="V253" s="27"/>
      <c r="W253" s="34"/>
      <c r="X253" s="35">
        <f t="shared" si="154"/>
        <v>1</v>
      </c>
      <c r="Y253" s="11">
        <f t="shared" si="141"/>
        <v>3</v>
      </c>
      <c r="Z253" s="99">
        <v>44741</v>
      </c>
    </row>
    <row r="254" spans="1:27" x14ac:dyDescent="0.15">
      <c r="A254" s="15"/>
      <c r="B254" s="26"/>
      <c r="C254" s="47"/>
      <c r="D254" s="27"/>
      <c r="E254" s="34"/>
      <c r="F254" s="35">
        <f t="shared" si="147"/>
        <v>0</v>
      </c>
      <c r="G254" s="26"/>
      <c r="H254" s="47"/>
      <c r="I254" s="27"/>
      <c r="J254" s="34"/>
      <c r="K254" s="35">
        <f t="shared" si="148"/>
        <v>0</v>
      </c>
      <c r="L254" s="11">
        <f t="shared" si="139"/>
        <v>0</v>
      </c>
      <c r="N254" s="57"/>
      <c r="O254" s="26"/>
      <c r="P254" s="47"/>
      <c r="Q254" s="27"/>
      <c r="R254" s="34"/>
      <c r="S254" s="35">
        <f t="shared" si="153"/>
        <v>0</v>
      </c>
      <c r="T254" s="26"/>
      <c r="U254" s="47"/>
      <c r="V254" s="27"/>
      <c r="W254" s="34"/>
      <c r="X254" s="35">
        <f t="shared" si="154"/>
        <v>0</v>
      </c>
      <c r="Y254" s="11">
        <f t="shared" si="141"/>
        <v>0</v>
      </c>
    </row>
    <row r="255" spans="1:27" x14ac:dyDescent="0.15">
      <c r="A255" s="15"/>
      <c r="B255" s="26"/>
      <c r="C255" s="47"/>
      <c r="D255" s="27"/>
      <c r="E255" s="34"/>
      <c r="F255" s="35">
        <f t="shared" si="147"/>
        <v>0</v>
      </c>
      <c r="G255" s="26"/>
      <c r="H255" s="47"/>
      <c r="I255" s="27"/>
      <c r="J255" s="34"/>
      <c r="K255" s="35">
        <f t="shared" si="148"/>
        <v>0</v>
      </c>
      <c r="L255" s="11">
        <f t="shared" si="139"/>
        <v>0</v>
      </c>
      <c r="N255" s="57"/>
      <c r="O255" s="26"/>
      <c r="P255" s="47"/>
      <c r="Q255" s="27"/>
      <c r="R255" s="34"/>
      <c r="S255" s="35">
        <f t="shared" si="153"/>
        <v>0</v>
      </c>
      <c r="T255" s="26"/>
      <c r="U255" s="47"/>
      <c r="V255" s="27"/>
      <c r="W255" s="34"/>
      <c r="X255" s="35">
        <f t="shared" si="154"/>
        <v>0</v>
      </c>
      <c r="Y255" s="11">
        <f t="shared" si="141"/>
        <v>0</v>
      </c>
    </row>
    <row r="256" spans="1:27" x14ac:dyDescent="0.15">
      <c r="A256" s="13"/>
      <c r="B256" s="26"/>
      <c r="C256" s="47"/>
      <c r="D256" s="27"/>
      <c r="E256" s="34"/>
      <c r="F256" s="35">
        <f t="shared" si="147"/>
        <v>0</v>
      </c>
      <c r="G256" s="26"/>
      <c r="H256" s="47"/>
      <c r="I256" s="27"/>
      <c r="J256" s="34"/>
      <c r="K256" s="35">
        <f t="shared" si="148"/>
        <v>0</v>
      </c>
      <c r="L256" s="11">
        <f t="shared" si="139"/>
        <v>0</v>
      </c>
      <c r="N256" s="15"/>
      <c r="O256" s="26"/>
      <c r="P256" s="47"/>
      <c r="Q256" s="27"/>
      <c r="R256" s="34"/>
      <c r="S256" s="35">
        <f t="shared" si="153"/>
        <v>0</v>
      </c>
      <c r="T256" s="26"/>
      <c r="U256" s="47"/>
      <c r="V256" s="27"/>
      <c r="W256" s="34"/>
      <c r="X256" s="35">
        <f t="shared" si="154"/>
        <v>0</v>
      </c>
      <c r="Y256" s="11">
        <f t="shared" si="141"/>
        <v>0</v>
      </c>
    </row>
    <row r="257" spans="1:26" x14ac:dyDescent="0.15">
      <c r="A257" s="32"/>
      <c r="B257" s="26"/>
      <c r="C257" s="47"/>
      <c r="D257" s="27"/>
      <c r="E257" s="34"/>
      <c r="F257" s="35">
        <f t="shared" si="147"/>
        <v>0</v>
      </c>
      <c r="G257" s="26"/>
      <c r="H257" s="47"/>
      <c r="I257" s="27"/>
      <c r="J257" s="34"/>
      <c r="K257" s="35">
        <f t="shared" si="148"/>
        <v>0</v>
      </c>
      <c r="L257" s="11">
        <f t="shared" si="139"/>
        <v>0</v>
      </c>
      <c r="N257" s="12"/>
      <c r="O257" s="26"/>
      <c r="P257" s="47"/>
      <c r="Q257" s="27"/>
      <c r="R257" s="34"/>
      <c r="S257" s="35">
        <f t="shared" si="153"/>
        <v>0</v>
      </c>
      <c r="T257" s="26"/>
      <c r="U257" s="47"/>
      <c r="V257" s="27"/>
      <c r="W257" s="34"/>
      <c r="X257" s="35">
        <f t="shared" si="154"/>
        <v>0</v>
      </c>
      <c r="Y257" s="11">
        <f t="shared" si="141"/>
        <v>0</v>
      </c>
    </row>
    <row r="258" spans="1:26" x14ac:dyDescent="0.15">
      <c r="A258" s="32"/>
      <c r="B258" s="26"/>
      <c r="C258" s="47"/>
      <c r="D258" s="27"/>
      <c r="E258" s="34"/>
      <c r="F258" s="35">
        <f t="shared" si="147"/>
        <v>0</v>
      </c>
      <c r="G258" s="26"/>
      <c r="H258" s="47"/>
      <c r="I258" s="27"/>
      <c r="J258" s="34"/>
      <c r="K258" s="35">
        <f t="shared" si="148"/>
        <v>0</v>
      </c>
      <c r="L258" s="11">
        <f t="shared" si="139"/>
        <v>0</v>
      </c>
      <c r="N258" s="57"/>
      <c r="O258" s="26"/>
      <c r="P258" s="47"/>
      <c r="Q258" s="27"/>
      <c r="R258" s="34"/>
      <c r="S258" s="35">
        <f t="shared" si="153"/>
        <v>0</v>
      </c>
      <c r="T258" s="26"/>
      <c r="U258" s="47"/>
      <c r="V258" s="27"/>
      <c r="W258" s="34"/>
      <c r="X258" s="35">
        <f t="shared" si="154"/>
        <v>0</v>
      </c>
      <c r="Y258" s="11">
        <f t="shared" si="141"/>
        <v>0</v>
      </c>
    </row>
    <row r="259" spans="1:26" x14ac:dyDescent="0.15">
      <c r="A259" s="12"/>
      <c r="B259" s="26"/>
      <c r="C259" s="47"/>
      <c r="D259" s="27"/>
      <c r="E259" s="34"/>
      <c r="F259" s="35">
        <f t="shared" si="147"/>
        <v>0</v>
      </c>
      <c r="G259" s="26"/>
      <c r="H259" s="47"/>
      <c r="I259" s="27"/>
      <c r="J259" s="34"/>
      <c r="K259" s="35">
        <f t="shared" si="148"/>
        <v>0</v>
      </c>
      <c r="L259" s="11">
        <f t="shared" si="139"/>
        <v>0</v>
      </c>
      <c r="N259" s="57"/>
      <c r="O259" s="26"/>
      <c r="P259" s="47"/>
      <c r="Q259" s="27"/>
      <c r="R259" s="34"/>
      <c r="S259" s="35">
        <f t="shared" si="153"/>
        <v>0</v>
      </c>
      <c r="T259" s="26"/>
      <c r="U259" s="47"/>
      <c r="V259" s="27"/>
      <c r="W259" s="34"/>
      <c r="X259" s="35">
        <f t="shared" si="154"/>
        <v>0</v>
      </c>
      <c r="Y259" s="11">
        <f t="shared" si="141"/>
        <v>0</v>
      </c>
      <c r="Z259" s="101"/>
    </row>
    <row r="260" spans="1:26" x14ac:dyDescent="0.15">
      <c r="A260" s="79"/>
      <c r="B260" s="26"/>
      <c r="C260" s="47"/>
      <c r="D260" s="27"/>
      <c r="E260" s="34"/>
      <c r="F260" s="35">
        <f t="shared" si="147"/>
        <v>0</v>
      </c>
      <c r="G260" s="26"/>
      <c r="H260" s="47"/>
      <c r="I260" s="27"/>
      <c r="J260" s="34"/>
      <c r="K260" s="35">
        <f t="shared" si="148"/>
        <v>0</v>
      </c>
      <c r="L260" s="11">
        <f t="shared" si="139"/>
        <v>0</v>
      </c>
      <c r="N260" s="57"/>
      <c r="O260" s="66"/>
      <c r="P260" s="67"/>
      <c r="Q260" s="68"/>
      <c r="R260" s="69"/>
      <c r="S260" s="70">
        <f t="shared" ref="S260" si="155">SUM(O260:R260)</f>
        <v>0</v>
      </c>
      <c r="T260" s="66"/>
      <c r="U260" s="67"/>
      <c r="V260" s="68"/>
      <c r="W260" s="69"/>
      <c r="X260" s="70">
        <f t="shared" ref="X260" si="156">SUM(T260:W260)</f>
        <v>0</v>
      </c>
      <c r="Y260" s="11">
        <f t="shared" ref="Y260" si="157">S260+X260</f>
        <v>0</v>
      </c>
      <c r="Z260" s="99"/>
    </row>
    <row r="261" spans="1:26" x14ac:dyDescent="0.15">
      <c r="A261" s="57"/>
      <c r="B261" s="26"/>
      <c r="C261" s="47"/>
      <c r="D261" s="27"/>
      <c r="E261" s="34"/>
      <c r="F261" s="35">
        <f t="shared" si="147"/>
        <v>0</v>
      </c>
      <c r="G261" s="26"/>
      <c r="H261" s="47"/>
      <c r="I261" s="27"/>
      <c r="J261" s="34"/>
      <c r="K261" s="35">
        <f t="shared" si="148"/>
        <v>0</v>
      </c>
      <c r="L261" s="11">
        <f t="shared" si="139"/>
        <v>0</v>
      </c>
      <c r="N261" s="57" t="s">
        <v>147</v>
      </c>
      <c r="O261" s="66"/>
      <c r="P261" s="67"/>
      <c r="Q261" s="68"/>
      <c r="R261" s="69"/>
      <c r="S261" s="70">
        <f t="shared" si="153"/>
        <v>0</v>
      </c>
      <c r="T261" s="66"/>
      <c r="U261" s="67"/>
      <c r="V261" s="68"/>
      <c r="W261" s="69"/>
      <c r="X261" s="70">
        <f t="shared" si="154"/>
        <v>0</v>
      </c>
      <c r="Y261" s="11">
        <f t="shared" si="141"/>
        <v>0</v>
      </c>
      <c r="Z261" s="99" t="s">
        <v>148</v>
      </c>
    </row>
    <row r="262" spans="1:26" ht="14.25" thickBot="1" x14ac:dyDescent="0.2">
      <c r="A262" s="90"/>
      <c r="B262" s="62"/>
      <c r="C262" s="63"/>
      <c r="D262" s="64"/>
      <c r="E262" s="65"/>
      <c r="F262" s="35">
        <f t="shared" si="147"/>
        <v>0</v>
      </c>
      <c r="G262" s="62"/>
      <c r="H262" s="63"/>
      <c r="I262" s="64"/>
      <c r="J262" s="65"/>
      <c r="K262" s="35">
        <f t="shared" si="148"/>
        <v>0</v>
      </c>
      <c r="L262" s="14">
        <f t="shared" si="139"/>
        <v>0</v>
      </c>
      <c r="N262" s="135" t="s">
        <v>204</v>
      </c>
      <c r="O262" s="62"/>
      <c r="P262" s="63"/>
      <c r="Q262" s="64"/>
      <c r="R262" s="65"/>
      <c r="S262" s="120">
        <f t="shared" ref="S262" si="158">SUM(O262:R262)</f>
        <v>0</v>
      </c>
      <c r="T262" s="62"/>
      <c r="U262" s="63"/>
      <c r="V262" s="64"/>
      <c r="W262" s="65"/>
      <c r="X262" s="120">
        <f t="shared" ref="X262:X263" si="159">SUM(T262:W262)</f>
        <v>0</v>
      </c>
      <c r="Y262" s="121">
        <f t="shared" ref="Y262:Y264" si="160">S262+X262</f>
        <v>0</v>
      </c>
      <c r="Z262" s="99" t="s">
        <v>205</v>
      </c>
    </row>
    <row r="263" spans="1:26" ht="14.25" thickBot="1" x14ac:dyDescent="0.2">
      <c r="A263" s="17" t="s">
        <v>10</v>
      </c>
      <c r="B263" s="38">
        <f>SUM(B238:B262)</f>
        <v>1</v>
      </c>
      <c r="C263" s="48">
        <f>SUM(C238:C262)</f>
        <v>14</v>
      </c>
      <c r="D263" s="39">
        <f>SUM(D238:D262)</f>
        <v>2</v>
      </c>
      <c r="E263" s="40">
        <f>SUM(E238:E262)</f>
        <v>4</v>
      </c>
      <c r="F263" s="36">
        <f>SUM(B263:E263)</f>
        <v>21</v>
      </c>
      <c r="G263" s="38">
        <f>SUM(G238:G262)</f>
        <v>3</v>
      </c>
      <c r="H263" s="48">
        <f>SUM(H238:H262)</f>
        <v>3</v>
      </c>
      <c r="I263" s="39">
        <f>SUM(I238:I262)</f>
        <v>0</v>
      </c>
      <c r="J263" s="40">
        <f>SUM(J238:J262)</f>
        <v>5</v>
      </c>
      <c r="K263" s="36">
        <f>SUM(G263:J263)</f>
        <v>11</v>
      </c>
      <c r="L263" s="37">
        <f t="shared" si="139"/>
        <v>32</v>
      </c>
      <c r="N263" s="133" t="s">
        <v>10</v>
      </c>
      <c r="O263" s="38">
        <f>SUM(O238:O262)</f>
        <v>11</v>
      </c>
      <c r="P263" s="48">
        <f>SUM(P238:P262)</f>
        <v>35</v>
      </c>
      <c r="Q263" s="39">
        <f>SUM(Q238:Q262)</f>
        <v>15</v>
      </c>
      <c r="R263" s="40">
        <f>SUM(R238:R262)</f>
        <v>16</v>
      </c>
      <c r="S263" s="118">
        <f t="shared" si="153"/>
        <v>77</v>
      </c>
      <c r="T263" s="38">
        <f>SUM(T238:T262)</f>
        <v>9</v>
      </c>
      <c r="U263" s="48">
        <f>SUM(U238:U262)</f>
        <v>5</v>
      </c>
      <c r="V263" s="39">
        <f>SUM(V238:V262)</f>
        <v>14</v>
      </c>
      <c r="W263" s="40">
        <f>SUM(W238:W262)</f>
        <v>12</v>
      </c>
      <c r="X263" s="118">
        <f t="shared" si="159"/>
        <v>40</v>
      </c>
      <c r="Y263" s="119">
        <f t="shared" si="160"/>
        <v>117</v>
      </c>
    </row>
    <row r="264" spans="1:26" ht="14.25" thickBot="1" x14ac:dyDescent="0.2">
      <c r="A264" s="22" t="s">
        <v>11</v>
      </c>
      <c r="B264" s="41">
        <f>B237-B263</f>
        <v>5</v>
      </c>
      <c r="C264" s="49">
        <f>C237-C263</f>
        <v>3</v>
      </c>
      <c r="D264" s="42">
        <f t="shared" ref="D264:K264" si="161">D237-D263</f>
        <v>5</v>
      </c>
      <c r="E264" s="43">
        <f t="shared" si="161"/>
        <v>2</v>
      </c>
      <c r="F264" s="61">
        <f t="shared" si="161"/>
        <v>11</v>
      </c>
      <c r="G264" s="41">
        <f t="shared" si="161"/>
        <v>5</v>
      </c>
      <c r="H264" s="49">
        <f t="shared" si="161"/>
        <v>3</v>
      </c>
      <c r="I264" s="42">
        <f t="shared" si="161"/>
        <v>9</v>
      </c>
      <c r="J264" s="43">
        <f t="shared" si="161"/>
        <v>0</v>
      </c>
      <c r="K264" s="61">
        <f t="shared" si="161"/>
        <v>17</v>
      </c>
      <c r="L264" s="21">
        <f t="shared" si="139"/>
        <v>28</v>
      </c>
      <c r="N264" s="17" t="s">
        <v>11</v>
      </c>
      <c r="O264" s="41">
        <f>O237-O263</f>
        <v>427</v>
      </c>
      <c r="P264" s="49">
        <f t="shared" ref="P264:X264" si="162">P237-P263</f>
        <v>617</v>
      </c>
      <c r="Q264" s="42">
        <f t="shared" si="162"/>
        <v>315</v>
      </c>
      <c r="R264" s="43">
        <f t="shared" si="162"/>
        <v>214</v>
      </c>
      <c r="S264" s="61">
        <f t="shared" si="162"/>
        <v>1573</v>
      </c>
      <c r="T264" s="41">
        <f t="shared" si="162"/>
        <v>506</v>
      </c>
      <c r="U264" s="49">
        <f t="shared" si="162"/>
        <v>645</v>
      </c>
      <c r="V264" s="42">
        <f t="shared" si="162"/>
        <v>341</v>
      </c>
      <c r="W264" s="43">
        <f t="shared" si="162"/>
        <v>180</v>
      </c>
      <c r="X264" s="61">
        <f t="shared" si="162"/>
        <v>1672</v>
      </c>
      <c r="Y264" s="21">
        <f t="shared" si="160"/>
        <v>3245</v>
      </c>
    </row>
    <row r="267" spans="1:26" ht="19.5" thickBot="1" x14ac:dyDescent="0.25">
      <c r="A267" s="2" t="s">
        <v>106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105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4.25" thickBot="1" x14ac:dyDescent="0.2">
      <c r="A268" s="5" t="s">
        <v>0</v>
      </c>
      <c r="B268" s="342" t="s">
        <v>18</v>
      </c>
      <c r="C268" s="350"/>
      <c r="D268" s="350"/>
      <c r="E268" s="350"/>
      <c r="F268" s="351"/>
      <c r="G268" s="345" t="s">
        <v>12</v>
      </c>
      <c r="H268" s="352"/>
      <c r="I268" s="352"/>
      <c r="J268" s="352"/>
      <c r="K268" s="353"/>
      <c r="L268" s="354" t="s">
        <v>1</v>
      </c>
      <c r="N268" s="5" t="s">
        <v>0</v>
      </c>
      <c r="O268" s="342" t="s">
        <v>18</v>
      </c>
      <c r="P268" s="350"/>
      <c r="Q268" s="350"/>
      <c r="R268" s="350"/>
      <c r="S268" s="351"/>
      <c r="T268" s="345" t="s">
        <v>12</v>
      </c>
      <c r="U268" s="352"/>
      <c r="V268" s="352"/>
      <c r="W268" s="352"/>
      <c r="X268" s="353"/>
      <c r="Y268" s="354" t="s">
        <v>1</v>
      </c>
    </row>
    <row r="269" spans="1:26" ht="14.25" thickBot="1" x14ac:dyDescent="0.2">
      <c r="A269" s="5" t="s">
        <v>2</v>
      </c>
      <c r="B269" s="3" t="s">
        <v>13</v>
      </c>
      <c r="C269" s="44" t="s">
        <v>14</v>
      </c>
      <c r="D269" s="4" t="s">
        <v>15</v>
      </c>
      <c r="E269" s="23" t="s">
        <v>16</v>
      </c>
      <c r="F269" s="31" t="s">
        <v>3</v>
      </c>
      <c r="G269" s="3" t="s">
        <v>13</v>
      </c>
      <c r="H269" s="44" t="s">
        <v>14</v>
      </c>
      <c r="I269" s="4" t="s">
        <v>15</v>
      </c>
      <c r="J269" s="23" t="s">
        <v>16</v>
      </c>
      <c r="K269" s="31" t="s">
        <v>3</v>
      </c>
      <c r="L269" s="355"/>
      <c r="N269" s="5" t="s">
        <v>2</v>
      </c>
      <c r="O269" s="3" t="s">
        <v>13</v>
      </c>
      <c r="P269" s="44" t="s">
        <v>14</v>
      </c>
      <c r="Q269" s="4" t="s">
        <v>15</v>
      </c>
      <c r="R269" s="23" t="s">
        <v>16</v>
      </c>
      <c r="S269" s="31" t="s">
        <v>3</v>
      </c>
      <c r="T269" s="3" t="s">
        <v>13</v>
      </c>
      <c r="U269" s="44" t="s">
        <v>14</v>
      </c>
      <c r="V269" s="4" t="s">
        <v>15</v>
      </c>
      <c r="W269" s="23" t="s">
        <v>16</v>
      </c>
      <c r="X269" s="31" t="s">
        <v>3</v>
      </c>
      <c r="Y269" s="355"/>
    </row>
    <row r="270" spans="1:26" x14ac:dyDescent="0.15">
      <c r="A270" s="71" t="s">
        <v>17</v>
      </c>
      <c r="B270" s="72">
        <f>B264</f>
        <v>5</v>
      </c>
      <c r="C270" s="73">
        <f t="shared" ref="C270:L270" si="163">C264</f>
        <v>3</v>
      </c>
      <c r="D270" s="73">
        <f t="shared" si="163"/>
        <v>5</v>
      </c>
      <c r="E270" s="74">
        <f t="shared" si="163"/>
        <v>2</v>
      </c>
      <c r="F270" s="76">
        <f t="shared" si="163"/>
        <v>11</v>
      </c>
      <c r="G270" s="72">
        <f t="shared" si="163"/>
        <v>5</v>
      </c>
      <c r="H270" s="73">
        <f t="shared" si="163"/>
        <v>3</v>
      </c>
      <c r="I270" s="73">
        <f t="shared" si="163"/>
        <v>9</v>
      </c>
      <c r="J270" s="74">
        <f t="shared" si="163"/>
        <v>0</v>
      </c>
      <c r="K270" s="75">
        <f t="shared" si="163"/>
        <v>17</v>
      </c>
      <c r="L270" s="16">
        <f t="shared" si="163"/>
        <v>28</v>
      </c>
      <c r="N270" s="71" t="s">
        <v>17</v>
      </c>
      <c r="O270" s="72">
        <f>O264</f>
        <v>427</v>
      </c>
      <c r="P270" s="73">
        <f t="shared" ref="P270:Y270" si="164">P264</f>
        <v>617</v>
      </c>
      <c r="Q270" s="73">
        <f t="shared" si="164"/>
        <v>315</v>
      </c>
      <c r="R270" s="74">
        <f t="shared" si="164"/>
        <v>214</v>
      </c>
      <c r="S270" s="76">
        <f t="shared" si="164"/>
        <v>1573</v>
      </c>
      <c r="T270" s="72">
        <f t="shared" si="164"/>
        <v>506</v>
      </c>
      <c r="U270" s="73">
        <f t="shared" si="164"/>
        <v>645</v>
      </c>
      <c r="V270" s="73">
        <f t="shared" si="164"/>
        <v>341</v>
      </c>
      <c r="W270" s="74">
        <f t="shared" si="164"/>
        <v>180</v>
      </c>
      <c r="X270" s="75">
        <f t="shared" si="164"/>
        <v>1672</v>
      </c>
      <c r="Y270" s="16">
        <f t="shared" si="164"/>
        <v>3245</v>
      </c>
    </row>
    <row r="271" spans="1:26" x14ac:dyDescent="0.15">
      <c r="A271" s="13" t="s">
        <v>5</v>
      </c>
      <c r="B271" s="6"/>
      <c r="C271" s="30"/>
      <c r="D271" s="7"/>
      <c r="E271" s="8"/>
      <c r="F271" s="9">
        <f>SUM(B271:E271)</f>
        <v>0</v>
      </c>
      <c r="G271" s="30"/>
      <c r="H271" s="30"/>
      <c r="I271" s="7"/>
      <c r="J271" s="8">
        <v>5</v>
      </c>
      <c r="K271" s="9">
        <f>SUM(G271:J271)</f>
        <v>5</v>
      </c>
      <c r="L271" s="11">
        <f t="shared" ref="L271:L302" si="165">F271+K271</f>
        <v>5</v>
      </c>
      <c r="M271" s="99">
        <v>44740</v>
      </c>
      <c r="N271" s="13" t="s">
        <v>5</v>
      </c>
      <c r="O271" s="26"/>
      <c r="P271" s="47"/>
      <c r="Q271" s="27"/>
      <c r="R271" s="34"/>
      <c r="S271" s="77">
        <f>SUM(O271:R271)</f>
        <v>0</v>
      </c>
      <c r="T271" s="26"/>
      <c r="U271" s="47"/>
      <c r="V271" s="27"/>
      <c r="W271" s="34"/>
      <c r="X271" s="9">
        <f>SUM(T271:W271)</f>
        <v>0</v>
      </c>
      <c r="Y271" s="11">
        <f t="shared" ref="Y271:Y302" si="166">S271+X271</f>
        <v>0</v>
      </c>
      <c r="Z271" s="99"/>
    </row>
    <row r="272" spans="1:26" x14ac:dyDescent="0.15">
      <c r="A272" s="13" t="s">
        <v>6</v>
      </c>
      <c r="B272" s="6"/>
      <c r="C272" s="30"/>
      <c r="D272" s="7">
        <v>5</v>
      </c>
      <c r="E272" s="8">
        <v>5</v>
      </c>
      <c r="F272" s="9">
        <f>SUM(B272:E272)</f>
        <v>10</v>
      </c>
      <c r="G272" s="30"/>
      <c r="H272" s="30"/>
      <c r="I272" s="7"/>
      <c r="J272" s="8"/>
      <c r="K272" s="9">
        <f>SUM(G272:J272)</f>
        <v>0</v>
      </c>
      <c r="L272" s="11">
        <f t="shared" si="165"/>
        <v>10</v>
      </c>
      <c r="M272" s="99">
        <v>44742</v>
      </c>
      <c r="N272" s="13" t="s">
        <v>6</v>
      </c>
      <c r="O272" s="26"/>
      <c r="P272" s="47"/>
      <c r="Q272" s="27"/>
      <c r="R272" s="34"/>
      <c r="S272" s="77">
        <f>SUM(O272:R272)</f>
        <v>0</v>
      </c>
      <c r="T272" s="26"/>
      <c r="U272" s="47"/>
      <c r="V272" s="27"/>
      <c r="W272" s="34"/>
      <c r="X272" s="9">
        <f>SUM(T272:W272)</f>
        <v>0</v>
      </c>
      <c r="Y272" s="11">
        <f t="shared" si="166"/>
        <v>0</v>
      </c>
      <c r="Z272" s="99"/>
    </row>
    <row r="273" spans="1:27" x14ac:dyDescent="0.15">
      <c r="A273" s="13" t="s">
        <v>7</v>
      </c>
      <c r="B273" s="6">
        <v>3</v>
      </c>
      <c r="C273" s="30">
        <v>5</v>
      </c>
      <c r="D273" s="7"/>
      <c r="E273" s="8">
        <v>3</v>
      </c>
      <c r="F273" s="9">
        <f>SUM(B273:E273)</f>
        <v>11</v>
      </c>
      <c r="G273" s="30"/>
      <c r="H273" s="30">
        <v>3</v>
      </c>
      <c r="I273" s="7"/>
      <c r="J273" s="8"/>
      <c r="K273" s="9">
        <f>SUM(G273:J273)</f>
        <v>3</v>
      </c>
      <c r="L273" s="11">
        <f t="shared" si="165"/>
        <v>14</v>
      </c>
      <c r="M273" s="99">
        <v>44747</v>
      </c>
      <c r="N273" s="13" t="s">
        <v>7</v>
      </c>
      <c r="O273" s="26"/>
      <c r="P273" s="47"/>
      <c r="Q273" s="27"/>
      <c r="R273" s="34"/>
      <c r="S273" s="77">
        <f>SUM(O273:R273)</f>
        <v>0</v>
      </c>
      <c r="T273" s="47"/>
      <c r="U273" s="47"/>
      <c r="V273" s="27"/>
      <c r="W273" s="50"/>
      <c r="X273" s="9">
        <f>SUM(T273:W273)</f>
        <v>0</v>
      </c>
      <c r="Y273" s="11">
        <f t="shared" si="166"/>
        <v>0</v>
      </c>
      <c r="Z273" s="101"/>
    </row>
    <row r="274" spans="1:27" ht="14.25" thickBot="1" x14ac:dyDescent="0.2">
      <c r="A274" s="13" t="s">
        <v>8</v>
      </c>
      <c r="B274" s="6"/>
      <c r="C274" s="30"/>
      <c r="D274" s="7"/>
      <c r="E274" s="8"/>
      <c r="F274" s="10">
        <f>SUM(B274:E274)</f>
        <v>0</v>
      </c>
      <c r="G274" s="30"/>
      <c r="H274" s="30">
        <v>5</v>
      </c>
      <c r="I274" s="7"/>
      <c r="J274" s="8"/>
      <c r="K274" s="10">
        <f>SUM(G274:J274)</f>
        <v>5</v>
      </c>
      <c r="L274" s="14">
        <f t="shared" si="165"/>
        <v>5</v>
      </c>
      <c r="M274" s="99">
        <v>44749</v>
      </c>
      <c r="N274" s="13" t="s">
        <v>8</v>
      </c>
      <c r="O274" s="62"/>
      <c r="P274" s="63"/>
      <c r="Q274" s="64"/>
      <c r="R274" s="65"/>
      <c r="S274" s="78">
        <f>SUM(O274:R274)</f>
        <v>0</v>
      </c>
      <c r="T274" s="47"/>
      <c r="U274" s="47"/>
      <c r="V274" s="27"/>
      <c r="W274" s="50"/>
      <c r="X274" s="10">
        <f>SUM(T274:W274)</f>
        <v>0</v>
      </c>
      <c r="Y274" s="14">
        <f t="shared" si="166"/>
        <v>0</v>
      </c>
    </row>
    <row r="275" spans="1:27" ht="14.25" thickBot="1" x14ac:dyDescent="0.2">
      <c r="A275" s="22" t="s">
        <v>9</v>
      </c>
      <c r="B275" s="18">
        <f t="shared" ref="B275:K275" si="167">SUM(B270:B274)</f>
        <v>8</v>
      </c>
      <c r="C275" s="45">
        <f t="shared" si="167"/>
        <v>8</v>
      </c>
      <c r="D275" s="19">
        <f t="shared" si="167"/>
        <v>10</v>
      </c>
      <c r="E275" s="20">
        <f t="shared" si="167"/>
        <v>10</v>
      </c>
      <c r="F275" s="28">
        <f t="shared" si="167"/>
        <v>32</v>
      </c>
      <c r="G275" s="18">
        <f t="shared" si="167"/>
        <v>5</v>
      </c>
      <c r="H275" s="45">
        <f t="shared" si="167"/>
        <v>11</v>
      </c>
      <c r="I275" s="19">
        <f t="shared" si="167"/>
        <v>9</v>
      </c>
      <c r="J275" s="20">
        <f t="shared" si="167"/>
        <v>5</v>
      </c>
      <c r="K275" s="28">
        <f t="shared" si="167"/>
        <v>30</v>
      </c>
      <c r="L275" s="21">
        <f t="shared" si="165"/>
        <v>62</v>
      </c>
      <c r="N275" s="17" t="s">
        <v>9</v>
      </c>
      <c r="O275" s="41">
        <f>SUM(O270:O274)</f>
        <v>427</v>
      </c>
      <c r="P275" s="49">
        <f t="shared" ref="P275:V275" si="168">SUM(P270:P274)</f>
        <v>617</v>
      </c>
      <c r="Q275" s="42">
        <f t="shared" si="168"/>
        <v>315</v>
      </c>
      <c r="R275" s="92">
        <f t="shared" si="168"/>
        <v>214</v>
      </c>
      <c r="S275" s="93">
        <f t="shared" si="168"/>
        <v>1573</v>
      </c>
      <c r="T275" s="41">
        <f t="shared" si="168"/>
        <v>506</v>
      </c>
      <c r="U275" s="49">
        <f t="shared" si="168"/>
        <v>645</v>
      </c>
      <c r="V275" s="42">
        <f t="shared" si="168"/>
        <v>341</v>
      </c>
      <c r="W275" s="92">
        <f>SUM(W270:W274)</f>
        <v>180</v>
      </c>
      <c r="X275" s="93">
        <f t="shared" ref="X275" si="169">SUM(X270:X274)</f>
        <v>1672</v>
      </c>
      <c r="Y275" s="56">
        <f t="shared" si="166"/>
        <v>3245</v>
      </c>
    </row>
    <row r="276" spans="1:27" x14ac:dyDescent="0.15">
      <c r="A276" s="79" t="s">
        <v>235</v>
      </c>
      <c r="B276" s="24">
        <v>2</v>
      </c>
      <c r="C276" s="46"/>
      <c r="D276" s="25"/>
      <c r="E276" s="33"/>
      <c r="F276" s="35">
        <f>SUM(B276:E276)</f>
        <v>2</v>
      </c>
      <c r="G276" s="24"/>
      <c r="H276" s="46"/>
      <c r="I276" s="25"/>
      <c r="J276" s="33"/>
      <c r="K276" s="35">
        <f>SUM(G276:J276)</f>
        <v>0</v>
      </c>
      <c r="L276" s="11">
        <f t="shared" si="165"/>
        <v>2</v>
      </c>
      <c r="M276" s="99">
        <v>44742</v>
      </c>
      <c r="N276" s="79" t="s">
        <v>230</v>
      </c>
      <c r="O276" s="66"/>
      <c r="P276" s="67"/>
      <c r="Q276" s="68"/>
      <c r="R276" s="94"/>
      <c r="S276" s="91">
        <f>SUM(O276:R276)</f>
        <v>0</v>
      </c>
      <c r="T276" s="67"/>
      <c r="U276" s="67"/>
      <c r="V276" s="68"/>
      <c r="W276" s="94">
        <v>5</v>
      </c>
      <c r="X276" s="91">
        <f>SUM(T276:W276)</f>
        <v>5</v>
      </c>
      <c r="Y276" s="11">
        <f t="shared" si="166"/>
        <v>5</v>
      </c>
      <c r="Z276" s="99">
        <v>44740</v>
      </c>
    </row>
    <row r="277" spans="1:27" x14ac:dyDescent="0.15">
      <c r="A277" s="90" t="s">
        <v>238</v>
      </c>
      <c r="B277" s="26"/>
      <c r="C277" s="47"/>
      <c r="D277" s="27">
        <v>5</v>
      </c>
      <c r="E277" s="34">
        <v>5</v>
      </c>
      <c r="F277" s="35">
        <f>SUM(B277:E277)</f>
        <v>10</v>
      </c>
      <c r="G277" s="26"/>
      <c r="H277" s="47"/>
      <c r="I277" s="27"/>
      <c r="J277" s="34"/>
      <c r="K277" s="35">
        <f>SUM(G277:J277)</f>
        <v>0</v>
      </c>
      <c r="L277" s="11">
        <f t="shared" si="165"/>
        <v>10</v>
      </c>
      <c r="M277" s="99">
        <v>44746</v>
      </c>
      <c r="N277" s="79" t="s">
        <v>34</v>
      </c>
      <c r="O277" s="26"/>
      <c r="P277" s="47"/>
      <c r="Q277" s="27">
        <v>5</v>
      </c>
      <c r="R277" s="34">
        <v>5</v>
      </c>
      <c r="S277" s="35">
        <f t="shared" ref="S277:S278" si="170">SUM(O277:R277)</f>
        <v>10</v>
      </c>
      <c r="T277" s="26"/>
      <c r="U277" s="47"/>
      <c r="V277" s="27"/>
      <c r="W277" s="34"/>
      <c r="X277" s="35">
        <f t="shared" ref="X277:X278" si="171">SUM(T277:W277)</f>
        <v>0</v>
      </c>
      <c r="Y277" s="11">
        <f t="shared" si="166"/>
        <v>10</v>
      </c>
      <c r="Z277" s="99">
        <v>44742</v>
      </c>
    </row>
    <row r="278" spans="1:27" x14ac:dyDescent="0.15">
      <c r="A278" s="13" t="s">
        <v>41</v>
      </c>
      <c r="B278" s="26"/>
      <c r="C278" s="47">
        <v>1</v>
      </c>
      <c r="D278" s="27"/>
      <c r="E278" s="34"/>
      <c r="F278" s="35">
        <f t="shared" ref="F278:F300" si="172">SUM(B278:E278)</f>
        <v>1</v>
      </c>
      <c r="G278" s="26"/>
      <c r="H278" s="47"/>
      <c r="I278" s="27"/>
      <c r="J278" s="34"/>
      <c r="K278" s="35">
        <f t="shared" ref="K278:K300" si="173">SUM(G278:J278)</f>
        <v>0</v>
      </c>
      <c r="L278" s="11">
        <f t="shared" si="165"/>
        <v>1</v>
      </c>
      <c r="M278" s="126">
        <v>44742</v>
      </c>
      <c r="N278" s="79" t="s">
        <v>236</v>
      </c>
      <c r="O278" s="26">
        <v>3</v>
      </c>
      <c r="P278" s="47">
        <v>1</v>
      </c>
      <c r="Q278" s="27"/>
      <c r="R278" s="34"/>
      <c r="S278" s="35">
        <f t="shared" si="170"/>
        <v>4</v>
      </c>
      <c r="T278" s="26"/>
      <c r="U278" s="47">
        <v>1</v>
      </c>
      <c r="V278" s="27"/>
      <c r="W278" s="34"/>
      <c r="X278" s="35">
        <f t="shared" si="171"/>
        <v>1</v>
      </c>
      <c r="Y278" s="11">
        <f t="shared" si="166"/>
        <v>5</v>
      </c>
      <c r="Z278" s="99">
        <v>44743</v>
      </c>
    </row>
    <row r="279" spans="1:27" x14ac:dyDescent="0.15">
      <c r="A279" s="13" t="s">
        <v>41</v>
      </c>
      <c r="B279" s="66"/>
      <c r="C279" s="67">
        <v>1</v>
      </c>
      <c r="D279" s="68"/>
      <c r="E279" s="69"/>
      <c r="F279" s="70">
        <f t="shared" si="172"/>
        <v>1</v>
      </c>
      <c r="G279" s="66"/>
      <c r="H279" s="67"/>
      <c r="I279" s="68"/>
      <c r="J279" s="69"/>
      <c r="K279" s="70">
        <f t="shared" si="173"/>
        <v>0</v>
      </c>
      <c r="L279" s="11">
        <f t="shared" si="165"/>
        <v>1</v>
      </c>
      <c r="M279" s="126">
        <v>44743</v>
      </c>
      <c r="N279" s="79" t="s">
        <v>237</v>
      </c>
      <c r="O279" s="66">
        <v>2</v>
      </c>
      <c r="P279" s="67">
        <v>2</v>
      </c>
      <c r="Q279" s="68">
        <v>1</v>
      </c>
      <c r="R279" s="94"/>
      <c r="S279" s="91">
        <f>SUM(O279:R279)</f>
        <v>5</v>
      </c>
      <c r="T279" s="67"/>
      <c r="U279" s="67">
        <v>3</v>
      </c>
      <c r="V279" s="68"/>
      <c r="W279" s="94"/>
      <c r="X279" s="91">
        <f>SUM(T279:W279)</f>
        <v>3</v>
      </c>
      <c r="Y279" s="11">
        <f t="shared" si="166"/>
        <v>8</v>
      </c>
      <c r="Z279" s="99">
        <v>44746</v>
      </c>
    </row>
    <row r="280" spans="1:27" x14ac:dyDescent="0.15">
      <c r="A280" s="13" t="s">
        <v>41</v>
      </c>
      <c r="B280" s="26">
        <v>1</v>
      </c>
      <c r="C280" s="47"/>
      <c r="D280" s="27"/>
      <c r="E280" s="34">
        <v>1</v>
      </c>
      <c r="F280" s="35">
        <f t="shared" si="172"/>
        <v>2</v>
      </c>
      <c r="G280" s="26"/>
      <c r="H280" s="47"/>
      <c r="I280" s="27">
        <v>1</v>
      </c>
      <c r="J280" s="34"/>
      <c r="K280" s="35">
        <f t="shared" si="173"/>
        <v>1</v>
      </c>
      <c r="L280" s="11">
        <f t="shared" si="165"/>
        <v>3</v>
      </c>
      <c r="M280" s="126">
        <v>44744</v>
      </c>
      <c r="N280" s="79" t="s">
        <v>239</v>
      </c>
      <c r="O280" s="26">
        <v>6</v>
      </c>
      <c r="P280" s="47">
        <v>5</v>
      </c>
      <c r="Q280" s="27">
        <v>2</v>
      </c>
      <c r="R280" s="34">
        <v>4</v>
      </c>
      <c r="S280" s="35">
        <f t="shared" ref="S280:S282" si="174">SUM(O280:R280)</f>
        <v>17</v>
      </c>
      <c r="T280" s="26">
        <v>1</v>
      </c>
      <c r="U280" s="47"/>
      <c r="V280" s="27"/>
      <c r="W280" s="34"/>
      <c r="X280" s="35">
        <f t="shared" ref="X280:X282" si="175">SUM(T280:W280)</f>
        <v>1</v>
      </c>
      <c r="Y280" s="11">
        <f t="shared" si="166"/>
        <v>18</v>
      </c>
      <c r="Z280" s="99">
        <v>44747</v>
      </c>
    </row>
    <row r="281" spans="1:27" x14ac:dyDescent="0.15">
      <c r="A281" s="13" t="s">
        <v>41</v>
      </c>
      <c r="B281" s="26"/>
      <c r="C281" s="47"/>
      <c r="D281" s="27"/>
      <c r="E281" s="34"/>
      <c r="F281" s="35">
        <f t="shared" si="172"/>
        <v>0</v>
      </c>
      <c r="G281" s="26"/>
      <c r="H281" s="47"/>
      <c r="I281" s="27"/>
      <c r="J281" s="34">
        <v>1</v>
      </c>
      <c r="K281" s="35">
        <f t="shared" si="173"/>
        <v>1</v>
      </c>
      <c r="L281" s="11">
        <f t="shared" si="165"/>
        <v>1</v>
      </c>
      <c r="M281" s="126">
        <v>44746</v>
      </c>
      <c r="N281" s="79" t="s">
        <v>34</v>
      </c>
      <c r="O281" s="26">
        <v>3</v>
      </c>
      <c r="P281" s="47">
        <v>5</v>
      </c>
      <c r="Q281" s="27"/>
      <c r="R281" s="34">
        <v>3</v>
      </c>
      <c r="S281" s="35">
        <f>SUM(O281:R281)</f>
        <v>11</v>
      </c>
      <c r="T281" s="26"/>
      <c r="U281" s="47">
        <v>3</v>
      </c>
      <c r="V281" s="27"/>
      <c r="W281" s="34"/>
      <c r="X281" s="35">
        <f>SUM(T281:W281)</f>
        <v>3</v>
      </c>
      <c r="Y281" s="11">
        <f t="shared" si="166"/>
        <v>14</v>
      </c>
      <c r="Z281" s="99">
        <v>44747</v>
      </c>
    </row>
    <row r="282" spans="1:27" x14ac:dyDescent="0.15">
      <c r="A282" s="13" t="s">
        <v>41</v>
      </c>
      <c r="B282" s="26"/>
      <c r="C282" s="47"/>
      <c r="D282" s="27"/>
      <c r="E282" s="34">
        <f>1+1</f>
        <v>2</v>
      </c>
      <c r="F282" s="35">
        <f t="shared" si="172"/>
        <v>2</v>
      </c>
      <c r="G282" s="26"/>
      <c r="H282" s="47"/>
      <c r="I282" s="27"/>
      <c r="J282" s="34">
        <v>1</v>
      </c>
      <c r="K282" s="35">
        <f t="shared" si="173"/>
        <v>1</v>
      </c>
      <c r="L282" s="11">
        <f t="shared" si="165"/>
        <v>3</v>
      </c>
      <c r="M282" s="126">
        <v>44747</v>
      </c>
      <c r="N282" s="79" t="s">
        <v>240</v>
      </c>
      <c r="O282" s="26"/>
      <c r="P282" s="47">
        <v>1</v>
      </c>
      <c r="Q282" s="27"/>
      <c r="R282" s="34">
        <v>1</v>
      </c>
      <c r="S282" s="35">
        <f t="shared" si="174"/>
        <v>2</v>
      </c>
      <c r="T282" s="26">
        <v>2</v>
      </c>
      <c r="U282" s="47">
        <v>2</v>
      </c>
      <c r="V282" s="27"/>
      <c r="W282" s="34"/>
      <c r="X282" s="35">
        <f t="shared" si="175"/>
        <v>4</v>
      </c>
      <c r="Y282" s="11">
        <f t="shared" si="166"/>
        <v>6</v>
      </c>
      <c r="Z282" s="99">
        <v>44748</v>
      </c>
    </row>
    <row r="283" spans="1:27" x14ac:dyDescent="0.15">
      <c r="A283" s="90" t="s">
        <v>246</v>
      </c>
      <c r="B283" s="26"/>
      <c r="C283" s="47"/>
      <c r="D283" s="27"/>
      <c r="E283" s="34"/>
      <c r="F283" s="35">
        <f t="shared" si="172"/>
        <v>0</v>
      </c>
      <c r="G283" s="26"/>
      <c r="H283" s="47">
        <v>5</v>
      </c>
      <c r="I283" s="27"/>
      <c r="J283" s="34"/>
      <c r="K283" s="35">
        <f t="shared" si="173"/>
        <v>5</v>
      </c>
      <c r="L283" s="11">
        <f t="shared" si="165"/>
        <v>5</v>
      </c>
      <c r="M283" s="99">
        <v>44754</v>
      </c>
      <c r="N283" s="12" t="s">
        <v>241</v>
      </c>
      <c r="O283" s="26"/>
      <c r="P283" s="47"/>
      <c r="Q283" s="27"/>
      <c r="R283" s="50">
        <v>5</v>
      </c>
      <c r="S283" s="9">
        <f>SUM(O283:R283)</f>
        <v>5</v>
      </c>
      <c r="T283" s="47"/>
      <c r="U283" s="47"/>
      <c r="V283" s="27"/>
      <c r="W283" s="50">
        <v>5</v>
      </c>
      <c r="X283" s="9">
        <f>SUM(T283:W283)</f>
        <v>5</v>
      </c>
      <c r="Y283" s="11">
        <f t="shared" si="166"/>
        <v>10</v>
      </c>
      <c r="Z283" s="99">
        <v>44749</v>
      </c>
    </row>
    <row r="284" spans="1:27" x14ac:dyDescent="0.15">
      <c r="A284" s="13" t="s">
        <v>41</v>
      </c>
      <c r="B284" s="26"/>
      <c r="C284" s="47">
        <v>1</v>
      </c>
      <c r="D284" s="27"/>
      <c r="E284" s="34">
        <v>1</v>
      </c>
      <c r="F284" s="35">
        <f t="shared" si="172"/>
        <v>2</v>
      </c>
      <c r="G284" s="26"/>
      <c r="H284" s="47"/>
      <c r="I284" s="27"/>
      <c r="J284" s="34"/>
      <c r="K284" s="35">
        <f t="shared" si="173"/>
        <v>0</v>
      </c>
      <c r="L284" s="11">
        <f t="shared" si="165"/>
        <v>2</v>
      </c>
      <c r="M284" s="126">
        <v>44748</v>
      </c>
      <c r="N284" s="79" t="s">
        <v>242</v>
      </c>
      <c r="O284" s="26"/>
      <c r="P284" s="47">
        <v>3</v>
      </c>
      <c r="Q284" s="27"/>
      <c r="R284" s="34">
        <v>2</v>
      </c>
      <c r="S284" s="35">
        <f t="shared" ref="S284:S301" si="176">SUM(O284:R284)</f>
        <v>5</v>
      </c>
      <c r="T284" s="26"/>
      <c r="U284" s="47">
        <v>1</v>
      </c>
      <c r="V284" s="27"/>
      <c r="W284" s="34">
        <v>4</v>
      </c>
      <c r="X284" s="35">
        <f t="shared" ref="X284:X301" si="177">SUM(T284:W284)</f>
        <v>5</v>
      </c>
      <c r="Y284" s="11">
        <f t="shared" si="166"/>
        <v>10</v>
      </c>
      <c r="Z284" s="99">
        <v>44749</v>
      </c>
    </row>
    <row r="285" spans="1:27" x14ac:dyDescent="0.15">
      <c r="A285" s="13" t="s">
        <v>41</v>
      </c>
      <c r="B285" s="26">
        <v>1</v>
      </c>
      <c r="C285" s="47"/>
      <c r="D285" s="27"/>
      <c r="E285" s="34"/>
      <c r="F285" s="35">
        <f t="shared" si="172"/>
        <v>1</v>
      </c>
      <c r="G285" s="26"/>
      <c r="H285" s="47"/>
      <c r="I285" s="27"/>
      <c r="J285" s="34"/>
      <c r="K285" s="35">
        <f t="shared" si="173"/>
        <v>0</v>
      </c>
      <c r="L285" s="11">
        <f t="shared" si="165"/>
        <v>1</v>
      </c>
      <c r="M285" s="126">
        <v>44749</v>
      </c>
      <c r="N285" s="79" t="s">
        <v>34</v>
      </c>
      <c r="O285" s="26"/>
      <c r="P285" s="47"/>
      <c r="Q285" s="27"/>
      <c r="R285" s="34"/>
      <c r="S285" s="35">
        <f t="shared" si="176"/>
        <v>0</v>
      </c>
      <c r="T285" s="26"/>
      <c r="U285" s="47">
        <v>5</v>
      </c>
      <c r="V285" s="27"/>
      <c r="W285" s="34"/>
      <c r="X285" s="35">
        <f t="shared" si="177"/>
        <v>5</v>
      </c>
      <c r="Y285" s="11">
        <f t="shared" si="166"/>
        <v>5</v>
      </c>
      <c r="Z285" s="99">
        <v>44749</v>
      </c>
    </row>
    <row r="286" spans="1:27" x14ac:dyDescent="0.15">
      <c r="A286" s="15" t="s">
        <v>245</v>
      </c>
      <c r="B286" s="26">
        <v>-1</v>
      </c>
      <c r="C286" s="47">
        <v>-1</v>
      </c>
      <c r="D286" s="27">
        <v>-1</v>
      </c>
      <c r="E286" s="34"/>
      <c r="F286" s="35">
        <f t="shared" si="172"/>
        <v>-3</v>
      </c>
      <c r="G286" s="26">
        <v>-1</v>
      </c>
      <c r="H286" s="47"/>
      <c r="I286" s="27"/>
      <c r="J286" s="34"/>
      <c r="K286" s="35">
        <f t="shared" si="173"/>
        <v>-1</v>
      </c>
      <c r="L286" s="11">
        <f t="shared" si="165"/>
        <v>-4</v>
      </c>
      <c r="M286" s="126">
        <v>44750</v>
      </c>
      <c r="N286" s="79" t="s">
        <v>243</v>
      </c>
      <c r="O286" s="26">
        <v>1</v>
      </c>
      <c r="P286" s="47"/>
      <c r="Q286" s="27">
        <v>1</v>
      </c>
      <c r="R286" s="34"/>
      <c r="S286" s="35">
        <f t="shared" si="176"/>
        <v>2</v>
      </c>
      <c r="T286" s="26"/>
      <c r="U286" s="47">
        <v>2</v>
      </c>
      <c r="V286" s="27">
        <v>1</v>
      </c>
      <c r="W286" s="34"/>
      <c r="X286" s="35">
        <f t="shared" si="177"/>
        <v>3</v>
      </c>
      <c r="Y286" s="11">
        <f t="shared" si="166"/>
        <v>5</v>
      </c>
      <c r="Z286" s="99">
        <v>44750</v>
      </c>
    </row>
    <row r="287" spans="1:27" x14ac:dyDescent="0.15">
      <c r="A287" s="13" t="s">
        <v>41</v>
      </c>
      <c r="B287" s="26"/>
      <c r="C287" s="47"/>
      <c r="D287" s="27"/>
      <c r="E287" s="34"/>
      <c r="F287" s="35">
        <f t="shared" si="172"/>
        <v>0</v>
      </c>
      <c r="G287" s="26">
        <v>1</v>
      </c>
      <c r="H287" s="47"/>
      <c r="I287" s="27"/>
      <c r="J287" s="34"/>
      <c r="K287" s="35">
        <f t="shared" si="173"/>
        <v>1</v>
      </c>
      <c r="L287" s="11">
        <f t="shared" si="165"/>
        <v>1</v>
      </c>
      <c r="M287" s="99">
        <v>44750</v>
      </c>
      <c r="N287" s="79" t="s">
        <v>244</v>
      </c>
      <c r="O287" s="26">
        <v>3</v>
      </c>
      <c r="P287" s="47"/>
      <c r="Q287" s="27"/>
      <c r="R287" s="34">
        <v>1</v>
      </c>
      <c r="S287" s="35">
        <f t="shared" si="176"/>
        <v>4</v>
      </c>
      <c r="T287" s="26"/>
      <c r="U287" s="47"/>
      <c r="V287" s="27"/>
      <c r="W287" s="34"/>
      <c r="X287" s="35">
        <f t="shared" si="177"/>
        <v>0</v>
      </c>
      <c r="Y287" s="11">
        <f t="shared" si="166"/>
        <v>4</v>
      </c>
      <c r="Z287" s="99">
        <v>44753</v>
      </c>
    </row>
    <row r="288" spans="1:27" x14ac:dyDescent="0.15">
      <c r="A288" s="13" t="s">
        <v>41</v>
      </c>
      <c r="B288" s="26">
        <v>1</v>
      </c>
      <c r="C288" s="47">
        <f>1+1</f>
        <v>2</v>
      </c>
      <c r="D288" s="27"/>
      <c r="E288" s="34">
        <v>1</v>
      </c>
      <c r="F288" s="35">
        <f t="shared" si="172"/>
        <v>4</v>
      </c>
      <c r="G288" s="26"/>
      <c r="H288" s="47"/>
      <c r="I288" s="27"/>
      <c r="J288" s="34"/>
      <c r="K288" s="35">
        <f t="shared" si="173"/>
        <v>0</v>
      </c>
      <c r="L288" s="11">
        <f t="shared" si="165"/>
        <v>4</v>
      </c>
      <c r="M288" s="99">
        <v>44753</v>
      </c>
      <c r="N288" s="79" t="s">
        <v>247</v>
      </c>
      <c r="O288" s="26"/>
      <c r="P288" s="47">
        <v>5</v>
      </c>
      <c r="Q288" s="27">
        <v>2</v>
      </c>
      <c r="R288" s="34">
        <v>2</v>
      </c>
      <c r="S288" s="35">
        <f t="shared" si="176"/>
        <v>9</v>
      </c>
      <c r="T288" s="26">
        <v>1</v>
      </c>
      <c r="U288" s="47">
        <v>4</v>
      </c>
      <c r="V288" s="27"/>
      <c r="W288" s="34">
        <v>1</v>
      </c>
      <c r="X288" s="35">
        <f t="shared" si="177"/>
        <v>6</v>
      </c>
      <c r="Y288" s="11">
        <f t="shared" si="166"/>
        <v>15</v>
      </c>
      <c r="Z288" s="99">
        <v>44754</v>
      </c>
      <c r="AA288" s="58"/>
    </row>
    <row r="289" spans="1:26" x14ac:dyDescent="0.15">
      <c r="A289" s="79" t="s">
        <v>248</v>
      </c>
      <c r="B289" s="26"/>
      <c r="C289" s="47"/>
      <c r="D289" s="27">
        <v>1</v>
      </c>
      <c r="E289" s="34"/>
      <c r="F289" s="35">
        <f t="shared" si="172"/>
        <v>1</v>
      </c>
      <c r="G289" s="26">
        <v>1</v>
      </c>
      <c r="H289" s="47"/>
      <c r="I289" s="27"/>
      <c r="J289" s="34">
        <v>2</v>
      </c>
      <c r="K289" s="35">
        <f t="shared" si="173"/>
        <v>3</v>
      </c>
      <c r="L289" s="11">
        <f t="shared" si="165"/>
        <v>4</v>
      </c>
      <c r="M289" s="99">
        <v>44755</v>
      </c>
      <c r="N289" s="79" t="s">
        <v>249</v>
      </c>
      <c r="O289" s="26">
        <v>2</v>
      </c>
      <c r="P289" s="47"/>
      <c r="Q289" s="27">
        <v>2</v>
      </c>
      <c r="R289" s="34">
        <v>7</v>
      </c>
      <c r="S289" s="35">
        <f t="shared" si="176"/>
        <v>11</v>
      </c>
      <c r="T289" s="26"/>
      <c r="U289" s="47"/>
      <c r="V289" s="27">
        <v>2</v>
      </c>
      <c r="W289" s="34">
        <v>2</v>
      </c>
      <c r="X289" s="35">
        <f t="shared" si="177"/>
        <v>4</v>
      </c>
      <c r="Y289" s="11">
        <f t="shared" si="166"/>
        <v>15</v>
      </c>
      <c r="Z289" s="99">
        <v>44756</v>
      </c>
    </row>
    <row r="290" spans="1:26" x14ac:dyDescent="0.15">
      <c r="A290" s="90" t="s">
        <v>254</v>
      </c>
      <c r="B290" s="26"/>
      <c r="C290" s="47"/>
      <c r="D290" s="27"/>
      <c r="E290" s="34"/>
      <c r="F290" s="35">
        <f t="shared" si="172"/>
        <v>0</v>
      </c>
      <c r="G290" s="26">
        <v>5</v>
      </c>
      <c r="H290" s="47"/>
      <c r="I290" s="27"/>
      <c r="J290" s="34"/>
      <c r="K290" s="35">
        <f t="shared" si="173"/>
        <v>5</v>
      </c>
      <c r="L290" s="11">
        <f t="shared" si="165"/>
        <v>5</v>
      </c>
      <c r="M290" s="99">
        <v>44762</v>
      </c>
      <c r="N290" s="79" t="s">
        <v>34</v>
      </c>
      <c r="O290" s="26"/>
      <c r="P290" s="47"/>
      <c r="Q290" s="27"/>
      <c r="R290" s="34">
        <v>3</v>
      </c>
      <c r="S290" s="35">
        <f t="shared" si="176"/>
        <v>3</v>
      </c>
      <c r="T290" s="26">
        <v>5</v>
      </c>
      <c r="U290" s="47"/>
      <c r="V290" s="27"/>
      <c r="W290" s="34">
        <v>3</v>
      </c>
      <c r="X290" s="35">
        <f t="shared" si="177"/>
        <v>8</v>
      </c>
      <c r="Y290" s="11">
        <f t="shared" si="166"/>
        <v>11</v>
      </c>
      <c r="Z290" s="99">
        <v>44757</v>
      </c>
    </row>
    <row r="291" spans="1:26" x14ac:dyDescent="0.15">
      <c r="A291" s="13" t="s">
        <v>250</v>
      </c>
      <c r="B291" s="26"/>
      <c r="C291" s="47"/>
      <c r="D291" s="27"/>
      <c r="E291" s="34">
        <v>-3</v>
      </c>
      <c r="F291" s="35">
        <f t="shared" si="172"/>
        <v>-3</v>
      </c>
      <c r="G291" s="26">
        <v>-5</v>
      </c>
      <c r="H291" s="47"/>
      <c r="I291" s="27"/>
      <c r="J291" s="34">
        <v>-3</v>
      </c>
      <c r="K291" s="35">
        <f t="shared" si="173"/>
        <v>-8</v>
      </c>
      <c r="L291" s="11">
        <f t="shared" si="165"/>
        <v>-11</v>
      </c>
      <c r="M291" s="99">
        <v>44757</v>
      </c>
      <c r="N291" s="79" t="s">
        <v>251</v>
      </c>
      <c r="O291" s="26">
        <v>4</v>
      </c>
      <c r="P291" s="47">
        <v>9</v>
      </c>
      <c r="Q291" s="27"/>
      <c r="R291" s="34">
        <v>1</v>
      </c>
      <c r="S291" s="35">
        <f t="shared" si="176"/>
        <v>14</v>
      </c>
      <c r="T291" s="26">
        <v>1</v>
      </c>
      <c r="U291" s="47"/>
      <c r="V291" s="27"/>
      <c r="W291" s="34">
        <v>1</v>
      </c>
      <c r="X291" s="35">
        <f t="shared" si="177"/>
        <v>2</v>
      </c>
      <c r="Y291" s="11">
        <f t="shared" si="166"/>
        <v>16</v>
      </c>
      <c r="Z291" s="99">
        <v>44757</v>
      </c>
    </row>
    <row r="292" spans="1:26" x14ac:dyDescent="0.15">
      <c r="A292" s="13" t="s">
        <v>41</v>
      </c>
      <c r="B292" s="26"/>
      <c r="C292" s="47"/>
      <c r="D292" s="27">
        <v>1</v>
      </c>
      <c r="E292" s="34"/>
      <c r="F292" s="35">
        <f t="shared" si="172"/>
        <v>1</v>
      </c>
      <c r="G292" s="26"/>
      <c r="H292" s="47"/>
      <c r="I292" s="27"/>
      <c r="J292" s="34"/>
      <c r="K292" s="35">
        <f t="shared" si="173"/>
        <v>0</v>
      </c>
      <c r="L292" s="11">
        <f t="shared" si="165"/>
        <v>1</v>
      </c>
      <c r="M292" s="99">
        <v>44761</v>
      </c>
      <c r="N292" s="79" t="s">
        <v>252</v>
      </c>
      <c r="O292" s="26">
        <v>3</v>
      </c>
      <c r="P292" s="47">
        <v>4</v>
      </c>
      <c r="Q292" s="27">
        <v>1</v>
      </c>
      <c r="R292" s="34"/>
      <c r="S292" s="35">
        <f t="shared" si="176"/>
        <v>8</v>
      </c>
      <c r="T292" s="26"/>
      <c r="U292" s="47"/>
      <c r="V292" s="27">
        <v>3</v>
      </c>
      <c r="W292" s="34"/>
      <c r="X292" s="35">
        <f t="shared" si="177"/>
        <v>3</v>
      </c>
      <c r="Y292" s="11">
        <f t="shared" si="166"/>
        <v>11</v>
      </c>
      <c r="Z292" s="99">
        <v>44761</v>
      </c>
    </row>
    <row r="293" spans="1:26" x14ac:dyDescent="0.15">
      <c r="A293" s="13" t="s">
        <v>41</v>
      </c>
      <c r="B293" s="26"/>
      <c r="C293" s="47">
        <v>1</v>
      </c>
      <c r="D293" s="27"/>
      <c r="E293" s="34"/>
      <c r="F293" s="35">
        <f t="shared" si="172"/>
        <v>1</v>
      </c>
      <c r="G293" s="26"/>
      <c r="H293" s="47"/>
      <c r="I293" s="27">
        <v>1</v>
      </c>
      <c r="J293" s="34">
        <v>1</v>
      </c>
      <c r="K293" s="35">
        <f t="shared" si="173"/>
        <v>2</v>
      </c>
      <c r="L293" s="11">
        <f t="shared" si="165"/>
        <v>3</v>
      </c>
      <c r="M293" s="126">
        <v>44762</v>
      </c>
      <c r="N293" s="79" t="s">
        <v>253</v>
      </c>
      <c r="O293" s="26">
        <v>2</v>
      </c>
      <c r="P293" s="47">
        <v>2</v>
      </c>
      <c r="Q293" s="27">
        <v>2</v>
      </c>
      <c r="R293" s="34">
        <v>4</v>
      </c>
      <c r="S293" s="35">
        <f t="shared" si="176"/>
        <v>10</v>
      </c>
      <c r="T293" s="26"/>
      <c r="U293" s="47">
        <v>3</v>
      </c>
      <c r="V293" s="27"/>
      <c r="W293" s="34"/>
      <c r="X293" s="35">
        <f t="shared" si="177"/>
        <v>3</v>
      </c>
      <c r="Y293" s="11">
        <f t="shared" si="166"/>
        <v>13</v>
      </c>
      <c r="Z293" s="99">
        <v>44762</v>
      </c>
    </row>
    <row r="294" spans="1:26" x14ac:dyDescent="0.15">
      <c r="A294" s="13" t="s">
        <v>257</v>
      </c>
      <c r="B294" s="26"/>
      <c r="C294" s="47"/>
      <c r="D294" s="27"/>
      <c r="E294" s="34"/>
      <c r="F294" s="35">
        <f t="shared" si="172"/>
        <v>0</v>
      </c>
      <c r="G294" s="26"/>
      <c r="H294" s="47"/>
      <c r="I294" s="27"/>
      <c r="J294" s="34">
        <v>-10</v>
      </c>
      <c r="K294" s="35">
        <f t="shared" si="173"/>
        <v>-10</v>
      </c>
      <c r="L294" s="11">
        <f t="shared" si="165"/>
        <v>-10</v>
      </c>
      <c r="M294" s="99">
        <v>44764</v>
      </c>
      <c r="N294" s="79" t="s">
        <v>255</v>
      </c>
      <c r="O294" s="26"/>
      <c r="P294" s="47">
        <v>7</v>
      </c>
      <c r="Q294" s="27">
        <v>4</v>
      </c>
      <c r="R294" s="34"/>
      <c r="S294" s="35">
        <f t="shared" si="176"/>
        <v>11</v>
      </c>
      <c r="T294" s="26"/>
      <c r="U294" s="47"/>
      <c r="V294" s="27"/>
      <c r="W294" s="34">
        <v>1</v>
      </c>
      <c r="X294" s="35">
        <f t="shared" si="177"/>
        <v>1</v>
      </c>
      <c r="Y294" s="11">
        <f t="shared" si="166"/>
        <v>12</v>
      </c>
      <c r="Z294" s="99">
        <v>44763</v>
      </c>
    </row>
    <row r="295" spans="1:26" x14ac:dyDescent="0.15">
      <c r="A295" s="90" t="s">
        <v>261</v>
      </c>
      <c r="B295" s="26"/>
      <c r="C295" s="47"/>
      <c r="D295" s="27"/>
      <c r="E295" s="34"/>
      <c r="F295" s="35">
        <f t="shared" si="172"/>
        <v>0</v>
      </c>
      <c r="G295" s="26"/>
      <c r="H295" s="47"/>
      <c r="I295" s="27"/>
      <c r="J295" s="34">
        <v>5</v>
      </c>
      <c r="K295" s="35">
        <f t="shared" si="173"/>
        <v>5</v>
      </c>
      <c r="L295" s="11">
        <f t="shared" si="165"/>
        <v>5</v>
      </c>
      <c r="M295" s="99">
        <v>44769</v>
      </c>
      <c r="N295" s="79" t="s">
        <v>256</v>
      </c>
      <c r="O295" s="26"/>
      <c r="P295" s="47">
        <v>1</v>
      </c>
      <c r="Q295" s="27">
        <v>1</v>
      </c>
      <c r="R295" s="34">
        <v>1</v>
      </c>
      <c r="S295" s="35">
        <f t="shared" si="176"/>
        <v>3</v>
      </c>
      <c r="T295" s="26">
        <v>1</v>
      </c>
      <c r="U295" s="47"/>
      <c r="V295" s="27"/>
      <c r="W295" s="34">
        <v>2</v>
      </c>
      <c r="X295" s="35">
        <f t="shared" si="177"/>
        <v>3</v>
      </c>
      <c r="Y295" s="11">
        <f t="shared" si="166"/>
        <v>6</v>
      </c>
      <c r="Z295" s="99">
        <v>44764</v>
      </c>
    </row>
    <row r="296" spans="1:26" x14ac:dyDescent="0.15">
      <c r="A296" s="13" t="s">
        <v>41</v>
      </c>
      <c r="B296" s="26"/>
      <c r="C296" s="47"/>
      <c r="D296" s="27"/>
      <c r="E296" s="34"/>
      <c r="F296" s="35">
        <f t="shared" si="172"/>
        <v>0</v>
      </c>
      <c r="G296" s="26">
        <v>1</v>
      </c>
      <c r="H296" s="47"/>
      <c r="I296" s="27"/>
      <c r="J296" s="34"/>
      <c r="K296" s="35">
        <f t="shared" si="173"/>
        <v>1</v>
      </c>
      <c r="L296" s="11">
        <f t="shared" si="165"/>
        <v>1</v>
      </c>
      <c r="M296" s="99">
        <v>44764</v>
      </c>
      <c r="N296" s="79" t="s">
        <v>34</v>
      </c>
      <c r="O296" s="26"/>
      <c r="P296" s="47"/>
      <c r="Q296" s="27"/>
      <c r="R296" s="34"/>
      <c r="S296" s="35">
        <f t="shared" si="176"/>
        <v>0</v>
      </c>
      <c r="T296" s="26"/>
      <c r="U296" s="47"/>
      <c r="V296" s="27"/>
      <c r="W296" s="34">
        <v>10</v>
      </c>
      <c r="X296" s="35">
        <f t="shared" si="177"/>
        <v>10</v>
      </c>
      <c r="Y296" s="11">
        <f t="shared" si="166"/>
        <v>10</v>
      </c>
      <c r="Z296" s="99">
        <v>44764</v>
      </c>
    </row>
    <row r="297" spans="1:26" x14ac:dyDescent="0.15">
      <c r="A297" s="79" t="s">
        <v>259</v>
      </c>
      <c r="B297" s="26"/>
      <c r="C297" s="47"/>
      <c r="D297" s="27">
        <v>1</v>
      </c>
      <c r="E297" s="34"/>
      <c r="F297" s="35">
        <f t="shared" si="172"/>
        <v>1</v>
      </c>
      <c r="G297" s="26"/>
      <c r="H297" s="47"/>
      <c r="I297" s="27">
        <v>1</v>
      </c>
      <c r="J297" s="34"/>
      <c r="K297" s="35">
        <f t="shared" si="173"/>
        <v>1</v>
      </c>
      <c r="L297" s="11">
        <f t="shared" si="165"/>
        <v>2</v>
      </c>
      <c r="M297" s="99">
        <v>44768</v>
      </c>
      <c r="N297" s="79" t="s">
        <v>258</v>
      </c>
      <c r="O297" s="26"/>
      <c r="P297" s="47"/>
      <c r="Q297" s="27">
        <v>2</v>
      </c>
      <c r="R297" s="34">
        <v>1</v>
      </c>
      <c r="S297" s="35">
        <f t="shared" si="176"/>
        <v>3</v>
      </c>
      <c r="T297" s="26"/>
      <c r="U297" s="47"/>
      <c r="V297" s="27"/>
      <c r="W297" s="34"/>
      <c r="X297" s="35">
        <f t="shared" si="177"/>
        <v>0</v>
      </c>
      <c r="Y297" s="11">
        <f t="shared" si="166"/>
        <v>3</v>
      </c>
      <c r="Z297" s="99">
        <v>44767</v>
      </c>
    </row>
    <row r="298" spans="1:26" x14ac:dyDescent="0.15">
      <c r="A298" s="13" t="s">
        <v>41</v>
      </c>
      <c r="B298" s="26">
        <v>2</v>
      </c>
      <c r="C298" s="47"/>
      <c r="D298" s="27">
        <v>1</v>
      </c>
      <c r="E298" s="34"/>
      <c r="F298" s="35">
        <f t="shared" si="172"/>
        <v>3</v>
      </c>
      <c r="G298" s="26">
        <v>1</v>
      </c>
      <c r="H298" s="47"/>
      <c r="I298" s="27">
        <v>1</v>
      </c>
      <c r="J298" s="34"/>
      <c r="K298" s="35">
        <f t="shared" si="173"/>
        <v>2</v>
      </c>
      <c r="L298" s="11">
        <f t="shared" si="165"/>
        <v>5</v>
      </c>
      <c r="M298" s="126">
        <v>44767</v>
      </c>
      <c r="N298" s="57"/>
      <c r="O298" s="66"/>
      <c r="P298" s="67"/>
      <c r="Q298" s="68"/>
      <c r="R298" s="69"/>
      <c r="S298" s="70">
        <f t="shared" si="176"/>
        <v>0</v>
      </c>
      <c r="T298" s="66"/>
      <c r="U298" s="67"/>
      <c r="V298" s="68"/>
      <c r="W298" s="69"/>
      <c r="X298" s="70">
        <f t="shared" si="177"/>
        <v>0</v>
      </c>
      <c r="Y298" s="11">
        <f t="shared" si="166"/>
        <v>0</v>
      </c>
      <c r="Z298" s="99"/>
    </row>
    <row r="299" spans="1:26" x14ac:dyDescent="0.15">
      <c r="A299" s="57"/>
      <c r="B299" s="26"/>
      <c r="C299" s="47"/>
      <c r="D299" s="27"/>
      <c r="E299" s="34"/>
      <c r="F299" s="35">
        <f t="shared" si="172"/>
        <v>0</v>
      </c>
      <c r="G299" s="26"/>
      <c r="H299" s="47"/>
      <c r="I299" s="27"/>
      <c r="J299" s="34"/>
      <c r="K299" s="35">
        <f t="shared" si="173"/>
        <v>0</v>
      </c>
      <c r="L299" s="11">
        <f t="shared" si="165"/>
        <v>0</v>
      </c>
      <c r="N299" s="57"/>
      <c r="O299" s="66"/>
      <c r="P299" s="67"/>
      <c r="Q299" s="68"/>
      <c r="R299" s="69"/>
      <c r="S299" s="70">
        <f t="shared" ref="S299" si="178">SUM(O299:R299)</f>
        <v>0</v>
      </c>
      <c r="T299" s="66"/>
      <c r="U299" s="67"/>
      <c r="V299" s="68"/>
      <c r="W299" s="69"/>
      <c r="X299" s="70">
        <f t="shared" ref="X299" si="179">SUM(T299:W299)</f>
        <v>0</v>
      </c>
      <c r="Y299" s="11">
        <f t="shared" ref="Y299" si="180">S299+X299</f>
        <v>0</v>
      </c>
      <c r="Z299" s="99"/>
    </row>
    <row r="300" spans="1:26" ht="14.25" thickBot="1" x14ac:dyDescent="0.2">
      <c r="A300" s="90"/>
      <c r="B300" s="62"/>
      <c r="C300" s="63"/>
      <c r="D300" s="64"/>
      <c r="E300" s="65"/>
      <c r="F300" s="35">
        <f t="shared" si="172"/>
        <v>0</v>
      </c>
      <c r="G300" s="62"/>
      <c r="H300" s="63"/>
      <c r="I300" s="64"/>
      <c r="J300" s="65"/>
      <c r="K300" s="35">
        <f t="shared" si="173"/>
        <v>0</v>
      </c>
      <c r="L300" s="14">
        <f t="shared" si="165"/>
        <v>0</v>
      </c>
      <c r="N300" s="135" t="s">
        <v>208</v>
      </c>
      <c r="O300" s="62"/>
      <c r="P300" s="63"/>
      <c r="Q300" s="64"/>
      <c r="R300" s="65"/>
      <c r="S300" s="120">
        <f t="shared" ref="S300" si="181">SUM(O300:R300)</f>
        <v>0</v>
      </c>
      <c r="T300" s="62"/>
      <c r="U300" s="63"/>
      <c r="V300" s="64"/>
      <c r="W300" s="65"/>
      <c r="X300" s="120">
        <f t="shared" ref="X300" si="182">SUM(T300:W300)</f>
        <v>0</v>
      </c>
      <c r="Y300" s="121">
        <f t="shared" ref="Y300" si="183">S300+X300</f>
        <v>0</v>
      </c>
      <c r="Z300" s="99" t="s">
        <v>209</v>
      </c>
    </row>
    <row r="301" spans="1:26" ht="14.25" thickBot="1" x14ac:dyDescent="0.2">
      <c r="A301" s="17" t="s">
        <v>10</v>
      </c>
      <c r="B301" s="38">
        <f>SUM(B276:B300)</f>
        <v>6</v>
      </c>
      <c r="C301" s="48">
        <f>SUM(C276:C300)</f>
        <v>5</v>
      </c>
      <c r="D301" s="39">
        <f>SUM(D276:D300)</f>
        <v>8</v>
      </c>
      <c r="E301" s="40">
        <f>SUM(E276:E300)</f>
        <v>7</v>
      </c>
      <c r="F301" s="36">
        <f>SUM(B301:E301)</f>
        <v>26</v>
      </c>
      <c r="G301" s="38">
        <f>SUM(G276:G300)</f>
        <v>3</v>
      </c>
      <c r="H301" s="48">
        <f>SUM(H276:H300)</f>
        <v>5</v>
      </c>
      <c r="I301" s="39">
        <f>SUM(I276:I300)</f>
        <v>4</v>
      </c>
      <c r="J301" s="40">
        <f>SUM(J276:J300)</f>
        <v>-3</v>
      </c>
      <c r="K301" s="36">
        <f>SUM(G301:J301)</f>
        <v>9</v>
      </c>
      <c r="L301" s="37">
        <f t="shared" si="165"/>
        <v>35</v>
      </c>
      <c r="N301" s="133" t="s">
        <v>10</v>
      </c>
      <c r="O301" s="38">
        <f>SUM(O276:O300)</f>
        <v>29</v>
      </c>
      <c r="P301" s="48">
        <f>SUM(P276:P300)</f>
        <v>45</v>
      </c>
      <c r="Q301" s="39">
        <f>SUM(Q276:Q300)</f>
        <v>23</v>
      </c>
      <c r="R301" s="40">
        <f>SUM(R276:R300)</f>
        <v>40</v>
      </c>
      <c r="S301" s="118">
        <f t="shared" si="176"/>
        <v>137</v>
      </c>
      <c r="T301" s="38">
        <f>SUM(T276:T300)</f>
        <v>11</v>
      </c>
      <c r="U301" s="48">
        <f>SUM(U276:U300)</f>
        <v>24</v>
      </c>
      <c r="V301" s="39">
        <f>SUM(V276:V300)</f>
        <v>6</v>
      </c>
      <c r="W301" s="40">
        <f>SUM(W276:W300)</f>
        <v>34</v>
      </c>
      <c r="X301" s="118">
        <f t="shared" si="177"/>
        <v>75</v>
      </c>
      <c r="Y301" s="119">
        <f t="shared" si="166"/>
        <v>212</v>
      </c>
    </row>
    <row r="302" spans="1:26" ht="14.25" thickBot="1" x14ac:dyDescent="0.2">
      <c r="A302" s="22" t="s">
        <v>11</v>
      </c>
      <c r="B302" s="41">
        <f>B275-B301</f>
        <v>2</v>
      </c>
      <c r="C302" s="49">
        <f>C275-C301</f>
        <v>3</v>
      </c>
      <c r="D302" s="42">
        <f t="shared" ref="D302:K302" si="184">D275-D301</f>
        <v>2</v>
      </c>
      <c r="E302" s="43">
        <f t="shared" si="184"/>
        <v>3</v>
      </c>
      <c r="F302" s="61">
        <f t="shared" si="184"/>
        <v>6</v>
      </c>
      <c r="G302" s="41">
        <f t="shared" si="184"/>
        <v>2</v>
      </c>
      <c r="H302" s="49">
        <f t="shared" si="184"/>
        <v>6</v>
      </c>
      <c r="I302" s="42">
        <f t="shared" si="184"/>
        <v>5</v>
      </c>
      <c r="J302" s="43">
        <f t="shared" si="184"/>
        <v>8</v>
      </c>
      <c r="K302" s="61">
        <f t="shared" si="184"/>
        <v>21</v>
      </c>
      <c r="L302" s="21">
        <f t="shared" si="165"/>
        <v>27</v>
      </c>
      <c r="N302" s="17" t="s">
        <v>11</v>
      </c>
      <c r="O302" s="41">
        <f>O275-O301</f>
        <v>398</v>
      </c>
      <c r="P302" s="49">
        <f t="shared" ref="P302:X302" si="185">P275-P301</f>
        <v>572</v>
      </c>
      <c r="Q302" s="42">
        <f t="shared" si="185"/>
        <v>292</v>
      </c>
      <c r="R302" s="43">
        <f t="shared" si="185"/>
        <v>174</v>
      </c>
      <c r="S302" s="61">
        <f t="shared" si="185"/>
        <v>1436</v>
      </c>
      <c r="T302" s="41">
        <f t="shared" si="185"/>
        <v>495</v>
      </c>
      <c r="U302" s="49">
        <f t="shared" si="185"/>
        <v>621</v>
      </c>
      <c r="V302" s="42">
        <f t="shared" si="185"/>
        <v>335</v>
      </c>
      <c r="W302" s="43">
        <f t="shared" si="185"/>
        <v>146</v>
      </c>
      <c r="X302" s="61">
        <f t="shared" si="185"/>
        <v>1597</v>
      </c>
      <c r="Y302" s="21">
        <f t="shared" si="166"/>
        <v>3033</v>
      </c>
    </row>
    <row r="303" spans="1:26" x14ac:dyDescent="0.15">
      <c r="O303" s="138">
        <f>O301+O263+O225+O187+O149+O111+O75</f>
        <v>456</v>
      </c>
      <c r="P303" s="138">
        <f t="shared" ref="P303:Y303" si="186">P301+P263+P225+P187+P149+P111+P75</f>
        <v>597</v>
      </c>
      <c r="Q303" s="138">
        <f t="shared" si="186"/>
        <v>365</v>
      </c>
      <c r="R303" s="138">
        <f t="shared" si="186"/>
        <v>222</v>
      </c>
      <c r="S303" s="138">
        <f t="shared" si="186"/>
        <v>1640</v>
      </c>
      <c r="T303" s="138">
        <f t="shared" si="186"/>
        <v>404</v>
      </c>
      <c r="U303" s="138">
        <f t="shared" si="186"/>
        <v>474</v>
      </c>
      <c r="V303" s="138">
        <f t="shared" si="186"/>
        <v>322</v>
      </c>
      <c r="W303" s="138">
        <f t="shared" si="186"/>
        <v>198</v>
      </c>
      <c r="X303" s="138">
        <f t="shared" si="186"/>
        <v>1398</v>
      </c>
      <c r="Y303" s="138">
        <f t="shared" si="186"/>
        <v>3038</v>
      </c>
    </row>
    <row r="304" spans="1:26" x14ac:dyDescent="0.15">
      <c r="O304" s="139">
        <f>O303/$S$303*100</f>
        <v>27.804878048780491</v>
      </c>
      <c r="P304" s="139">
        <f t="shared" ref="P304:S304" si="187">P303/$S$303*100</f>
        <v>36.40243902439024</v>
      </c>
      <c r="Q304" s="139">
        <f t="shared" si="187"/>
        <v>22.256097560975611</v>
      </c>
      <c r="R304" s="139">
        <f t="shared" si="187"/>
        <v>13.536585365853659</v>
      </c>
      <c r="S304" s="139">
        <f t="shared" si="187"/>
        <v>100</v>
      </c>
      <c r="T304" s="139">
        <f>T303/$X$303*100</f>
        <v>28.898426323319025</v>
      </c>
      <c r="U304" s="139">
        <f t="shared" ref="U304:X304" si="188">U303/$X$303*100</f>
        <v>33.905579399141637</v>
      </c>
      <c r="V304" s="139">
        <f t="shared" si="188"/>
        <v>23.032904148783977</v>
      </c>
      <c r="W304" s="139">
        <f t="shared" si="188"/>
        <v>14.163090128755366</v>
      </c>
      <c r="X304" s="139">
        <f t="shared" si="188"/>
        <v>100</v>
      </c>
      <c r="Y304" s="140"/>
    </row>
    <row r="305" spans="1:27" ht="19.5" thickBot="1" x14ac:dyDescent="0.25">
      <c r="A305" s="2" t="s">
        <v>106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105</v>
      </c>
      <c r="O305" s="141"/>
      <c r="P305" s="142"/>
      <c r="Q305" s="142"/>
      <c r="R305" s="142"/>
      <c r="S305" s="143">
        <v>0.54</v>
      </c>
      <c r="T305" s="142"/>
      <c r="U305" s="142"/>
      <c r="V305" s="142"/>
      <c r="W305" s="142"/>
      <c r="X305" s="143">
        <v>0.46</v>
      </c>
      <c r="Y305" s="142"/>
    </row>
    <row r="306" spans="1:27" ht="14.25" thickBot="1" x14ac:dyDescent="0.2">
      <c r="A306" s="5" t="s">
        <v>0</v>
      </c>
      <c r="B306" s="342" t="s">
        <v>18</v>
      </c>
      <c r="C306" s="350"/>
      <c r="D306" s="350"/>
      <c r="E306" s="350"/>
      <c r="F306" s="351"/>
      <c r="G306" s="345" t="s">
        <v>12</v>
      </c>
      <c r="H306" s="352"/>
      <c r="I306" s="352"/>
      <c r="J306" s="352"/>
      <c r="K306" s="353"/>
      <c r="L306" s="354" t="s">
        <v>1</v>
      </c>
      <c r="N306" s="5" t="s">
        <v>0</v>
      </c>
      <c r="O306" s="342" t="s">
        <v>18</v>
      </c>
      <c r="P306" s="350"/>
      <c r="Q306" s="350"/>
      <c r="R306" s="350"/>
      <c r="S306" s="351"/>
      <c r="T306" s="345" t="s">
        <v>12</v>
      </c>
      <c r="U306" s="352"/>
      <c r="V306" s="352"/>
      <c r="W306" s="352"/>
      <c r="X306" s="353"/>
      <c r="Y306" s="354" t="s">
        <v>1</v>
      </c>
    </row>
    <row r="307" spans="1:27" ht="14.25" thickBot="1" x14ac:dyDescent="0.2">
      <c r="A307" s="5" t="s">
        <v>2</v>
      </c>
      <c r="B307" s="3" t="s">
        <v>13</v>
      </c>
      <c r="C307" s="44" t="s">
        <v>14</v>
      </c>
      <c r="D307" s="4" t="s">
        <v>15</v>
      </c>
      <c r="E307" s="23" t="s">
        <v>16</v>
      </c>
      <c r="F307" s="31" t="s">
        <v>3</v>
      </c>
      <c r="G307" s="3" t="s">
        <v>13</v>
      </c>
      <c r="H307" s="44" t="s">
        <v>14</v>
      </c>
      <c r="I307" s="4" t="s">
        <v>15</v>
      </c>
      <c r="J307" s="23" t="s">
        <v>16</v>
      </c>
      <c r="K307" s="31" t="s">
        <v>3</v>
      </c>
      <c r="L307" s="355"/>
      <c r="N307" s="5" t="s">
        <v>2</v>
      </c>
      <c r="O307" s="3" t="s">
        <v>13</v>
      </c>
      <c r="P307" s="44" t="s">
        <v>14</v>
      </c>
      <c r="Q307" s="4" t="s">
        <v>15</v>
      </c>
      <c r="R307" s="23" t="s">
        <v>16</v>
      </c>
      <c r="S307" s="31" t="s">
        <v>3</v>
      </c>
      <c r="T307" s="3" t="s">
        <v>13</v>
      </c>
      <c r="U307" s="44" t="s">
        <v>14</v>
      </c>
      <c r="V307" s="4" t="s">
        <v>15</v>
      </c>
      <c r="W307" s="23" t="s">
        <v>16</v>
      </c>
      <c r="X307" s="31" t="s">
        <v>3</v>
      </c>
      <c r="Y307" s="355"/>
    </row>
    <row r="308" spans="1:27" x14ac:dyDescent="0.15">
      <c r="A308" s="71" t="s">
        <v>17</v>
      </c>
      <c r="B308" s="72">
        <f>B302</f>
        <v>2</v>
      </c>
      <c r="C308" s="73">
        <f t="shared" ref="C308:L308" si="189">C302</f>
        <v>3</v>
      </c>
      <c r="D308" s="73">
        <f t="shared" si="189"/>
        <v>2</v>
      </c>
      <c r="E308" s="74">
        <f t="shared" si="189"/>
        <v>3</v>
      </c>
      <c r="F308" s="76">
        <f t="shared" si="189"/>
        <v>6</v>
      </c>
      <c r="G308" s="72">
        <f t="shared" si="189"/>
        <v>2</v>
      </c>
      <c r="H308" s="73">
        <f t="shared" si="189"/>
        <v>6</v>
      </c>
      <c r="I308" s="73">
        <f t="shared" si="189"/>
        <v>5</v>
      </c>
      <c r="J308" s="74">
        <f t="shared" si="189"/>
        <v>8</v>
      </c>
      <c r="K308" s="75">
        <f t="shared" si="189"/>
        <v>21</v>
      </c>
      <c r="L308" s="16">
        <f t="shared" si="189"/>
        <v>27</v>
      </c>
      <c r="N308" s="71" t="s">
        <v>17</v>
      </c>
      <c r="O308" s="72">
        <f>O302</f>
        <v>398</v>
      </c>
      <c r="P308" s="73">
        <f t="shared" ref="P308:Y308" si="190">P302</f>
        <v>572</v>
      </c>
      <c r="Q308" s="73">
        <f t="shared" si="190"/>
        <v>292</v>
      </c>
      <c r="R308" s="74">
        <f t="shared" si="190"/>
        <v>174</v>
      </c>
      <c r="S308" s="76">
        <f t="shared" si="190"/>
        <v>1436</v>
      </c>
      <c r="T308" s="72">
        <f t="shared" si="190"/>
        <v>495</v>
      </c>
      <c r="U308" s="73">
        <f t="shared" si="190"/>
        <v>621</v>
      </c>
      <c r="V308" s="73">
        <f t="shared" si="190"/>
        <v>335</v>
      </c>
      <c r="W308" s="74">
        <f t="shared" si="190"/>
        <v>146</v>
      </c>
      <c r="X308" s="75">
        <f t="shared" si="190"/>
        <v>1597</v>
      </c>
      <c r="Y308" s="16">
        <f t="shared" si="190"/>
        <v>3033</v>
      </c>
    </row>
    <row r="309" spans="1:27" x14ac:dyDescent="0.15">
      <c r="A309" s="13" t="s">
        <v>5</v>
      </c>
      <c r="B309" s="6">
        <v>3</v>
      </c>
      <c r="C309" s="30">
        <v>3</v>
      </c>
      <c r="D309" s="7">
        <v>5</v>
      </c>
      <c r="E309" s="8"/>
      <c r="F309" s="9">
        <f>SUM(B309:E309)</f>
        <v>11</v>
      </c>
      <c r="G309" s="30">
        <v>3</v>
      </c>
      <c r="H309" s="30"/>
      <c r="I309" s="7"/>
      <c r="J309" s="8"/>
      <c r="K309" s="9">
        <f>SUM(G309:J309)</f>
        <v>3</v>
      </c>
      <c r="L309" s="11">
        <f t="shared" ref="L309:L340" si="191">F309+K309</f>
        <v>14</v>
      </c>
      <c r="M309" s="99">
        <v>44769</v>
      </c>
      <c r="N309" s="13" t="s">
        <v>34</v>
      </c>
      <c r="O309" s="26">
        <v>7</v>
      </c>
      <c r="P309" s="47"/>
      <c r="Q309" s="27">
        <v>14</v>
      </c>
      <c r="R309" s="34"/>
      <c r="S309" s="77">
        <f t="shared" ref="S309" si="192">SUM(O309:R309)</f>
        <v>21</v>
      </c>
      <c r="T309" s="26">
        <v>15</v>
      </c>
      <c r="U309" s="47">
        <v>17</v>
      </c>
      <c r="V309" s="27">
        <v>12</v>
      </c>
      <c r="W309" s="34">
        <v>14</v>
      </c>
      <c r="X309" s="9">
        <f t="shared" ref="X309" si="193">SUM(T309:W309)</f>
        <v>58</v>
      </c>
      <c r="Y309" s="11">
        <f t="shared" ref="Y309" si="194">S309+X309</f>
        <v>79</v>
      </c>
      <c r="Z309" s="126">
        <v>44793</v>
      </c>
    </row>
    <row r="310" spans="1:27" x14ac:dyDescent="0.15">
      <c r="A310" s="13" t="s">
        <v>6</v>
      </c>
      <c r="B310" s="6">
        <v>20</v>
      </c>
      <c r="C310" s="30">
        <v>20</v>
      </c>
      <c r="D310" s="7">
        <v>20</v>
      </c>
      <c r="E310" s="8">
        <v>20</v>
      </c>
      <c r="F310" s="9">
        <f>SUM(B310:E310)</f>
        <v>80</v>
      </c>
      <c r="G310" s="30">
        <v>20</v>
      </c>
      <c r="H310" s="30">
        <v>20</v>
      </c>
      <c r="I310" s="7">
        <v>20</v>
      </c>
      <c r="J310" s="8">
        <v>20</v>
      </c>
      <c r="K310" s="9">
        <f>SUM(G310:J310)</f>
        <v>80</v>
      </c>
      <c r="L310" s="11">
        <f t="shared" si="191"/>
        <v>160</v>
      </c>
      <c r="M310" s="99">
        <v>44772</v>
      </c>
      <c r="N310" s="13" t="s">
        <v>6</v>
      </c>
      <c r="O310" s="26"/>
      <c r="P310" s="47"/>
      <c r="Q310" s="27"/>
      <c r="R310" s="34"/>
      <c r="S310" s="77">
        <f>SUM(O310:R310)</f>
        <v>0</v>
      </c>
      <c r="T310" s="26"/>
      <c r="U310" s="47"/>
      <c r="V310" s="27"/>
      <c r="W310" s="34"/>
      <c r="X310" s="9">
        <f>SUM(T310:W310)</f>
        <v>0</v>
      </c>
      <c r="Y310" s="11">
        <f t="shared" ref="Y310:Y340" si="195">S310+X310</f>
        <v>0</v>
      </c>
    </row>
    <row r="311" spans="1:27" x14ac:dyDescent="0.15">
      <c r="A311" s="13" t="s">
        <v>49</v>
      </c>
      <c r="B311" s="6"/>
      <c r="C311" s="30"/>
      <c r="D311" s="7"/>
      <c r="E311" s="8">
        <v>1</v>
      </c>
      <c r="F311" s="9">
        <f>SUM(B311:E311)</f>
        <v>1</v>
      </c>
      <c r="G311" s="30"/>
      <c r="H311" s="30">
        <v>2</v>
      </c>
      <c r="I311" s="7"/>
      <c r="J311" s="8"/>
      <c r="K311" s="9">
        <f>SUM(G311:J311)</f>
        <v>2</v>
      </c>
      <c r="L311" s="11">
        <f t="shared" si="191"/>
        <v>3</v>
      </c>
      <c r="M311" s="126">
        <v>44771</v>
      </c>
      <c r="N311" s="13" t="s">
        <v>7</v>
      </c>
      <c r="O311" s="26"/>
      <c r="P311" s="47"/>
      <c r="Q311" s="27"/>
      <c r="R311" s="34"/>
      <c r="S311" s="77">
        <f>SUM(O311:R311)</f>
        <v>0</v>
      </c>
      <c r="T311" s="47"/>
      <c r="U311" s="47"/>
      <c r="V311" s="27"/>
      <c r="W311" s="50"/>
      <c r="X311" s="9">
        <f>SUM(T311:W311)</f>
        <v>0</v>
      </c>
      <c r="Y311" s="11">
        <f t="shared" si="195"/>
        <v>0</v>
      </c>
    </row>
    <row r="312" spans="1:27" ht="14.25" thickBot="1" x14ac:dyDescent="0.2">
      <c r="A312" s="13" t="s">
        <v>8</v>
      </c>
      <c r="B312" s="6"/>
      <c r="C312" s="30">
        <v>5</v>
      </c>
      <c r="D312" s="7"/>
      <c r="E312" s="8"/>
      <c r="F312" s="10">
        <f>SUM(B312:E312)</f>
        <v>5</v>
      </c>
      <c r="G312" s="30"/>
      <c r="H312" s="30"/>
      <c r="I312" s="7"/>
      <c r="J312" s="8"/>
      <c r="K312" s="10">
        <f>SUM(G312:J312)</f>
        <v>0</v>
      </c>
      <c r="L312" s="14">
        <f t="shared" si="191"/>
        <v>5</v>
      </c>
      <c r="M312" s="99">
        <v>44777</v>
      </c>
      <c r="N312" s="13" t="s">
        <v>8</v>
      </c>
      <c r="O312" s="62"/>
      <c r="P312" s="63"/>
      <c r="Q312" s="64"/>
      <c r="R312" s="65"/>
      <c r="S312" s="78">
        <f>SUM(O312:R312)</f>
        <v>0</v>
      </c>
      <c r="T312" s="47"/>
      <c r="U312" s="47"/>
      <c r="V312" s="27"/>
      <c r="W312" s="50"/>
      <c r="X312" s="10">
        <f>SUM(T312:W312)</f>
        <v>0</v>
      </c>
      <c r="Y312" s="14">
        <f t="shared" si="195"/>
        <v>0</v>
      </c>
    </row>
    <row r="313" spans="1:27" ht="14.25" thickBot="1" x14ac:dyDescent="0.2">
      <c r="A313" s="22" t="s">
        <v>9</v>
      </c>
      <c r="B313" s="18">
        <f t="shared" ref="B313:K313" si="196">SUM(B308:B312)</f>
        <v>25</v>
      </c>
      <c r="C313" s="45">
        <f t="shared" si="196"/>
        <v>31</v>
      </c>
      <c r="D313" s="19">
        <f t="shared" si="196"/>
        <v>27</v>
      </c>
      <c r="E313" s="20">
        <f t="shared" si="196"/>
        <v>24</v>
      </c>
      <c r="F313" s="28">
        <f t="shared" si="196"/>
        <v>103</v>
      </c>
      <c r="G313" s="18">
        <f t="shared" si="196"/>
        <v>25</v>
      </c>
      <c r="H313" s="45">
        <f t="shared" si="196"/>
        <v>28</v>
      </c>
      <c r="I313" s="19">
        <f t="shared" si="196"/>
        <v>25</v>
      </c>
      <c r="J313" s="20">
        <f t="shared" si="196"/>
        <v>28</v>
      </c>
      <c r="K313" s="28">
        <f t="shared" si="196"/>
        <v>106</v>
      </c>
      <c r="L313" s="21">
        <f t="shared" si="191"/>
        <v>209</v>
      </c>
      <c r="N313" s="17" t="s">
        <v>9</v>
      </c>
      <c r="O313" s="41">
        <f>SUM(O308:O312)</f>
        <v>405</v>
      </c>
      <c r="P313" s="49">
        <f t="shared" ref="P313:V313" si="197">SUM(P308:P312)</f>
        <v>572</v>
      </c>
      <c r="Q313" s="42">
        <f t="shared" si="197"/>
        <v>306</v>
      </c>
      <c r="R313" s="92">
        <f t="shared" si="197"/>
        <v>174</v>
      </c>
      <c r="S313" s="93">
        <f t="shared" si="197"/>
        <v>1457</v>
      </c>
      <c r="T313" s="41">
        <f t="shared" si="197"/>
        <v>510</v>
      </c>
      <c r="U313" s="49">
        <f t="shared" si="197"/>
        <v>638</v>
      </c>
      <c r="V313" s="42">
        <f t="shared" si="197"/>
        <v>347</v>
      </c>
      <c r="W313" s="92">
        <f>SUM(W308:W312)</f>
        <v>160</v>
      </c>
      <c r="X313" s="93">
        <f t="shared" ref="X313" si="198">SUM(X308:X312)</f>
        <v>1655</v>
      </c>
      <c r="Y313" s="56">
        <f t="shared" si="195"/>
        <v>3112</v>
      </c>
    </row>
    <row r="314" spans="1:27" x14ac:dyDescent="0.15">
      <c r="A314" s="79" t="s">
        <v>262</v>
      </c>
      <c r="B314" s="24">
        <v>1</v>
      </c>
      <c r="C314" s="46"/>
      <c r="D314" s="25"/>
      <c r="E314" s="33"/>
      <c r="F314" s="35">
        <f>SUM(B314:E314)</f>
        <v>1</v>
      </c>
      <c r="G314" s="24"/>
      <c r="H314" s="46"/>
      <c r="I314" s="25"/>
      <c r="J314" s="33"/>
      <c r="K314" s="35">
        <f>SUM(G314:J314)</f>
        <v>0</v>
      </c>
      <c r="L314" s="11">
        <f t="shared" si="191"/>
        <v>1</v>
      </c>
      <c r="M314" s="99">
        <v>44770</v>
      </c>
      <c r="N314" s="79" t="s">
        <v>34</v>
      </c>
      <c r="O314" s="66">
        <v>3</v>
      </c>
      <c r="P314" s="67">
        <v>3</v>
      </c>
      <c r="Q314" s="68">
        <v>5</v>
      </c>
      <c r="R314" s="94"/>
      <c r="S314" s="91">
        <f>SUM(O314:R314)</f>
        <v>11</v>
      </c>
      <c r="T314" s="67">
        <v>3</v>
      </c>
      <c r="U314" s="67"/>
      <c r="V314" s="68"/>
      <c r="W314" s="94"/>
      <c r="X314" s="91">
        <f>SUM(T314:W314)</f>
        <v>3</v>
      </c>
      <c r="Y314" s="11">
        <f t="shared" si="195"/>
        <v>14</v>
      </c>
      <c r="Z314" s="99">
        <v>44769</v>
      </c>
      <c r="AA314" s="58"/>
    </row>
    <row r="315" spans="1:27" x14ac:dyDescent="0.15">
      <c r="A315" s="79" t="s">
        <v>263</v>
      </c>
      <c r="B315" s="26">
        <v>1</v>
      </c>
      <c r="C315" s="47"/>
      <c r="D315" s="27"/>
      <c r="E315" s="34"/>
      <c r="F315" s="35">
        <f>SUM(B315:E315)</f>
        <v>1</v>
      </c>
      <c r="G315" s="26">
        <v>1</v>
      </c>
      <c r="H315" s="47"/>
      <c r="I315" s="27"/>
      <c r="J315" s="34"/>
      <c r="K315" s="35">
        <f>SUM(G315:J315)</f>
        <v>1</v>
      </c>
      <c r="L315" s="11">
        <f t="shared" si="191"/>
        <v>2</v>
      </c>
      <c r="M315" s="126">
        <v>44770</v>
      </c>
      <c r="N315" s="79" t="s">
        <v>260</v>
      </c>
      <c r="O315" s="26"/>
      <c r="P315" s="47">
        <v>1</v>
      </c>
      <c r="Q315" s="27">
        <v>2</v>
      </c>
      <c r="R315" s="34">
        <v>1</v>
      </c>
      <c r="S315" s="35">
        <f t="shared" ref="S315:S316" si="199">SUM(O315:R315)</f>
        <v>4</v>
      </c>
      <c r="T315" s="26">
        <v>1</v>
      </c>
      <c r="U315" s="47"/>
      <c r="V315" s="27"/>
      <c r="W315" s="34"/>
      <c r="X315" s="35">
        <f t="shared" ref="X315:X316" si="200">SUM(T315:W315)</f>
        <v>1</v>
      </c>
      <c r="Y315" s="11">
        <f t="shared" si="195"/>
        <v>5</v>
      </c>
      <c r="Z315" s="99">
        <v>44769</v>
      </c>
    </row>
    <row r="316" spans="1:27" x14ac:dyDescent="0.15">
      <c r="A316" s="79" t="s">
        <v>267</v>
      </c>
      <c r="B316" s="26"/>
      <c r="C316" s="47"/>
      <c r="D316" s="27"/>
      <c r="E316" s="34"/>
      <c r="F316" s="35">
        <f t="shared" ref="F316:F338" si="201">SUM(B316:E316)</f>
        <v>0</v>
      </c>
      <c r="G316" s="26">
        <v>1</v>
      </c>
      <c r="H316" s="47"/>
      <c r="I316" s="27"/>
      <c r="J316" s="34"/>
      <c r="K316" s="35">
        <f t="shared" ref="K316:K338" si="202">SUM(G316:J316)</f>
        <v>1</v>
      </c>
      <c r="L316" s="11">
        <f t="shared" si="191"/>
        <v>1</v>
      </c>
      <c r="M316" s="99">
        <v>44774</v>
      </c>
      <c r="N316" s="79" t="s">
        <v>264</v>
      </c>
      <c r="O316" s="26"/>
      <c r="P316" s="47">
        <v>4</v>
      </c>
      <c r="Q316" s="27"/>
      <c r="R316" s="34">
        <v>1</v>
      </c>
      <c r="S316" s="35">
        <f t="shared" si="199"/>
        <v>5</v>
      </c>
      <c r="T316" s="26"/>
      <c r="U316" s="47"/>
      <c r="V316" s="27"/>
      <c r="W316" s="34"/>
      <c r="X316" s="35">
        <f t="shared" si="200"/>
        <v>0</v>
      </c>
      <c r="Y316" s="11">
        <f t="shared" si="195"/>
        <v>5</v>
      </c>
      <c r="Z316" s="99">
        <v>44771</v>
      </c>
    </row>
    <row r="317" spans="1:27" x14ac:dyDescent="0.15">
      <c r="A317" s="13" t="s">
        <v>41</v>
      </c>
      <c r="B317" s="66"/>
      <c r="C317" s="67"/>
      <c r="D317" s="68"/>
      <c r="E317" s="69">
        <v>1</v>
      </c>
      <c r="F317" s="70">
        <f t="shared" si="201"/>
        <v>1</v>
      </c>
      <c r="G317" s="66"/>
      <c r="H317" s="67"/>
      <c r="I317" s="68">
        <v>1</v>
      </c>
      <c r="J317" s="69">
        <v>1</v>
      </c>
      <c r="K317" s="70">
        <f t="shared" si="202"/>
        <v>2</v>
      </c>
      <c r="L317" s="11">
        <f t="shared" si="191"/>
        <v>3</v>
      </c>
      <c r="M317" s="99">
        <v>44775</v>
      </c>
      <c r="N317" s="79" t="s">
        <v>34</v>
      </c>
      <c r="O317" s="66">
        <v>20</v>
      </c>
      <c r="P317" s="67">
        <v>20</v>
      </c>
      <c r="Q317" s="68">
        <v>20</v>
      </c>
      <c r="R317" s="94">
        <v>20</v>
      </c>
      <c r="S317" s="91">
        <f>SUM(O317:R317)</f>
        <v>80</v>
      </c>
      <c r="T317" s="67">
        <v>20</v>
      </c>
      <c r="U317" s="67">
        <v>20</v>
      </c>
      <c r="V317" s="68">
        <v>20</v>
      </c>
      <c r="W317" s="94">
        <v>20</v>
      </c>
      <c r="X317" s="91">
        <f>SUM(T317:W317)</f>
        <v>80</v>
      </c>
      <c r="Y317" s="11">
        <f t="shared" si="195"/>
        <v>160</v>
      </c>
      <c r="Z317" s="99">
        <v>44772</v>
      </c>
    </row>
    <row r="318" spans="1:27" x14ac:dyDescent="0.15">
      <c r="A318" s="90" t="s">
        <v>272</v>
      </c>
      <c r="B318" s="26">
        <v>8</v>
      </c>
      <c r="C318" s="47">
        <v>24</v>
      </c>
      <c r="D318" s="27">
        <v>5</v>
      </c>
      <c r="E318" s="34">
        <v>20</v>
      </c>
      <c r="F318" s="35">
        <f t="shared" si="201"/>
        <v>57</v>
      </c>
      <c r="G318" s="26">
        <v>5</v>
      </c>
      <c r="H318" s="47">
        <v>5</v>
      </c>
      <c r="I318" s="27">
        <v>5</v>
      </c>
      <c r="J318" s="34">
        <v>8</v>
      </c>
      <c r="K318" s="35">
        <f t="shared" si="202"/>
        <v>23</v>
      </c>
      <c r="L318" s="11">
        <f t="shared" si="191"/>
        <v>80</v>
      </c>
      <c r="M318" s="99">
        <v>44778</v>
      </c>
      <c r="N318" s="79" t="s">
        <v>268</v>
      </c>
      <c r="O318" s="26">
        <v>3</v>
      </c>
      <c r="P318" s="47"/>
      <c r="Q318" s="27"/>
      <c r="R318" s="34"/>
      <c r="S318" s="35">
        <f t="shared" ref="S318:S319" si="203">SUM(O318:R318)</f>
        <v>3</v>
      </c>
      <c r="T318" s="26"/>
      <c r="U318" s="47"/>
      <c r="V318" s="27"/>
      <c r="W318" s="34"/>
      <c r="X318" s="35">
        <f t="shared" ref="X318:X319" si="204">SUM(T318:W318)</f>
        <v>0</v>
      </c>
      <c r="Y318" s="11">
        <f t="shared" si="195"/>
        <v>3</v>
      </c>
      <c r="Z318" s="99">
        <v>44775</v>
      </c>
    </row>
    <row r="319" spans="1:27" x14ac:dyDescent="0.15">
      <c r="A319" s="13" t="s">
        <v>41</v>
      </c>
      <c r="B319" s="26"/>
      <c r="C319" s="47"/>
      <c r="D319" s="27"/>
      <c r="E319" s="34"/>
      <c r="F319" s="35">
        <f t="shared" si="201"/>
        <v>0</v>
      </c>
      <c r="G319" s="26"/>
      <c r="H319" s="47"/>
      <c r="I319" s="27">
        <v>1</v>
      </c>
      <c r="J319" s="34"/>
      <c r="K319" s="35">
        <f t="shared" si="202"/>
        <v>1</v>
      </c>
      <c r="L319" s="11">
        <f t="shared" si="191"/>
        <v>1</v>
      </c>
      <c r="M319" s="99">
        <v>44776</v>
      </c>
      <c r="N319" s="32" t="s">
        <v>269</v>
      </c>
      <c r="O319" s="26">
        <v>1</v>
      </c>
      <c r="P319" s="47">
        <v>2</v>
      </c>
      <c r="Q319" s="27">
        <v>1</v>
      </c>
      <c r="R319" s="50">
        <v>4</v>
      </c>
      <c r="S319" s="9">
        <f t="shared" si="203"/>
        <v>8</v>
      </c>
      <c r="T319" s="30"/>
      <c r="U319" s="30"/>
      <c r="V319" s="7"/>
      <c r="W319" s="8"/>
      <c r="X319" s="9">
        <f t="shared" si="204"/>
        <v>0</v>
      </c>
      <c r="Y319" s="11">
        <f t="shared" si="195"/>
        <v>8</v>
      </c>
      <c r="Z319" s="99">
        <v>44777</v>
      </c>
    </row>
    <row r="320" spans="1:27" x14ac:dyDescent="0.15">
      <c r="A320" s="13" t="s">
        <v>41</v>
      </c>
      <c r="B320" s="26"/>
      <c r="C320" s="47"/>
      <c r="D320" s="27">
        <v>1</v>
      </c>
      <c r="E320" s="34"/>
      <c r="F320" s="35">
        <f t="shared" si="201"/>
        <v>1</v>
      </c>
      <c r="G320" s="26">
        <v>1</v>
      </c>
      <c r="H320" s="47"/>
      <c r="I320" s="27"/>
      <c r="J320" s="34"/>
      <c r="K320" s="35">
        <f t="shared" si="202"/>
        <v>1</v>
      </c>
      <c r="L320" s="11">
        <f t="shared" si="191"/>
        <v>2</v>
      </c>
      <c r="M320" s="99">
        <v>44778</v>
      </c>
      <c r="N320" s="79" t="s">
        <v>34</v>
      </c>
      <c r="O320" s="26"/>
      <c r="P320" s="47">
        <v>5</v>
      </c>
      <c r="Q320" s="27"/>
      <c r="R320" s="34"/>
      <c r="S320" s="35">
        <f>SUM(O320:R320)</f>
        <v>5</v>
      </c>
      <c r="T320" s="26"/>
      <c r="U320" s="47"/>
      <c r="V320" s="27"/>
      <c r="W320" s="34"/>
      <c r="X320" s="35">
        <f>SUM(T320:W320)</f>
        <v>0</v>
      </c>
      <c r="Y320" s="11">
        <f t="shared" si="195"/>
        <v>5</v>
      </c>
      <c r="Z320" s="99">
        <v>44777</v>
      </c>
    </row>
    <row r="321" spans="1:26" x14ac:dyDescent="0.15">
      <c r="A321" s="13" t="s">
        <v>41</v>
      </c>
      <c r="B321" s="26"/>
      <c r="C321" s="47"/>
      <c r="D321" s="27">
        <v>1</v>
      </c>
      <c r="E321" s="34"/>
      <c r="F321" s="35">
        <f t="shared" si="201"/>
        <v>1</v>
      </c>
      <c r="G321" s="26"/>
      <c r="H321" s="47"/>
      <c r="I321" s="27"/>
      <c r="J321" s="34"/>
      <c r="K321" s="35">
        <f t="shared" si="202"/>
        <v>0</v>
      </c>
      <c r="L321" s="11">
        <f t="shared" si="191"/>
        <v>1</v>
      </c>
      <c r="M321" s="99">
        <v>44779</v>
      </c>
      <c r="N321" s="32" t="s">
        <v>271</v>
      </c>
      <c r="O321" s="26">
        <v>1</v>
      </c>
      <c r="P321" s="47"/>
      <c r="Q321" s="27">
        <v>3</v>
      </c>
      <c r="R321" s="50"/>
      <c r="S321" s="9">
        <f>SUM(O321:R321)</f>
        <v>4</v>
      </c>
      <c r="T321" s="47">
        <v>1</v>
      </c>
      <c r="U321" s="47"/>
      <c r="V321" s="27">
        <v>1</v>
      </c>
      <c r="W321" s="50"/>
      <c r="X321" s="9">
        <f>SUM(T321:W321)</f>
        <v>2</v>
      </c>
      <c r="Y321" s="11">
        <f t="shared" si="195"/>
        <v>6</v>
      </c>
      <c r="Z321" s="99">
        <v>44778</v>
      </c>
    </row>
    <row r="322" spans="1:26" x14ac:dyDescent="0.15">
      <c r="A322" s="13" t="s">
        <v>276</v>
      </c>
      <c r="B322" s="26">
        <v>1</v>
      </c>
      <c r="C322" s="47"/>
      <c r="D322" s="27"/>
      <c r="E322" s="34"/>
      <c r="F322" s="35">
        <f t="shared" si="201"/>
        <v>1</v>
      </c>
      <c r="G322" s="26">
        <v>1</v>
      </c>
      <c r="H322" s="47"/>
      <c r="I322" s="27"/>
      <c r="J322" s="34"/>
      <c r="K322" s="35">
        <f t="shared" si="202"/>
        <v>1</v>
      </c>
      <c r="L322" s="11">
        <f t="shared" si="191"/>
        <v>2</v>
      </c>
      <c r="M322" s="99">
        <v>44782</v>
      </c>
      <c r="N322" s="32" t="s">
        <v>273</v>
      </c>
      <c r="O322" s="26">
        <v>4</v>
      </c>
      <c r="P322" s="47"/>
      <c r="Q322" s="27">
        <v>3</v>
      </c>
      <c r="R322" s="34"/>
      <c r="S322" s="35">
        <f t="shared" ref="S322:S339" si="205">SUM(O322:R322)</f>
        <v>7</v>
      </c>
      <c r="T322" s="26">
        <v>1</v>
      </c>
      <c r="U322" s="47"/>
      <c r="V322" s="27"/>
      <c r="W322" s="34">
        <v>1</v>
      </c>
      <c r="X322" s="35">
        <f t="shared" ref="X322:X339" si="206">SUM(T322:W322)</f>
        <v>2</v>
      </c>
      <c r="Y322" s="11">
        <f t="shared" si="195"/>
        <v>9</v>
      </c>
      <c r="Z322" s="99">
        <v>44781</v>
      </c>
    </row>
    <row r="323" spans="1:26" x14ac:dyDescent="0.15">
      <c r="A323" s="90" t="s">
        <v>278</v>
      </c>
      <c r="B323" s="26"/>
      <c r="C323" s="47"/>
      <c r="D323" s="27">
        <v>3</v>
      </c>
      <c r="E323" s="34"/>
      <c r="F323" s="35">
        <f t="shared" si="201"/>
        <v>3</v>
      </c>
      <c r="G323" s="26"/>
      <c r="H323" s="47"/>
      <c r="I323" s="27"/>
      <c r="J323" s="34"/>
      <c r="K323" s="35">
        <f t="shared" si="202"/>
        <v>0</v>
      </c>
      <c r="L323" s="11">
        <f t="shared" si="191"/>
        <v>3</v>
      </c>
      <c r="M323" s="99">
        <v>44783</v>
      </c>
      <c r="N323" s="32" t="s">
        <v>275</v>
      </c>
      <c r="O323" s="26">
        <v>5</v>
      </c>
      <c r="P323" s="47">
        <v>10</v>
      </c>
      <c r="Q323" s="27"/>
      <c r="R323" s="34">
        <v>6</v>
      </c>
      <c r="S323" s="35">
        <f t="shared" si="205"/>
        <v>21</v>
      </c>
      <c r="T323" s="26"/>
      <c r="U323" s="47"/>
      <c r="V323" s="27">
        <v>1</v>
      </c>
      <c r="W323" s="34">
        <v>4</v>
      </c>
      <c r="X323" s="35">
        <f t="shared" si="206"/>
        <v>5</v>
      </c>
      <c r="Y323" s="11">
        <f t="shared" si="195"/>
        <v>26</v>
      </c>
      <c r="Z323" s="99">
        <v>44782</v>
      </c>
    </row>
    <row r="324" spans="1:26" x14ac:dyDescent="0.15">
      <c r="A324" s="13" t="s">
        <v>41</v>
      </c>
      <c r="B324" s="26"/>
      <c r="C324" s="47">
        <f>1+1</f>
        <v>2</v>
      </c>
      <c r="D324" s="27">
        <v>1</v>
      </c>
      <c r="E324" s="34"/>
      <c r="F324" s="35">
        <f t="shared" si="201"/>
        <v>3</v>
      </c>
      <c r="G324" s="26"/>
      <c r="H324" s="47">
        <v>1</v>
      </c>
      <c r="I324" s="27"/>
      <c r="J324" s="34"/>
      <c r="K324" s="35">
        <f t="shared" si="202"/>
        <v>1</v>
      </c>
      <c r="L324" s="11">
        <f t="shared" si="191"/>
        <v>4</v>
      </c>
      <c r="M324" s="99">
        <v>44783</v>
      </c>
      <c r="N324" s="32" t="s">
        <v>277</v>
      </c>
      <c r="O324" s="26">
        <v>1</v>
      </c>
      <c r="P324" s="47"/>
      <c r="Q324" s="27"/>
      <c r="R324" s="34">
        <v>2</v>
      </c>
      <c r="S324" s="35">
        <f t="shared" si="205"/>
        <v>3</v>
      </c>
      <c r="T324" s="26">
        <v>3</v>
      </c>
      <c r="U324" s="47"/>
      <c r="V324" s="27">
        <v>3</v>
      </c>
      <c r="W324" s="34">
        <v>1</v>
      </c>
      <c r="X324" s="35">
        <f t="shared" si="206"/>
        <v>7</v>
      </c>
      <c r="Y324" s="11">
        <f t="shared" si="195"/>
        <v>10</v>
      </c>
      <c r="Z324" s="99">
        <v>44783</v>
      </c>
    </row>
    <row r="325" spans="1:26" x14ac:dyDescent="0.15">
      <c r="A325" s="13" t="s">
        <v>297</v>
      </c>
      <c r="B325" s="26"/>
      <c r="C325" s="47">
        <v>-1</v>
      </c>
      <c r="D325" s="27">
        <v>-3</v>
      </c>
      <c r="E325" s="34"/>
      <c r="F325" s="35">
        <f t="shared" si="201"/>
        <v>-4</v>
      </c>
      <c r="G325" s="26">
        <v>-1</v>
      </c>
      <c r="H325" s="47">
        <v>-2</v>
      </c>
      <c r="I325" s="27"/>
      <c r="J325" s="34"/>
      <c r="K325" s="35">
        <f t="shared" si="202"/>
        <v>-3</v>
      </c>
      <c r="L325" s="11">
        <f t="shared" si="191"/>
        <v>-7</v>
      </c>
      <c r="M325" s="99">
        <v>44783</v>
      </c>
      <c r="N325" s="32" t="s">
        <v>279</v>
      </c>
      <c r="O325" s="26">
        <v>1</v>
      </c>
      <c r="P325" s="47">
        <v>1</v>
      </c>
      <c r="Q325" s="27">
        <v>1</v>
      </c>
      <c r="R325" s="34"/>
      <c r="S325" s="35">
        <f t="shared" si="205"/>
        <v>3</v>
      </c>
      <c r="T325" s="26">
        <v>3</v>
      </c>
      <c r="U325" s="47">
        <v>1</v>
      </c>
      <c r="V325" s="27"/>
      <c r="W325" s="34"/>
      <c r="X325" s="35">
        <f t="shared" si="206"/>
        <v>4</v>
      </c>
      <c r="Y325" s="11">
        <f t="shared" si="195"/>
        <v>7</v>
      </c>
      <c r="Z325" s="99">
        <v>44785</v>
      </c>
    </row>
    <row r="326" spans="1:26" x14ac:dyDescent="0.15">
      <c r="A326" s="13" t="s">
        <v>41</v>
      </c>
      <c r="B326" s="26">
        <v>1</v>
      </c>
      <c r="C326" s="47"/>
      <c r="D326" s="27"/>
      <c r="E326" s="34"/>
      <c r="F326" s="35">
        <f t="shared" ref="F326:F332" si="207">SUM(B326:E326)</f>
        <v>1</v>
      </c>
      <c r="G326" s="26"/>
      <c r="H326" s="47"/>
      <c r="I326" s="27"/>
      <c r="J326" s="34"/>
      <c r="K326" s="35">
        <f t="shared" ref="K326:K332" si="208">SUM(G326:J326)</f>
        <v>0</v>
      </c>
      <c r="L326" s="11">
        <f t="shared" ref="L326:L332" si="209">F326+K326</f>
        <v>1</v>
      </c>
      <c r="M326" s="99">
        <v>44790</v>
      </c>
      <c r="N326" s="32" t="s">
        <v>280</v>
      </c>
      <c r="O326" s="26">
        <v>1</v>
      </c>
      <c r="P326" s="47">
        <v>1</v>
      </c>
      <c r="Q326" s="27">
        <v>6</v>
      </c>
      <c r="R326" s="34">
        <v>5</v>
      </c>
      <c r="S326" s="35">
        <f t="shared" si="205"/>
        <v>13</v>
      </c>
      <c r="T326" s="26"/>
      <c r="U326" s="47">
        <v>3</v>
      </c>
      <c r="V326" s="27"/>
      <c r="W326" s="34"/>
      <c r="X326" s="35">
        <f t="shared" si="206"/>
        <v>3</v>
      </c>
      <c r="Y326" s="11">
        <f t="shared" si="195"/>
        <v>16</v>
      </c>
      <c r="Z326" s="99">
        <v>44791</v>
      </c>
    </row>
    <row r="327" spans="1:26" x14ac:dyDescent="0.15">
      <c r="A327" s="32" t="s">
        <v>282</v>
      </c>
      <c r="B327" s="26">
        <v>1</v>
      </c>
      <c r="C327" s="47">
        <v>2</v>
      </c>
      <c r="D327" s="27"/>
      <c r="E327" s="34"/>
      <c r="F327" s="35">
        <f t="shared" si="207"/>
        <v>3</v>
      </c>
      <c r="G327" s="26"/>
      <c r="H327" s="47">
        <v>2</v>
      </c>
      <c r="I327" s="27">
        <v>1</v>
      </c>
      <c r="J327" s="34"/>
      <c r="K327" s="35">
        <f t="shared" si="208"/>
        <v>3</v>
      </c>
      <c r="L327" s="11">
        <f t="shared" si="209"/>
        <v>6</v>
      </c>
      <c r="M327" s="99">
        <v>44795</v>
      </c>
      <c r="N327" s="32" t="s">
        <v>281</v>
      </c>
      <c r="O327" s="26">
        <v>2</v>
      </c>
      <c r="P327" s="47">
        <v>4</v>
      </c>
      <c r="Q327" s="27"/>
      <c r="R327" s="34"/>
      <c r="S327" s="35">
        <f t="shared" si="205"/>
        <v>6</v>
      </c>
      <c r="T327" s="26">
        <v>3</v>
      </c>
      <c r="U327" s="47"/>
      <c r="V327" s="27"/>
      <c r="W327" s="34"/>
      <c r="X327" s="35">
        <f t="shared" si="206"/>
        <v>3</v>
      </c>
      <c r="Y327" s="11">
        <f t="shared" si="195"/>
        <v>9</v>
      </c>
      <c r="Z327" s="99">
        <v>44792</v>
      </c>
    </row>
    <row r="328" spans="1:26" x14ac:dyDescent="0.15">
      <c r="A328" s="13" t="s">
        <v>283</v>
      </c>
      <c r="B328" s="26"/>
      <c r="C328" s="47"/>
      <c r="D328" s="27"/>
      <c r="E328" s="34">
        <v>1</v>
      </c>
      <c r="F328" s="35">
        <f t="shared" si="207"/>
        <v>1</v>
      </c>
      <c r="G328" s="26"/>
      <c r="H328" s="47"/>
      <c r="I328" s="27"/>
      <c r="J328" s="34"/>
      <c r="K328" s="35">
        <f t="shared" si="208"/>
        <v>0</v>
      </c>
      <c r="L328" s="11">
        <f t="shared" si="209"/>
        <v>1</v>
      </c>
      <c r="M328" s="126">
        <v>44792</v>
      </c>
      <c r="N328" s="32"/>
      <c r="O328" s="26"/>
      <c r="P328" s="47"/>
      <c r="Q328" s="27"/>
      <c r="R328" s="34"/>
      <c r="S328" s="35">
        <f t="shared" si="205"/>
        <v>0</v>
      </c>
      <c r="T328" s="26"/>
      <c r="U328" s="47"/>
      <c r="V328" s="27"/>
      <c r="W328" s="34"/>
      <c r="X328" s="35">
        <f t="shared" si="206"/>
        <v>0</v>
      </c>
      <c r="Y328" s="11">
        <f t="shared" si="195"/>
        <v>0</v>
      </c>
      <c r="Z328" s="99"/>
    </row>
    <row r="329" spans="1:26" x14ac:dyDescent="0.15">
      <c r="A329" s="12" t="s">
        <v>284</v>
      </c>
      <c r="B329" s="26">
        <v>7</v>
      </c>
      <c r="C329" s="47"/>
      <c r="D329" s="27">
        <v>14</v>
      </c>
      <c r="E329" s="34"/>
      <c r="F329" s="35">
        <f t="shared" si="207"/>
        <v>21</v>
      </c>
      <c r="G329" s="26">
        <v>15</v>
      </c>
      <c r="H329" s="47">
        <v>17</v>
      </c>
      <c r="I329" s="27">
        <v>12</v>
      </c>
      <c r="J329" s="34">
        <v>14</v>
      </c>
      <c r="K329" s="35">
        <f t="shared" si="208"/>
        <v>58</v>
      </c>
      <c r="L329" s="11">
        <f t="shared" si="209"/>
        <v>79</v>
      </c>
      <c r="M329" s="126">
        <v>44793</v>
      </c>
      <c r="N329" s="15"/>
      <c r="O329" s="26"/>
      <c r="P329" s="47"/>
      <c r="Q329" s="27"/>
      <c r="R329" s="34"/>
      <c r="S329" s="35">
        <f t="shared" si="205"/>
        <v>0</v>
      </c>
      <c r="T329" s="26"/>
      <c r="U329" s="47"/>
      <c r="V329" s="27"/>
      <c r="W329" s="34"/>
      <c r="X329" s="35">
        <f t="shared" si="206"/>
        <v>0</v>
      </c>
      <c r="Y329" s="11">
        <f t="shared" si="195"/>
        <v>0</v>
      </c>
      <c r="Z329" s="101"/>
    </row>
    <row r="330" spans="1:26" x14ac:dyDescent="0.15">
      <c r="A330" s="13" t="s">
        <v>41</v>
      </c>
      <c r="B330" s="26"/>
      <c r="C330" s="47">
        <v>1</v>
      </c>
      <c r="D330" s="27"/>
      <c r="E330" s="34"/>
      <c r="F330" s="35">
        <f t="shared" si="207"/>
        <v>1</v>
      </c>
      <c r="G330" s="26"/>
      <c r="H330" s="47"/>
      <c r="I330" s="27"/>
      <c r="J330" s="34"/>
      <c r="K330" s="35">
        <f t="shared" si="208"/>
        <v>0</v>
      </c>
      <c r="L330" s="11">
        <f t="shared" si="209"/>
        <v>1</v>
      </c>
      <c r="M330" s="126">
        <v>44793</v>
      </c>
      <c r="N330" s="57"/>
      <c r="O330" s="26"/>
      <c r="P330" s="47"/>
      <c r="Q330" s="27"/>
      <c r="R330" s="34"/>
      <c r="S330" s="35">
        <f t="shared" si="205"/>
        <v>0</v>
      </c>
      <c r="T330" s="26"/>
      <c r="U330" s="47"/>
      <c r="V330" s="27"/>
      <c r="W330" s="34"/>
      <c r="X330" s="35">
        <f t="shared" si="206"/>
        <v>0</v>
      </c>
      <c r="Y330" s="11">
        <f t="shared" si="195"/>
        <v>0</v>
      </c>
    </row>
    <row r="331" spans="1:26" x14ac:dyDescent="0.15">
      <c r="A331" s="12" t="s">
        <v>285</v>
      </c>
      <c r="B331" s="26"/>
      <c r="C331" s="47"/>
      <c r="D331" s="27">
        <v>-1</v>
      </c>
      <c r="E331" s="34"/>
      <c r="F331" s="35">
        <f t="shared" si="207"/>
        <v>-1</v>
      </c>
      <c r="G331" s="26"/>
      <c r="H331" s="47"/>
      <c r="I331" s="27"/>
      <c r="J331" s="34"/>
      <c r="K331" s="35">
        <f t="shared" si="208"/>
        <v>0</v>
      </c>
      <c r="L331" s="11">
        <f t="shared" si="209"/>
        <v>-1</v>
      </c>
      <c r="M331" s="126">
        <v>44793</v>
      </c>
      <c r="N331" s="57"/>
      <c r="O331" s="26"/>
      <c r="P331" s="47"/>
      <c r="Q331" s="27"/>
      <c r="R331" s="34"/>
      <c r="S331" s="35">
        <f t="shared" si="205"/>
        <v>0</v>
      </c>
      <c r="T331" s="26"/>
      <c r="U331" s="47"/>
      <c r="V331" s="27"/>
      <c r="W331" s="34"/>
      <c r="X331" s="35">
        <f t="shared" si="206"/>
        <v>0</v>
      </c>
      <c r="Y331" s="11">
        <f t="shared" si="195"/>
        <v>0</v>
      </c>
    </row>
    <row r="332" spans="1:26" x14ac:dyDescent="0.15">
      <c r="A332" s="13" t="s">
        <v>41</v>
      </c>
      <c r="B332" s="26">
        <v>1</v>
      </c>
      <c r="C332" s="47"/>
      <c r="D332" s="27"/>
      <c r="E332" s="34">
        <v>1</v>
      </c>
      <c r="F332" s="35">
        <f t="shared" si="207"/>
        <v>2</v>
      </c>
      <c r="G332" s="26"/>
      <c r="H332" s="47"/>
      <c r="I332" s="27"/>
      <c r="J332" s="34"/>
      <c r="K332" s="35">
        <f t="shared" si="208"/>
        <v>0</v>
      </c>
      <c r="L332" s="11">
        <f t="shared" si="209"/>
        <v>2</v>
      </c>
      <c r="M332" s="126">
        <v>44795</v>
      </c>
      <c r="N332" s="15"/>
      <c r="O332" s="26"/>
      <c r="P332" s="47"/>
      <c r="Q332" s="27"/>
      <c r="R332" s="34"/>
      <c r="S332" s="35">
        <f t="shared" si="205"/>
        <v>0</v>
      </c>
      <c r="T332" s="26"/>
      <c r="U332" s="47"/>
      <c r="V332" s="27"/>
      <c r="W332" s="34"/>
      <c r="X332" s="35">
        <f t="shared" si="206"/>
        <v>0</v>
      </c>
      <c r="Y332" s="11">
        <f t="shared" si="195"/>
        <v>0</v>
      </c>
    </row>
    <row r="333" spans="1:26" x14ac:dyDescent="0.15">
      <c r="A333" s="79"/>
      <c r="B333" s="26"/>
      <c r="C333" s="47"/>
      <c r="D333" s="27"/>
      <c r="E333" s="34"/>
      <c r="F333" s="35">
        <f t="shared" si="201"/>
        <v>0</v>
      </c>
      <c r="G333" s="26"/>
      <c r="H333" s="47"/>
      <c r="I333" s="27"/>
      <c r="J333" s="34"/>
      <c r="K333" s="35">
        <f t="shared" si="202"/>
        <v>0</v>
      </c>
      <c r="L333" s="11">
        <f t="shared" si="191"/>
        <v>0</v>
      </c>
      <c r="N333" s="12"/>
      <c r="O333" s="26"/>
      <c r="P333" s="47"/>
      <c r="Q333" s="27"/>
      <c r="R333" s="34"/>
      <c r="S333" s="35">
        <f t="shared" si="205"/>
        <v>0</v>
      </c>
      <c r="T333" s="26"/>
      <c r="U333" s="47"/>
      <c r="V333" s="27"/>
      <c r="W333" s="34"/>
      <c r="X333" s="35">
        <f t="shared" si="206"/>
        <v>0</v>
      </c>
      <c r="Y333" s="11">
        <f t="shared" si="195"/>
        <v>0</v>
      </c>
    </row>
    <row r="334" spans="1:26" x14ac:dyDescent="0.15">
      <c r="A334" s="79"/>
      <c r="B334" s="26"/>
      <c r="C334" s="47"/>
      <c r="D334" s="27"/>
      <c r="E334" s="34"/>
      <c r="F334" s="35">
        <f t="shared" si="201"/>
        <v>0</v>
      </c>
      <c r="G334" s="26"/>
      <c r="H334" s="47"/>
      <c r="I334" s="27"/>
      <c r="J334" s="34"/>
      <c r="K334" s="35">
        <f t="shared" si="202"/>
        <v>0</v>
      </c>
      <c r="L334" s="11">
        <f t="shared" si="191"/>
        <v>0</v>
      </c>
      <c r="N334" s="57"/>
      <c r="O334" s="26"/>
      <c r="P334" s="47"/>
      <c r="Q334" s="27"/>
      <c r="R334" s="34"/>
      <c r="S334" s="35">
        <f t="shared" si="205"/>
        <v>0</v>
      </c>
      <c r="T334" s="26"/>
      <c r="U334" s="47"/>
      <c r="V334" s="27"/>
      <c r="W334" s="34"/>
      <c r="X334" s="35">
        <f t="shared" si="206"/>
        <v>0</v>
      </c>
      <c r="Y334" s="11">
        <f t="shared" si="195"/>
        <v>0</v>
      </c>
    </row>
    <row r="335" spans="1:26" x14ac:dyDescent="0.15">
      <c r="A335" s="12"/>
      <c r="B335" s="26"/>
      <c r="C335" s="47"/>
      <c r="D335" s="27"/>
      <c r="E335" s="34"/>
      <c r="F335" s="35">
        <f t="shared" si="201"/>
        <v>0</v>
      </c>
      <c r="G335" s="26"/>
      <c r="H335" s="47"/>
      <c r="I335" s="27"/>
      <c r="J335" s="34"/>
      <c r="K335" s="35">
        <f t="shared" si="202"/>
        <v>0</v>
      </c>
      <c r="L335" s="11">
        <f t="shared" si="191"/>
        <v>0</v>
      </c>
      <c r="N335" s="57"/>
      <c r="O335" s="26"/>
      <c r="P335" s="47"/>
      <c r="Q335" s="27"/>
      <c r="R335" s="34"/>
      <c r="S335" s="35">
        <f t="shared" si="205"/>
        <v>0</v>
      </c>
      <c r="T335" s="26"/>
      <c r="U335" s="47"/>
      <c r="V335" s="27"/>
      <c r="W335" s="34"/>
      <c r="X335" s="35">
        <f t="shared" si="206"/>
        <v>0</v>
      </c>
      <c r="Y335" s="11">
        <f t="shared" si="195"/>
        <v>0</v>
      </c>
    </row>
    <row r="336" spans="1:26" x14ac:dyDescent="0.15">
      <c r="A336" s="79"/>
      <c r="B336" s="26"/>
      <c r="C336" s="47"/>
      <c r="D336" s="27"/>
      <c r="E336" s="34"/>
      <c r="F336" s="35">
        <f t="shared" si="201"/>
        <v>0</v>
      </c>
      <c r="G336" s="26"/>
      <c r="H336" s="47"/>
      <c r="I336" s="27"/>
      <c r="J336" s="34"/>
      <c r="K336" s="35">
        <f t="shared" si="202"/>
        <v>0</v>
      </c>
      <c r="L336" s="11">
        <f t="shared" si="191"/>
        <v>0</v>
      </c>
      <c r="N336" s="57"/>
      <c r="O336" s="66"/>
      <c r="P336" s="67"/>
      <c r="Q336" s="68"/>
      <c r="R336" s="69"/>
      <c r="S336" s="70">
        <f t="shared" si="205"/>
        <v>0</v>
      </c>
      <c r="T336" s="66"/>
      <c r="U336" s="67"/>
      <c r="V336" s="68"/>
      <c r="W336" s="69"/>
      <c r="X336" s="70">
        <f t="shared" si="206"/>
        <v>0</v>
      </c>
      <c r="Y336" s="11">
        <f t="shared" si="195"/>
        <v>0</v>
      </c>
    </row>
    <row r="337" spans="1:26" x14ac:dyDescent="0.15">
      <c r="A337" s="57"/>
      <c r="B337" s="26"/>
      <c r="C337" s="47"/>
      <c r="D337" s="27"/>
      <c r="E337" s="34"/>
      <c r="F337" s="35">
        <f t="shared" si="201"/>
        <v>0</v>
      </c>
      <c r="G337" s="26"/>
      <c r="H337" s="47"/>
      <c r="I337" s="27"/>
      <c r="J337" s="34"/>
      <c r="K337" s="35">
        <f t="shared" si="202"/>
        <v>0</v>
      </c>
      <c r="L337" s="11">
        <f t="shared" si="191"/>
        <v>0</v>
      </c>
      <c r="N337" s="57" t="s">
        <v>232</v>
      </c>
      <c r="O337" s="66"/>
      <c r="P337" s="67"/>
      <c r="Q337" s="68"/>
      <c r="R337" s="69"/>
      <c r="S337" s="70">
        <f t="shared" si="205"/>
        <v>0</v>
      </c>
      <c r="T337" s="66"/>
      <c r="U337" s="67"/>
      <c r="V337" s="68"/>
      <c r="W337" s="69"/>
      <c r="X337" s="70">
        <f t="shared" si="206"/>
        <v>0</v>
      </c>
      <c r="Y337" s="11">
        <f t="shared" si="195"/>
        <v>0</v>
      </c>
      <c r="Z337" s="99" t="s">
        <v>233</v>
      </c>
    </row>
    <row r="338" spans="1:26" ht="14.25" thickBot="1" x14ac:dyDescent="0.2">
      <c r="A338" s="90"/>
      <c r="B338" s="62"/>
      <c r="C338" s="63"/>
      <c r="D338" s="64"/>
      <c r="E338" s="65"/>
      <c r="F338" s="35">
        <f t="shared" si="201"/>
        <v>0</v>
      </c>
      <c r="G338" s="62"/>
      <c r="H338" s="63"/>
      <c r="I338" s="64"/>
      <c r="J338" s="65"/>
      <c r="K338" s="35">
        <f t="shared" si="202"/>
        <v>0</v>
      </c>
      <c r="L338" s="14">
        <f t="shared" si="191"/>
        <v>0</v>
      </c>
      <c r="N338" s="135" t="s">
        <v>274</v>
      </c>
      <c r="O338" s="62"/>
      <c r="P338" s="63"/>
      <c r="Q338" s="64"/>
      <c r="R338" s="65"/>
      <c r="S338" s="120">
        <f t="shared" ref="S338" si="210">SUM(O338:R338)</f>
        <v>0</v>
      </c>
      <c r="T338" s="62"/>
      <c r="U338" s="63"/>
      <c r="V338" s="64"/>
      <c r="W338" s="65"/>
      <c r="X338" s="120">
        <f t="shared" si="206"/>
        <v>0</v>
      </c>
      <c r="Y338" s="121">
        <f t="shared" si="195"/>
        <v>0</v>
      </c>
      <c r="Z338" s="101" t="s">
        <v>210</v>
      </c>
    </row>
    <row r="339" spans="1:26" ht="14.25" thickBot="1" x14ac:dyDescent="0.2">
      <c r="A339" s="17" t="s">
        <v>10</v>
      </c>
      <c r="B339" s="38">
        <f>SUM(B314:B338)</f>
        <v>21</v>
      </c>
      <c r="C339" s="48">
        <f>SUM(C314:C338)</f>
        <v>28</v>
      </c>
      <c r="D339" s="39">
        <f>SUM(D314:D338)</f>
        <v>21</v>
      </c>
      <c r="E339" s="40">
        <f>SUM(E314:E338)</f>
        <v>23</v>
      </c>
      <c r="F339" s="36">
        <f>SUM(B339:E339)</f>
        <v>93</v>
      </c>
      <c r="G339" s="38">
        <f>SUM(G314:G338)</f>
        <v>23</v>
      </c>
      <c r="H339" s="48">
        <f>SUM(H314:H338)</f>
        <v>23</v>
      </c>
      <c r="I339" s="39">
        <f>SUM(I314:I338)</f>
        <v>20</v>
      </c>
      <c r="J339" s="40">
        <f>SUM(J314:J338)</f>
        <v>23</v>
      </c>
      <c r="K339" s="36">
        <f>SUM(G339:J339)</f>
        <v>89</v>
      </c>
      <c r="L339" s="37">
        <f t="shared" si="191"/>
        <v>182</v>
      </c>
      <c r="N339" s="133" t="s">
        <v>10</v>
      </c>
      <c r="O339" s="38">
        <f>SUM(O314:O338)</f>
        <v>42</v>
      </c>
      <c r="P339" s="48">
        <f>SUM(P314:P338)</f>
        <v>51</v>
      </c>
      <c r="Q339" s="39">
        <f>SUM(Q314:Q338)</f>
        <v>41</v>
      </c>
      <c r="R339" s="40">
        <f>SUM(R314:R338)</f>
        <v>39</v>
      </c>
      <c r="S339" s="118">
        <f t="shared" si="205"/>
        <v>173</v>
      </c>
      <c r="T339" s="38">
        <f>SUM(T314:T338)</f>
        <v>35</v>
      </c>
      <c r="U339" s="48">
        <f>SUM(U314:U338)</f>
        <v>24</v>
      </c>
      <c r="V339" s="39">
        <f>SUM(V314:V338)</f>
        <v>25</v>
      </c>
      <c r="W339" s="40">
        <f>SUM(W314:W338)</f>
        <v>26</v>
      </c>
      <c r="X339" s="118">
        <f t="shared" si="206"/>
        <v>110</v>
      </c>
      <c r="Y339" s="119">
        <f t="shared" si="195"/>
        <v>283</v>
      </c>
    </row>
    <row r="340" spans="1:26" ht="14.25" thickBot="1" x14ac:dyDescent="0.2">
      <c r="A340" s="22" t="s">
        <v>11</v>
      </c>
      <c r="B340" s="41">
        <f>B313-B339</f>
        <v>4</v>
      </c>
      <c r="C340" s="49">
        <f>C313-C339</f>
        <v>3</v>
      </c>
      <c r="D340" s="42">
        <f t="shared" ref="D340:K340" si="211">D313-D339</f>
        <v>6</v>
      </c>
      <c r="E340" s="43">
        <f t="shared" si="211"/>
        <v>1</v>
      </c>
      <c r="F340" s="61">
        <f t="shared" si="211"/>
        <v>10</v>
      </c>
      <c r="G340" s="41">
        <f t="shared" si="211"/>
        <v>2</v>
      </c>
      <c r="H340" s="49">
        <f t="shared" si="211"/>
        <v>5</v>
      </c>
      <c r="I340" s="42">
        <f t="shared" si="211"/>
        <v>5</v>
      </c>
      <c r="J340" s="43">
        <f t="shared" si="211"/>
        <v>5</v>
      </c>
      <c r="K340" s="61">
        <f t="shared" si="211"/>
        <v>17</v>
      </c>
      <c r="L340" s="21">
        <f t="shared" si="191"/>
        <v>27</v>
      </c>
      <c r="N340" s="17" t="s">
        <v>11</v>
      </c>
      <c r="O340" s="41">
        <f>O313-O339</f>
        <v>363</v>
      </c>
      <c r="P340" s="49">
        <f t="shared" ref="P340:X340" si="212">P313-P339</f>
        <v>521</v>
      </c>
      <c r="Q340" s="42">
        <f t="shared" si="212"/>
        <v>265</v>
      </c>
      <c r="R340" s="43">
        <f t="shared" si="212"/>
        <v>135</v>
      </c>
      <c r="S340" s="61">
        <f t="shared" si="212"/>
        <v>1284</v>
      </c>
      <c r="T340" s="41">
        <f t="shared" si="212"/>
        <v>475</v>
      </c>
      <c r="U340" s="49">
        <f t="shared" si="212"/>
        <v>614</v>
      </c>
      <c r="V340" s="42">
        <f t="shared" si="212"/>
        <v>322</v>
      </c>
      <c r="W340" s="43">
        <f t="shared" si="212"/>
        <v>134</v>
      </c>
      <c r="X340" s="61">
        <f t="shared" si="212"/>
        <v>1545</v>
      </c>
      <c r="Y340" s="21">
        <f t="shared" si="195"/>
        <v>2829</v>
      </c>
    </row>
    <row r="343" spans="1:26" ht="19.5" thickBot="1" x14ac:dyDescent="0.25">
      <c r="A343" s="2" t="s">
        <v>106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105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6" ht="14.25" thickBot="1" x14ac:dyDescent="0.2">
      <c r="A344" s="5" t="s">
        <v>0</v>
      </c>
      <c r="B344" s="342" t="s">
        <v>18</v>
      </c>
      <c r="C344" s="350"/>
      <c r="D344" s="350"/>
      <c r="E344" s="350"/>
      <c r="F344" s="351"/>
      <c r="G344" s="345" t="s">
        <v>12</v>
      </c>
      <c r="H344" s="352"/>
      <c r="I344" s="352"/>
      <c r="J344" s="352"/>
      <c r="K344" s="353"/>
      <c r="L344" s="354" t="s">
        <v>1</v>
      </c>
      <c r="N344" s="5" t="s">
        <v>0</v>
      </c>
      <c r="O344" s="342" t="s">
        <v>18</v>
      </c>
      <c r="P344" s="350"/>
      <c r="Q344" s="350"/>
      <c r="R344" s="350"/>
      <c r="S344" s="351"/>
      <c r="T344" s="345" t="s">
        <v>12</v>
      </c>
      <c r="U344" s="352"/>
      <c r="V344" s="352"/>
      <c r="W344" s="352"/>
      <c r="X344" s="353"/>
      <c r="Y344" s="354" t="s">
        <v>1</v>
      </c>
    </row>
    <row r="345" spans="1:26" ht="14.25" thickBot="1" x14ac:dyDescent="0.2">
      <c r="A345" s="5" t="s">
        <v>2</v>
      </c>
      <c r="B345" s="3" t="s">
        <v>13</v>
      </c>
      <c r="C345" s="44" t="s">
        <v>14</v>
      </c>
      <c r="D345" s="4" t="s">
        <v>15</v>
      </c>
      <c r="E345" s="23" t="s">
        <v>16</v>
      </c>
      <c r="F345" s="31" t="s">
        <v>3</v>
      </c>
      <c r="G345" s="3" t="s">
        <v>13</v>
      </c>
      <c r="H345" s="44" t="s">
        <v>14</v>
      </c>
      <c r="I345" s="4" t="s">
        <v>15</v>
      </c>
      <c r="J345" s="23" t="s">
        <v>16</v>
      </c>
      <c r="K345" s="31" t="s">
        <v>3</v>
      </c>
      <c r="L345" s="355"/>
      <c r="N345" s="5" t="s">
        <v>2</v>
      </c>
      <c r="O345" s="3" t="s">
        <v>13</v>
      </c>
      <c r="P345" s="44" t="s">
        <v>14</v>
      </c>
      <c r="Q345" s="4" t="s">
        <v>15</v>
      </c>
      <c r="R345" s="23" t="s">
        <v>16</v>
      </c>
      <c r="S345" s="31" t="s">
        <v>3</v>
      </c>
      <c r="T345" s="3" t="s">
        <v>13</v>
      </c>
      <c r="U345" s="44" t="s">
        <v>14</v>
      </c>
      <c r="V345" s="4" t="s">
        <v>15</v>
      </c>
      <c r="W345" s="23" t="s">
        <v>16</v>
      </c>
      <c r="X345" s="31" t="s">
        <v>3</v>
      </c>
      <c r="Y345" s="355"/>
    </row>
    <row r="346" spans="1:26" x14ac:dyDescent="0.15">
      <c r="A346" s="71" t="s">
        <v>17</v>
      </c>
      <c r="B346" s="72">
        <f>B340</f>
        <v>4</v>
      </c>
      <c r="C346" s="73">
        <f t="shared" ref="C346:L346" si="213">C340</f>
        <v>3</v>
      </c>
      <c r="D346" s="73">
        <f t="shared" si="213"/>
        <v>6</v>
      </c>
      <c r="E346" s="74">
        <f t="shared" si="213"/>
        <v>1</v>
      </c>
      <c r="F346" s="76">
        <f t="shared" si="213"/>
        <v>10</v>
      </c>
      <c r="G346" s="72">
        <f t="shared" si="213"/>
        <v>2</v>
      </c>
      <c r="H346" s="73">
        <f t="shared" si="213"/>
        <v>5</v>
      </c>
      <c r="I346" s="73">
        <f t="shared" si="213"/>
        <v>5</v>
      </c>
      <c r="J346" s="74">
        <f t="shared" si="213"/>
        <v>5</v>
      </c>
      <c r="K346" s="75">
        <f t="shared" si="213"/>
        <v>17</v>
      </c>
      <c r="L346" s="16">
        <f t="shared" si="213"/>
        <v>27</v>
      </c>
      <c r="N346" s="71" t="s">
        <v>17</v>
      </c>
      <c r="O346" s="72">
        <f>O340</f>
        <v>363</v>
      </c>
      <c r="P346" s="73">
        <f t="shared" ref="P346:Y346" si="214">P340</f>
        <v>521</v>
      </c>
      <c r="Q346" s="73">
        <f t="shared" si="214"/>
        <v>265</v>
      </c>
      <c r="R346" s="74">
        <f t="shared" si="214"/>
        <v>135</v>
      </c>
      <c r="S346" s="76">
        <f t="shared" si="214"/>
        <v>1284</v>
      </c>
      <c r="T346" s="72">
        <f t="shared" si="214"/>
        <v>475</v>
      </c>
      <c r="U346" s="73">
        <f t="shared" si="214"/>
        <v>614</v>
      </c>
      <c r="V346" s="73">
        <f t="shared" si="214"/>
        <v>322</v>
      </c>
      <c r="W346" s="74">
        <f t="shared" si="214"/>
        <v>134</v>
      </c>
      <c r="X346" s="75">
        <f t="shared" si="214"/>
        <v>1545</v>
      </c>
      <c r="Y346" s="16">
        <f t="shared" si="214"/>
        <v>2829</v>
      </c>
    </row>
    <row r="347" spans="1:26" x14ac:dyDescent="0.15">
      <c r="A347" s="13" t="s">
        <v>5</v>
      </c>
      <c r="B347" s="6"/>
      <c r="C347" s="30">
        <v>3</v>
      </c>
      <c r="D347" s="7"/>
      <c r="E347" s="8"/>
      <c r="F347" s="9">
        <f>SUM(B347:E347)</f>
        <v>3</v>
      </c>
      <c r="G347" s="30">
        <v>3</v>
      </c>
      <c r="H347" s="30"/>
      <c r="I347" s="7"/>
      <c r="J347" s="8"/>
      <c r="K347" s="9">
        <f>SUM(G347:J347)</f>
        <v>3</v>
      </c>
      <c r="L347" s="11">
        <f t="shared" ref="L347:L349" si="215">F347+K347</f>
        <v>6</v>
      </c>
      <c r="M347" s="99">
        <v>44797</v>
      </c>
      <c r="N347" s="13" t="s">
        <v>305</v>
      </c>
      <c r="O347" s="26">
        <v>9</v>
      </c>
      <c r="P347" s="47"/>
      <c r="Q347" s="27">
        <v>2</v>
      </c>
      <c r="R347" s="34">
        <v>8</v>
      </c>
      <c r="S347" s="77">
        <f>SUM(O347:R347)</f>
        <v>19</v>
      </c>
      <c r="T347" s="26">
        <v>8</v>
      </c>
      <c r="U347" s="47">
        <v>4</v>
      </c>
      <c r="V347" s="27">
        <v>3</v>
      </c>
      <c r="W347" s="34">
        <v>7</v>
      </c>
      <c r="X347" s="9">
        <f>SUM(T347:W347)</f>
        <v>22</v>
      </c>
      <c r="Y347" s="11">
        <f t="shared" ref="Y347:Y378" si="216">S347+X347</f>
        <v>41</v>
      </c>
      <c r="Z347" s="126">
        <v>44810</v>
      </c>
    </row>
    <row r="348" spans="1:26" x14ac:dyDescent="0.15">
      <c r="A348" s="144" t="s">
        <v>293</v>
      </c>
      <c r="B348" s="145">
        <v>0</v>
      </c>
      <c r="C348" s="146">
        <v>0</v>
      </c>
      <c r="D348" s="147">
        <v>0</v>
      </c>
      <c r="E348" s="148">
        <v>0</v>
      </c>
      <c r="F348" s="149">
        <f>SUM(B348:E348)</f>
        <v>0</v>
      </c>
      <c r="G348" s="146">
        <v>0</v>
      </c>
      <c r="H348" s="146">
        <v>0</v>
      </c>
      <c r="I348" s="147">
        <v>0</v>
      </c>
      <c r="J348" s="148">
        <v>0</v>
      </c>
      <c r="K348" s="149">
        <f>SUM(G348:J348)</f>
        <v>0</v>
      </c>
      <c r="L348" s="150">
        <f t="shared" si="215"/>
        <v>0</v>
      </c>
      <c r="M348" s="151">
        <v>44798</v>
      </c>
      <c r="N348" s="13" t="s">
        <v>6</v>
      </c>
      <c r="O348" s="26"/>
      <c r="P348" s="47"/>
      <c r="Q348" s="27"/>
      <c r="R348" s="34"/>
      <c r="S348" s="77">
        <f>SUM(O348:R348)</f>
        <v>0</v>
      </c>
      <c r="T348" s="26"/>
      <c r="U348" s="47"/>
      <c r="V348" s="27"/>
      <c r="W348" s="34"/>
      <c r="X348" s="9">
        <f>SUM(T348:W348)</f>
        <v>0</v>
      </c>
      <c r="Y348" s="11">
        <f t="shared" si="216"/>
        <v>0</v>
      </c>
    </row>
    <row r="349" spans="1:26" x14ac:dyDescent="0.15">
      <c r="A349" s="13" t="s">
        <v>7</v>
      </c>
      <c r="B349" s="6"/>
      <c r="C349" s="30">
        <v>3</v>
      </c>
      <c r="D349" s="7"/>
      <c r="E349" s="8">
        <v>3</v>
      </c>
      <c r="F349" s="9">
        <f>SUM(B349:E349)</f>
        <v>6</v>
      </c>
      <c r="G349" s="30"/>
      <c r="H349" s="30"/>
      <c r="I349" s="7"/>
      <c r="J349" s="8"/>
      <c r="K349" s="9">
        <f>SUM(G349:J349)</f>
        <v>0</v>
      </c>
      <c r="L349" s="108">
        <f t="shared" si="215"/>
        <v>6</v>
      </c>
      <c r="M349" s="99">
        <v>44799</v>
      </c>
      <c r="N349" s="13" t="s">
        <v>7</v>
      </c>
      <c r="O349" s="26"/>
      <c r="P349" s="47"/>
      <c r="Q349" s="27"/>
      <c r="R349" s="34"/>
      <c r="S349" s="77">
        <f>SUM(O349:R349)</f>
        <v>0</v>
      </c>
      <c r="T349" s="47"/>
      <c r="U349" s="47"/>
      <c r="V349" s="27"/>
      <c r="W349" s="50"/>
      <c r="X349" s="9">
        <f>SUM(T349:W349)</f>
        <v>0</v>
      </c>
      <c r="Y349" s="11">
        <f t="shared" si="216"/>
        <v>0</v>
      </c>
    </row>
    <row r="350" spans="1:26" ht="14.25" thickBot="1" x14ac:dyDescent="0.2">
      <c r="A350" s="79" t="s">
        <v>8</v>
      </c>
      <c r="B350" s="86">
        <v>10</v>
      </c>
      <c r="C350" s="87">
        <v>10</v>
      </c>
      <c r="D350" s="88">
        <v>10</v>
      </c>
      <c r="E350" s="152">
        <v>10</v>
      </c>
      <c r="F350" s="118">
        <f>SUM(B350:E350)</f>
        <v>40</v>
      </c>
      <c r="G350" s="87">
        <v>10</v>
      </c>
      <c r="H350" s="87">
        <v>10</v>
      </c>
      <c r="I350" s="88">
        <v>10</v>
      </c>
      <c r="J350" s="152">
        <v>10</v>
      </c>
      <c r="K350" s="118">
        <f>SUM(G350:J350)</f>
        <v>40</v>
      </c>
      <c r="L350" s="14">
        <f t="shared" ref="L350:L378" si="217">F350+K350</f>
        <v>80</v>
      </c>
      <c r="M350" s="99">
        <v>44804</v>
      </c>
      <c r="N350" s="13" t="s">
        <v>8</v>
      </c>
      <c r="O350" s="62"/>
      <c r="P350" s="63"/>
      <c r="Q350" s="64"/>
      <c r="R350" s="65"/>
      <c r="S350" s="78">
        <f>SUM(O350:R350)</f>
        <v>0</v>
      </c>
      <c r="T350" s="47"/>
      <c r="U350" s="47"/>
      <c r="V350" s="27"/>
      <c r="W350" s="50"/>
      <c r="X350" s="10">
        <f>SUM(T350:W350)</f>
        <v>0</v>
      </c>
      <c r="Y350" s="14">
        <f t="shared" si="216"/>
        <v>0</v>
      </c>
    </row>
    <row r="351" spans="1:26" ht="14.25" thickBot="1" x14ac:dyDescent="0.2">
      <c r="A351" s="22" t="s">
        <v>9</v>
      </c>
      <c r="B351" s="18">
        <f t="shared" ref="B351:K351" si="218">SUM(B346:B350)</f>
        <v>14</v>
      </c>
      <c r="C351" s="45">
        <f t="shared" si="218"/>
        <v>19</v>
      </c>
      <c r="D351" s="19">
        <f t="shared" si="218"/>
        <v>16</v>
      </c>
      <c r="E351" s="20">
        <f t="shared" si="218"/>
        <v>14</v>
      </c>
      <c r="F351" s="28">
        <f t="shared" si="218"/>
        <v>59</v>
      </c>
      <c r="G351" s="18">
        <f t="shared" si="218"/>
        <v>15</v>
      </c>
      <c r="H351" s="45">
        <f t="shared" si="218"/>
        <v>15</v>
      </c>
      <c r="I351" s="19">
        <f t="shared" si="218"/>
        <v>15</v>
      </c>
      <c r="J351" s="20">
        <f t="shared" si="218"/>
        <v>15</v>
      </c>
      <c r="K351" s="28">
        <f t="shared" si="218"/>
        <v>60</v>
      </c>
      <c r="L351" s="21">
        <f t="shared" si="217"/>
        <v>119</v>
      </c>
      <c r="N351" s="17" t="s">
        <v>9</v>
      </c>
      <c r="O351" s="41">
        <f>SUM(O346:O350)</f>
        <v>372</v>
      </c>
      <c r="P351" s="49">
        <f t="shared" ref="P351:V351" si="219">SUM(P346:P350)</f>
        <v>521</v>
      </c>
      <c r="Q351" s="42">
        <f t="shared" si="219"/>
        <v>267</v>
      </c>
      <c r="R351" s="92">
        <f t="shared" si="219"/>
        <v>143</v>
      </c>
      <c r="S351" s="93">
        <f t="shared" si="219"/>
        <v>1303</v>
      </c>
      <c r="T351" s="41">
        <f t="shared" si="219"/>
        <v>483</v>
      </c>
      <c r="U351" s="49">
        <f t="shared" si="219"/>
        <v>618</v>
      </c>
      <c r="V351" s="42">
        <f t="shared" si="219"/>
        <v>325</v>
      </c>
      <c r="W351" s="92">
        <f>SUM(W346:W350)</f>
        <v>141</v>
      </c>
      <c r="X351" s="93">
        <f t="shared" ref="X351" si="220">SUM(X346:X350)</f>
        <v>1567</v>
      </c>
      <c r="Y351" s="56">
        <f t="shared" si="216"/>
        <v>2870</v>
      </c>
    </row>
    <row r="352" spans="1:26" x14ac:dyDescent="0.15">
      <c r="A352" s="32" t="s">
        <v>287</v>
      </c>
      <c r="B352" s="24"/>
      <c r="C352" s="46">
        <v>2</v>
      </c>
      <c r="D352" s="25"/>
      <c r="E352" s="33"/>
      <c r="F352" s="35">
        <f>SUM(B352:E352)</f>
        <v>2</v>
      </c>
      <c r="G352" s="24"/>
      <c r="H352" s="46"/>
      <c r="I352" s="25"/>
      <c r="J352" s="33"/>
      <c r="K352" s="35">
        <f>SUM(G352:J352)</f>
        <v>0</v>
      </c>
      <c r="L352" s="11">
        <f t="shared" si="217"/>
        <v>2</v>
      </c>
      <c r="M352" s="99">
        <v>44797</v>
      </c>
      <c r="N352" s="32" t="s">
        <v>286</v>
      </c>
      <c r="O352" s="26">
        <v>1</v>
      </c>
      <c r="P352" s="47">
        <v>1</v>
      </c>
      <c r="Q352" s="27">
        <v>2</v>
      </c>
      <c r="R352" s="34"/>
      <c r="S352" s="35">
        <f t="shared" ref="S352" si="221">SUM(O352:R352)</f>
        <v>4</v>
      </c>
      <c r="T352" s="26">
        <v>1</v>
      </c>
      <c r="U352" s="47">
        <v>1</v>
      </c>
      <c r="V352" s="27"/>
      <c r="W352" s="34"/>
      <c r="X352" s="35">
        <f t="shared" ref="X352" si="222">SUM(T352:W352)</f>
        <v>2</v>
      </c>
      <c r="Y352" s="11">
        <f t="shared" si="216"/>
        <v>6</v>
      </c>
      <c r="Z352" s="99">
        <v>44796</v>
      </c>
    </row>
    <row r="353" spans="1:26" x14ac:dyDescent="0.15">
      <c r="A353" s="32" t="s">
        <v>289</v>
      </c>
      <c r="B353" s="26"/>
      <c r="C353" s="47">
        <v>1</v>
      </c>
      <c r="D353" s="27"/>
      <c r="E353" s="34"/>
      <c r="F353" s="35">
        <f>SUM(B353:E353)</f>
        <v>1</v>
      </c>
      <c r="G353" s="26"/>
      <c r="H353" s="47">
        <v>1</v>
      </c>
      <c r="I353" s="27"/>
      <c r="J353" s="34"/>
      <c r="K353" s="35">
        <f>SUM(G353:J353)</f>
        <v>1</v>
      </c>
      <c r="L353" s="11">
        <f t="shared" si="217"/>
        <v>2</v>
      </c>
      <c r="M353" s="99">
        <v>44798</v>
      </c>
      <c r="N353" s="79" t="s">
        <v>288</v>
      </c>
      <c r="O353" s="26"/>
      <c r="P353" s="47">
        <v>3</v>
      </c>
      <c r="Q353" s="27"/>
      <c r="R353" s="34"/>
      <c r="S353" s="35">
        <f t="shared" ref="S353:S354" si="223">SUM(O353:R353)</f>
        <v>3</v>
      </c>
      <c r="T353" s="26">
        <v>3</v>
      </c>
      <c r="U353" s="47"/>
      <c r="V353" s="27"/>
      <c r="W353" s="34"/>
      <c r="X353" s="35">
        <f t="shared" ref="X353:X354" si="224">SUM(T353:W353)</f>
        <v>3</v>
      </c>
      <c r="Y353" s="11">
        <f t="shared" si="216"/>
        <v>6</v>
      </c>
      <c r="Z353" s="99">
        <v>44797</v>
      </c>
    </row>
    <row r="354" spans="1:26" x14ac:dyDescent="0.15">
      <c r="A354" s="32" t="s">
        <v>292</v>
      </c>
      <c r="B354" s="26"/>
      <c r="C354" s="47">
        <v>1</v>
      </c>
      <c r="D354" s="27">
        <v>1</v>
      </c>
      <c r="E354" s="34"/>
      <c r="F354" s="35">
        <f t="shared" ref="F354:F376" si="225">SUM(B354:E354)</f>
        <v>2</v>
      </c>
      <c r="G354" s="26">
        <v>1</v>
      </c>
      <c r="H354" s="47"/>
      <c r="I354" s="27"/>
      <c r="J354" s="34"/>
      <c r="K354" s="35">
        <f t="shared" ref="K354:K376" si="226">SUM(G354:J354)</f>
        <v>1</v>
      </c>
      <c r="L354" s="11">
        <f t="shared" si="217"/>
        <v>3</v>
      </c>
      <c r="M354" s="99">
        <v>44799</v>
      </c>
      <c r="N354" s="79" t="s">
        <v>34</v>
      </c>
      <c r="O354" s="26"/>
      <c r="P354" s="47">
        <v>3</v>
      </c>
      <c r="Q354" s="27"/>
      <c r="R354" s="34">
        <v>3</v>
      </c>
      <c r="S354" s="35">
        <f t="shared" si="223"/>
        <v>6</v>
      </c>
      <c r="T354" s="26"/>
      <c r="U354" s="47"/>
      <c r="V354" s="27"/>
      <c r="W354" s="34"/>
      <c r="X354" s="35">
        <f t="shared" si="224"/>
        <v>0</v>
      </c>
      <c r="Y354" s="11">
        <f t="shared" si="216"/>
        <v>6</v>
      </c>
      <c r="Z354" s="99">
        <v>44799</v>
      </c>
    </row>
    <row r="355" spans="1:26" x14ac:dyDescent="0.15">
      <c r="A355" s="32" t="s">
        <v>295</v>
      </c>
      <c r="B355" s="66">
        <v>-3</v>
      </c>
      <c r="C355" s="67"/>
      <c r="D355" s="68"/>
      <c r="E355" s="69">
        <v>-1</v>
      </c>
      <c r="F355" s="70">
        <f t="shared" si="225"/>
        <v>-4</v>
      </c>
      <c r="G355" s="66"/>
      <c r="H355" s="67"/>
      <c r="I355" s="68">
        <v>-1</v>
      </c>
      <c r="J355" s="69"/>
      <c r="K355" s="70">
        <f t="shared" si="226"/>
        <v>-1</v>
      </c>
      <c r="L355" s="11">
        <f t="shared" si="217"/>
        <v>-5</v>
      </c>
      <c r="M355" s="126">
        <v>44799</v>
      </c>
      <c r="N355" s="32" t="s">
        <v>294</v>
      </c>
      <c r="O355" s="66"/>
      <c r="P355" s="67">
        <v>1</v>
      </c>
      <c r="Q355" s="68">
        <v>3</v>
      </c>
      <c r="R355" s="94"/>
      <c r="S355" s="91">
        <f>SUM(O355:R355)</f>
        <v>4</v>
      </c>
      <c r="T355" s="67">
        <v>1</v>
      </c>
      <c r="U355" s="67"/>
      <c r="V355" s="68"/>
      <c r="W355" s="94"/>
      <c r="X355" s="91">
        <f>SUM(T355:W355)</f>
        <v>1</v>
      </c>
      <c r="Y355" s="11">
        <f t="shared" si="216"/>
        <v>5</v>
      </c>
      <c r="Z355" s="99">
        <v>44802</v>
      </c>
    </row>
    <row r="356" spans="1:26" x14ac:dyDescent="0.15">
      <c r="A356" s="13" t="s">
        <v>41</v>
      </c>
      <c r="B356" s="26"/>
      <c r="C356" s="47"/>
      <c r="D356" s="27"/>
      <c r="E356" s="34"/>
      <c r="F356" s="35">
        <f t="shared" si="225"/>
        <v>0</v>
      </c>
      <c r="G356" s="26">
        <v>1</v>
      </c>
      <c r="H356" s="47"/>
      <c r="I356" s="27"/>
      <c r="J356" s="34"/>
      <c r="K356" s="35">
        <f t="shared" si="226"/>
        <v>1</v>
      </c>
      <c r="L356" s="11">
        <f t="shared" si="217"/>
        <v>1</v>
      </c>
      <c r="M356" s="126">
        <v>44802</v>
      </c>
      <c r="N356" s="12" t="s">
        <v>296</v>
      </c>
      <c r="O356" s="26"/>
      <c r="P356" s="47">
        <v>2</v>
      </c>
      <c r="Q356" s="27"/>
      <c r="R356" s="34"/>
      <c r="S356" s="35">
        <f t="shared" ref="S356:S358" si="227">SUM(O356:R356)</f>
        <v>2</v>
      </c>
      <c r="T356" s="26"/>
      <c r="U356" s="47">
        <v>10</v>
      </c>
      <c r="V356" s="27"/>
      <c r="W356" s="34"/>
      <c r="X356" s="35">
        <f t="shared" ref="X356:X358" si="228">SUM(T356:W356)</f>
        <v>10</v>
      </c>
      <c r="Y356" s="11">
        <f t="shared" si="216"/>
        <v>12</v>
      </c>
      <c r="Z356" s="99">
        <v>44806</v>
      </c>
    </row>
    <row r="357" spans="1:26" x14ac:dyDescent="0.15">
      <c r="A357" s="12" t="s">
        <v>298</v>
      </c>
      <c r="B357" s="26">
        <v>3</v>
      </c>
      <c r="C357" s="47"/>
      <c r="D357" s="27">
        <v>3</v>
      </c>
      <c r="E357" s="34"/>
      <c r="F357" s="35">
        <f t="shared" si="225"/>
        <v>6</v>
      </c>
      <c r="G357" s="26"/>
      <c r="H357" s="47">
        <v>3</v>
      </c>
      <c r="I357" s="27">
        <v>5</v>
      </c>
      <c r="J357" s="34">
        <v>3</v>
      </c>
      <c r="K357" s="35">
        <f t="shared" si="226"/>
        <v>11</v>
      </c>
      <c r="L357" s="11">
        <f t="shared" si="217"/>
        <v>17</v>
      </c>
      <c r="M357" s="99">
        <v>44805</v>
      </c>
      <c r="N357" s="79" t="s">
        <v>34</v>
      </c>
      <c r="O357" s="26">
        <v>10</v>
      </c>
      <c r="P357" s="47">
        <v>10</v>
      </c>
      <c r="Q357" s="27">
        <v>10</v>
      </c>
      <c r="R357" s="34">
        <v>10</v>
      </c>
      <c r="S357" s="35">
        <f t="shared" si="227"/>
        <v>40</v>
      </c>
      <c r="T357" s="26">
        <v>10</v>
      </c>
      <c r="U357" s="47">
        <v>10</v>
      </c>
      <c r="V357" s="27">
        <v>10</v>
      </c>
      <c r="W357" s="34">
        <v>10</v>
      </c>
      <c r="X357" s="35">
        <f t="shared" si="228"/>
        <v>40</v>
      </c>
      <c r="Y357" s="11">
        <f t="shared" si="216"/>
        <v>80</v>
      </c>
      <c r="Z357" s="99">
        <v>44804</v>
      </c>
    </row>
    <row r="358" spans="1:26" x14ac:dyDescent="0.15">
      <c r="A358" s="32" t="s">
        <v>299</v>
      </c>
      <c r="B358" s="26"/>
      <c r="C358" s="47"/>
      <c r="D358" s="27"/>
      <c r="E358" s="34"/>
      <c r="F358" s="35">
        <f t="shared" si="225"/>
        <v>0</v>
      </c>
      <c r="G358" s="26"/>
      <c r="H358" s="47"/>
      <c r="I358" s="27">
        <v>1</v>
      </c>
      <c r="J358" s="34"/>
      <c r="K358" s="35">
        <f t="shared" si="226"/>
        <v>1</v>
      </c>
      <c r="L358" s="11">
        <f t="shared" si="217"/>
        <v>1</v>
      </c>
      <c r="M358" s="99">
        <v>44809</v>
      </c>
      <c r="N358" s="57" t="s">
        <v>270</v>
      </c>
      <c r="O358" s="26">
        <v>200</v>
      </c>
      <c r="P358" s="47">
        <v>220</v>
      </c>
      <c r="Q358" s="27">
        <v>100</v>
      </c>
      <c r="R358" s="124"/>
      <c r="S358" s="35">
        <f t="shared" si="227"/>
        <v>520</v>
      </c>
      <c r="T358" s="26">
        <v>200</v>
      </c>
      <c r="U358" s="47">
        <v>220</v>
      </c>
      <c r="V358" s="27">
        <v>100</v>
      </c>
      <c r="W358" s="124"/>
      <c r="X358" s="35">
        <f t="shared" si="228"/>
        <v>520</v>
      </c>
      <c r="Y358" s="108">
        <f t="shared" ref="Y358" si="229">S358+X358</f>
        <v>1040</v>
      </c>
      <c r="Z358" s="99">
        <v>44813</v>
      </c>
    </row>
    <row r="359" spans="1:26" x14ac:dyDescent="0.15">
      <c r="A359" s="32" t="s">
        <v>300</v>
      </c>
      <c r="B359" s="26"/>
      <c r="C359" s="47"/>
      <c r="D359" s="27"/>
      <c r="E359" s="34"/>
      <c r="F359" s="35">
        <f t="shared" si="225"/>
        <v>0</v>
      </c>
      <c r="G359" s="26">
        <v>1</v>
      </c>
      <c r="H359" s="47"/>
      <c r="I359" s="27"/>
      <c r="J359" s="34"/>
      <c r="K359" s="35">
        <f t="shared" si="226"/>
        <v>1</v>
      </c>
      <c r="L359" s="11">
        <f t="shared" si="217"/>
        <v>1</v>
      </c>
      <c r="M359" s="99">
        <v>44810</v>
      </c>
      <c r="N359" s="90" t="s">
        <v>303</v>
      </c>
      <c r="O359" s="26">
        <v>5</v>
      </c>
      <c r="P359" s="47">
        <v>5</v>
      </c>
      <c r="Q359" s="27"/>
      <c r="R359" s="50">
        <v>5</v>
      </c>
      <c r="S359" s="9">
        <f>SUM(O359:R359)</f>
        <v>15</v>
      </c>
      <c r="T359" s="47"/>
      <c r="U359" s="47"/>
      <c r="V359" s="27"/>
      <c r="W359" s="50">
        <v>5</v>
      </c>
      <c r="X359" s="9">
        <f>SUM(T359:W359)</f>
        <v>5</v>
      </c>
      <c r="Y359" s="11">
        <f t="shared" si="216"/>
        <v>20</v>
      </c>
      <c r="Z359" s="99">
        <v>44810</v>
      </c>
    </row>
    <row r="360" spans="1:26" x14ac:dyDescent="0.15">
      <c r="A360" s="12" t="s">
        <v>302</v>
      </c>
      <c r="B360" s="26"/>
      <c r="C360" s="47">
        <v>8</v>
      </c>
      <c r="D360" s="27">
        <v>3</v>
      </c>
      <c r="E360" s="34">
        <v>2</v>
      </c>
      <c r="F360" s="35">
        <f t="shared" si="225"/>
        <v>13</v>
      </c>
      <c r="G360" s="26"/>
      <c r="H360" s="47"/>
      <c r="I360" s="27"/>
      <c r="J360" s="34"/>
      <c r="K360" s="35">
        <f t="shared" si="226"/>
        <v>0</v>
      </c>
      <c r="L360" s="11">
        <f t="shared" si="217"/>
        <v>13</v>
      </c>
      <c r="M360" s="99">
        <v>44810</v>
      </c>
      <c r="N360" s="32" t="s">
        <v>306</v>
      </c>
      <c r="O360" s="26">
        <v>1</v>
      </c>
      <c r="P360" s="47">
        <v>3</v>
      </c>
      <c r="Q360" s="27"/>
      <c r="R360" s="34"/>
      <c r="S360" s="35">
        <f t="shared" ref="S360:S373" si="230">SUM(O360:R360)</f>
        <v>4</v>
      </c>
      <c r="T360" s="26">
        <v>1</v>
      </c>
      <c r="U360" s="47"/>
      <c r="V360" s="27"/>
      <c r="W360" s="34"/>
      <c r="X360" s="35">
        <f t="shared" ref="X360:X377" si="231">SUM(T360:W360)</f>
        <v>1</v>
      </c>
      <c r="Y360" s="11">
        <f t="shared" si="216"/>
        <v>5</v>
      </c>
      <c r="Z360" s="99">
        <v>44811</v>
      </c>
    </row>
    <row r="361" spans="1:26" x14ac:dyDescent="0.15">
      <c r="A361" s="32" t="s">
        <v>304</v>
      </c>
      <c r="B361" s="26">
        <v>9</v>
      </c>
      <c r="C361" s="47"/>
      <c r="D361" s="27">
        <v>2</v>
      </c>
      <c r="E361" s="34">
        <v>8</v>
      </c>
      <c r="F361" s="35">
        <f t="shared" si="225"/>
        <v>19</v>
      </c>
      <c r="G361" s="26">
        <v>8</v>
      </c>
      <c r="H361" s="47">
        <v>4</v>
      </c>
      <c r="I361" s="27">
        <v>3</v>
      </c>
      <c r="J361" s="34">
        <v>7</v>
      </c>
      <c r="K361" s="35">
        <f t="shared" si="226"/>
        <v>22</v>
      </c>
      <c r="L361" s="11">
        <f t="shared" si="217"/>
        <v>41</v>
      </c>
      <c r="M361" s="126">
        <v>44810</v>
      </c>
      <c r="N361" s="32" t="s">
        <v>310</v>
      </c>
      <c r="O361" s="26"/>
      <c r="P361" s="47"/>
      <c r="Q361" s="27"/>
      <c r="R361" s="34"/>
      <c r="S361" s="35">
        <f t="shared" si="230"/>
        <v>0</v>
      </c>
      <c r="T361" s="26"/>
      <c r="U361" s="47">
        <v>1</v>
      </c>
      <c r="V361" s="27"/>
      <c r="W361" s="34"/>
      <c r="X361" s="35">
        <f t="shared" si="231"/>
        <v>1</v>
      </c>
      <c r="Y361" s="11">
        <f t="shared" si="216"/>
        <v>1</v>
      </c>
      <c r="Z361" s="99">
        <v>44813</v>
      </c>
    </row>
    <row r="362" spans="1:26" x14ac:dyDescent="0.15">
      <c r="A362" s="13" t="s">
        <v>41</v>
      </c>
      <c r="B362" s="26">
        <v>1</v>
      </c>
      <c r="C362" s="47">
        <f>1+1</f>
        <v>2</v>
      </c>
      <c r="D362" s="27"/>
      <c r="E362" s="34"/>
      <c r="F362" s="35">
        <f t="shared" si="225"/>
        <v>3</v>
      </c>
      <c r="G362" s="26"/>
      <c r="H362" s="47">
        <v>1</v>
      </c>
      <c r="I362" s="27"/>
      <c r="J362" s="34"/>
      <c r="K362" s="35">
        <f t="shared" si="226"/>
        <v>1</v>
      </c>
      <c r="L362" s="11">
        <f t="shared" si="217"/>
        <v>4</v>
      </c>
      <c r="M362" s="126">
        <v>44810</v>
      </c>
      <c r="N362" s="90" t="s">
        <v>312</v>
      </c>
      <c r="O362" s="26"/>
      <c r="P362" s="47"/>
      <c r="Q362" s="27"/>
      <c r="R362" s="34"/>
      <c r="S362" s="35">
        <f t="shared" si="230"/>
        <v>0</v>
      </c>
      <c r="T362" s="26">
        <v>5</v>
      </c>
      <c r="U362" s="47"/>
      <c r="V362" s="27"/>
      <c r="W362" s="34"/>
      <c r="X362" s="35">
        <f t="shared" si="231"/>
        <v>5</v>
      </c>
      <c r="Y362" s="11">
        <f t="shared" si="216"/>
        <v>5</v>
      </c>
      <c r="Z362" s="99">
        <v>44817</v>
      </c>
    </row>
    <row r="363" spans="1:26" x14ac:dyDescent="0.15">
      <c r="A363" s="32" t="s">
        <v>308</v>
      </c>
      <c r="B363" s="26">
        <v>2</v>
      </c>
      <c r="C363" s="47"/>
      <c r="D363" s="27"/>
      <c r="E363" s="34"/>
      <c r="F363" s="35">
        <f t="shared" si="225"/>
        <v>2</v>
      </c>
      <c r="G363" s="26"/>
      <c r="H363" s="47">
        <v>1</v>
      </c>
      <c r="I363" s="27"/>
      <c r="J363" s="34"/>
      <c r="K363" s="35">
        <f t="shared" si="226"/>
        <v>1</v>
      </c>
      <c r="L363" s="11">
        <f t="shared" si="217"/>
        <v>3</v>
      </c>
      <c r="M363" s="99">
        <v>44812</v>
      </c>
      <c r="N363" s="79" t="s">
        <v>34</v>
      </c>
      <c r="O363" s="26">
        <v>5</v>
      </c>
      <c r="P363" s="47"/>
      <c r="Q363" s="27"/>
      <c r="R363" s="34"/>
      <c r="S363" s="35">
        <f>SUM(O363:R363)</f>
        <v>5</v>
      </c>
      <c r="T363" s="26"/>
      <c r="U363" s="47"/>
      <c r="V363" s="27"/>
      <c r="W363" s="34"/>
      <c r="X363" s="35">
        <f>SUM(T363:W363)</f>
        <v>0</v>
      </c>
      <c r="Y363" s="11">
        <f t="shared" si="216"/>
        <v>5</v>
      </c>
      <c r="Z363" s="99">
        <v>44812</v>
      </c>
    </row>
    <row r="364" spans="1:26" x14ac:dyDescent="0.15">
      <c r="A364" s="15" t="s">
        <v>309</v>
      </c>
      <c r="B364" s="26"/>
      <c r="C364" s="47"/>
      <c r="D364" s="27">
        <v>-1</v>
      </c>
      <c r="E364" s="34">
        <v>-1</v>
      </c>
      <c r="F364" s="35">
        <f t="shared" si="225"/>
        <v>-2</v>
      </c>
      <c r="G364" s="26"/>
      <c r="H364" s="47"/>
      <c r="I364" s="27"/>
      <c r="J364" s="34">
        <v>-1</v>
      </c>
      <c r="K364" s="35">
        <f t="shared" si="226"/>
        <v>-1</v>
      </c>
      <c r="L364" s="11">
        <f t="shared" si="217"/>
        <v>-3</v>
      </c>
      <c r="M364" s="126">
        <v>44811</v>
      </c>
      <c r="N364" s="32" t="s">
        <v>311</v>
      </c>
      <c r="O364" s="26"/>
      <c r="P364" s="47">
        <v>1</v>
      </c>
      <c r="Q364" s="27"/>
      <c r="R364" s="34"/>
      <c r="S364" s="35">
        <f t="shared" si="230"/>
        <v>1</v>
      </c>
      <c r="T364" s="26"/>
      <c r="U364" s="47"/>
      <c r="V364" s="27"/>
      <c r="W364" s="34"/>
      <c r="X364" s="35">
        <f t="shared" si="231"/>
        <v>0</v>
      </c>
      <c r="Y364" s="11">
        <f t="shared" si="216"/>
        <v>1</v>
      </c>
      <c r="Z364" s="99">
        <v>44817</v>
      </c>
    </row>
    <row r="365" spans="1:26" x14ac:dyDescent="0.15">
      <c r="A365" s="13" t="s">
        <v>41</v>
      </c>
      <c r="B365" s="26"/>
      <c r="C365" s="47">
        <v>1</v>
      </c>
      <c r="D365" s="27"/>
      <c r="E365" s="34"/>
      <c r="F365" s="35">
        <f t="shared" si="225"/>
        <v>1</v>
      </c>
      <c r="G365" s="26"/>
      <c r="H365" s="47"/>
      <c r="I365" s="27"/>
      <c r="J365" s="34">
        <v>1</v>
      </c>
      <c r="K365" s="35">
        <f t="shared" si="226"/>
        <v>1</v>
      </c>
      <c r="L365" s="11">
        <f t="shared" si="217"/>
        <v>2</v>
      </c>
      <c r="M365" s="126">
        <v>44811</v>
      </c>
      <c r="N365" s="32" t="s">
        <v>313</v>
      </c>
      <c r="O365" s="26"/>
      <c r="P365" s="47"/>
      <c r="Q365" s="27">
        <v>1</v>
      </c>
      <c r="R365" s="34"/>
      <c r="S365" s="35">
        <f t="shared" si="230"/>
        <v>1</v>
      </c>
      <c r="T365" s="26"/>
      <c r="U365" s="47"/>
      <c r="V365" s="27">
        <v>1</v>
      </c>
      <c r="W365" s="34">
        <v>1</v>
      </c>
      <c r="X365" s="35">
        <f t="shared" si="231"/>
        <v>2</v>
      </c>
      <c r="Y365" s="11">
        <f t="shared" si="216"/>
        <v>3</v>
      </c>
      <c r="Z365" s="99">
        <v>44818</v>
      </c>
    </row>
    <row r="366" spans="1:26" x14ac:dyDescent="0.15">
      <c r="A366" s="13" t="s">
        <v>41</v>
      </c>
      <c r="B366" s="26"/>
      <c r="C366" s="47"/>
      <c r="D366" s="27"/>
      <c r="E366" s="34">
        <v>1</v>
      </c>
      <c r="F366" s="35">
        <f t="shared" si="225"/>
        <v>1</v>
      </c>
      <c r="G366" s="26"/>
      <c r="H366" s="47"/>
      <c r="I366" s="27"/>
      <c r="J366" s="34"/>
      <c r="K366" s="35">
        <f t="shared" si="226"/>
        <v>0</v>
      </c>
      <c r="L366" s="11">
        <f t="shared" si="217"/>
        <v>1</v>
      </c>
      <c r="M366" s="126">
        <v>44820</v>
      </c>
      <c r="N366" s="32" t="s">
        <v>314</v>
      </c>
      <c r="O366" s="26">
        <v>1</v>
      </c>
      <c r="P366" s="47"/>
      <c r="Q366" s="27"/>
      <c r="R366" s="34"/>
      <c r="S366" s="35">
        <f t="shared" si="230"/>
        <v>1</v>
      </c>
      <c r="T366" s="26"/>
      <c r="U366" s="47"/>
      <c r="V366" s="27"/>
      <c r="W366" s="34"/>
      <c r="X366" s="35">
        <f t="shared" si="231"/>
        <v>0</v>
      </c>
      <c r="Y366" s="11">
        <f t="shared" si="216"/>
        <v>1</v>
      </c>
      <c r="Z366" s="99">
        <v>44819</v>
      </c>
    </row>
    <row r="367" spans="1:26" x14ac:dyDescent="0.15">
      <c r="A367" s="13"/>
      <c r="B367" s="26"/>
      <c r="C367" s="47"/>
      <c r="D367" s="27"/>
      <c r="E367" s="34"/>
      <c r="F367" s="35">
        <f t="shared" si="225"/>
        <v>0</v>
      </c>
      <c r="G367" s="26"/>
      <c r="H367" s="47"/>
      <c r="I367" s="27"/>
      <c r="J367" s="34"/>
      <c r="K367" s="35">
        <f t="shared" si="226"/>
        <v>0</v>
      </c>
      <c r="L367" s="11">
        <f t="shared" si="217"/>
        <v>0</v>
      </c>
      <c r="M367" s="126"/>
      <c r="N367" s="32" t="s">
        <v>315</v>
      </c>
      <c r="O367" s="26"/>
      <c r="P367" s="47"/>
      <c r="Q367" s="27"/>
      <c r="R367" s="34">
        <v>1</v>
      </c>
      <c r="S367" s="35">
        <f t="shared" si="230"/>
        <v>1</v>
      </c>
      <c r="T367" s="26"/>
      <c r="U367" s="47"/>
      <c r="V367" s="27"/>
      <c r="W367" s="34"/>
      <c r="X367" s="35">
        <f t="shared" si="231"/>
        <v>0</v>
      </c>
      <c r="Y367" s="11">
        <f t="shared" si="216"/>
        <v>1</v>
      </c>
      <c r="Z367" s="99">
        <v>44820</v>
      </c>
    </row>
    <row r="368" spans="1:26" x14ac:dyDescent="0.15">
      <c r="A368" s="15"/>
      <c r="B368" s="26"/>
      <c r="C368" s="47"/>
      <c r="D368" s="27"/>
      <c r="E368" s="34"/>
      <c r="F368" s="35">
        <f t="shared" si="225"/>
        <v>0</v>
      </c>
      <c r="G368" s="26"/>
      <c r="H368" s="47"/>
      <c r="I368" s="27"/>
      <c r="J368" s="34"/>
      <c r="K368" s="35">
        <f t="shared" si="226"/>
        <v>0</v>
      </c>
      <c r="L368" s="11">
        <f t="shared" si="217"/>
        <v>0</v>
      </c>
      <c r="N368" s="32" t="s">
        <v>316</v>
      </c>
      <c r="O368" s="26"/>
      <c r="P368" s="47">
        <v>1</v>
      </c>
      <c r="Q368" s="27"/>
      <c r="R368" s="34"/>
      <c r="S368" s="35">
        <f t="shared" si="230"/>
        <v>1</v>
      </c>
      <c r="T368" s="26"/>
      <c r="U368" s="47">
        <v>1</v>
      </c>
      <c r="V368" s="27"/>
      <c r="W368" s="34"/>
      <c r="X368" s="35">
        <f t="shared" si="231"/>
        <v>1</v>
      </c>
      <c r="Y368" s="11">
        <f t="shared" si="216"/>
        <v>2</v>
      </c>
      <c r="Z368" s="99">
        <v>44824</v>
      </c>
    </row>
    <row r="369" spans="1:26" x14ac:dyDescent="0.15">
      <c r="A369" s="15"/>
      <c r="B369" s="26"/>
      <c r="C369" s="47"/>
      <c r="D369" s="27"/>
      <c r="E369" s="34"/>
      <c r="F369" s="35">
        <f t="shared" si="225"/>
        <v>0</v>
      </c>
      <c r="G369" s="26"/>
      <c r="H369" s="47"/>
      <c r="I369" s="27"/>
      <c r="J369" s="34"/>
      <c r="K369" s="35">
        <f t="shared" si="226"/>
        <v>0</v>
      </c>
      <c r="L369" s="11">
        <f t="shared" si="217"/>
        <v>0</v>
      </c>
      <c r="N369" s="32" t="s">
        <v>321</v>
      </c>
      <c r="O369" s="66">
        <v>1</v>
      </c>
      <c r="P369" s="67">
        <v>2</v>
      </c>
      <c r="Q369" s="68"/>
      <c r="R369" s="94"/>
      <c r="S369" s="91">
        <f>SUM(O369:R369)</f>
        <v>3</v>
      </c>
      <c r="T369" s="67"/>
      <c r="U369" s="67"/>
      <c r="V369" s="68"/>
      <c r="W369" s="94"/>
      <c r="X369" s="91">
        <f>SUM(T369:W369)</f>
        <v>0</v>
      </c>
      <c r="Y369" s="11">
        <f t="shared" si="216"/>
        <v>3</v>
      </c>
      <c r="Z369" s="99">
        <v>44825</v>
      </c>
    </row>
    <row r="370" spans="1:26" x14ac:dyDescent="0.15">
      <c r="A370" s="13"/>
      <c r="B370" s="26"/>
      <c r="C370" s="47"/>
      <c r="D370" s="27"/>
      <c r="E370" s="34"/>
      <c r="F370" s="35">
        <f t="shared" si="225"/>
        <v>0</v>
      </c>
      <c r="G370" s="26"/>
      <c r="H370" s="47"/>
      <c r="I370" s="27"/>
      <c r="J370" s="34"/>
      <c r="K370" s="35">
        <f t="shared" si="226"/>
        <v>0</v>
      </c>
      <c r="L370" s="11">
        <f t="shared" si="217"/>
        <v>0</v>
      </c>
      <c r="N370" s="79" t="s">
        <v>34</v>
      </c>
      <c r="O370" s="26"/>
      <c r="P370" s="47">
        <v>5</v>
      </c>
      <c r="Q370" s="27"/>
      <c r="R370" s="34"/>
      <c r="S370" s="35">
        <f>SUM(O370:R370)</f>
        <v>5</v>
      </c>
      <c r="T370" s="26"/>
      <c r="U370" s="47"/>
      <c r="V370" s="27"/>
      <c r="W370" s="34"/>
      <c r="X370" s="35">
        <f>SUM(T370:W370)</f>
        <v>0</v>
      </c>
      <c r="Y370" s="11">
        <f t="shared" si="216"/>
        <v>5</v>
      </c>
      <c r="Z370" s="99">
        <v>44832</v>
      </c>
    </row>
    <row r="371" spans="1:26" x14ac:dyDescent="0.15">
      <c r="A371" s="32"/>
      <c r="B371" s="26"/>
      <c r="C371" s="47"/>
      <c r="D371" s="27"/>
      <c r="E371" s="34"/>
      <c r="F371" s="35">
        <f t="shared" si="225"/>
        <v>0</v>
      </c>
      <c r="G371" s="26"/>
      <c r="H371" s="47"/>
      <c r="I371" s="27"/>
      <c r="J371" s="34"/>
      <c r="K371" s="35">
        <f t="shared" si="226"/>
        <v>0</v>
      </c>
      <c r="L371" s="11">
        <f t="shared" si="217"/>
        <v>0</v>
      </c>
      <c r="N371" s="90" t="s">
        <v>337</v>
      </c>
      <c r="O371" s="26">
        <v>-5</v>
      </c>
      <c r="P371" s="47">
        <v>-5</v>
      </c>
      <c r="Q371" s="27"/>
      <c r="R371" s="34">
        <v>-5</v>
      </c>
      <c r="S371" s="35">
        <f t="shared" ref="S371:S372" si="232">SUM(O371:R371)</f>
        <v>-15</v>
      </c>
      <c r="T371" s="26"/>
      <c r="U371" s="47"/>
      <c r="V371" s="27"/>
      <c r="W371" s="34">
        <v>-5</v>
      </c>
      <c r="X371" s="35">
        <f t="shared" ref="X371:X372" si="233">SUM(T371:W371)</f>
        <v>-5</v>
      </c>
      <c r="Y371" s="11">
        <f t="shared" ref="Y371:Y372" si="234">S371+X371</f>
        <v>-20</v>
      </c>
      <c r="Z371" s="101"/>
    </row>
    <row r="372" spans="1:26" x14ac:dyDescent="0.15">
      <c r="A372" s="32"/>
      <c r="B372" s="26"/>
      <c r="C372" s="47"/>
      <c r="D372" s="27"/>
      <c r="E372" s="34"/>
      <c r="F372" s="35">
        <f t="shared" si="225"/>
        <v>0</v>
      </c>
      <c r="G372" s="26"/>
      <c r="H372" s="47"/>
      <c r="I372" s="27"/>
      <c r="J372" s="34"/>
      <c r="K372" s="35">
        <f t="shared" si="226"/>
        <v>0</v>
      </c>
      <c r="L372" s="11">
        <f t="shared" si="217"/>
        <v>0</v>
      </c>
      <c r="N372" s="90" t="s">
        <v>330</v>
      </c>
      <c r="O372" s="26"/>
      <c r="P372" s="47"/>
      <c r="Q372" s="27"/>
      <c r="R372" s="34"/>
      <c r="S372" s="35">
        <f t="shared" si="232"/>
        <v>0</v>
      </c>
      <c r="T372" s="26"/>
      <c r="U372" s="47"/>
      <c r="V372" s="27">
        <v>5</v>
      </c>
      <c r="W372" s="34">
        <v>5</v>
      </c>
      <c r="X372" s="35">
        <f t="shared" si="233"/>
        <v>10</v>
      </c>
      <c r="Y372" s="11">
        <f t="shared" si="234"/>
        <v>10</v>
      </c>
      <c r="Z372" s="99">
        <v>44838</v>
      </c>
    </row>
    <row r="373" spans="1:26" x14ac:dyDescent="0.15">
      <c r="A373" s="12"/>
      <c r="B373" s="26"/>
      <c r="C373" s="47"/>
      <c r="D373" s="27"/>
      <c r="E373" s="34"/>
      <c r="F373" s="35">
        <f t="shared" si="225"/>
        <v>0</v>
      </c>
      <c r="G373" s="26"/>
      <c r="H373" s="47"/>
      <c r="I373" s="27"/>
      <c r="J373" s="34"/>
      <c r="K373" s="35">
        <f t="shared" si="226"/>
        <v>0</v>
      </c>
      <c r="L373" s="11">
        <f t="shared" si="217"/>
        <v>0</v>
      </c>
      <c r="N373" s="57"/>
      <c r="O373" s="26"/>
      <c r="P373" s="47"/>
      <c r="Q373" s="27"/>
      <c r="R373" s="34"/>
      <c r="S373" s="35">
        <f t="shared" si="230"/>
        <v>0</v>
      </c>
      <c r="T373" s="26"/>
      <c r="U373" s="47"/>
      <c r="V373" s="27"/>
      <c r="W373" s="34"/>
      <c r="X373" s="35">
        <f t="shared" si="231"/>
        <v>0</v>
      </c>
      <c r="Y373" s="11">
        <f t="shared" si="216"/>
        <v>0</v>
      </c>
    </row>
    <row r="374" spans="1:26" x14ac:dyDescent="0.15">
      <c r="A374" s="79"/>
      <c r="B374" s="26"/>
      <c r="C374" s="47"/>
      <c r="D374" s="27"/>
      <c r="E374" s="34"/>
      <c r="F374" s="35">
        <f t="shared" si="225"/>
        <v>0</v>
      </c>
      <c r="G374" s="26"/>
      <c r="H374" s="47"/>
      <c r="I374" s="27"/>
      <c r="J374" s="34"/>
      <c r="K374" s="35">
        <f t="shared" si="226"/>
        <v>0</v>
      </c>
      <c r="L374" s="11">
        <f t="shared" si="217"/>
        <v>0</v>
      </c>
      <c r="N374" s="57"/>
      <c r="O374" s="26"/>
      <c r="P374" s="47"/>
      <c r="Q374" s="27"/>
      <c r="R374" s="34"/>
      <c r="S374" s="35">
        <f t="shared" ref="S374" si="235">SUM(O374:R374)</f>
        <v>0</v>
      </c>
      <c r="T374" s="26"/>
      <c r="U374" s="47"/>
      <c r="V374" s="27"/>
      <c r="W374" s="34"/>
      <c r="X374" s="35">
        <f t="shared" ref="X374" si="236">SUM(T374:W374)</f>
        <v>0</v>
      </c>
      <c r="Y374" s="108">
        <f t="shared" si="216"/>
        <v>0</v>
      </c>
      <c r="Z374" s="99"/>
    </row>
    <row r="375" spans="1:26" x14ac:dyDescent="0.15">
      <c r="A375" s="57"/>
      <c r="B375" s="26"/>
      <c r="C375" s="47"/>
      <c r="D375" s="27"/>
      <c r="E375" s="34"/>
      <c r="F375" s="35">
        <f t="shared" si="225"/>
        <v>0</v>
      </c>
      <c r="G375" s="26"/>
      <c r="H375" s="47"/>
      <c r="I375" s="27"/>
      <c r="J375" s="34"/>
      <c r="K375" s="35">
        <f t="shared" si="226"/>
        <v>0</v>
      </c>
      <c r="L375" s="11">
        <f t="shared" si="217"/>
        <v>0</v>
      </c>
      <c r="N375" s="57" t="s">
        <v>270</v>
      </c>
      <c r="O375" s="26"/>
      <c r="P375" s="47"/>
      <c r="Q375" s="27"/>
      <c r="R375" s="124"/>
      <c r="S375" s="35">
        <f t="shared" ref="S375" si="237">SUM(O375:R375)</f>
        <v>0</v>
      </c>
      <c r="T375" s="26"/>
      <c r="U375" s="47"/>
      <c r="V375" s="27"/>
      <c r="W375" s="124"/>
      <c r="X375" s="35">
        <f t="shared" ref="X375" si="238">SUM(T375:W375)</f>
        <v>0</v>
      </c>
      <c r="Y375" s="108">
        <f t="shared" ref="Y375" si="239">S375+X375</f>
        <v>0</v>
      </c>
      <c r="Z375" s="99">
        <v>44813</v>
      </c>
    </row>
    <row r="376" spans="1:26" ht="14.25" thickBot="1" x14ac:dyDescent="0.2">
      <c r="A376" s="90"/>
      <c r="B376" s="62"/>
      <c r="C376" s="63"/>
      <c r="D376" s="64"/>
      <c r="E376" s="65"/>
      <c r="F376" s="35">
        <f t="shared" si="225"/>
        <v>0</v>
      </c>
      <c r="G376" s="62"/>
      <c r="H376" s="63"/>
      <c r="I376" s="64"/>
      <c r="J376" s="65"/>
      <c r="K376" s="35">
        <f t="shared" si="226"/>
        <v>0</v>
      </c>
      <c r="L376" s="14">
        <f t="shared" si="217"/>
        <v>0</v>
      </c>
      <c r="N376" s="135" t="s">
        <v>301</v>
      </c>
      <c r="O376" s="62"/>
      <c r="P376" s="63"/>
      <c r="Q376" s="64"/>
      <c r="R376" s="65"/>
      <c r="S376" s="120">
        <f>SUM(O376:R376)</f>
        <v>0</v>
      </c>
      <c r="T376" s="62"/>
      <c r="U376" s="63"/>
      <c r="V376" s="64"/>
      <c r="W376" s="65"/>
      <c r="X376" s="120">
        <f t="shared" ref="X376" si="240">SUM(T376:W376)</f>
        <v>0</v>
      </c>
      <c r="Y376" s="121">
        <f t="shared" ref="Y376" si="241">S376+X376</f>
        <v>0</v>
      </c>
      <c r="Z376" s="101" t="s">
        <v>234</v>
      </c>
    </row>
    <row r="377" spans="1:26" ht="14.25" thickBot="1" x14ac:dyDescent="0.2">
      <c r="A377" s="17" t="s">
        <v>10</v>
      </c>
      <c r="B377" s="38">
        <f>SUM(B352:B376)</f>
        <v>12</v>
      </c>
      <c r="C377" s="48">
        <f>SUM(C352:C376)</f>
        <v>15</v>
      </c>
      <c r="D377" s="39">
        <f>SUM(D352:D376)</f>
        <v>8</v>
      </c>
      <c r="E377" s="40">
        <f>SUM(E352:E376)</f>
        <v>9</v>
      </c>
      <c r="F377" s="36">
        <f>SUM(B377:E377)</f>
        <v>44</v>
      </c>
      <c r="G377" s="38">
        <f>SUM(G352:G376)</f>
        <v>11</v>
      </c>
      <c r="H377" s="48">
        <f>SUM(H352:H376)</f>
        <v>10</v>
      </c>
      <c r="I377" s="39">
        <f>SUM(I352:I376)</f>
        <v>8</v>
      </c>
      <c r="J377" s="40">
        <f>SUM(J352:J376)</f>
        <v>10</v>
      </c>
      <c r="K377" s="36">
        <f>SUM(G377:J377)</f>
        <v>39</v>
      </c>
      <c r="L377" s="37">
        <f t="shared" si="217"/>
        <v>83</v>
      </c>
      <c r="N377" s="133" t="s">
        <v>10</v>
      </c>
      <c r="O377" s="38">
        <f>SUM(O352:O376)</f>
        <v>219</v>
      </c>
      <c r="P377" s="48">
        <f>SUM(P352:P376)</f>
        <v>252</v>
      </c>
      <c r="Q377" s="39">
        <f>SUM(Q352:Q376)</f>
        <v>116</v>
      </c>
      <c r="R377" s="40">
        <f>SUM(R352:R376)</f>
        <v>14</v>
      </c>
      <c r="S377" s="118">
        <f t="shared" ref="S377" si="242">SUM(O377:R377)</f>
        <v>601</v>
      </c>
      <c r="T377" s="38">
        <f>SUM(T352:T376)</f>
        <v>221</v>
      </c>
      <c r="U377" s="48">
        <f>SUM(U352:U376)</f>
        <v>243</v>
      </c>
      <c r="V377" s="39">
        <f>SUM(V352:V376)</f>
        <v>116</v>
      </c>
      <c r="W377" s="40">
        <f>SUM(W352:W376)</f>
        <v>16</v>
      </c>
      <c r="X377" s="118">
        <f t="shared" si="231"/>
        <v>596</v>
      </c>
      <c r="Y377" s="119">
        <f t="shared" si="216"/>
        <v>1197</v>
      </c>
    </row>
    <row r="378" spans="1:26" ht="14.25" thickBot="1" x14ac:dyDescent="0.2">
      <c r="A378" s="22" t="s">
        <v>11</v>
      </c>
      <c r="B378" s="41">
        <f>B351-B377</f>
        <v>2</v>
      </c>
      <c r="C378" s="49">
        <f>C351-C377</f>
        <v>4</v>
      </c>
      <c r="D378" s="42">
        <f t="shared" ref="D378:K378" si="243">D351-D377</f>
        <v>8</v>
      </c>
      <c r="E378" s="43">
        <f t="shared" si="243"/>
        <v>5</v>
      </c>
      <c r="F378" s="61">
        <f t="shared" si="243"/>
        <v>15</v>
      </c>
      <c r="G378" s="41">
        <f t="shared" si="243"/>
        <v>4</v>
      </c>
      <c r="H378" s="49">
        <f t="shared" si="243"/>
        <v>5</v>
      </c>
      <c r="I378" s="42">
        <f t="shared" si="243"/>
        <v>7</v>
      </c>
      <c r="J378" s="43">
        <f t="shared" si="243"/>
        <v>5</v>
      </c>
      <c r="K378" s="61">
        <f t="shared" si="243"/>
        <v>21</v>
      </c>
      <c r="L378" s="21">
        <f t="shared" si="217"/>
        <v>36</v>
      </c>
      <c r="N378" s="17" t="s">
        <v>11</v>
      </c>
      <c r="O378" s="41">
        <f>O351-O377</f>
        <v>153</v>
      </c>
      <c r="P378" s="49">
        <f t="shared" ref="P378:X378" si="244">P351-P377</f>
        <v>269</v>
      </c>
      <c r="Q378" s="42">
        <f t="shared" si="244"/>
        <v>151</v>
      </c>
      <c r="R378" s="43">
        <f t="shared" si="244"/>
        <v>129</v>
      </c>
      <c r="S378" s="61">
        <f t="shared" si="244"/>
        <v>702</v>
      </c>
      <c r="T378" s="41">
        <f t="shared" si="244"/>
        <v>262</v>
      </c>
      <c r="U378" s="49">
        <f t="shared" si="244"/>
        <v>375</v>
      </c>
      <c r="V378" s="42">
        <f t="shared" si="244"/>
        <v>209</v>
      </c>
      <c r="W378" s="43">
        <f t="shared" si="244"/>
        <v>125</v>
      </c>
      <c r="X378" s="61">
        <f t="shared" si="244"/>
        <v>971</v>
      </c>
      <c r="Y378" s="21">
        <f t="shared" si="216"/>
        <v>1673</v>
      </c>
    </row>
    <row r="381" spans="1:26" ht="19.5" thickBot="1" x14ac:dyDescent="0.25">
      <c r="A381" s="2" t="s">
        <v>106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105</v>
      </c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6" ht="14.25" thickBot="1" x14ac:dyDescent="0.2">
      <c r="A382" s="5" t="s">
        <v>0</v>
      </c>
      <c r="B382" s="342" t="s">
        <v>18</v>
      </c>
      <c r="C382" s="350"/>
      <c r="D382" s="350"/>
      <c r="E382" s="350"/>
      <c r="F382" s="351"/>
      <c r="G382" s="345" t="s">
        <v>12</v>
      </c>
      <c r="H382" s="352"/>
      <c r="I382" s="352"/>
      <c r="J382" s="352"/>
      <c r="K382" s="353"/>
      <c r="L382" s="354" t="s">
        <v>1</v>
      </c>
      <c r="N382" s="5" t="s">
        <v>0</v>
      </c>
      <c r="O382" s="342" t="s">
        <v>18</v>
      </c>
      <c r="P382" s="350"/>
      <c r="Q382" s="350"/>
      <c r="R382" s="350"/>
      <c r="S382" s="351"/>
      <c r="T382" s="345" t="s">
        <v>12</v>
      </c>
      <c r="U382" s="352"/>
      <c r="V382" s="352"/>
      <c r="W382" s="352"/>
      <c r="X382" s="353"/>
      <c r="Y382" s="354" t="s">
        <v>1</v>
      </c>
    </row>
    <row r="383" spans="1:26" ht="14.25" thickBot="1" x14ac:dyDescent="0.2">
      <c r="A383" s="5" t="s">
        <v>2</v>
      </c>
      <c r="B383" s="3" t="s">
        <v>13</v>
      </c>
      <c r="C383" s="44" t="s">
        <v>14</v>
      </c>
      <c r="D383" s="4" t="s">
        <v>15</v>
      </c>
      <c r="E383" s="23" t="s">
        <v>16</v>
      </c>
      <c r="F383" s="31" t="s">
        <v>3</v>
      </c>
      <c r="G383" s="3" t="s">
        <v>13</v>
      </c>
      <c r="H383" s="44" t="s">
        <v>14</v>
      </c>
      <c r="I383" s="4" t="s">
        <v>15</v>
      </c>
      <c r="J383" s="23" t="s">
        <v>16</v>
      </c>
      <c r="K383" s="31" t="s">
        <v>3</v>
      </c>
      <c r="L383" s="355"/>
      <c r="N383" s="5" t="s">
        <v>2</v>
      </c>
      <c r="O383" s="3" t="s">
        <v>13</v>
      </c>
      <c r="P383" s="44" t="s">
        <v>14</v>
      </c>
      <c r="Q383" s="4" t="s">
        <v>15</v>
      </c>
      <c r="R383" s="23" t="s">
        <v>16</v>
      </c>
      <c r="S383" s="31" t="s">
        <v>3</v>
      </c>
      <c r="T383" s="3" t="s">
        <v>13</v>
      </c>
      <c r="U383" s="44" t="s">
        <v>14</v>
      </c>
      <c r="V383" s="4" t="s">
        <v>15</v>
      </c>
      <c r="W383" s="23" t="s">
        <v>16</v>
      </c>
      <c r="X383" s="31" t="s">
        <v>3</v>
      </c>
      <c r="Y383" s="355"/>
    </row>
    <row r="384" spans="1:26" x14ac:dyDescent="0.15">
      <c r="A384" s="71" t="s">
        <v>17</v>
      </c>
      <c r="B384" s="72">
        <f>B378</f>
        <v>2</v>
      </c>
      <c r="C384" s="73">
        <f t="shared" ref="C384:L384" si="245">C378</f>
        <v>4</v>
      </c>
      <c r="D384" s="73">
        <f t="shared" si="245"/>
        <v>8</v>
      </c>
      <c r="E384" s="74">
        <f t="shared" si="245"/>
        <v>5</v>
      </c>
      <c r="F384" s="76">
        <f t="shared" si="245"/>
        <v>15</v>
      </c>
      <c r="G384" s="72">
        <f t="shared" si="245"/>
        <v>4</v>
      </c>
      <c r="H384" s="73">
        <f t="shared" si="245"/>
        <v>5</v>
      </c>
      <c r="I384" s="73">
        <f t="shared" si="245"/>
        <v>7</v>
      </c>
      <c r="J384" s="74">
        <f t="shared" si="245"/>
        <v>5</v>
      </c>
      <c r="K384" s="75">
        <f t="shared" si="245"/>
        <v>21</v>
      </c>
      <c r="L384" s="16">
        <f t="shared" si="245"/>
        <v>36</v>
      </c>
      <c r="N384" s="71" t="s">
        <v>17</v>
      </c>
      <c r="O384" s="72">
        <f>O378</f>
        <v>153</v>
      </c>
      <c r="P384" s="73">
        <f t="shared" ref="P384:Y384" si="246">P378</f>
        <v>269</v>
      </c>
      <c r="Q384" s="73">
        <f t="shared" si="246"/>
        <v>151</v>
      </c>
      <c r="R384" s="74">
        <f t="shared" si="246"/>
        <v>129</v>
      </c>
      <c r="S384" s="76">
        <f t="shared" si="246"/>
        <v>702</v>
      </c>
      <c r="T384" s="72">
        <f t="shared" si="246"/>
        <v>262</v>
      </c>
      <c r="U384" s="73">
        <f t="shared" si="246"/>
        <v>375</v>
      </c>
      <c r="V384" s="73">
        <f t="shared" si="246"/>
        <v>209</v>
      </c>
      <c r="W384" s="74">
        <f t="shared" si="246"/>
        <v>125</v>
      </c>
      <c r="X384" s="75">
        <f t="shared" si="246"/>
        <v>971</v>
      </c>
      <c r="Y384" s="16">
        <f t="shared" si="246"/>
        <v>1673</v>
      </c>
    </row>
    <row r="385" spans="1:27" x14ac:dyDescent="0.15">
      <c r="A385" s="13" t="s">
        <v>5</v>
      </c>
      <c r="B385" s="6">
        <v>5</v>
      </c>
      <c r="C385" s="30"/>
      <c r="D385" s="7"/>
      <c r="E385" s="8"/>
      <c r="F385" s="9">
        <f>SUM(B385:E385)</f>
        <v>5</v>
      </c>
      <c r="G385" s="30"/>
      <c r="H385" s="30"/>
      <c r="I385" s="7"/>
      <c r="J385" s="8"/>
      <c r="K385" s="9">
        <f>SUM(G385:J385)</f>
        <v>0</v>
      </c>
      <c r="L385" s="11">
        <f t="shared" ref="L385:L416" si="247">F385+K385</f>
        <v>5</v>
      </c>
      <c r="M385" s="99">
        <v>44812</v>
      </c>
      <c r="N385" s="13" t="s">
        <v>350</v>
      </c>
      <c r="O385" s="26"/>
      <c r="P385" s="47"/>
      <c r="Q385" s="27"/>
      <c r="R385" s="34"/>
      <c r="S385" s="77">
        <f>SUM(O385:R385)</f>
        <v>0</v>
      </c>
      <c r="T385" s="26"/>
      <c r="U385" s="47"/>
      <c r="V385" s="27"/>
      <c r="W385" s="34">
        <v>8</v>
      </c>
      <c r="X385" s="9">
        <f>SUM(T385:W385)</f>
        <v>8</v>
      </c>
      <c r="Y385" s="11">
        <f t="shared" ref="Y385:Y416" si="248">S385+X385</f>
        <v>8</v>
      </c>
      <c r="Z385" s="99">
        <v>44848</v>
      </c>
    </row>
    <row r="386" spans="1:27" x14ac:dyDescent="0.15">
      <c r="A386" s="15" t="s">
        <v>60</v>
      </c>
      <c r="B386" s="6"/>
      <c r="C386" s="30"/>
      <c r="D386" s="7">
        <v>2</v>
      </c>
      <c r="E386" s="8"/>
      <c r="F386" s="9">
        <f>SUM(B386:E386)</f>
        <v>2</v>
      </c>
      <c r="G386" s="30">
        <v>1</v>
      </c>
      <c r="H386" s="30"/>
      <c r="I386" s="7"/>
      <c r="J386" s="8">
        <v>1</v>
      </c>
      <c r="K386" s="9">
        <f>SUM(G386:J386)</f>
        <v>2</v>
      </c>
      <c r="L386" s="11">
        <f t="shared" si="247"/>
        <v>4</v>
      </c>
      <c r="M386" s="126">
        <v>44816</v>
      </c>
      <c r="N386" s="13" t="s">
        <v>6</v>
      </c>
      <c r="O386" s="26"/>
      <c r="P386" s="47"/>
      <c r="Q386" s="27"/>
      <c r="R386" s="34"/>
      <c r="S386" s="77">
        <f>SUM(O386:R386)</f>
        <v>0</v>
      </c>
      <c r="T386" s="26"/>
      <c r="U386" s="47"/>
      <c r="V386" s="27"/>
      <c r="W386" s="34"/>
      <c r="X386" s="9">
        <f>SUM(T386:W386)</f>
        <v>0</v>
      </c>
      <c r="Y386" s="11">
        <f t="shared" si="248"/>
        <v>0</v>
      </c>
    </row>
    <row r="387" spans="1:27" x14ac:dyDescent="0.15">
      <c r="A387" s="13" t="s">
        <v>7</v>
      </c>
      <c r="B387" s="6"/>
      <c r="C387" s="30">
        <v>5</v>
      </c>
      <c r="D387" s="7"/>
      <c r="E387" s="8"/>
      <c r="F387" s="9">
        <f>SUM(B387:E387)</f>
        <v>5</v>
      </c>
      <c r="G387" s="30"/>
      <c r="H387" s="30"/>
      <c r="I387" s="7"/>
      <c r="J387" s="8"/>
      <c r="K387" s="9">
        <f>SUM(G387:J387)</f>
        <v>0</v>
      </c>
      <c r="L387" s="11">
        <f t="shared" si="247"/>
        <v>5</v>
      </c>
      <c r="M387" s="99">
        <v>44832</v>
      </c>
      <c r="N387" s="13" t="s">
        <v>7</v>
      </c>
      <c r="O387" s="26"/>
      <c r="P387" s="47"/>
      <c r="Q387" s="27"/>
      <c r="R387" s="34"/>
      <c r="S387" s="77">
        <f>SUM(O387:R387)</f>
        <v>0</v>
      </c>
      <c r="T387" s="47"/>
      <c r="U387" s="47"/>
      <c r="V387" s="27"/>
      <c r="W387" s="50"/>
      <c r="X387" s="9">
        <f>SUM(T387:W387)</f>
        <v>0</v>
      </c>
      <c r="Y387" s="11">
        <f t="shared" si="248"/>
        <v>0</v>
      </c>
    </row>
    <row r="388" spans="1:27" ht="14.25" thickBot="1" x14ac:dyDescent="0.2">
      <c r="A388" s="13" t="s">
        <v>8</v>
      </c>
      <c r="B388" s="6"/>
      <c r="C388" s="30"/>
      <c r="D388" s="7"/>
      <c r="E388" s="8"/>
      <c r="F388" s="10">
        <f>SUM(B388:E388)</f>
        <v>0</v>
      </c>
      <c r="G388" s="30"/>
      <c r="H388" s="30">
        <v>5</v>
      </c>
      <c r="I388" s="7"/>
      <c r="J388" s="8"/>
      <c r="K388" s="10">
        <f>SUM(G388:J388)</f>
        <v>5</v>
      </c>
      <c r="L388" s="14">
        <f t="shared" si="247"/>
        <v>5</v>
      </c>
      <c r="M388" s="99">
        <v>44848</v>
      </c>
      <c r="N388" s="13" t="s">
        <v>8</v>
      </c>
      <c r="O388" s="62"/>
      <c r="P388" s="63"/>
      <c r="Q388" s="64"/>
      <c r="R388" s="65"/>
      <c r="S388" s="78">
        <f>SUM(O388:R388)</f>
        <v>0</v>
      </c>
      <c r="T388" s="62"/>
      <c r="U388" s="63"/>
      <c r="V388" s="64"/>
      <c r="W388" s="65"/>
      <c r="X388" s="10">
        <f>SUM(T388:W388)</f>
        <v>0</v>
      </c>
      <c r="Y388" s="14">
        <f t="shared" si="248"/>
        <v>0</v>
      </c>
    </row>
    <row r="389" spans="1:27" ht="14.25" thickBot="1" x14ac:dyDescent="0.2">
      <c r="A389" s="22" t="s">
        <v>9</v>
      </c>
      <c r="B389" s="18">
        <f t="shared" ref="B389:K389" si="249">SUM(B384:B388)</f>
        <v>7</v>
      </c>
      <c r="C389" s="45">
        <f t="shared" si="249"/>
        <v>9</v>
      </c>
      <c r="D389" s="19">
        <f t="shared" si="249"/>
        <v>10</v>
      </c>
      <c r="E389" s="20">
        <f t="shared" si="249"/>
        <v>5</v>
      </c>
      <c r="F389" s="28">
        <f t="shared" si="249"/>
        <v>27</v>
      </c>
      <c r="G389" s="18">
        <f t="shared" si="249"/>
        <v>5</v>
      </c>
      <c r="H389" s="45">
        <f t="shared" si="249"/>
        <v>10</v>
      </c>
      <c r="I389" s="19">
        <f t="shared" si="249"/>
        <v>7</v>
      </c>
      <c r="J389" s="20">
        <f t="shared" si="249"/>
        <v>6</v>
      </c>
      <c r="K389" s="28">
        <f t="shared" si="249"/>
        <v>28</v>
      </c>
      <c r="L389" s="21">
        <f t="shared" si="247"/>
        <v>55</v>
      </c>
      <c r="N389" s="17" t="s">
        <v>9</v>
      </c>
      <c r="O389" s="41">
        <f>SUM(O384:O388)</f>
        <v>153</v>
      </c>
      <c r="P389" s="49">
        <f t="shared" ref="P389:V389" si="250">SUM(P384:P388)</f>
        <v>269</v>
      </c>
      <c r="Q389" s="42">
        <f t="shared" si="250"/>
        <v>151</v>
      </c>
      <c r="R389" s="92">
        <f t="shared" si="250"/>
        <v>129</v>
      </c>
      <c r="S389" s="93">
        <f t="shared" si="250"/>
        <v>702</v>
      </c>
      <c r="T389" s="41">
        <f t="shared" si="250"/>
        <v>262</v>
      </c>
      <c r="U389" s="49">
        <f t="shared" si="250"/>
        <v>375</v>
      </c>
      <c r="V389" s="42">
        <f t="shared" si="250"/>
        <v>209</v>
      </c>
      <c r="W389" s="92">
        <f>SUM(W384:W388)</f>
        <v>133</v>
      </c>
      <c r="X389" s="93">
        <f t="shared" ref="X389" si="251">SUM(X384:X388)</f>
        <v>979</v>
      </c>
      <c r="Y389" s="56">
        <f t="shared" si="248"/>
        <v>1681</v>
      </c>
    </row>
    <row r="390" spans="1:27" x14ac:dyDescent="0.15">
      <c r="A390" s="13" t="s">
        <v>41</v>
      </c>
      <c r="B390" s="24"/>
      <c r="C390" s="46">
        <v>2</v>
      </c>
      <c r="D390" s="25"/>
      <c r="E390" s="33"/>
      <c r="F390" s="35">
        <f>SUM(B390:E390)</f>
        <v>2</v>
      </c>
      <c r="G390" s="24"/>
      <c r="H390" s="46"/>
      <c r="I390" s="25"/>
      <c r="J390" s="33"/>
      <c r="K390" s="35">
        <f>SUM(G390:J390)</f>
        <v>0</v>
      </c>
      <c r="L390" s="11">
        <f t="shared" si="247"/>
        <v>2</v>
      </c>
      <c r="M390" s="126">
        <v>44816</v>
      </c>
      <c r="N390" s="32" t="s">
        <v>329</v>
      </c>
      <c r="O390" s="26">
        <v>3</v>
      </c>
      <c r="P390" s="47">
        <v>5</v>
      </c>
      <c r="Q390" s="27">
        <v>3</v>
      </c>
      <c r="R390" s="34">
        <v>3</v>
      </c>
      <c r="S390" s="35">
        <f t="shared" ref="S390:S391" si="252">SUM(O390:R390)</f>
        <v>14</v>
      </c>
      <c r="T390" s="26">
        <v>2</v>
      </c>
      <c r="U390" s="47">
        <v>2</v>
      </c>
      <c r="V390" s="27">
        <v>1</v>
      </c>
      <c r="W390" s="34">
        <v>1</v>
      </c>
      <c r="X390" s="35">
        <f t="shared" ref="X390:X391" si="253">SUM(T390:W390)</f>
        <v>6</v>
      </c>
      <c r="Y390" s="11">
        <f t="shared" ref="Y390:Y409" si="254">S390+X390</f>
        <v>20</v>
      </c>
      <c r="Z390" s="99">
        <v>44837</v>
      </c>
    </row>
    <row r="391" spans="1:27" x14ac:dyDescent="0.15">
      <c r="A391" s="32" t="s">
        <v>317</v>
      </c>
      <c r="B391" s="26">
        <v>1</v>
      </c>
      <c r="C391" s="47"/>
      <c r="D391" s="27"/>
      <c r="E391" s="34"/>
      <c r="F391" s="35">
        <f>SUM(B391:E391)</f>
        <v>1</v>
      </c>
      <c r="G391" s="26"/>
      <c r="H391" s="47"/>
      <c r="I391" s="27"/>
      <c r="J391" s="34"/>
      <c r="K391" s="35">
        <f>SUM(G391:J391)</f>
        <v>0</v>
      </c>
      <c r="L391" s="11">
        <f t="shared" si="247"/>
        <v>1</v>
      </c>
      <c r="M391" s="126">
        <v>44821</v>
      </c>
      <c r="N391" s="32" t="s">
        <v>331</v>
      </c>
      <c r="O391" s="26">
        <v>4</v>
      </c>
      <c r="P391" s="47">
        <v>2</v>
      </c>
      <c r="Q391" s="27">
        <v>1</v>
      </c>
      <c r="R391" s="34">
        <v>2</v>
      </c>
      <c r="S391" s="35">
        <f t="shared" si="252"/>
        <v>9</v>
      </c>
      <c r="T391" s="26"/>
      <c r="U391" s="47">
        <v>2</v>
      </c>
      <c r="V391" s="27">
        <v>1</v>
      </c>
      <c r="W391" s="34"/>
      <c r="X391" s="35">
        <f t="shared" si="253"/>
        <v>3</v>
      </c>
      <c r="Y391" s="11">
        <f t="shared" si="254"/>
        <v>12</v>
      </c>
      <c r="Z391" s="99">
        <v>44838</v>
      </c>
    </row>
    <row r="392" spans="1:27" x14ac:dyDescent="0.15">
      <c r="A392" s="13" t="s">
        <v>41</v>
      </c>
      <c r="B392" s="26"/>
      <c r="C392" s="47"/>
      <c r="D392" s="27"/>
      <c r="E392" s="34"/>
      <c r="F392" s="35">
        <f>SUM(B392:E392)</f>
        <v>0</v>
      </c>
      <c r="G392" s="26"/>
      <c r="H392" s="47">
        <v>1</v>
      </c>
      <c r="I392" s="27"/>
      <c r="J392" s="34"/>
      <c r="K392" s="35">
        <f t="shared" ref="K392:K413" si="255">SUM(G392:J392)</f>
        <v>1</v>
      </c>
      <c r="L392" s="11">
        <f t="shared" si="247"/>
        <v>1</v>
      </c>
      <c r="M392" s="126">
        <v>44824</v>
      </c>
      <c r="N392" s="32" t="s">
        <v>332</v>
      </c>
      <c r="O392" s="66">
        <v>7</v>
      </c>
      <c r="P392" s="67">
        <v>6</v>
      </c>
      <c r="Q392" s="68">
        <v>8</v>
      </c>
      <c r="R392" s="94"/>
      <c r="S392" s="91">
        <f>SUM(O392:R392)</f>
        <v>21</v>
      </c>
      <c r="T392" s="67">
        <v>7</v>
      </c>
      <c r="U392" s="67">
        <v>3</v>
      </c>
      <c r="V392" s="68">
        <v>2</v>
      </c>
      <c r="W392" s="94"/>
      <c r="X392" s="91">
        <f>SUM(T392:W392)</f>
        <v>12</v>
      </c>
      <c r="Y392" s="11">
        <f t="shared" si="254"/>
        <v>33</v>
      </c>
      <c r="Z392" s="99">
        <v>44839</v>
      </c>
    </row>
    <row r="393" spans="1:27" x14ac:dyDescent="0.15">
      <c r="A393" s="13" t="s">
        <v>41</v>
      </c>
      <c r="B393" s="66"/>
      <c r="C393" s="67"/>
      <c r="D393" s="68"/>
      <c r="E393" s="69"/>
      <c r="F393" s="70">
        <f t="shared" ref="F393:F413" si="256">SUM(B393:E393)</f>
        <v>0</v>
      </c>
      <c r="G393" s="66">
        <v>2</v>
      </c>
      <c r="H393" s="67"/>
      <c r="I393" s="68"/>
      <c r="J393" s="69"/>
      <c r="K393" s="70">
        <f t="shared" si="255"/>
        <v>2</v>
      </c>
      <c r="L393" s="11">
        <f t="shared" si="247"/>
        <v>2</v>
      </c>
      <c r="M393" s="126">
        <v>44825</v>
      </c>
      <c r="N393" s="79" t="s">
        <v>333</v>
      </c>
      <c r="O393" s="26">
        <v>5</v>
      </c>
      <c r="P393" s="47">
        <v>5</v>
      </c>
      <c r="Q393" s="27"/>
      <c r="R393" s="34">
        <v>5</v>
      </c>
      <c r="S393" s="35">
        <f t="shared" ref="S393:S395" si="257">SUM(O393:R393)</f>
        <v>15</v>
      </c>
      <c r="T393" s="26"/>
      <c r="U393" s="47"/>
      <c r="V393" s="27"/>
      <c r="W393" s="34">
        <v>5</v>
      </c>
      <c r="X393" s="35">
        <f t="shared" ref="X393:X395" si="258">SUM(T393:W393)</f>
        <v>5</v>
      </c>
      <c r="Y393" s="11">
        <f t="shared" si="254"/>
        <v>20</v>
      </c>
      <c r="Z393" s="99">
        <v>44839</v>
      </c>
    </row>
    <row r="394" spans="1:27" x14ac:dyDescent="0.15">
      <c r="A394" s="13" t="s">
        <v>41</v>
      </c>
      <c r="B394" s="26"/>
      <c r="C394" s="47">
        <v>2</v>
      </c>
      <c r="D394" s="27"/>
      <c r="E394" s="34"/>
      <c r="F394" s="35">
        <f t="shared" si="256"/>
        <v>2</v>
      </c>
      <c r="G394" s="26"/>
      <c r="H394" s="47">
        <v>1</v>
      </c>
      <c r="I394" s="27">
        <v>1</v>
      </c>
      <c r="J394" s="34"/>
      <c r="K394" s="35">
        <f t="shared" si="255"/>
        <v>2</v>
      </c>
      <c r="L394" s="11">
        <f t="shared" si="247"/>
        <v>4</v>
      </c>
      <c r="M394" s="126">
        <v>44830</v>
      </c>
      <c r="N394" s="90" t="s">
        <v>343</v>
      </c>
      <c r="O394" s="26"/>
      <c r="P394" s="47"/>
      <c r="Q394" s="27"/>
      <c r="R394" s="34">
        <v>5</v>
      </c>
      <c r="S394" s="35">
        <f t="shared" si="257"/>
        <v>5</v>
      </c>
      <c r="T394" s="26"/>
      <c r="U394" s="47"/>
      <c r="V394" s="27"/>
      <c r="W394" s="34">
        <v>5</v>
      </c>
      <c r="X394" s="35">
        <f t="shared" si="258"/>
        <v>5</v>
      </c>
      <c r="Y394" s="11">
        <f t="shared" si="254"/>
        <v>10</v>
      </c>
      <c r="Z394" s="99">
        <v>44846</v>
      </c>
    </row>
    <row r="395" spans="1:27" x14ac:dyDescent="0.15">
      <c r="A395" s="32" t="s">
        <v>327</v>
      </c>
      <c r="B395" s="26"/>
      <c r="C395" s="47"/>
      <c r="D395" s="27"/>
      <c r="E395" s="34"/>
      <c r="F395" s="35">
        <f t="shared" si="256"/>
        <v>0</v>
      </c>
      <c r="G395" s="26"/>
      <c r="H395" s="47">
        <v>1</v>
      </c>
      <c r="I395" s="27"/>
      <c r="J395" s="34"/>
      <c r="K395" s="35">
        <f t="shared" si="255"/>
        <v>1</v>
      </c>
      <c r="L395" s="11">
        <f t="shared" si="247"/>
        <v>1</v>
      </c>
      <c r="M395" s="99">
        <v>44833</v>
      </c>
      <c r="N395" s="32" t="s">
        <v>335</v>
      </c>
      <c r="O395" s="26">
        <v>3</v>
      </c>
      <c r="P395" s="47">
        <v>13</v>
      </c>
      <c r="Q395" s="27">
        <v>7</v>
      </c>
      <c r="R395" s="34">
        <v>1</v>
      </c>
      <c r="S395" s="35">
        <f t="shared" si="257"/>
        <v>24</v>
      </c>
      <c r="T395" s="26">
        <v>5</v>
      </c>
      <c r="U395" s="47">
        <v>4</v>
      </c>
      <c r="V395" s="27">
        <v>2</v>
      </c>
      <c r="W395" s="34">
        <v>1</v>
      </c>
      <c r="X395" s="35">
        <f t="shared" si="258"/>
        <v>12</v>
      </c>
      <c r="Y395" s="11">
        <f t="shared" si="254"/>
        <v>36</v>
      </c>
      <c r="Z395" s="99">
        <v>44840</v>
      </c>
    </row>
    <row r="396" spans="1:27" x14ac:dyDescent="0.15">
      <c r="A396" s="79" t="s">
        <v>328</v>
      </c>
      <c r="B396" s="26">
        <v>-2</v>
      </c>
      <c r="C396" s="47"/>
      <c r="D396" s="27"/>
      <c r="E396" s="34">
        <v>-2</v>
      </c>
      <c r="F396" s="35">
        <f t="shared" si="256"/>
        <v>-4</v>
      </c>
      <c r="G396" s="26">
        <v>-3</v>
      </c>
      <c r="H396" s="47"/>
      <c r="I396" s="27">
        <v>-5</v>
      </c>
      <c r="J396" s="34">
        <v>-2</v>
      </c>
      <c r="K396" s="35">
        <f t="shared" si="255"/>
        <v>-10</v>
      </c>
      <c r="L396" s="11">
        <f t="shared" si="247"/>
        <v>-14</v>
      </c>
      <c r="M396" s="126">
        <v>44832</v>
      </c>
      <c r="N396" s="32" t="s">
        <v>336</v>
      </c>
      <c r="O396" s="26">
        <v>5</v>
      </c>
      <c r="P396" s="47">
        <v>2</v>
      </c>
      <c r="Q396" s="27"/>
      <c r="R396" s="50">
        <v>1</v>
      </c>
      <c r="S396" s="9">
        <f>SUM(O396:R396)</f>
        <v>8</v>
      </c>
      <c r="T396" s="47"/>
      <c r="U396" s="47">
        <v>1</v>
      </c>
      <c r="V396" s="27"/>
      <c r="W396" s="50"/>
      <c r="X396" s="9">
        <f>SUM(T396:W396)</f>
        <v>1</v>
      </c>
      <c r="Y396" s="11">
        <f t="shared" si="254"/>
        <v>9</v>
      </c>
      <c r="Z396" s="99">
        <v>44841</v>
      </c>
      <c r="AA396" s="58"/>
    </row>
    <row r="397" spans="1:27" x14ac:dyDescent="0.15">
      <c r="A397" s="13" t="s">
        <v>41</v>
      </c>
      <c r="B397" s="26">
        <v>1</v>
      </c>
      <c r="C397" s="47">
        <v>1</v>
      </c>
      <c r="D397" s="27">
        <v>1</v>
      </c>
      <c r="E397" s="34">
        <v>1</v>
      </c>
      <c r="F397" s="35">
        <f t="shared" si="256"/>
        <v>4</v>
      </c>
      <c r="G397" s="26"/>
      <c r="H397" s="47"/>
      <c r="I397" s="27"/>
      <c r="J397" s="34"/>
      <c r="K397" s="35">
        <f t="shared" si="255"/>
        <v>0</v>
      </c>
      <c r="L397" s="11">
        <f t="shared" si="247"/>
        <v>4</v>
      </c>
      <c r="M397" s="126">
        <v>44845</v>
      </c>
      <c r="N397" s="32" t="s">
        <v>338</v>
      </c>
      <c r="O397" s="26">
        <v>6</v>
      </c>
      <c r="P397" s="47">
        <v>6</v>
      </c>
      <c r="Q397" s="27"/>
      <c r="R397" s="34">
        <v>1</v>
      </c>
      <c r="S397" s="35">
        <f t="shared" ref="S397:S409" si="259">SUM(O397:R397)</f>
        <v>13</v>
      </c>
      <c r="T397" s="26">
        <v>2</v>
      </c>
      <c r="U397" s="47">
        <v>3</v>
      </c>
      <c r="V397" s="27"/>
      <c r="W397" s="34">
        <v>2</v>
      </c>
      <c r="X397" s="35">
        <f t="shared" ref="X397:X409" si="260">SUM(T397:W397)</f>
        <v>7</v>
      </c>
      <c r="Y397" s="11">
        <f t="shared" si="254"/>
        <v>20</v>
      </c>
      <c r="Z397" s="99">
        <v>44845</v>
      </c>
    </row>
    <row r="398" spans="1:27" x14ac:dyDescent="0.15">
      <c r="A398" s="32" t="s">
        <v>304</v>
      </c>
      <c r="B398" s="26"/>
      <c r="C398" s="47"/>
      <c r="D398" s="27"/>
      <c r="E398" s="34"/>
      <c r="F398" s="35">
        <f t="shared" ref="F398:F400" si="261">SUM(B398:E398)</f>
        <v>0</v>
      </c>
      <c r="G398" s="26"/>
      <c r="H398" s="47"/>
      <c r="I398" s="27"/>
      <c r="J398" s="34">
        <v>8</v>
      </c>
      <c r="K398" s="35">
        <f t="shared" ref="K398:K400" si="262">SUM(G398:J398)</f>
        <v>8</v>
      </c>
      <c r="L398" s="11">
        <f t="shared" ref="L398:L400" si="263">F398+K398</f>
        <v>8</v>
      </c>
      <c r="M398" s="99">
        <v>44848</v>
      </c>
      <c r="N398" s="32" t="s">
        <v>339</v>
      </c>
      <c r="O398" s="26">
        <v>2</v>
      </c>
      <c r="P398" s="47">
        <v>10</v>
      </c>
      <c r="Q398" s="27"/>
      <c r="R398" s="34">
        <v>3</v>
      </c>
      <c r="S398" s="35">
        <f t="shared" si="259"/>
        <v>15</v>
      </c>
      <c r="T398" s="26"/>
      <c r="U398" s="47">
        <v>7</v>
      </c>
      <c r="V398" s="27">
        <v>1</v>
      </c>
      <c r="W398" s="34">
        <v>2</v>
      </c>
      <c r="X398" s="35">
        <f t="shared" si="260"/>
        <v>10</v>
      </c>
      <c r="Y398" s="11">
        <f t="shared" si="254"/>
        <v>25</v>
      </c>
      <c r="Z398" s="99">
        <v>44846</v>
      </c>
    </row>
    <row r="399" spans="1:27" x14ac:dyDescent="0.15">
      <c r="A399" s="32" t="s">
        <v>353</v>
      </c>
      <c r="B399" s="26"/>
      <c r="C399" s="47"/>
      <c r="D399" s="27"/>
      <c r="E399" s="34">
        <v>1</v>
      </c>
      <c r="F399" s="35">
        <f t="shared" si="261"/>
        <v>1</v>
      </c>
      <c r="G399" s="26"/>
      <c r="H399" s="47"/>
      <c r="I399" s="27"/>
      <c r="J399" s="34"/>
      <c r="K399" s="35">
        <f t="shared" si="262"/>
        <v>0</v>
      </c>
      <c r="L399" s="11">
        <f t="shared" si="263"/>
        <v>1</v>
      </c>
      <c r="M399" s="99">
        <v>44851</v>
      </c>
      <c r="N399" s="79" t="s">
        <v>340</v>
      </c>
      <c r="O399" s="26">
        <v>5</v>
      </c>
      <c r="P399" s="47"/>
      <c r="Q399" s="27"/>
      <c r="R399" s="34"/>
      <c r="S399" s="35">
        <f t="shared" si="259"/>
        <v>5</v>
      </c>
      <c r="T399" s="26"/>
      <c r="U399" s="47"/>
      <c r="V399" s="27"/>
      <c r="W399" s="34"/>
      <c r="X399" s="35">
        <f t="shared" si="260"/>
        <v>0</v>
      </c>
      <c r="Y399" s="11">
        <f t="shared" si="254"/>
        <v>5</v>
      </c>
      <c r="Z399" s="99">
        <v>44848</v>
      </c>
    </row>
    <row r="400" spans="1:27" x14ac:dyDescent="0.15">
      <c r="A400" s="32" t="s">
        <v>355</v>
      </c>
      <c r="B400" s="26">
        <v>2</v>
      </c>
      <c r="C400" s="47">
        <v>1</v>
      </c>
      <c r="D400" s="27">
        <v>2</v>
      </c>
      <c r="E400" s="34"/>
      <c r="F400" s="35">
        <f t="shared" si="261"/>
        <v>5</v>
      </c>
      <c r="G400" s="26"/>
      <c r="H400" s="47"/>
      <c r="I400" s="27">
        <v>1</v>
      </c>
      <c r="J400" s="34"/>
      <c r="K400" s="35">
        <f t="shared" si="262"/>
        <v>1</v>
      </c>
      <c r="L400" s="11">
        <f t="shared" si="263"/>
        <v>6</v>
      </c>
      <c r="M400" s="99">
        <v>44852</v>
      </c>
      <c r="N400" s="32" t="s">
        <v>344</v>
      </c>
      <c r="O400" s="26">
        <v>7</v>
      </c>
      <c r="P400" s="47">
        <v>10</v>
      </c>
      <c r="Q400" s="27">
        <v>4</v>
      </c>
      <c r="R400" s="34">
        <v>2</v>
      </c>
      <c r="S400" s="35">
        <f t="shared" si="259"/>
        <v>23</v>
      </c>
      <c r="T400" s="26">
        <v>1</v>
      </c>
      <c r="U400" s="47"/>
      <c r="V400" s="27">
        <v>3</v>
      </c>
      <c r="W400" s="34"/>
      <c r="X400" s="35">
        <f t="shared" si="260"/>
        <v>4</v>
      </c>
      <c r="Y400" s="11">
        <f t="shared" si="254"/>
        <v>27</v>
      </c>
      <c r="Z400" s="99">
        <v>44847</v>
      </c>
    </row>
    <row r="401" spans="1:28" x14ac:dyDescent="0.15">
      <c r="A401" s="13" t="s">
        <v>41</v>
      </c>
      <c r="B401" s="26"/>
      <c r="C401" s="47"/>
      <c r="D401" s="27"/>
      <c r="E401" s="34">
        <v>1</v>
      </c>
      <c r="F401" s="35">
        <f t="shared" si="256"/>
        <v>1</v>
      </c>
      <c r="G401" s="26"/>
      <c r="H401" s="47"/>
      <c r="I401" s="27"/>
      <c r="J401" s="34"/>
      <c r="K401" s="35">
        <f t="shared" si="255"/>
        <v>0</v>
      </c>
      <c r="L401" s="11">
        <f t="shared" si="247"/>
        <v>1</v>
      </c>
      <c r="M401" s="126">
        <v>44851</v>
      </c>
      <c r="N401" s="90" t="s">
        <v>358</v>
      </c>
      <c r="O401" s="26"/>
      <c r="P401" s="47"/>
      <c r="Q401" s="27"/>
      <c r="R401" s="34"/>
      <c r="S401" s="35">
        <f t="shared" si="259"/>
        <v>0</v>
      </c>
      <c r="T401" s="26">
        <v>5</v>
      </c>
      <c r="U401" s="47"/>
      <c r="V401" s="27"/>
      <c r="W401" s="34"/>
      <c r="X401" s="35">
        <f t="shared" si="260"/>
        <v>5</v>
      </c>
      <c r="Y401" s="11">
        <f t="shared" si="254"/>
        <v>5</v>
      </c>
      <c r="Z401" s="99">
        <v>44853</v>
      </c>
      <c r="AA401" s="58"/>
      <c r="AB401" s="58"/>
    </row>
    <row r="402" spans="1:28" x14ac:dyDescent="0.15">
      <c r="A402" s="13" t="s">
        <v>41</v>
      </c>
      <c r="B402" s="26"/>
      <c r="C402" s="47"/>
      <c r="D402" s="27"/>
      <c r="E402" s="34">
        <v>1</v>
      </c>
      <c r="F402" s="35">
        <f t="shared" si="256"/>
        <v>1</v>
      </c>
      <c r="G402" s="26"/>
      <c r="H402" s="47"/>
      <c r="I402" s="27"/>
      <c r="J402" s="34"/>
      <c r="K402" s="35">
        <f t="shared" si="255"/>
        <v>0</v>
      </c>
      <c r="L402" s="11">
        <f t="shared" si="247"/>
        <v>1</v>
      </c>
      <c r="M402" s="126">
        <v>44854</v>
      </c>
      <c r="N402" s="12" t="s">
        <v>345</v>
      </c>
      <c r="O402" s="26"/>
      <c r="P402" s="47"/>
      <c r="Q402" s="27"/>
      <c r="R402" s="34"/>
      <c r="S402" s="35">
        <f t="shared" si="259"/>
        <v>0</v>
      </c>
      <c r="T402" s="26">
        <v>40</v>
      </c>
      <c r="U402" s="47">
        <v>80</v>
      </c>
      <c r="V402" s="27">
        <v>40</v>
      </c>
      <c r="W402" s="34">
        <v>30</v>
      </c>
      <c r="X402" s="35">
        <f t="shared" si="260"/>
        <v>190</v>
      </c>
      <c r="Y402" s="11">
        <f t="shared" si="254"/>
        <v>190</v>
      </c>
      <c r="Z402" s="99">
        <v>44848</v>
      </c>
      <c r="AA402" s="58"/>
    </row>
    <row r="403" spans="1:28" x14ac:dyDescent="0.15">
      <c r="A403" s="13"/>
      <c r="B403" s="26"/>
      <c r="C403" s="47"/>
      <c r="D403" s="27"/>
      <c r="E403" s="34"/>
      <c r="F403" s="35">
        <f t="shared" si="256"/>
        <v>0</v>
      </c>
      <c r="G403" s="26"/>
      <c r="H403" s="47"/>
      <c r="I403" s="27"/>
      <c r="J403" s="34"/>
      <c r="K403" s="35">
        <f t="shared" si="255"/>
        <v>0</v>
      </c>
      <c r="L403" s="11">
        <f t="shared" si="247"/>
        <v>0</v>
      </c>
      <c r="N403" s="32" t="s">
        <v>351</v>
      </c>
      <c r="O403" s="26"/>
      <c r="P403" s="47">
        <v>5</v>
      </c>
      <c r="Q403" s="27"/>
      <c r="R403" s="34">
        <v>1</v>
      </c>
      <c r="S403" s="35">
        <f t="shared" si="259"/>
        <v>6</v>
      </c>
      <c r="T403" s="26"/>
      <c r="U403" s="47">
        <v>1</v>
      </c>
      <c r="V403" s="27"/>
      <c r="W403" s="34">
        <v>1</v>
      </c>
      <c r="X403" s="35">
        <f t="shared" si="260"/>
        <v>2</v>
      </c>
      <c r="Y403" s="11">
        <f t="shared" si="254"/>
        <v>8</v>
      </c>
      <c r="Z403" s="99">
        <v>44848</v>
      </c>
    </row>
    <row r="404" spans="1:28" x14ac:dyDescent="0.15">
      <c r="A404" s="15"/>
      <c r="B404" s="26"/>
      <c r="C404" s="47"/>
      <c r="D404" s="27"/>
      <c r="E404" s="34"/>
      <c r="F404" s="35">
        <f t="shared" si="256"/>
        <v>0</v>
      </c>
      <c r="G404" s="26"/>
      <c r="H404" s="47"/>
      <c r="I404" s="27"/>
      <c r="J404" s="34"/>
      <c r="K404" s="35">
        <f t="shared" si="255"/>
        <v>0</v>
      </c>
      <c r="L404" s="11">
        <f t="shared" si="247"/>
        <v>0</v>
      </c>
      <c r="N404" s="15" t="s">
        <v>34</v>
      </c>
      <c r="O404" s="26"/>
      <c r="P404" s="47"/>
      <c r="Q404" s="27"/>
      <c r="R404" s="34"/>
      <c r="S404" s="35">
        <f t="shared" si="259"/>
        <v>0</v>
      </c>
      <c r="T404" s="26"/>
      <c r="U404" s="47">
        <v>5</v>
      </c>
      <c r="V404" s="27"/>
      <c r="W404" s="34"/>
      <c r="X404" s="35">
        <f t="shared" si="260"/>
        <v>5</v>
      </c>
      <c r="Y404" s="11">
        <f t="shared" si="254"/>
        <v>5</v>
      </c>
      <c r="Z404" s="99">
        <v>44848</v>
      </c>
    </row>
    <row r="405" spans="1:28" x14ac:dyDescent="0.15">
      <c r="A405" s="13"/>
      <c r="B405" s="26"/>
      <c r="C405" s="47"/>
      <c r="D405" s="27"/>
      <c r="E405" s="34"/>
      <c r="F405" s="35">
        <f t="shared" si="256"/>
        <v>0</v>
      </c>
      <c r="G405" s="26"/>
      <c r="H405" s="47"/>
      <c r="I405" s="27"/>
      <c r="J405" s="34"/>
      <c r="K405" s="35">
        <f t="shared" si="255"/>
        <v>0</v>
      </c>
      <c r="L405" s="11">
        <f t="shared" si="247"/>
        <v>0</v>
      </c>
      <c r="N405" s="12" t="s">
        <v>354</v>
      </c>
      <c r="O405" s="26"/>
      <c r="P405" s="47"/>
      <c r="Q405" s="27"/>
      <c r="R405" s="34"/>
      <c r="S405" s="35">
        <f t="shared" si="259"/>
        <v>0</v>
      </c>
      <c r="T405" s="26">
        <v>20</v>
      </c>
      <c r="U405" s="47">
        <v>20</v>
      </c>
      <c r="V405" s="27">
        <v>20</v>
      </c>
      <c r="W405" s="34">
        <v>70</v>
      </c>
      <c r="X405" s="35">
        <f t="shared" si="260"/>
        <v>130</v>
      </c>
      <c r="Y405" s="11">
        <f t="shared" si="254"/>
        <v>130</v>
      </c>
      <c r="Z405" s="99">
        <v>44851</v>
      </c>
    </row>
    <row r="406" spans="1:28" x14ac:dyDescent="0.15">
      <c r="A406" s="15"/>
      <c r="B406" s="26"/>
      <c r="C406" s="47"/>
      <c r="D406" s="27"/>
      <c r="E406" s="34"/>
      <c r="F406" s="35">
        <f t="shared" si="256"/>
        <v>0</v>
      </c>
      <c r="G406" s="26"/>
      <c r="H406" s="47"/>
      <c r="I406" s="27"/>
      <c r="J406" s="34"/>
      <c r="K406" s="35">
        <f t="shared" si="255"/>
        <v>0</v>
      </c>
      <c r="L406" s="11">
        <f t="shared" si="247"/>
        <v>0</v>
      </c>
      <c r="N406" s="32" t="s">
        <v>359</v>
      </c>
      <c r="O406" s="26">
        <v>3</v>
      </c>
      <c r="P406" s="47"/>
      <c r="Q406" s="27">
        <v>1</v>
      </c>
      <c r="R406" s="34"/>
      <c r="S406" s="35">
        <f t="shared" si="259"/>
        <v>4</v>
      </c>
      <c r="T406" s="26"/>
      <c r="U406" s="47">
        <v>3</v>
      </c>
      <c r="V406" s="27">
        <v>1</v>
      </c>
      <c r="W406" s="34"/>
      <c r="X406" s="35">
        <f t="shared" si="260"/>
        <v>4</v>
      </c>
      <c r="Y406" s="11">
        <f t="shared" si="254"/>
        <v>8</v>
      </c>
      <c r="Z406" s="99">
        <v>44853</v>
      </c>
    </row>
    <row r="407" spans="1:28" x14ac:dyDescent="0.15">
      <c r="A407" s="15"/>
      <c r="B407" s="26"/>
      <c r="C407" s="47"/>
      <c r="D407" s="27"/>
      <c r="E407" s="34"/>
      <c r="F407" s="35">
        <f t="shared" si="256"/>
        <v>0</v>
      </c>
      <c r="G407" s="26"/>
      <c r="H407" s="47"/>
      <c r="I407" s="27"/>
      <c r="J407" s="34"/>
      <c r="K407" s="35">
        <f t="shared" si="255"/>
        <v>0</v>
      </c>
      <c r="L407" s="11">
        <f t="shared" si="247"/>
        <v>0</v>
      </c>
      <c r="N407" s="32" t="s">
        <v>360</v>
      </c>
      <c r="O407" s="26"/>
      <c r="P407" s="47">
        <v>4</v>
      </c>
      <c r="Q407" s="27">
        <v>1</v>
      </c>
      <c r="R407" s="34"/>
      <c r="S407" s="35">
        <f t="shared" si="259"/>
        <v>5</v>
      </c>
      <c r="T407" s="26"/>
      <c r="U407" s="47"/>
      <c r="V407" s="27">
        <v>2</v>
      </c>
      <c r="W407" s="34"/>
      <c r="X407" s="35">
        <f t="shared" si="260"/>
        <v>2</v>
      </c>
      <c r="Y407" s="11">
        <f t="shared" si="254"/>
        <v>7</v>
      </c>
      <c r="Z407" s="99">
        <v>44854</v>
      </c>
      <c r="AA407" s="58"/>
    </row>
    <row r="408" spans="1:28" x14ac:dyDescent="0.15">
      <c r="A408" s="13"/>
      <c r="B408" s="26"/>
      <c r="C408" s="47"/>
      <c r="D408" s="27"/>
      <c r="E408" s="34"/>
      <c r="F408" s="35">
        <f t="shared" si="256"/>
        <v>0</v>
      </c>
      <c r="G408" s="26"/>
      <c r="H408" s="47"/>
      <c r="I408" s="27"/>
      <c r="J408" s="34"/>
      <c r="K408" s="35">
        <f t="shared" si="255"/>
        <v>0</v>
      </c>
      <c r="L408" s="11">
        <f t="shared" si="247"/>
        <v>0</v>
      </c>
      <c r="N408" s="32" t="s">
        <v>361</v>
      </c>
      <c r="O408" s="26">
        <v>3</v>
      </c>
      <c r="P408" s="47">
        <v>1</v>
      </c>
      <c r="Q408" s="27"/>
      <c r="R408" s="34"/>
      <c r="S408" s="35">
        <f t="shared" si="259"/>
        <v>4</v>
      </c>
      <c r="T408" s="26">
        <v>2</v>
      </c>
      <c r="U408" s="47">
        <v>1</v>
      </c>
      <c r="V408" s="27"/>
      <c r="W408" s="34"/>
      <c r="X408" s="35">
        <f t="shared" si="260"/>
        <v>3</v>
      </c>
      <c r="Y408" s="11">
        <f t="shared" si="254"/>
        <v>7</v>
      </c>
      <c r="Z408" s="99">
        <v>44855</v>
      </c>
    </row>
    <row r="409" spans="1:28" x14ac:dyDescent="0.15">
      <c r="A409" s="32"/>
      <c r="B409" s="26"/>
      <c r="C409" s="47"/>
      <c r="D409" s="27"/>
      <c r="E409" s="34"/>
      <c r="F409" s="35">
        <f t="shared" si="256"/>
        <v>0</v>
      </c>
      <c r="G409" s="26"/>
      <c r="H409" s="47"/>
      <c r="I409" s="27"/>
      <c r="J409" s="34"/>
      <c r="K409" s="35">
        <f t="shared" si="255"/>
        <v>0</v>
      </c>
      <c r="L409" s="11">
        <f t="shared" si="247"/>
        <v>0</v>
      </c>
      <c r="N409" s="15" t="s">
        <v>34</v>
      </c>
      <c r="O409" s="26"/>
      <c r="P409" s="47"/>
      <c r="Q409" s="27"/>
      <c r="R409" s="34"/>
      <c r="S409" s="35">
        <f t="shared" si="259"/>
        <v>0</v>
      </c>
      <c r="T409" s="26"/>
      <c r="U409" s="47"/>
      <c r="V409" s="27"/>
      <c r="W409" s="34">
        <v>8</v>
      </c>
      <c r="X409" s="35">
        <f t="shared" si="260"/>
        <v>8</v>
      </c>
      <c r="Y409" s="108">
        <f t="shared" si="254"/>
        <v>8</v>
      </c>
      <c r="Z409" s="99">
        <v>44858</v>
      </c>
    </row>
    <row r="410" spans="1:28" x14ac:dyDescent="0.15">
      <c r="A410" s="32"/>
      <c r="B410" s="26"/>
      <c r="C410" s="47"/>
      <c r="D410" s="27"/>
      <c r="E410" s="34"/>
      <c r="F410" s="35">
        <f t="shared" si="256"/>
        <v>0</v>
      </c>
      <c r="G410" s="26"/>
      <c r="H410" s="47"/>
      <c r="I410" s="27"/>
      <c r="J410" s="34"/>
      <c r="K410" s="35">
        <f t="shared" si="255"/>
        <v>0</v>
      </c>
      <c r="L410" s="11">
        <f t="shared" si="247"/>
        <v>0</v>
      </c>
      <c r="N410" s="32" t="s">
        <v>362</v>
      </c>
      <c r="O410" s="26">
        <v>63</v>
      </c>
      <c r="P410" s="47">
        <v>89</v>
      </c>
      <c r="Q410" s="27">
        <v>38</v>
      </c>
      <c r="R410" s="34">
        <v>23</v>
      </c>
      <c r="S410" s="35">
        <f t="shared" ref="S410" si="264">SUM(O410:R410)</f>
        <v>213</v>
      </c>
      <c r="T410" s="26">
        <v>26</v>
      </c>
      <c r="U410" s="47">
        <v>29</v>
      </c>
      <c r="V410" s="27">
        <v>18</v>
      </c>
      <c r="W410" s="34">
        <v>8</v>
      </c>
      <c r="X410" s="35">
        <f t="shared" ref="X410:X415" si="265">SUM(T410:W410)</f>
        <v>81</v>
      </c>
      <c r="Y410" s="108">
        <f t="shared" si="248"/>
        <v>294</v>
      </c>
      <c r="Z410" s="99">
        <v>44858</v>
      </c>
    </row>
    <row r="411" spans="1:28" x14ac:dyDescent="0.15">
      <c r="A411" s="12"/>
      <c r="B411" s="26"/>
      <c r="C411" s="47"/>
      <c r="D411" s="27"/>
      <c r="E411" s="34"/>
      <c r="F411" s="35">
        <f t="shared" si="256"/>
        <v>0</v>
      </c>
      <c r="G411" s="26"/>
      <c r="H411" s="47"/>
      <c r="I411" s="27"/>
      <c r="J411" s="34"/>
      <c r="K411" s="35">
        <f t="shared" si="255"/>
        <v>0</v>
      </c>
      <c r="L411" s="11">
        <f t="shared" si="247"/>
        <v>0</v>
      </c>
      <c r="N411" s="12" t="s">
        <v>290</v>
      </c>
      <c r="O411" s="26"/>
      <c r="P411" s="47"/>
      <c r="Q411" s="27"/>
      <c r="R411" s="34"/>
      <c r="S411" s="35">
        <f t="shared" ref="S411:S412" si="266">SUM(O411:R411)</f>
        <v>0</v>
      </c>
      <c r="T411" s="26"/>
      <c r="U411" s="47"/>
      <c r="V411" s="27"/>
      <c r="W411" s="34"/>
      <c r="X411" s="35">
        <f t="shared" ref="X411:X412" si="267">SUM(T411:W411)</f>
        <v>0</v>
      </c>
      <c r="Y411" s="108">
        <f t="shared" ref="Y411:Y412" si="268">S411+X411</f>
        <v>0</v>
      </c>
      <c r="Z411" s="101" t="s">
        <v>291</v>
      </c>
    </row>
    <row r="412" spans="1:28" x14ac:dyDescent="0.15">
      <c r="A412" s="79"/>
      <c r="B412" s="26"/>
      <c r="C412" s="47"/>
      <c r="D412" s="27"/>
      <c r="E412" s="34"/>
      <c r="F412" s="35">
        <f t="shared" si="256"/>
        <v>0</v>
      </c>
      <c r="G412" s="26"/>
      <c r="H412" s="47"/>
      <c r="I412" s="27"/>
      <c r="J412" s="34"/>
      <c r="K412" s="35">
        <f t="shared" si="255"/>
        <v>0</v>
      </c>
      <c r="L412" s="11">
        <f t="shared" si="247"/>
        <v>0</v>
      </c>
      <c r="N412" s="153" t="s">
        <v>322</v>
      </c>
      <c r="O412" s="154"/>
      <c r="P412" s="155"/>
      <c r="Q412" s="156"/>
      <c r="R412" s="157"/>
      <c r="S412" s="158">
        <f t="shared" si="266"/>
        <v>0</v>
      </c>
      <c r="T412" s="154"/>
      <c r="U412" s="155"/>
      <c r="V412" s="156"/>
      <c r="W412" s="157"/>
      <c r="X412" s="158">
        <f t="shared" si="267"/>
        <v>0</v>
      </c>
      <c r="Y412" s="159">
        <f t="shared" si="268"/>
        <v>0</v>
      </c>
      <c r="Z412" s="160" t="s">
        <v>318</v>
      </c>
    </row>
    <row r="413" spans="1:28" x14ac:dyDescent="0.15">
      <c r="A413" s="57"/>
      <c r="B413" s="26"/>
      <c r="C413" s="47"/>
      <c r="D413" s="27"/>
      <c r="E413" s="34"/>
      <c r="F413" s="35">
        <f t="shared" si="256"/>
        <v>0</v>
      </c>
      <c r="G413" s="26"/>
      <c r="H413" s="47"/>
      <c r="I413" s="27"/>
      <c r="J413" s="34"/>
      <c r="K413" s="35">
        <f t="shared" si="255"/>
        <v>0</v>
      </c>
      <c r="L413" s="11">
        <f t="shared" si="247"/>
        <v>0</v>
      </c>
      <c r="N413" s="153" t="s">
        <v>266</v>
      </c>
      <c r="O413" s="154"/>
      <c r="P413" s="155"/>
      <c r="Q413" s="156"/>
      <c r="R413" s="157"/>
      <c r="S413" s="158">
        <f>SUM(O413:R413)</f>
        <v>0</v>
      </c>
      <c r="T413" s="154"/>
      <c r="U413" s="155"/>
      <c r="V413" s="156"/>
      <c r="W413" s="157"/>
      <c r="X413" s="158">
        <f t="shared" ref="X413:X414" si="269">SUM(T413:W413)</f>
        <v>0</v>
      </c>
      <c r="Y413" s="159">
        <f t="shared" ref="Y413:Y414" si="270">S413+X413</f>
        <v>0</v>
      </c>
      <c r="Z413" s="101"/>
    </row>
    <row r="414" spans="1:28" ht="14.25" thickBot="1" x14ac:dyDescent="0.2">
      <c r="A414" s="135"/>
      <c r="B414" s="62"/>
      <c r="C414" s="63"/>
      <c r="D414" s="64"/>
      <c r="E414" s="65"/>
      <c r="F414" s="120">
        <f t="shared" ref="F414" si="271">SUM(B414:E414)</f>
        <v>0</v>
      </c>
      <c r="G414" s="62"/>
      <c r="H414" s="63"/>
      <c r="I414" s="64"/>
      <c r="J414" s="65"/>
      <c r="K414" s="120">
        <f t="shared" ref="K414" si="272">SUM(G414:J414)</f>
        <v>0</v>
      </c>
      <c r="L414" s="121">
        <f t="shared" ref="L414" si="273">F414+K414</f>
        <v>0</v>
      </c>
      <c r="N414" s="135" t="s">
        <v>334</v>
      </c>
      <c r="O414" s="169"/>
      <c r="P414" s="170"/>
      <c r="Q414" s="171"/>
      <c r="R414" s="172"/>
      <c r="S414" s="120">
        <f>SUM(O414:R414)</f>
        <v>0</v>
      </c>
      <c r="T414" s="62"/>
      <c r="U414" s="63"/>
      <c r="V414" s="64"/>
      <c r="W414" s="65"/>
      <c r="X414" s="180">
        <f t="shared" si="269"/>
        <v>0</v>
      </c>
      <c r="Y414" s="121">
        <f t="shared" si="270"/>
        <v>0</v>
      </c>
      <c r="Z414" s="101" t="s">
        <v>265</v>
      </c>
    </row>
    <row r="415" spans="1:28" ht="14.25" thickBot="1" x14ac:dyDescent="0.2">
      <c r="A415" s="133" t="s">
        <v>10</v>
      </c>
      <c r="B415" s="38">
        <f>SUM(B390:B414)</f>
        <v>2</v>
      </c>
      <c r="C415" s="48">
        <f>SUM(C390:C414)</f>
        <v>6</v>
      </c>
      <c r="D415" s="39">
        <f>SUM(D390:D414)</f>
        <v>3</v>
      </c>
      <c r="E415" s="40">
        <f>SUM(E390:E414)</f>
        <v>2</v>
      </c>
      <c r="F415" s="118">
        <f>SUM(B415:E415)</f>
        <v>13</v>
      </c>
      <c r="G415" s="38">
        <f>SUM(G390:G414)</f>
        <v>-1</v>
      </c>
      <c r="H415" s="48">
        <f>SUM(H390:H414)</f>
        <v>3</v>
      </c>
      <c r="I415" s="39">
        <f>SUM(I390:I414)</f>
        <v>-3</v>
      </c>
      <c r="J415" s="40">
        <f>SUM(J390:J414)</f>
        <v>6</v>
      </c>
      <c r="K415" s="118">
        <f>SUM(G415:J415)</f>
        <v>5</v>
      </c>
      <c r="L415" s="119">
        <f t="shared" si="247"/>
        <v>18</v>
      </c>
      <c r="N415" s="133" t="s">
        <v>10</v>
      </c>
      <c r="O415" s="38">
        <f>SUM(O390:O414)</f>
        <v>116</v>
      </c>
      <c r="P415" s="48">
        <f>SUM(P390:P414)</f>
        <v>158</v>
      </c>
      <c r="Q415" s="39">
        <f>SUM(Q390:Q414)</f>
        <v>63</v>
      </c>
      <c r="R415" s="40">
        <f>SUM(R390:R414)</f>
        <v>47</v>
      </c>
      <c r="S415" s="118">
        <f t="shared" ref="S415" si="274">SUM(O415:R415)</f>
        <v>384</v>
      </c>
      <c r="T415" s="38">
        <f>SUM(T390:T414)</f>
        <v>110</v>
      </c>
      <c r="U415" s="48">
        <f>SUM(U390:U414)</f>
        <v>161</v>
      </c>
      <c r="V415" s="39">
        <f>SUM(V390:V414)</f>
        <v>91</v>
      </c>
      <c r="W415" s="40">
        <f>SUM(W390:W414)</f>
        <v>133</v>
      </c>
      <c r="X415" s="118">
        <f t="shared" si="265"/>
        <v>495</v>
      </c>
      <c r="Y415" s="119">
        <f t="shared" si="248"/>
        <v>879</v>
      </c>
    </row>
    <row r="416" spans="1:28" ht="14.25" thickBot="1" x14ac:dyDescent="0.2">
      <c r="A416" s="22" t="s">
        <v>11</v>
      </c>
      <c r="B416" s="41">
        <f>B389-B415</f>
        <v>5</v>
      </c>
      <c r="C416" s="49">
        <f>C389-C415</f>
        <v>3</v>
      </c>
      <c r="D416" s="42">
        <f t="shared" ref="D416:K416" si="275">D389-D415</f>
        <v>7</v>
      </c>
      <c r="E416" s="43">
        <f t="shared" si="275"/>
        <v>3</v>
      </c>
      <c r="F416" s="61">
        <f t="shared" si="275"/>
        <v>14</v>
      </c>
      <c r="G416" s="41">
        <f t="shared" si="275"/>
        <v>6</v>
      </c>
      <c r="H416" s="49">
        <f t="shared" si="275"/>
        <v>7</v>
      </c>
      <c r="I416" s="42">
        <f t="shared" si="275"/>
        <v>10</v>
      </c>
      <c r="J416" s="43">
        <f t="shared" si="275"/>
        <v>0</v>
      </c>
      <c r="K416" s="61">
        <f t="shared" si="275"/>
        <v>23</v>
      </c>
      <c r="L416" s="21">
        <f t="shared" si="247"/>
        <v>37</v>
      </c>
      <c r="N416" s="17" t="s">
        <v>11</v>
      </c>
      <c r="O416" s="41">
        <f>O389-O415</f>
        <v>37</v>
      </c>
      <c r="P416" s="49">
        <f t="shared" ref="P416:X416" si="276">P389-P415</f>
        <v>111</v>
      </c>
      <c r="Q416" s="42">
        <f t="shared" si="276"/>
        <v>88</v>
      </c>
      <c r="R416" s="43">
        <f t="shared" si="276"/>
        <v>82</v>
      </c>
      <c r="S416" s="61">
        <f t="shared" si="276"/>
        <v>318</v>
      </c>
      <c r="T416" s="41">
        <f t="shared" si="276"/>
        <v>152</v>
      </c>
      <c r="U416" s="49">
        <f t="shared" si="276"/>
        <v>214</v>
      </c>
      <c r="V416" s="42">
        <f t="shared" si="276"/>
        <v>118</v>
      </c>
      <c r="W416" s="43">
        <f t="shared" si="276"/>
        <v>0</v>
      </c>
      <c r="X416" s="61">
        <f t="shared" si="276"/>
        <v>484</v>
      </c>
      <c r="Y416" s="21">
        <f t="shared" si="248"/>
        <v>802</v>
      </c>
    </row>
    <row r="419" spans="1:27" ht="19.5" thickBot="1" x14ac:dyDescent="0.25">
      <c r="A419" s="2" t="s">
        <v>106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105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7" ht="14.25" thickBot="1" x14ac:dyDescent="0.2">
      <c r="A420" s="5" t="s">
        <v>0</v>
      </c>
      <c r="B420" s="342" t="s">
        <v>18</v>
      </c>
      <c r="C420" s="350"/>
      <c r="D420" s="350"/>
      <c r="E420" s="350"/>
      <c r="F420" s="351"/>
      <c r="G420" s="345" t="s">
        <v>12</v>
      </c>
      <c r="H420" s="352"/>
      <c r="I420" s="352"/>
      <c r="J420" s="352"/>
      <c r="K420" s="353"/>
      <c r="L420" s="354" t="s">
        <v>1</v>
      </c>
      <c r="N420" s="5" t="s">
        <v>0</v>
      </c>
      <c r="O420" s="342" t="s">
        <v>18</v>
      </c>
      <c r="P420" s="350"/>
      <c r="Q420" s="350"/>
      <c r="R420" s="350"/>
      <c r="S420" s="351"/>
      <c r="T420" s="345" t="s">
        <v>12</v>
      </c>
      <c r="U420" s="352"/>
      <c r="V420" s="352"/>
      <c r="W420" s="352"/>
      <c r="X420" s="353"/>
      <c r="Y420" s="354" t="s">
        <v>1</v>
      </c>
    </row>
    <row r="421" spans="1:27" ht="14.25" thickBot="1" x14ac:dyDescent="0.2">
      <c r="A421" s="5" t="s">
        <v>2</v>
      </c>
      <c r="B421" s="3" t="s">
        <v>13</v>
      </c>
      <c r="C421" s="44" t="s">
        <v>14</v>
      </c>
      <c r="D421" s="4" t="s">
        <v>15</v>
      </c>
      <c r="E421" s="23" t="s">
        <v>16</v>
      </c>
      <c r="F421" s="31" t="s">
        <v>3</v>
      </c>
      <c r="G421" s="3" t="s">
        <v>13</v>
      </c>
      <c r="H421" s="44" t="s">
        <v>14</v>
      </c>
      <c r="I421" s="4" t="s">
        <v>15</v>
      </c>
      <c r="J421" s="23" t="s">
        <v>16</v>
      </c>
      <c r="K421" s="31" t="s">
        <v>3</v>
      </c>
      <c r="L421" s="355"/>
      <c r="N421" s="5" t="s">
        <v>2</v>
      </c>
      <c r="O421" s="3" t="s">
        <v>13</v>
      </c>
      <c r="P421" s="44" t="s">
        <v>14</v>
      </c>
      <c r="Q421" s="4" t="s">
        <v>15</v>
      </c>
      <c r="R421" s="23" t="s">
        <v>16</v>
      </c>
      <c r="S421" s="31" t="s">
        <v>3</v>
      </c>
      <c r="T421" s="3" t="s">
        <v>13</v>
      </c>
      <c r="U421" s="44" t="s">
        <v>14</v>
      </c>
      <c r="V421" s="4" t="s">
        <v>15</v>
      </c>
      <c r="W421" s="23" t="s">
        <v>16</v>
      </c>
      <c r="X421" s="31" t="s">
        <v>3</v>
      </c>
      <c r="Y421" s="355"/>
    </row>
    <row r="422" spans="1:27" x14ac:dyDescent="0.15">
      <c r="A422" s="71" t="s">
        <v>17</v>
      </c>
      <c r="B422" s="72">
        <f>B416</f>
        <v>5</v>
      </c>
      <c r="C422" s="73">
        <f t="shared" ref="C422:L422" si="277">C416</f>
        <v>3</v>
      </c>
      <c r="D422" s="73">
        <f t="shared" si="277"/>
        <v>7</v>
      </c>
      <c r="E422" s="74">
        <f t="shared" si="277"/>
        <v>3</v>
      </c>
      <c r="F422" s="76">
        <f t="shared" si="277"/>
        <v>14</v>
      </c>
      <c r="G422" s="72">
        <f t="shared" si="277"/>
        <v>6</v>
      </c>
      <c r="H422" s="73">
        <f t="shared" si="277"/>
        <v>7</v>
      </c>
      <c r="I422" s="73">
        <f t="shared" si="277"/>
        <v>10</v>
      </c>
      <c r="J422" s="74">
        <f t="shared" si="277"/>
        <v>0</v>
      </c>
      <c r="K422" s="75">
        <f t="shared" si="277"/>
        <v>23</v>
      </c>
      <c r="L422" s="16">
        <f t="shared" si="277"/>
        <v>37</v>
      </c>
      <c r="N422" s="71" t="s">
        <v>17</v>
      </c>
      <c r="O422" s="72">
        <f>O416</f>
        <v>37</v>
      </c>
      <c r="P422" s="73">
        <f t="shared" ref="P422:Y422" si="278">P416</f>
        <v>111</v>
      </c>
      <c r="Q422" s="73">
        <f t="shared" si="278"/>
        <v>88</v>
      </c>
      <c r="R422" s="74">
        <f t="shared" si="278"/>
        <v>82</v>
      </c>
      <c r="S422" s="76">
        <f t="shared" si="278"/>
        <v>318</v>
      </c>
      <c r="T422" s="72">
        <f t="shared" si="278"/>
        <v>152</v>
      </c>
      <c r="U422" s="73">
        <f t="shared" si="278"/>
        <v>214</v>
      </c>
      <c r="V422" s="73">
        <f t="shared" si="278"/>
        <v>118</v>
      </c>
      <c r="W422" s="74">
        <f t="shared" si="278"/>
        <v>0</v>
      </c>
      <c r="X422" s="75">
        <f t="shared" si="278"/>
        <v>484</v>
      </c>
      <c r="Y422" s="16">
        <f t="shared" si="278"/>
        <v>802</v>
      </c>
    </row>
    <row r="423" spans="1:27" x14ac:dyDescent="0.15">
      <c r="A423" s="13" t="s">
        <v>5</v>
      </c>
      <c r="B423" s="6"/>
      <c r="C423" s="30"/>
      <c r="D423" s="7"/>
      <c r="E423" s="8"/>
      <c r="F423" s="9">
        <f>SUM(B423:E423)</f>
        <v>0</v>
      </c>
      <c r="G423" s="30"/>
      <c r="H423" s="30"/>
      <c r="I423" s="7"/>
      <c r="J423" s="8">
        <v>8</v>
      </c>
      <c r="K423" s="9">
        <f>SUM(G423:J423)</f>
        <v>8</v>
      </c>
      <c r="L423" s="11">
        <f t="shared" ref="L423:L454" si="279">F423+K423</f>
        <v>8</v>
      </c>
      <c r="M423" s="99">
        <v>44858</v>
      </c>
      <c r="N423" s="13" t="s">
        <v>350</v>
      </c>
      <c r="O423" s="26">
        <v>4</v>
      </c>
      <c r="P423" s="47">
        <v>3</v>
      </c>
      <c r="Q423" s="27"/>
      <c r="R423" s="34">
        <v>2</v>
      </c>
      <c r="S423" s="35">
        <f t="shared" ref="S423" si="280">SUM(O423:R423)</f>
        <v>9</v>
      </c>
      <c r="T423" s="26"/>
      <c r="U423" s="47"/>
      <c r="V423" s="27"/>
      <c r="W423" s="34"/>
      <c r="X423" s="35">
        <f t="shared" ref="X423" si="281">SUM(T423:W423)</f>
        <v>0</v>
      </c>
      <c r="Y423" s="11">
        <f t="shared" ref="Y423" si="282">S423+X423</f>
        <v>9</v>
      </c>
      <c r="Z423" s="126">
        <v>44884</v>
      </c>
    </row>
    <row r="424" spans="1:27" x14ac:dyDescent="0.15">
      <c r="A424" s="13" t="s">
        <v>49</v>
      </c>
      <c r="B424" s="6">
        <v>1</v>
      </c>
      <c r="C424" s="30">
        <v>3</v>
      </c>
      <c r="D424" s="7">
        <v>3</v>
      </c>
      <c r="E424" s="8">
        <v>2</v>
      </c>
      <c r="F424" s="9">
        <f>SUM(B424:E424)</f>
        <v>9</v>
      </c>
      <c r="G424" s="30">
        <v>1</v>
      </c>
      <c r="H424" s="30">
        <v>2</v>
      </c>
      <c r="I424" s="7">
        <v>2</v>
      </c>
      <c r="J424" s="8"/>
      <c r="K424" s="9">
        <f>SUM(G424:J424)</f>
        <v>5</v>
      </c>
      <c r="L424" s="11">
        <f t="shared" si="279"/>
        <v>14</v>
      </c>
      <c r="M424" s="126">
        <v>44861</v>
      </c>
      <c r="N424" s="13" t="s">
        <v>325</v>
      </c>
      <c r="O424" s="26">
        <v>200</v>
      </c>
      <c r="P424" s="47">
        <v>250</v>
      </c>
      <c r="Q424" s="27">
        <v>150</v>
      </c>
      <c r="R424" s="34">
        <v>100</v>
      </c>
      <c r="S424" s="77">
        <f>SUM(O424:R424)</f>
        <v>700</v>
      </c>
      <c r="T424" s="26">
        <v>200</v>
      </c>
      <c r="U424" s="47">
        <v>250</v>
      </c>
      <c r="V424" s="27">
        <v>150</v>
      </c>
      <c r="W424" s="34">
        <v>350</v>
      </c>
      <c r="X424" s="9">
        <f>SUM(T424:W424)</f>
        <v>950</v>
      </c>
      <c r="Y424" s="11">
        <f t="shared" ref="Y424:Y454" si="283">S424+X424</f>
        <v>1650</v>
      </c>
      <c r="Z424" s="99" t="s">
        <v>378</v>
      </c>
    </row>
    <row r="425" spans="1:27" x14ac:dyDescent="0.15">
      <c r="A425" s="13" t="s">
        <v>374</v>
      </c>
      <c r="B425" s="6">
        <v>1</v>
      </c>
      <c r="C425" s="30"/>
      <c r="D425" s="7"/>
      <c r="E425" s="8"/>
      <c r="F425" s="9">
        <f>SUM(B425:E425)</f>
        <v>1</v>
      </c>
      <c r="G425" s="30"/>
      <c r="H425" s="30"/>
      <c r="I425" s="7"/>
      <c r="J425" s="8"/>
      <c r="K425" s="9">
        <f>SUM(G425:J425)</f>
        <v>0</v>
      </c>
      <c r="L425" s="11">
        <f t="shared" si="279"/>
        <v>1</v>
      </c>
      <c r="M425" s="126">
        <v>44863</v>
      </c>
      <c r="N425" s="13" t="s">
        <v>7</v>
      </c>
      <c r="O425" s="26"/>
      <c r="P425" s="47"/>
      <c r="Q425" s="27"/>
      <c r="R425" s="34"/>
      <c r="S425" s="77">
        <f>SUM(O425:R425)</f>
        <v>0</v>
      </c>
      <c r="T425" s="47"/>
      <c r="U425" s="47"/>
      <c r="V425" s="27"/>
      <c r="W425" s="50"/>
      <c r="X425" s="9">
        <f>SUM(T425:W425)</f>
        <v>0</v>
      </c>
      <c r="Y425" s="11">
        <f t="shared" si="283"/>
        <v>0</v>
      </c>
    </row>
    <row r="426" spans="1:27" ht="14.25" thickBot="1" x14ac:dyDescent="0.2">
      <c r="A426" s="13" t="s">
        <v>8</v>
      </c>
      <c r="B426" s="6"/>
      <c r="C426" s="30">
        <v>5</v>
      </c>
      <c r="D426" s="7"/>
      <c r="E426" s="8">
        <v>5</v>
      </c>
      <c r="F426" s="10">
        <f>SUM(B426:E426)</f>
        <v>10</v>
      </c>
      <c r="G426" s="30">
        <v>5</v>
      </c>
      <c r="H426" s="30"/>
      <c r="I426" s="7"/>
      <c r="J426" s="8"/>
      <c r="K426" s="10">
        <f>SUM(G426:J426)</f>
        <v>5</v>
      </c>
      <c r="L426" s="14">
        <f t="shared" si="279"/>
        <v>15</v>
      </c>
      <c r="M426" s="99">
        <v>44866</v>
      </c>
      <c r="N426" s="13" t="s">
        <v>166</v>
      </c>
      <c r="O426" s="62"/>
      <c r="P426" s="63"/>
      <c r="Q426" s="64"/>
      <c r="R426" s="65"/>
      <c r="S426" s="78">
        <f>SUM(O426:R426)</f>
        <v>0</v>
      </c>
      <c r="T426" s="47">
        <v>28</v>
      </c>
      <c r="U426" s="47">
        <v>39</v>
      </c>
      <c r="V426" s="27">
        <v>15</v>
      </c>
      <c r="W426" s="50">
        <v>51</v>
      </c>
      <c r="X426" s="10">
        <f>SUM(T426:W426)</f>
        <v>133</v>
      </c>
      <c r="Y426" s="14">
        <f t="shared" si="283"/>
        <v>133</v>
      </c>
      <c r="Z426" s="99">
        <v>44883</v>
      </c>
    </row>
    <row r="427" spans="1:27" ht="14.25" thickBot="1" x14ac:dyDescent="0.2">
      <c r="A427" s="22" t="s">
        <v>9</v>
      </c>
      <c r="B427" s="18">
        <f t="shared" ref="B427:K427" si="284">SUM(B422:B426)</f>
        <v>7</v>
      </c>
      <c r="C427" s="45">
        <f t="shared" si="284"/>
        <v>11</v>
      </c>
      <c r="D427" s="19">
        <f t="shared" si="284"/>
        <v>10</v>
      </c>
      <c r="E427" s="20">
        <f t="shared" si="284"/>
        <v>10</v>
      </c>
      <c r="F427" s="28">
        <f t="shared" si="284"/>
        <v>34</v>
      </c>
      <c r="G427" s="18">
        <f t="shared" si="284"/>
        <v>12</v>
      </c>
      <c r="H427" s="45">
        <f t="shared" si="284"/>
        <v>9</v>
      </c>
      <c r="I427" s="19">
        <f t="shared" si="284"/>
        <v>12</v>
      </c>
      <c r="J427" s="20">
        <f t="shared" si="284"/>
        <v>8</v>
      </c>
      <c r="K427" s="28">
        <f t="shared" si="284"/>
        <v>41</v>
      </c>
      <c r="L427" s="21">
        <f t="shared" si="279"/>
        <v>75</v>
      </c>
      <c r="N427" s="17" t="s">
        <v>9</v>
      </c>
      <c r="O427" s="41">
        <f>SUM(O422:O426)</f>
        <v>241</v>
      </c>
      <c r="P427" s="49">
        <f t="shared" ref="P427:V427" si="285">SUM(P422:P426)</f>
        <v>364</v>
      </c>
      <c r="Q427" s="42">
        <f t="shared" si="285"/>
        <v>238</v>
      </c>
      <c r="R427" s="92">
        <f t="shared" si="285"/>
        <v>184</v>
      </c>
      <c r="S427" s="93">
        <f t="shared" si="285"/>
        <v>1027</v>
      </c>
      <c r="T427" s="41">
        <f t="shared" si="285"/>
        <v>380</v>
      </c>
      <c r="U427" s="49">
        <f t="shared" si="285"/>
        <v>503</v>
      </c>
      <c r="V427" s="42">
        <f t="shared" si="285"/>
        <v>283</v>
      </c>
      <c r="W427" s="92">
        <f>SUM(W422:W426)</f>
        <v>401</v>
      </c>
      <c r="X427" s="93">
        <f t="shared" ref="X427" si="286">SUM(X422:X426)</f>
        <v>1567</v>
      </c>
      <c r="Y427" s="56">
        <f t="shared" si="283"/>
        <v>2594</v>
      </c>
    </row>
    <row r="428" spans="1:27" x14ac:dyDescent="0.15">
      <c r="A428" s="32" t="s">
        <v>367</v>
      </c>
      <c r="B428" s="24"/>
      <c r="C428" s="46"/>
      <c r="D428" s="25"/>
      <c r="E428" s="33"/>
      <c r="F428" s="35">
        <f>SUM(B428:E428)</f>
        <v>0</v>
      </c>
      <c r="G428" s="24"/>
      <c r="H428" s="46"/>
      <c r="I428" s="25"/>
      <c r="J428" s="33">
        <v>3</v>
      </c>
      <c r="K428" s="35">
        <f>SUM(G428:J428)</f>
        <v>3</v>
      </c>
      <c r="L428" s="11">
        <f t="shared" si="279"/>
        <v>3</v>
      </c>
      <c r="M428" s="99">
        <v>44862</v>
      </c>
      <c r="N428" s="32" t="s">
        <v>365</v>
      </c>
      <c r="O428" s="66"/>
      <c r="P428" s="67"/>
      <c r="Q428" s="68"/>
      <c r="R428" s="94">
        <v>1</v>
      </c>
      <c r="S428" s="91">
        <f>SUM(O428:R428)</f>
        <v>1</v>
      </c>
      <c r="T428" s="67"/>
      <c r="U428" s="67"/>
      <c r="V428" s="68"/>
      <c r="W428" s="94"/>
      <c r="X428" s="91">
        <f>SUM(T428:W428)</f>
        <v>0</v>
      </c>
      <c r="Y428" s="11">
        <f t="shared" si="283"/>
        <v>1</v>
      </c>
      <c r="Z428" s="99">
        <v>44859</v>
      </c>
      <c r="AA428" s="58"/>
    </row>
    <row r="429" spans="1:27" x14ac:dyDescent="0.15">
      <c r="A429" s="13" t="s">
        <v>41</v>
      </c>
      <c r="B429" s="26">
        <v>1</v>
      </c>
      <c r="C429" s="47"/>
      <c r="D429" s="27"/>
      <c r="E429" s="34">
        <v>1</v>
      </c>
      <c r="F429" s="35">
        <f>SUM(B429:E429)</f>
        <v>2</v>
      </c>
      <c r="G429" s="26"/>
      <c r="H429" s="47">
        <v>1</v>
      </c>
      <c r="I429" s="27"/>
      <c r="J429" s="34"/>
      <c r="K429" s="35">
        <f>SUM(G429:J429)</f>
        <v>1</v>
      </c>
      <c r="L429" s="11">
        <f t="shared" si="279"/>
        <v>3</v>
      </c>
      <c r="M429" s="99">
        <v>44860</v>
      </c>
      <c r="N429" s="32" t="s">
        <v>366</v>
      </c>
      <c r="O429" s="26">
        <v>5</v>
      </c>
      <c r="P429" s="47"/>
      <c r="Q429" s="27"/>
      <c r="R429" s="34"/>
      <c r="S429" s="35">
        <f t="shared" ref="S429:S430" si="287">SUM(O429:R429)</f>
        <v>5</v>
      </c>
      <c r="T429" s="26"/>
      <c r="U429" s="47"/>
      <c r="V429" s="27"/>
      <c r="W429" s="34"/>
      <c r="X429" s="35">
        <f t="shared" ref="X429:X430" si="288">SUM(T429:W429)</f>
        <v>0</v>
      </c>
      <c r="Y429" s="11">
        <f t="shared" si="283"/>
        <v>5</v>
      </c>
      <c r="Z429" s="99">
        <v>44861</v>
      </c>
    </row>
    <row r="430" spans="1:27" x14ac:dyDescent="0.15">
      <c r="A430" s="13" t="s">
        <v>41</v>
      </c>
      <c r="B430" s="26"/>
      <c r="C430" s="47"/>
      <c r="D430" s="27"/>
      <c r="E430" s="34"/>
      <c r="F430" s="35">
        <f t="shared" ref="F430:F451" si="289">SUM(B430:E430)</f>
        <v>0</v>
      </c>
      <c r="G430" s="26">
        <v>1</v>
      </c>
      <c r="H430" s="47"/>
      <c r="I430" s="27"/>
      <c r="J430" s="34"/>
      <c r="K430" s="35">
        <f t="shared" ref="K430:K452" si="290">SUM(G430:J430)</f>
        <v>1</v>
      </c>
      <c r="L430" s="11">
        <f t="shared" si="279"/>
        <v>1</v>
      </c>
      <c r="M430" s="126">
        <v>44860</v>
      </c>
      <c r="N430" s="32" t="s">
        <v>368</v>
      </c>
      <c r="O430" s="26">
        <v>13</v>
      </c>
      <c r="P430" s="47"/>
      <c r="Q430" s="27"/>
      <c r="R430" s="34"/>
      <c r="S430" s="35">
        <f t="shared" si="287"/>
        <v>13</v>
      </c>
      <c r="T430" s="26"/>
      <c r="U430" s="47"/>
      <c r="V430" s="27"/>
      <c r="W430" s="34"/>
      <c r="X430" s="35">
        <f t="shared" si="288"/>
        <v>0</v>
      </c>
      <c r="Y430" s="11">
        <f t="shared" si="283"/>
        <v>13</v>
      </c>
      <c r="Z430" s="99">
        <v>44862</v>
      </c>
    </row>
    <row r="431" spans="1:27" x14ac:dyDescent="0.15">
      <c r="A431" s="13" t="s">
        <v>41</v>
      </c>
      <c r="B431" s="66"/>
      <c r="C431" s="67">
        <v>1</v>
      </c>
      <c r="D431" s="68"/>
      <c r="E431" s="69"/>
      <c r="F431" s="70">
        <f t="shared" si="289"/>
        <v>1</v>
      </c>
      <c r="G431" s="66"/>
      <c r="H431" s="67"/>
      <c r="I431" s="68"/>
      <c r="J431" s="69"/>
      <c r="K431" s="70">
        <f t="shared" si="290"/>
        <v>0</v>
      </c>
      <c r="L431" s="11">
        <f t="shared" si="279"/>
        <v>1</v>
      </c>
      <c r="M431" s="126">
        <v>44861</v>
      </c>
      <c r="N431" s="32" t="s">
        <v>370</v>
      </c>
      <c r="O431" s="66">
        <v>5</v>
      </c>
      <c r="P431" s="67"/>
      <c r="Q431" s="68">
        <v>11</v>
      </c>
      <c r="R431" s="94">
        <v>1</v>
      </c>
      <c r="S431" s="91">
        <f>SUM(O431:R431)</f>
        <v>17</v>
      </c>
      <c r="T431" s="67"/>
      <c r="U431" s="67">
        <v>1</v>
      </c>
      <c r="V431" s="68"/>
      <c r="W431" s="94">
        <v>3</v>
      </c>
      <c r="X431" s="91">
        <f>SUM(T431:W431)</f>
        <v>4</v>
      </c>
      <c r="Y431" s="11">
        <f t="shared" si="283"/>
        <v>21</v>
      </c>
      <c r="Z431" s="99">
        <v>44865</v>
      </c>
    </row>
    <row r="432" spans="1:27" x14ac:dyDescent="0.15">
      <c r="A432" s="13" t="s">
        <v>369</v>
      </c>
      <c r="B432" s="26"/>
      <c r="C432" s="47"/>
      <c r="D432" s="27"/>
      <c r="E432" s="34"/>
      <c r="F432" s="35">
        <f t="shared" si="289"/>
        <v>0</v>
      </c>
      <c r="G432" s="26"/>
      <c r="H432" s="47"/>
      <c r="I432" s="27">
        <v>2</v>
      </c>
      <c r="J432" s="34"/>
      <c r="K432" s="35">
        <f t="shared" si="290"/>
        <v>2</v>
      </c>
      <c r="L432" s="11">
        <f t="shared" si="279"/>
        <v>2</v>
      </c>
      <c r="M432" s="126">
        <v>44861</v>
      </c>
      <c r="N432" s="32" t="s">
        <v>372</v>
      </c>
      <c r="O432" s="26">
        <v>20</v>
      </c>
      <c r="P432" s="47">
        <v>16</v>
      </c>
      <c r="Q432" s="27">
        <v>8</v>
      </c>
      <c r="R432" s="34">
        <v>9</v>
      </c>
      <c r="S432" s="35">
        <f t="shared" ref="S432:S434" si="291">SUM(O432:R432)</f>
        <v>53</v>
      </c>
      <c r="T432" s="26">
        <v>1</v>
      </c>
      <c r="U432" s="47">
        <v>2</v>
      </c>
      <c r="V432" s="27"/>
      <c r="W432" s="34">
        <v>9</v>
      </c>
      <c r="X432" s="35">
        <f t="shared" ref="X432:X434" si="292">SUM(T432:W432)</f>
        <v>12</v>
      </c>
      <c r="Y432" s="11">
        <f t="shared" si="283"/>
        <v>65</v>
      </c>
      <c r="Z432" s="99">
        <v>44866</v>
      </c>
    </row>
    <row r="433" spans="1:26" x14ac:dyDescent="0.15">
      <c r="A433" s="13" t="s">
        <v>41</v>
      </c>
      <c r="B433" s="26">
        <v>1</v>
      </c>
      <c r="C433" s="47"/>
      <c r="D433" s="27"/>
      <c r="E433" s="34"/>
      <c r="F433" s="35">
        <f t="shared" si="289"/>
        <v>1</v>
      </c>
      <c r="G433" s="26"/>
      <c r="H433" s="47">
        <v>1</v>
      </c>
      <c r="I433" s="27"/>
      <c r="J433" s="34"/>
      <c r="K433" s="35">
        <f t="shared" si="290"/>
        <v>1</v>
      </c>
      <c r="L433" s="11">
        <f t="shared" si="279"/>
        <v>2</v>
      </c>
      <c r="M433" s="126">
        <v>44862</v>
      </c>
      <c r="N433" s="15" t="s">
        <v>375</v>
      </c>
      <c r="O433" s="26"/>
      <c r="P433" s="47">
        <v>5</v>
      </c>
      <c r="Q433" s="27"/>
      <c r="R433" s="34">
        <v>5</v>
      </c>
      <c r="S433" s="35">
        <f>SUM(O433:R433)</f>
        <v>10</v>
      </c>
      <c r="T433" s="26">
        <v>5</v>
      </c>
      <c r="U433" s="47"/>
      <c r="V433" s="27"/>
      <c r="W433" s="34"/>
      <c r="X433" s="35">
        <f>SUM(T433:W433)</f>
        <v>5</v>
      </c>
      <c r="Y433" s="11">
        <f t="shared" si="283"/>
        <v>15</v>
      </c>
      <c r="Z433" s="99">
        <v>44866</v>
      </c>
    </row>
    <row r="434" spans="1:26" x14ac:dyDescent="0.15">
      <c r="A434" s="79" t="s">
        <v>371</v>
      </c>
      <c r="B434" s="26">
        <v>1</v>
      </c>
      <c r="C434" s="47">
        <v>3</v>
      </c>
      <c r="D434" s="27">
        <v>3</v>
      </c>
      <c r="E434" s="34">
        <v>2</v>
      </c>
      <c r="F434" s="35">
        <f t="shared" si="289"/>
        <v>9</v>
      </c>
      <c r="G434" s="26">
        <v>1</v>
      </c>
      <c r="H434" s="47">
        <v>2</v>
      </c>
      <c r="I434" s="27">
        <v>2</v>
      </c>
      <c r="J434" s="34"/>
      <c r="K434" s="35">
        <f t="shared" si="290"/>
        <v>5</v>
      </c>
      <c r="L434" s="11">
        <f t="shared" si="279"/>
        <v>14</v>
      </c>
      <c r="M434" s="126">
        <v>44863</v>
      </c>
      <c r="N434" s="32" t="s">
        <v>376</v>
      </c>
      <c r="O434" s="26"/>
      <c r="P434" s="47">
        <v>7</v>
      </c>
      <c r="Q434" s="27">
        <v>1</v>
      </c>
      <c r="R434" s="34">
        <v>2</v>
      </c>
      <c r="S434" s="35">
        <f t="shared" si="291"/>
        <v>10</v>
      </c>
      <c r="T434" s="26">
        <v>1</v>
      </c>
      <c r="U434" s="47">
        <v>5</v>
      </c>
      <c r="V434" s="27">
        <v>2</v>
      </c>
      <c r="W434" s="34"/>
      <c r="X434" s="35">
        <f t="shared" si="292"/>
        <v>8</v>
      </c>
      <c r="Y434" s="11">
        <f t="shared" si="283"/>
        <v>18</v>
      </c>
      <c r="Z434" s="99">
        <v>44867</v>
      </c>
    </row>
    <row r="435" spans="1:26" x14ac:dyDescent="0.15">
      <c r="A435" s="32" t="s">
        <v>373</v>
      </c>
      <c r="B435" s="26"/>
      <c r="C435" s="47"/>
      <c r="D435" s="27"/>
      <c r="E435" s="34"/>
      <c r="F435" s="35">
        <f t="shared" si="289"/>
        <v>0</v>
      </c>
      <c r="G435" s="26"/>
      <c r="H435" s="47"/>
      <c r="I435" s="27"/>
      <c r="J435" s="34">
        <v>1</v>
      </c>
      <c r="K435" s="35">
        <f t="shared" si="290"/>
        <v>1</v>
      </c>
      <c r="L435" s="11">
        <f t="shared" si="279"/>
        <v>1</v>
      </c>
      <c r="M435" s="99">
        <v>44866</v>
      </c>
      <c r="N435" s="32" t="s">
        <v>377</v>
      </c>
      <c r="O435" s="26">
        <v>5</v>
      </c>
      <c r="P435" s="47">
        <v>15</v>
      </c>
      <c r="Q435" s="27">
        <v>3</v>
      </c>
      <c r="R435" s="50">
        <v>3</v>
      </c>
      <c r="S435" s="9">
        <f>SUM(O435:R435)</f>
        <v>26</v>
      </c>
      <c r="T435" s="47">
        <v>4</v>
      </c>
      <c r="U435" s="47">
        <v>2</v>
      </c>
      <c r="V435" s="27">
        <v>3</v>
      </c>
      <c r="W435" s="50">
        <v>3</v>
      </c>
      <c r="X435" s="9">
        <f>SUM(T435:W435)</f>
        <v>12</v>
      </c>
      <c r="Y435" s="11">
        <f t="shared" si="283"/>
        <v>38</v>
      </c>
      <c r="Z435" s="99">
        <v>44869</v>
      </c>
    </row>
    <row r="436" spans="1:26" x14ac:dyDescent="0.15">
      <c r="A436" s="13" t="s">
        <v>41</v>
      </c>
      <c r="B436" s="26"/>
      <c r="C436" s="47"/>
      <c r="D436" s="27">
        <v>1</v>
      </c>
      <c r="E436" s="34"/>
      <c r="F436" s="35">
        <f t="shared" si="289"/>
        <v>1</v>
      </c>
      <c r="G436" s="26">
        <v>1</v>
      </c>
      <c r="H436" s="47"/>
      <c r="I436" s="27"/>
      <c r="J436" s="34"/>
      <c r="K436" s="35">
        <f t="shared" si="290"/>
        <v>1</v>
      </c>
      <c r="L436" s="11">
        <f t="shared" si="279"/>
        <v>2</v>
      </c>
      <c r="M436" s="126">
        <v>44865</v>
      </c>
      <c r="N436" s="32" t="s">
        <v>379</v>
      </c>
      <c r="O436" s="26">
        <v>62</v>
      </c>
      <c r="P436" s="47">
        <v>77</v>
      </c>
      <c r="Q436" s="27">
        <v>35</v>
      </c>
      <c r="R436" s="34">
        <v>20</v>
      </c>
      <c r="S436" s="35">
        <f t="shared" ref="S436:S453" si="293">SUM(O436:R436)</f>
        <v>194</v>
      </c>
      <c r="T436" s="26">
        <v>21</v>
      </c>
      <c r="U436" s="47">
        <v>25</v>
      </c>
      <c r="V436" s="27">
        <v>15</v>
      </c>
      <c r="W436" s="34">
        <v>14</v>
      </c>
      <c r="X436" s="35">
        <f t="shared" ref="X436:X453" si="294">SUM(T436:W436)</f>
        <v>75</v>
      </c>
      <c r="Y436" s="11">
        <f t="shared" si="283"/>
        <v>269</v>
      </c>
      <c r="Z436" s="99">
        <v>44872</v>
      </c>
    </row>
    <row r="437" spans="1:26" x14ac:dyDescent="0.15">
      <c r="A437" s="13" t="s">
        <v>41</v>
      </c>
      <c r="B437" s="26"/>
      <c r="C437" s="47"/>
      <c r="D437" s="27"/>
      <c r="E437" s="34"/>
      <c r="F437" s="35">
        <f t="shared" ref="F437:F439" si="295">SUM(B437:E437)</f>
        <v>0</v>
      </c>
      <c r="G437" s="26"/>
      <c r="H437" s="47">
        <v>1</v>
      </c>
      <c r="I437" s="27"/>
      <c r="J437" s="34"/>
      <c r="K437" s="35">
        <f t="shared" ref="K437:K439" si="296">SUM(G437:J437)</f>
        <v>1</v>
      </c>
      <c r="L437" s="11">
        <f t="shared" ref="L437:L439" si="297">F437+K437</f>
        <v>1</v>
      </c>
      <c r="M437" s="126">
        <v>44870</v>
      </c>
      <c r="N437" s="32" t="s">
        <v>381</v>
      </c>
      <c r="O437" s="26">
        <v>5</v>
      </c>
      <c r="P437" s="47">
        <v>7</v>
      </c>
      <c r="Q437" s="27">
        <v>4</v>
      </c>
      <c r="R437" s="34">
        <v>4</v>
      </c>
      <c r="S437" s="35">
        <f t="shared" si="293"/>
        <v>20</v>
      </c>
      <c r="T437" s="26">
        <v>4</v>
      </c>
      <c r="U437" s="47">
        <v>2</v>
      </c>
      <c r="V437" s="27">
        <v>2</v>
      </c>
      <c r="W437" s="34">
        <v>2</v>
      </c>
      <c r="X437" s="35">
        <f t="shared" si="294"/>
        <v>10</v>
      </c>
      <c r="Y437" s="11">
        <f t="shared" si="283"/>
        <v>30</v>
      </c>
      <c r="Z437" s="99">
        <v>44873</v>
      </c>
    </row>
    <row r="438" spans="1:26" x14ac:dyDescent="0.15">
      <c r="A438" s="32" t="s">
        <v>380</v>
      </c>
      <c r="B438" s="26"/>
      <c r="C438" s="47"/>
      <c r="D438" s="27">
        <v>1</v>
      </c>
      <c r="E438" s="34">
        <v>1</v>
      </c>
      <c r="F438" s="35">
        <f t="shared" si="295"/>
        <v>2</v>
      </c>
      <c r="G438" s="26"/>
      <c r="H438" s="47"/>
      <c r="I438" s="27"/>
      <c r="J438" s="34"/>
      <c r="K438" s="35">
        <f t="shared" si="296"/>
        <v>0</v>
      </c>
      <c r="L438" s="11">
        <f t="shared" si="297"/>
        <v>2</v>
      </c>
      <c r="M438" s="99">
        <v>44873</v>
      </c>
      <c r="N438" s="32" t="s">
        <v>384</v>
      </c>
      <c r="O438" s="26">
        <v>13</v>
      </c>
      <c r="P438" s="47"/>
      <c r="Q438" s="27">
        <v>20</v>
      </c>
      <c r="R438" s="34">
        <v>6</v>
      </c>
      <c r="S438" s="35">
        <f t="shared" si="293"/>
        <v>39</v>
      </c>
      <c r="T438" s="26"/>
      <c r="U438" s="47"/>
      <c r="V438" s="27">
        <v>2</v>
      </c>
      <c r="W438" s="34"/>
      <c r="X438" s="35">
        <f t="shared" si="294"/>
        <v>2</v>
      </c>
      <c r="Y438" s="11">
        <f t="shared" si="283"/>
        <v>41</v>
      </c>
      <c r="Z438" s="99">
        <v>44875</v>
      </c>
    </row>
    <row r="439" spans="1:26" x14ac:dyDescent="0.15">
      <c r="A439" s="13" t="s">
        <v>41</v>
      </c>
      <c r="B439" s="26"/>
      <c r="C439" s="47"/>
      <c r="D439" s="27"/>
      <c r="E439" s="34"/>
      <c r="F439" s="35">
        <f t="shared" si="295"/>
        <v>0</v>
      </c>
      <c r="G439" s="26">
        <v>1</v>
      </c>
      <c r="H439" s="47"/>
      <c r="I439" s="27"/>
      <c r="J439" s="34"/>
      <c r="K439" s="35">
        <f t="shared" si="296"/>
        <v>1</v>
      </c>
      <c r="L439" s="11">
        <f t="shared" si="297"/>
        <v>1</v>
      </c>
      <c r="M439" s="99">
        <v>44873</v>
      </c>
      <c r="N439" s="32" t="s">
        <v>385</v>
      </c>
      <c r="O439" s="26">
        <v>19</v>
      </c>
      <c r="P439" s="47">
        <v>10</v>
      </c>
      <c r="Q439" s="27">
        <v>10</v>
      </c>
      <c r="R439" s="34">
        <v>9</v>
      </c>
      <c r="S439" s="35">
        <f t="shared" si="293"/>
        <v>48</v>
      </c>
      <c r="T439" s="26"/>
      <c r="U439" s="47"/>
      <c r="V439" s="27">
        <v>2</v>
      </c>
      <c r="W439" s="34">
        <v>1</v>
      </c>
      <c r="X439" s="35">
        <f t="shared" si="294"/>
        <v>3</v>
      </c>
      <c r="Y439" s="11">
        <f t="shared" si="283"/>
        <v>51</v>
      </c>
      <c r="Z439" s="99">
        <v>44876</v>
      </c>
    </row>
    <row r="440" spans="1:26" x14ac:dyDescent="0.15">
      <c r="A440" s="13" t="s">
        <v>41</v>
      </c>
      <c r="B440" s="26"/>
      <c r="C440" s="47"/>
      <c r="D440" s="27"/>
      <c r="E440" s="34"/>
      <c r="F440" s="35">
        <f t="shared" si="289"/>
        <v>0</v>
      </c>
      <c r="G440" s="26">
        <v>1</v>
      </c>
      <c r="H440" s="47"/>
      <c r="I440" s="27"/>
      <c r="J440" s="34"/>
      <c r="K440" s="35">
        <f t="shared" si="290"/>
        <v>1</v>
      </c>
      <c r="L440" s="11">
        <f t="shared" si="279"/>
        <v>1</v>
      </c>
      <c r="M440" s="99">
        <v>44874</v>
      </c>
      <c r="N440" s="32" t="s">
        <v>387</v>
      </c>
      <c r="O440" s="26">
        <v>21</v>
      </c>
      <c r="P440" s="47">
        <v>23</v>
      </c>
      <c r="Q440" s="27">
        <v>10</v>
      </c>
      <c r="R440" s="34">
        <v>4</v>
      </c>
      <c r="S440" s="35">
        <f t="shared" si="293"/>
        <v>58</v>
      </c>
      <c r="T440" s="26">
        <v>1</v>
      </c>
      <c r="U440" s="47">
        <v>10</v>
      </c>
      <c r="V440" s="27"/>
      <c r="W440" s="34">
        <v>5</v>
      </c>
      <c r="X440" s="35">
        <f t="shared" si="294"/>
        <v>16</v>
      </c>
      <c r="Y440" s="11">
        <f t="shared" si="283"/>
        <v>74</v>
      </c>
      <c r="Z440" s="99">
        <v>44879</v>
      </c>
    </row>
    <row r="441" spans="1:26" x14ac:dyDescent="0.15">
      <c r="A441" s="13" t="s">
        <v>49</v>
      </c>
      <c r="B441" s="26">
        <v>-6</v>
      </c>
      <c r="C441" s="47">
        <v>-5</v>
      </c>
      <c r="D441" s="27">
        <v>-2</v>
      </c>
      <c r="E441" s="34">
        <v>-2</v>
      </c>
      <c r="F441" s="35">
        <f t="shared" si="289"/>
        <v>-15</v>
      </c>
      <c r="G441" s="26">
        <v>-1</v>
      </c>
      <c r="H441" s="47">
        <v>-1</v>
      </c>
      <c r="I441" s="27">
        <v>-1</v>
      </c>
      <c r="J441" s="34"/>
      <c r="K441" s="35">
        <f t="shared" si="290"/>
        <v>-3</v>
      </c>
      <c r="L441" s="11">
        <f t="shared" si="279"/>
        <v>-18</v>
      </c>
      <c r="M441" s="126">
        <v>44875</v>
      </c>
      <c r="N441" s="32" t="s">
        <v>390</v>
      </c>
      <c r="O441" s="26">
        <v>8</v>
      </c>
      <c r="P441" s="47">
        <v>24</v>
      </c>
      <c r="Q441" s="27">
        <v>4</v>
      </c>
      <c r="R441" s="34">
        <v>1</v>
      </c>
      <c r="S441" s="35">
        <f t="shared" si="293"/>
        <v>37</v>
      </c>
      <c r="T441" s="26">
        <v>7</v>
      </c>
      <c r="U441" s="47">
        <v>1</v>
      </c>
      <c r="V441" s="27"/>
      <c r="W441" s="34">
        <v>1</v>
      </c>
      <c r="X441" s="35">
        <f t="shared" si="294"/>
        <v>9</v>
      </c>
      <c r="Y441" s="11">
        <f t="shared" si="283"/>
        <v>46</v>
      </c>
      <c r="Z441" s="99">
        <v>44880</v>
      </c>
    </row>
    <row r="442" spans="1:26" x14ac:dyDescent="0.15">
      <c r="A442" s="15" t="s">
        <v>386</v>
      </c>
      <c r="B442" s="26"/>
      <c r="C442" s="47">
        <v>1</v>
      </c>
      <c r="D442" s="27"/>
      <c r="E442" s="34"/>
      <c r="F442" s="35">
        <f t="shared" si="289"/>
        <v>1</v>
      </c>
      <c r="G442" s="26"/>
      <c r="H442" s="47"/>
      <c r="I442" s="27"/>
      <c r="J442" s="34"/>
      <c r="K442" s="35">
        <f t="shared" si="290"/>
        <v>0</v>
      </c>
      <c r="L442" s="11">
        <f t="shared" si="279"/>
        <v>1</v>
      </c>
      <c r="M442" s="126">
        <v>44875</v>
      </c>
      <c r="N442" s="32" t="s">
        <v>391</v>
      </c>
      <c r="O442" s="26">
        <v>16</v>
      </c>
      <c r="P442" s="47">
        <v>9</v>
      </c>
      <c r="Q442" s="27">
        <v>19</v>
      </c>
      <c r="R442" s="34">
        <v>1</v>
      </c>
      <c r="S442" s="35">
        <f t="shared" si="293"/>
        <v>45</v>
      </c>
      <c r="T442" s="26">
        <v>3</v>
      </c>
      <c r="U442" s="47">
        <v>4</v>
      </c>
      <c r="V442" s="27">
        <v>1</v>
      </c>
      <c r="W442" s="34"/>
      <c r="X442" s="35">
        <f t="shared" si="294"/>
        <v>8</v>
      </c>
      <c r="Y442" s="11">
        <f t="shared" si="283"/>
        <v>53</v>
      </c>
      <c r="Z442" s="99">
        <v>44881</v>
      </c>
    </row>
    <row r="443" spans="1:26" x14ac:dyDescent="0.15">
      <c r="A443" s="13" t="s">
        <v>41</v>
      </c>
      <c r="B443" s="26"/>
      <c r="C443" s="47">
        <v>1</v>
      </c>
      <c r="D443" s="27"/>
      <c r="E443" s="34"/>
      <c r="F443" s="35">
        <f t="shared" si="289"/>
        <v>1</v>
      </c>
      <c r="G443" s="26"/>
      <c r="H443" s="47"/>
      <c r="I443" s="27"/>
      <c r="J443" s="34"/>
      <c r="K443" s="35">
        <f t="shared" si="290"/>
        <v>0</v>
      </c>
      <c r="L443" s="11">
        <f t="shared" si="279"/>
        <v>1</v>
      </c>
      <c r="M443" s="126">
        <v>44875</v>
      </c>
      <c r="N443" s="32" t="s">
        <v>392</v>
      </c>
      <c r="O443" s="26">
        <v>2</v>
      </c>
      <c r="P443" s="47">
        <v>10</v>
      </c>
      <c r="Q443" s="27">
        <v>7</v>
      </c>
      <c r="R443" s="34">
        <v>1</v>
      </c>
      <c r="S443" s="35">
        <f t="shared" si="293"/>
        <v>20</v>
      </c>
      <c r="T443" s="26"/>
      <c r="U443" s="47">
        <v>2</v>
      </c>
      <c r="V443" s="27">
        <v>3</v>
      </c>
      <c r="W443" s="34">
        <v>1</v>
      </c>
      <c r="X443" s="35">
        <f t="shared" si="294"/>
        <v>6</v>
      </c>
      <c r="Y443" s="11">
        <f t="shared" si="283"/>
        <v>26</v>
      </c>
      <c r="Z443" s="99">
        <v>44882</v>
      </c>
    </row>
    <row r="444" spans="1:26" x14ac:dyDescent="0.15">
      <c r="A444" s="13" t="s">
        <v>41</v>
      </c>
      <c r="B444" s="26"/>
      <c r="C444" s="47">
        <v>1</v>
      </c>
      <c r="D444" s="27">
        <v>1</v>
      </c>
      <c r="E444" s="34"/>
      <c r="F444" s="35">
        <f t="shared" si="289"/>
        <v>2</v>
      </c>
      <c r="G444" s="26"/>
      <c r="H444" s="47"/>
      <c r="I444" s="27"/>
      <c r="J444" s="34"/>
      <c r="K444" s="35">
        <f t="shared" si="290"/>
        <v>0</v>
      </c>
      <c r="L444" s="11">
        <f t="shared" si="279"/>
        <v>2</v>
      </c>
      <c r="M444" s="126">
        <v>44876</v>
      </c>
      <c r="N444" s="32" t="s">
        <v>393</v>
      </c>
      <c r="O444" s="26">
        <v>2</v>
      </c>
      <c r="P444" s="47">
        <v>12</v>
      </c>
      <c r="Q444" s="27">
        <v>1</v>
      </c>
      <c r="R444" s="34"/>
      <c r="S444" s="35">
        <f t="shared" si="293"/>
        <v>15</v>
      </c>
      <c r="T444" s="26"/>
      <c r="U444" s="47">
        <v>3</v>
      </c>
      <c r="V444" s="27">
        <v>4</v>
      </c>
      <c r="W444" s="34"/>
      <c r="X444" s="35">
        <f t="shared" si="294"/>
        <v>7</v>
      </c>
      <c r="Y444" s="11">
        <f t="shared" si="283"/>
        <v>22</v>
      </c>
      <c r="Z444" s="99">
        <v>44883</v>
      </c>
    </row>
    <row r="445" spans="1:26" x14ac:dyDescent="0.15">
      <c r="A445" s="13" t="s">
        <v>41</v>
      </c>
      <c r="B445" s="26"/>
      <c r="C445" s="47"/>
      <c r="D445" s="27"/>
      <c r="E445" s="34"/>
      <c r="F445" s="35">
        <f t="shared" si="289"/>
        <v>0</v>
      </c>
      <c r="G445" s="26"/>
      <c r="H445" s="47">
        <v>1</v>
      </c>
      <c r="I445" s="27"/>
      <c r="J445" s="34"/>
      <c r="K445" s="35">
        <f t="shared" si="290"/>
        <v>1</v>
      </c>
      <c r="L445" s="11">
        <f t="shared" si="279"/>
        <v>1</v>
      </c>
      <c r="M445" s="126">
        <v>44879</v>
      </c>
      <c r="N445" s="32" t="s">
        <v>394</v>
      </c>
      <c r="O445" s="26">
        <v>5</v>
      </c>
      <c r="P445" s="47">
        <v>13</v>
      </c>
      <c r="Q445" s="27">
        <v>4</v>
      </c>
      <c r="R445" s="34">
        <v>3</v>
      </c>
      <c r="S445" s="35">
        <f t="shared" si="293"/>
        <v>25</v>
      </c>
      <c r="T445" s="26">
        <v>2</v>
      </c>
      <c r="U445" s="47">
        <v>3</v>
      </c>
      <c r="V445" s="27">
        <v>1</v>
      </c>
      <c r="W445" s="34"/>
      <c r="X445" s="35">
        <f t="shared" si="294"/>
        <v>6</v>
      </c>
      <c r="Y445" s="11">
        <f t="shared" si="283"/>
        <v>31</v>
      </c>
      <c r="Z445" s="99">
        <v>44886</v>
      </c>
    </row>
    <row r="446" spans="1:26" x14ac:dyDescent="0.15">
      <c r="A446" s="13" t="s">
        <v>41</v>
      </c>
      <c r="B446" s="26"/>
      <c r="C446" s="47"/>
      <c r="D446" s="27"/>
      <c r="E446" s="34"/>
      <c r="F446" s="35">
        <f t="shared" si="289"/>
        <v>0</v>
      </c>
      <c r="G446" s="26"/>
      <c r="H446" s="47">
        <v>1</v>
      </c>
      <c r="I446" s="27"/>
      <c r="J446" s="34"/>
      <c r="K446" s="35">
        <f t="shared" si="290"/>
        <v>1</v>
      </c>
      <c r="L446" s="11">
        <f t="shared" si="279"/>
        <v>1</v>
      </c>
      <c r="M446" s="126">
        <v>44881</v>
      </c>
      <c r="N446" s="15"/>
      <c r="O446" s="26"/>
      <c r="P446" s="47"/>
      <c r="Q446" s="27"/>
      <c r="R446" s="34"/>
      <c r="S446" s="35">
        <f t="shared" si="293"/>
        <v>0</v>
      </c>
      <c r="T446" s="26"/>
      <c r="U446" s="47"/>
      <c r="V446" s="27"/>
      <c r="W446" s="34"/>
      <c r="X446" s="35">
        <f t="shared" si="294"/>
        <v>0</v>
      </c>
      <c r="Y446" s="11">
        <f t="shared" si="283"/>
        <v>0</v>
      </c>
      <c r="Z446" s="101"/>
    </row>
    <row r="447" spans="1:26" x14ac:dyDescent="0.15">
      <c r="A447" s="79" t="s">
        <v>284</v>
      </c>
      <c r="B447" s="26">
        <v>4</v>
      </c>
      <c r="C447" s="47">
        <v>3</v>
      </c>
      <c r="D447" s="27"/>
      <c r="E447" s="34">
        <v>2</v>
      </c>
      <c r="F447" s="35">
        <f t="shared" si="289"/>
        <v>9</v>
      </c>
      <c r="G447" s="26"/>
      <c r="H447" s="47"/>
      <c r="I447" s="27"/>
      <c r="J447" s="34"/>
      <c r="K447" s="35">
        <f t="shared" si="290"/>
        <v>0</v>
      </c>
      <c r="L447" s="11">
        <f t="shared" si="279"/>
        <v>9</v>
      </c>
      <c r="M447" s="126">
        <v>44884</v>
      </c>
      <c r="N447" s="12" t="s">
        <v>319</v>
      </c>
      <c r="O447" s="26"/>
      <c r="P447" s="47"/>
      <c r="Q447" s="27"/>
      <c r="R447" s="34"/>
      <c r="S447" s="35">
        <f t="shared" ref="S447:S452" si="298">SUM(O447:R447)</f>
        <v>0</v>
      </c>
      <c r="T447" s="26"/>
      <c r="U447" s="47"/>
      <c r="V447" s="27"/>
      <c r="W447" s="34"/>
      <c r="X447" s="35">
        <f>SUM(T447:W447)</f>
        <v>0</v>
      </c>
      <c r="Y447" s="108">
        <f>S447+X447</f>
        <v>0</v>
      </c>
      <c r="Z447" s="101" t="s">
        <v>320</v>
      </c>
    </row>
    <row r="448" spans="1:26" x14ac:dyDescent="0.15">
      <c r="A448" s="32" t="s">
        <v>401</v>
      </c>
      <c r="B448" s="26"/>
      <c r="C448" s="47"/>
      <c r="D448" s="27"/>
      <c r="E448" s="34"/>
      <c r="F448" s="35">
        <f t="shared" si="289"/>
        <v>0</v>
      </c>
      <c r="G448" s="26"/>
      <c r="H448" s="47"/>
      <c r="I448" s="27"/>
      <c r="J448" s="34">
        <v>-1</v>
      </c>
      <c r="K448" s="35">
        <f t="shared" si="290"/>
        <v>-1</v>
      </c>
      <c r="L448" s="11">
        <f t="shared" si="279"/>
        <v>-1</v>
      </c>
      <c r="M448" s="126">
        <v>44889</v>
      </c>
      <c r="N448" s="173" t="s">
        <v>363</v>
      </c>
      <c r="O448" s="174"/>
      <c r="P448" s="175"/>
      <c r="Q448" s="176"/>
      <c r="R448" s="177"/>
      <c r="S448" s="178">
        <f t="shared" si="298"/>
        <v>0</v>
      </c>
      <c r="T448" s="174"/>
      <c r="U448" s="175"/>
      <c r="V448" s="176"/>
      <c r="W448" s="177"/>
      <c r="X448" s="178">
        <f t="shared" ref="X448" si="299">SUM(T448:W448)</f>
        <v>0</v>
      </c>
      <c r="Y448" s="179">
        <f t="shared" ref="Y448" si="300">S448+X448</f>
        <v>0</v>
      </c>
      <c r="Z448" s="160" t="s">
        <v>364</v>
      </c>
    </row>
    <row r="449" spans="1:26" x14ac:dyDescent="0.15">
      <c r="A449" s="12" t="s">
        <v>402</v>
      </c>
      <c r="B449" s="26"/>
      <c r="C449" s="47">
        <v>1</v>
      </c>
      <c r="D449" s="27"/>
      <c r="E449" s="34"/>
      <c r="F449" s="35">
        <f t="shared" si="289"/>
        <v>1</v>
      </c>
      <c r="G449" s="26">
        <v>1</v>
      </c>
      <c r="H449" s="47">
        <v>1</v>
      </c>
      <c r="I449" s="27"/>
      <c r="J449" s="34"/>
      <c r="K449" s="35">
        <f t="shared" si="290"/>
        <v>2</v>
      </c>
      <c r="L449" s="11">
        <f t="shared" si="279"/>
        <v>3</v>
      </c>
      <c r="M449" s="126">
        <v>44890</v>
      </c>
      <c r="N449" s="173" t="s">
        <v>348</v>
      </c>
      <c r="O449" s="174"/>
      <c r="P449" s="175"/>
      <c r="Q449" s="176"/>
      <c r="R449" s="177"/>
      <c r="S449" s="178">
        <f t="shared" si="298"/>
        <v>0</v>
      </c>
      <c r="T449" s="174"/>
      <c r="U449" s="175"/>
      <c r="V449" s="176"/>
      <c r="W449" s="177"/>
      <c r="X449" s="178">
        <f t="shared" ref="X449" si="301">SUM(T449:W449)</f>
        <v>0</v>
      </c>
      <c r="Y449" s="179">
        <f t="shared" ref="Y449" si="302">S449+X449</f>
        <v>0</v>
      </c>
      <c r="Z449" s="160" t="s">
        <v>349</v>
      </c>
    </row>
    <row r="450" spans="1:26" x14ac:dyDescent="0.15">
      <c r="A450" s="13" t="s">
        <v>41</v>
      </c>
      <c r="B450" s="26"/>
      <c r="C450" s="47"/>
      <c r="D450" s="27"/>
      <c r="E450" s="34"/>
      <c r="F450" s="35">
        <f t="shared" si="289"/>
        <v>0</v>
      </c>
      <c r="G450" s="26"/>
      <c r="H450" s="47">
        <v>1</v>
      </c>
      <c r="I450" s="27"/>
      <c r="J450" s="34"/>
      <c r="K450" s="35">
        <f t="shared" si="290"/>
        <v>1</v>
      </c>
      <c r="L450" s="11">
        <f t="shared" si="279"/>
        <v>1</v>
      </c>
      <c r="M450" s="126">
        <v>44889</v>
      </c>
      <c r="N450" s="12" t="s">
        <v>356</v>
      </c>
      <c r="O450" s="26"/>
      <c r="P450" s="47"/>
      <c r="Q450" s="27"/>
      <c r="R450" s="34"/>
      <c r="S450" s="35">
        <f t="shared" si="298"/>
        <v>0</v>
      </c>
      <c r="T450" s="26"/>
      <c r="U450" s="47"/>
      <c r="V450" s="27"/>
      <c r="W450" s="34"/>
      <c r="X450" s="35">
        <f>SUM(T450:W450)</f>
        <v>0</v>
      </c>
      <c r="Y450" s="108">
        <f>S450+X450</f>
        <v>0</v>
      </c>
      <c r="Z450" s="101" t="s">
        <v>357</v>
      </c>
    </row>
    <row r="451" spans="1:26" x14ac:dyDescent="0.15">
      <c r="A451" s="57"/>
      <c r="B451" s="26"/>
      <c r="C451" s="47"/>
      <c r="D451" s="27"/>
      <c r="E451" s="34"/>
      <c r="F451" s="35">
        <f t="shared" si="289"/>
        <v>0</v>
      </c>
      <c r="G451" s="26"/>
      <c r="H451" s="47"/>
      <c r="I451" s="27"/>
      <c r="J451" s="34"/>
      <c r="K451" s="35">
        <f t="shared" si="290"/>
        <v>0</v>
      </c>
      <c r="L451" s="11">
        <f t="shared" si="279"/>
        <v>0</v>
      </c>
      <c r="N451" s="12" t="s">
        <v>347</v>
      </c>
      <c r="O451" s="26"/>
      <c r="P451" s="47"/>
      <c r="Q451" s="27"/>
      <c r="R451" s="34"/>
      <c r="S451" s="35">
        <f t="shared" si="298"/>
        <v>0</v>
      </c>
      <c r="T451" s="26"/>
      <c r="U451" s="47"/>
      <c r="V451" s="27"/>
      <c r="W451" s="34"/>
      <c r="X451" s="35">
        <f>SUM(T451:W451)</f>
        <v>0</v>
      </c>
      <c r="Y451" s="108">
        <f>S451+X451</f>
        <v>0</v>
      </c>
      <c r="Z451" s="101" t="s">
        <v>346</v>
      </c>
    </row>
    <row r="452" spans="1:26" ht="14.25" thickBot="1" x14ac:dyDescent="0.2">
      <c r="A452" s="90"/>
      <c r="B452" s="62"/>
      <c r="C452" s="63"/>
      <c r="D452" s="64"/>
      <c r="E452" s="65">
        <v>1</v>
      </c>
      <c r="F452" s="35"/>
      <c r="G452" s="62">
        <v>1</v>
      </c>
      <c r="H452" s="63"/>
      <c r="I452" s="64"/>
      <c r="J452" s="65">
        <v>1</v>
      </c>
      <c r="K452" s="35">
        <f t="shared" si="290"/>
        <v>2</v>
      </c>
      <c r="L452" s="14">
        <f t="shared" si="279"/>
        <v>2</v>
      </c>
      <c r="M452" s="126">
        <v>44947</v>
      </c>
      <c r="N452" s="135" t="s">
        <v>341</v>
      </c>
      <c r="O452" s="62"/>
      <c r="P452" s="63"/>
      <c r="Q452" s="64"/>
      <c r="R452" s="65"/>
      <c r="S452" s="120">
        <f t="shared" si="298"/>
        <v>0</v>
      </c>
      <c r="T452" s="62"/>
      <c r="U452" s="63"/>
      <c r="V452" s="64"/>
      <c r="W452" s="65"/>
      <c r="X452" s="120">
        <f>SUM(T452:W452)</f>
        <v>0</v>
      </c>
      <c r="Y452" s="121">
        <f>S452+X452</f>
        <v>0</v>
      </c>
      <c r="Z452" s="101" t="s">
        <v>342</v>
      </c>
    </row>
    <row r="453" spans="1:26" ht="14.25" thickBot="1" x14ac:dyDescent="0.2">
      <c r="A453" s="17" t="s">
        <v>10</v>
      </c>
      <c r="B453" s="38">
        <f>SUM(B428:B452)</f>
        <v>1</v>
      </c>
      <c r="C453" s="48">
        <f>SUM(C428:C452)</f>
        <v>6</v>
      </c>
      <c r="D453" s="39">
        <f>SUM(D428:D452)</f>
        <v>4</v>
      </c>
      <c r="E453" s="40">
        <f>SUM(E428:E452)</f>
        <v>5</v>
      </c>
      <c r="F453" s="36">
        <f>SUM(B453:E453)</f>
        <v>16</v>
      </c>
      <c r="G453" s="38">
        <f>SUM(G428:G452)</f>
        <v>6</v>
      </c>
      <c r="H453" s="48">
        <f>SUM(H428:H452)</f>
        <v>8</v>
      </c>
      <c r="I453" s="39">
        <f>SUM(I428:I452)</f>
        <v>3</v>
      </c>
      <c r="J453" s="40">
        <f>SUM(J428:J452)</f>
        <v>4</v>
      </c>
      <c r="K453" s="36">
        <f>SUM(G453:J453)</f>
        <v>21</v>
      </c>
      <c r="L453" s="37">
        <f t="shared" si="279"/>
        <v>37</v>
      </c>
      <c r="N453" s="133" t="s">
        <v>10</v>
      </c>
      <c r="O453" s="38">
        <f>SUM(O428:O452)</f>
        <v>201</v>
      </c>
      <c r="P453" s="48">
        <f>SUM(P428:P452)</f>
        <v>228</v>
      </c>
      <c r="Q453" s="39">
        <f>SUM(Q428:Q452)</f>
        <v>137</v>
      </c>
      <c r="R453" s="40">
        <f>SUM(R428:R452)</f>
        <v>70</v>
      </c>
      <c r="S453" s="118">
        <f t="shared" si="293"/>
        <v>636</v>
      </c>
      <c r="T453" s="38">
        <f>SUM(T428:T452)</f>
        <v>49</v>
      </c>
      <c r="U453" s="48">
        <f>SUM(U428:U452)</f>
        <v>60</v>
      </c>
      <c r="V453" s="39">
        <f>SUM(V428:V452)</f>
        <v>35</v>
      </c>
      <c r="W453" s="40">
        <f>SUM(W428:W452)</f>
        <v>39</v>
      </c>
      <c r="X453" s="118">
        <f t="shared" si="294"/>
        <v>183</v>
      </c>
      <c r="Y453" s="119">
        <f t="shared" si="283"/>
        <v>819</v>
      </c>
    </row>
    <row r="454" spans="1:26" ht="14.25" thickBot="1" x14ac:dyDescent="0.2">
      <c r="A454" s="22" t="s">
        <v>11</v>
      </c>
      <c r="B454" s="41">
        <f>B427-B453</f>
        <v>6</v>
      </c>
      <c r="C454" s="49">
        <f>C427-C453</f>
        <v>5</v>
      </c>
      <c r="D454" s="42">
        <f t="shared" ref="D454:K454" si="303">D427-D453</f>
        <v>6</v>
      </c>
      <c r="E454" s="43">
        <f t="shared" si="303"/>
        <v>5</v>
      </c>
      <c r="F454" s="61">
        <f t="shared" si="303"/>
        <v>18</v>
      </c>
      <c r="G454" s="41">
        <f t="shared" si="303"/>
        <v>6</v>
      </c>
      <c r="H454" s="49">
        <f t="shared" si="303"/>
        <v>1</v>
      </c>
      <c r="I454" s="42">
        <f t="shared" si="303"/>
        <v>9</v>
      </c>
      <c r="J454" s="43">
        <f t="shared" si="303"/>
        <v>4</v>
      </c>
      <c r="K454" s="61">
        <f t="shared" si="303"/>
        <v>20</v>
      </c>
      <c r="L454" s="21">
        <f t="shared" si="279"/>
        <v>38</v>
      </c>
      <c r="N454" s="17" t="s">
        <v>11</v>
      </c>
      <c r="O454" s="41">
        <f>O427-O453</f>
        <v>40</v>
      </c>
      <c r="P454" s="49">
        <f t="shared" ref="P454:X454" si="304">P427-P453</f>
        <v>136</v>
      </c>
      <c r="Q454" s="42">
        <f t="shared" si="304"/>
        <v>101</v>
      </c>
      <c r="R454" s="43">
        <f t="shared" si="304"/>
        <v>114</v>
      </c>
      <c r="S454" s="61">
        <f t="shared" si="304"/>
        <v>391</v>
      </c>
      <c r="T454" s="41">
        <f t="shared" si="304"/>
        <v>331</v>
      </c>
      <c r="U454" s="49">
        <f t="shared" si="304"/>
        <v>443</v>
      </c>
      <c r="V454" s="42">
        <f t="shared" si="304"/>
        <v>248</v>
      </c>
      <c r="W454" s="43">
        <f t="shared" si="304"/>
        <v>362</v>
      </c>
      <c r="X454" s="61">
        <f t="shared" si="304"/>
        <v>1384</v>
      </c>
      <c r="Y454" s="21">
        <f t="shared" si="283"/>
        <v>1775</v>
      </c>
    </row>
    <row r="455" spans="1:26" x14ac:dyDescent="0.15">
      <c r="N455" s="162"/>
      <c r="O455" s="163">
        <f>O453+O415+O377+O339+O303</f>
        <v>1034</v>
      </c>
      <c r="P455" s="163">
        <f t="shared" ref="P455:Y455" si="305">P453+P415+P377+P339+P303</f>
        <v>1286</v>
      </c>
      <c r="Q455" s="163">
        <f t="shared" si="305"/>
        <v>722</v>
      </c>
      <c r="R455" s="163">
        <f t="shared" si="305"/>
        <v>392</v>
      </c>
      <c r="S455" s="163">
        <f t="shared" si="305"/>
        <v>3434</v>
      </c>
      <c r="T455" s="163">
        <f t="shared" si="305"/>
        <v>819</v>
      </c>
      <c r="U455" s="163">
        <f t="shared" si="305"/>
        <v>962</v>
      </c>
      <c r="V455" s="163">
        <f t="shared" si="305"/>
        <v>589</v>
      </c>
      <c r="W455" s="163">
        <f t="shared" si="305"/>
        <v>412</v>
      </c>
      <c r="X455" s="163">
        <f t="shared" si="305"/>
        <v>2782</v>
      </c>
      <c r="Y455" s="163">
        <f t="shared" si="305"/>
        <v>6216</v>
      </c>
    </row>
    <row r="456" spans="1:26" x14ac:dyDescent="0.15">
      <c r="N456" s="164" t="s">
        <v>352</v>
      </c>
      <c r="O456" s="165">
        <f>O455/$S$455*100</f>
        <v>30.110658124635993</v>
      </c>
      <c r="P456" s="165">
        <f t="shared" ref="P456:S456" si="306">P455/$S$455*100</f>
        <v>37.449039021549211</v>
      </c>
      <c r="Q456" s="165">
        <f t="shared" si="306"/>
        <v>21.025043680838674</v>
      </c>
      <c r="R456" s="165">
        <f t="shared" si="306"/>
        <v>11.415259172976121</v>
      </c>
      <c r="S456" s="165">
        <f t="shared" si="306"/>
        <v>100</v>
      </c>
      <c r="T456" s="165">
        <f>T455/$X$455*100</f>
        <v>29.439252336448597</v>
      </c>
      <c r="U456" s="165">
        <f t="shared" ref="U456:X456" si="307">U455/$X$455*100</f>
        <v>34.579439252336449</v>
      </c>
      <c r="V456" s="165">
        <f t="shared" si="307"/>
        <v>21.171818835370239</v>
      </c>
      <c r="W456" s="165">
        <f t="shared" si="307"/>
        <v>14.809489575844717</v>
      </c>
      <c r="X456" s="165">
        <f t="shared" si="307"/>
        <v>100</v>
      </c>
      <c r="Y456" s="162"/>
    </row>
    <row r="457" spans="1:26" ht="19.5" thickBot="1" x14ac:dyDescent="0.25">
      <c r="A457" s="2" t="s">
        <v>106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105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342" t="s">
        <v>18</v>
      </c>
      <c r="C458" s="350"/>
      <c r="D458" s="350"/>
      <c r="E458" s="350"/>
      <c r="F458" s="351"/>
      <c r="G458" s="345" t="s">
        <v>12</v>
      </c>
      <c r="H458" s="352"/>
      <c r="I458" s="352"/>
      <c r="J458" s="352"/>
      <c r="K458" s="353"/>
      <c r="L458" s="354" t="s">
        <v>1</v>
      </c>
      <c r="N458" s="5" t="s">
        <v>0</v>
      </c>
      <c r="O458" s="342" t="s">
        <v>18</v>
      </c>
      <c r="P458" s="350"/>
      <c r="Q458" s="350"/>
      <c r="R458" s="350"/>
      <c r="S458" s="351"/>
      <c r="T458" s="345" t="s">
        <v>12</v>
      </c>
      <c r="U458" s="352"/>
      <c r="V458" s="352"/>
      <c r="W458" s="352"/>
      <c r="X458" s="353"/>
      <c r="Y458" s="354" t="s">
        <v>1</v>
      </c>
    </row>
    <row r="459" spans="1:26" ht="14.25" thickBot="1" x14ac:dyDescent="0.2">
      <c r="A459" s="5" t="s">
        <v>2</v>
      </c>
      <c r="B459" s="3" t="s">
        <v>13</v>
      </c>
      <c r="C459" s="44" t="s">
        <v>14</v>
      </c>
      <c r="D459" s="4" t="s">
        <v>15</v>
      </c>
      <c r="E459" s="23" t="s">
        <v>16</v>
      </c>
      <c r="F459" s="31" t="s">
        <v>3</v>
      </c>
      <c r="G459" s="3" t="s">
        <v>13</v>
      </c>
      <c r="H459" s="44" t="s">
        <v>14</v>
      </c>
      <c r="I459" s="4" t="s">
        <v>15</v>
      </c>
      <c r="J459" s="23" t="s">
        <v>16</v>
      </c>
      <c r="K459" s="31" t="s">
        <v>3</v>
      </c>
      <c r="L459" s="355"/>
      <c r="N459" s="5" t="s">
        <v>2</v>
      </c>
      <c r="O459" s="3" t="s">
        <v>13</v>
      </c>
      <c r="P459" s="44" t="s">
        <v>14</v>
      </c>
      <c r="Q459" s="4" t="s">
        <v>15</v>
      </c>
      <c r="R459" s="23" t="s">
        <v>16</v>
      </c>
      <c r="S459" s="31" t="s">
        <v>3</v>
      </c>
      <c r="T459" s="3" t="s">
        <v>13</v>
      </c>
      <c r="U459" s="44" t="s">
        <v>14</v>
      </c>
      <c r="V459" s="4" t="s">
        <v>15</v>
      </c>
      <c r="W459" s="23" t="s">
        <v>16</v>
      </c>
      <c r="X459" s="31" t="s">
        <v>3</v>
      </c>
      <c r="Y459" s="355"/>
    </row>
    <row r="460" spans="1:26" x14ac:dyDescent="0.15">
      <c r="A460" s="71" t="s">
        <v>17</v>
      </c>
      <c r="B460" s="72">
        <f>B454</f>
        <v>6</v>
      </c>
      <c r="C460" s="73">
        <f t="shared" ref="C460:L460" si="308">C454</f>
        <v>5</v>
      </c>
      <c r="D460" s="73">
        <f t="shared" si="308"/>
        <v>6</v>
      </c>
      <c r="E460" s="74">
        <f t="shared" si="308"/>
        <v>5</v>
      </c>
      <c r="F460" s="76">
        <f t="shared" si="308"/>
        <v>18</v>
      </c>
      <c r="G460" s="72">
        <f t="shared" si="308"/>
        <v>6</v>
      </c>
      <c r="H460" s="73">
        <f t="shared" si="308"/>
        <v>1</v>
      </c>
      <c r="I460" s="73">
        <f t="shared" si="308"/>
        <v>9</v>
      </c>
      <c r="J460" s="74">
        <f t="shared" si="308"/>
        <v>4</v>
      </c>
      <c r="K460" s="75">
        <f t="shared" si="308"/>
        <v>20</v>
      </c>
      <c r="L460" s="16">
        <f t="shared" si="308"/>
        <v>38</v>
      </c>
      <c r="N460" s="71" t="s">
        <v>17</v>
      </c>
      <c r="O460" s="72">
        <f>O454</f>
        <v>40</v>
      </c>
      <c r="P460" s="73">
        <f t="shared" ref="P460:Y460" si="309">P454</f>
        <v>136</v>
      </c>
      <c r="Q460" s="73">
        <f t="shared" si="309"/>
        <v>101</v>
      </c>
      <c r="R460" s="74">
        <f t="shared" si="309"/>
        <v>114</v>
      </c>
      <c r="S460" s="76">
        <f t="shared" si="309"/>
        <v>391</v>
      </c>
      <c r="T460" s="72">
        <f t="shared" si="309"/>
        <v>331</v>
      </c>
      <c r="U460" s="73">
        <f t="shared" si="309"/>
        <v>443</v>
      </c>
      <c r="V460" s="73">
        <f t="shared" si="309"/>
        <v>248</v>
      </c>
      <c r="W460" s="74">
        <f t="shared" si="309"/>
        <v>362</v>
      </c>
      <c r="X460" s="75">
        <f t="shared" si="309"/>
        <v>1384</v>
      </c>
      <c r="Y460" s="16">
        <f t="shared" si="309"/>
        <v>1775</v>
      </c>
    </row>
    <row r="461" spans="1:26" x14ac:dyDescent="0.15">
      <c r="A461" s="13" t="s">
        <v>5</v>
      </c>
      <c r="B461" s="6"/>
      <c r="C461" s="30"/>
      <c r="D461" s="7"/>
      <c r="E461" s="8"/>
      <c r="F461" s="9">
        <f>SUM(B461:E461)</f>
        <v>0</v>
      </c>
      <c r="G461" s="30"/>
      <c r="H461" s="30">
        <v>5</v>
      </c>
      <c r="I461" s="7"/>
      <c r="J461" s="8"/>
      <c r="K461" s="9">
        <f>SUM(G461:J461)</f>
        <v>5</v>
      </c>
      <c r="L461" s="11">
        <f t="shared" ref="L461:L492" si="310">F461+K461</f>
        <v>5</v>
      </c>
      <c r="M461" s="99">
        <v>44890</v>
      </c>
      <c r="N461" s="13" t="s">
        <v>5</v>
      </c>
      <c r="O461" s="26">
        <v>70</v>
      </c>
      <c r="P461" s="47"/>
      <c r="Q461" s="27"/>
      <c r="R461" s="34"/>
      <c r="S461" s="77">
        <f>SUM(O461:R461)</f>
        <v>70</v>
      </c>
      <c r="T461" s="26"/>
      <c r="U461" s="47"/>
      <c r="V461" s="27"/>
      <c r="W461" s="34"/>
      <c r="X461" s="9">
        <f>SUM(T461:W461)</f>
        <v>0</v>
      </c>
      <c r="Y461" s="11">
        <f t="shared" ref="Y461:Y462" si="311">S461+X461</f>
        <v>70</v>
      </c>
      <c r="Z461" s="99" t="s">
        <v>526</v>
      </c>
    </row>
    <row r="462" spans="1:26" x14ac:dyDescent="0.15">
      <c r="A462" s="13" t="s">
        <v>6</v>
      </c>
      <c r="B462" s="6"/>
      <c r="C462" s="30">
        <v>3</v>
      </c>
      <c r="D462" s="7"/>
      <c r="E462" s="8"/>
      <c r="F462" s="9">
        <f>SUM(B462:E462)</f>
        <v>3</v>
      </c>
      <c r="G462" s="30"/>
      <c r="H462" s="30">
        <v>5</v>
      </c>
      <c r="I462" s="7">
        <v>1</v>
      </c>
      <c r="J462" s="8">
        <v>3</v>
      </c>
      <c r="K462" s="9">
        <f>SUM(G462:J462)</f>
        <v>9</v>
      </c>
      <c r="L462" s="11">
        <f t="shared" si="310"/>
        <v>12</v>
      </c>
      <c r="M462" s="99">
        <v>44894</v>
      </c>
      <c r="N462" s="13" t="s">
        <v>350</v>
      </c>
      <c r="O462" s="26"/>
      <c r="P462" s="47"/>
      <c r="Q462" s="27"/>
      <c r="R462" s="34">
        <v>9</v>
      </c>
      <c r="S462" s="77">
        <f t="shared" ref="S462" si="312">SUM(O462:R462)</f>
        <v>9</v>
      </c>
      <c r="T462" s="26">
        <v>2</v>
      </c>
      <c r="U462" s="47">
        <v>4</v>
      </c>
      <c r="V462" s="27"/>
      <c r="W462" s="34">
        <v>1</v>
      </c>
      <c r="X462" s="9">
        <f t="shared" ref="X462" si="313">SUM(T462:W462)</f>
        <v>7</v>
      </c>
      <c r="Y462" s="11">
        <f t="shared" si="311"/>
        <v>16</v>
      </c>
      <c r="Z462" s="99">
        <v>44898</v>
      </c>
    </row>
    <row r="463" spans="1:26" x14ac:dyDescent="0.15">
      <c r="A463" s="13" t="s">
        <v>49</v>
      </c>
      <c r="B463" s="6">
        <v>9</v>
      </c>
      <c r="C463" s="30">
        <v>9</v>
      </c>
      <c r="D463" s="7">
        <f>8-3</f>
        <v>5</v>
      </c>
      <c r="E463" s="8">
        <v>10</v>
      </c>
      <c r="F463" s="9">
        <f>SUM(B463:E463)</f>
        <v>33</v>
      </c>
      <c r="G463" s="30">
        <v>2</v>
      </c>
      <c r="H463" s="30">
        <v>4</v>
      </c>
      <c r="I463" s="7"/>
      <c r="J463" s="8">
        <v>1</v>
      </c>
      <c r="K463" s="9">
        <f>SUM(G463:J463)</f>
        <v>7</v>
      </c>
      <c r="L463" s="11">
        <f t="shared" si="310"/>
        <v>40</v>
      </c>
      <c r="M463" s="99">
        <v>44894</v>
      </c>
      <c r="N463" s="13" t="s">
        <v>7</v>
      </c>
      <c r="O463" s="26"/>
      <c r="P463" s="47"/>
      <c r="Q463" s="27">
        <v>2</v>
      </c>
      <c r="R463" s="34">
        <v>3</v>
      </c>
      <c r="S463" s="77">
        <f>SUM(O463:R463)</f>
        <v>5</v>
      </c>
      <c r="T463" s="47">
        <v>2</v>
      </c>
      <c r="U463" s="47">
        <v>5</v>
      </c>
      <c r="V463" s="27"/>
      <c r="W463" s="50">
        <v>2</v>
      </c>
      <c r="X463" s="9">
        <f>SUM(T463:W463)</f>
        <v>9</v>
      </c>
      <c r="Y463" s="11">
        <f t="shared" ref="Y463:Y492" si="314">S463+X463</f>
        <v>14</v>
      </c>
      <c r="Z463" s="126">
        <v>44912</v>
      </c>
    </row>
    <row r="464" spans="1:26" ht="14.25" thickBot="1" x14ac:dyDescent="0.2">
      <c r="A464" s="13" t="s">
        <v>49</v>
      </c>
      <c r="B464" s="6">
        <v>8</v>
      </c>
      <c r="C464" s="30">
        <v>12</v>
      </c>
      <c r="D464" s="7">
        <v>3</v>
      </c>
      <c r="E464" s="8">
        <v>3</v>
      </c>
      <c r="F464" s="10">
        <f>SUM(B464:E464)</f>
        <v>26</v>
      </c>
      <c r="G464" s="30">
        <v>3</v>
      </c>
      <c r="H464" s="30">
        <v>5</v>
      </c>
      <c r="I464" s="7"/>
      <c r="J464" s="8">
        <v>2</v>
      </c>
      <c r="K464" s="10">
        <f>SUM(G464:J464)</f>
        <v>10</v>
      </c>
      <c r="L464" s="14">
        <f t="shared" si="310"/>
        <v>36</v>
      </c>
      <c r="M464" s="126">
        <v>44904</v>
      </c>
      <c r="N464" s="13" t="s">
        <v>8</v>
      </c>
      <c r="O464" s="62"/>
      <c r="P464" s="63"/>
      <c r="Q464" s="64"/>
      <c r="R464" s="65"/>
      <c r="S464" s="78">
        <f>SUM(O464:R464)</f>
        <v>0</v>
      </c>
      <c r="T464" s="47"/>
      <c r="U464" s="47">
        <v>13</v>
      </c>
      <c r="V464" s="27">
        <v>7</v>
      </c>
      <c r="W464" s="50">
        <v>11</v>
      </c>
      <c r="X464" s="10">
        <f>SUM(T464:W464)</f>
        <v>31</v>
      </c>
      <c r="Y464" s="14">
        <f t="shared" si="314"/>
        <v>31</v>
      </c>
      <c r="Z464" s="126">
        <v>44919</v>
      </c>
    </row>
    <row r="465" spans="1:27" ht="14.25" thickBot="1" x14ac:dyDescent="0.2">
      <c r="A465" s="22" t="s">
        <v>9</v>
      </c>
      <c r="B465" s="18">
        <f t="shared" ref="B465:K465" si="315">SUM(B460:B464)</f>
        <v>23</v>
      </c>
      <c r="C465" s="45">
        <f t="shared" si="315"/>
        <v>29</v>
      </c>
      <c r="D465" s="19">
        <f t="shared" si="315"/>
        <v>14</v>
      </c>
      <c r="E465" s="20">
        <f t="shared" si="315"/>
        <v>18</v>
      </c>
      <c r="F465" s="28">
        <f t="shared" si="315"/>
        <v>80</v>
      </c>
      <c r="G465" s="18">
        <f t="shared" si="315"/>
        <v>11</v>
      </c>
      <c r="H465" s="45">
        <f t="shared" si="315"/>
        <v>20</v>
      </c>
      <c r="I465" s="19">
        <f t="shared" si="315"/>
        <v>10</v>
      </c>
      <c r="J465" s="20">
        <f t="shared" si="315"/>
        <v>10</v>
      </c>
      <c r="K465" s="28">
        <f t="shared" si="315"/>
        <v>51</v>
      </c>
      <c r="L465" s="21">
        <f t="shared" si="310"/>
        <v>131</v>
      </c>
      <c r="N465" s="17" t="s">
        <v>9</v>
      </c>
      <c r="O465" s="41">
        <f>SUM(O460:O464)</f>
        <v>110</v>
      </c>
      <c r="P465" s="49">
        <f t="shared" ref="P465:V465" si="316">SUM(P460:P464)</f>
        <v>136</v>
      </c>
      <c r="Q465" s="42">
        <f t="shared" si="316"/>
        <v>103</v>
      </c>
      <c r="R465" s="92">
        <f t="shared" si="316"/>
        <v>126</v>
      </c>
      <c r="S465" s="93">
        <f t="shared" si="316"/>
        <v>475</v>
      </c>
      <c r="T465" s="41">
        <f t="shared" si="316"/>
        <v>335</v>
      </c>
      <c r="U465" s="49">
        <f t="shared" si="316"/>
        <v>465</v>
      </c>
      <c r="V465" s="42">
        <f t="shared" si="316"/>
        <v>255</v>
      </c>
      <c r="W465" s="92">
        <f>SUM(W460:W464)</f>
        <v>376</v>
      </c>
      <c r="X465" s="93">
        <f t="shared" ref="X465" si="317">SUM(X460:X464)</f>
        <v>1431</v>
      </c>
      <c r="Y465" s="56">
        <f t="shared" si="314"/>
        <v>1906</v>
      </c>
    </row>
    <row r="466" spans="1:27" x14ac:dyDescent="0.15">
      <c r="A466" s="32" t="s">
        <v>403</v>
      </c>
      <c r="B466" s="24">
        <v>6</v>
      </c>
      <c r="C466" s="46"/>
      <c r="D466" s="25"/>
      <c r="E466" s="33"/>
      <c r="F466" s="35">
        <f>SUM(B466:E466)</f>
        <v>6</v>
      </c>
      <c r="G466" s="24"/>
      <c r="H466" s="46"/>
      <c r="I466" s="25"/>
      <c r="J466" s="33"/>
      <c r="K466" s="35">
        <f>SUM(G466:J466)</f>
        <v>0</v>
      </c>
      <c r="L466" s="11">
        <f t="shared" si="310"/>
        <v>6</v>
      </c>
      <c r="M466" s="99">
        <v>44893</v>
      </c>
      <c r="N466" s="32" t="s">
        <v>397</v>
      </c>
      <c r="O466" s="66">
        <v>7</v>
      </c>
      <c r="P466" s="67">
        <v>6</v>
      </c>
      <c r="Q466" s="68"/>
      <c r="R466" s="94">
        <v>7</v>
      </c>
      <c r="S466" s="91">
        <f>SUM(O466:R466)</f>
        <v>20</v>
      </c>
      <c r="T466" s="67"/>
      <c r="U466" s="67">
        <v>2</v>
      </c>
      <c r="V466" s="68"/>
      <c r="W466" s="94">
        <v>2</v>
      </c>
      <c r="X466" s="91">
        <f>SUM(T466:W466)</f>
        <v>4</v>
      </c>
      <c r="Y466" s="11">
        <f t="shared" si="314"/>
        <v>24</v>
      </c>
      <c r="Z466" s="99">
        <v>44887</v>
      </c>
    </row>
    <row r="467" spans="1:27" x14ac:dyDescent="0.15">
      <c r="A467" s="13" t="s">
        <v>41</v>
      </c>
      <c r="B467" s="26"/>
      <c r="C467" s="47">
        <v>1</v>
      </c>
      <c r="D467" s="27"/>
      <c r="E467" s="34"/>
      <c r="F467" s="35">
        <f>SUM(B467:E467)</f>
        <v>1</v>
      </c>
      <c r="G467" s="26">
        <v>1</v>
      </c>
      <c r="H467" s="47">
        <v>1</v>
      </c>
      <c r="I467" s="27"/>
      <c r="J467" s="34">
        <v>1</v>
      </c>
      <c r="K467" s="35">
        <f>SUM(G467:J467)</f>
        <v>3</v>
      </c>
      <c r="L467" s="11">
        <f t="shared" si="310"/>
        <v>4</v>
      </c>
      <c r="M467" s="126">
        <v>44890</v>
      </c>
      <c r="N467" s="32" t="s">
        <v>399</v>
      </c>
      <c r="O467" s="26">
        <v>8</v>
      </c>
      <c r="P467" s="47">
        <v>2</v>
      </c>
      <c r="Q467" s="27">
        <v>1</v>
      </c>
      <c r="R467" s="34">
        <v>4</v>
      </c>
      <c r="S467" s="35">
        <f t="shared" ref="S467:S468" si="318">SUM(O467:R467)</f>
        <v>15</v>
      </c>
      <c r="T467" s="26">
        <v>3</v>
      </c>
      <c r="U467" s="47">
        <v>3</v>
      </c>
      <c r="V467" s="27">
        <v>4</v>
      </c>
      <c r="W467" s="34">
        <v>1</v>
      </c>
      <c r="X467" s="35">
        <f t="shared" ref="X467:X468" si="319">SUM(T467:W467)</f>
        <v>11</v>
      </c>
      <c r="Y467" s="11">
        <f t="shared" si="314"/>
        <v>26</v>
      </c>
      <c r="Z467" s="99">
        <v>44889</v>
      </c>
      <c r="AA467" s="58"/>
    </row>
    <row r="468" spans="1:27" x14ac:dyDescent="0.15">
      <c r="A468" s="13" t="s">
        <v>41</v>
      </c>
      <c r="B468" s="26"/>
      <c r="C468" s="47"/>
      <c r="D468" s="27"/>
      <c r="E468" s="34">
        <f>1+1</f>
        <v>2</v>
      </c>
      <c r="F468" s="35">
        <f t="shared" ref="F468:F490" si="320">SUM(B468:E468)</f>
        <v>2</v>
      </c>
      <c r="G468" s="26"/>
      <c r="H468" s="47"/>
      <c r="I468" s="27"/>
      <c r="J468" s="34">
        <f>1+1</f>
        <v>2</v>
      </c>
      <c r="K468" s="35">
        <f t="shared" ref="K468:K490" si="321">SUM(G468:J468)</f>
        <v>2</v>
      </c>
      <c r="L468" s="11">
        <f t="shared" si="310"/>
        <v>4</v>
      </c>
      <c r="M468" s="126">
        <v>44893</v>
      </c>
      <c r="N468" s="32" t="s">
        <v>400</v>
      </c>
      <c r="O468" s="26">
        <v>5</v>
      </c>
      <c r="P468" s="47">
        <v>6</v>
      </c>
      <c r="Q468" s="27">
        <v>2</v>
      </c>
      <c r="R468" s="34"/>
      <c r="S468" s="35">
        <f t="shared" si="318"/>
        <v>13</v>
      </c>
      <c r="T468" s="26"/>
      <c r="U468" s="47">
        <v>3</v>
      </c>
      <c r="V468" s="27"/>
      <c r="W468" s="34">
        <v>1</v>
      </c>
      <c r="X468" s="35">
        <f t="shared" si="319"/>
        <v>4</v>
      </c>
      <c r="Y468" s="11">
        <f t="shared" si="314"/>
        <v>17</v>
      </c>
      <c r="Z468" s="99">
        <v>44890</v>
      </c>
      <c r="AA468" s="58"/>
    </row>
    <row r="469" spans="1:27" x14ac:dyDescent="0.15">
      <c r="A469" s="32" t="s">
        <v>410</v>
      </c>
      <c r="B469" s="66">
        <v>9</v>
      </c>
      <c r="C469" s="67"/>
      <c r="D469" s="68"/>
      <c r="E469" s="69"/>
      <c r="F469" s="70">
        <f t="shared" si="320"/>
        <v>9</v>
      </c>
      <c r="G469" s="66"/>
      <c r="H469" s="67"/>
      <c r="I469" s="68"/>
      <c r="J469" s="69"/>
      <c r="K469" s="70">
        <f t="shared" si="321"/>
        <v>0</v>
      </c>
      <c r="L469" s="11">
        <f t="shared" si="310"/>
        <v>9</v>
      </c>
      <c r="M469" s="99">
        <v>44896</v>
      </c>
      <c r="N469" s="15" t="s">
        <v>34</v>
      </c>
      <c r="O469" s="66"/>
      <c r="P469" s="67"/>
      <c r="Q469" s="68"/>
      <c r="R469" s="94"/>
      <c r="S469" s="91">
        <f>SUM(O469:R469)</f>
        <v>0</v>
      </c>
      <c r="T469" s="67"/>
      <c r="U469" s="67">
        <v>5</v>
      </c>
      <c r="V469" s="68"/>
      <c r="W469" s="94"/>
      <c r="X469" s="91">
        <f>SUM(T469:W469)</f>
        <v>5</v>
      </c>
      <c r="Y469" s="11">
        <f t="shared" si="314"/>
        <v>5</v>
      </c>
      <c r="Z469" s="99">
        <v>44890</v>
      </c>
    </row>
    <row r="470" spans="1:27" x14ac:dyDescent="0.15">
      <c r="A470" s="13" t="s">
        <v>41</v>
      </c>
      <c r="B470" s="26"/>
      <c r="C470" s="47"/>
      <c r="D470" s="27"/>
      <c r="E470" s="34"/>
      <c r="F470" s="35">
        <f t="shared" si="320"/>
        <v>0</v>
      </c>
      <c r="G470" s="26">
        <v>1</v>
      </c>
      <c r="H470" s="47"/>
      <c r="I470" s="27"/>
      <c r="J470" s="34"/>
      <c r="K470" s="35">
        <f t="shared" si="321"/>
        <v>1</v>
      </c>
      <c r="L470" s="11">
        <f t="shared" si="310"/>
        <v>1</v>
      </c>
      <c r="M470" s="126">
        <v>44895</v>
      </c>
      <c r="N470" s="32" t="s">
        <v>404</v>
      </c>
      <c r="O470" s="26">
        <v>20</v>
      </c>
      <c r="P470" s="47">
        <v>79</v>
      </c>
      <c r="Q470" s="27">
        <v>40</v>
      </c>
      <c r="R470" s="34">
        <v>21</v>
      </c>
      <c r="S470" s="35">
        <f t="shared" ref="S470:S472" si="322">SUM(O470:R470)</f>
        <v>160</v>
      </c>
      <c r="T470" s="26">
        <v>18</v>
      </c>
      <c r="U470" s="47">
        <v>23</v>
      </c>
      <c r="V470" s="27">
        <v>14</v>
      </c>
      <c r="W470" s="34">
        <v>12</v>
      </c>
      <c r="X470" s="35">
        <f t="shared" ref="X470:X472" si="323">SUM(T470:W470)</f>
        <v>67</v>
      </c>
      <c r="Y470" s="11">
        <f t="shared" si="314"/>
        <v>227</v>
      </c>
      <c r="Z470" s="99">
        <v>44893</v>
      </c>
    </row>
    <row r="471" spans="1:27" x14ac:dyDescent="0.15">
      <c r="A471" s="32" t="s">
        <v>412</v>
      </c>
      <c r="B471" s="26"/>
      <c r="C471" s="47">
        <v>16</v>
      </c>
      <c r="D471" s="27"/>
      <c r="E471" s="34"/>
      <c r="F471" s="35">
        <f t="shared" si="320"/>
        <v>16</v>
      </c>
      <c r="G471" s="26"/>
      <c r="H471" s="47"/>
      <c r="I471" s="27"/>
      <c r="J471" s="34"/>
      <c r="K471" s="35">
        <f t="shared" si="321"/>
        <v>0</v>
      </c>
      <c r="L471" s="11">
        <f t="shared" si="310"/>
        <v>16</v>
      </c>
      <c r="M471" s="99">
        <v>44897</v>
      </c>
      <c r="N471" s="32" t="s">
        <v>405</v>
      </c>
      <c r="O471" s="26">
        <v>42</v>
      </c>
      <c r="P471" s="47"/>
      <c r="Q471" s="27"/>
      <c r="R471" s="34"/>
      <c r="S471" s="35">
        <f t="shared" si="322"/>
        <v>42</v>
      </c>
      <c r="T471" s="26"/>
      <c r="U471" s="47"/>
      <c r="V471" s="27"/>
      <c r="W471" s="34"/>
      <c r="X471" s="35">
        <f t="shared" si="323"/>
        <v>0</v>
      </c>
      <c r="Y471" s="11">
        <f t="shared" si="314"/>
        <v>42</v>
      </c>
      <c r="Z471" s="99">
        <v>44894</v>
      </c>
    </row>
    <row r="472" spans="1:27" x14ac:dyDescent="0.15">
      <c r="A472" s="32" t="s">
        <v>414</v>
      </c>
      <c r="B472" s="26"/>
      <c r="C472" s="47"/>
      <c r="D472" s="27">
        <v>11</v>
      </c>
      <c r="E472" s="34"/>
      <c r="F472" s="35">
        <f t="shared" si="320"/>
        <v>11</v>
      </c>
      <c r="G472" s="26"/>
      <c r="H472" s="47"/>
      <c r="I472" s="27"/>
      <c r="J472" s="34"/>
      <c r="K472" s="35">
        <f t="shared" si="321"/>
        <v>0</v>
      </c>
      <c r="L472" s="11">
        <f t="shared" si="310"/>
        <v>11</v>
      </c>
      <c r="M472" s="99">
        <v>44900</v>
      </c>
      <c r="N472" s="15" t="s">
        <v>34</v>
      </c>
      <c r="O472" s="26"/>
      <c r="P472" s="47">
        <v>3</v>
      </c>
      <c r="Q472" s="27"/>
      <c r="R472" s="34"/>
      <c r="S472" s="35">
        <f t="shared" si="322"/>
        <v>3</v>
      </c>
      <c r="T472" s="26"/>
      <c r="U472" s="47">
        <v>5</v>
      </c>
      <c r="V472" s="27">
        <v>1</v>
      </c>
      <c r="W472" s="34">
        <v>3</v>
      </c>
      <c r="X472" s="35">
        <f t="shared" si="323"/>
        <v>9</v>
      </c>
      <c r="Y472" s="11">
        <f t="shared" si="314"/>
        <v>12</v>
      </c>
      <c r="Z472" s="99">
        <v>44894</v>
      </c>
    </row>
    <row r="473" spans="1:27" x14ac:dyDescent="0.15">
      <c r="A473" s="13" t="s">
        <v>41</v>
      </c>
      <c r="B473" s="26"/>
      <c r="C473" s="47"/>
      <c r="D473" s="27"/>
      <c r="E473" s="34">
        <v>9</v>
      </c>
      <c r="F473" s="35">
        <f t="shared" si="320"/>
        <v>9</v>
      </c>
      <c r="G473" s="26">
        <v>2</v>
      </c>
      <c r="H473" s="47">
        <v>4</v>
      </c>
      <c r="I473" s="27"/>
      <c r="J473" s="34">
        <v>1</v>
      </c>
      <c r="K473" s="35">
        <f t="shared" si="321"/>
        <v>7</v>
      </c>
      <c r="L473" s="11">
        <f t="shared" si="310"/>
        <v>16</v>
      </c>
      <c r="M473" s="126">
        <v>44898</v>
      </c>
      <c r="N473" s="32" t="s">
        <v>407</v>
      </c>
      <c r="O473" s="26"/>
      <c r="P473" s="47"/>
      <c r="Q473" s="27"/>
      <c r="R473" s="50">
        <v>1</v>
      </c>
      <c r="S473" s="9">
        <f>SUM(O473:R473)</f>
        <v>1</v>
      </c>
      <c r="T473" s="47">
        <v>4</v>
      </c>
      <c r="U473" s="47"/>
      <c r="V473" s="27"/>
      <c r="W473" s="50"/>
      <c r="X473" s="9">
        <f>SUM(T473:W473)</f>
        <v>4</v>
      </c>
      <c r="Y473" s="11">
        <f t="shared" si="314"/>
        <v>5</v>
      </c>
      <c r="Z473" s="99">
        <v>44895</v>
      </c>
    </row>
    <row r="474" spans="1:27" x14ac:dyDescent="0.15">
      <c r="A474" s="13" t="s">
        <v>41</v>
      </c>
      <c r="B474" s="26"/>
      <c r="C474" s="47"/>
      <c r="D474" s="27"/>
      <c r="E474" s="34"/>
      <c r="F474" s="35">
        <f t="shared" si="320"/>
        <v>0</v>
      </c>
      <c r="G474" s="26"/>
      <c r="H474" s="47">
        <v>2</v>
      </c>
      <c r="I474" s="27"/>
      <c r="J474" s="34"/>
      <c r="K474" s="35">
        <f t="shared" si="321"/>
        <v>2</v>
      </c>
      <c r="L474" s="11">
        <f t="shared" si="310"/>
        <v>2</v>
      </c>
      <c r="M474" s="126">
        <v>44901</v>
      </c>
      <c r="N474" s="32" t="s">
        <v>410</v>
      </c>
      <c r="O474" s="26">
        <v>28</v>
      </c>
      <c r="P474" s="47">
        <v>39</v>
      </c>
      <c r="Q474" s="27">
        <v>33</v>
      </c>
      <c r="R474" s="34">
        <v>11</v>
      </c>
      <c r="S474" s="35">
        <f t="shared" ref="S474:S491" si="324">SUM(O474:R474)</f>
        <v>111</v>
      </c>
      <c r="T474" s="26">
        <v>6</v>
      </c>
      <c r="U474" s="47">
        <v>12</v>
      </c>
      <c r="V474" s="27">
        <v>9</v>
      </c>
      <c r="W474" s="34"/>
      <c r="X474" s="35">
        <f t="shared" ref="X474:X491" si="325">SUM(T474:W474)</f>
        <v>27</v>
      </c>
      <c r="Y474" s="11">
        <f t="shared" si="314"/>
        <v>138</v>
      </c>
      <c r="Z474" s="99">
        <v>44896</v>
      </c>
    </row>
    <row r="475" spans="1:27" x14ac:dyDescent="0.15">
      <c r="A475" s="13" t="s">
        <v>41</v>
      </c>
      <c r="B475" s="26"/>
      <c r="C475" s="47"/>
      <c r="D475" s="27"/>
      <c r="E475" s="34">
        <v>1</v>
      </c>
      <c r="F475" s="35">
        <f t="shared" si="320"/>
        <v>1</v>
      </c>
      <c r="G475" s="26"/>
      <c r="H475" s="47"/>
      <c r="I475" s="27"/>
      <c r="J475" s="34"/>
      <c r="K475" s="35">
        <f t="shared" si="321"/>
        <v>0</v>
      </c>
      <c r="L475" s="11">
        <f t="shared" si="310"/>
        <v>1</v>
      </c>
      <c r="M475" s="126">
        <v>44902</v>
      </c>
      <c r="N475" s="32" t="s">
        <v>413</v>
      </c>
      <c r="O475" s="26">
        <v>0</v>
      </c>
      <c r="P475" s="47">
        <v>0</v>
      </c>
      <c r="Q475" s="27">
        <v>5</v>
      </c>
      <c r="R475" s="34">
        <v>7</v>
      </c>
      <c r="S475" s="35">
        <f t="shared" ref="S475" si="326">SUM(O475:R475)</f>
        <v>12</v>
      </c>
      <c r="T475" s="26">
        <v>6</v>
      </c>
      <c r="U475" s="47">
        <v>4</v>
      </c>
      <c r="V475" s="27">
        <v>2</v>
      </c>
      <c r="W475" s="34"/>
      <c r="X475" s="35">
        <f t="shared" ref="X475" si="327">SUM(T475:W475)</f>
        <v>12</v>
      </c>
      <c r="Y475" s="11">
        <f t="shared" ref="Y475" si="328">S475+X475</f>
        <v>24</v>
      </c>
      <c r="Z475" s="99">
        <v>44897</v>
      </c>
    </row>
    <row r="476" spans="1:27" x14ac:dyDescent="0.15">
      <c r="A476" s="13" t="s">
        <v>41</v>
      </c>
      <c r="B476" s="26"/>
      <c r="C476" s="47"/>
      <c r="D476" s="27"/>
      <c r="E476" s="34"/>
      <c r="F476" s="35">
        <f t="shared" si="320"/>
        <v>0</v>
      </c>
      <c r="G476" s="26"/>
      <c r="H476" s="47"/>
      <c r="I476" s="27">
        <v>1</v>
      </c>
      <c r="J476" s="34">
        <v>1</v>
      </c>
      <c r="K476" s="35">
        <f t="shared" si="321"/>
        <v>2</v>
      </c>
      <c r="L476" s="11">
        <f t="shared" si="310"/>
        <v>2</v>
      </c>
      <c r="M476" s="126">
        <v>44907</v>
      </c>
      <c r="N476" s="32" t="s">
        <v>414</v>
      </c>
      <c r="O476" s="26">
        <v>0</v>
      </c>
      <c r="P476" s="47">
        <v>0</v>
      </c>
      <c r="Q476" s="27">
        <v>20</v>
      </c>
      <c r="R476" s="34">
        <v>19</v>
      </c>
      <c r="S476" s="35">
        <f t="shared" si="324"/>
        <v>39</v>
      </c>
      <c r="T476" s="26">
        <v>20</v>
      </c>
      <c r="U476" s="47">
        <v>22</v>
      </c>
      <c r="V476" s="27">
        <v>13</v>
      </c>
      <c r="W476" s="34">
        <v>11</v>
      </c>
      <c r="X476" s="35">
        <f t="shared" si="325"/>
        <v>66</v>
      </c>
      <c r="Y476" s="11">
        <f t="shared" si="314"/>
        <v>105</v>
      </c>
      <c r="Z476" s="99">
        <v>44900</v>
      </c>
    </row>
    <row r="477" spans="1:27" x14ac:dyDescent="0.15">
      <c r="A477" s="13" t="s">
        <v>426</v>
      </c>
      <c r="B477" s="26"/>
      <c r="C477" s="47"/>
      <c r="D477" s="27">
        <v>1</v>
      </c>
      <c r="E477" s="34"/>
      <c r="F477" s="35">
        <f t="shared" si="320"/>
        <v>1</v>
      </c>
      <c r="G477" s="26"/>
      <c r="H477" s="47"/>
      <c r="I477" s="27"/>
      <c r="J477" s="34"/>
      <c r="K477" s="35">
        <f t="shared" si="321"/>
        <v>0</v>
      </c>
      <c r="L477" s="11">
        <f t="shared" si="310"/>
        <v>1</v>
      </c>
      <c r="M477" s="126">
        <v>44908</v>
      </c>
      <c r="N477" s="32" t="s">
        <v>415</v>
      </c>
      <c r="O477" s="26"/>
      <c r="P477" s="47">
        <v>0</v>
      </c>
      <c r="Q477" s="27">
        <v>0</v>
      </c>
      <c r="R477" s="34"/>
      <c r="S477" s="35">
        <f t="shared" si="324"/>
        <v>0</v>
      </c>
      <c r="T477" s="26">
        <v>9</v>
      </c>
      <c r="U477" s="47"/>
      <c r="V477" s="27">
        <v>1</v>
      </c>
      <c r="W477" s="34">
        <v>1</v>
      </c>
      <c r="X477" s="35">
        <f t="shared" si="325"/>
        <v>11</v>
      </c>
      <c r="Y477" s="11">
        <f t="shared" si="314"/>
        <v>11</v>
      </c>
      <c r="Z477" s="99">
        <v>44902</v>
      </c>
    </row>
    <row r="478" spans="1:27" x14ac:dyDescent="0.15">
      <c r="A478" s="15" t="s">
        <v>429</v>
      </c>
      <c r="B478" s="26"/>
      <c r="C478" s="47"/>
      <c r="D478" s="27">
        <v>2</v>
      </c>
      <c r="E478" s="34">
        <v>3</v>
      </c>
      <c r="F478" s="35">
        <f t="shared" si="320"/>
        <v>5</v>
      </c>
      <c r="G478" s="26">
        <v>2</v>
      </c>
      <c r="H478" s="47">
        <v>5</v>
      </c>
      <c r="I478" s="27"/>
      <c r="J478" s="34">
        <v>2</v>
      </c>
      <c r="K478" s="35">
        <f t="shared" si="321"/>
        <v>9</v>
      </c>
      <c r="L478" s="11">
        <f t="shared" si="310"/>
        <v>14</v>
      </c>
      <c r="M478" s="126">
        <v>44912</v>
      </c>
      <c r="N478" s="32" t="s">
        <v>416</v>
      </c>
      <c r="O478" s="26">
        <v>0</v>
      </c>
      <c r="P478" s="47">
        <v>0</v>
      </c>
      <c r="Q478" s="27">
        <v>0</v>
      </c>
      <c r="R478" s="34">
        <v>13</v>
      </c>
      <c r="S478" s="35">
        <f t="shared" si="324"/>
        <v>13</v>
      </c>
      <c r="T478" s="26">
        <v>14</v>
      </c>
      <c r="U478" s="47">
        <v>7</v>
      </c>
      <c r="V478" s="27">
        <v>7</v>
      </c>
      <c r="W478" s="34">
        <v>7</v>
      </c>
      <c r="X478" s="35">
        <f t="shared" si="325"/>
        <v>35</v>
      </c>
      <c r="Y478" s="11">
        <f t="shared" si="314"/>
        <v>48</v>
      </c>
      <c r="Z478" s="99">
        <v>44903</v>
      </c>
      <c r="AA478" s="58"/>
    </row>
    <row r="479" spans="1:27" x14ac:dyDescent="0.15">
      <c r="A479" s="13" t="s">
        <v>166</v>
      </c>
      <c r="B479" s="26"/>
      <c r="C479" s="47"/>
      <c r="D479" s="27"/>
      <c r="E479" s="34"/>
      <c r="F479" s="35">
        <f t="shared" si="320"/>
        <v>0</v>
      </c>
      <c r="G479" s="26">
        <v>-1</v>
      </c>
      <c r="H479" s="47">
        <v>-8</v>
      </c>
      <c r="I479" s="27">
        <v>-6</v>
      </c>
      <c r="J479" s="34">
        <v>-6</v>
      </c>
      <c r="K479" s="35">
        <f t="shared" si="321"/>
        <v>-21</v>
      </c>
      <c r="L479" s="11">
        <f t="shared" si="310"/>
        <v>-21</v>
      </c>
      <c r="M479" s="126">
        <v>44915</v>
      </c>
      <c r="N479" s="90" t="s">
        <v>421</v>
      </c>
      <c r="O479" s="26"/>
      <c r="P479" s="47"/>
      <c r="Q479" s="27"/>
      <c r="R479" s="34"/>
      <c r="S479" s="35">
        <f t="shared" si="324"/>
        <v>0</v>
      </c>
      <c r="T479" s="26"/>
      <c r="U479" s="47"/>
      <c r="V479" s="27"/>
      <c r="W479" s="34">
        <v>5</v>
      </c>
      <c r="X479" s="35">
        <f t="shared" si="325"/>
        <v>5</v>
      </c>
      <c r="Y479" s="11">
        <f t="shared" si="314"/>
        <v>5</v>
      </c>
      <c r="Z479" s="99">
        <v>44908</v>
      </c>
    </row>
    <row r="480" spans="1:27" x14ac:dyDescent="0.15">
      <c r="A480" s="15"/>
      <c r="B480" s="26"/>
      <c r="C480" s="47"/>
      <c r="D480" s="27"/>
      <c r="E480" s="34"/>
      <c r="F480" s="35">
        <f t="shared" si="320"/>
        <v>0</v>
      </c>
      <c r="G480" s="26"/>
      <c r="H480" s="47"/>
      <c r="I480" s="27"/>
      <c r="J480" s="34"/>
      <c r="K480" s="35">
        <f t="shared" si="321"/>
        <v>0</v>
      </c>
      <c r="L480" s="11">
        <f t="shared" si="310"/>
        <v>0</v>
      </c>
      <c r="N480" s="32" t="s">
        <v>417</v>
      </c>
      <c r="O480" s="26">
        <v>0</v>
      </c>
      <c r="P480" s="47">
        <v>0</v>
      </c>
      <c r="Q480" s="27">
        <v>0</v>
      </c>
      <c r="R480" s="34">
        <v>7</v>
      </c>
      <c r="S480" s="35">
        <f t="shared" si="324"/>
        <v>7</v>
      </c>
      <c r="T480" s="26">
        <v>16</v>
      </c>
      <c r="U480" s="47">
        <v>16</v>
      </c>
      <c r="V480" s="27">
        <v>6</v>
      </c>
      <c r="W480" s="34">
        <v>4</v>
      </c>
      <c r="X480" s="35">
        <f t="shared" si="325"/>
        <v>42</v>
      </c>
      <c r="Y480" s="11">
        <f t="shared" si="314"/>
        <v>49</v>
      </c>
      <c r="Z480" s="99">
        <v>44904</v>
      </c>
    </row>
    <row r="481" spans="1:26" x14ac:dyDescent="0.15">
      <c r="A481" s="13"/>
      <c r="B481" s="26"/>
      <c r="C481" s="47"/>
      <c r="D481" s="27"/>
      <c r="E481" s="34"/>
      <c r="F481" s="35">
        <f t="shared" si="320"/>
        <v>0</v>
      </c>
      <c r="G481" s="26"/>
      <c r="H481" s="47"/>
      <c r="I481" s="27"/>
      <c r="J481" s="34"/>
      <c r="K481" s="35">
        <f t="shared" si="321"/>
        <v>0</v>
      </c>
      <c r="L481" s="11">
        <f t="shared" si="310"/>
        <v>0</v>
      </c>
      <c r="N481" s="32" t="s">
        <v>418</v>
      </c>
      <c r="O481" s="26"/>
      <c r="P481" s="47">
        <v>0</v>
      </c>
      <c r="Q481" s="27">
        <v>0</v>
      </c>
      <c r="R481" s="34"/>
      <c r="S481" s="35">
        <f t="shared" si="324"/>
        <v>0</v>
      </c>
      <c r="T481" s="26"/>
      <c r="U481" s="47">
        <v>7</v>
      </c>
      <c r="V481" s="27">
        <v>4</v>
      </c>
      <c r="W481" s="34">
        <v>2</v>
      </c>
      <c r="X481" s="35">
        <f t="shared" si="325"/>
        <v>13</v>
      </c>
      <c r="Y481" s="11">
        <f t="shared" si="314"/>
        <v>13</v>
      </c>
      <c r="Z481" s="99">
        <v>44907</v>
      </c>
    </row>
    <row r="482" spans="1:26" x14ac:dyDescent="0.15">
      <c r="A482" s="15"/>
      <c r="B482" s="26"/>
      <c r="C482" s="47"/>
      <c r="D482" s="27"/>
      <c r="E482" s="34"/>
      <c r="F482" s="35">
        <f t="shared" si="320"/>
        <v>0</v>
      </c>
      <c r="G482" s="26"/>
      <c r="H482" s="47"/>
      <c r="I482" s="27"/>
      <c r="J482" s="34"/>
      <c r="K482" s="35">
        <f t="shared" si="321"/>
        <v>0</v>
      </c>
      <c r="L482" s="11">
        <f t="shared" si="310"/>
        <v>0</v>
      </c>
      <c r="N482" s="57"/>
      <c r="O482" s="26"/>
      <c r="P482" s="47"/>
      <c r="Q482" s="27"/>
      <c r="R482" s="34"/>
      <c r="S482" s="35">
        <f t="shared" si="324"/>
        <v>0</v>
      </c>
      <c r="T482" s="26"/>
      <c r="U482" s="47"/>
      <c r="V482" s="27"/>
      <c r="W482" s="34"/>
      <c r="X482" s="35">
        <f t="shared" si="325"/>
        <v>0</v>
      </c>
      <c r="Y482" s="11">
        <f t="shared" si="314"/>
        <v>0</v>
      </c>
    </row>
    <row r="483" spans="1:26" x14ac:dyDescent="0.15">
      <c r="A483" s="15"/>
      <c r="B483" s="26"/>
      <c r="C483" s="47"/>
      <c r="D483" s="27"/>
      <c r="E483" s="34"/>
      <c r="F483" s="35">
        <f t="shared" si="320"/>
        <v>0</v>
      </c>
      <c r="G483" s="26"/>
      <c r="H483" s="47"/>
      <c r="I483" s="27"/>
      <c r="J483" s="34"/>
      <c r="K483" s="35">
        <f t="shared" si="321"/>
        <v>0</v>
      </c>
      <c r="L483" s="11">
        <f t="shared" si="310"/>
        <v>0</v>
      </c>
      <c r="N483" s="57"/>
      <c r="O483" s="26"/>
      <c r="P483" s="47"/>
      <c r="Q483" s="27"/>
      <c r="R483" s="34"/>
      <c r="S483" s="35">
        <f t="shared" si="324"/>
        <v>0</v>
      </c>
      <c r="T483" s="26"/>
      <c r="U483" s="47"/>
      <c r="V483" s="27"/>
      <c r="W483" s="34"/>
      <c r="X483" s="35">
        <f t="shared" si="325"/>
        <v>0</v>
      </c>
      <c r="Y483" s="11">
        <f t="shared" si="314"/>
        <v>0</v>
      </c>
    </row>
    <row r="484" spans="1:26" x14ac:dyDescent="0.15">
      <c r="A484" s="13"/>
      <c r="B484" s="26"/>
      <c r="C484" s="47"/>
      <c r="D484" s="27"/>
      <c r="E484" s="34"/>
      <c r="F484" s="35">
        <f t="shared" si="320"/>
        <v>0</v>
      </c>
      <c r="G484" s="26"/>
      <c r="H484" s="47"/>
      <c r="I484" s="27"/>
      <c r="J484" s="34"/>
      <c r="K484" s="35">
        <f t="shared" si="321"/>
        <v>0</v>
      </c>
      <c r="L484" s="11">
        <f t="shared" si="310"/>
        <v>0</v>
      </c>
      <c r="N484" s="15"/>
      <c r="O484" s="26"/>
      <c r="P484" s="47"/>
      <c r="Q484" s="27"/>
      <c r="R484" s="34"/>
      <c r="S484" s="35">
        <f t="shared" si="324"/>
        <v>0</v>
      </c>
      <c r="T484" s="26"/>
      <c r="U484" s="47"/>
      <c r="V484" s="27"/>
      <c r="W484" s="34"/>
      <c r="X484" s="35">
        <f t="shared" si="325"/>
        <v>0</v>
      </c>
      <c r="Y484" s="11">
        <f t="shared" si="314"/>
        <v>0</v>
      </c>
    </row>
    <row r="485" spans="1:26" x14ac:dyDescent="0.15">
      <c r="A485" s="32"/>
      <c r="B485" s="26"/>
      <c r="C485" s="47"/>
      <c r="D485" s="27"/>
      <c r="E485" s="34"/>
      <c r="F485" s="35">
        <f t="shared" si="320"/>
        <v>0</v>
      </c>
      <c r="G485" s="26"/>
      <c r="H485" s="47"/>
      <c r="I485" s="27"/>
      <c r="J485" s="34"/>
      <c r="K485" s="35">
        <f t="shared" si="321"/>
        <v>0</v>
      </c>
      <c r="L485" s="11">
        <f t="shared" si="310"/>
        <v>0</v>
      </c>
      <c r="N485" s="12"/>
      <c r="O485" s="26"/>
      <c r="P485" s="47"/>
      <c r="Q485" s="27"/>
      <c r="R485" s="34"/>
      <c r="S485" s="35">
        <f t="shared" si="324"/>
        <v>0</v>
      </c>
      <c r="T485" s="26"/>
      <c r="U485" s="47"/>
      <c r="V485" s="27"/>
      <c r="W485" s="34"/>
      <c r="X485" s="35">
        <f t="shared" si="325"/>
        <v>0</v>
      </c>
      <c r="Y485" s="11">
        <f t="shared" si="314"/>
        <v>0</v>
      </c>
    </row>
    <row r="486" spans="1:26" x14ac:dyDescent="0.15">
      <c r="A486" s="32"/>
      <c r="B486" s="26"/>
      <c r="C486" s="47"/>
      <c r="D486" s="27"/>
      <c r="E486" s="34"/>
      <c r="F486" s="35">
        <f t="shared" si="320"/>
        <v>0</v>
      </c>
      <c r="G486" s="26"/>
      <c r="H486" s="47"/>
      <c r="I486" s="27"/>
      <c r="J486" s="34"/>
      <c r="K486" s="35">
        <f t="shared" si="321"/>
        <v>0</v>
      </c>
      <c r="L486" s="11">
        <f t="shared" si="310"/>
        <v>0</v>
      </c>
      <c r="N486" s="57"/>
      <c r="O486" s="26"/>
      <c r="P486" s="47"/>
      <c r="Q486" s="27"/>
      <c r="R486" s="34"/>
      <c r="S486" s="35">
        <f t="shared" si="324"/>
        <v>0</v>
      </c>
      <c r="T486" s="26"/>
      <c r="U486" s="47"/>
      <c r="V486" s="27"/>
      <c r="W486" s="34"/>
      <c r="X486" s="35">
        <f t="shared" si="325"/>
        <v>0</v>
      </c>
      <c r="Y486" s="11">
        <f t="shared" si="314"/>
        <v>0</v>
      </c>
    </row>
    <row r="487" spans="1:26" x14ac:dyDescent="0.15">
      <c r="A487" s="12"/>
      <c r="B487" s="26"/>
      <c r="C487" s="47"/>
      <c r="D487" s="27"/>
      <c r="E487" s="34"/>
      <c r="F487" s="35">
        <f t="shared" si="320"/>
        <v>0</v>
      </c>
      <c r="G487" s="26"/>
      <c r="H487" s="47"/>
      <c r="I487" s="27"/>
      <c r="J487" s="34"/>
      <c r="K487" s="35">
        <f t="shared" si="321"/>
        <v>0</v>
      </c>
      <c r="L487" s="11">
        <f t="shared" si="310"/>
        <v>0</v>
      </c>
      <c r="N487" s="57"/>
      <c r="O487" s="26"/>
      <c r="P487" s="47"/>
      <c r="Q487" s="27"/>
      <c r="R487" s="34"/>
      <c r="S487" s="35">
        <f t="shared" si="324"/>
        <v>0</v>
      </c>
      <c r="T487" s="26"/>
      <c r="U487" s="47"/>
      <c r="V487" s="27"/>
      <c r="W487" s="34"/>
      <c r="X487" s="35">
        <f t="shared" si="325"/>
        <v>0</v>
      </c>
      <c r="Y487" s="11">
        <f t="shared" si="314"/>
        <v>0</v>
      </c>
    </row>
    <row r="488" spans="1:26" x14ac:dyDescent="0.15">
      <c r="A488" s="79"/>
      <c r="B488" s="26"/>
      <c r="C488" s="47"/>
      <c r="D488" s="27"/>
      <c r="E488" s="34"/>
      <c r="F488" s="35">
        <f t="shared" si="320"/>
        <v>0</v>
      </c>
      <c r="G488" s="26"/>
      <c r="H488" s="47"/>
      <c r="I488" s="27"/>
      <c r="J488" s="34"/>
      <c r="K488" s="35">
        <f t="shared" si="321"/>
        <v>0</v>
      </c>
      <c r="L488" s="11">
        <f t="shared" si="310"/>
        <v>0</v>
      </c>
      <c r="N488" s="12"/>
      <c r="O488" s="26"/>
      <c r="P488" s="47"/>
      <c r="Q488" s="27"/>
      <c r="R488" s="34"/>
      <c r="S488" s="35">
        <f t="shared" si="324"/>
        <v>0</v>
      </c>
      <c r="T488" s="26"/>
      <c r="U488" s="47"/>
      <c r="V488" s="27"/>
      <c r="W488" s="34"/>
      <c r="X488" s="35">
        <f t="shared" si="325"/>
        <v>0</v>
      </c>
      <c r="Y488" s="108">
        <f t="shared" si="314"/>
        <v>0</v>
      </c>
    </row>
    <row r="489" spans="1:26" x14ac:dyDescent="0.15">
      <c r="A489" s="57"/>
      <c r="B489" s="26"/>
      <c r="C489" s="47"/>
      <c r="D489" s="27"/>
      <c r="E489" s="34"/>
      <c r="F489" s="35">
        <f t="shared" si="320"/>
        <v>0</v>
      </c>
      <c r="G489" s="26"/>
      <c r="H489" s="47"/>
      <c r="I489" s="27"/>
      <c r="J489" s="34"/>
      <c r="K489" s="35">
        <f t="shared" si="321"/>
        <v>0</v>
      </c>
      <c r="L489" s="11">
        <f t="shared" si="310"/>
        <v>0</v>
      </c>
      <c r="N489" s="57"/>
      <c r="O489" s="26"/>
      <c r="P489" s="47"/>
      <c r="Q489" s="27"/>
      <c r="R489" s="34"/>
      <c r="S489" s="35">
        <f t="shared" si="324"/>
        <v>0</v>
      </c>
      <c r="T489" s="26"/>
      <c r="U489" s="47"/>
      <c r="V489" s="27"/>
      <c r="W489" s="34"/>
      <c r="X489" s="35">
        <f t="shared" si="325"/>
        <v>0</v>
      </c>
      <c r="Y489" s="11">
        <f t="shared" si="314"/>
        <v>0</v>
      </c>
      <c r="Z489" s="101"/>
    </row>
    <row r="490" spans="1:26" ht="14.25" thickBot="1" x14ac:dyDescent="0.2">
      <c r="A490" s="90"/>
      <c r="B490" s="62"/>
      <c r="C490" s="63"/>
      <c r="D490" s="64"/>
      <c r="E490" s="65"/>
      <c r="F490" s="35">
        <f t="shared" si="320"/>
        <v>0</v>
      </c>
      <c r="G490" s="62"/>
      <c r="H490" s="63"/>
      <c r="I490" s="64"/>
      <c r="J490" s="65"/>
      <c r="K490" s="35">
        <f t="shared" si="321"/>
        <v>0</v>
      </c>
      <c r="L490" s="14">
        <f t="shared" si="310"/>
        <v>0</v>
      </c>
      <c r="M490" s="99"/>
      <c r="N490" s="181" t="s">
        <v>388</v>
      </c>
      <c r="O490" s="182"/>
      <c r="P490" s="183"/>
      <c r="Q490" s="184"/>
      <c r="R490" s="185"/>
      <c r="S490" s="186">
        <f t="shared" ref="S490" si="329">SUM(O490:R490)</f>
        <v>0</v>
      </c>
      <c r="T490" s="182"/>
      <c r="U490" s="183"/>
      <c r="V490" s="184"/>
      <c r="W490" s="185"/>
      <c r="X490" s="186">
        <f t="shared" ref="X490" si="330">SUM(T490:W490)</f>
        <v>0</v>
      </c>
      <c r="Y490" s="187">
        <f t="shared" ref="Y490" si="331">S490+X490</f>
        <v>0</v>
      </c>
      <c r="Z490" s="160" t="s">
        <v>389</v>
      </c>
    </row>
    <row r="491" spans="1:26" ht="14.25" thickBot="1" x14ac:dyDescent="0.2">
      <c r="A491" s="17" t="s">
        <v>10</v>
      </c>
      <c r="B491" s="38">
        <f>SUM(B466:B490)</f>
        <v>15</v>
      </c>
      <c r="C491" s="48">
        <f>SUM(C466:C490)</f>
        <v>17</v>
      </c>
      <c r="D491" s="39">
        <f>SUM(D466:D490)</f>
        <v>14</v>
      </c>
      <c r="E491" s="40">
        <f>SUM(E466:E490)</f>
        <v>15</v>
      </c>
      <c r="F491" s="36">
        <f>SUM(B491:E491)</f>
        <v>61</v>
      </c>
      <c r="G491" s="38">
        <f>SUM(G466:G490)</f>
        <v>5</v>
      </c>
      <c r="H491" s="48">
        <f>SUM(H466:H490)</f>
        <v>4</v>
      </c>
      <c r="I491" s="39">
        <f>SUM(I466:I490)</f>
        <v>-5</v>
      </c>
      <c r="J491" s="40">
        <f>SUM(J466:J490)</f>
        <v>1</v>
      </c>
      <c r="K491" s="36">
        <f>SUM(G491:J491)</f>
        <v>5</v>
      </c>
      <c r="L491" s="37">
        <f t="shared" si="310"/>
        <v>66</v>
      </c>
      <c r="N491" s="133" t="s">
        <v>10</v>
      </c>
      <c r="O491" s="38">
        <f>SUM(O466:O490)</f>
        <v>110</v>
      </c>
      <c r="P491" s="48">
        <f>SUM(P466:P490)</f>
        <v>135</v>
      </c>
      <c r="Q491" s="39">
        <f>SUM(Q466:Q490)</f>
        <v>101</v>
      </c>
      <c r="R491" s="40">
        <f>SUM(R466:R490)</f>
        <v>90</v>
      </c>
      <c r="S491" s="118">
        <f t="shared" si="324"/>
        <v>436</v>
      </c>
      <c r="T491" s="38">
        <f>SUM(T466:T490)</f>
        <v>96</v>
      </c>
      <c r="U491" s="48">
        <f>SUM(U466:U490)</f>
        <v>109</v>
      </c>
      <c r="V491" s="39">
        <f>SUM(V466:V490)</f>
        <v>61</v>
      </c>
      <c r="W491" s="40">
        <f>SUM(W466:W490)</f>
        <v>49</v>
      </c>
      <c r="X491" s="118">
        <f t="shared" si="325"/>
        <v>315</v>
      </c>
      <c r="Y491" s="119">
        <f t="shared" si="314"/>
        <v>751</v>
      </c>
    </row>
    <row r="492" spans="1:26" ht="14.25" thickBot="1" x14ac:dyDescent="0.2">
      <c r="A492" s="22" t="s">
        <v>11</v>
      </c>
      <c r="B492" s="41">
        <f>B465-B491</f>
        <v>8</v>
      </c>
      <c r="C492" s="49">
        <f>C465-C491</f>
        <v>12</v>
      </c>
      <c r="D492" s="42">
        <f t="shared" ref="D492:K492" si="332">D465-D491</f>
        <v>0</v>
      </c>
      <c r="E492" s="43">
        <f t="shared" si="332"/>
        <v>3</v>
      </c>
      <c r="F492" s="61">
        <f t="shared" si="332"/>
        <v>19</v>
      </c>
      <c r="G492" s="41">
        <f t="shared" si="332"/>
        <v>6</v>
      </c>
      <c r="H492" s="49">
        <f t="shared" si="332"/>
        <v>16</v>
      </c>
      <c r="I492" s="42">
        <f t="shared" si="332"/>
        <v>15</v>
      </c>
      <c r="J492" s="43">
        <f t="shared" si="332"/>
        <v>9</v>
      </c>
      <c r="K492" s="61">
        <f t="shared" si="332"/>
        <v>46</v>
      </c>
      <c r="L492" s="21">
        <f t="shared" si="310"/>
        <v>65</v>
      </c>
      <c r="N492" s="17" t="s">
        <v>11</v>
      </c>
      <c r="O492" s="41">
        <f>O465-O491</f>
        <v>0</v>
      </c>
      <c r="P492" s="49">
        <f t="shared" ref="P492:X492" si="333">P465-P491</f>
        <v>1</v>
      </c>
      <c r="Q492" s="42">
        <f t="shared" si="333"/>
        <v>2</v>
      </c>
      <c r="R492" s="43">
        <f t="shared" si="333"/>
        <v>36</v>
      </c>
      <c r="S492" s="61">
        <f t="shared" si="333"/>
        <v>39</v>
      </c>
      <c r="T492" s="41">
        <f t="shared" si="333"/>
        <v>239</v>
      </c>
      <c r="U492" s="49">
        <f t="shared" si="333"/>
        <v>356</v>
      </c>
      <c r="V492" s="42">
        <f t="shared" si="333"/>
        <v>194</v>
      </c>
      <c r="W492" s="43">
        <f t="shared" si="333"/>
        <v>327</v>
      </c>
      <c r="X492" s="61">
        <f t="shared" si="333"/>
        <v>1116</v>
      </c>
      <c r="Y492" s="21">
        <f t="shared" si="314"/>
        <v>1155</v>
      </c>
    </row>
    <row r="495" spans="1:26" ht="19.5" thickBot="1" x14ac:dyDescent="0.25">
      <c r="A495" s="2" t="s">
        <v>106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105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6" ht="14.25" thickBot="1" x14ac:dyDescent="0.2">
      <c r="A496" s="5" t="s">
        <v>0</v>
      </c>
      <c r="B496" s="342" t="s">
        <v>18</v>
      </c>
      <c r="C496" s="350"/>
      <c r="D496" s="350"/>
      <c r="E496" s="350"/>
      <c r="F496" s="351"/>
      <c r="G496" s="345" t="s">
        <v>12</v>
      </c>
      <c r="H496" s="352"/>
      <c r="I496" s="352"/>
      <c r="J496" s="352"/>
      <c r="K496" s="353"/>
      <c r="L496" s="354" t="s">
        <v>1</v>
      </c>
      <c r="N496" s="5" t="s">
        <v>0</v>
      </c>
      <c r="O496" s="342" t="s">
        <v>18</v>
      </c>
      <c r="P496" s="350"/>
      <c r="Q496" s="350"/>
      <c r="R496" s="350"/>
      <c r="S496" s="351"/>
      <c r="T496" s="345" t="s">
        <v>12</v>
      </c>
      <c r="U496" s="352"/>
      <c r="V496" s="352"/>
      <c r="W496" s="352"/>
      <c r="X496" s="353"/>
      <c r="Y496" s="354" t="s">
        <v>1</v>
      </c>
    </row>
    <row r="497" spans="1:26" ht="14.25" thickBot="1" x14ac:dyDescent="0.2">
      <c r="A497" s="5" t="s">
        <v>2</v>
      </c>
      <c r="B497" s="3" t="s">
        <v>13</v>
      </c>
      <c r="C497" s="44" t="s">
        <v>14</v>
      </c>
      <c r="D497" s="4" t="s">
        <v>15</v>
      </c>
      <c r="E497" s="23" t="s">
        <v>16</v>
      </c>
      <c r="F497" s="31" t="s">
        <v>3</v>
      </c>
      <c r="G497" s="3" t="s">
        <v>13</v>
      </c>
      <c r="H497" s="44" t="s">
        <v>14</v>
      </c>
      <c r="I497" s="4" t="s">
        <v>15</v>
      </c>
      <c r="J497" s="23" t="s">
        <v>16</v>
      </c>
      <c r="K497" s="31" t="s">
        <v>3</v>
      </c>
      <c r="L497" s="355"/>
      <c r="N497" s="5" t="s">
        <v>2</v>
      </c>
      <c r="O497" s="3" t="s">
        <v>13</v>
      </c>
      <c r="P497" s="44" t="s">
        <v>14</v>
      </c>
      <c r="Q497" s="4" t="s">
        <v>15</v>
      </c>
      <c r="R497" s="23" t="s">
        <v>16</v>
      </c>
      <c r="S497" s="31" t="s">
        <v>3</v>
      </c>
      <c r="T497" s="3" t="s">
        <v>13</v>
      </c>
      <c r="U497" s="44" t="s">
        <v>14</v>
      </c>
      <c r="V497" s="4" t="s">
        <v>15</v>
      </c>
      <c r="W497" s="23" t="s">
        <v>16</v>
      </c>
      <c r="X497" s="31" t="s">
        <v>3</v>
      </c>
      <c r="Y497" s="355"/>
    </row>
    <row r="498" spans="1:26" x14ac:dyDescent="0.15">
      <c r="A498" s="71" t="s">
        <v>17</v>
      </c>
      <c r="B498" s="72">
        <f>B492</f>
        <v>8</v>
      </c>
      <c r="C498" s="73">
        <f t="shared" ref="C498:L498" si="334">C492</f>
        <v>12</v>
      </c>
      <c r="D498" s="73">
        <f t="shared" si="334"/>
        <v>0</v>
      </c>
      <c r="E498" s="74">
        <f t="shared" si="334"/>
        <v>3</v>
      </c>
      <c r="F498" s="76">
        <f t="shared" si="334"/>
        <v>19</v>
      </c>
      <c r="G498" s="72">
        <f t="shared" si="334"/>
        <v>6</v>
      </c>
      <c r="H498" s="73">
        <f t="shared" si="334"/>
        <v>16</v>
      </c>
      <c r="I498" s="73">
        <f t="shared" si="334"/>
        <v>15</v>
      </c>
      <c r="J498" s="74">
        <f t="shared" si="334"/>
        <v>9</v>
      </c>
      <c r="K498" s="75">
        <f t="shared" si="334"/>
        <v>46</v>
      </c>
      <c r="L498" s="16">
        <f t="shared" si="334"/>
        <v>65</v>
      </c>
      <c r="N498" s="71" t="s">
        <v>17</v>
      </c>
      <c r="O498" s="72">
        <f>O492</f>
        <v>0</v>
      </c>
      <c r="P498" s="73">
        <f t="shared" ref="P498:Y498" si="335">P492</f>
        <v>1</v>
      </c>
      <c r="Q498" s="73">
        <f t="shared" si="335"/>
        <v>2</v>
      </c>
      <c r="R498" s="74">
        <f t="shared" si="335"/>
        <v>36</v>
      </c>
      <c r="S498" s="76">
        <f t="shared" si="335"/>
        <v>39</v>
      </c>
      <c r="T498" s="72">
        <f t="shared" si="335"/>
        <v>239</v>
      </c>
      <c r="U498" s="73">
        <f t="shared" si="335"/>
        <v>356</v>
      </c>
      <c r="V498" s="73">
        <f t="shared" si="335"/>
        <v>194</v>
      </c>
      <c r="W498" s="74">
        <f t="shared" si="335"/>
        <v>327</v>
      </c>
      <c r="X498" s="75">
        <f t="shared" si="335"/>
        <v>1116</v>
      </c>
      <c r="Y498" s="16">
        <f t="shared" si="335"/>
        <v>1155</v>
      </c>
    </row>
    <row r="499" spans="1:26" x14ac:dyDescent="0.15">
      <c r="A499" s="13" t="s">
        <v>435</v>
      </c>
      <c r="B499" s="6"/>
      <c r="C499" s="30"/>
      <c r="D499" s="7">
        <v>7</v>
      </c>
      <c r="E499" s="8">
        <v>1</v>
      </c>
      <c r="F499" s="9">
        <f>SUM(B499:E499)</f>
        <v>8</v>
      </c>
      <c r="G499" s="30"/>
      <c r="H499" s="30">
        <v>5</v>
      </c>
      <c r="I499" s="7">
        <v>1</v>
      </c>
      <c r="J499" s="8">
        <v>5</v>
      </c>
      <c r="K499" s="9">
        <f>SUM(G499:J499)</f>
        <v>11</v>
      </c>
      <c r="L499" s="11">
        <f t="shared" ref="L499:L501" si="336">F499+K499</f>
        <v>19</v>
      </c>
      <c r="M499" s="126">
        <v>44917</v>
      </c>
      <c r="N499" s="13" t="s">
        <v>5</v>
      </c>
      <c r="O499" s="26">
        <v>-200</v>
      </c>
      <c r="P499" s="47">
        <v>-250</v>
      </c>
      <c r="Q499" s="27">
        <v>-150</v>
      </c>
      <c r="R499" s="34">
        <v>-100</v>
      </c>
      <c r="S499" s="77">
        <f>SUM(O499:R499)</f>
        <v>-700</v>
      </c>
      <c r="T499" s="26">
        <v>-200</v>
      </c>
      <c r="U499" s="47">
        <v>-250</v>
      </c>
      <c r="V499" s="27">
        <v>-150</v>
      </c>
      <c r="W499" s="34">
        <v>-350</v>
      </c>
      <c r="X499" s="9">
        <f>SUM(T499:W499)</f>
        <v>-950</v>
      </c>
      <c r="Y499" s="11">
        <f t="shared" ref="Y499:Y500" si="337">S499+X499</f>
        <v>-1650</v>
      </c>
      <c r="Z499" s="99">
        <v>44862</v>
      </c>
    </row>
    <row r="500" spans="1:26" x14ac:dyDescent="0.15">
      <c r="A500" s="13" t="s">
        <v>374</v>
      </c>
      <c r="B500" s="6"/>
      <c r="C500" s="30">
        <v>1</v>
      </c>
      <c r="D500" s="7">
        <v>1</v>
      </c>
      <c r="E500" s="8">
        <v>1</v>
      </c>
      <c r="F500" s="9">
        <f>SUM(B500:E500)</f>
        <v>3</v>
      </c>
      <c r="G500" s="30"/>
      <c r="H500" s="30"/>
      <c r="I500" s="7">
        <v>1</v>
      </c>
      <c r="J500" s="8"/>
      <c r="K500" s="9">
        <f>SUM(G500:J500)</f>
        <v>1</v>
      </c>
      <c r="L500" s="11">
        <f t="shared" si="336"/>
        <v>4</v>
      </c>
      <c r="M500" s="126">
        <v>44918</v>
      </c>
      <c r="N500" s="13" t="s">
        <v>326</v>
      </c>
      <c r="O500" s="26">
        <v>450</v>
      </c>
      <c r="P500" s="47">
        <v>450</v>
      </c>
      <c r="Q500" s="27">
        <v>350</v>
      </c>
      <c r="R500" s="34">
        <v>250</v>
      </c>
      <c r="S500" s="77">
        <f>SUM(O500:R500)</f>
        <v>1500</v>
      </c>
      <c r="T500" s="26">
        <v>430</v>
      </c>
      <c r="U500" s="47">
        <v>520</v>
      </c>
      <c r="V500" s="27">
        <v>430</v>
      </c>
      <c r="W500" s="34">
        <v>350</v>
      </c>
      <c r="X500" s="9">
        <f>SUM(T500:W500)</f>
        <v>1730</v>
      </c>
      <c r="Y500" s="11">
        <f t="shared" si="337"/>
        <v>3230</v>
      </c>
      <c r="Z500" s="99" t="s">
        <v>444</v>
      </c>
    </row>
    <row r="501" spans="1:26" x14ac:dyDescent="0.15">
      <c r="A501" s="13" t="s">
        <v>438</v>
      </c>
      <c r="B501" s="6"/>
      <c r="C501" s="30">
        <v>2</v>
      </c>
      <c r="D501" s="7">
        <v>2</v>
      </c>
      <c r="E501" s="8"/>
      <c r="F501" s="9">
        <f>SUM(B501:E501)</f>
        <v>4</v>
      </c>
      <c r="G501" s="30"/>
      <c r="H501" s="30"/>
      <c r="I501" s="7"/>
      <c r="J501" s="8"/>
      <c r="K501" s="9">
        <f>SUM(G501:J501)</f>
        <v>0</v>
      </c>
      <c r="L501" s="108">
        <f t="shared" si="336"/>
        <v>4</v>
      </c>
      <c r="M501" s="126">
        <v>44918</v>
      </c>
      <c r="N501" s="13" t="s">
        <v>406</v>
      </c>
      <c r="O501" s="26">
        <v>-70</v>
      </c>
      <c r="P501" s="47"/>
      <c r="Q501" s="27"/>
      <c r="R501" s="34"/>
      <c r="S501" s="77">
        <f>SUM(O501:R501)</f>
        <v>-70</v>
      </c>
      <c r="T501" s="47"/>
      <c r="U501" s="47"/>
      <c r="V501" s="27"/>
      <c r="W501" s="50"/>
      <c r="X501" s="9">
        <f>SUM(T501:W501)</f>
        <v>0</v>
      </c>
      <c r="Y501" s="11">
        <f t="shared" ref="Y501:Y530" si="338">S501+X501</f>
        <v>-70</v>
      </c>
      <c r="Z501" s="99">
        <v>44893</v>
      </c>
    </row>
    <row r="502" spans="1:26" ht="14.25" thickBot="1" x14ac:dyDescent="0.2">
      <c r="A502" s="79" t="s">
        <v>49</v>
      </c>
      <c r="B502" s="86">
        <v>13</v>
      </c>
      <c r="C502" s="87">
        <v>16</v>
      </c>
      <c r="D502" s="88">
        <f>15-2</f>
        <v>13</v>
      </c>
      <c r="E502" s="152">
        <f>7-1</f>
        <v>6</v>
      </c>
      <c r="F502" s="118">
        <f>SUM(B502:E502)</f>
        <v>48</v>
      </c>
      <c r="G502" s="87">
        <v>5</v>
      </c>
      <c r="H502" s="87">
        <v>9</v>
      </c>
      <c r="I502" s="88">
        <v>2</v>
      </c>
      <c r="J502" s="152"/>
      <c r="K502" s="118">
        <f>SUM(G502:J502)</f>
        <v>16</v>
      </c>
      <c r="L502" s="14">
        <f t="shared" ref="L502:L530" si="339">F502+K502</f>
        <v>64</v>
      </c>
      <c r="M502" s="126">
        <v>44922</v>
      </c>
      <c r="N502" s="13" t="s">
        <v>350</v>
      </c>
      <c r="O502" s="26"/>
      <c r="P502" s="47"/>
      <c r="Q502" s="27"/>
      <c r="R502" s="34">
        <v>5</v>
      </c>
      <c r="S502" s="35">
        <f t="shared" ref="S502" si="340">SUM(O502:R502)</f>
        <v>5</v>
      </c>
      <c r="T502" s="26">
        <v>5</v>
      </c>
      <c r="U502" s="47">
        <v>9</v>
      </c>
      <c r="V502" s="27">
        <v>2</v>
      </c>
      <c r="W502" s="34"/>
      <c r="X502" s="35">
        <f t="shared" ref="X502" si="341">SUM(T502:W502)</f>
        <v>16</v>
      </c>
      <c r="Y502" s="11">
        <f t="shared" si="338"/>
        <v>21</v>
      </c>
      <c r="Z502" s="99">
        <v>44933</v>
      </c>
    </row>
    <row r="503" spans="1:26" ht="14.25" thickBot="1" x14ac:dyDescent="0.2">
      <c r="A503" s="22" t="s">
        <v>9</v>
      </c>
      <c r="B503" s="18">
        <f t="shared" ref="B503:K503" si="342">SUM(B498:B502)</f>
        <v>21</v>
      </c>
      <c r="C503" s="45">
        <f t="shared" si="342"/>
        <v>31</v>
      </c>
      <c r="D503" s="19">
        <f t="shared" si="342"/>
        <v>23</v>
      </c>
      <c r="E503" s="20">
        <f t="shared" si="342"/>
        <v>11</v>
      </c>
      <c r="F503" s="28">
        <f>SUM(F498:F502)</f>
        <v>82</v>
      </c>
      <c r="G503" s="18">
        <f t="shared" si="342"/>
        <v>11</v>
      </c>
      <c r="H503" s="45">
        <f t="shared" si="342"/>
        <v>30</v>
      </c>
      <c r="I503" s="19">
        <f t="shared" si="342"/>
        <v>19</v>
      </c>
      <c r="J503" s="20">
        <f t="shared" si="342"/>
        <v>14</v>
      </c>
      <c r="K503" s="28">
        <f t="shared" si="342"/>
        <v>74</v>
      </c>
      <c r="L503" s="21">
        <f t="shared" si="339"/>
        <v>156</v>
      </c>
      <c r="N503" s="17" t="s">
        <v>9</v>
      </c>
      <c r="O503" s="41">
        <f>SUM(O498:O502)</f>
        <v>180</v>
      </c>
      <c r="P503" s="49">
        <f t="shared" ref="P503:V503" si="343">SUM(P498:P502)</f>
        <v>201</v>
      </c>
      <c r="Q503" s="42">
        <f t="shared" si="343"/>
        <v>202</v>
      </c>
      <c r="R503" s="92">
        <f t="shared" si="343"/>
        <v>191</v>
      </c>
      <c r="S503" s="93">
        <f t="shared" si="343"/>
        <v>774</v>
      </c>
      <c r="T503" s="41">
        <f t="shared" si="343"/>
        <v>474</v>
      </c>
      <c r="U503" s="49">
        <f t="shared" si="343"/>
        <v>635</v>
      </c>
      <c r="V503" s="42">
        <f t="shared" si="343"/>
        <v>476</v>
      </c>
      <c r="W503" s="92">
        <f>SUM(W498:W502)</f>
        <v>327</v>
      </c>
      <c r="X503" s="93">
        <f t="shared" ref="X503" si="344">SUM(X498:X502)</f>
        <v>1912</v>
      </c>
      <c r="Y503" s="56">
        <f t="shared" si="338"/>
        <v>2686</v>
      </c>
    </row>
    <row r="504" spans="1:26" x14ac:dyDescent="0.15">
      <c r="A504" s="32" t="s">
        <v>423</v>
      </c>
      <c r="B504" s="24">
        <v>5</v>
      </c>
      <c r="C504" s="46">
        <v>9</v>
      </c>
      <c r="D504" s="25"/>
      <c r="E504" s="33"/>
      <c r="F504" s="35">
        <f>SUM(B504:E504)</f>
        <v>14</v>
      </c>
      <c r="G504" s="24"/>
      <c r="H504" s="46"/>
      <c r="I504" s="25"/>
      <c r="J504" s="33"/>
      <c r="K504" s="35">
        <f>SUM(G504:J504)</f>
        <v>0</v>
      </c>
      <c r="L504" s="11">
        <f t="shared" si="339"/>
        <v>14</v>
      </c>
      <c r="M504" s="99">
        <v>44909</v>
      </c>
      <c r="N504" s="32" t="s">
        <v>411</v>
      </c>
      <c r="O504" s="26">
        <f>8+12+74+42+19</f>
        <v>155</v>
      </c>
      <c r="P504" s="47">
        <f>10+77+8+59+32+6</f>
        <v>192</v>
      </c>
      <c r="Q504" s="27">
        <f>11+6+36+9+7</f>
        <v>69</v>
      </c>
      <c r="R504" s="34"/>
      <c r="S504" s="35">
        <f t="shared" ref="S504" si="345">SUM(O504:R504)</f>
        <v>416</v>
      </c>
      <c r="T504" s="26"/>
      <c r="U504" s="47"/>
      <c r="V504" s="27"/>
      <c r="W504" s="34"/>
      <c r="X504" s="35">
        <f t="shared" ref="X504" si="346">SUM(T504:W504)</f>
        <v>0</v>
      </c>
      <c r="Y504" s="11">
        <f t="shared" si="338"/>
        <v>416</v>
      </c>
      <c r="Z504" s="99">
        <v>44907</v>
      </c>
    </row>
    <row r="505" spans="1:26" x14ac:dyDescent="0.15">
      <c r="A505" s="32" t="s">
        <v>424</v>
      </c>
      <c r="B505" s="26">
        <v>3</v>
      </c>
      <c r="C505" s="47">
        <v>3</v>
      </c>
      <c r="D505" s="27"/>
      <c r="E505" s="34"/>
      <c r="F505" s="35">
        <f>SUM(B505:E505)</f>
        <v>6</v>
      </c>
      <c r="G505" s="26"/>
      <c r="H505" s="47"/>
      <c r="I505" s="27"/>
      <c r="J505" s="34"/>
      <c r="K505" s="35">
        <f>SUM(G505:J505)</f>
        <v>0</v>
      </c>
      <c r="L505" s="11">
        <f t="shared" si="339"/>
        <v>6</v>
      </c>
      <c r="M505" s="99">
        <v>44910</v>
      </c>
      <c r="N505" s="32" t="s">
        <v>422</v>
      </c>
      <c r="O505" s="26">
        <v>25</v>
      </c>
      <c r="P505" s="47">
        <v>9</v>
      </c>
      <c r="Q505" s="27">
        <v>24</v>
      </c>
      <c r="R505" s="34">
        <v>12</v>
      </c>
      <c r="S505" s="35">
        <f t="shared" ref="S505:S506" si="347">SUM(O505:R505)</f>
        <v>70</v>
      </c>
      <c r="T505" s="26"/>
      <c r="U505" s="47">
        <v>6</v>
      </c>
      <c r="V505" s="27">
        <v>13</v>
      </c>
      <c r="W505" s="34"/>
      <c r="X505" s="35">
        <f t="shared" ref="X505:X506" si="348">SUM(T505:W505)</f>
        <v>19</v>
      </c>
      <c r="Y505" s="11">
        <f t="shared" si="338"/>
        <v>89</v>
      </c>
      <c r="Z505" s="99">
        <v>44909</v>
      </c>
    </row>
    <row r="506" spans="1:26" x14ac:dyDescent="0.15">
      <c r="A506" s="13" t="s">
        <v>41</v>
      </c>
      <c r="B506" s="26"/>
      <c r="C506" s="47"/>
      <c r="D506" s="27"/>
      <c r="E506" s="34">
        <v>1</v>
      </c>
      <c r="F506" s="35">
        <f t="shared" ref="F506:F528" si="349">SUM(B506:E506)</f>
        <v>1</v>
      </c>
      <c r="G506" s="26"/>
      <c r="H506" s="47"/>
      <c r="I506" s="27">
        <v>2</v>
      </c>
      <c r="J506" s="34"/>
      <c r="K506" s="35">
        <f t="shared" ref="K506:K528" si="350">SUM(G506:J506)</f>
        <v>2</v>
      </c>
      <c r="L506" s="11">
        <f t="shared" si="339"/>
        <v>3</v>
      </c>
      <c r="M506" s="99">
        <v>44914</v>
      </c>
      <c r="N506" s="32" t="s">
        <v>424</v>
      </c>
      <c r="O506" s="26">
        <v>0</v>
      </c>
      <c r="P506" s="47">
        <v>0</v>
      </c>
      <c r="Q506" s="27">
        <v>7</v>
      </c>
      <c r="R506" s="34">
        <v>5</v>
      </c>
      <c r="S506" s="35">
        <f t="shared" si="347"/>
        <v>12</v>
      </c>
      <c r="T506" s="26">
        <v>4</v>
      </c>
      <c r="U506" s="47">
        <v>3</v>
      </c>
      <c r="V506" s="27">
        <v>4</v>
      </c>
      <c r="W506" s="34">
        <v>3</v>
      </c>
      <c r="X506" s="35">
        <f t="shared" si="348"/>
        <v>14</v>
      </c>
      <c r="Y506" s="11">
        <f t="shared" si="338"/>
        <v>26</v>
      </c>
      <c r="Z506" s="99">
        <v>44910</v>
      </c>
    </row>
    <row r="507" spans="1:26" x14ac:dyDescent="0.15">
      <c r="A507" s="13" t="s">
        <v>41</v>
      </c>
      <c r="B507" s="66"/>
      <c r="C507" s="67"/>
      <c r="D507" s="68"/>
      <c r="E507" s="69"/>
      <c r="F507" s="70">
        <f t="shared" si="349"/>
        <v>0</v>
      </c>
      <c r="G507" s="66"/>
      <c r="H507" s="67"/>
      <c r="I507" s="68"/>
      <c r="J507" s="69">
        <v>1</v>
      </c>
      <c r="K507" s="70">
        <f t="shared" si="350"/>
        <v>1</v>
      </c>
      <c r="L507" s="11">
        <f t="shared" si="339"/>
        <v>1</v>
      </c>
      <c r="M507" s="126">
        <v>44916</v>
      </c>
      <c r="N507" s="90" t="s">
        <v>430</v>
      </c>
      <c r="O507" s="66"/>
      <c r="P507" s="67"/>
      <c r="Q507" s="68"/>
      <c r="R507" s="94"/>
      <c r="S507" s="91">
        <f>SUM(O507:R507)</f>
        <v>0</v>
      </c>
      <c r="T507" s="67"/>
      <c r="U507" s="67"/>
      <c r="V507" s="68">
        <v>5</v>
      </c>
      <c r="W507" s="94"/>
      <c r="X507" s="91">
        <f>SUM(T507:W507)</f>
        <v>5</v>
      </c>
      <c r="Y507" s="11">
        <f t="shared" si="338"/>
        <v>5</v>
      </c>
      <c r="Z507" s="99">
        <v>44915</v>
      </c>
    </row>
    <row r="508" spans="1:26" x14ac:dyDescent="0.15">
      <c r="A508" s="32" t="s">
        <v>437</v>
      </c>
      <c r="B508" s="26"/>
      <c r="C508" s="47"/>
      <c r="D508" s="27"/>
      <c r="E508" s="34"/>
      <c r="F508" s="35">
        <f t="shared" si="349"/>
        <v>0</v>
      </c>
      <c r="G508" s="26"/>
      <c r="H508" s="47">
        <v>13</v>
      </c>
      <c r="I508" s="27">
        <v>7</v>
      </c>
      <c r="J508" s="34">
        <v>11</v>
      </c>
      <c r="K508" s="35">
        <f t="shared" si="350"/>
        <v>31</v>
      </c>
      <c r="L508" s="11">
        <f t="shared" si="339"/>
        <v>31</v>
      </c>
      <c r="M508" s="99">
        <v>44919</v>
      </c>
      <c r="N508" s="32" t="s">
        <v>427</v>
      </c>
      <c r="O508" s="26"/>
      <c r="P508" s="47"/>
      <c r="Q508" s="27">
        <v>5</v>
      </c>
      <c r="R508" s="34">
        <v>4</v>
      </c>
      <c r="S508" s="35">
        <f t="shared" ref="S508:S510" si="351">SUM(O508:R508)</f>
        <v>9</v>
      </c>
      <c r="T508" s="26"/>
      <c r="U508" s="47"/>
      <c r="V508" s="27"/>
      <c r="W508" s="34">
        <v>2</v>
      </c>
      <c r="X508" s="35">
        <f t="shared" ref="X508:X510" si="352">SUM(T508:W508)</f>
        <v>2</v>
      </c>
      <c r="Y508" s="11">
        <f t="shared" si="338"/>
        <v>11</v>
      </c>
      <c r="Z508" s="99">
        <v>44911</v>
      </c>
    </row>
    <row r="509" spans="1:26" x14ac:dyDescent="0.15">
      <c r="A509" s="32" t="s">
        <v>436</v>
      </c>
      <c r="B509" s="26"/>
      <c r="C509" s="47">
        <v>3</v>
      </c>
      <c r="D509" s="27"/>
      <c r="E509" s="34"/>
      <c r="F509" s="35">
        <f t="shared" ref="F509" si="353">SUM(B509:E509)</f>
        <v>3</v>
      </c>
      <c r="G509" s="26"/>
      <c r="H509" s="47"/>
      <c r="I509" s="27"/>
      <c r="J509" s="34"/>
      <c r="K509" s="35">
        <f t="shared" ref="K509" si="354">SUM(G509:J509)</f>
        <v>0</v>
      </c>
      <c r="L509" s="11">
        <f t="shared" ref="L509" si="355">F509+K509</f>
        <v>3</v>
      </c>
      <c r="M509" s="99">
        <v>44921</v>
      </c>
      <c r="N509" s="32" t="s">
        <v>428</v>
      </c>
      <c r="O509" s="26">
        <v>0</v>
      </c>
      <c r="P509" s="47">
        <v>0</v>
      </c>
      <c r="Q509" s="27">
        <v>6</v>
      </c>
      <c r="R509" s="34">
        <v>1</v>
      </c>
      <c r="S509" s="35">
        <f t="shared" si="351"/>
        <v>7</v>
      </c>
      <c r="T509" s="26"/>
      <c r="U509" s="47"/>
      <c r="V509" s="27">
        <v>5</v>
      </c>
      <c r="W509" s="34"/>
      <c r="X509" s="35">
        <f t="shared" si="352"/>
        <v>5</v>
      </c>
      <c r="Y509" s="11">
        <f t="shared" si="338"/>
        <v>12</v>
      </c>
      <c r="Z509" s="99">
        <v>44914</v>
      </c>
    </row>
    <row r="510" spans="1:26" x14ac:dyDescent="0.15">
      <c r="A510" s="32" t="s">
        <v>440</v>
      </c>
      <c r="B510" s="26">
        <v>13</v>
      </c>
      <c r="C510" s="47">
        <v>16</v>
      </c>
      <c r="D510" s="27"/>
      <c r="E510" s="34"/>
      <c r="F510" s="35">
        <f t="shared" si="349"/>
        <v>29</v>
      </c>
      <c r="G510" s="26"/>
      <c r="H510" s="47"/>
      <c r="I510" s="27"/>
      <c r="J510" s="34"/>
      <c r="K510" s="35">
        <f t="shared" si="350"/>
        <v>0</v>
      </c>
      <c r="L510" s="11">
        <f t="shared" si="339"/>
        <v>29</v>
      </c>
      <c r="M510" s="99">
        <v>44923</v>
      </c>
      <c r="N510" s="32" t="s">
        <v>431</v>
      </c>
      <c r="O510" s="26">
        <v>0</v>
      </c>
      <c r="P510" s="47">
        <v>0</v>
      </c>
      <c r="Q510" s="27">
        <v>10</v>
      </c>
      <c r="R510" s="34">
        <v>3</v>
      </c>
      <c r="S510" s="35">
        <f t="shared" si="351"/>
        <v>13</v>
      </c>
      <c r="T510" s="26">
        <v>6</v>
      </c>
      <c r="U510" s="47"/>
      <c r="V510" s="27">
        <v>2</v>
      </c>
      <c r="W510" s="34">
        <v>1</v>
      </c>
      <c r="X510" s="35">
        <f t="shared" si="352"/>
        <v>9</v>
      </c>
      <c r="Y510" s="11">
        <f t="shared" si="338"/>
        <v>22</v>
      </c>
      <c r="Z510" s="99">
        <v>44915</v>
      </c>
    </row>
    <row r="511" spans="1:26" x14ac:dyDescent="0.15">
      <c r="A511" s="32" t="s">
        <v>441</v>
      </c>
      <c r="B511" s="26">
        <v>0</v>
      </c>
      <c r="C511" s="47"/>
      <c r="D511" s="27">
        <v>7</v>
      </c>
      <c r="E511" s="34">
        <v>1</v>
      </c>
      <c r="F511" s="35">
        <f t="shared" si="349"/>
        <v>8</v>
      </c>
      <c r="G511" s="26">
        <v>1</v>
      </c>
      <c r="H511" s="47">
        <v>1</v>
      </c>
      <c r="I511" s="27"/>
      <c r="J511" s="34">
        <v>2</v>
      </c>
      <c r="K511" s="35">
        <f t="shared" si="350"/>
        <v>4</v>
      </c>
      <c r="L511" s="11">
        <f t="shared" si="339"/>
        <v>12</v>
      </c>
      <c r="M511" s="99">
        <v>44566</v>
      </c>
      <c r="N511" s="32" t="s">
        <v>432</v>
      </c>
      <c r="O511" s="26">
        <v>0</v>
      </c>
      <c r="P511" s="47">
        <v>0</v>
      </c>
      <c r="Q511" s="27">
        <v>6</v>
      </c>
      <c r="R511" s="50">
        <v>7</v>
      </c>
      <c r="S511" s="9">
        <f>SUM(O511:R511)</f>
        <v>13</v>
      </c>
      <c r="T511" s="47">
        <v>5</v>
      </c>
      <c r="U511" s="47">
        <v>5</v>
      </c>
      <c r="V511" s="27">
        <v>1</v>
      </c>
      <c r="W511" s="50">
        <v>3</v>
      </c>
      <c r="X511" s="9">
        <f>SUM(T511:W511)</f>
        <v>14</v>
      </c>
      <c r="Y511" s="11">
        <f t="shared" si="338"/>
        <v>27</v>
      </c>
      <c r="Z511" s="99">
        <v>44916</v>
      </c>
    </row>
    <row r="512" spans="1:26" x14ac:dyDescent="0.15">
      <c r="A512" s="32" t="s">
        <v>304</v>
      </c>
      <c r="B512" s="26"/>
      <c r="C512" s="47"/>
      <c r="D512" s="27"/>
      <c r="E512" s="34">
        <v>5</v>
      </c>
      <c r="F512" s="35">
        <f t="shared" si="349"/>
        <v>5</v>
      </c>
      <c r="G512" s="26">
        <v>5</v>
      </c>
      <c r="H512" s="47">
        <v>9</v>
      </c>
      <c r="I512" s="27">
        <v>2</v>
      </c>
      <c r="J512" s="34"/>
      <c r="K512" s="35">
        <f t="shared" si="350"/>
        <v>16</v>
      </c>
      <c r="L512" s="11">
        <f t="shared" si="339"/>
        <v>21</v>
      </c>
      <c r="M512" s="99">
        <v>44933</v>
      </c>
      <c r="N512" s="32" t="s">
        <v>433</v>
      </c>
      <c r="O512" s="26">
        <v>0</v>
      </c>
      <c r="P512" s="47">
        <v>0</v>
      </c>
      <c r="Q512" s="27">
        <v>10</v>
      </c>
      <c r="R512" s="34">
        <v>4</v>
      </c>
      <c r="S512" s="35">
        <f t="shared" ref="S512:S529" si="356">SUM(O512:R512)</f>
        <v>14</v>
      </c>
      <c r="T512" s="26">
        <v>3</v>
      </c>
      <c r="U512" s="47">
        <v>3</v>
      </c>
      <c r="V512" s="27">
        <v>10</v>
      </c>
      <c r="W512" s="34">
        <v>2</v>
      </c>
      <c r="X512" s="35">
        <f t="shared" ref="X512:X529" si="357">SUM(T512:W512)</f>
        <v>18</v>
      </c>
      <c r="Y512" s="11">
        <f t="shared" si="338"/>
        <v>32</v>
      </c>
      <c r="Z512" s="99">
        <v>44917</v>
      </c>
    </row>
    <row r="513" spans="1:27" x14ac:dyDescent="0.15">
      <c r="A513" s="13" t="s">
        <v>469</v>
      </c>
      <c r="B513" s="26"/>
      <c r="C513" s="47"/>
      <c r="D513" s="27">
        <v>-1</v>
      </c>
      <c r="E513" s="34"/>
      <c r="F513" s="35">
        <f t="shared" ref="F513:F516" si="358">SUM(B513:E513)</f>
        <v>-1</v>
      </c>
      <c r="G513" s="26">
        <v>-1</v>
      </c>
      <c r="H513" s="47"/>
      <c r="I513" s="27"/>
      <c r="J513" s="34"/>
      <c r="K513" s="35">
        <f t="shared" ref="K513:K516" si="359">SUM(G513:J513)</f>
        <v>-1</v>
      </c>
      <c r="L513" s="11">
        <f t="shared" ref="L513:L516" si="360">F513+K513</f>
        <v>-2</v>
      </c>
      <c r="M513" s="126">
        <v>45287</v>
      </c>
      <c r="N513" s="32" t="s">
        <v>434</v>
      </c>
      <c r="O513" s="26">
        <v>0</v>
      </c>
      <c r="P513" s="47">
        <v>0</v>
      </c>
      <c r="Q513" s="27">
        <v>6</v>
      </c>
      <c r="R513" s="34">
        <v>1</v>
      </c>
      <c r="S513" s="35">
        <f t="shared" si="356"/>
        <v>7</v>
      </c>
      <c r="T513" s="26">
        <v>2</v>
      </c>
      <c r="U513" s="47">
        <v>9</v>
      </c>
      <c r="V513" s="27"/>
      <c r="W513" s="34">
        <v>4</v>
      </c>
      <c r="X513" s="35">
        <f t="shared" si="357"/>
        <v>15</v>
      </c>
      <c r="Y513" s="11">
        <f t="shared" si="338"/>
        <v>22</v>
      </c>
      <c r="Z513" s="99">
        <v>44918</v>
      </c>
    </row>
    <row r="514" spans="1:27" x14ac:dyDescent="0.15">
      <c r="A514" s="13"/>
      <c r="B514" s="26"/>
      <c r="C514" s="47"/>
      <c r="D514" s="27"/>
      <c r="E514" s="34"/>
      <c r="F514" s="35">
        <f t="shared" si="358"/>
        <v>0</v>
      </c>
      <c r="G514" s="26"/>
      <c r="H514" s="47"/>
      <c r="I514" s="27"/>
      <c r="J514" s="34"/>
      <c r="K514" s="35">
        <f t="shared" si="359"/>
        <v>0</v>
      </c>
      <c r="L514" s="11">
        <f t="shared" si="360"/>
        <v>0</v>
      </c>
      <c r="N514" s="32" t="s">
        <v>436</v>
      </c>
      <c r="O514" s="26">
        <v>0</v>
      </c>
      <c r="P514" s="47">
        <v>0</v>
      </c>
      <c r="Q514" s="27">
        <v>2</v>
      </c>
      <c r="R514" s="34">
        <v>3</v>
      </c>
      <c r="S514" s="35">
        <f t="shared" si="356"/>
        <v>5</v>
      </c>
      <c r="T514" s="26">
        <v>2</v>
      </c>
      <c r="U514" s="47">
        <v>1</v>
      </c>
      <c r="V514" s="27">
        <v>2</v>
      </c>
      <c r="W514" s="34">
        <v>2</v>
      </c>
      <c r="X514" s="35">
        <f t="shared" si="357"/>
        <v>7</v>
      </c>
      <c r="Y514" s="11">
        <f t="shared" si="338"/>
        <v>12</v>
      </c>
      <c r="Z514" s="99">
        <v>44921</v>
      </c>
    </row>
    <row r="515" spans="1:27" x14ac:dyDescent="0.15">
      <c r="A515" s="13"/>
      <c r="B515" s="26"/>
      <c r="C515" s="47"/>
      <c r="D515" s="27"/>
      <c r="E515" s="34"/>
      <c r="F515" s="35">
        <f t="shared" si="358"/>
        <v>0</v>
      </c>
      <c r="G515" s="26"/>
      <c r="H515" s="47"/>
      <c r="I515" s="27"/>
      <c r="J515" s="34"/>
      <c r="K515" s="35">
        <f t="shared" si="359"/>
        <v>0</v>
      </c>
      <c r="L515" s="11">
        <f t="shared" si="360"/>
        <v>0</v>
      </c>
      <c r="N515" s="32" t="s">
        <v>439</v>
      </c>
      <c r="O515" s="26">
        <v>0</v>
      </c>
      <c r="P515" s="47">
        <v>0</v>
      </c>
      <c r="Q515" s="27">
        <v>10</v>
      </c>
      <c r="R515" s="34">
        <v>1</v>
      </c>
      <c r="S515" s="35">
        <f t="shared" si="356"/>
        <v>11</v>
      </c>
      <c r="T515" s="26">
        <v>1</v>
      </c>
      <c r="U515" s="47"/>
      <c r="V515" s="27"/>
      <c r="W515" s="34">
        <v>1</v>
      </c>
      <c r="X515" s="35">
        <f t="shared" si="357"/>
        <v>2</v>
      </c>
      <c r="Y515" s="11">
        <f t="shared" si="338"/>
        <v>13</v>
      </c>
      <c r="Z515" s="99">
        <v>44922</v>
      </c>
    </row>
    <row r="516" spans="1:27" x14ac:dyDescent="0.15">
      <c r="A516" s="13"/>
      <c r="B516" s="26"/>
      <c r="C516" s="47"/>
      <c r="D516" s="27"/>
      <c r="E516" s="34"/>
      <c r="F516" s="35">
        <f t="shared" si="358"/>
        <v>0</v>
      </c>
      <c r="G516" s="26"/>
      <c r="H516" s="47"/>
      <c r="I516" s="27"/>
      <c r="J516" s="34"/>
      <c r="K516" s="35">
        <f t="shared" si="359"/>
        <v>0</v>
      </c>
      <c r="L516" s="11">
        <f t="shared" si="360"/>
        <v>0</v>
      </c>
      <c r="N516" s="32" t="s">
        <v>440</v>
      </c>
      <c r="O516" s="26"/>
      <c r="P516" s="47"/>
      <c r="Q516" s="27">
        <v>1</v>
      </c>
      <c r="R516" s="34">
        <v>4</v>
      </c>
      <c r="S516" s="35">
        <f t="shared" si="356"/>
        <v>5</v>
      </c>
      <c r="T516" s="26">
        <v>1</v>
      </c>
      <c r="U516" s="47"/>
      <c r="V516" s="27"/>
      <c r="W516" s="34">
        <v>2</v>
      </c>
      <c r="X516" s="35">
        <f t="shared" si="357"/>
        <v>3</v>
      </c>
      <c r="Y516" s="11">
        <f t="shared" si="338"/>
        <v>8</v>
      </c>
      <c r="Z516" s="99">
        <v>44923</v>
      </c>
    </row>
    <row r="517" spans="1:27" x14ac:dyDescent="0.15">
      <c r="A517" s="13"/>
      <c r="B517" s="26"/>
      <c r="C517" s="47"/>
      <c r="D517" s="27"/>
      <c r="E517" s="34"/>
      <c r="F517" s="35">
        <f t="shared" si="349"/>
        <v>0</v>
      </c>
      <c r="G517" s="26"/>
      <c r="H517" s="47"/>
      <c r="I517" s="27"/>
      <c r="J517" s="34"/>
      <c r="K517" s="35">
        <f t="shared" si="350"/>
        <v>0</v>
      </c>
      <c r="L517" s="11">
        <f t="shared" si="339"/>
        <v>0</v>
      </c>
      <c r="N517" s="32" t="s">
        <v>442</v>
      </c>
      <c r="O517" s="26"/>
      <c r="P517" s="47"/>
      <c r="Q517" s="27">
        <v>6</v>
      </c>
      <c r="R517" s="34">
        <v>3</v>
      </c>
      <c r="S517" s="35">
        <f t="shared" si="356"/>
        <v>9</v>
      </c>
      <c r="T517" s="26">
        <v>4</v>
      </c>
      <c r="U517" s="47">
        <v>1</v>
      </c>
      <c r="V517" s="27"/>
      <c r="W517" s="34">
        <v>4</v>
      </c>
      <c r="X517" s="35">
        <f t="shared" si="357"/>
        <v>9</v>
      </c>
      <c r="Y517" s="11">
        <f t="shared" si="338"/>
        <v>18</v>
      </c>
      <c r="Z517" s="99">
        <v>44932</v>
      </c>
      <c r="AA517" s="58"/>
    </row>
    <row r="518" spans="1:27" x14ac:dyDescent="0.15">
      <c r="A518" s="15"/>
      <c r="B518" s="26"/>
      <c r="C518" s="47"/>
      <c r="D518" s="27"/>
      <c r="E518" s="34"/>
      <c r="F518" s="35">
        <f t="shared" si="349"/>
        <v>0</v>
      </c>
      <c r="G518" s="26"/>
      <c r="H518" s="47"/>
      <c r="I518" s="27"/>
      <c r="J518" s="34"/>
      <c r="K518" s="35">
        <f t="shared" si="350"/>
        <v>0</v>
      </c>
      <c r="L518" s="11">
        <f t="shared" si="339"/>
        <v>0</v>
      </c>
      <c r="N518" s="57"/>
      <c r="O518" s="26"/>
      <c r="P518" s="47"/>
      <c r="Q518" s="27"/>
      <c r="R518" s="34"/>
      <c r="S518" s="35">
        <f t="shared" si="356"/>
        <v>0</v>
      </c>
      <c r="T518" s="26"/>
      <c r="U518" s="47"/>
      <c r="V518" s="27"/>
      <c r="W518" s="34"/>
      <c r="X518" s="35">
        <f t="shared" si="357"/>
        <v>0</v>
      </c>
      <c r="Y518" s="11">
        <f t="shared" si="338"/>
        <v>0</v>
      </c>
    </row>
    <row r="519" spans="1:27" x14ac:dyDescent="0.15">
      <c r="A519" s="13"/>
      <c r="B519" s="26"/>
      <c r="C519" s="47"/>
      <c r="D519" s="27"/>
      <c r="E519" s="34"/>
      <c r="F519" s="35">
        <f t="shared" si="349"/>
        <v>0</v>
      </c>
      <c r="G519" s="26"/>
      <c r="H519" s="47"/>
      <c r="I519" s="27"/>
      <c r="J519" s="34"/>
      <c r="K519" s="35">
        <f t="shared" si="350"/>
        <v>0</v>
      </c>
      <c r="L519" s="11">
        <f t="shared" si="339"/>
        <v>0</v>
      </c>
      <c r="N519" s="57"/>
      <c r="O519" s="26"/>
      <c r="P519" s="47"/>
      <c r="Q519" s="27"/>
      <c r="R519" s="34"/>
      <c r="S519" s="35">
        <f t="shared" ref="S519" si="361">SUM(O519:R519)</f>
        <v>0</v>
      </c>
      <c r="T519" s="26"/>
      <c r="U519" s="47"/>
      <c r="V519" s="27"/>
      <c r="W519" s="34"/>
      <c r="X519" s="35">
        <f t="shared" ref="X519" si="362">SUM(T519:W519)</f>
        <v>0</v>
      </c>
      <c r="Y519" s="11">
        <f t="shared" ref="Y519" si="363">S519+X519</f>
        <v>0</v>
      </c>
    </row>
    <row r="520" spans="1:27" x14ac:dyDescent="0.15">
      <c r="A520" s="15"/>
      <c r="B520" s="26"/>
      <c r="C520" s="47"/>
      <c r="D520" s="27"/>
      <c r="E520" s="34"/>
      <c r="F520" s="35">
        <f t="shared" si="349"/>
        <v>0</v>
      </c>
      <c r="G520" s="26"/>
      <c r="H520" s="47"/>
      <c r="I520" s="27"/>
      <c r="J520" s="34"/>
      <c r="K520" s="35">
        <f t="shared" si="350"/>
        <v>0</v>
      </c>
      <c r="L520" s="11">
        <f t="shared" si="339"/>
        <v>0</v>
      </c>
      <c r="N520" s="57"/>
      <c r="O520" s="26"/>
      <c r="P520" s="47"/>
      <c r="Q520" s="27"/>
      <c r="R520" s="34"/>
      <c r="S520" s="35">
        <f t="shared" si="356"/>
        <v>0</v>
      </c>
      <c r="T520" s="26"/>
      <c r="U520" s="47"/>
      <c r="V520" s="27"/>
      <c r="W520" s="34"/>
      <c r="X520" s="35">
        <f t="shared" si="357"/>
        <v>0</v>
      </c>
      <c r="Y520" s="11">
        <f t="shared" si="338"/>
        <v>0</v>
      </c>
    </row>
    <row r="521" spans="1:27" x14ac:dyDescent="0.15">
      <c r="A521" s="15"/>
      <c r="B521" s="26"/>
      <c r="C521" s="47"/>
      <c r="D521" s="27"/>
      <c r="E521" s="34"/>
      <c r="F521" s="35">
        <f t="shared" si="349"/>
        <v>0</v>
      </c>
      <c r="G521" s="26"/>
      <c r="H521" s="47"/>
      <c r="I521" s="27"/>
      <c r="J521" s="34"/>
      <c r="K521" s="35">
        <f t="shared" si="350"/>
        <v>0</v>
      </c>
      <c r="L521" s="11">
        <f t="shared" si="339"/>
        <v>0</v>
      </c>
      <c r="N521" s="57"/>
      <c r="O521" s="26"/>
      <c r="P521" s="47"/>
      <c r="Q521" s="27"/>
      <c r="R521" s="34"/>
      <c r="S521" s="35">
        <f t="shared" si="356"/>
        <v>0</v>
      </c>
      <c r="T521" s="26"/>
      <c r="U521" s="47"/>
      <c r="V521" s="27"/>
      <c r="W521" s="34"/>
      <c r="X521" s="35">
        <f t="shared" si="357"/>
        <v>0</v>
      </c>
      <c r="Y521" s="11">
        <f t="shared" si="338"/>
        <v>0</v>
      </c>
    </row>
    <row r="522" spans="1:27" x14ac:dyDescent="0.15">
      <c r="A522" s="13"/>
      <c r="B522" s="26"/>
      <c r="C522" s="47"/>
      <c r="D522" s="27"/>
      <c r="E522" s="34"/>
      <c r="F522" s="35">
        <f t="shared" si="349"/>
        <v>0</v>
      </c>
      <c r="G522" s="26"/>
      <c r="H522" s="47"/>
      <c r="I522" s="27"/>
      <c r="J522" s="34"/>
      <c r="K522" s="35">
        <f t="shared" si="350"/>
        <v>0</v>
      </c>
      <c r="L522" s="11">
        <f t="shared" si="339"/>
        <v>0</v>
      </c>
      <c r="N522" s="15"/>
      <c r="O522" s="26"/>
      <c r="P522" s="47"/>
      <c r="Q522" s="27"/>
      <c r="R522" s="34"/>
      <c r="S522" s="35">
        <f t="shared" si="356"/>
        <v>0</v>
      </c>
      <c r="T522" s="26"/>
      <c r="U522" s="47"/>
      <c r="V522" s="27"/>
      <c r="W522" s="34"/>
      <c r="X522" s="35">
        <f t="shared" si="357"/>
        <v>0</v>
      </c>
      <c r="Y522" s="11">
        <f t="shared" si="338"/>
        <v>0</v>
      </c>
    </row>
    <row r="523" spans="1:27" x14ac:dyDescent="0.15">
      <c r="A523" s="32"/>
      <c r="B523" s="26"/>
      <c r="C523" s="47"/>
      <c r="D523" s="27"/>
      <c r="E523" s="34"/>
      <c r="F523" s="35">
        <f t="shared" si="349"/>
        <v>0</v>
      </c>
      <c r="G523" s="26"/>
      <c r="H523" s="47"/>
      <c r="I523" s="27"/>
      <c r="J523" s="34"/>
      <c r="K523" s="35">
        <f t="shared" si="350"/>
        <v>0</v>
      </c>
      <c r="L523" s="11">
        <f t="shared" si="339"/>
        <v>0</v>
      </c>
      <c r="N523" s="12"/>
      <c r="O523" s="26"/>
      <c r="P523" s="47"/>
      <c r="Q523" s="27"/>
      <c r="R523" s="34"/>
      <c r="S523" s="35">
        <f t="shared" si="356"/>
        <v>0</v>
      </c>
      <c r="T523" s="26"/>
      <c r="U523" s="47"/>
      <c r="V523" s="27"/>
      <c r="W523" s="34"/>
      <c r="X523" s="35">
        <f t="shared" si="357"/>
        <v>0</v>
      </c>
      <c r="Y523" s="11">
        <f t="shared" si="338"/>
        <v>0</v>
      </c>
    </row>
    <row r="524" spans="1:27" x14ac:dyDescent="0.15">
      <c r="A524" s="32"/>
      <c r="B524" s="26"/>
      <c r="C524" s="47"/>
      <c r="D524" s="27"/>
      <c r="E524" s="34"/>
      <c r="F524" s="35">
        <f t="shared" si="349"/>
        <v>0</v>
      </c>
      <c r="G524" s="26"/>
      <c r="H524" s="47"/>
      <c r="I524" s="27"/>
      <c r="J524" s="34"/>
      <c r="K524" s="35">
        <f t="shared" si="350"/>
        <v>0</v>
      </c>
      <c r="L524" s="11">
        <f t="shared" si="339"/>
        <v>0</v>
      </c>
      <c r="N524" s="57"/>
      <c r="O524" s="26"/>
      <c r="P524" s="47"/>
      <c r="Q524" s="27"/>
      <c r="R524" s="34"/>
      <c r="S524" s="35">
        <f t="shared" si="356"/>
        <v>0</v>
      </c>
      <c r="T524" s="26"/>
      <c r="U524" s="47"/>
      <c r="V524" s="27"/>
      <c r="W524" s="34"/>
      <c r="X524" s="35">
        <f t="shared" si="357"/>
        <v>0</v>
      </c>
      <c r="Y524" s="11">
        <f t="shared" si="338"/>
        <v>0</v>
      </c>
      <c r="Z524" s="99"/>
    </row>
    <row r="525" spans="1:27" x14ac:dyDescent="0.15">
      <c r="A525" s="12"/>
      <c r="B525" s="26"/>
      <c r="C525" s="47"/>
      <c r="D525" s="27"/>
      <c r="E525" s="34"/>
      <c r="F525" s="35">
        <f t="shared" si="349"/>
        <v>0</v>
      </c>
      <c r="G525" s="26"/>
      <c r="H525" s="47"/>
      <c r="I525" s="27"/>
      <c r="J525" s="34"/>
      <c r="K525" s="35">
        <f t="shared" si="350"/>
        <v>0</v>
      </c>
      <c r="L525" s="11">
        <f t="shared" si="339"/>
        <v>0</v>
      </c>
      <c r="N525" s="12"/>
      <c r="O525" s="26"/>
      <c r="P525" s="47"/>
      <c r="Q525" s="27"/>
      <c r="R525" s="34"/>
      <c r="S525" s="35">
        <f t="shared" si="356"/>
        <v>0</v>
      </c>
      <c r="T525" s="26"/>
      <c r="U525" s="47"/>
      <c r="V525" s="27"/>
      <c r="W525" s="34"/>
      <c r="X525" s="35">
        <f>SUM(T525:W525)</f>
        <v>0</v>
      </c>
      <c r="Y525" s="108">
        <f>S525+X525</f>
        <v>0</v>
      </c>
      <c r="Z525" s="101"/>
    </row>
    <row r="526" spans="1:27" x14ac:dyDescent="0.15">
      <c r="A526" s="79"/>
      <c r="B526" s="26"/>
      <c r="C526" s="47"/>
      <c r="D526" s="27"/>
      <c r="E526" s="34"/>
      <c r="F526" s="35">
        <f t="shared" si="349"/>
        <v>0</v>
      </c>
      <c r="G526" s="26"/>
      <c r="H526" s="47"/>
      <c r="I526" s="27"/>
      <c r="J526" s="34"/>
      <c r="K526" s="35">
        <f t="shared" si="350"/>
        <v>0</v>
      </c>
      <c r="L526" s="11">
        <f t="shared" si="339"/>
        <v>0</v>
      </c>
      <c r="N526" s="12" t="s">
        <v>382</v>
      </c>
      <c r="O526" s="26"/>
      <c r="P526" s="47"/>
      <c r="Q526" s="27"/>
      <c r="R526" s="34"/>
      <c r="S526" s="35">
        <f t="shared" ref="S526" si="364">SUM(O526:R526)</f>
        <v>0</v>
      </c>
      <c r="T526" s="26"/>
      <c r="U526" s="47"/>
      <c r="V526" s="27"/>
      <c r="W526" s="34"/>
      <c r="X526" s="35">
        <f>SUM(T526:W526)</f>
        <v>0</v>
      </c>
      <c r="Y526" s="108">
        <f>S526+X526</f>
        <v>0</v>
      </c>
      <c r="Z526" s="101" t="s">
        <v>383</v>
      </c>
    </row>
    <row r="527" spans="1:27" x14ac:dyDescent="0.15">
      <c r="A527" s="57"/>
      <c r="B527" s="26"/>
      <c r="C527" s="47"/>
      <c r="D527" s="27"/>
      <c r="E527" s="34"/>
      <c r="F527" s="35">
        <f t="shared" si="349"/>
        <v>0</v>
      </c>
      <c r="G527" s="26"/>
      <c r="H527" s="47"/>
      <c r="I527" s="27"/>
      <c r="J527" s="34"/>
      <c r="K527" s="35">
        <f t="shared" si="350"/>
        <v>0</v>
      </c>
      <c r="L527" s="11">
        <f t="shared" si="339"/>
        <v>0</v>
      </c>
      <c r="M527" s="101"/>
      <c r="N527" s="12" t="s">
        <v>398</v>
      </c>
      <c r="O527" s="26"/>
      <c r="P527" s="47"/>
      <c r="Q527" s="27"/>
      <c r="R527" s="34"/>
      <c r="S527" s="35">
        <f t="shared" si="356"/>
        <v>0</v>
      </c>
      <c r="T527" s="26"/>
      <c r="U527" s="47"/>
      <c r="V527" s="27"/>
      <c r="W527" s="34"/>
      <c r="X527" s="35">
        <f>SUM(T527:W527)</f>
        <v>0</v>
      </c>
      <c r="Y527" s="108">
        <f>S527+X527</f>
        <v>0</v>
      </c>
      <c r="Z527" s="101" t="s">
        <v>28</v>
      </c>
    </row>
    <row r="528" spans="1:27" ht="14.25" thickBot="1" x14ac:dyDescent="0.2">
      <c r="A528" s="90"/>
      <c r="B528" s="62"/>
      <c r="C528" s="63"/>
      <c r="D528" s="64"/>
      <c r="E528" s="65"/>
      <c r="F528" s="35">
        <f t="shared" si="349"/>
        <v>0</v>
      </c>
      <c r="G528" s="62"/>
      <c r="H528" s="63"/>
      <c r="I528" s="64"/>
      <c r="J528" s="65"/>
      <c r="K528" s="35">
        <f t="shared" si="350"/>
        <v>0</v>
      </c>
      <c r="L528" s="14">
        <f t="shared" si="339"/>
        <v>0</v>
      </c>
      <c r="M528" s="99"/>
      <c r="N528" s="188" t="s">
        <v>395</v>
      </c>
      <c r="O528" s="189"/>
      <c r="P528" s="190"/>
      <c r="Q528" s="191"/>
      <c r="R528" s="192"/>
      <c r="S528" s="193">
        <f t="shared" si="356"/>
        <v>0</v>
      </c>
      <c r="T528" s="189"/>
      <c r="U528" s="190"/>
      <c r="V528" s="191"/>
      <c r="W528" s="192"/>
      <c r="X528" s="193">
        <f t="shared" si="357"/>
        <v>0</v>
      </c>
      <c r="Y528" s="194">
        <f t="shared" si="338"/>
        <v>0</v>
      </c>
      <c r="Z528" s="160" t="s">
        <v>396</v>
      </c>
    </row>
    <row r="529" spans="1:27" ht="14.25" thickBot="1" x14ac:dyDescent="0.2">
      <c r="A529" s="17" t="s">
        <v>10</v>
      </c>
      <c r="B529" s="38">
        <f>SUM(B504:B528)</f>
        <v>21</v>
      </c>
      <c r="C529" s="48">
        <f>SUM(C504:C528)</f>
        <v>31</v>
      </c>
      <c r="D529" s="39">
        <f>SUM(D504:D528)</f>
        <v>6</v>
      </c>
      <c r="E529" s="40">
        <f>SUM(E504:E528)</f>
        <v>7</v>
      </c>
      <c r="F529" s="36">
        <f>SUM(B529:E529)</f>
        <v>65</v>
      </c>
      <c r="G529" s="38">
        <f>SUM(G504:G528)</f>
        <v>5</v>
      </c>
      <c r="H529" s="48">
        <f>SUM(H504:H528)</f>
        <v>23</v>
      </c>
      <c r="I529" s="39">
        <f>SUM(I504:I528)</f>
        <v>11</v>
      </c>
      <c r="J529" s="40">
        <f>SUM(J504:J528)</f>
        <v>14</v>
      </c>
      <c r="K529" s="36">
        <f>SUM(G529:J529)</f>
        <v>53</v>
      </c>
      <c r="L529" s="37">
        <f t="shared" si="339"/>
        <v>118</v>
      </c>
      <c r="N529" s="133" t="s">
        <v>10</v>
      </c>
      <c r="O529" s="38">
        <f>SUM(O504:O528)</f>
        <v>180</v>
      </c>
      <c r="P529" s="48">
        <f>SUM(P504:P528)</f>
        <v>201</v>
      </c>
      <c r="Q529" s="39">
        <f>SUM(Q504:Q528)</f>
        <v>162</v>
      </c>
      <c r="R529" s="40">
        <f>SUM(R504:R528)</f>
        <v>48</v>
      </c>
      <c r="S529" s="118">
        <f t="shared" si="356"/>
        <v>591</v>
      </c>
      <c r="T529" s="38">
        <f>SUM(T504:T528)</f>
        <v>28</v>
      </c>
      <c r="U529" s="48">
        <f>SUM(U504:U528)</f>
        <v>28</v>
      </c>
      <c r="V529" s="39">
        <f>SUM(V504:V528)</f>
        <v>42</v>
      </c>
      <c r="W529" s="40">
        <f>SUM(W504:W528)</f>
        <v>24</v>
      </c>
      <c r="X529" s="118">
        <f t="shared" si="357"/>
        <v>122</v>
      </c>
      <c r="Y529" s="119">
        <f t="shared" si="338"/>
        <v>713</v>
      </c>
    </row>
    <row r="530" spans="1:27" ht="14.25" thickBot="1" x14ac:dyDescent="0.2">
      <c r="A530" s="22" t="s">
        <v>11</v>
      </c>
      <c r="B530" s="41">
        <f>B503-B529</f>
        <v>0</v>
      </c>
      <c r="C530" s="49">
        <f>C503-C529</f>
        <v>0</v>
      </c>
      <c r="D530" s="42">
        <f t="shared" ref="D530:K530" si="365">D503-D529</f>
        <v>17</v>
      </c>
      <c r="E530" s="43">
        <f t="shared" si="365"/>
        <v>4</v>
      </c>
      <c r="F530" s="61">
        <f>F503-F529</f>
        <v>17</v>
      </c>
      <c r="G530" s="41">
        <f t="shared" si="365"/>
        <v>6</v>
      </c>
      <c r="H530" s="49">
        <f t="shared" si="365"/>
        <v>7</v>
      </c>
      <c r="I530" s="42">
        <f t="shared" si="365"/>
        <v>8</v>
      </c>
      <c r="J530" s="43">
        <f t="shared" si="365"/>
        <v>0</v>
      </c>
      <c r="K530" s="61">
        <f t="shared" si="365"/>
        <v>21</v>
      </c>
      <c r="L530" s="21">
        <f t="shared" si="339"/>
        <v>38</v>
      </c>
      <c r="N530" s="17" t="s">
        <v>11</v>
      </c>
      <c r="O530" s="41">
        <f>O503-O529</f>
        <v>0</v>
      </c>
      <c r="P530" s="49">
        <f t="shared" ref="P530:X530" si="366">P503-P529</f>
        <v>0</v>
      </c>
      <c r="Q530" s="42">
        <f t="shared" si="366"/>
        <v>40</v>
      </c>
      <c r="R530" s="43">
        <f t="shared" si="366"/>
        <v>143</v>
      </c>
      <c r="S530" s="61">
        <f t="shared" si="366"/>
        <v>183</v>
      </c>
      <c r="T530" s="41">
        <f t="shared" si="366"/>
        <v>446</v>
      </c>
      <c r="U530" s="49">
        <f t="shared" si="366"/>
        <v>607</v>
      </c>
      <c r="V530" s="42">
        <f t="shared" si="366"/>
        <v>434</v>
      </c>
      <c r="W530" s="43">
        <f t="shared" si="366"/>
        <v>303</v>
      </c>
      <c r="X530" s="61">
        <f t="shared" si="366"/>
        <v>1790</v>
      </c>
      <c r="Y530" s="21">
        <f t="shared" si="338"/>
        <v>1973</v>
      </c>
    </row>
    <row r="533" spans="1:27" ht="19.5" thickBot="1" x14ac:dyDescent="0.25">
      <c r="A533" s="2" t="s">
        <v>466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467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7" ht="14.25" thickBot="1" x14ac:dyDescent="0.2">
      <c r="A534" s="5" t="s">
        <v>0</v>
      </c>
      <c r="B534" s="342" t="s">
        <v>18</v>
      </c>
      <c r="C534" s="350"/>
      <c r="D534" s="350"/>
      <c r="E534" s="350"/>
      <c r="F534" s="351"/>
      <c r="G534" s="345" t="s">
        <v>12</v>
      </c>
      <c r="H534" s="352"/>
      <c r="I534" s="352"/>
      <c r="J534" s="352"/>
      <c r="K534" s="353"/>
      <c r="L534" s="354" t="s">
        <v>1</v>
      </c>
      <c r="N534" s="5" t="s">
        <v>0</v>
      </c>
      <c r="O534" s="342" t="s">
        <v>18</v>
      </c>
      <c r="P534" s="350"/>
      <c r="Q534" s="350"/>
      <c r="R534" s="350"/>
      <c r="S534" s="351"/>
      <c r="T534" s="345" t="s">
        <v>12</v>
      </c>
      <c r="U534" s="352"/>
      <c r="V534" s="352"/>
      <c r="W534" s="352"/>
      <c r="X534" s="353"/>
      <c r="Y534" s="354" t="s">
        <v>1</v>
      </c>
    </row>
    <row r="535" spans="1:27" ht="14.25" thickBot="1" x14ac:dyDescent="0.2">
      <c r="A535" s="5" t="s">
        <v>2</v>
      </c>
      <c r="B535" s="3" t="s">
        <v>13</v>
      </c>
      <c r="C535" s="44" t="s">
        <v>14</v>
      </c>
      <c r="D535" s="4" t="s">
        <v>15</v>
      </c>
      <c r="E535" s="23" t="s">
        <v>16</v>
      </c>
      <c r="F535" s="31" t="s">
        <v>3</v>
      </c>
      <c r="G535" s="3" t="s">
        <v>13</v>
      </c>
      <c r="H535" s="44" t="s">
        <v>14</v>
      </c>
      <c r="I535" s="4" t="s">
        <v>15</v>
      </c>
      <c r="J535" s="23" t="s">
        <v>16</v>
      </c>
      <c r="K535" s="31" t="s">
        <v>3</v>
      </c>
      <c r="L535" s="355"/>
      <c r="N535" s="5" t="s">
        <v>2</v>
      </c>
      <c r="O535" s="3" t="s">
        <v>13</v>
      </c>
      <c r="P535" s="44" t="s">
        <v>14</v>
      </c>
      <c r="Q535" s="4" t="s">
        <v>15</v>
      </c>
      <c r="R535" s="23" t="s">
        <v>16</v>
      </c>
      <c r="S535" s="31" t="s">
        <v>3</v>
      </c>
      <c r="T535" s="3" t="s">
        <v>13</v>
      </c>
      <c r="U535" s="44" t="s">
        <v>14</v>
      </c>
      <c r="V535" s="4" t="s">
        <v>15</v>
      </c>
      <c r="W535" s="23" t="s">
        <v>16</v>
      </c>
      <c r="X535" s="31" t="s">
        <v>3</v>
      </c>
      <c r="Y535" s="355"/>
    </row>
    <row r="536" spans="1:27" x14ac:dyDescent="0.15">
      <c r="A536" s="71" t="s">
        <v>17</v>
      </c>
      <c r="B536" s="72">
        <f>B530</f>
        <v>0</v>
      </c>
      <c r="C536" s="73">
        <f t="shared" ref="C536:L536" si="367">C530</f>
        <v>0</v>
      </c>
      <c r="D536" s="73">
        <f t="shared" si="367"/>
        <v>17</v>
      </c>
      <c r="E536" s="74">
        <f t="shared" si="367"/>
        <v>4</v>
      </c>
      <c r="F536" s="76">
        <f>F530</f>
        <v>17</v>
      </c>
      <c r="G536" s="72">
        <f t="shared" si="367"/>
        <v>6</v>
      </c>
      <c r="H536" s="73">
        <f t="shared" si="367"/>
        <v>7</v>
      </c>
      <c r="I536" s="73">
        <f t="shared" si="367"/>
        <v>8</v>
      </c>
      <c r="J536" s="74">
        <f t="shared" si="367"/>
        <v>0</v>
      </c>
      <c r="K536" s="75">
        <f t="shared" si="367"/>
        <v>21</v>
      </c>
      <c r="L536" s="16">
        <f t="shared" si="367"/>
        <v>38</v>
      </c>
      <c r="N536" s="71" t="s">
        <v>17</v>
      </c>
      <c r="O536" s="72">
        <f>O530</f>
        <v>0</v>
      </c>
      <c r="P536" s="73">
        <f t="shared" ref="P536:Y536" si="368">P530</f>
        <v>0</v>
      </c>
      <c r="Q536" s="73">
        <f t="shared" si="368"/>
        <v>40</v>
      </c>
      <c r="R536" s="74">
        <f t="shared" si="368"/>
        <v>143</v>
      </c>
      <c r="S536" s="76">
        <f t="shared" si="368"/>
        <v>183</v>
      </c>
      <c r="T536" s="72">
        <f t="shared" si="368"/>
        <v>446</v>
      </c>
      <c r="U536" s="73">
        <f t="shared" si="368"/>
        <v>607</v>
      </c>
      <c r="V536" s="73">
        <f t="shared" si="368"/>
        <v>434</v>
      </c>
      <c r="W536" s="74">
        <f t="shared" si="368"/>
        <v>303</v>
      </c>
      <c r="X536" s="75">
        <f t="shared" si="368"/>
        <v>1790</v>
      </c>
      <c r="Y536" s="16">
        <f t="shared" si="368"/>
        <v>1973</v>
      </c>
    </row>
    <row r="537" spans="1:27" x14ac:dyDescent="0.15">
      <c r="A537" s="13" t="s">
        <v>6</v>
      </c>
      <c r="B537" s="6">
        <v>5</v>
      </c>
      <c r="C537" s="30">
        <v>5</v>
      </c>
      <c r="D537" s="7">
        <v>5</v>
      </c>
      <c r="E537" s="8"/>
      <c r="F537" s="9">
        <f>SUM(B537:E537)</f>
        <v>15</v>
      </c>
      <c r="G537" s="30"/>
      <c r="H537" s="30"/>
      <c r="I537" s="7"/>
      <c r="J537" s="8">
        <v>5</v>
      </c>
      <c r="K537" s="9">
        <f>SUM(G537:J537)</f>
        <v>5</v>
      </c>
      <c r="L537" s="11">
        <f t="shared" ref="L537:L539" si="369">F537+K537</f>
        <v>20</v>
      </c>
      <c r="M537" s="126">
        <v>44933</v>
      </c>
      <c r="N537" s="13" t="s">
        <v>350</v>
      </c>
      <c r="O537" s="26">
        <v>7</v>
      </c>
      <c r="P537" s="47">
        <v>7</v>
      </c>
      <c r="Q537" s="27">
        <v>25</v>
      </c>
      <c r="R537" s="34">
        <v>2</v>
      </c>
      <c r="S537" s="35">
        <f t="shared" ref="S537" si="370">SUM(O537:R537)</f>
        <v>41</v>
      </c>
      <c r="T537" s="26">
        <v>4</v>
      </c>
      <c r="U537" s="47">
        <v>3</v>
      </c>
      <c r="V537" s="27">
        <v>2</v>
      </c>
      <c r="W537" s="34"/>
      <c r="X537" s="35">
        <f t="shared" ref="X537" si="371">SUM(T537:W537)</f>
        <v>9</v>
      </c>
      <c r="Y537" s="11">
        <f t="shared" ref="Y537" si="372">S537+X537</f>
        <v>50</v>
      </c>
      <c r="Z537" s="126">
        <v>44947</v>
      </c>
    </row>
    <row r="538" spans="1:27" x14ac:dyDescent="0.15">
      <c r="A538" s="79" t="s">
        <v>49</v>
      </c>
      <c r="B538" s="6">
        <v>7</v>
      </c>
      <c r="C538" s="30">
        <v>7</v>
      </c>
      <c r="D538" s="7">
        <v>8</v>
      </c>
      <c r="E538" s="8">
        <v>2</v>
      </c>
      <c r="F538" s="9">
        <f>SUM(B538:E538)</f>
        <v>24</v>
      </c>
      <c r="G538" s="30">
        <v>3</v>
      </c>
      <c r="H538" s="30">
        <v>1</v>
      </c>
      <c r="I538" s="7">
        <v>1</v>
      </c>
      <c r="J538" s="8"/>
      <c r="K538" s="9">
        <f>SUM(G538:J538)</f>
        <v>5</v>
      </c>
      <c r="L538" s="11">
        <f t="shared" si="369"/>
        <v>29</v>
      </c>
      <c r="M538" s="126">
        <v>44942</v>
      </c>
      <c r="N538" s="13" t="s">
        <v>6</v>
      </c>
      <c r="O538" s="26">
        <v>550</v>
      </c>
      <c r="P538" s="47">
        <v>700</v>
      </c>
      <c r="Q538" s="27"/>
      <c r="R538" s="34"/>
      <c r="S538" s="77">
        <f>SUM(O538:R538)</f>
        <v>1250</v>
      </c>
      <c r="T538" s="26"/>
      <c r="U538" s="47"/>
      <c r="V538" s="27"/>
      <c r="W538" s="34"/>
      <c r="X538" s="9">
        <f>SUM(T538:W538)</f>
        <v>0</v>
      </c>
      <c r="Y538" s="11">
        <f t="shared" ref="Y538:Y568" si="373">S538+X538</f>
        <v>1250</v>
      </c>
      <c r="Z538" s="99" t="s">
        <v>485</v>
      </c>
      <c r="AA538" s="58"/>
    </row>
    <row r="539" spans="1:27" x14ac:dyDescent="0.15">
      <c r="A539" s="13" t="s">
        <v>460</v>
      </c>
      <c r="B539" s="6"/>
      <c r="C539" s="30"/>
      <c r="D539" s="7"/>
      <c r="E539" s="8"/>
      <c r="F539" s="9">
        <f>SUM(B539:E539)</f>
        <v>0</v>
      </c>
      <c r="G539" s="30"/>
      <c r="H539" s="30">
        <v>1</v>
      </c>
      <c r="I539" s="7"/>
      <c r="J539" s="8"/>
      <c r="K539" s="9">
        <f>SUM(G539:J539)</f>
        <v>1</v>
      </c>
      <c r="L539" s="108">
        <f t="shared" si="369"/>
        <v>1</v>
      </c>
      <c r="M539" s="126">
        <v>44945</v>
      </c>
      <c r="N539" s="13" t="s">
        <v>7</v>
      </c>
      <c r="O539" s="26"/>
      <c r="P539" s="47"/>
      <c r="Q539" s="27">
        <v>350</v>
      </c>
      <c r="R539" s="34">
        <v>200</v>
      </c>
      <c r="S539" s="77">
        <f>SUM(O539:R539)</f>
        <v>550</v>
      </c>
      <c r="T539" s="47">
        <v>400</v>
      </c>
      <c r="U539" s="47">
        <v>500</v>
      </c>
      <c r="V539" s="27">
        <v>250</v>
      </c>
      <c r="W539" s="50">
        <v>250</v>
      </c>
      <c r="X539" s="9">
        <f>SUM(T539:W539)</f>
        <v>1400</v>
      </c>
      <c r="Y539" s="11">
        <f t="shared" si="373"/>
        <v>1950</v>
      </c>
      <c r="Z539" s="99" t="s">
        <v>486</v>
      </c>
      <c r="AA539" s="101"/>
    </row>
    <row r="540" spans="1:27" ht="14.25" thickBot="1" x14ac:dyDescent="0.2">
      <c r="A540" s="13" t="s">
        <v>470</v>
      </c>
      <c r="B540" s="6">
        <v>5</v>
      </c>
      <c r="C540" s="30"/>
      <c r="D540" s="7"/>
      <c r="E540" s="8"/>
      <c r="F540" s="118">
        <f>SUM(B540:E540)</f>
        <v>5</v>
      </c>
      <c r="G540" s="30">
        <v>3</v>
      </c>
      <c r="H540" s="30"/>
      <c r="I540" s="7"/>
      <c r="J540" s="8"/>
      <c r="K540" s="118">
        <f>SUM(G540:J540)</f>
        <v>3</v>
      </c>
      <c r="L540" s="14">
        <f t="shared" ref="L540:L568" si="374">F540+K540</f>
        <v>8</v>
      </c>
      <c r="M540" s="99">
        <v>44951</v>
      </c>
      <c r="N540" s="13" t="s">
        <v>8</v>
      </c>
      <c r="O540" s="62"/>
      <c r="P540" s="63"/>
      <c r="Q540" s="64"/>
      <c r="R540" s="65"/>
      <c r="S540" s="78">
        <f>SUM(O540:R540)</f>
        <v>0</v>
      </c>
      <c r="T540" s="47"/>
      <c r="U540" s="47"/>
      <c r="V540" s="27"/>
      <c r="W540" s="50"/>
      <c r="X540" s="10">
        <f>SUM(T540:W540)</f>
        <v>0</v>
      </c>
      <c r="Y540" s="14">
        <f t="shared" si="373"/>
        <v>0</v>
      </c>
      <c r="Z540" s="102"/>
    </row>
    <row r="541" spans="1:27" ht="14.25" thickBot="1" x14ac:dyDescent="0.2">
      <c r="A541" s="22" t="s">
        <v>9</v>
      </c>
      <c r="B541" s="128">
        <f t="shared" ref="B541:K541" si="375">SUM(B536:B540)</f>
        <v>17</v>
      </c>
      <c r="C541" s="129">
        <f t="shared" si="375"/>
        <v>12</v>
      </c>
      <c r="D541" s="130">
        <f t="shared" si="375"/>
        <v>30</v>
      </c>
      <c r="E541" s="131">
        <f t="shared" si="375"/>
        <v>6</v>
      </c>
      <c r="F541" s="132">
        <f t="shared" si="375"/>
        <v>61</v>
      </c>
      <c r="G541" s="128">
        <f t="shared" si="375"/>
        <v>12</v>
      </c>
      <c r="H541" s="129">
        <f t="shared" si="375"/>
        <v>9</v>
      </c>
      <c r="I541" s="130">
        <f t="shared" si="375"/>
        <v>9</v>
      </c>
      <c r="J541" s="131">
        <f t="shared" si="375"/>
        <v>5</v>
      </c>
      <c r="K541" s="132">
        <f t="shared" si="375"/>
        <v>35</v>
      </c>
      <c r="L541" s="21">
        <f t="shared" si="374"/>
        <v>96</v>
      </c>
      <c r="N541" s="17" t="s">
        <v>9</v>
      </c>
      <c r="O541" s="41">
        <f>SUM(O536:O540)</f>
        <v>557</v>
      </c>
      <c r="P541" s="49">
        <f t="shared" ref="P541:V541" si="376">SUM(P536:P540)</f>
        <v>707</v>
      </c>
      <c r="Q541" s="42">
        <f t="shared" si="376"/>
        <v>415</v>
      </c>
      <c r="R541" s="92">
        <f t="shared" si="376"/>
        <v>345</v>
      </c>
      <c r="S541" s="93">
        <f t="shared" si="376"/>
        <v>2024</v>
      </c>
      <c r="T541" s="41">
        <f t="shared" si="376"/>
        <v>850</v>
      </c>
      <c r="U541" s="49">
        <f t="shared" si="376"/>
        <v>1110</v>
      </c>
      <c r="V541" s="42">
        <f t="shared" si="376"/>
        <v>686</v>
      </c>
      <c r="W541" s="92">
        <f>SUM(W536:W540)</f>
        <v>553</v>
      </c>
      <c r="X541" s="93">
        <f t="shared" ref="X541" si="377">SUM(X536:X540)</f>
        <v>3199</v>
      </c>
      <c r="Y541" s="56">
        <f t="shared" si="373"/>
        <v>5223</v>
      </c>
    </row>
    <row r="542" spans="1:27" x14ac:dyDescent="0.15">
      <c r="A542" s="79" t="s">
        <v>41</v>
      </c>
      <c r="B542" s="66">
        <v>1</v>
      </c>
      <c r="C542" s="67"/>
      <c r="D542" s="68"/>
      <c r="E542" s="69"/>
      <c r="F542" s="70">
        <f t="shared" ref="F542" si="378">SUM(B542:E542)</f>
        <v>1</v>
      </c>
      <c r="G542" s="66"/>
      <c r="H542" s="67"/>
      <c r="I542" s="68">
        <v>1</v>
      </c>
      <c r="J542" s="69"/>
      <c r="K542" s="70">
        <f t="shared" ref="K542" si="379">SUM(G542:J542)</f>
        <v>1</v>
      </c>
      <c r="L542" s="11">
        <f t="shared" si="374"/>
        <v>2</v>
      </c>
      <c r="M542" s="126">
        <v>44936</v>
      </c>
      <c r="N542" s="161" t="s">
        <v>323</v>
      </c>
      <c r="O542" s="66">
        <v>21</v>
      </c>
      <c r="P542" s="67">
        <v>33</v>
      </c>
      <c r="Q542" s="68">
        <v>18</v>
      </c>
      <c r="R542" s="94">
        <v>9</v>
      </c>
      <c r="S542" s="91">
        <f>SUM(O542:R542)</f>
        <v>81</v>
      </c>
      <c r="T542" s="67">
        <v>18</v>
      </c>
      <c r="U542" s="67">
        <v>29</v>
      </c>
      <c r="V542" s="68">
        <v>15</v>
      </c>
      <c r="W542" s="94">
        <v>8</v>
      </c>
      <c r="X542" s="91">
        <f>SUM(T542:W542)</f>
        <v>70</v>
      </c>
      <c r="Y542" s="11">
        <f t="shared" si="373"/>
        <v>151</v>
      </c>
      <c r="Z542" s="99">
        <v>44581</v>
      </c>
    </row>
    <row r="543" spans="1:27" x14ac:dyDescent="0.15">
      <c r="A543" s="79" t="s">
        <v>452</v>
      </c>
      <c r="B543" s="26">
        <v>1</v>
      </c>
      <c r="C543" s="47"/>
      <c r="D543" s="27"/>
      <c r="E543" s="34"/>
      <c r="F543" s="35">
        <f>SUM(B543:E543)</f>
        <v>1</v>
      </c>
      <c r="G543" s="26"/>
      <c r="H543" s="47"/>
      <c r="I543" s="27"/>
      <c r="J543" s="34"/>
      <c r="K543" s="35">
        <f>SUM(G543:J543)</f>
        <v>0</v>
      </c>
      <c r="L543" s="11">
        <f t="shared" si="374"/>
        <v>1</v>
      </c>
      <c r="M543" s="126">
        <v>44942</v>
      </c>
      <c r="N543" s="57" t="s">
        <v>425</v>
      </c>
      <c r="O543" s="26">
        <f>7+5+5+19+13+3+5+1+15-13+5+5+1</f>
        <v>71</v>
      </c>
      <c r="P543" s="47">
        <f>4+3+10+6+9+4+14+3-3+8-16+5+2</f>
        <v>49</v>
      </c>
      <c r="Q543" s="27"/>
      <c r="R543" s="34"/>
      <c r="S543" s="35">
        <f t="shared" ref="S543" si="380">SUM(O543:R543)</f>
        <v>120</v>
      </c>
      <c r="T543" s="26"/>
      <c r="U543" s="47"/>
      <c r="V543" s="27"/>
      <c r="W543" s="34"/>
      <c r="X543" s="35">
        <f t="shared" ref="X543:X544" si="381">SUM(T543:W543)</f>
        <v>0</v>
      </c>
      <c r="Y543" s="11">
        <f t="shared" si="373"/>
        <v>120</v>
      </c>
      <c r="Z543" s="99">
        <v>44933</v>
      </c>
      <c r="AA543" s="58"/>
    </row>
    <row r="544" spans="1:27" x14ac:dyDescent="0.15">
      <c r="A544" s="13" t="s">
        <v>41</v>
      </c>
      <c r="B544" s="26"/>
      <c r="C544" s="47"/>
      <c r="D544" s="27"/>
      <c r="E544" s="34"/>
      <c r="F544" s="35">
        <f t="shared" ref="F544:F566" si="382">SUM(B544:E544)</f>
        <v>0</v>
      </c>
      <c r="G544" s="26"/>
      <c r="H544" s="47"/>
      <c r="I544" s="27">
        <v>1</v>
      </c>
      <c r="J544" s="34"/>
      <c r="K544" s="35">
        <f t="shared" ref="K544:K566" si="383">SUM(G544:J544)</f>
        <v>1</v>
      </c>
      <c r="L544" s="11">
        <f t="shared" si="374"/>
        <v>1</v>
      </c>
      <c r="M544" s="126">
        <v>44942</v>
      </c>
      <c r="N544" s="32" t="s">
        <v>443</v>
      </c>
      <c r="O544" s="26"/>
      <c r="P544" s="47"/>
      <c r="Q544" s="27">
        <v>1</v>
      </c>
      <c r="R544" s="34"/>
      <c r="S544" s="35">
        <f t="shared" ref="S544" si="384">SUM(O544:R544)</f>
        <v>1</v>
      </c>
      <c r="T544" s="26">
        <v>3</v>
      </c>
      <c r="U544" s="47">
        <v>1</v>
      </c>
      <c r="V544" s="27"/>
      <c r="W544" s="34"/>
      <c r="X544" s="35">
        <f t="shared" si="381"/>
        <v>4</v>
      </c>
      <c r="Y544" s="11">
        <f t="shared" si="373"/>
        <v>5</v>
      </c>
      <c r="Z544" s="99">
        <v>44933</v>
      </c>
      <c r="AA544" s="58"/>
    </row>
    <row r="545" spans="1:27" x14ac:dyDescent="0.15">
      <c r="A545" s="79" t="s">
        <v>455</v>
      </c>
      <c r="B545" s="66">
        <v>1</v>
      </c>
      <c r="C545" s="67"/>
      <c r="D545" s="68"/>
      <c r="E545" s="69"/>
      <c r="F545" s="70">
        <f t="shared" si="382"/>
        <v>1</v>
      </c>
      <c r="G545" s="66"/>
      <c r="H545" s="67">
        <v>1</v>
      </c>
      <c r="I545" s="68"/>
      <c r="J545" s="69"/>
      <c r="K545" s="70">
        <f t="shared" si="383"/>
        <v>1</v>
      </c>
      <c r="L545" s="11">
        <f t="shared" si="374"/>
        <v>2</v>
      </c>
      <c r="M545" s="126">
        <v>44944</v>
      </c>
      <c r="N545" s="79" t="s">
        <v>445</v>
      </c>
      <c r="O545" s="66">
        <v>5</v>
      </c>
      <c r="P545" s="67">
        <v>5</v>
      </c>
      <c r="Q545" s="68">
        <v>5</v>
      </c>
      <c r="R545" s="94"/>
      <c r="S545" s="91">
        <f>SUM(O545:R545)</f>
        <v>15</v>
      </c>
      <c r="T545" s="67"/>
      <c r="U545" s="67"/>
      <c r="V545" s="68"/>
      <c r="W545" s="94">
        <v>5</v>
      </c>
      <c r="X545" s="91">
        <f>SUM(T545:W545)</f>
        <v>5</v>
      </c>
      <c r="Y545" s="11">
        <f t="shared" si="373"/>
        <v>20</v>
      </c>
      <c r="Z545" s="99">
        <v>44933</v>
      </c>
    </row>
    <row r="546" spans="1:27" x14ac:dyDescent="0.15">
      <c r="A546" s="13" t="s">
        <v>465</v>
      </c>
      <c r="B546" s="26">
        <v>7</v>
      </c>
      <c r="C546" s="47">
        <v>7</v>
      </c>
      <c r="D546" s="27">
        <v>25</v>
      </c>
      <c r="E546" s="34">
        <v>2</v>
      </c>
      <c r="F546" s="35">
        <f t="shared" si="382"/>
        <v>41</v>
      </c>
      <c r="G546" s="26">
        <v>4</v>
      </c>
      <c r="H546" s="47">
        <v>3</v>
      </c>
      <c r="I546" s="27">
        <v>2</v>
      </c>
      <c r="J546" s="34"/>
      <c r="K546" s="35">
        <f t="shared" si="383"/>
        <v>9</v>
      </c>
      <c r="L546" s="11">
        <f t="shared" si="374"/>
        <v>50</v>
      </c>
      <c r="M546" s="126">
        <v>44947</v>
      </c>
      <c r="N546" s="32" t="s">
        <v>446</v>
      </c>
      <c r="O546" s="26"/>
      <c r="P546" s="47">
        <v>3</v>
      </c>
      <c r="Q546" s="27">
        <v>2</v>
      </c>
      <c r="R546" s="34"/>
      <c r="S546" s="35">
        <f t="shared" ref="S546:S548" si="385">SUM(O546:R546)</f>
        <v>5</v>
      </c>
      <c r="T546" s="26"/>
      <c r="U546" s="47">
        <v>2</v>
      </c>
      <c r="V546" s="27"/>
      <c r="W546" s="34"/>
      <c r="X546" s="35">
        <f t="shared" ref="X546:X548" si="386">SUM(T546:W546)</f>
        <v>2</v>
      </c>
      <c r="Y546" s="11">
        <f t="shared" si="373"/>
        <v>7</v>
      </c>
      <c r="Z546" s="99">
        <v>44937</v>
      </c>
    </row>
    <row r="547" spans="1:27" x14ac:dyDescent="0.15">
      <c r="A547" s="32" t="s">
        <v>468</v>
      </c>
      <c r="B547" s="26">
        <v>1</v>
      </c>
      <c r="C547" s="47"/>
      <c r="D547" s="27"/>
      <c r="E547" s="34"/>
      <c r="F547" s="35">
        <f t="shared" si="382"/>
        <v>1</v>
      </c>
      <c r="G547" s="26">
        <v>2</v>
      </c>
      <c r="H547" s="47">
        <v>1</v>
      </c>
      <c r="I547" s="27"/>
      <c r="J547" s="34"/>
      <c r="K547" s="35">
        <f t="shared" si="383"/>
        <v>3</v>
      </c>
      <c r="L547" s="11">
        <f t="shared" si="374"/>
        <v>4</v>
      </c>
      <c r="M547" s="99">
        <v>44950</v>
      </c>
      <c r="N547" s="32" t="s">
        <v>447</v>
      </c>
      <c r="O547" s="26">
        <v>1</v>
      </c>
      <c r="P547" s="47"/>
      <c r="Q547" s="27"/>
      <c r="R547" s="34">
        <v>2</v>
      </c>
      <c r="S547" s="35">
        <f t="shared" si="385"/>
        <v>3</v>
      </c>
      <c r="T547" s="26">
        <v>1</v>
      </c>
      <c r="U547" s="47">
        <v>1</v>
      </c>
      <c r="V547" s="27">
        <v>1</v>
      </c>
      <c r="W547" s="34"/>
      <c r="X547" s="35">
        <f t="shared" si="386"/>
        <v>3</v>
      </c>
      <c r="Y547" s="11">
        <f t="shared" si="373"/>
        <v>6</v>
      </c>
      <c r="Z547" s="99">
        <v>44938</v>
      </c>
    </row>
    <row r="548" spans="1:27" x14ac:dyDescent="0.15">
      <c r="A548" s="13" t="s">
        <v>41</v>
      </c>
      <c r="B548" s="26"/>
      <c r="C548" s="47">
        <v>1</v>
      </c>
      <c r="D548" s="27"/>
      <c r="E548" s="34"/>
      <c r="F548" s="35">
        <f t="shared" si="382"/>
        <v>1</v>
      </c>
      <c r="G548" s="26"/>
      <c r="H548" s="47"/>
      <c r="I548" s="27"/>
      <c r="J548" s="34"/>
      <c r="K548" s="35">
        <f t="shared" si="383"/>
        <v>0</v>
      </c>
      <c r="L548" s="11">
        <f t="shared" si="374"/>
        <v>1</v>
      </c>
      <c r="M548" s="126">
        <v>44949</v>
      </c>
      <c r="N548" s="90" t="s">
        <v>453</v>
      </c>
      <c r="O548" s="26"/>
      <c r="P548" s="47">
        <v>5</v>
      </c>
      <c r="Q548" s="27">
        <v>5</v>
      </c>
      <c r="R548" s="34"/>
      <c r="S548" s="35">
        <f t="shared" si="385"/>
        <v>10</v>
      </c>
      <c r="T548" s="26"/>
      <c r="U548" s="47">
        <v>5</v>
      </c>
      <c r="V548" s="27"/>
      <c r="W548" s="34"/>
      <c r="X548" s="35">
        <f t="shared" si="386"/>
        <v>5</v>
      </c>
      <c r="Y548" s="11">
        <f t="shared" si="373"/>
        <v>15</v>
      </c>
      <c r="Z548" s="99">
        <v>44942</v>
      </c>
    </row>
    <row r="549" spans="1:27" x14ac:dyDescent="0.15">
      <c r="A549" s="32" t="s">
        <v>481</v>
      </c>
      <c r="B549" s="26">
        <v>-4</v>
      </c>
      <c r="C549" s="47">
        <v>-6</v>
      </c>
      <c r="D549" s="27">
        <v>-1</v>
      </c>
      <c r="E549" s="34">
        <v>-2</v>
      </c>
      <c r="F549" s="35">
        <f t="shared" si="382"/>
        <v>-13</v>
      </c>
      <c r="G549" s="26">
        <v>-1</v>
      </c>
      <c r="H549" s="47"/>
      <c r="I549" s="27"/>
      <c r="J549" s="34"/>
      <c r="K549" s="35">
        <f t="shared" si="383"/>
        <v>-1</v>
      </c>
      <c r="L549" s="11">
        <f t="shared" si="374"/>
        <v>-14</v>
      </c>
      <c r="M549" s="126">
        <v>44951</v>
      </c>
      <c r="N549" s="32" t="s">
        <v>450</v>
      </c>
      <c r="O549" s="26">
        <v>2</v>
      </c>
      <c r="P549" s="47"/>
      <c r="Q549" s="27"/>
      <c r="R549" s="50"/>
      <c r="S549" s="9">
        <f>SUM(O549:R549)</f>
        <v>2</v>
      </c>
      <c r="T549" s="47">
        <v>1</v>
      </c>
      <c r="U549" s="47"/>
      <c r="V549" s="27"/>
      <c r="W549" s="50"/>
      <c r="X549" s="9">
        <f>SUM(T549:W549)</f>
        <v>1</v>
      </c>
      <c r="Y549" s="11">
        <f t="shared" si="373"/>
        <v>3</v>
      </c>
      <c r="Z549" s="99">
        <v>44939</v>
      </c>
    </row>
    <row r="550" spans="1:27" x14ac:dyDescent="0.15">
      <c r="A550" s="32" t="s">
        <v>482</v>
      </c>
      <c r="B550" s="26"/>
      <c r="C550" s="47">
        <v>1</v>
      </c>
      <c r="D550" s="27"/>
      <c r="E550" s="34"/>
      <c r="F550" s="35">
        <f t="shared" si="382"/>
        <v>1</v>
      </c>
      <c r="G550" s="26"/>
      <c r="H550" s="47"/>
      <c r="I550" s="27"/>
      <c r="J550" s="34"/>
      <c r="K550" s="35">
        <f t="shared" si="383"/>
        <v>0</v>
      </c>
      <c r="L550" s="11">
        <f t="shared" si="374"/>
        <v>1</v>
      </c>
      <c r="M550" s="99">
        <v>44957</v>
      </c>
      <c r="N550" s="32" t="s">
        <v>451</v>
      </c>
      <c r="O550" s="26"/>
      <c r="P550" s="47">
        <v>2</v>
      </c>
      <c r="Q550" s="27">
        <v>1</v>
      </c>
      <c r="R550" s="34"/>
      <c r="S550" s="35">
        <f t="shared" ref="S550:S567" si="387">SUM(O550:R550)</f>
        <v>3</v>
      </c>
      <c r="T550" s="26"/>
      <c r="U550" s="47"/>
      <c r="V550" s="27"/>
      <c r="W550" s="34">
        <v>8</v>
      </c>
      <c r="X550" s="35">
        <f t="shared" ref="X550:X567" si="388">SUM(T550:W550)</f>
        <v>8</v>
      </c>
      <c r="Y550" s="11">
        <f t="shared" si="373"/>
        <v>11</v>
      </c>
      <c r="Z550" s="99">
        <v>44943</v>
      </c>
    </row>
    <row r="551" spans="1:27" x14ac:dyDescent="0.15">
      <c r="A551" s="32"/>
      <c r="B551" s="26"/>
      <c r="C551" s="47"/>
      <c r="D551" s="27"/>
      <c r="E551" s="34"/>
      <c r="F551" s="35">
        <f t="shared" si="382"/>
        <v>0</v>
      </c>
      <c r="G551" s="26"/>
      <c r="H551" s="47"/>
      <c r="I551" s="27"/>
      <c r="J551" s="34"/>
      <c r="K551" s="35">
        <f t="shared" si="383"/>
        <v>0</v>
      </c>
      <c r="L551" s="11">
        <f t="shared" si="374"/>
        <v>0</v>
      </c>
      <c r="N551" s="32" t="s">
        <v>454</v>
      </c>
      <c r="O551" s="26">
        <v>1</v>
      </c>
      <c r="P551" s="47">
        <v>2</v>
      </c>
      <c r="Q551" s="27">
        <v>2</v>
      </c>
      <c r="R551" s="34"/>
      <c r="S551" s="35">
        <f t="shared" si="387"/>
        <v>5</v>
      </c>
      <c r="T551" s="26"/>
      <c r="U551" s="47">
        <v>1</v>
      </c>
      <c r="V551" s="27"/>
      <c r="W551" s="34"/>
      <c r="X551" s="35">
        <f t="shared" si="388"/>
        <v>1</v>
      </c>
      <c r="Y551" s="11">
        <f t="shared" si="373"/>
        <v>6</v>
      </c>
      <c r="Z551" s="99">
        <v>44944</v>
      </c>
    </row>
    <row r="552" spans="1:27" x14ac:dyDescent="0.15">
      <c r="A552" s="15"/>
      <c r="B552" s="26"/>
      <c r="C552" s="47"/>
      <c r="D552" s="27"/>
      <c r="E552" s="34"/>
      <c r="F552" s="35">
        <f t="shared" si="382"/>
        <v>0</v>
      </c>
      <c r="G552" s="26"/>
      <c r="H552" s="47"/>
      <c r="I552" s="27"/>
      <c r="J552" s="34"/>
      <c r="K552" s="35">
        <f t="shared" si="383"/>
        <v>0</v>
      </c>
      <c r="L552" s="11">
        <f t="shared" si="374"/>
        <v>0</v>
      </c>
      <c r="N552" s="32" t="s">
        <v>456</v>
      </c>
      <c r="O552" s="26">
        <v>3</v>
      </c>
      <c r="P552" s="47">
        <v>1</v>
      </c>
      <c r="Q552" s="27">
        <v>1</v>
      </c>
      <c r="R552" s="34"/>
      <c r="S552" s="35">
        <f t="shared" si="387"/>
        <v>5</v>
      </c>
      <c r="T552" s="26">
        <v>1</v>
      </c>
      <c r="U552" s="47">
        <v>2</v>
      </c>
      <c r="V552" s="27">
        <v>1</v>
      </c>
      <c r="W552" s="34"/>
      <c r="X552" s="35">
        <f t="shared" si="388"/>
        <v>4</v>
      </c>
      <c r="Y552" s="11">
        <f t="shared" si="373"/>
        <v>9</v>
      </c>
      <c r="Z552" s="99">
        <v>44945</v>
      </c>
    </row>
    <row r="553" spans="1:27" x14ac:dyDescent="0.15">
      <c r="A553" s="13"/>
      <c r="B553" s="26"/>
      <c r="C553" s="47"/>
      <c r="D553" s="27"/>
      <c r="E553" s="34"/>
      <c r="F553" s="35">
        <f t="shared" si="382"/>
        <v>0</v>
      </c>
      <c r="G553" s="26"/>
      <c r="H553" s="47"/>
      <c r="I553" s="27"/>
      <c r="J553" s="34"/>
      <c r="K553" s="35">
        <f t="shared" si="383"/>
        <v>0</v>
      </c>
      <c r="L553" s="11">
        <f t="shared" si="374"/>
        <v>0</v>
      </c>
      <c r="N553" s="32" t="s">
        <v>457</v>
      </c>
      <c r="O553" s="26"/>
      <c r="P553" s="47">
        <v>1</v>
      </c>
      <c r="Q553" s="27">
        <v>1</v>
      </c>
      <c r="R553" s="34">
        <v>1</v>
      </c>
      <c r="S553" s="35">
        <f t="shared" si="387"/>
        <v>3</v>
      </c>
      <c r="T553" s="26"/>
      <c r="U553" s="47">
        <v>4</v>
      </c>
      <c r="V553" s="27">
        <v>4</v>
      </c>
      <c r="W553" s="34"/>
      <c r="X553" s="35">
        <f t="shared" si="388"/>
        <v>8</v>
      </c>
      <c r="Y553" s="11">
        <f t="shared" si="373"/>
        <v>11</v>
      </c>
      <c r="Z553" s="99">
        <v>44946</v>
      </c>
    </row>
    <row r="554" spans="1:27" x14ac:dyDescent="0.15">
      <c r="A554" s="15"/>
      <c r="B554" s="26"/>
      <c r="C554" s="47"/>
      <c r="D554" s="27"/>
      <c r="E554" s="34"/>
      <c r="F554" s="35">
        <f t="shared" si="382"/>
        <v>0</v>
      </c>
      <c r="G554" s="26"/>
      <c r="H554" s="47"/>
      <c r="I554" s="27"/>
      <c r="J554" s="34"/>
      <c r="K554" s="35">
        <f t="shared" si="383"/>
        <v>0</v>
      </c>
      <c r="L554" s="11">
        <f t="shared" si="374"/>
        <v>0</v>
      </c>
      <c r="N554" s="32" t="s">
        <v>461</v>
      </c>
      <c r="O554" s="26"/>
      <c r="P554" s="47"/>
      <c r="Q554" s="27">
        <v>1</v>
      </c>
      <c r="R554" s="34"/>
      <c r="S554" s="35">
        <f t="shared" si="387"/>
        <v>1</v>
      </c>
      <c r="T554" s="26">
        <v>1</v>
      </c>
      <c r="U554" s="47"/>
      <c r="V554" s="27">
        <v>2</v>
      </c>
      <c r="W554" s="34"/>
      <c r="X554" s="35">
        <f t="shared" si="388"/>
        <v>3</v>
      </c>
      <c r="Y554" s="11">
        <f t="shared" si="373"/>
        <v>4</v>
      </c>
      <c r="Z554" s="99">
        <v>44949</v>
      </c>
    </row>
    <row r="555" spans="1:27" x14ac:dyDescent="0.15">
      <c r="A555" s="13"/>
      <c r="B555" s="26"/>
      <c r="C555" s="47"/>
      <c r="D555" s="27"/>
      <c r="E555" s="34"/>
      <c r="F555" s="35">
        <f t="shared" si="382"/>
        <v>0</v>
      </c>
      <c r="G555" s="26"/>
      <c r="H555" s="47"/>
      <c r="I555" s="27"/>
      <c r="J555" s="34"/>
      <c r="K555" s="35">
        <f t="shared" si="383"/>
        <v>0</v>
      </c>
      <c r="L555" s="11">
        <f t="shared" si="374"/>
        <v>0</v>
      </c>
      <c r="N555" s="15" t="s">
        <v>471</v>
      </c>
      <c r="O555" s="26">
        <v>5</v>
      </c>
      <c r="P555" s="47"/>
      <c r="Q555" s="27"/>
      <c r="R555" s="34"/>
      <c r="S555" s="35">
        <f t="shared" si="387"/>
        <v>5</v>
      </c>
      <c r="T555" s="26">
        <v>3</v>
      </c>
      <c r="U555" s="47"/>
      <c r="V555" s="27"/>
      <c r="W555" s="34"/>
      <c r="X555" s="35">
        <f t="shared" si="388"/>
        <v>3</v>
      </c>
      <c r="Y555" s="11">
        <f t="shared" si="373"/>
        <v>8</v>
      </c>
      <c r="Z555" s="99">
        <v>44951</v>
      </c>
      <c r="AA555" s="58"/>
    </row>
    <row r="556" spans="1:27" x14ac:dyDescent="0.15">
      <c r="A556" s="15"/>
      <c r="B556" s="26"/>
      <c r="C556" s="47"/>
      <c r="D556" s="27"/>
      <c r="E556" s="34"/>
      <c r="F556" s="35">
        <f t="shared" si="382"/>
        <v>0</v>
      </c>
      <c r="G556" s="26"/>
      <c r="H556" s="47"/>
      <c r="I556" s="27"/>
      <c r="J556" s="34"/>
      <c r="K556" s="35">
        <f t="shared" si="383"/>
        <v>0</v>
      </c>
      <c r="L556" s="11">
        <f t="shared" si="374"/>
        <v>0</v>
      </c>
      <c r="N556" s="32" t="s">
        <v>472</v>
      </c>
      <c r="O556" s="26"/>
      <c r="P556" s="47">
        <v>2</v>
      </c>
      <c r="Q556" s="27">
        <v>1</v>
      </c>
      <c r="R556" s="34"/>
      <c r="S556" s="35">
        <f t="shared" si="387"/>
        <v>3</v>
      </c>
      <c r="T556" s="26">
        <v>2</v>
      </c>
      <c r="U556" s="47"/>
      <c r="V556" s="27"/>
      <c r="W556" s="34"/>
      <c r="X556" s="35">
        <f t="shared" si="388"/>
        <v>2</v>
      </c>
      <c r="Y556" s="11">
        <f t="shared" si="373"/>
        <v>5</v>
      </c>
      <c r="Z556" s="99">
        <v>44951</v>
      </c>
    </row>
    <row r="557" spans="1:27" x14ac:dyDescent="0.15">
      <c r="A557" s="13"/>
      <c r="B557" s="26"/>
      <c r="C557" s="47"/>
      <c r="D557" s="27"/>
      <c r="E557" s="34"/>
      <c r="F557" s="35">
        <f t="shared" si="382"/>
        <v>0</v>
      </c>
      <c r="G557" s="26"/>
      <c r="H557" s="47"/>
      <c r="I557" s="27"/>
      <c r="J557" s="34"/>
      <c r="K557" s="35">
        <f t="shared" si="383"/>
        <v>0</v>
      </c>
      <c r="L557" s="11">
        <f t="shared" si="374"/>
        <v>0</v>
      </c>
      <c r="N557" s="32" t="s">
        <v>473</v>
      </c>
      <c r="O557" s="26">
        <v>1</v>
      </c>
      <c r="P557" s="47"/>
      <c r="Q557" s="27"/>
      <c r="R557" s="34"/>
      <c r="S557" s="35">
        <f t="shared" si="387"/>
        <v>1</v>
      </c>
      <c r="T557" s="26">
        <v>3</v>
      </c>
      <c r="U557" s="47">
        <v>1</v>
      </c>
      <c r="V557" s="27">
        <v>3</v>
      </c>
      <c r="W557" s="34"/>
      <c r="X557" s="35">
        <f t="shared" si="388"/>
        <v>7</v>
      </c>
      <c r="Y557" s="11">
        <f t="shared" si="373"/>
        <v>8</v>
      </c>
      <c r="Z557" s="99">
        <v>44952</v>
      </c>
    </row>
    <row r="558" spans="1:27" x14ac:dyDescent="0.15">
      <c r="A558" s="15"/>
      <c r="B558" s="26"/>
      <c r="C558" s="47"/>
      <c r="D558" s="27"/>
      <c r="E558" s="34"/>
      <c r="F558" s="35">
        <f t="shared" si="382"/>
        <v>0</v>
      </c>
      <c r="G558" s="26"/>
      <c r="H558" s="47"/>
      <c r="I558" s="27"/>
      <c r="J558" s="34"/>
      <c r="K558" s="35">
        <f t="shared" si="383"/>
        <v>0</v>
      </c>
      <c r="L558" s="11">
        <f t="shared" si="374"/>
        <v>0</v>
      </c>
      <c r="N558" s="32" t="s">
        <v>474</v>
      </c>
      <c r="O558" s="26">
        <v>1</v>
      </c>
      <c r="P558" s="47"/>
      <c r="Q558" s="27"/>
      <c r="R558" s="34"/>
      <c r="S558" s="35">
        <f t="shared" si="387"/>
        <v>1</v>
      </c>
      <c r="T558" s="26">
        <v>1</v>
      </c>
      <c r="U558" s="47">
        <v>2</v>
      </c>
      <c r="V558" s="27"/>
      <c r="W558" s="34"/>
      <c r="X558" s="35">
        <f t="shared" si="388"/>
        <v>3</v>
      </c>
      <c r="Y558" s="11">
        <f t="shared" si="373"/>
        <v>4</v>
      </c>
      <c r="Z558" s="99">
        <v>44953</v>
      </c>
    </row>
    <row r="559" spans="1:27" x14ac:dyDescent="0.15">
      <c r="A559" s="15"/>
      <c r="B559" s="26"/>
      <c r="C559" s="47"/>
      <c r="D559" s="27"/>
      <c r="E559" s="34"/>
      <c r="F559" s="35">
        <f t="shared" si="382"/>
        <v>0</v>
      </c>
      <c r="G559" s="26"/>
      <c r="H559" s="47"/>
      <c r="I559" s="27"/>
      <c r="J559" s="34"/>
      <c r="K559" s="35">
        <f t="shared" si="383"/>
        <v>0</v>
      </c>
      <c r="L559" s="11">
        <f t="shared" si="374"/>
        <v>0</v>
      </c>
      <c r="N559" s="32" t="s">
        <v>480</v>
      </c>
      <c r="O559" s="26"/>
      <c r="P559" s="47">
        <v>1</v>
      </c>
      <c r="Q559" s="27"/>
      <c r="R559" s="34"/>
      <c r="S559" s="35">
        <f t="shared" si="387"/>
        <v>1</v>
      </c>
      <c r="T559" s="26"/>
      <c r="U559" s="47"/>
      <c r="V559" s="27">
        <v>3</v>
      </c>
      <c r="W559" s="34"/>
      <c r="X559" s="35">
        <f t="shared" si="388"/>
        <v>3</v>
      </c>
      <c r="Y559" s="11">
        <f t="shared" si="373"/>
        <v>4</v>
      </c>
      <c r="Z559" s="99">
        <v>44956</v>
      </c>
    </row>
    <row r="560" spans="1:27" x14ac:dyDescent="0.15">
      <c r="A560" s="13"/>
      <c r="B560" s="26"/>
      <c r="C560" s="47"/>
      <c r="D560" s="27"/>
      <c r="E560" s="34"/>
      <c r="F560" s="35">
        <f t="shared" si="382"/>
        <v>0</v>
      </c>
      <c r="G560" s="26"/>
      <c r="H560" s="47"/>
      <c r="I560" s="27"/>
      <c r="J560" s="34"/>
      <c r="K560" s="35">
        <f t="shared" si="383"/>
        <v>0</v>
      </c>
      <c r="L560" s="11">
        <f t="shared" si="374"/>
        <v>0</v>
      </c>
      <c r="N560" s="15"/>
      <c r="O560" s="26"/>
      <c r="P560" s="47"/>
      <c r="Q560" s="27"/>
      <c r="R560" s="34"/>
      <c r="S560" s="35">
        <f t="shared" si="387"/>
        <v>0</v>
      </c>
      <c r="T560" s="26"/>
      <c r="U560" s="47"/>
      <c r="V560" s="27"/>
      <c r="W560" s="34"/>
      <c r="X560" s="35">
        <f t="shared" si="388"/>
        <v>0</v>
      </c>
      <c r="Y560" s="11">
        <f t="shared" si="373"/>
        <v>0</v>
      </c>
    </row>
    <row r="561" spans="1:27" x14ac:dyDescent="0.15">
      <c r="A561" s="32"/>
      <c r="B561" s="26"/>
      <c r="C561" s="47"/>
      <c r="D561" s="27"/>
      <c r="E561" s="34"/>
      <c r="F561" s="35">
        <f t="shared" si="382"/>
        <v>0</v>
      </c>
      <c r="G561" s="26"/>
      <c r="H561" s="47"/>
      <c r="I561" s="27"/>
      <c r="J561" s="34"/>
      <c r="K561" s="35">
        <f t="shared" si="383"/>
        <v>0</v>
      </c>
      <c r="L561" s="11">
        <f t="shared" si="374"/>
        <v>0</v>
      </c>
      <c r="N561" s="12"/>
      <c r="O561" s="26"/>
      <c r="P561" s="47"/>
      <c r="Q561" s="27"/>
      <c r="R561" s="34"/>
      <c r="S561" s="35">
        <f t="shared" si="387"/>
        <v>0</v>
      </c>
      <c r="T561" s="26"/>
      <c r="U561" s="47"/>
      <c r="V561" s="27"/>
      <c r="W561" s="34"/>
      <c r="X561" s="35">
        <f t="shared" si="388"/>
        <v>0</v>
      </c>
      <c r="Y561" s="11">
        <f t="shared" si="373"/>
        <v>0</v>
      </c>
    </row>
    <row r="562" spans="1:27" x14ac:dyDescent="0.15">
      <c r="A562" s="32"/>
      <c r="B562" s="26"/>
      <c r="C562" s="47"/>
      <c r="D562" s="27"/>
      <c r="E562" s="34"/>
      <c r="F562" s="35">
        <f t="shared" si="382"/>
        <v>0</v>
      </c>
      <c r="G562" s="26"/>
      <c r="H562" s="47"/>
      <c r="I562" s="27"/>
      <c r="J562" s="34"/>
      <c r="K562" s="35">
        <f t="shared" si="383"/>
        <v>0</v>
      </c>
      <c r="L562" s="11">
        <f t="shared" si="374"/>
        <v>0</v>
      </c>
      <c r="N562" s="57"/>
      <c r="O562" s="26"/>
      <c r="P562" s="47"/>
      <c r="Q562" s="27"/>
      <c r="R562" s="34"/>
      <c r="S562" s="35">
        <f t="shared" si="387"/>
        <v>0</v>
      </c>
      <c r="T562" s="26"/>
      <c r="U562" s="47"/>
      <c r="V562" s="27"/>
      <c r="W562" s="34"/>
      <c r="X562" s="35">
        <f t="shared" si="388"/>
        <v>0</v>
      </c>
      <c r="Y562" s="11">
        <f t="shared" si="373"/>
        <v>0</v>
      </c>
    </row>
    <row r="563" spans="1:27" x14ac:dyDescent="0.15">
      <c r="A563" s="12"/>
      <c r="B563" s="26"/>
      <c r="C563" s="47"/>
      <c r="D563" s="27"/>
      <c r="E563" s="34"/>
      <c r="F563" s="35">
        <f t="shared" si="382"/>
        <v>0</v>
      </c>
      <c r="G563" s="26"/>
      <c r="H563" s="47"/>
      <c r="I563" s="27"/>
      <c r="J563" s="34"/>
      <c r="K563" s="35">
        <f t="shared" si="383"/>
        <v>0</v>
      </c>
      <c r="L563" s="11">
        <f t="shared" si="374"/>
        <v>0</v>
      </c>
      <c r="N563" s="12"/>
      <c r="O563" s="26"/>
      <c r="P563" s="47"/>
      <c r="Q563" s="27"/>
      <c r="R563" s="34"/>
      <c r="S563" s="35">
        <f t="shared" si="387"/>
        <v>0</v>
      </c>
      <c r="T563" s="26"/>
      <c r="U563" s="47"/>
      <c r="V563" s="27"/>
      <c r="W563" s="34"/>
      <c r="X563" s="35">
        <f t="shared" si="388"/>
        <v>0</v>
      </c>
      <c r="Y563" s="11">
        <f t="shared" si="373"/>
        <v>0</v>
      </c>
      <c r="Z563" s="195"/>
    </row>
    <row r="564" spans="1:27" x14ac:dyDescent="0.15">
      <c r="A564" s="79"/>
      <c r="B564" s="26"/>
      <c r="C564" s="47"/>
      <c r="D564" s="27"/>
      <c r="E564" s="34"/>
      <c r="F564" s="35">
        <f t="shared" si="382"/>
        <v>0</v>
      </c>
      <c r="G564" s="26"/>
      <c r="H564" s="47"/>
      <c r="I564" s="27"/>
      <c r="J564" s="34"/>
      <c r="K564" s="35">
        <f t="shared" si="383"/>
        <v>0</v>
      </c>
      <c r="L564" s="11">
        <f t="shared" si="374"/>
        <v>0</v>
      </c>
      <c r="N564" s="12"/>
      <c r="O564" s="26"/>
      <c r="P564" s="47"/>
      <c r="Q564" s="27"/>
      <c r="R564" s="34"/>
      <c r="S564" s="35">
        <f t="shared" ref="S564:S566" si="389">SUM(O564:R564)</f>
        <v>0</v>
      </c>
      <c r="T564" s="26"/>
      <c r="U564" s="47"/>
      <c r="V564" s="27"/>
      <c r="W564" s="34"/>
      <c r="X564" s="35">
        <f t="shared" ref="X564:X565" si="390">SUM(T564:W564)</f>
        <v>0</v>
      </c>
      <c r="Y564" s="11">
        <f t="shared" ref="Y564:Y565" si="391">S564+X564</f>
        <v>0</v>
      </c>
      <c r="Z564" s="101"/>
    </row>
    <row r="565" spans="1:27" x14ac:dyDescent="0.15">
      <c r="A565" s="57"/>
      <c r="B565" s="26"/>
      <c r="C565" s="47"/>
      <c r="D565" s="27"/>
      <c r="E565" s="34"/>
      <c r="F565" s="35">
        <f t="shared" si="382"/>
        <v>0</v>
      </c>
      <c r="G565" s="26"/>
      <c r="H565" s="47"/>
      <c r="I565" s="27"/>
      <c r="J565" s="34"/>
      <c r="K565" s="35">
        <f t="shared" si="383"/>
        <v>0</v>
      </c>
      <c r="L565" s="11">
        <f t="shared" si="374"/>
        <v>0</v>
      </c>
      <c r="N565" s="12"/>
      <c r="O565" s="26"/>
      <c r="P565" s="47"/>
      <c r="Q565" s="27"/>
      <c r="R565" s="34"/>
      <c r="S565" s="35">
        <f t="shared" si="389"/>
        <v>0</v>
      </c>
      <c r="T565" s="26"/>
      <c r="U565" s="47"/>
      <c r="V565" s="27"/>
      <c r="W565" s="34"/>
      <c r="X565" s="35">
        <f t="shared" si="390"/>
        <v>0</v>
      </c>
      <c r="Y565" s="108">
        <f t="shared" si="391"/>
        <v>0</v>
      </c>
      <c r="Z565" s="101"/>
    </row>
    <row r="566" spans="1:27" ht="14.25" thickBot="1" x14ac:dyDescent="0.2">
      <c r="A566" s="90"/>
      <c r="B566" s="62"/>
      <c r="C566" s="63"/>
      <c r="D566" s="64"/>
      <c r="E566" s="65"/>
      <c r="F566" s="35">
        <f t="shared" si="382"/>
        <v>0</v>
      </c>
      <c r="G566" s="62"/>
      <c r="H566" s="63"/>
      <c r="I566" s="64"/>
      <c r="J566" s="65"/>
      <c r="K566" s="35">
        <f t="shared" si="383"/>
        <v>0</v>
      </c>
      <c r="L566" s="14">
        <f t="shared" si="374"/>
        <v>0</v>
      </c>
      <c r="M566" s="99"/>
      <c r="N566" s="135" t="s">
        <v>408</v>
      </c>
      <c r="O566" s="62"/>
      <c r="P566" s="63"/>
      <c r="Q566" s="64"/>
      <c r="R566" s="65"/>
      <c r="S566" s="120">
        <f t="shared" si="389"/>
        <v>0</v>
      </c>
      <c r="T566" s="62"/>
      <c r="U566" s="63"/>
      <c r="V566" s="64"/>
      <c r="W566" s="65"/>
      <c r="X566" s="120">
        <f>SUM(T566:W566)</f>
        <v>0</v>
      </c>
      <c r="Y566" s="121">
        <f>S566+X566</f>
        <v>0</v>
      </c>
      <c r="Z566" s="101" t="s">
        <v>409</v>
      </c>
    </row>
    <row r="567" spans="1:27" ht="14.25" thickBot="1" x14ac:dyDescent="0.2">
      <c r="A567" s="17" t="s">
        <v>10</v>
      </c>
      <c r="B567" s="38">
        <f>SUM(B542:B566)</f>
        <v>7</v>
      </c>
      <c r="C567" s="48">
        <f>SUM(C542:C566)</f>
        <v>3</v>
      </c>
      <c r="D567" s="39">
        <f>SUM(D542:D566)</f>
        <v>24</v>
      </c>
      <c r="E567" s="40">
        <f>SUM(E542:E566)</f>
        <v>0</v>
      </c>
      <c r="F567" s="36">
        <f>SUM(B567:E567)</f>
        <v>34</v>
      </c>
      <c r="G567" s="38">
        <f>SUM(G542:G566)</f>
        <v>5</v>
      </c>
      <c r="H567" s="48">
        <f>SUM(H542:H566)</f>
        <v>5</v>
      </c>
      <c r="I567" s="39">
        <f>SUM(I542:I566)</f>
        <v>4</v>
      </c>
      <c r="J567" s="40">
        <f>SUM(J542:J566)</f>
        <v>0</v>
      </c>
      <c r="K567" s="36">
        <f>SUM(G567:J567)</f>
        <v>14</v>
      </c>
      <c r="L567" s="37">
        <f t="shared" si="374"/>
        <v>48</v>
      </c>
      <c r="N567" s="133" t="s">
        <v>10</v>
      </c>
      <c r="O567" s="38">
        <f>SUM(O542:O566)</f>
        <v>111</v>
      </c>
      <c r="P567" s="48">
        <f>SUM(P542:P566)</f>
        <v>104</v>
      </c>
      <c r="Q567" s="39">
        <f>SUM(Q542:Q566)</f>
        <v>38</v>
      </c>
      <c r="R567" s="40">
        <f>SUM(R542:R566)</f>
        <v>12</v>
      </c>
      <c r="S567" s="118">
        <f t="shared" si="387"/>
        <v>265</v>
      </c>
      <c r="T567" s="38">
        <f>SUM(T542:T566)</f>
        <v>34</v>
      </c>
      <c r="U567" s="48">
        <f>SUM(U542:U566)</f>
        <v>48</v>
      </c>
      <c r="V567" s="39">
        <f>SUM(V542:V566)</f>
        <v>29</v>
      </c>
      <c r="W567" s="40">
        <f>SUM(W542:W566)</f>
        <v>21</v>
      </c>
      <c r="X567" s="118">
        <f t="shared" si="388"/>
        <v>132</v>
      </c>
      <c r="Y567" s="119">
        <f t="shared" si="373"/>
        <v>397</v>
      </c>
    </row>
    <row r="568" spans="1:27" ht="14.25" thickBot="1" x14ac:dyDescent="0.2">
      <c r="A568" s="22" t="s">
        <v>11</v>
      </c>
      <c r="B568" s="41">
        <f>B541-B567</f>
        <v>10</v>
      </c>
      <c r="C568" s="49">
        <f>C541-C567</f>
        <v>9</v>
      </c>
      <c r="D568" s="42">
        <f t="shared" ref="D568:K568" si="392">D541-D567</f>
        <v>6</v>
      </c>
      <c r="E568" s="43">
        <f t="shared" si="392"/>
        <v>6</v>
      </c>
      <c r="F568" s="61">
        <f t="shared" si="392"/>
        <v>27</v>
      </c>
      <c r="G568" s="41">
        <f t="shared" si="392"/>
        <v>7</v>
      </c>
      <c r="H568" s="49">
        <f t="shared" si="392"/>
        <v>4</v>
      </c>
      <c r="I568" s="42">
        <f t="shared" si="392"/>
        <v>5</v>
      </c>
      <c r="J568" s="43">
        <f t="shared" si="392"/>
        <v>5</v>
      </c>
      <c r="K568" s="61">
        <f t="shared" si="392"/>
        <v>21</v>
      </c>
      <c r="L568" s="21">
        <f t="shared" si="374"/>
        <v>48</v>
      </c>
      <c r="N568" s="17" t="s">
        <v>11</v>
      </c>
      <c r="O568" s="41">
        <f>O541-O567</f>
        <v>446</v>
      </c>
      <c r="P568" s="49">
        <f t="shared" ref="P568:X568" si="393">P541-P567</f>
        <v>603</v>
      </c>
      <c r="Q568" s="42">
        <f t="shared" si="393"/>
        <v>377</v>
      </c>
      <c r="R568" s="43">
        <f t="shared" si="393"/>
        <v>333</v>
      </c>
      <c r="S568" s="61">
        <f t="shared" si="393"/>
        <v>1759</v>
      </c>
      <c r="T568" s="41">
        <f t="shared" si="393"/>
        <v>816</v>
      </c>
      <c r="U568" s="49">
        <f t="shared" si="393"/>
        <v>1062</v>
      </c>
      <c r="V568" s="42">
        <f t="shared" si="393"/>
        <v>657</v>
      </c>
      <c r="W568" s="43">
        <f t="shared" si="393"/>
        <v>532</v>
      </c>
      <c r="X568" s="61">
        <f t="shared" si="393"/>
        <v>3067</v>
      </c>
      <c r="Y568" s="21">
        <f t="shared" si="373"/>
        <v>4826</v>
      </c>
    </row>
    <row r="569" spans="1:27" x14ac:dyDescent="0.15">
      <c r="N569" s="58"/>
      <c r="O569" s="201"/>
      <c r="P569" s="201"/>
      <c r="Q569" s="201"/>
      <c r="R569" s="201"/>
      <c r="S569" s="58"/>
      <c r="T569" s="201"/>
      <c r="U569" s="201"/>
      <c r="V569" s="201"/>
      <c r="W569" s="201"/>
      <c r="X569" s="201"/>
      <c r="Y569" s="58"/>
    </row>
    <row r="570" spans="1:27" x14ac:dyDescent="0.15">
      <c r="N570" s="202"/>
      <c r="O570" s="203"/>
      <c r="P570" s="203"/>
      <c r="Q570" s="203"/>
      <c r="R570" s="203"/>
      <c r="S570" s="203"/>
      <c r="T570" s="203"/>
      <c r="U570" s="203"/>
      <c r="V570" s="204"/>
      <c r="W570" s="204"/>
      <c r="X570" s="203"/>
      <c r="Y570" s="58"/>
    </row>
    <row r="571" spans="1:27" ht="19.5" thickBot="1" x14ac:dyDescent="0.25">
      <c r="A571" s="2" t="s">
        <v>106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105</v>
      </c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7" ht="14.25" thickBot="1" x14ac:dyDescent="0.2">
      <c r="A572" s="5" t="s">
        <v>0</v>
      </c>
      <c r="B572" s="342" t="s">
        <v>18</v>
      </c>
      <c r="C572" s="350"/>
      <c r="D572" s="350"/>
      <c r="E572" s="350"/>
      <c r="F572" s="351"/>
      <c r="G572" s="345" t="s">
        <v>12</v>
      </c>
      <c r="H572" s="352"/>
      <c r="I572" s="352"/>
      <c r="J572" s="352"/>
      <c r="K572" s="353"/>
      <c r="L572" s="354" t="s">
        <v>1</v>
      </c>
      <c r="N572" s="5" t="s">
        <v>0</v>
      </c>
      <c r="O572" s="342" t="s">
        <v>18</v>
      </c>
      <c r="P572" s="350"/>
      <c r="Q572" s="350"/>
      <c r="R572" s="350"/>
      <c r="S572" s="351"/>
      <c r="T572" s="345" t="s">
        <v>12</v>
      </c>
      <c r="U572" s="352"/>
      <c r="V572" s="352"/>
      <c r="W572" s="352"/>
      <c r="X572" s="353"/>
      <c r="Y572" s="354" t="s">
        <v>1</v>
      </c>
    </row>
    <row r="573" spans="1:27" ht="14.25" thickBot="1" x14ac:dyDescent="0.2">
      <c r="A573" s="5" t="s">
        <v>2</v>
      </c>
      <c r="B573" s="3" t="s">
        <v>13</v>
      </c>
      <c r="C573" s="44" t="s">
        <v>14</v>
      </c>
      <c r="D573" s="4" t="s">
        <v>15</v>
      </c>
      <c r="E573" s="23" t="s">
        <v>16</v>
      </c>
      <c r="F573" s="31" t="s">
        <v>3</v>
      </c>
      <c r="G573" s="3" t="s">
        <v>13</v>
      </c>
      <c r="H573" s="44" t="s">
        <v>14</v>
      </c>
      <c r="I573" s="4" t="s">
        <v>15</v>
      </c>
      <c r="J573" s="23" t="s">
        <v>16</v>
      </c>
      <c r="K573" s="31" t="s">
        <v>3</v>
      </c>
      <c r="L573" s="355"/>
      <c r="N573" s="5" t="s">
        <v>2</v>
      </c>
      <c r="O573" s="3" t="s">
        <v>13</v>
      </c>
      <c r="P573" s="44" t="s">
        <v>14</v>
      </c>
      <c r="Q573" s="4" t="s">
        <v>15</v>
      </c>
      <c r="R573" s="23" t="s">
        <v>16</v>
      </c>
      <c r="S573" s="31" t="s">
        <v>3</v>
      </c>
      <c r="T573" s="3" t="s">
        <v>13</v>
      </c>
      <c r="U573" s="44" t="s">
        <v>14</v>
      </c>
      <c r="V573" s="4" t="s">
        <v>15</v>
      </c>
      <c r="W573" s="23" t="s">
        <v>16</v>
      </c>
      <c r="X573" s="31" t="s">
        <v>3</v>
      </c>
      <c r="Y573" s="355"/>
    </row>
    <row r="574" spans="1:27" x14ac:dyDescent="0.15">
      <c r="A574" s="71" t="s">
        <v>17</v>
      </c>
      <c r="B574" s="72">
        <f>B568</f>
        <v>10</v>
      </c>
      <c r="C574" s="73">
        <f t="shared" ref="C574:L574" si="394">C568</f>
        <v>9</v>
      </c>
      <c r="D574" s="73">
        <f t="shared" si="394"/>
        <v>6</v>
      </c>
      <c r="E574" s="74">
        <f t="shared" si="394"/>
        <v>6</v>
      </c>
      <c r="F574" s="76">
        <f t="shared" si="394"/>
        <v>27</v>
      </c>
      <c r="G574" s="72">
        <f t="shared" si="394"/>
        <v>7</v>
      </c>
      <c r="H574" s="73">
        <f t="shared" si="394"/>
        <v>4</v>
      </c>
      <c r="I574" s="73">
        <f t="shared" si="394"/>
        <v>5</v>
      </c>
      <c r="J574" s="74">
        <f t="shared" si="394"/>
        <v>5</v>
      </c>
      <c r="K574" s="75">
        <f t="shared" si="394"/>
        <v>21</v>
      </c>
      <c r="L574" s="16">
        <f t="shared" si="394"/>
        <v>48</v>
      </c>
      <c r="N574" s="71" t="s">
        <v>17</v>
      </c>
      <c r="O574" s="72">
        <f>O568</f>
        <v>446</v>
      </c>
      <c r="P574" s="73">
        <f t="shared" ref="P574:Y574" si="395">P568</f>
        <v>603</v>
      </c>
      <c r="Q574" s="73">
        <f t="shared" si="395"/>
        <v>377</v>
      </c>
      <c r="R574" s="74">
        <f t="shared" si="395"/>
        <v>333</v>
      </c>
      <c r="S574" s="76">
        <f t="shared" si="395"/>
        <v>1759</v>
      </c>
      <c r="T574" s="72">
        <f t="shared" si="395"/>
        <v>816</v>
      </c>
      <c r="U574" s="73">
        <f t="shared" si="395"/>
        <v>1062</v>
      </c>
      <c r="V574" s="73">
        <f t="shared" si="395"/>
        <v>657</v>
      </c>
      <c r="W574" s="74">
        <f t="shared" si="395"/>
        <v>532</v>
      </c>
      <c r="X574" s="75">
        <f t="shared" si="395"/>
        <v>3067</v>
      </c>
      <c r="Y574" s="16">
        <f t="shared" si="395"/>
        <v>4826</v>
      </c>
    </row>
    <row r="575" spans="1:27" x14ac:dyDescent="0.15">
      <c r="A575" s="13" t="s">
        <v>5</v>
      </c>
      <c r="B575" s="6"/>
      <c r="C575" s="30"/>
      <c r="D575" s="7"/>
      <c r="E575" s="8"/>
      <c r="F575" s="9">
        <f>SUM(B575:E575)</f>
        <v>0</v>
      </c>
      <c r="G575" s="30"/>
      <c r="H575" s="30">
        <v>5</v>
      </c>
      <c r="I575" s="7"/>
      <c r="J575" s="8"/>
      <c r="K575" s="9">
        <f>SUM(G575:J575)</f>
        <v>5</v>
      </c>
      <c r="L575" s="11">
        <f t="shared" ref="L575:L606" si="396">F575+K575</f>
        <v>5</v>
      </c>
      <c r="M575" s="99">
        <v>44959</v>
      </c>
      <c r="N575" s="13" t="s">
        <v>5</v>
      </c>
      <c r="O575" s="26"/>
      <c r="P575" s="47"/>
      <c r="Q575" s="27"/>
      <c r="R575" s="34"/>
      <c r="S575" s="77">
        <f>SUM(O575:R575)</f>
        <v>0</v>
      </c>
      <c r="T575" s="26"/>
      <c r="U575" s="47"/>
      <c r="V575" s="27"/>
      <c r="W575" s="34"/>
      <c r="X575" s="9">
        <f>SUM(T575:W575)</f>
        <v>0</v>
      </c>
      <c r="Y575" s="11">
        <f t="shared" ref="Y575:Y606" si="397">S575+X575</f>
        <v>0</v>
      </c>
    </row>
    <row r="576" spans="1:27" x14ac:dyDescent="0.15">
      <c r="A576" s="13" t="s">
        <v>49</v>
      </c>
      <c r="B576" s="6">
        <v>1</v>
      </c>
      <c r="C576" s="30">
        <v>1</v>
      </c>
      <c r="D576" s="7"/>
      <c r="E576" s="8"/>
      <c r="F576" s="9">
        <f>SUM(B576:E576)</f>
        <v>2</v>
      </c>
      <c r="G576" s="30"/>
      <c r="H576" s="30"/>
      <c r="I576" s="7"/>
      <c r="J576" s="8"/>
      <c r="K576" s="9">
        <f>SUM(G576:J576)</f>
        <v>0</v>
      </c>
      <c r="L576" s="11">
        <f t="shared" si="396"/>
        <v>2</v>
      </c>
      <c r="M576" s="126">
        <v>44965</v>
      </c>
      <c r="N576" s="13" t="s">
        <v>7</v>
      </c>
      <c r="O576" s="26"/>
      <c r="P576" s="47"/>
      <c r="Q576" s="27"/>
      <c r="R576" s="34"/>
      <c r="S576" s="77">
        <f>SUM(O576:R576)</f>
        <v>0</v>
      </c>
      <c r="T576" s="47"/>
      <c r="U576" s="47"/>
      <c r="V576" s="27"/>
      <c r="W576" s="50"/>
      <c r="X576" s="9">
        <f>SUM(T576:W576)</f>
        <v>0</v>
      </c>
      <c r="Y576" s="11">
        <f t="shared" si="397"/>
        <v>0</v>
      </c>
      <c r="Z576" s="99"/>
      <c r="AA576" s="102"/>
    </row>
    <row r="577" spans="1:27" x14ac:dyDescent="0.15">
      <c r="A577" s="13" t="s">
        <v>126</v>
      </c>
      <c r="B577" s="6"/>
      <c r="C577" s="30"/>
      <c r="D577" s="7">
        <v>1</v>
      </c>
      <c r="E577" s="8">
        <v>2</v>
      </c>
      <c r="F577" s="9">
        <f>SUM(B577:E577)</f>
        <v>3</v>
      </c>
      <c r="G577" s="30"/>
      <c r="H577" s="30"/>
      <c r="I577" s="7"/>
      <c r="J577" s="8"/>
      <c r="K577" s="9">
        <f>SUM(G577:J577)</f>
        <v>0</v>
      </c>
      <c r="L577" s="11">
        <f t="shared" si="396"/>
        <v>3</v>
      </c>
      <c r="M577" s="126">
        <v>44967</v>
      </c>
      <c r="N577" s="13" t="s">
        <v>7</v>
      </c>
      <c r="O577" s="26"/>
      <c r="P577" s="47"/>
      <c r="Q577" s="27"/>
      <c r="R577" s="34"/>
      <c r="S577" s="77">
        <f>SUM(O577:R577)</f>
        <v>0</v>
      </c>
      <c r="T577" s="47"/>
      <c r="U577" s="47"/>
      <c r="V577" s="27"/>
      <c r="W577" s="50"/>
      <c r="X577" s="9">
        <f>SUM(T577:W577)</f>
        <v>0</v>
      </c>
      <c r="Y577" s="11">
        <f t="shared" si="397"/>
        <v>0</v>
      </c>
      <c r="Z577" s="101"/>
    </row>
    <row r="578" spans="1:27" ht="14.25" thickBot="1" x14ac:dyDescent="0.2">
      <c r="A578" s="13" t="s">
        <v>8</v>
      </c>
      <c r="B578" s="6"/>
      <c r="C578" s="30"/>
      <c r="D578" s="7"/>
      <c r="E578" s="8"/>
      <c r="F578" s="10">
        <f>SUM(B578:E578)</f>
        <v>0</v>
      </c>
      <c r="G578" s="30">
        <v>5</v>
      </c>
      <c r="H578" s="30"/>
      <c r="I578" s="7">
        <v>5</v>
      </c>
      <c r="J578" s="8"/>
      <c r="K578" s="10">
        <f>SUM(G578:J578)</f>
        <v>10</v>
      </c>
      <c r="L578" s="14">
        <f t="shared" si="396"/>
        <v>10</v>
      </c>
      <c r="M578" s="126">
        <v>44973</v>
      </c>
      <c r="N578" s="13" t="s">
        <v>8</v>
      </c>
      <c r="O578" s="62"/>
      <c r="P578" s="63"/>
      <c r="Q578" s="64"/>
      <c r="R578" s="65"/>
      <c r="S578" s="78">
        <f>SUM(O578:R578)</f>
        <v>0</v>
      </c>
      <c r="T578" s="47"/>
      <c r="U578" s="47"/>
      <c r="V578" s="27"/>
      <c r="W578" s="50"/>
      <c r="X578" s="10">
        <f>SUM(T578:W578)</f>
        <v>0</v>
      </c>
      <c r="Y578" s="14">
        <f t="shared" si="397"/>
        <v>0</v>
      </c>
    </row>
    <row r="579" spans="1:27" ht="14.25" thickBot="1" x14ac:dyDescent="0.2">
      <c r="A579" s="22" t="s">
        <v>9</v>
      </c>
      <c r="B579" s="18">
        <f t="shared" ref="B579:K579" si="398">SUM(B574:B578)</f>
        <v>11</v>
      </c>
      <c r="C579" s="45">
        <f t="shared" si="398"/>
        <v>10</v>
      </c>
      <c r="D579" s="19">
        <f t="shared" si="398"/>
        <v>7</v>
      </c>
      <c r="E579" s="20">
        <f t="shared" si="398"/>
        <v>8</v>
      </c>
      <c r="F579" s="28">
        <f t="shared" si="398"/>
        <v>32</v>
      </c>
      <c r="G579" s="18">
        <f t="shared" si="398"/>
        <v>12</v>
      </c>
      <c r="H579" s="45">
        <f t="shared" si="398"/>
        <v>9</v>
      </c>
      <c r="I579" s="19">
        <f t="shared" si="398"/>
        <v>10</v>
      </c>
      <c r="J579" s="20">
        <f t="shared" si="398"/>
        <v>5</v>
      </c>
      <c r="K579" s="28">
        <f t="shared" si="398"/>
        <v>36</v>
      </c>
      <c r="L579" s="21">
        <f t="shared" si="396"/>
        <v>68</v>
      </c>
      <c r="N579" s="17" t="s">
        <v>9</v>
      </c>
      <c r="O579" s="41">
        <f>SUM(O574:O578)</f>
        <v>446</v>
      </c>
      <c r="P579" s="49">
        <f t="shared" ref="P579:V579" si="399">SUM(P574:P578)</f>
        <v>603</v>
      </c>
      <c r="Q579" s="42">
        <f t="shared" si="399"/>
        <v>377</v>
      </c>
      <c r="R579" s="92">
        <f t="shared" si="399"/>
        <v>333</v>
      </c>
      <c r="S579" s="93">
        <f t="shared" si="399"/>
        <v>1759</v>
      </c>
      <c r="T579" s="41">
        <f t="shared" si="399"/>
        <v>816</v>
      </c>
      <c r="U579" s="49">
        <f t="shared" si="399"/>
        <v>1062</v>
      </c>
      <c r="V579" s="42">
        <f t="shared" si="399"/>
        <v>657</v>
      </c>
      <c r="W579" s="92">
        <f>SUM(W574:W578)</f>
        <v>532</v>
      </c>
      <c r="X579" s="93">
        <f t="shared" ref="X579" si="400">SUM(X574:X578)</f>
        <v>3067</v>
      </c>
      <c r="Y579" s="56">
        <f t="shared" si="397"/>
        <v>4826</v>
      </c>
    </row>
    <row r="580" spans="1:27" x14ac:dyDescent="0.15">
      <c r="A580" s="13" t="s">
        <v>41</v>
      </c>
      <c r="B580" s="24">
        <v>1</v>
      </c>
      <c r="C580" s="46"/>
      <c r="D580" s="25"/>
      <c r="E580" s="33"/>
      <c r="F580" s="35">
        <f>SUM(B580:E580)</f>
        <v>1</v>
      </c>
      <c r="G580" s="24"/>
      <c r="H580" s="46"/>
      <c r="I580" s="25">
        <v>1</v>
      </c>
      <c r="J580" s="33">
        <v>1</v>
      </c>
      <c r="K580" s="35">
        <f>SUM(G580:J580)</f>
        <v>2</v>
      </c>
      <c r="L580" s="11">
        <f t="shared" si="396"/>
        <v>3</v>
      </c>
      <c r="M580" s="99">
        <v>44959</v>
      </c>
      <c r="N580" s="161" t="s">
        <v>475</v>
      </c>
      <c r="O580" s="66">
        <v>20</v>
      </c>
      <c r="P580" s="67">
        <v>20</v>
      </c>
      <c r="Q580" s="68">
        <v>10</v>
      </c>
      <c r="R580" s="94"/>
      <c r="S580" s="91">
        <f>SUM(O580:R580)</f>
        <v>50</v>
      </c>
      <c r="T580" s="67">
        <v>20</v>
      </c>
      <c r="U580" s="67">
        <v>20</v>
      </c>
      <c r="V580" s="68">
        <v>10</v>
      </c>
      <c r="W580" s="94"/>
      <c r="X580" s="91">
        <f>SUM(T580:W580)</f>
        <v>50</v>
      </c>
      <c r="Y580" s="11">
        <f t="shared" si="397"/>
        <v>100</v>
      </c>
      <c r="Z580" s="99">
        <v>44964</v>
      </c>
    </row>
    <row r="581" spans="1:27" x14ac:dyDescent="0.15">
      <c r="A581" s="13" t="s">
        <v>41</v>
      </c>
      <c r="B581" s="26"/>
      <c r="C581" s="47"/>
      <c r="D581" s="27"/>
      <c r="E581" s="34"/>
      <c r="F581" s="35">
        <f>SUM(B581:E581)</f>
        <v>0</v>
      </c>
      <c r="G581" s="26"/>
      <c r="H581" s="47">
        <v>1</v>
      </c>
      <c r="I581" s="27"/>
      <c r="J581" s="34"/>
      <c r="K581" s="35">
        <f>SUM(G581:J581)</f>
        <v>1</v>
      </c>
      <c r="L581" s="11">
        <f t="shared" si="396"/>
        <v>1</v>
      </c>
      <c r="M581" s="126">
        <v>44958</v>
      </c>
      <c r="N581" s="90" t="s">
        <v>483</v>
      </c>
      <c r="O581" s="26">
        <v>50</v>
      </c>
      <c r="P581" s="47">
        <v>70</v>
      </c>
      <c r="Q581" s="27">
        <v>40</v>
      </c>
      <c r="R581" s="34">
        <v>30</v>
      </c>
      <c r="S581" s="35">
        <f t="shared" ref="S581:S582" si="401">SUM(O581:R581)</f>
        <v>190</v>
      </c>
      <c r="T581" s="26">
        <v>30</v>
      </c>
      <c r="U581" s="47">
        <v>40</v>
      </c>
      <c r="V581" s="27">
        <v>30</v>
      </c>
      <c r="W581" s="34">
        <v>20</v>
      </c>
      <c r="X581" s="35">
        <f t="shared" ref="X581:X582" si="402">SUM(T581:W581)</f>
        <v>120</v>
      </c>
      <c r="Y581" s="11">
        <f t="shared" si="397"/>
        <v>310</v>
      </c>
      <c r="Z581" s="99">
        <v>44959</v>
      </c>
    </row>
    <row r="582" spans="1:27" x14ac:dyDescent="0.15">
      <c r="A582" s="13" t="s">
        <v>41</v>
      </c>
      <c r="B582" s="26"/>
      <c r="C582" s="47"/>
      <c r="D582" s="27"/>
      <c r="E582" s="34"/>
      <c r="F582" s="35">
        <f t="shared" ref="F582:F604" si="403">SUM(B582:E582)</f>
        <v>0</v>
      </c>
      <c r="G582" s="26"/>
      <c r="H582" s="47">
        <v>1</v>
      </c>
      <c r="I582" s="27"/>
      <c r="J582" s="34"/>
      <c r="K582" s="35">
        <f t="shared" ref="K582:K604" si="404">SUM(G582:J582)</f>
        <v>1</v>
      </c>
      <c r="L582" s="11">
        <f t="shared" si="396"/>
        <v>1</v>
      </c>
      <c r="M582" s="126">
        <v>44963</v>
      </c>
      <c r="N582" s="90" t="s">
        <v>484</v>
      </c>
      <c r="O582" s="26"/>
      <c r="P582" s="47"/>
      <c r="Q582" s="27"/>
      <c r="R582" s="34"/>
      <c r="S582" s="35">
        <f t="shared" si="401"/>
        <v>0</v>
      </c>
      <c r="T582" s="26"/>
      <c r="U582" s="47">
        <v>5</v>
      </c>
      <c r="V582" s="27"/>
      <c r="W582" s="34"/>
      <c r="X582" s="35">
        <f t="shared" si="402"/>
        <v>5</v>
      </c>
      <c r="Y582" s="11">
        <f t="shared" si="397"/>
        <v>5</v>
      </c>
      <c r="Z582" s="99">
        <v>44959</v>
      </c>
    </row>
    <row r="583" spans="1:27" x14ac:dyDescent="0.15">
      <c r="A583" s="13" t="s">
        <v>41</v>
      </c>
      <c r="B583" s="66"/>
      <c r="C583" s="67"/>
      <c r="D583" s="68"/>
      <c r="E583" s="69"/>
      <c r="F583" s="70">
        <f t="shared" si="403"/>
        <v>0</v>
      </c>
      <c r="G583" s="66">
        <v>1</v>
      </c>
      <c r="H583" s="67">
        <v>1</v>
      </c>
      <c r="I583" s="68"/>
      <c r="J583" s="69"/>
      <c r="K583" s="70">
        <f t="shared" si="404"/>
        <v>2</v>
      </c>
      <c r="L583" s="11">
        <f t="shared" si="396"/>
        <v>2</v>
      </c>
      <c r="M583" s="126">
        <v>44967</v>
      </c>
      <c r="N583" s="32" t="s">
        <v>489</v>
      </c>
      <c r="O583" s="66">
        <v>1</v>
      </c>
      <c r="P583" s="67">
        <v>1</v>
      </c>
      <c r="Q583" s="68"/>
      <c r="R583" s="94"/>
      <c r="S583" s="91">
        <f>SUM(O583:R583)</f>
        <v>2</v>
      </c>
      <c r="T583" s="67">
        <v>2</v>
      </c>
      <c r="U583" s="67"/>
      <c r="V583" s="68"/>
      <c r="W583" s="94"/>
      <c r="X583" s="91">
        <f>SUM(T583:W583)</f>
        <v>2</v>
      </c>
      <c r="Y583" s="11">
        <f t="shared" si="397"/>
        <v>4</v>
      </c>
      <c r="Z583" s="99">
        <v>44960</v>
      </c>
    </row>
    <row r="584" spans="1:27" x14ac:dyDescent="0.15">
      <c r="A584" s="13" t="s">
        <v>41</v>
      </c>
      <c r="B584" s="26">
        <v>1</v>
      </c>
      <c r="C584" s="47">
        <v>1</v>
      </c>
      <c r="D584" s="27"/>
      <c r="E584" s="34"/>
      <c r="F584" s="35">
        <f t="shared" si="403"/>
        <v>2</v>
      </c>
      <c r="G584" s="26">
        <v>1</v>
      </c>
      <c r="H584" s="47">
        <v>1</v>
      </c>
      <c r="I584" s="27">
        <v>1</v>
      </c>
      <c r="J584" s="34"/>
      <c r="K584" s="35">
        <f t="shared" si="404"/>
        <v>3</v>
      </c>
      <c r="L584" s="11">
        <f t="shared" si="396"/>
        <v>5</v>
      </c>
      <c r="M584" s="126">
        <v>44970</v>
      </c>
      <c r="N584" s="15" t="s">
        <v>490</v>
      </c>
      <c r="O584" s="26">
        <v>53</v>
      </c>
      <c r="P584" s="47">
        <v>59</v>
      </c>
      <c r="Q584" s="27">
        <v>35</v>
      </c>
      <c r="R584" s="34">
        <v>17</v>
      </c>
      <c r="S584" s="35">
        <f t="shared" ref="S584:S586" si="405">SUM(O584:R584)</f>
        <v>164</v>
      </c>
      <c r="T584" s="26">
        <v>16</v>
      </c>
      <c r="U584" s="47">
        <v>15</v>
      </c>
      <c r="V584" s="27">
        <v>12</v>
      </c>
      <c r="W584" s="34">
        <v>9</v>
      </c>
      <c r="X584" s="35">
        <f t="shared" ref="X584:X586" si="406">SUM(T584:W584)</f>
        <v>52</v>
      </c>
      <c r="Y584" s="11">
        <f t="shared" si="397"/>
        <v>216</v>
      </c>
      <c r="Z584" s="99">
        <v>44963</v>
      </c>
    </row>
    <row r="585" spans="1:27" x14ac:dyDescent="0.15">
      <c r="A585" s="13" t="s">
        <v>41</v>
      </c>
      <c r="B585" s="26"/>
      <c r="C585" s="47">
        <v>1</v>
      </c>
      <c r="D585" s="27"/>
      <c r="E585" s="34"/>
      <c r="F585" s="35">
        <f t="shared" si="403"/>
        <v>1</v>
      </c>
      <c r="G585" s="26"/>
      <c r="H585" s="47">
        <v>1</v>
      </c>
      <c r="I585" s="27"/>
      <c r="J585" s="34"/>
      <c r="K585" s="35">
        <f t="shared" si="404"/>
        <v>1</v>
      </c>
      <c r="L585" s="11">
        <f t="shared" si="396"/>
        <v>2</v>
      </c>
      <c r="M585" s="126">
        <v>44973</v>
      </c>
      <c r="N585" s="57" t="s">
        <v>496</v>
      </c>
      <c r="O585" s="26">
        <v>6</v>
      </c>
      <c r="P585" s="47"/>
      <c r="Q585" s="27"/>
      <c r="R585" s="34">
        <v>2</v>
      </c>
      <c r="S585" s="35">
        <f t="shared" si="405"/>
        <v>8</v>
      </c>
      <c r="T585" s="26"/>
      <c r="U585" s="47"/>
      <c r="V585" s="27"/>
      <c r="W585" s="34">
        <v>8</v>
      </c>
      <c r="X585" s="35">
        <f t="shared" si="406"/>
        <v>8</v>
      </c>
      <c r="Y585" s="11">
        <f t="shared" si="397"/>
        <v>16</v>
      </c>
      <c r="Z585" s="99">
        <v>44967</v>
      </c>
    </row>
    <row r="586" spans="1:27" x14ac:dyDescent="0.15">
      <c r="A586" s="13" t="s">
        <v>41</v>
      </c>
      <c r="B586" s="26"/>
      <c r="C586" s="47"/>
      <c r="D586" s="27"/>
      <c r="E586" s="34"/>
      <c r="F586" s="35">
        <f t="shared" si="403"/>
        <v>0</v>
      </c>
      <c r="G586" s="26">
        <v>2</v>
      </c>
      <c r="H586" s="47"/>
      <c r="I586" s="27"/>
      <c r="J586" s="34"/>
      <c r="K586" s="35">
        <f t="shared" si="404"/>
        <v>2</v>
      </c>
      <c r="L586" s="11">
        <f t="shared" si="396"/>
        <v>2</v>
      </c>
      <c r="M586" s="126">
        <v>44977</v>
      </c>
      <c r="N586" s="15" t="s">
        <v>497</v>
      </c>
      <c r="O586" s="26">
        <v>1</v>
      </c>
      <c r="P586" s="47">
        <v>6</v>
      </c>
      <c r="Q586" s="27">
        <v>18</v>
      </c>
      <c r="R586" s="34">
        <v>7</v>
      </c>
      <c r="S586" s="35">
        <f t="shared" si="405"/>
        <v>32</v>
      </c>
      <c r="T586" s="26">
        <v>2</v>
      </c>
      <c r="U586" s="47"/>
      <c r="V586" s="27"/>
      <c r="W586" s="34"/>
      <c r="X586" s="35">
        <f t="shared" si="406"/>
        <v>2</v>
      </c>
      <c r="Y586" s="11">
        <f t="shared" si="397"/>
        <v>34</v>
      </c>
      <c r="Z586" s="99">
        <v>44966</v>
      </c>
    </row>
    <row r="587" spans="1:27" x14ac:dyDescent="0.15">
      <c r="A587" s="32"/>
      <c r="B587" s="26"/>
      <c r="C587" s="47"/>
      <c r="D587" s="27"/>
      <c r="E587" s="34"/>
      <c r="F587" s="35">
        <f t="shared" si="403"/>
        <v>0</v>
      </c>
      <c r="G587" s="26"/>
      <c r="H587" s="47"/>
      <c r="I587" s="27"/>
      <c r="J587" s="34"/>
      <c r="K587" s="35">
        <f t="shared" si="404"/>
        <v>0</v>
      </c>
      <c r="L587" s="11">
        <f t="shared" si="396"/>
        <v>0</v>
      </c>
      <c r="N587" s="15" t="s">
        <v>498</v>
      </c>
      <c r="O587" s="26">
        <v>7</v>
      </c>
      <c r="P587" s="47">
        <v>7</v>
      </c>
      <c r="Q587" s="27">
        <v>4</v>
      </c>
      <c r="R587" s="50">
        <v>3</v>
      </c>
      <c r="S587" s="9">
        <f>SUM(O587:R587)</f>
        <v>21</v>
      </c>
      <c r="T587" s="47">
        <v>7</v>
      </c>
      <c r="U587" s="47">
        <v>5</v>
      </c>
      <c r="V587" s="27">
        <v>2</v>
      </c>
      <c r="W587" s="50">
        <v>1</v>
      </c>
      <c r="X587" s="9">
        <f>SUM(T587:W587)</f>
        <v>15</v>
      </c>
      <c r="Y587" s="11">
        <f t="shared" si="397"/>
        <v>36</v>
      </c>
      <c r="Z587" s="99">
        <v>44967</v>
      </c>
    </row>
    <row r="588" spans="1:27" x14ac:dyDescent="0.15">
      <c r="A588" s="13"/>
      <c r="B588" s="26"/>
      <c r="C588" s="47"/>
      <c r="D588" s="27"/>
      <c r="E588" s="34"/>
      <c r="F588" s="35">
        <f t="shared" si="403"/>
        <v>0</v>
      </c>
      <c r="G588" s="26"/>
      <c r="H588" s="47"/>
      <c r="I588" s="27"/>
      <c r="J588" s="34"/>
      <c r="K588" s="35">
        <f t="shared" si="404"/>
        <v>0</v>
      </c>
      <c r="L588" s="11">
        <f t="shared" si="396"/>
        <v>0</v>
      </c>
      <c r="N588" s="15" t="s">
        <v>499</v>
      </c>
      <c r="O588" s="26">
        <v>5</v>
      </c>
      <c r="P588" s="47">
        <v>16</v>
      </c>
      <c r="Q588" s="27"/>
      <c r="R588" s="34">
        <v>5</v>
      </c>
      <c r="S588" s="35">
        <f t="shared" ref="S588:S605" si="407">SUM(O588:R588)</f>
        <v>26</v>
      </c>
      <c r="T588" s="26"/>
      <c r="U588" s="47"/>
      <c r="V588" s="27">
        <v>2</v>
      </c>
      <c r="W588" s="34"/>
      <c r="X588" s="35">
        <f t="shared" ref="X588:X605" si="408">SUM(T588:W588)</f>
        <v>2</v>
      </c>
      <c r="Y588" s="11">
        <f t="shared" si="397"/>
        <v>28</v>
      </c>
      <c r="Z588" s="99">
        <v>44970</v>
      </c>
    </row>
    <row r="589" spans="1:27" x14ac:dyDescent="0.15">
      <c r="A589" s="32"/>
      <c r="B589" s="26"/>
      <c r="C589" s="47"/>
      <c r="D589" s="27"/>
      <c r="E589" s="34"/>
      <c r="F589" s="35">
        <f t="shared" si="403"/>
        <v>0</v>
      </c>
      <c r="G589" s="26"/>
      <c r="H589" s="47"/>
      <c r="I589" s="27"/>
      <c r="J589" s="34"/>
      <c r="K589" s="35">
        <f t="shared" si="404"/>
        <v>0</v>
      </c>
      <c r="L589" s="11">
        <f t="shared" si="396"/>
        <v>0</v>
      </c>
      <c r="N589" s="15" t="s">
        <v>500</v>
      </c>
      <c r="O589" s="26">
        <v>1</v>
      </c>
      <c r="P589" s="47">
        <v>2</v>
      </c>
      <c r="Q589" s="27">
        <v>5</v>
      </c>
      <c r="R589" s="34">
        <v>11</v>
      </c>
      <c r="S589" s="35">
        <f t="shared" si="407"/>
        <v>19</v>
      </c>
      <c r="T589" s="26"/>
      <c r="U589" s="47">
        <v>3</v>
      </c>
      <c r="V589" s="27">
        <v>4</v>
      </c>
      <c r="W589" s="34">
        <v>4</v>
      </c>
      <c r="X589" s="35">
        <f t="shared" si="408"/>
        <v>11</v>
      </c>
      <c r="Y589" s="11">
        <f t="shared" si="397"/>
        <v>30</v>
      </c>
      <c r="Z589" s="99">
        <v>44971</v>
      </c>
    </row>
    <row r="590" spans="1:27" x14ac:dyDescent="0.15">
      <c r="A590" s="15"/>
      <c r="B590" s="26"/>
      <c r="C590" s="47"/>
      <c r="D590" s="27"/>
      <c r="E590" s="34"/>
      <c r="F590" s="35">
        <f t="shared" si="403"/>
        <v>0</v>
      </c>
      <c r="G590" s="26"/>
      <c r="H590" s="47"/>
      <c r="I590" s="27"/>
      <c r="J590" s="34"/>
      <c r="K590" s="35">
        <f t="shared" si="404"/>
        <v>0</v>
      </c>
      <c r="L590" s="11">
        <f t="shared" si="396"/>
        <v>0</v>
      </c>
      <c r="N590" s="15" t="s">
        <v>503</v>
      </c>
      <c r="O590" s="26">
        <v>9</v>
      </c>
      <c r="P590" s="47">
        <v>19</v>
      </c>
      <c r="Q590" s="27">
        <v>1</v>
      </c>
      <c r="R590" s="34"/>
      <c r="S590" s="35">
        <f t="shared" si="407"/>
        <v>29</v>
      </c>
      <c r="T590" s="26">
        <v>1</v>
      </c>
      <c r="U590" s="47">
        <v>5</v>
      </c>
      <c r="V590" s="27"/>
      <c r="W590" s="34"/>
      <c r="X590" s="35">
        <f t="shared" si="408"/>
        <v>6</v>
      </c>
      <c r="Y590" s="11">
        <f t="shared" si="397"/>
        <v>35</v>
      </c>
      <c r="Z590" s="99">
        <v>44972</v>
      </c>
      <c r="AA590" s="58"/>
    </row>
    <row r="591" spans="1:27" x14ac:dyDescent="0.15">
      <c r="A591" s="13"/>
      <c r="B591" s="26"/>
      <c r="C591" s="47"/>
      <c r="D591" s="27"/>
      <c r="E591" s="34"/>
      <c r="F591" s="35">
        <f t="shared" si="403"/>
        <v>0</v>
      </c>
      <c r="G591" s="26"/>
      <c r="H591" s="47"/>
      <c r="I591" s="27"/>
      <c r="J591" s="34"/>
      <c r="K591" s="35">
        <f t="shared" si="404"/>
        <v>0</v>
      </c>
      <c r="L591" s="11">
        <f t="shared" si="396"/>
        <v>0</v>
      </c>
      <c r="N591" s="57" t="s">
        <v>504</v>
      </c>
      <c r="O591" s="26">
        <v>7</v>
      </c>
      <c r="P591" s="47"/>
      <c r="Q591" s="27"/>
      <c r="R591" s="34">
        <v>3</v>
      </c>
      <c r="S591" s="35">
        <f t="shared" si="407"/>
        <v>10</v>
      </c>
      <c r="T591" s="26"/>
      <c r="U591" s="47"/>
      <c r="V591" s="27"/>
      <c r="W591" s="34">
        <v>8</v>
      </c>
      <c r="X591" s="35">
        <f t="shared" si="408"/>
        <v>8</v>
      </c>
      <c r="Y591" s="11">
        <f t="shared" si="397"/>
        <v>18</v>
      </c>
      <c r="Z591" s="99">
        <v>44974</v>
      </c>
      <c r="AA591" s="58"/>
    </row>
    <row r="592" spans="1:27" x14ac:dyDescent="0.15">
      <c r="A592" s="15"/>
      <c r="B592" s="26"/>
      <c r="C592" s="47"/>
      <c r="D592" s="27"/>
      <c r="E592" s="34"/>
      <c r="F592" s="35">
        <f t="shared" si="403"/>
        <v>0</v>
      </c>
      <c r="G592" s="26"/>
      <c r="H592" s="47"/>
      <c r="I592" s="27"/>
      <c r="J592" s="34"/>
      <c r="K592" s="35">
        <f t="shared" si="404"/>
        <v>0</v>
      </c>
      <c r="L592" s="11">
        <f t="shared" si="396"/>
        <v>0</v>
      </c>
      <c r="N592" s="15" t="s">
        <v>505</v>
      </c>
      <c r="O592" s="26">
        <v>13</v>
      </c>
      <c r="P592" s="47">
        <v>9</v>
      </c>
      <c r="Q592" s="27">
        <v>4</v>
      </c>
      <c r="R592" s="34">
        <v>2</v>
      </c>
      <c r="S592" s="35">
        <f t="shared" si="407"/>
        <v>28</v>
      </c>
      <c r="T592" s="26">
        <v>6</v>
      </c>
      <c r="U592" s="47">
        <v>3</v>
      </c>
      <c r="V592" s="27">
        <v>1</v>
      </c>
      <c r="W592" s="34"/>
      <c r="X592" s="35">
        <f t="shared" si="408"/>
        <v>10</v>
      </c>
      <c r="Y592" s="11">
        <f t="shared" si="397"/>
        <v>38</v>
      </c>
      <c r="Z592" s="99">
        <v>44973</v>
      </c>
      <c r="AA592" s="58"/>
    </row>
    <row r="593" spans="1:28" x14ac:dyDescent="0.15">
      <c r="A593" s="13"/>
      <c r="B593" s="26"/>
      <c r="C593" s="47"/>
      <c r="D593" s="27"/>
      <c r="E593" s="34"/>
      <c r="F593" s="35">
        <f t="shared" si="403"/>
        <v>0</v>
      </c>
      <c r="G593" s="26"/>
      <c r="H593" s="47"/>
      <c r="I593" s="27"/>
      <c r="J593" s="34"/>
      <c r="K593" s="35">
        <f t="shared" si="404"/>
        <v>0</v>
      </c>
      <c r="L593" s="11">
        <f t="shared" si="396"/>
        <v>0</v>
      </c>
      <c r="N593" s="90" t="s">
        <v>507</v>
      </c>
      <c r="O593" s="26">
        <v>60</v>
      </c>
      <c r="P593" s="47">
        <v>100</v>
      </c>
      <c r="Q593" s="27">
        <v>60</v>
      </c>
      <c r="R593" s="34">
        <v>30</v>
      </c>
      <c r="S593" s="35">
        <f t="shared" si="407"/>
        <v>250</v>
      </c>
      <c r="T593" s="26">
        <v>40</v>
      </c>
      <c r="U593" s="47">
        <v>40</v>
      </c>
      <c r="V593" s="27">
        <v>20</v>
      </c>
      <c r="W593" s="34">
        <v>55</v>
      </c>
      <c r="X593" s="35">
        <f t="shared" si="408"/>
        <v>155</v>
      </c>
      <c r="Y593" s="11">
        <f t="shared" si="397"/>
        <v>405</v>
      </c>
      <c r="Z593" s="99">
        <v>44973</v>
      </c>
      <c r="AA593" s="58"/>
    </row>
    <row r="594" spans="1:28" x14ac:dyDescent="0.15">
      <c r="A594" s="15"/>
      <c r="B594" s="26"/>
      <c r="C594" s="47"/>
      <c r="D594" s="27"/>
      <c r="E594" s="34"/>
      <c r="F594" s="35">
        <f t="shared" si="403"/>
        <v>0</v>
      </c>
      <c r="G594" s="26"/>
      <c r="H594" s="47"/>
      <c r="I594" s="27"/>
      <c r="J594" s="34"/>
      <c r="K594" s="35">
        <f t="shared" si="404"/>
        <v>0</v>
      </c>
      <c r="L594" s="11">
        <f t="shared" si="396"/>
        <v>0</v>
      </c>
      <c r="N594" s="15" t="s">
        <v>508</v>
      </c>
      <c r="O594" s="26">
        <v>3</v>
      </c>
      <c r="P594" s="47">
        <v>4</v>
      </c>
      <c r="Q594" s="27">
        <v>1</v>
      </c>
      <c r="R594" s="34">
        <v>2</v>
      </c>
      <c r="S594" s="35">
        <f t="shared" si="407"/>
        <v>10</v>
      </c>
      <c r="T594" s="26">
        <v>1</v>
      </c>
      <c r="U594" s="47">
        <v>1</v>
      </c>
      <c r="V594" s="27">
        <v>2</v>
      </c>
      <c r="W594" s="34">
        <v>1</v>
      </c>
      <c r="X594" s="35">
        <f t="shared" si="408"/>
        <v>5</v>
      </c>
      <c r="Y594" s="11">
        <f t="shared" si="397"/>
        <v>15</v>
      </c>
      <c r="Z594" s="99">
        <v>44974</v>
      </c>
      <c r="AA594" s="58"/>
      <c r="AB594" s="58"/>
    </row>
    <row r="595" spans="1:28" x14ac:dyDescent="0.15">
      <c r="A595" s="13"/>
      <c r="B595" s="26"/>
      <c r="C595" s="47"/>
      <c r="D595" s="27"/>
      <c r="E595" s="34"/>
      <c r="F595" s="35">
        <f t="shared" si="403"/>
        <v>0</v>
      </c>
      <c r="G595" s="26"/>
      <c r="H595" s="47"/>
      <c r="I595" s="27"/>
      <c r="J595" s="34"/>
      <c r="K595" s="35">
        <f t="shared" si="404"/>
        <v>0</v>
      </c>
      <c r="L595" s="11">
        <f t="shared" si="396"/>
        <v>0</v>
      </c>
      <c r="N595" s="90" t="s">
        <v>509</v>
      </c>
      <c r="O595" s="26">
        <v>25</v>
      </c>
      <c r="P595" s="47">
        <v>10</v>
      </c>
      <c r="Q595" s="27">
        <v>20</v>
      </c>
      <c r="R595" s="34">
        <v>10</v>
      </c>
      <c r="S595" s="35">
        <f t="shared" si="407"/>
        <v>65</v>
      </c>
      <c r="T595" s="26">
        <v>20</v>
      </c>
      <c r="U595" s="47">
        <v>10</v>
      </c>
      <c r="V595" s="27">
        <v>20</v>
      </c>
      <c r="W595" s="34"/>
      <c r="X595" s="35">
        <f t="shared" si="408"/>
        <v>50</v>
      </c>
      <c r="Y595" s="11">
        <f t="shared" si="397"/>
        <v>115</v>
      </c>
      <c r="Z595" s="99">
        <v>44974</v>
      </c>
    </row>
    <row r="596" spans="1:28" x14ac:dyDescent="0.15">
      <c r="A596" s="15"/>
      <c r="B596" s="26"/>
      <c r="C596" s="47"/>
      <c r="D596" s="27"/>
      <c r="E596" s="34"/>
      <c r="F596" s="35">
        <f t="shared" si="403"/>
        <v>0</v>
      </c>
      <c r="G596" s="26"/>
      <c r="H596" s="47"/>
      <c r="I596" s="27"/>
      <c r="J596" s="34"/>
      <c r="K596" s="35">
        <f t="shared" si="404"/>
        <v>0</v>
      </c>
      <c r="L596" s="11">
        <f t="shared" si="396"/>
        <v>0</v>
      </c>
      <c r="N596" s="90" t="s">
        <v>34</v>
      </c>
      <c r="O596" s="26"/>
      <c r="P596" s="47"/>
      <c r="Q596" s="27"/>
      <c r="R596" s="34"/>
      <c r="S596" s="35">
        <f t="shared" si="407"/>
        <v>0</v>
      </c>
      <c r="T596" s="26">
        <v>5</v>
      </c>
      <c r="U596" s="47"/>
      <c r="V596" s="27">
        <v>5</v>
      </c>
      <c r="W596" s="34"/>
      <c r="X596" s="35">
        <f t="shared" si="408"/>
        <v>10</v>
      </c>
      <c r="Y596" s="11">
        <f t="shared" si="397"/>
        <v>10</v>
      </c>
      <c r="Z596" s="126">
        <v>44973</v>
      </c>
    </row>
    <row r="597" spans="1:28" x14ac:dyDescent="0.15">
      <c r="A597" s="15"/>
      <c r="B597" s="26"/>
      <c r="C597" s="47"/>
      <c r="D597" s="27"/>
      <c r="E597" s="34"/>
      <c r="F597" s="35">
        <f t="shared" si="403"/>
        <v>0</v>
      </c>
      <c r="G597" s="26"/>
      <c r="H597" s="47"/>
      <c r="I597" s="27"/>
      <c r="J597" s="34"/>
      <c r="K597" s="35">
        <f t="shared" si="404"/>
        <v>0</v>
      </c>
      <c r="L597" s="11">
        <f t="shared" si="396"/>
        <v>0</v>
      </c>
      <c r="N597" s="15" t="s">
        <v>510</v>
      </c>
      <c r="O597" s="26">
        <v>52</v>
      </c>
      <c r="P597" s="47">
        <v>59</v>
      </c>
      <c r="Q597" s="27">
        <v>36</v>
      </c>
      <c r="R597" s="34">
        <v>18</v>
      </c>
      <c r="S597" s="35">
        <f t="shared" si="407"/>
        <v>165</v>
      </c>
      <c r="T597" s="26">
        <v>16</v>
      </c>
      <c r="U597" s="47">
        <v>15</v>
      </c>
      <c r="V597" s="27">
        <v>11</v>
      </c>
      <c r="W597" s="34">
        <v>9</v>
      </c>
      <c r="X597" s="35">
        <f t="shared" si="408"/>
        <v>51</v>
      </c>
      <c r="Y597" s="11">
        <f t="shared" si="397"/>
        <v>216</v>
      </c>
      <c r="Z597" s="99">
        <v>44977</v>
      </c>
      <c r="AA597" s="58"/>
    </row>
    <row r="598" spans="1:28" x14ac:dyDescent="0.15">
      <c r="A598" s="13"/>
      <c r="B598" s="26"/>
      <c r="C598" s="47"/>
      <c r="D598" s="27"/>
      <c r="E598" s="34"/>
      <c r="F598" s="35">
        <f t="shared" si="403"/>
        <v>0</v>
      </c>
      <c r="G598" s="26"/>
      <c r="H598" s="47"/>
      <c r="I598" s="27"/>
      <c r="J598" s="34"/>
      <c r="K598" s="35">
        <f t="shared" si="404"/>
        <v>0</v>
      </c>
      <c r="L598" s="11">
        <f t="shared" si="396"/>
        <v>0</v>
      </c>
      <c r="N598" s="90" t="s">
        <v>511</v>
      </c>
      <c r="O598" s="26">
        <v>7</v>
      </c>
      <c r="P598" s="47">
        <v>27</v>
      </c>
      <c r="Q598" s="27">
        <v>14</v>
      </c>
      <c r="R598" s="34">
        <v>10</v>
      </c>
      <c r="S598" s="35">
        <f t="shared" si="407"/>
        <v>58</v>
      </c>
      <c r="T598" s="26"/>
      <c r="U598" s="47"/>
      <c r="V598" s="27"/>
      <c r="W598" s="34">
        <v>5</v>
      </c>
      <c r="X598" s="35">
        <f t="shared" si="408"/>
        <v>5</v>
      </c>
      <c r="Y598" s="11">
        <f t="shared" si="397"/>
        <v>63</v>
      </c>
      <c r="Z598" s="99">
        <v>44975</v>
      </c>
    </row>
    <row r="599" spans="1:28" x14ac:dyDescent="0.15">
      <c r="A599" s="32"/>
      <c r="B599" s="26"/>
      <c r="C599" s="47"/>
      <c r="D599" s="27"/>
      <c r="E599" s="34"/>
      <c r="F599" s="35">
        <f t="shared" si="403"/>
        <v>0</v>
      </c>
      <c r="G599" s="26"/>
      <c r="H599" s="47"/>
      <c r="I599" s="27"/>
      <c r="J599" s="34"/>
      <c r="K599" s="35">
        <f t="shared" si="404"/>
        <v>0</v>
      </c>
      <c r="L599" s="11">
        <f t="shared" si="396"/>
        <v>0</v>
      </c>
      <c r="N599" s="15" t="s">
        <v>516</v>
      </c>
      <c r="O599" s="26">
        <v>1</v>
      </c>
      <c r="P599" s="47">
        <v>20</v>
      </c>
      <c r="Q599" s="27">
        <v>9</v>
      </c>
      <c r="R599" s="34">
        <v>11</v>
      </c>
      <c r="S599" s="35">
        <f t="shared" ref="S599" si="409">SUM(O599:R599)</f>
        <v>41</v>
      </c>
      <c r="T599" s="26"/>
      <c r="U599" s="47">
        <v>13</v>
      </c>
      <c r="V599" s="27"/>
      <c r="W599" s="34"/>
      <c r="X599" s="35">
        <f t="shared" ref="X599" si="410">SUM(T599:W599)</f>
        <v>13</v>
      </c>
      <c r="Y599" s="108">
        <f t="shared" ref="Y599" si="411">S599+X599</f>
        <v>54</v>
      </c>
      <c r="Z599" s="99">
        <v>44981</v>
      </c>
      <c r="AA599" s="58"/>
    </row>
    <row r="600" spans="1:28" x14ac:dyDescent="0.15">
      <c r="A600" s="32"/>
      <c r="B600" s="26"/>
      <c r="C600" s="47"/>
      <c r="D600" s="27"/>
      <c r="E600" s="34"/>
      <c r="F600" s="35">
        <f t="shared" si="403"/>
        <v>0</v>
      </c>
      <c r="G600" s="26"/>
      <c r="H600" s="47"/>
      <c r="I600" s="27"/>
      <c r="J600" s="34"/>
      <c r="K600" s="35">
        <f t="shared" si="404"/>
        <v>0</v>
      </c>
      <c r="L600" s="11">
        <f t="shared" si="396"/>
        <v>0</v>
      </c>
      <c r="N600" s="12"/>
      <c r="O600" s="26"/>
      <c r="P600" s="47"/>
      <c r="Q600" s="27"/>
      <c r="R600" s="34"/>
      <c r="S600" s="35">
        <f t="shared" ref="S600" si="412">SUM(O600:R600)</f>
        <v>0</v>
      </c>
      <c r="T600" s="26"/>
      <c r="U600" s="47"/>
      <c r="V600" s="27"/>
      <c r="W600" s="34"/>
      <c r="X600" s="35">
        <f t="shared" ref="X600" si="413">SUM(T600:W600)</f>
        <v>0</v>
      </c>
      <c r="Y600" s="108">
        <f t="shared" ref="Y600" si="414">S600+X600</f>
        <v>0</v>
      </c>
      <c r="Z600" s="101"/>
    </row>
    <row r="601" spans="1:28" x14ac:dyDescent="0.15">
      <c r="A601" s="12"/>
      <c r="B601" s="26"/>
      <c r="C601" s="47"/>
      <c r="D601" s="27"/>
      <c r="E601" s="34"/>
      <c r="F601" s="35">
        <f t="shared" si="403"/>
        <v>0</v>
      </c>
      <c r="G601" s="26"/>
      <c r="H601" s="47"/>
      <c r="I601" s="27"/>
      <c r="J601" s="34"/>
      <c r="K601" s="35">
        <f t="shared" si="404"/>
        <v>0</v>
      </c>
      <c r="L601" s="11">
        <f t="shared" si="396"/>
        <v>0</v>
      </c>
      <c r="N601" s="153" t="s">
        <v>464</v>
      </c>
      <c r="O601" s="154"/>
      <c r="P601" s="155"/>
      <c r="Q601" s="156"/>
      <c r="R601" s="157"/>
      <c r="S601" s="158">
        <f t="shared" si="407"/>
        <v>0</v>
      </c>
      <c r="T601" s="154"/>
      <c r="U601" s="155"/>
      <c r="V601" s="156"/>
      <c r="W601" s="157"/>
      <c r="X601" s="158">
        <f t="shared" si="408"/>
        <v>0</v>
      </c>
      <c r="Y601" s="179">
        <f t="shared" si="397"/>
        <v>0</v>
      </c>
      <c r="Z601" s="160"/>
    </row>
    <row r="602" spans="1:28" x14ac:dyDescent="0.15">
      <c r="A602" s="79"/>
      <c r="B602" s="26"/>
      <c r="C602" s="47"/>
      <c r="D602" s="27"/>
      <c r="E602" s="34"/>
      <c r="F602" s="35">
        <f t="shared" si="403"/>
        <v>0</v>
      </c>
      <c r="G602" s="26"/>
      <c r="H602" s="47"/>
      <c r="I602" s="27"/>
      <c r="J602" s="34"/>
      <c r="K602" s="35">
        <f t="shared" si="404"/>
        <v>0</v>
      </c>
      <c r="L602" s="11">
        <f t="shared" si="396"/>
        <v>0</v>
      </c>
      <c r="N602" s="12" t="s">
        <v>514</v>
      </c>
      <c r="O602" s="26"/>
      <c r="P602" s="47"/>
      <c r="Q602" s="27"/>
      <c r="R602" s="34"/>
      <c r="S602" s="35">
        <f t="shared" si="407"/>
        <v>0</v>
      </c>
      <c r="T602" s="26"/>
      <c r="U602" s="47"/>
      <c r="V602" s="27"/>
      <c r="W602" s="34"/>
      <c r="X602" s="35">
        <f t="shared" si="408"/>
        <v>0</v>
      </c>
      <c r="Y602" s="108">
        <f t="shared" si="397"/>
        <v>0</v>
      </c>
      <c r="Z602" s="101" t="s">
        <v>420</v>
      </c>
    </row>
    <row r="603" spans="1:28" x14ac:dyDescent="0.15">
      <c r="A603" s="57"/>
      <c r="B603" s="26"/>
      <c r="C603" s="47"/>
      <c r="D603" s="27"/>
      <c r="E603" s="34"/>
      <c r="F603" s="35">
        <f t="shared" si="403"/>
        <v>0</v>
      </c>
      <c r="G603" s="26"/>
      <c r="H603" s="47"/>
      <c r="I603" s="27"/>
      <c r="J603" s="34"/>
      <c r="K603" s="35">
        <f t="shared" si="404"/>
        <v>0</v>
      </c>
      <c r="L603" s="11">
        <f t="shared" si="396"/>
        <v>0</v>
      </c>
      <c r="N603" s="12" t="s">
        <v>448</v>
      </c>
      <c r="O603" s="26"/>
      <c r="P603" s="47"/>
      <c r="Q603" s="27"/>
      <c r="R603" s="34"/>
      <c r="S603" s="35">
        <f t="shared" si="407"/>
        <v>0</v>
      </c>
      <c r="T603" s="26"/>
      <c r="U603" s="47"/>
      <c r="V603" s="27"/>
      <c r="W603" s="34"/>
      <c r="X603" s="35">
        <f t="shared" si="408"/>
        <v>0</v>
      </c>
      <c r="Y603" s="108">
        <f t="shared" si="397"/>
        <v>0</v>
      </c>
      <c r="Z603" s="101" t="s">
        <v>449</v>
      </c>
    </row>
    <row r="604" spans="1:28" ht="14.25" thickBot="1" x14ac:dyDescent="0.2">
      <c r="A604" s="90"/>
      <c r="B604" s="62"/>
      <c r="C604" s="63"/>
      <c r="D604" s="64"/>
      <c r="E604" s="65"/>
      <c r="F604" s="35">
        <f t="shared" si="403"/>
        <v>0</v>
      </c>
      <c r="G604" s="62"/>
      <c r="H604" s="63"/>
      <c r="I604" s="64"/>
      <c r="J604" s="65"/>
      <c r="K604" s="35">
        <f t="shared" si="404"/>
        <v>0</v>
      </c>
      <c r="L604" s="14">
        <f t="shared" si="396"/>
        <v>0</v>
      </c>
      <c r="M604" s="99"/>
      <c r="N604" s="181" t="s">
        <v>463</v>
      </c>
      <c r="O604" s="182"/>
      <c r="P604" s="183"/>
      <c r="Q604" s="184"/>
      <c r="R604" s="185"/>
      <c r="S604" s="186">
        <f t="shared" si="407"/>
        <v>0</v>
      </c>
      <c r="T604" s="182"/>
      <c r="U604" s="183"/>
      <c r="V604" s="184"/>
      <c r="W604" s="185"/>
      <c r="X604" s="186">
        <f t="shared" si="408"/>
        <v>0</v>
      </c>
      <c r="Y604" s="187">
        <f t="shared" si="397"/>
        <v>0</v>
      </c>
      <c r="Z604" s="160" t="s">
        <v>462</v>
      </c>
    </row>
    <row r="605" spans="1:28" ht="14.25" thickBot="1" x14ac:dyDescent="0.2">
      <c r="A605" s="17" t="s">
        <v>10</v>
      </c>
      <c r="B605" s="38">
        <f>SUM(B580:B604)</f>
        <v>2</v>
      </c>
      <c r="C605" s="48">
        <f>SUM(C580:C604)</f>
        <v>2</v>
      </c>
      <c r="D605" s="39">
        <f>SUM(D580:D604)</f>
        <v>0</v>
      </c>
      <c r="E605" s="40">
        <f>SUM(E580:E604)</f>
        <v>0</v>
      </c>
      <c r="F605" s="36">
        <f>SUM(B605:E605)</f>
        <v>4</v>
      </c>
      <c r="G605" s="38">
        <f>SUM(G580:G604)</f>
        <v>4</v>
      </c>
      <c r="H605" s="48">
        <f>SUM(H580:H604)</f>
        <v>5</v>
      </c>
      <c r="I605" s="39">
        <f>SUM(I580:I604)</f>
        <v>2</v>
      </c>
      <c r="J605" s="40">
        <f>SUM(J580:J604)</f>
        <v>1</v>
      </c>
      <c r="K605" s="36">
        <f>SUM(G605:J605)</f>
        <v>12</v>
      </c>
      <c r="L605" s="37">
        <f t="shared" si="396"/>
        <v>16</v>
      </c>
      <c r="N605" s="133" t="s">
        <v>10</v>
      </c>
      <c r="O605" s="38">
        <f>SUM(O580:O604)</f>
        <v>321</v>
      </c>
      <c r="P605" s="48">
        <f>SUM(P580:P604)</f>
        <v>429</v>
      </c>
      <c r="Q605" s="39">
        <f>SUM(Q580:Q604)</f>
        <v>257</v>
      </c>
      <c r="R605" s="40">
        <f>SUM(R580:R604)</f>
        <v>161</v>
      </c>
      <c r="S605" s="118">
        <f t="shared" si="407"/>
        <v>1168</v>
      </c>
      <c r="T605" s="38">
        <f>SUM(T580:T604)</f>
        <v>166</v>
      </c>
      <c r="U605" s="48">
        <f>SUM(U580:U604)</f>
        <v>175</v>
      </c>
      <c r="V605" s="39">
        <f>SUM(V580:V604)</f>
        <v>119</v>
      </c>
      <c r="W605" s="40">
        <f>SUM(W580:W604)</f>
        <v>120</v>
      </c>
      <c r="X605" s="118">
        <f t="shared" si="408"/>
        <v>580</v>
      </c>
      <c r="Y605" s="119">
        <f t="shared" si="397"/>
        <v>1748</v>
      </c>
    </row>
    <row r="606" spans="1:28" ht="14.25" thickBot="1" x14ac:dyDescent="0.2">
      <c r="A606" s="22" t="s">
        <v>11</v>
      </c>
      <c r="B606" s="41">
        <f>B579-B605</f>
        <v>9</v>
      </c>
      <c r="C606" s="49">
        <f>C579-C605</f>
        <v>8</v>
      </c>
      <c r="D606" s="42">
        <f t="shared" ref="D606:K606" si="415">D579-D605</f>
        <v>7</v>
      </c>
      <c r="E606" s="43">
        <f t="shared" si="415"/>
        <v>8</v>
      </c>
      <c r="F606" s="61">
        <f t="shared" si="415"/>
        <v>28</v>
      </c>
      <c r="G606" s="41">
        <f t="shared" si="415"/>
        <v>8</v>
      </c>
      <c r="H606" s="49">
        <f t="shared" si="415"/>
        <v>4</v>
      </c>
      <c r="I606" s="42">
        <f t="shared" si="415"/>
        <v>8</v>
      </c>
      <c r="J606" s="43">
        <f t="shared" si="415"/>
        <v>4</v>
      </c>
      <c r="K606" s="61">
        <f t="shared" si="415"/>
        <v>24</v>
      </c>
      <c r="L606" s="21">
        <f t="shared" si="396"/>
        <v>52</v>
      </c>
      <c r="N606" s="17" t="s">
        <v>11</v>
      </c>
      <c r="O606" s="41">
        <f>O579-O605</f>
        <v>125</v>
      </c>
      <c r="P606" s="49">
        <f t="shared" ref="P606:X606" si="416">P579-P605</f>
        <v>174</v>
      </c>
      <c r="Q606" s="42">
        <f t="shared" si="416"/>
        <v>120</v>
      </c>
      <c r="R606" s="43">
        <f t="shared" si="416"/>
        <v>172</v>
      </c>
      <c r="S606" s="61">
        <f t="shared" si="416"/>
        <v>591</v>
      </c>
      <c r="T606" s="41">
        <f t="shared" si="416"/>
        <v>650</v>
      </c>
      <c r="U606" s="49">
        <f t="shared" si="416"/>
        <v>887</v>
      </c>
      <c r="V606" s="42">
        <f t="shared" si="416"/>
        <v>538</v>
      </c>
      <c r="W606" s="43">
        <f t="shared" si="416"/>
        <v>412</v>
      </c>
      <c r="X606" s="61">
        <f t="shared" si="416"/>
        <v>2487</v>
      </c>
      <c r="Y606" s="21">
        <f t="shared" si="397"/>
        <v>3078</v>
      </c>
    </row>
    <row r="607" spans="1:28" x14ac:dyDescent="0.15">
      <c r="N607" s="200">
        <v>44984</v>
      </c>
      <c r="O607" s="196">
        <f>O605+O567+O529+O491+O455</f>
        <v>1756</v>
      </c>
      <c r="P607" s="196">
        <f t="shared" ref="P607:Y607" si="417">P605+P567+P529+P491+P455</f>
        <v>2155</v>
      </c>
      <c r="Q607" s="196">
        <f t="shared" si="417"/>
        <v>1280</v>
      </c>
      <c r="R607" s="196">
        <f t="shared" si="417"/>
        <v>703</v>
      </c>
      <c r="S607" s="196">
        <f t="shared" si="417"/>
        <v>5894</v>
      </c>
      <c r="T607" s="196">
        <f t="shared" si="417"/>
        <v>1143</v>
      </c>
      <c r="U607" s="196">
        <f t="shared" si="417"/>
        <v>1322</v>
      </c>
      <c r="V607" s="196">
        <f t="shared" si="417"/>
        <v>840</v>
      </c>
      <c r="W607" s="196">
        <f t="shared" si="417"/>
        <v>626</v>
      </c>
      <c r="X607" s="196">
        <f t="shared" si="417"/>
        <v>3931</v>
      </c>
      <c r="Y607" s="196">
        <f t="shared" si="417"/>
        <v>9825</v>
      </c>
    </row>
    <row r="608" spans="1:28" x14ac:dyDescent="0.15">
      <c r="N608" s="199"/>
      <c r="O608" s="197">
        <f>O607/$S$607*100</f>
        <v>29.793009840515776</v>
      </c>
      <c r="P608" s="197">
        <f t="shared" ref="P608:S608" si="418">P607/$S$607*100</f>
        <v>36.56260604004072</v>
      </c>
      <c r="Q608" s="197">
        <f t="shared" si="418"/>
        <v>21.717000339328131</v>
      </c>
      <c r="R608" s="197">
        <f t="shared" si="418"/>
        <v>11.927383780115372</v>
      </c>
      <c r="S608" s="197">
        <f t="shared" si="418"/>
        <v>100</v>
      </c>
      <c r="T608" s="197">
        <f>T607/$X$607*100</f>
        <v>29.076570847112691</v>
      </c>
      <c r="U608" s="197">
        <f t="shared" ref="U608:X608" si="419">U607/$X$607*100</f>
        <v>33.630119562452307</v>
      </c>
      <c r="V608" s="197">
        <f t="shared" si="419"/>
        <v>21.368608496565759</v>
      </c>
      <c r="W608" s="197">
        <f t="shared" si="419"/>
        <v>15.924701093869245</v>
      </c>
      <c r="X608" s="197">
        <f t="shared" si="419"/>
        <v>100</v>
      </c>
      <c r="Y608" s="198"/>
    </row>
    <row r="609" spans="1:30" ht="19.5" thickBot="1" x14ac:dyDescent="0.25">
      <c r="A609" s="2" t="s">
        <v>106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105</v>
      </c>
      <c r="O609" s="2"/>
      <c r="P609" s="1"/>
      <c r="Q609" s="1"/>
      <c r="R609" s="1"/>
      <c r="S609" s="1">
        <v>60</v>
      </c>
      <c r="T609" s="1"/>
      <c r="U609" s="1"/>
      <c r="V609" s="1"/>
      <c r="W609" s="1"/>
      <c r="X609" s="1">
        <v>40</v>
      </c>
      <c r="Y609" s="1"/>
    </row>
    <row r="610" spans="1:30" ht="14.25" thickBot="1" x14ac:dyDescent="0.2">
      <c r="A610" s="5" t="s">
        <v>0</v>
      </c>
      <c r="B610" s="342" t="s">
        <v>18</v>
      </c>
      <c r="C610" s="350"/>
      <c r="D610" s="350"/>
      <c r="E610" s="350"/>
      <c r="F610" s="351"/>
      <c r="G610" s="345" t="s">
        <v>12</v>
      </c>
      <c r="H610" s="352"/>
      <c r="I610" s="352"/>
      <c r="J610" s="352"/>
      <c r="K610" s="353"/>
      <c r="L610" s="354" t="s">
        <v>1</v>
      </c>
      <c r="N610" s="5" t="s">
        <v>0</v>
      </c>
      <c r="O610" s="342" t="s">
        <v>18</v>
      </c>
      <c r="P610" s="350"/>
      <c r="Q610" s="350"/>
      <c r="R610" s="350"/>
      <c r="S610" s="351"/>
      <c r="T610" s="345" t="s">
        <v>12</v>
      </c>
      <c r="U610" s="352"/>
      <c r="V610" s="352"/>
      <c r="W610" s="352"/>
      <c r="X610" s="353"/>
      <c r="Y610" s="354" t="s">
        <v>1</v>
      </c>
    </row>
    <row r="611" spans="1:30" ht="14.25" thickBot="1" x14ac:dyDescent="0.2">
      <c r="A611" s="5" t="s">
        <v>2</v>
      </c>
      <c r="B611" s="3" t="s">
        <v>13</v>
      </c>
      <c r="C611" s="44" t="s">
        <v>14</v>
      </c>
      <c r="D611" s="4" t="s">
        <v>15</v>
      </c>
      <c r="E611" s="23" t="s">
        <v>16</v>
      </c>
      <c r="F611" s="31" t="s">
        <v>3</v>
      </c>
      <c r="G611" s="3" t="s">
        <v>13</v>
      </c>
      <c r="H611" s="44" t="s">
        <v>14</v>
      </c>
      <c r="I611" s="4" t="s">
        <v>15</v>
      </c>
      <c r="J611" s="23" t="s">
        <v>16</v>
      </c>
      <c r="K611" s="31" t="s">
        <v>3</v>
      </c>
      <c r="L611" s="355"/>
      <c r="N611" s="5" t="s">
        <v>2</v>
      </c>
      <c r="O611" s="3" t="s">
        <v>13</v>
      </c>
      <c r="P611" s="44" t="s">
        <v>14</v>
      </c>
      <c r="Q611" s="4" t="s">
        <v>15</v>
      </c>
      <c r="R611" s="23" t="s">
        <v>16</v>
      </c>
      <c r="S611" s="31" t="s">
        <v>3</v>
      </c>
      <c r="T611" s="3" t="s">
        <v>13</v>
      </c>
      <c r="U611" s="44" t="s">
        <v>14</v>
      </c>
      <c r="V611" s="4" t="s">
        <v>15</v>
      </c>
      <c r="W611" s="23" t="s">
        <v>16</v>
      </c>
      <c r="X611" s="31" t="s">
        <v>3</v>
      </c>
      <c r="Y611" s="355"/>
    </row>
    <row r="612" spans="1:30" x14ac:dyDescent="0.15">
      <c r="A612" s="71" t="s">
        <v>17</v>
      </c>
      <c r="B612" s="72">
        <f>B606</f>
        <v>9</v>
      </c>
      <c r="C612" s="73">
        <f t="shared" ref="C612:L612" si="420">C606</f>
        <v>8</v>
      </c>
      <c r="D612" s="73">
        <f t="shared" si="420"/>
        <v>7</v>
      </c>
      <c r="E612" s="74">
        <f t="shared" si="420"/>
        <v>8</v>
      </c>
      <c r="F612" s="76">
        <f t="shared" si="420"/>
        <v>28</v>
      </c>
      <c r="G612" s="72">
        <f t="shared" si="420"/>
        <v>8</v>
      </c>
      <c r="H612" s="73">
        <f t="shared" si="420"/>
        <v>4</v>
      </c>
      <c r="I612" s="73">
        <f t="shared" si="420"/>
        <v>8</v>
      </c>
      <c r="J612" s="74">
        <f t="shared" si="420"/>
        <v>4</v>
      </c>
      <c r="K612" s="75">
        <f t="shared" si="420"/>
        <v>24</v>
      </c>
      <c r="L612" s="16">
        <f t="shared" si="420"/>
        <v>52</v>
      </c>
      <c r="N612" s="71" t="s">
        <v>17</v>
      </c>
      <c r="O612" s="72">
        <f>O606</f>
        <v>125</v>
      </c>
      <c r="P612" s="73">
        <f t="shared" ref="P612:Y612" si="421">P606</f>
        <v>174</v>
      </c>
      <c r="Q612" s="73">
        <f t="shared" si="421"/>
        <v>120</v>
      </c>
      <c r="R612" s="74">
        <f t="shared" si="421"/>
        <v>172</v>
      </c>
      <c r="S612" s="76">
        <f t="shared" si="421"/>
        <v>591</v>
      </c>
      <c r="T612" s="72">
        <f t="shared" si="421"/>
        <v>650</v>
      </c>
      <c r="U612" s="73">
        <f t="shared" si="421"/>
        <v>887</v>
      </c>
      <c r="V612" s="73">
        <f t="shared" si="421"/>
        <v>538</v>
      </c>
      <c r="W612" s="74">
        <f t="shared" si="421"/>
        <v>412</v>
      </c>
      <c r="X612" s="75">
        <f t="shared" si="421"/>
        <v>2487</v>
      </c>
      <c r="Y612" s="16">
        <f t="shared" si="421"/>
        <v>3078</v>
      </c>
    </row>
    <row r="613" spans="1:30" x14ac:dyDescent="0.15">
      <c r="A613" s="13" t="s">
        <v>49</v>
      </c>
      <c r="B613" s="6">
        <v>7</v>
      </c>
      <c r="C613" s="30">
        <v>9</v>
      </c>
      <c r="D613" s="7">
        <v>3</v>
      </c>
      <c r="E613" s="8"/>
      <c r="F613" s="9">
        <f>SUM(B613:E613)</f>
        <v>19</v>
      </c>
      <c r="G613" s="30"/>
      <c r="H613" s="30"/>
      <c r="I613" s="7"/>
      <c r="J613" s="8">
        <v>1</v>
      </c>
      <c r="K613" s="9">
        <f>SUM(G613:J613)</f>
        <v>1</v>
      </c>
      <c r="L613" s="11">
        <f t="shared" ref="L613:L644" si="422">F613+K613</f>
        <v>20</v>
      </c>
      <c r="M613" s="126">
        <v>44984</v>
      </c>
      <c r="N613" s="13" t="s">
        <v>5</v>
      </c>
      <c r="O613" s="26"/>
      <c r="P613" s="47"/>
      <c r="Q613" s="27"/>
      <c r="R613" s="34"/>
      <c r="S613" s="77">
        <f>SUM(O613:R613)</f>
        <v>0</v>
      </c>
      <c r="T613" s="26">
        <v>70</v>
      </c>
      <c r="U613" s="47"/>
      <c r="V613" s="27"/>
      <c r="W613" s="34"/>
      <c r="X613" s="9">
        <f>SUM(T613:W613)</f>
        <v>70</v>
      </c>
      <c r="Y613" s="11">
        <f t="shared" ref="Y613:Y644" si="423">S613+X613</f>
        <v>70</v>
      </c>
      <c r="Z613" s="100" t="s">
        <v>529</v>
      </c>
    </row>
    <row r="614" spans="1:30" x14ac:dyDescent="0.15">
      <c r="A614" s="13" t="s">
        <v>6</v>
      </c>
      <c r="B614" s="6"/>
      <c r="C614" s="30"/>
      <c r="D614" s="7"/>
      <c r="E614" s="8"/>
      <c r="F614" s="9">
        <f>SUM(B614:E614)</f>
        <v>0</v>
      </c>
      <c r="G614" s="30"/>
      <c r="H614" s="30">
        <v>3</v>
      </c>
      <c r="I614" s="7"/>
      <c r="J614" s="8"/>
      <c r="K614" s="9">
        <f>SUM(G614:J614)</f>
        <v>3</v>
      </c>
      <c r="L614" s="11">
        <f t="shared" si="422"/>
        <v>3</v>
      </c>
      <c r="M614" s="99">
        <v>44993</v>
      </c>
      <c r="N614" s="13" t="s">
        <v>6</v>
      </c>
      <c r="O614" s="26">
        <v>60</v>
      </c>
      <c r="P614" s="47">
        <v>60</v>
      </c>
      <c r="Q614" s="27">
        <v>60</v>
      </c>
      <c r="R614" s="34">
        <v>60</v>
      </c>
      <c r="S614" s="77">
        <f>SUM(O614:R614)</f>
        <v>240</v>
      </c>
      <c r="T614" s="26"/>
      <c r="U614" s="47"/>
      <c r="V614" s="27"/>
      <c r="W614" s="34"/>
      <c r="X614" s="9">
        <f>SUM(T614:W614)</f>
        <v>0</v>
      </c>
      <c r="Y614" s="11">
        <f t="shared" si="423"/>
        <v>240</v>
      </c>
      <c r="Z614" s="99" t="s">
        <v>571</v>
      </c>
      <c r="AA614" s="58"/>
      <c r="AB614" s="58"/>
      <c r="AC614" s="58"/>
      <c r="AD614" s="58"/>
    </row>
    <row r="615" spans="1:30" x14ac:dyDescent="0.15">
      <c r="A615" s="13" t="s">
        <v>49</v>
      </c>
      <c r="B615" s="6">
        <v>7</v>
      </c>
      <c r="C615" s="30">
        <v>6</v>
      </c>
      <c r="D615" s="7">
        <v>7</v>
      </c>
      <c r="E615" s="8">
        <f>3-1</f>
        <v>2</v>
      </c>
      <c r="F615" s="9">
        <f>SUM(B615:E615)</f>
        <v>22</v>
      </c>
      <c r="G615" s="30">
        <v>2</v>
      </c>
      <c r="H615" s="30">
        <v>4</v>
      </c>
      <c r="I615" s="7">
        <v>2</v>
      </c>
      <c r="J615" s="8"/>
      <c r="K615" s="9">
        <f>SUM(G615:J615)</f>
        <v>8</v>
      </c>
      <c r="L615" s="11">
        <f t="shared" si="422"/>
        <v>30</v>
      </c>
      <c r="M615" s="126">
        <v>44994</v>
      </c>
      <c r="N615" s="13" t="s">
        <v>7</v>
      </c>
      <c r="O615" s="26"/>
      <c r="P615" s="47"/>
      <c r="Q615" s="27"/>
      <c r="R615" s="34"/>
      <c r="S615" s="77">
        <f>SUM(O615:R615)</f>
        <v>0</v>
      </c>
      <c r="T615" s="47"/>
      <c r="U615" s="47"/>
      <c r="V615" s="27"/>
      <c r="W615" s="50"/>
      <c r="X615" s="9">
        <f>SUM(T615:W615)</f>
        <v>0</v>
      </c>
      <c r="Y615" s="11">
        <f t="shared" si="423"/>
        <v>0</v>
      </c>
    </row>
    <row r="616" spans="1:30" ht="14.25" thickBot="1" x14ac:dyDescent="0.2">
      <c r="A616" s="13" t="s">
        <v>153</v>
      </c>
      <c r="B616" s="62"/>
      <c r="C616" s="63">
        <v>33</v>
      </c>
      <c r="D616" s="64">
        <v>13</v>
      </c>
      <c r="E616" s="65">
        <v>4</v>
      </c>
      <c r="F616" s="78">
        <f>SUM(B616:E616)</f>
        <v>50</v>
      </c>
      <c r="G616" s="62">
        <v>12</v>
      </c>
      <c r="H616" s="63">
        <v>18</v>
      </c>
      <c r="I616" s="64">
        <v>19</v>
      </c>
      <c r="J616" s="65">
        <v>21</v>
      </c>
      <c r="K616" s="10">
        <f>SUM(G616:J616)</f>
        <v>70</v>
      </c>
      <c r="L616" s="121">
        <f t="shared" si="422"/>
        <v>120</v>
      </c>
      <c r="M616" s="99">
        <v>44998</v>
      </c>
      <c r="N616" s="13" t="s">
        <v>8</v>
      </c>
      <c r="O616" s="62"/>
      <c r="P616" s="63"/>
      <c r="Q616" s="64"/>
      <c r="R616" s="65"/>
      <c r="S616" s="78">
        <f>SUM(O616:R616)</f>
        <v>0</v>
      </c>
      <c r="T616" s="47"/>
      <c r="U616" s="47"/>
      <c r="V616" s="27"/>
      <c r="W616" s="50"/>
      <c r="X616" s="10">
        <f>SUM(T616:W616)</f>
        <v>0</v>
      </c>
      <c r="Y616" s="14">
        <f t="shared" si="423"/>
        <v>0</v>
      </c>
    </row>
    <row r="617" spans="1:30" ht="14.25" thickBot="1" x14ac:dyDescent="0.2">
      <c r="A617" s="22" t="s">
        <v>9</v>
      </c>
      <c r="B617" s="206">
        <f t="shared" ref="B617:K617" si="424">SUM(B612:B616)</f>
        <v>23</v>
      </c>
      <c r="C617" s="207">
        <f t="shared" si="424"/>
        <v>56</v>
      </c>
      <c r="D617" s="208">
        <f t="shared" si="424"/>
        <v>30</v>
      </c>
      <c r="E617" s="209">
        <f t="shared" si="424"/>
        <v>14</v>
      </c>
      <c r="F617" s="28">
        <f t="shared" si="424"/>
        <v>119</v>
      </c>
      <c r="G617" s="206">
        <f t="shared" si="424"/>
        <v>22</v>
      </c>
      <c r="H617" s="207">
        <f t="shared" si="424"/>
        <v>29</v>
      </c>
      <c r="I617" s="208">
        <f t="shared" si="424"/>
        <v>29</v>
      </c>
      <c r="J617" s="209">
        <f t="shared" si="424"/>
        <v>26</v>
      </c>
      <c r="K617" s="28">
        <f t="shared" si="424"/>
        <v>106</v>
      </c>
      <c r="L617" s="137">
        <f t="shared" si="422"/>
        <v>225</v>
      </c>
      <c r="N617" s="17" t="s">
        <v>9</v>
      </c>
      <c r="O617" s="41">
        <f>SUM(O612:O616)</f>
        <v>185</v>
      </c>
      <c r="P617" s="49">
        <f t="shared" ref="P617:V617" si="425">SUM(P612:P616)</f>
        <v>234</v>
      </c>
      <c r="Q617" s="42">
        <f t="shared" si="425"/>
        <v>180</v>
      </c>
      <c r="R617" s="92">
        <f t="shared" si="425"/>
        <v>232</v>
      </c>
      <c r="S617" s="93">
        <f t="shared" si="425"/>
        <v>831</v>
      </c>
      <c r="T617" s="41">
        <f t="shared" si="425"/>
        <v>720</v>
      </c>
      <c r="U617" s="49">
        <f t="shared" si="425"/>
        <v>887</v>
      </c>
      <c r="V617" s="42">
        <f t="shared" si="425"/>
        <v>538</v>
      </c>
      <c r="W617" s="92">
        <f>SUM(W612:W616)</f>
        <v>412</v>
      </c>
      <c r="X617" s="93">
        <f t="shared" ref="X617" si="426">SUM(X612:X616)</f>
        <v>2557</v>
      </c>
      <c r="Y617" s="56">
        <f t="shared" si="423"/>
        <v>3388</v>
      </c>
    </row>
    <row r="618" spans="1:30" x14ac:dyDescent="0.15">
      <c r="A618" s="79" t="s">
        <v>1051</v>
      </c>
      <c r="B618" s="24"/>
      <c r="C618" s="46"/>
      <c r="D618" s="25"/>
      <c r="E618" s="33"/>
      <c r="F618" s="35">
        <f>SUM(B618:E618)</f>
        <v>0</v>
      </c>
      <c r="G618" s="24"/>
      <c r="H618" s="46">
        <v>1</v>
      </c>
      <c r="I618" s="25"/>
      <c r="J618" s="33"/>
      <c r="K618" s="35">
        <f>SUM(G618:J618)</f>
        <v>1</v>
      </c>
      <c r="L618" s="11">
        <f t="shared" si="422"/>
        <v>1</v>
      </c>
      <c r="M618" s="126">
        <v>44988</v>
      </c>
      <c r="N618" s="15" t="s">
        <v>517</v>
      </c>
      <c r="O618" s="66">
        <v>8</v>
      </c>
      <c r="P618" s="67">
        <v>17</v>
      </c>
      <c r="Q618" s="68">
        <v>4</v>
      </c>
      <c r="R618" s="94">
        <v>6</v>
      </c>
      <c r="S618" s="91">
        <f>SUM(O618:R618)</f>
        <v>35</v>
      </c>
      <c r="T618" s="67"/>
      <c r="U618" s="67"/>
      <c r="V618" s="68"/>
      <c r="W618" s="94">
        <v>4</v>
      </c>
      <c r="X618" s="91">
        <f>SUM(T618:W618)</f>
        <v>4</v>
      </c>
      <c r="Y618" s="11">
        <f t="shared" si="423"/>
        <v>39</v>
      </c>
      <c r="Z618" s="99">
        <v>44984</v>
      </c>
    </row>
    <row r="619" spans="1:30" x14ac:dyDescent="0.15">
      <c r="A619" s="13" t="s">
        <v>41</v>
      </c>
      <c r="B619" s="26"/>
      <c r="C619" s="47"/>
      <c r="D619" s="27"/>
      <c r="E619" s="34"/>
      <c r="F619" s="35">
        <f>SUM(B619:E619)</f>
        <v>0</v>
      </c>
      <c r="G619" s="26">
        <v>1</v>
      </c>
      <c r="H619" s="47"/>
      <c r="I619" s="27"/>
      <c r="J619" s="34"/>
      <c r="K619" s="35">
        <f>SUM(G619:J619)</f>
        <v>1</v>
      </c>
      <c r="L619" s="11">
        <f t="shared" si="422"/>
        <v>1</v>
      </c>
      <c r="M619" s="126">
        <v>44991</v>
      </c>
      <c r="N619" s="15" t="s">
        <v>518</v>
      </c>
      <c r="O619" s="26">
        <v>30</v>
      </c>
      <c r="P619" s="47">
        <v>21</v>
      </c>
      <c r="Q619" s="27">
        <v>4</v>
      </c>
      <c r="R619" s="34">
        <v>5</v>
      </c>
      <c r="S619" s="35">
        <f t="shared" ref="S619:S620" si="427">SUM(O619:R619)</f>
        <v>60</v>
      </c>
      <c r="T619" s="26">
        <v>8</v>
      </c>
      <c r="U619" s="47">
        <v>8</v>
      </c>
      <c r="V619" s="27">
        <v>4</v>
      </c>
      <c r="W619" s="34">
        <v>12</v>
      </c>
      <c r="X619" s="35">
        <f t="shared" ref="X619:X620" si="428">SUM(T619:W619)</f>
        <v>32</v>
      </c>
      <c r="Y619" s="11">
        <f t="shared" si="423"/>
        <v>92</v>
      </c>
      <c r="Z619" s="99">
        <v>44985</v>
      </c>
    </row>
    <row r="620" spans="1:30" x14ac:dyDescent="0.15">
      <c r="A620" s="15" t="s">
        <v>538</v>
      </c>
      <c r="B620" s="26">
        <v>10</v>
      </c>
      <c r="C620" s="47">
        <v>20</v>
      </c>
      <c r="D620" s="27"/>
      <c r="E620" s="34"/>
      <c r="F620" s="35">
        <f t="shared" ref="F620:F642" si="429">SUM(B620:E620)</f>
        <v>30</v>
      </c>
      <c r="G620" s="26"/>
      <c r="H620" s="47"/>
      <c r="I620" s="27"/>
      <c r="J620" s="34"/>
      <c r="K620" s="35">
        <f t="shared" ref="K620:K642" si="430">SUM(G620:J620)</f>
        <v>0</v>
      </c>
      <c r="L620" s="11">
        <f t="shared" si="422"/>
        <v>30</v>
      </c>
      <c r="M620" s="99">
        <v>44998</v>
      </c>
      <c r="N620" s="15" t="s">
        <v>522</v>
      </c>
      <c r="O620" s="26">
        <v>6</v>
      </c>
      <c r="P620" s="47">
        <v>6</v>
      </c>
      <c r="Q620" s="27">
        <v>6</v>
      </c>
      <c r="R620" s="34"/>
      <c r="S620" s="35">
        <f t="shared" si="427"/>
        <v>18</v>
      </c>
      <c r="T620" s="26">
        <v>1</v>
      </c>
      <c r="U620" s="47">
        <v>5</v>
      </c>
      <c r="V620" s="27">
        <v>2</v>
      </c>
      <c r="W620" s="34"/>
      <c r="X620" s="35">
        <f t="shared" si="428"/>
        <v>8</v>
      </c>
      <c r="Y620" s="11">
        <f t="shared" si="423"/>
        <v>26</v>
      </c>
      <c r="Z620" s="99">
        <v>44986</v>
      </c>
    </row>
    <row r="621" spans="1:30" x14ac:dyDescent="0.15">
      <c r="A621" s="13" t="s">
        <v>41</v>
      </c>
      <c r="B621" s="66"/>
      <c r="C621" s="67">
        <v>1</v>
      </c>
      <c r="D621" s="68"/>
      <c r="E621" s="69"/>
      <c r="F621" s="70">
        <f t="shared" si="429"/>
        <v>1</v>
      </c>
      <c r="G621" s="66"/>
      <c r="H621" s="67">
        <v>1</v>
      </c>
      <c r="I621" s="68"/>
      <c r="J621" s="69"/>
      <c r="K621" s="70">
        <f t="shared" si="430"/>
        <v>1</v>
      </c>
      <c r="L621" s="11">
        <f t="shared" si="422"/>
        <v>2</v>
      </c>
      <c r="M621" s="126">
        <v>44995</v>
      </c>
      <c r="N621" s="15" t="s">
        <v>523</v>
      </c>
      <c r="O621" s="66">
        <v>6</v>
      </c>
      <c r="P621" s="67">
        <v>9</v>
      </c>
      <c r="Q621" s="68">
        <v>5</v>
      </c>
      <c r="R621" s="94">
        <v>2</v>
      </c>
      <c r="S621" s="91">
        <f>SUM(O621:R621)</f>
        <v>22</v>
      </c>
      <c r="T621" s="67">
        <v>1</v>
      </c>
      <c r="U621" s="67">
        <v>3</v>
      </c>
      <c r="V621" s="68">
        <v>3</v>
      </c>
      <c r="W621" s="94"/>
      <c r="X621" s="91">
        <f>SUM(T621:W621)</f>
        <v>7</v>
      </c>
      <c r="Y621" s="11">
        <f t="shared" si="423"/>
        <v>29</v>
      </c>
      <c r="Z621" s="99">
        <v>44987</v>
      </c>
    </row>
    <row r="622" spans="1:30" x14ac:dyDescent="0.15">
      <c r="A622" s="12" t="s">
        <v>545</v>
      </c>
      <c r="B622" s="26"/>
      <c r="C622" s="47">
        <v>10</v>
      </c>
      <c r="D622" s="27"/>
      <c r="E622" s="34"/>
      <c r="F622" s="35">
        <f t="shared" ref="F622" si="431">SUM(B622:E622)</f>
        <v>10</v>
      </c>
      <c r="G622" s="26"/>
      <c r="H622" s="47"/>
      <c r="I622" s="27">
        <v>5</v>
      </c>
      <c r="J622" s="34"/>
      <c r="K622" s="35">
        <f t="shared" ref="K622" si="432">SUM(G622:J622)</f>
        <v>5</v>
      </c>
      <c r="L622" s="11">
        <f t="shared" ref="L622" si="433">F622+K622</f>
        <v>15</v>
      </c>
      <c r="M622" s="99">
        <v>45001</v>
      </c>
      <c r="N622" s="90" t="s">
        <v>531</v>
      </c>
      <c r="O622" s="26"/>
      <c r="P622" s="47">
        <v>5</v>
      </c>
      <c r="Q622" s="27"/>
      <c r="R622" s="34">
        <v>5</v>
      </c>
      <c r="S622" s="35">
        <f t="shared" ref="S622:S624" si="434">SUM(O622:R622)</f>
        <v>10</v>
      </c>
      <c r="T622" s="26">
        <v>5</v>
      </c>
      <c r="U622" s="47">
        <v>5</v>
      </c>
      <c r="V622" s="27">
        <v>5</v>
      </c>
      <c r="W622" s="34">
        <v>15</v>
      </c>
      <c r="X622" s="35">
        <f t="shared" ref="X622:X624" si="435">SUM(T622:W622)</f>
        <v>30</v>
      </c>
      <c r="Y622" s="11">
        <f t="shared" si="423"/>
        <v>40</v>
      </c>
      <c r="Z622" s="99">
        <v>44992</v>
      </c>
    </row>
    <row r="623" spans="1:30" x14ac:dyDescent="0.15">
      <c r="A623" s="13" t="s">
        <v>41</v>
      </c>
      <c r="B623" s="26"/>
      <c r="C623" s="47">
        <v>1</v>
      </c>
      <c r="D623" s="27"/>
      <c r="E623" s="34"/>
      <c r="F623" s="35">
        <f t="shared" si="429"/>
        <v>1</v>
      </c>
      <c r="G623" s="26"/>
      <c r="H623" s="47"/>
      <c r="I623" s="27"/>
      <c r="J623" s="34"/>
      <c r="K623" s="35">
        <f t="shared" si="430"/>
        <v>0</v>
      </c>
      <c r="L623" s="11">
        <f t="shared" si="422"/>
        <v>1</v>
      </c>
      <c r="M623" s="126">
        <v>45000</v>
      </c>
      <c r="N623" s="15" t="s">
        <v>524</v>
      </c>
      <c r="O623" s="26">
        <v>1</v>
      </c>
      <c r="P623" s="47">
        <v>10</v>
      </c>
      <c r="Q623" s="27"/>
      <c r="R623" s="34"/>
      <c r="S623" s="35">
        <f t="shared" si="434"/>
        <v>11</v>
      </c>
      <c r="T623" s="26">
        <v>1</v>
      </c>
      <c r="U623" s="47">
        <v>1</v>
      </c>
      <c r="V623" s="27">
        <v>3</v>
      </c>
      <c r="W623" s="34">
        <v>1</v>
      </c>
      <c r="X623" s="35">
        <f t="shared" si="435"/>
        <v>6</v>
      </c>
      <c r="Y623" s="11">
        <f t="shared" si="423"/>
        <v>17</v>
      </c>
      <c r="Z623" s="99">
        <v>44988</v>
      </c>
    </row>
    <row r="624" spans="1:30" x14ac:dyDescent="0.15">
      <c r="A624" s="13" t="s">
        <v>41</v>
      </c>
      <c r="B624" s="26"/>
      <c r="C624" s="47"/>
      <c r="D624" s="27">
        <v>1</v>
      </c>
      <c r="E624" s="34"/>
      <c r="F624" s="35">
        <f t="shared" si="429"/>
        <v>1</v>
      </c>
      <c r="G624" s="26"/>
      <c r="H624" s="47"/>
      <c r="I624" s="27"/>
      <c r="J624" s="34"/>
      <c r="K624" s="35">
        <f t="shared" si="430"/>
        <v>0</v>
      </c>
      <c r="L624" s="11">
        <f t="shared" si="422"/>
        <v>1</v>
      </c>
      <c r="M624" s="126">
        <v>45001</v>
      </c>
      <c r="N624" s="15" t="s">
        <v>525</v>
      </c>
      <c r="O624" s="26">
        <v>30</v>
      </c>
      <c r="P624" s="47">
        <v>40</v>
      </c>
      <c r="Q624" s="27">
        <v>32</v>
      </c>
      <c r="R624" s="34">
        <v>18</v>
      </c>
      <c r="S624" s="35">
        <f t="shared" si="434"/>
        <v>120</v>
      </c>
      <c r="T624" s="26">
        <v>15</v>
      </c>
      <c r="U624" s="47">
        <v>16</v>
      </c>
      <c r="V624" s="27">
        <v>10</v>
      </c>
      <c r="W624" s="34">
        <v>9</v>
      </c>
      <c r="X624" s="35">
        <f t="shared" si="435"/>
        <v>50</v>
      </c>
      <c r="Y624" s="11">
        <f t="shared" si="423"/>
        <v>170</v>
      </c>
      <c r="Z624" s="99">
        <v>44991</v>
      </c>
    </row>
    <row r="625" spans="1:27" x14ac:dyDescent="0.15">
      <c r="A625" s="12" t="s">
        <v>547</v>
      </c>
      <c r="B625" s="26"/>
      <c r="C625" s="47"/>
      <c r="D625" s="27">
        <v>15</v>
      </c>
      <c r="E625" s="34"/>
      <c r="F625" s="35">
        <f t="shared" si="429"/>
        <v>15</v>
      </c>
      <c r="G625" s="26"/>
      <c r="H625" s="47"/>
      <c r="I625" s="27">
        <v>15</v>
      </c>
      <c r="J625" s="34"/>
      <c r="K625" s="35">
        <f t="shared" si="430"/>
        <v>15</v>
      </c>
      <c r="L625" s="11">
        <f t="shared" si="422"/>
        <v>30</v>
      </c>
      <c r="M625" s="99">
        <v>45003</v>
      </c>
      <c r="N625" s="57" t="s">
        <v>530</v>
      </c>
      <c r="O625" s="26">
        <v>1</v>
      </c>
      <c r="P625" s="47"/>
      <c r="Q625" s="27">
        <v>8</v>
      </c>
      <c r="R625" s="50"/>
      <c r="S625" s="9">
        <f>SUM(O625:R625)</f>
        <v>9</v>
      </c>
      <c r="T625" s="47"/>
      <c r="U625" s="47"/>
      <c r="V625" s="27"/>
      <c r="W625" s="50"/>
      <c r="X625" s="9">
        <f>SUM(T625:W625)</f>
        <v>0</v>
      </c>
      <c r="Y625" s="11">
        <f t="shared" si="423"/>
        <v>9</v>
      </c>
      <c r="Z625" s="99">
        <v>44995</v>
      </c>
    </row>
    <row r="626" spans="1:27" x14ac:dyDescent="0.15">
      <c r="A626" s="13" t="s">
        <v>551</v>
      </c>
      <c r="B626" s="26"/>
      <c r="C626" s="47">
        <v>-1</v>
      </c>
      <c r="D626" s="27">
        <v>-1</v>
      </c>
      <c r="E626" s="34">
        <v>-1</v>
      </c>
      <c r="F626" s="35">
        <f t="shared" si="429"/>
        <v>-3</v>
      </c>
      <c r="G626" s="26"/>
      <c r="H626" s="47"/>
      <c r="I626" s="27"/>
      <c r="J626" s="34"/>
      <c r="K626" s="35">
        <f t="shared" si="430"/>
        <v>0</v>
      </c>
      <c r="L626" s="11">
        <f t="shared" si="422"/>
        <v>-3</v>
      </c>
      <c r="M626" s="126">
        <v>45005</v>
      </c>
      <c r="N626" s="15" t="s">
        <v>532</v>
      </c>
      <c r="O626" s="26"/>
      <c r="P626" s="47"/>
      <c r="Q626" s="27">
        <v>7</v>
      </c>
      <c r="R626" s="34"/>
      <c r="S626" s="35">
        <f t="shared" ref="S626:S643" si="436">SUM(O626:R626)</f>
        <v>7</v>
      </c>
      <c r="T626" s="26"/>
      <c r="U626" s="47"/>
      <c r="V626" s="27">
        <v>1</v>
      </c>
      <c r="W626" s="34"/>
      <c r="X626" s="35">
        <f t="shared" ref="X626:X643" si="437">SUM(T626:W626)</f>
        <v>1</v>
      </c>
      <c r="Y626" s="11">
        <f t="shared" si="423"/>
        <v>8</v>
      </c>
      <c r="Z626" s="99">
        <v>44993</v>
      </c>
    </row>
    <row r="627" spans="1:27" x14ac:dyDescent="0.15">
      <c r="A627" s="32"/>
      <c r="B627" s="26"/>
      <c r="C627" s="47"/>
      <c r="D627" s="27"/>
      <c r="E627" s="34"/>
      <c r="F627" s="35">
        <f t="shared" si="429"/>
        <v>0</v>
      </c>
      <c r="G627" s="26"/>
      <c r="H627" s="47"/>
      <c r="I627" s="27"/>
      <c r="J627" s="34"/>
      <c r="K627" s="35">
        <f t="shared" si="430"/>
        <v>0</v>
      </c>
      <c r="L627" s="11">
        <f t="shared" si="422"/>
        <v>0</v>
      </c>
      <c r="N627" s="90" t="s">
        <v>34</v>
      </c>
      <c r="O627" s="26"/>
      <c r="P627" s="47"/>
      <c r="Q627" s="27"/>
      <c r="R627" s="34"/>
      <c r="S627" s="35">
        <f>SUM(O627:R627)</f>
        <v>0</v>
      </c>
      <c r="T627" s="26"/>
      <c r="U627" s="47">
        <v>3</v>
      </c>
      <c r="V627" s="27"/>
      <c r="W627" s="34"/>
      <c r="X627" s="35">
        <f>SUM(T627:W627)</f>
        <v>3</v>
      </c>
      <c r="Y627" s="11">
        <f t="shared" si="423"/>
        <v>3</v>
      </c>
      <c r="Z627" s="99">
        <v>44993</v>
      </c>
    </row>
    <row r="628" spans="1:27" x14ac:dyDescent="0.15">
      <c r="A628" s="15"/>
      <c r="B628" s="26"/>
      <c r="C628" s="47"/>
      <c r="D628" s="27"/>
      <c r="E628" s="34"/>
      <c r="F628" s="35">
        <f t="shared" si="429"/>
        <v>0</v>
      </c>
      <c r="G628" s="26"/>
      <c r="H628" s="47"/>
      <c r="I628" s="27"/>
      <c r="J628" s="34"/>
      <c r="K628" s="35">
        <f t="shared" si="430"/>
        <v>0</v>
      </c>
      <c r="L628" s="11">
        <f t="shared" si="422"/>
        <v>0</v>
      </c>
      <c r="N628" s="15" t="s">
        <v>535</v>
      </c>
      <c r="O628" s="26">
        <f>18+13</f>
        <v>31</v>
      </c>
      <c r="P628" s="47">
        <f>21+37</f>
        <v>58</v>
      </c>
      <c r="Q628" s="27">
        <v>18</v>
      </c>
      <c r="R628" s="34">
        <v>2</v>
      </c>
      <c r="S628" s="35">
        <f t="shared" si="436"/>
        <v>109</v>
      </c>
      <c r="T628" s="26"/>
      <c r="U628" s="47">
        <v>15</v>
      </c>
      <c r="V628" s="27">
        <v>11</v>
      </c>
      <c r="W628" s="34"/>
      <c r="X628" s="35">
        <f t="shared" si="437"/>
        <v>26</v>
      </c>
      <c r="Y628" s="11">
        <f t="shared" si="423"/>
        <v>135</v>
      </c>
      <c r="Z628" s="99">
        <v>44994</v>
      </c>
    </row>
    <row r="629" spans="1:27" x14ac:dyDescent="0.15">
      <c r="A629" s="13"/>
      <c r="B629" s="26"/>
      <c r="C629" s="47"/>
      <c r="D629" s="27"/>
      <c r="E629" s="34"/>
      <c r="F629" s="35">
        <f t="shared" si="429"/>
        <v>0</v>
      </c>
      <c r="G629" s="26"/>
      <c r="H629" s="47"/>
      <c r="I629" s="27"/>
      <c r="J629" s="34"/>
      <c r="K629" s="35">
        <f t="shared" si="430"/>
        <v>0</v>
      </c>
      <c r="L629" s="11">
        <f t="shared" si="422"/>
        <v>0</v>
      </c>
      <c r="N629" s="15" t="s">
        <v>536</v>
      </c>
      <c r="O629" s="26">
        <v>9</v>
      </c>
      <c r="P629" s="47">
        <v>8</v>
      </c>
      <c r="Q629" s="27">
        <v>12</v>
      </c>
      <c r="R629" s="34">
        <v>2</v>
      </c>
      <c r="S629" s="35">
        <f t="shared" si="436"/>
        <v>31</v>
      </c>
      <c r="T629" s="26"/>
      <c r="U629" s="47">
        <v>2</v>
      </c>
      <c r="V629" s="27">
        <v>5</v>
      </c>
      <c r="W629" s="34"/>
      <c r="X629" s="35">
        <f t="shared" si="437"/>
        <v>7</v>
      </c>
      <c r="Y629" s="11">
        <f t="shared" si="423"/>
        <v>38</v>
      </c>
      <c r="Z629" s="99">
        <v>44995</v>
      </c>
    </row>
    <row r="630" spans="1:27" x14ac:dyDescent="0.15">
      <c r="A630" s="15"/>
      <c r="B630" s="26"/>
      <c r="C630" s="47"/>
      <c r="D630" s="27"/>
      <c r="E630" s="34"/>
      <c r="F630" s="35">
        <f t="shared" si="429"/>
        <v>0</v>
      </c>
      <c r="G630" s="26"/>
      <c r="H630" s="47"/>
      <c r="I630" s="27"/>
      <c r="J630" s="34"/>
      <c r="K630" s="35">
        <f t="shared" si="430"/>
        <v>0</v>
      </c>
      <c r="L630" s="11">
        <f t="shared" si="422"/>
        <v>0</v>
      </c>
      <c r="N630" s="12" t="s">
        <v>537</v>
      </c>
      <c r="O630" s="26">
        <v>20</v>
      </c>
      <c r="P630" s="47">
        <v>30</v>
      </c>
      <c r="Q630" s="27">
        <v>20</v>
      </c>
      <c r="R630" s="34"/>
      <c r="S630" s="35">
        <f t="shared" si="436"/>
        <v>70</v>
      </c>
      <c r="T630" s="26">
        <v>20</v>
      </c>
      <c r="U630" s="47">
        <v>30</v>
      </c>
      <c r="V630" s="27">
        <v>20</v>
      </c>
      <c r="W630" s="34"/>
      <c r="X630" s="35">
        <f t="shared" si="437"/>
        <v>70</v>
      </c>
      <c r="Y630" s="11">
        <f t="shared" si="423"/>
        <v>140</v>
      </c>
      <c r="Z630" s="99">
        <v>44995</v>
      </c>
    </row>
    <row r="631" spans="1:27" x14ac:dyDescent="0.15">
      <c r="A631" s="13"/>
      <c r="B631" s="26"/>
      <c r="C631" s="47"/>
      <c r="D631" s="27"/>
      <c r="E631" s="34"/>
      <c r="F631" s="35">
        <f t="shared" si="429"/>
        <v>0</v>
      </c>
      <c r="G631" s="26"/>
      <c r="H631" s="47"/>
      <c r="I631" s="27"/>
      <c r="J631" s="34"/>
      <c r="K631" s="35">
        <f t="shared" si="430"/>
        <v>0</v>
      </c>
      <c r="L631" s="11">
        <f t="shared" si="422"/>
        <v>0</v>
      </c>
      <c r="N631" s="15" t="s">
        <v>538</v>
      </c>
      <c r="O631" s="26"/>
      <c r="P631" s="47"/>
      <c r="Q631" s="27">
        <v>31</v>
      </c>
      <c r="R631" s="34">
        <v>17</v>
      </c>
      <c r="S631" s="35">
        <f t="shared" si="436"/>
        <v>48</v>
      </c>
      <c r="T631" s="26">
        <v>11</v>
      </c>
      <c r="U631" s="47">
        <v>16</v>
      </c>
      <c r="V631" s="27">
        <v>11</v>
      </c>
      <c r="W631" s="34">
        <v>7</v>
      </c>
      <c r="X631" s="35">
        <f t="shared" si="437"/>
        <v>45</v>
      </c>
      <c r="Y631" s="11">
        <f t="shared" si="423"/>
        <v>93</v>
      </c>
      <c r="Z631" s="99">
        <v>44998</v>
      </c>
    </row>
    <row r="632" spans="1:27" x14ac:dyDescent="0.15">
      <c r="A632" s="15"/>
      <c r="B632" s="26"/>
      <c r="C632" s="47"/>
      <c r="D632" s="27"/>
      <c r="E632" s="34"/>
      <c r="F632" s="35">
        <f t="shared" si="429"/>
        <v>0</v>
      </c>
      <c r="G632" s="26"/>
      <c r="H632" s="47"/>
      <c r="I632" s="27"/>
      <c r="J632" s="34"/>
      <c r="K632" s="35">
        <f t="shared" si="430"/>
        <v>0</v>
      </c>
      <c r="L632" s="11">
        <f t="shared" si="422"/>
        <v>0</v>
      </c>
      <c r="N632" s="15" t="s">
        <v>541</v>
      </c>
      <c r="O632" s="26"/>
      <c r="P632" s="47"/>
      <c r="Q632" s="27"/>
      <c r="R632" s="34"/>
      <c r="S632" s="35">
        <f t="shared" si="436"/>
        <v>0</v>
      </c>
      <c r="T632" s="26">
        <v>5</v>
      </c>
      <c r="U632" s="47"/>
      <c r="V632" s="27">
        <v>2</v>
      </c>
      <c r="W632" s="34"/>
      <c r="X632" s="35">
        <f t="shared" si="437"/>
        <v>7</v>
      </c>
      <c r="Y632" s="11">
        <f t="shared" si="423"/>
        <v>7</v>
      </c>
      <c r="Z632" s="99">
        <v>44999</v>
      </c>
    </row>
    <row r="633" spans="1:27" x14ac:dyDescent="0.15">
      <c r="A633" s="13"/>
      <c r="B633" s="26"/>
      <c r="C633" s="47"/>
      <c r="D633" s="27"/>
      <c r="E633" s="34"/>
      <c r="F633" s="35">
        <f t="shared" si="429"/>
        <v>0</v>
      </c>
      <c r="G633" s="26"/>
      <c r="H633" s="47"/>
      <c r="I633" s="27"/>
      <c r="J633" s="34"/>
      <c r="K633" s="35">
        <f t="shared" si="430"/>
        <v>0</v>
      </c>
      <c r="L633" s="11">
        <f t="shared" si="422"/>
        <v>0</v>
      </c>
      <c r="N633" s="15" t="s">
        <v>542</v>
      </c>
      <c r="O633" s="26"/>
      <c r="P633" s="47"/>
      <c r="Q633" s="27"/>
      <c r="R633" s="34">
        <v>1</v>
      </c>
      <c r="S633" s="35">
        <f t="shared" si="436"/>
        <v>1</v>
      </c>
      <c r="T633" s="26">
        <v>3</v>
      </c>
      <c r="U633" s="47"/>
      <c r="V633" s="27"/>
      <c r="W633" s="34"/>
      <c r="X633" s="35">
        <f t="shared" si="437"/>
        <v>3</v>
      </c>
      <c r="Y633" s="11">
        <f t="shared" si="423"/>
        <v>4</v>
      </c>
      <c r="Z633" s="99">
        <v>45000</v>
      </c>
    </row>
    <row r="634" spans="1:27" x14ac:dyDescent="0.15">
      <c r="A634" s="15"/>
      <c r="B634" s="26"/>
      <c r="C634" s="47"/>
      <c r="D634" s="27"/>
      <c r="E634" s="34"/>
      <c r="F634" s="35">
        <f t="shared" si="429"/>
        <v>0</v>
      </c>
      <c r="G634" s="26"/>
      <c r="H634" s="47"/>
      <c r="I634" s="27"/>
      <c r="J634" s="34"/>
      <c r="K634" s="35">
        <f t="shared" si="430"/>
        <v>0</v>
      </c>
      <c r="L634" s="11">
        <f t="shared" si="422"/>
        <v>0</v>
      </c>
      <c r="N634" s="15" t="s">
        <v>544</v>
      </c>
      <c r="O634" s="26">
        <v>31</v>
      </c>
      <c r="P634" s="47">
        <v>30</v>
      </c>
      <c r="Q634" s="27">
        <v>24</v>
      </c>
      <c r="R634" s="34">
        <v>10</v>
      </c>
      <c r="S634" s="35">
        <f t="shared" si="436"/>
        <v>95</v>
      </c>
      <c r="T634" s="26">
        <v>4</v>
      </c>
      <c r="U634" s="47"/>
      <c r="V634" s="27">
        <v>4</v>
      </c>
      <c r="W634" s="34"/>
      <c r="X634" s="35">
        <f t="shared" si="437"/>
        <v>8</v>
      </c>
      <c r="Y634" s="11">
        <f t="shared" si="423"/>
        <v>103</v>
      </c>
      <c r="Z634" s="99">
        <v>45001</v>
      </c>
    </row>
    <row r="635" spans="1:27" x14ac:dyDescent="0.15">
      <c r="A635" s="15"/>
      <c r="B635" s="26"/>
      <c r="C635" s="47"/>
      <c r="D635" s="27"/>
      <c r="E635" s="34"/>
      <c r="F635" s="35">
        <f t="shared" si="429"/>
        <v>0</v>
      </c>
      <c r="G635" s="26"/>
      <c r="H635" s="47"/>
      <c r="I635" s="27"/>
      <c r="J635" s="34"/>
      <c r="K635" s="35">
        <f t="shared" si="430"/>
        <v>0</v>
      </c>
      <c r="L635" s="11">
        <f t="shared" si="422"/>
        <v>0</v>
      </c>
      <c r="N635" s="57"/>
      <c r="O635" s="26"/>
      <c r="P635" s="47"/>
      <c r="Q635" s="27"/>
      <c r="R635" s="34"/>
      <c r="S635" s="35">
        <f t="shared" si="436"/>
        <v>0</v>
      </c>
      <c r="T635" s="26"/>
      <c r="U635" s="47"/>
      <c r="V635" s="27"/>
      <c r="W635" s="34"/>
      <c r="X635" s="35">
        <f t="shared" si="437"/>
        <v>0</v>
      </c>
      <c r="Y635" s="11">
        <f t="shared" si="423"/>
        <v>0</v>
      </c>
      <c r="Z635" s="101"/>
      <c r="AA635" s="58"/>
    </row>
    <row r="636" spans="1:27" x14ac:dyDescent="0.15">
      <c r="A636" s="13"/>
      <c r="B636" s="26"/>
      <c r="C636" s="47"/>
      <c r="D636" s="27"/>
      <c r="E636" s="34"/>
      <c r="F636" s="35">
        <f t="shared" si="429"/>
        <v>0</v>
      </c>
      <c r="G636" s="26"/>
      <c r="H636" s="47"/>
      <c r="I636" s="27"/>
      <c r="J636" s="34"/>
      <c r="K636" s="35">
        <f t="shared" si="430"/>
        <v>0</v>
      </c>
      <c r="L636" s="11">
        <f t="shared" si="422"/>
        <v>0</v>
      </c>
      <c r="N636" s="15"/>
      <c r="O636" s="26"/>
      <c r="P636" s="47"/>
      <c r="Q636" s="27"/>
      <c r="R636" s="34"/>
      <c r="S636" s="35">
        <f t="shared" si="436"/>
        <v>0</v>
      </c>
      <c r="T636" s="26"/>
      <c r="U636" s="47"/>
      <c r="V636" s="27"/>
      <c r="W636" s="34"/>
      <c r="X636" s="35">
        <f t="shared" si="437"/>
        <v>0</v>
      </c>
      <c r="Y636" s="11">
        <f t="shared" si="423"/>
        <v>0</v>
      </c>
      <c r="Z636" s="99"/>
      <c r="AA636" s="58"/>
    </row>
    <row r="637" spans="1:27" x14ac:dyDescent="0.15">
      <c r="A637" s="32"/>
      <c r="B637" s="26"/>
      <c r="C637" s="47"/>
      <c r="D637" s="27"/>
      <c r="E637" s="34"/>
      <c r="F637" s="35">
        <f t="shared" si="429"/>
        <v>0</v>
      </c>
      <c r="G637" s="26"/>
      <c r="H637" s="47"/>
      <c r="I637" s="27"/>
      <c r="J637" s="34"/>
      <c r="K637" s="35">
        <f t="shared" si="430"/>
        <v>0</v>
      </c>
      <c r="L637" s="11">
        <f t="shared" si="422"/>
        <v>0</v>
      </c>
      <c r="N637" s="12"/>
      <c r="O637" s="26"/>
      <c r="P637" s="47"/>
      <c r="Q637" s="27"/>
      <c r="R637" s="34"/>
      <c r="S637" s="35">
        <f t="shared" si="436"/>
        <v>0</v>
      </c>
      <c r="T637" s="26"/>
      <c r="U637" s="47"/>
      <c r="V637" s="27"/>
      <c r="W637" s="34"/>
      <c r="X637" s="35">
        <f t="shared" si="437"/>
        <v>0</v>
      </c>
      <c r="Y637" s="108">
        <f t="shared" si="423"/>
        <v>0</v>
      </c>
      <c r="Z637" s="101"/>
    </row>
    <row r="638" spans="1:27" x14ac:dyDescent="0.15">
      <c r="A638" s="32"/>
      <c r="B638" s="26"/>
      <c r="C638" s="47"/>
      <c r="D638" s="27"/>
      <c r="E638" s="34"/>
      <c r="F638" s="35">
        <f t="shared" si="429"/>
        <v>0</v>
      </c>
      <c r="G638" s="26"/>
      <c r="H638" s="47"/>
      <c r="I638" s="27"/>
      <c r="J638" s="34"/>
      <c r="K638" s="35">
        <f t="shared" si="430"/>
        <v>0</v>
      </c>
      <c r="L638" s="11">
        <f t="shared" si="422"/>
        <v>0</v>
      </c>
      <c r="N638" s="153" t="s">
        <v>491</v>
      </c>
      <c r="O638" s="154"/>
      <c r="P638" s="155"/>
      <c r="Q638" s="156"/>
      <c r="R638" s="157"/>
      <c r="S638" s="158">
        <f t="shared" si="436"/>
        <v>0</v>
      </c>
      <c r="T638" s="154"/>
      <c r="U638" s="155"/>
      <c r="V638" s="156"/>
      <c r="W638" s="157"/>
      <c r="X638" s="158">
        <f t="shared" si="437"/>
        <v>0</v>
      </c>
      <c r="Y638" s="159">
        <f t="shared" si="423"/>
        <v>0</v>
      </c>
      <c r="Z638" s="160" t="s">
        <v>492</v>
      </c>
    </row>
    <row r="639" spans="1:27" x14ac:dyDescent="0.15">
      <c r="A639" s="12"/>
      <c r="B639" s="26"/>
      <c r="C639" s="47"/>
      <c r="D639" s="27"/>
      <c r="E639" s="34"/>
      <c r="F639" s="35">
        <f t="shared" si="429"/>
        <v>0</v>
      </c>
      <c r="G639" s="26"/>
      <c r="H639" s="47"/>
      <c r="I639" s="27"/>
      <c r="J639" s="34"/>
      <c r="K639" s="35">
        <f t="shared" si="430"/>
        <v>0</v>
      </c>
      <c r="L639" s="11">
        <f t="shared" si="422"/>
        <v>0</v>
      </c>
      <c r="N639" s="12" t="s">
        <v>488</v>
      </c>
      <c r="O639" s="26"/>
      <c r="P639" s="47"/>
      <c r="Q639" s="27"/>
      <c r="R639" s="34"/>
      <c r="S639" s="35">
        <f t="shared" si="436"/>
        <v>0</v>
      </c>
      <c r="T639" s="26"/>
      <c r="U639" s="47"/>
      <c r="V639" s="27"/>
      <c r="W639" s="34"/>
      <c r="X639" s="35">
        <f t="shared" si="437"/>
        <v>0</v>
      </c>
      <c r="Y639" s="108">
        <f t="shared" si="423"/>
        <v>0</v>
      </c>
      <c r="Z639" s="101" t="s">
        <v>487</v>
      </c>
    </row>
    <row r="640" spans="1:27" x14ac:dyDescent="0.15">
      <c r="A640" s="79"/>
      <c r="B640" s="26"/>
      <c r="C640" s="47"/>
      <c r="D640" s="27"/>
      <c r="E640" s="34"/>
      <c r="F640" s="35">
        <f t="shared" si="429"/>
        <v>0</v>
      </c>
      <c r="G640" s="26"/>
      <c r="H640" s="47"/>
      <c r="I640" s="27"/>
      <c r="J640" s="34"/>
      <c r="K640" s="35">
        <f t="shared" si="430"/>
        <v>0</v>
      </c>
      <c r="L640" s="11">
        <f t="shared" si="422"/>
        <v>0</v>
      </c>
      <c r="N640" s="153" t="s">
        <v>512</v>
      </c>
      <c r="O640" s="154"/>
      <c r="P640" s="155"/>
      <c r="Q640" s="156"/>
      <c r="R640" s="157"/>
      <c r="S640" s="158">
        <f t="shared" si="436"/>
        <v>0</v>
      </c>
      <c r="T640" s="154"/>
      <c r="U640" s="155"/>
      <c r="V640" s="156"/>
      <c r="W640" s="157"/>
      <c r="X640" s="158">
        <f t="shared" si="437"/>
        <v>0</v>
      </c>
      <c r="Y640" s="159">
        <f t="shared" si="423"/>
        <v>0</v>
      </c>
      <c r="Z640" s="205" t="s">
        <v>513</v>
      </c>
      <c r="AA640" s="58"/>
    </row>
    <row r="641" spans="1:28" x14ac:dyDescent="0.15">
      <c r="A641" s="57"/>
      <c r="B641" s="26"/>
      <c r="C641" s="47"/>
      <c r="D641" s="27"/>
      <c r="E641" s="34"/>
      <c r="F641" s="35">
        <f t="shared" si="429"/>
        <v>0</v>
      </c>
      <c r="G641" s="26"/>
      <c r="H641" s="47"/>
      <c r="I641" s="27"/>
      <c r="J641" s="34"/>
      <c r="K641" s="35">
        <f t="shared" si="430"/>
        <v>0</v>
      </c>
      <c r="L641" s="11">
        <f t="shared" si="422"/>
        <v>0</v>
      </c>
      <c r="N641" s="173" t="s">
        <v>479</v>
      </c>
      <c r="O641" s="174"/>
      <c r="P641" s="175"/>
      <c r="Q641" s="176"/>
      <c r="R641" s="177"/>
      <c r="S641" s="178">
        <f t="shared" si="436"/>
        <v>0</v>
      </c>
      <c r="T641" s="174"/>
      <c r="U641" s="175"/>
      <c r="V641" s="176"/>
      <c r="W641" s="177"/>
      <c r="X641" s="178">
        <f t="shared" si="437"/>
        <v>0</v>
      </c>
      <c r="Y641" s="179">
        <f t="shared" si="423"/>
        <v>0</v>
      </c>
      <c r="Z641" s="160"/>
      <c r="AA641" s="58"/>
    </row>
    <row r="642" spans="1:28" ht="14.25" thickBot="1" x14ac:dyDescent="0.2">
      <c r="A642" s="90"/>
      <c r="B642" s="62"/>
      <c r="C642" s="63"/>
      <c r="D642" s="64"/>
      <c r="E642" s="65"/>
      <c r="F642" s="35">
        <f t="shared" si="429"/>
        <v>0</v>
      </c>
      <c r="G642" s="62"/>
      <c r="H642" s="63"/>
      <c r="I642" s="64"/>
      <c r="J642" s="65"/>
      <c r="K642" s="35">
        <f t="shared" si="430"/>
        <v>0</v>
      </c>
      <c r="L642" s="14">
        <f t="shared" si="422"/>
        <v>0</v>
      </c>
      <c r="M642" s="99"/>
      <c r="N642" s="135" t="s">
        <v>459</v>
      </c>
      <c r="O642" s="62"/>
      <c r="P642" s="63"/>
      <c r="Q642" s="64"/>
      <c r="R642" s="65"/>
      <c r="S642" s="120">
        <f t="shared" si="436"/>
        <v>0</v>
      </c>
      <c r="T642" s="62"/>
      <c r="U642" s="63"/>
      <c r="V642" s="64"/>
      <c r="W642" s="65"/>
      <c r="X642" s="120">
        <f t="shared" si="437"/>
        <v>0</v>
      </c>
      <c r="Y642" s="121">
        <f t="shared" si="423"/>
        <v>0</v>
      </c>
      <c r="Z642" s="101" t="s">
        <v>458</v>
      </c>
      <c r="AA642" s="58"/>
    </row>
    <row r="643" spans="1:28" ht="14.25" thickBot="1" x14ac:dyDescent="0.2">
      <c r="A643" s="17" t="s">
        <v>10</v>
      </c>
      <c r="B643" s="38">
        <f>SUM(B618:B642)</f>
        <v>10</v>
      </c>
      <c r="C643" s="48">
        <f>SUM(C618:C642)</f>
        <v>31</v>
      </c>
      <c r="D643" s="39">
        <f>SUM(D618:D642)</f>
        <v>15</v>
      </c>
      <c r="E643" s="40">
        <f>SUM(E618:E642)</f>
        <v>-1</v>
      </c>
      <c r="F643" s="36">
        <f>SUM(B643:E643)</f>
        <v>55</v>
      </c>
      <c r="G643" s="38">
        <f>SUM(G618:G642)</f>
        <v>1</v>
      </c>
      <c r="H643" s="48">
        <f>SUM(H618:H642)</f>
        <v>2</v>
      </c>
      <c r="I643" s="39">
        <f>SUM(I618:I642)</f>
        <v>20</v>
      </c>
      <c r="J643" s="40">
        <f>SUM(J618:J642)</f>
        <v>0</v>
      </c>
      <c r="K643" s="36">
        <f>SUM(G643:J643)</f>
        <v>23</v>
      </c>
      <c r="L643" s="37">
        <f t="shared" si="422"/>
        <v>78</v>
      </c>
      <c r="N643" s="133" t="s">
        <v>10</v>
      </c>
      <c r="O643" s="38">
        <f>SUM(O618:O642)</f>
        <v>173</v>
      </c>
      <c r="P643" s="48">
        <f>SUM(P618:P642)</f>
        <v>234</v>
      </c>
      <c r="Q643" s="39">
        <f>SUM(Q618:Q642)</f>
        <v>171</v>
      </c>
      <c r="R643" s="40">
        <f>SUM(R618:R642)</f>
        <v>68</v>
      </c>
      <c r="S643" s="118">
        <f t="shared" si="436"/>
        <v>646</v>
      </c>
      <c r="T643" s="38">
        <f>SUM(T618:T642)</f>
        <v>74</v>
      </c>
      <c r="U643" s="48">
        <f>SUM(U618:U642)</f>
        <v>104</v>
      </c>
      <c r="V643" s="39">
        <f>SUM(V618:V642)</f>
        <v>81</v>
      </c>
      <c r="W643" s="40">
        <f>SUM(W618:W642)</f>
        <v>48</v>
      </c>
      <c r="X643" s="118">
        <f t="shared" si="437"/>
        <v>307</v>
      </c>
      <c r="Y643" s="119">
        <f t="shared" si="423"/>
        <v>953</v>
      </c>
    </row>
    <row r="644" spans="1:28" ht="14.25" thickBot="1" x14ac:dyDescent="0.2">
      <c r="A644" s="22" t="s">
        <v>11</v>
      </c>
      <c r="B644" s="41">
        <f>B617-B643</f>
        <v>13</v>
      </c>
      <c r="C644" s="49">
        <f>C617-C643</f>
        <v>25</v>
      </c>
      <c r="D644" s="42">
        <f t="shared" ref="D644:K644" si="438">D617-D643</f>
        <v>15</v>
      </c>
      <c r="E644" s="43">
        <f t="shared" si="438"/>
        <v>15</v>
      </c>
      <c r="F644" s="61">
        <f t="shared" si="438"/>
        <v>64</v>
      </c>
      <c r="G644" s="41">
        <f t="shared" si="438"/>
        <v>21</v>
      </c>
      <c r="H644" s="49">
        <f t="shared" si="438"/>
        <v>27</v>
      </c>
      <c r="I644" s="42">
        <f t="shared" si="438"/>
        <v>9</v>
      </c>
      <c r="J644" s="43">
        <f t="shared" si="438"/>
        <v>26</v>
      </c>
      <c r="K644" s="61">
        <f t="shared" si="438"/>
        <v>83</v>
      </c>
      <c r="L644" s="21">
        <f t="shared" si="422"/>
        <v>147</v>
      </c>
      <c r="N644" s="17" t="s">
        <v>11</v>
      </c>
      <c r="O644" s="41">
        <f>O617-O643</f>
        <v>12</v>
      </c>
      <c r="P644" s="49">
        <f t="shared" ref="P644:X644" si="439">P617-P643</f>
        <v>0</v>
      </c>
      <c r="Q644" s="42">
        <f t="shared" si="439"/>
        <v>9</v>
      </c>
      <c r="R644" s="43">
        <f t="shared" si="439"/>
        <v>164</v>
      </c>
      <c r="S644" s="61">
        <f t="shared" si="439"/>
        <v>185</v>
      </c>
      <c r="T644" s="41">
        <f t="shared" si="439"/>
        <v>646</v>
      </c>
      <c r="U644" s="49">
        <f t="shared" si="439"/>
        <v>783</v>
      </c>
      <c r="V644" s="42">
        <f t="shared" si="439"/>
        <v>457</v>
      </c>
      <c r="W644" s="43">
        <f t="shared" si="439"/>
        <v>364</v>
      </c>
      <c r="X644" s="61">
        <f t="shared" si="439"/>
        <v>2250</v>
      </c>
      <c r="Y644" s="21">
        <f t="shared" si="423"/>
        <v>2435</v>
      </c>
    </row>
    <row r="647" spans="1:28" ht="19.5" thickBot="1" x14ac:dyDescent="0.25">
      <c r="A647" s="2" t="s">
        <v>106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105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8" ht="14.25" thickBot="1" x14ac:dyDescent="0.2">
      <c r="A648" s="5" t="s">
        <v>0</v>
      </c>
      <c r="B648" s="342" t="s">
        <v>18</v>
      </c>
      <c r="C648" s="350"/>
      <c r="D648" s="350"/>
      <c r="E648" s="350"/>
      <c r="F648" s="351"/>
      <c r="G648" s="345" t="s">
        <v>12</v>
      </c>
      <c r="H648" s="352"/>
      <c r="I648" s="352"/>
      <c r="J648" s="352"/>
      <c r="K648" s="353"/>
      <c r="L648" s="354" t="s">
        <v>1</v>
      </c>
      <c r="N648" s="5" t="s">
        <v>0</v>
      </c>
      <c r="O648" s="342" t="s">
        <v>18</v>
      </c>
      <c r="P648" s="350"/>
      <c r="Q648" s="350"/>
      <c r="R648" s="350"/>
      <c r="S648" s="351"/>
      <c r="T648" s="345" t="s">
        <v>12</v>
      </c>
      <c r="U648" s="352"/>
      <c r="V648" s="352"/>
      <c r="W648" s="352"/>
      <c r="X648" s="353"/>
      <c r="Y648" s="354" t="s">
        <v>1</v>
      </c>
    </row>
    <row r="649" spans="1:28" ht="14.25" thickBot="1" x14ac:dyDescent="0.2">
      <c r="A649" s="5" t="s">
        <v>2</v>
      </c>
      <c r="B649" s="3" t="s">
        <v>13</v>
      </c>
      <c r="C649" s="44" t="s">
        <v>14</v>
      </c>
      <c r="D649" s="4" t="s">
        <v>15</v>
      </c>
      <c r="E649" s="23" t="s">
        <v>16</v>
      </c>
      <c r="F649" s="31" t="s">
        <v>3</v>
      </c>
      <c r="G649" s="3" t="s">
        <v>13</v>
      </c>
      <c r="H649" s="44" t="s">
        <v>14</v>
      </c>
      <c r="I649" s="4" t="s">
        <v>15</v>
      </c>
      <c r="J649" s="23" t="s">
        <v>16</v>
      </c>
      <c r="K649" s="31" t="s">
        <v>3</v>
      </c>
      <c r="L649" s="355"/>
      <c r="N649" s="5" t="s">
        <v>2</v>
      </c>
      <c r="O649" s="3" t="s">
        <v>13</v>
      </c>
      <c r="P649" s="44" t="s">
        <v>14</v>
      </c>
      <c r="Q649" s="4" t="s">
        <v>15</v>
      </c>
      <c r="R649" s="23" t="s">
        <v>16</v>
      </c>
      <c r="S649" s="31" t="s">
        <v>3</v>
      </c>
      <c r="T649" s="3" t="s">
        <v>13</v>
      </c>
      <c r="U649" s="44" t="s">
        <v>14</v>
      </c>
      <c r="V649" s="4" t="s">
        <v>15</v>
      </c>
      <c r="W649" s="23" t="s">
        <v>16</v>
      </c>
      <c r="X649" s="31" t="s">
        <v>3</v>
      </c>
      <c r="Y649" s="355"/>
    </row>
    <row r="650" spans="1:28" x14ac:dyDescent="0.15">
      <c r="A650" s="71" t="s">
        <v>17</v>
      </c>
      <c r="B650" s="72">
        <f>B644</f>
        <v>13</v>
      </c>
      <c r="C650" s="73">
        <f t="shared" ref="C650:L650" si="440">C644</f>
        <v>25</v>
      </c>
      <c r="D650" s="73">
        <f t="shared" si="440"/>
        <v>15</v>
      </c>
      <c r="E650" s="74">
        <f t="shared" si="440"/>
        <v>15</v>
      </c>
      <c r="F650" s="76">
        <f t="shared" si="440"/>
        <v>64</v>
      </c>
      <c r="G650" s="72">
        <f t="shared" si="440"/>
        <v>21</v>
      </c>
      <c r="H650" s="73">
        <f t="shared" si="440"/>
        <v>27</v>
      </c>
      <c r="I650" s="73">
        <f t="shared" si="440"/>
        <v>9</v>
      </c>
      <c r="J650" s="74">
        <f t="shared" si="440"/>
        <v>26</v>
      </c>
      <c r="K650" s="75">
        <f t="shared" si="440"/>
        <v>83</v>
      </c>
      <c r="L650" s="16">
        <f t="shared" si="440"/>
        <v>147</v>
      </c>
      <c r="N650" s="71" t="s">
        <v>17</v>
      </c>
      <c r="O650" s="72">
        <f>O644</f>
        <v>12</v>
      </c>
      <c r="P650" s="73">
        <f t="shared" ref="P650:Y650" si="441">P644</f>
        <v>0</v>
      </c>
      <c r="Q650" s="73">
        <f t="shared" si="441"/>
        <v>9</v>
      </c>
      <c r="R650" s="74">
        <f t="shared" si="441"/>
        <v>164</v>
      </c>
      <c r="S650" s="76">
        <f t="shared" si="441"/>
        <v>185</v>
      </c>
      <c r="T650" s="72">
        <f t="shared" si="441"/>
        <v>646</v>
      </c>
      <c r="U650" s="73">
        <f t="shared" si="441"/>
        <v>783</v>
      </c>
      <c r="V650" s="73">
        <f t="shared" si="441"/>
        <v>457</v>
      </c>
      <c r="W650" s="74">
        <f t="shared" si="441"/>
        <v>364</v>
      </c>
      <c r="X650" s="75">
        <f t="shared" si="441"/>
        <v>2250</v>
      </c>
      <c r="Y650" s="16">
        <f t="shared" si="441"/>
        <v>2435</v>
      </c>
    </row>
    <row r="651" spans="1:28" x14ac:dyDescent="0.15">
      <c r="A651" s="13" t="s">
        <v>49</v>
      </c>
      <c r="B651" s="6">
        <v>5</v>
      </c>
      <c r="C651" s="30">
        <v>7</v>
      </c>
      <c r="D651" s="7">
        <v>9</v>
      </c>
      <c r="E651" s="8">
        <v>2</v>
      </c>
      <c r="F651" s="9">
        <f>SUM(B651:E651)</f>
        <v>23</v>
      </c>
      <c r="G651" s="30">
        <v>4</v>
      </c>
      <c r="H651" s="30">
        <v>2</v>
      </c>
      <c r="I651" s="7">
        <v>3</v>
      </c>
      <c r="J651" s="8">
        <v>2</v>
      </c>
      <c r="K651" s="9">
        <f>SUM(G651:J651)</f>
        <v>11</v>
      </c>
      <c r="L651" s="11">
        <f t="shared" ref="L651:L682" si="442">F651+K651</f>
        <v>34</v>
      </c>
      <c r="M651" s="126">
        <v>45012</v>
      </c>
      <c r="N651" s="13" t="s">
        <v>565</v>
      </c>
      <c r="O651" s="26">
        <v>10</v>
      </c>
      <c r="P651" s="47">
        <v>13</v>
      </c>
      <c r="Q651" s="27">
        <v>17</v>
      </c>
      <c r="R651" s="34">
        <v>7</v>
      </c>
      <c r="S651" s="77">
        <f t="shared" ref="S651" si="443">SUM(O651:R651)</f>
        <v>47</v>
      </c>
      <c r="T651" s="26">
        <v>18</v>
      </c>
      <c r="U651" s="47">
        <v>21</v>
      </c>
      <c r="V651" s="27"/>
      <c r="W651" s="34">
        <v>22</v>
      </c>
      <c r="X651" s="9">
        <f t="shared" ref="X651" si="444">SUM(T651:W651)</f>
        <v>61</v>
      </c>
      <c r="Y651" s="11">
        <f t="shared" ref="Y651" si="445">S651+X651</f>
        <v>108</v>
      </c>
      <c r="Z651" s="99">
        <v>45017</v>
      </c>
    </row>
    <row r="652" spans="1:28" x14ac:dyDescent="0.15">
      <c r="A652" s="13" t="s">
        <v>6</v>
      </c>
      <c r="B652" s="6"/>
      <c r="C652" s="30"/>
      <c r="D652" s="7"/>
      <c r="E652" s="8"/>
      <c r="F652" s="9">
        <f>SUM(B652:E652)</f>
        <v>0</v>
      </c>
      <c r="G652" s="30"/>
      <c r="H652" s="30"/>
      <c r="I652" s="7"/>
      <c r="J652" s="8"/>
      <c r="K652" s="9">
        <f>SUM(G652:J652)</f>
        <v>0</v>
      </c>
      <c r="L652" s="11">
        <f t="shared" si="442"/>
        <v>0</v>
      </c>
      <c r="N652" s="13" t="s">
        <v>6</v>
      </c>
      <c r="O652" s="26"/>
      <c r="P652" s="47"/>
      <c r="Q652" s="27"/>
      <c r="R652" s="34"/>
      <c r="S652" s="77">
        <f>SUM(O652:R652)</f>
        <v>0</v>
      </c>
      <c r="T652" s="26"/>
      <c r="U652" s="47"/>
      <c r="V652" s="27"/>
      <c r="W652" s="34"/>
      <c r="X652" s="9">
        <f>SUM(T652:W652)</f>
        <v>0</v>
      </c>
      <c r="Y652" s="11">
        <f t="shared" ref="Y652" si="446">S652+X652</f>
        <v>0</v>
      </c>
      <c r="Z652" s="99"/>
      <c r="AA652" s="58"/>
      <c r="AB652" s="58"/>
    </row>
    <row r="653" spans="1:28" x14ac:dyDescent="0.15">
      <c r="A653" s="13" t="s">
        <v>7</v>
      </c>
      <c r="B653" s="6"/>
      <c r="C653" s="30"/>
      <c r="D653" s="7"/>
      <c r="E653" s="8"/>
      <c r="F653" s="9">
        <f>SUM(B653:E653)</f>
        <v>0</v>
      </c>
      <c r="G653" s="30"/>
      <c r="H653" s="30"/>
      <c r="I653" s="7"/>
      <c r="J653" s="8"/>
      <c r="K653" s="9">
        <f>SUM(G653:J653)</f>
        <v>0</v>
      </c>
      <c r="L653" s="11">
        <f t="shared" si="442"/>
        <v>0</v>
      </c>
      <c r="N653" s="13" t="s">
        <v>419</v>
      </c>
      <c r="O653" s="26">
        <f>800-60</f>
        <v>740</v>
      </c>
      <c r="P653" s="47">
        <f>1000-60</f>
        <v>940</v>
      </c>
      <c r="Q653" s="27">
        <f>500-60</f>
        <v>440</v>
      </c>
      <c r="R653" s="34">
        <f>200-60</f>
        <v>140</v>
      </c>
      <c r="S653" s="77">
        <f>SUM(O653:R653)</f>
        <v>2260</v>
      </c>
      <c r="T653" s="26"/>
      <c r="U653" s="47"/>
      <c r="V653" s="27"/>
      <c r="W653" s="34"/>
      <c r="X653" s="9">
        <f>SUM(T653:W653)</f>
        <v>0</v>
      </c>
      <c r="Y653" s="11">
        <f t="shared" ref="Y653" si="447">S653+X653</f>
        <v>2260</v>
      </c>
      <c r="Z653" s="99" t="s">
        <v>572</v>
      </c>
    </row>
    <row r="654" spans="1:28" ht="14.25" thickBot="1" x14ac:dyDescent="0.2">
      <c r="A654" s="13" t="s">
        <v>8</v>
      </c>
      <c r="B654" s="6"/>
      <c r="C654" s="30"/>
      <c r="D654" s="7"/>
      <c r="E654" s="8"/>
      <c r="F654" s="10">
        <f>SUM(B654:E654)</f>
        <v>0</v>
      </c>
      <c r="G654" s="30"/>
      <c r="H654" s="30"/>
      <c r="I654" s="7"/>
      <c r="J654" s="8"/>
      <c r="K654" s="10">
        <f>SUM(G654:J654)</f>
        <v>0</v>
      </c>
      <c r="L654" s="14">
        <f t="shared" si="442"/>
        <v>0</v>
      </c>
      <c r="N654" s="13" t="s">
        <v>8</v>
      </c>
      <c r="O654" s="62"/>
      <c r="P654" s="63"/>
      <c r="Q654" s="64"/>
      <c r="R654" s="65"/>
      <c r="S654" s="78">
        <f>SUM(O654:R654)</f>
        <v>0</v>
      </c>
      <c r="T654" s="47"/>
      <c r="U654" s="47"/>
      <c r="V654" s="27"/>
      <c r="W654" s="50"/>
      <c r="X654" s="10">
        <f>SUM(T654:W654)</f>
        <v>0</v>
      </c>
      <c r="Y654" s="14">
        <f t="shared" ref="Y654:Y682" si="448">S654+X654</f>
        <v>0</v>
      </c>
    </row>
    <row r="655" spans="1:28" ht="14.25" thickBot="1" x14ac:dyDescent="0.2">
      <c r="A655" s="22" t="s">
        <v>9</v>
      </c>
      <c r="B655" s="18">
        <f t="shared" ref="B655:K655" si="449">SUM(B650:B654)</f>
        <v>18</v>
      </c>
      <c r="C655" s="45">
        <f t="shared" si="449"/>
        <v>32</v>
      </c>
      <c r="D655" s="19">
        <f t="shared" si="449"/>
        <v>24</v>
      </c>
      <c r="E655" s="20">
        <f t="shared" si="449"/>
        <v>17</v>
      </c>
      <c r="F655" s="28">
        <f t="shared" si="449"/>
        <v>87</v>
      </c>
      <c r="G655" s="18">
        <f t="shared" si="449"/>
        <v>25</v>
      </c>
      <c r="H655" s="45">
        <f t="shared" si="449"/>
        <v>29</v>
      </c>
      <c r="I655" s="19">
        <f t="shared" si="449"/>
        <v>12</v>
      </c>
      <c r="J655" s="20">
        <f t="shared" si="449"/>
        <v>28</v>
      </c>
      <c r="K655" s="28">
        <f t="shared" si="449"/>
        <v>94</v>
      </c>
      <c r="L655" s="21">
        <f t="shared" si="442"/>
        <v>181</v>
      </c>
      <c r="N655" s="17" t="s">
        <v>9</v>
      </c>
      <c r="O655" s="41">
        <f>SUM(O650:O654)</f>
        <v>762</v>
      </c>
      <c r="P655" s="49">
        <f t="shared" ref="P655:V655" si="450">SUM(P650:P654)</f>
        <v>953</v>
      </c>
      <c r="Q655" s="42">
        <f t="shared" si="450"/>
        <v>466</v>
      </c>
      <c r="R655" s="92">
        <f t="shared" si="450"/>
        <v>311</v>
      </c>
      <c r="S655" s="93">
        <f t="shared" si="450"/>
        <v>2492</v>
      </c>
      <c r="T655" s="41">
        <f t="shared" si="450"/>
        <v>664</v>
      </c>
      <c r="U655" s="49">
        <f t="shared" si="450"/>
        <v>804</v>
      </c>
      <c r="V655" s="42">
        <f t="shared" si="450"/>
        <v>457</v>
      </c>
      <c r="W655" s="92">
        <f>SUM(W650:W654)</f>
        <v>386</v>
      </c>
      <c r="X655" s="93">
        <f t="shared" ref="X655" si="451">SUM(X650:X654)</f>
        <v>2311</v>
      </c>
      <c r="Y655" s="56">
        <f t="shared" si="448"/>
        <v>4803</v>
      </c>
    </row>
    <row r="656" spans="1:28" x14ac:dyDescent="0.15">
      <c r="A656" s="13" t="s">
        <v>41</v>
      </c>
      <c r="B656" s="24"/>
      <c r="C656" s="46">
        <v>2</v>
      </c>
      <c r="D656" s="25"/>
      <c r="E656" s="33">
        <v>1</v>
      </c>
      <c r="F656" s="35">
        <f>SUM(B656:E656)</f>
        <v>3</v>
      </c>
      <c r="G656" s="24"/>
      <c r="H656" s="46">
        <v>2</v>
      </c>
      <c r="I656" s="25"/>
      <c r="J656" s="33"/>
      <c r="K656" s="35">
        <f>SUM(G656:J656)</f>
        <v>2</v>
      </c>
      <c r="L656" s="11">
        <f t="shared" si="442"/>
        <v>5</v>
      </c>
      <c r="M656" s="126">
        <v>45005</v>
      </c>
      <c r="N656" s="15" t="s">
        <v>546</v>
      </c>
      <c r="O656" s="66">
        <v>64</v>
      </c>
      <c r="P656" s="67">
        <v>85</v>
      </c>
      <c r="Q656" s="68">
        <v>24</v>
      </c>
      <c r="R656" s="94">
        <v>7</v>
      </c>
      <c r="S656" s="91">
        <f>SUM(O656:R656)</f>
        <v>180</v>
      </c>
      <c r="T656" s="67">
        <v>2</v>
      </c>
      <c r="U656" s="67">
        <v>5</v>
      </c>
      <c r="V656" s="68">
        <v>3</v>
      </c>
      <c r="W656" s="94"/>
      <c r="X656" s="91">
        <f>SUM(T656:W656)</f>
        <v>10</v>
      </c>
      <c r="Y656" s="11">
        <f t="shared" si="448"/>
        <v>190</v>
      </c>
      <c r="Z656" s="99">
        <v>45002</v>
      </c>
    </row>
    <row r="657" spans="1:27" x14ac:dyDescent="0.15">
      <c r="A657" s="13" t="s">
        <v>41</v>
      </c>
      <c r="B657" s="26"/>
      <c r="C657" s="47"/>
      <c r="D657" s="27">
        <v>1</v>
      </c>
      <c r="E657" s="34">
        <v>1</v>
      </c>
      <c r="F657" s="35">
        <f>SUM(B657:E657)</f>
        <v>2</v>
      </c>
      <c r="G657" s="26"/>
      <c r="H657" s="47">
        <v>1</v>
      </c>
      <c r="I657" s="27">
        <v>1</v>
      </c>
      <c r="J657" s="34">
        <v>1</v>
      </c>
      <c r="K657" s="35">
        <f>SUM(G657:J657)</f>
        <v>3</v>
      </c>
      <c r="L657" s="11">
        <f t="shared" si="442"/>
        <v>5</v>
      </c>
      <c r="M657" s="126">
        <v>45007</v>
      </c>
      <c r="N657" s="57" t="s">
        <v>543</v>
      </c>
      <c r="O657" s="26">
        <v>7</v>
      </c>
      <c r="P657" s="47"/>
      <c r="Q657" s="27"/>
      <c r="R657" s="34"/>
      <c r="S657" s="35">
        <f t="shared" ref="S657:S658" si="452">SUM(O657:R657)</f>
        <v>7</v>
      </c>
      <c r="T657" s="26"/>
      <c r="U657" s="47"/>
      <c r="V657" s="27"/>
      <c r="W657" s="34"/>
      <c r="X657" s="35">
        <f t="shared" ref="X657:X658" si="453">SUM(T657:W657)</f>
        <v>0</v>
      </c>
      <c r="Y657" s="11">
        <f t="shared" si="448"/>
        <v>7</v>
      </c>
      <c r="Z657" s="99">
        <v>45002</v>
      </c>
      <c r="AA657" s="58"/>
    </row>
    <row r="658" spans="1:27" x14ac:dyDescent="0.15">
      <c r="A658" s="13" t="s">
        <v>41</v>
      </c>
      <c r="B658" s="26"/>
      <c r="C658" s="47"/>
      <c r="D658" s="27">
        <v>1</v>
      </c>
      <c r="E658" s="34"/>
      <c r="F658" s="35">
        <f t="shared" ref="F658:F680" si="454">SUM(B658:E658)</f>
        <v>1</v>
      </c>
      <c r="G658" s="26"/>
      <c r="H658" s="47"/>
      <c r="I658" s="27"/>
      <c r="J658" s="34"/>
      <c r="K658" s="35">
        <f t="shared" ref="K658:K680" si="455">SUM(G658:J658)</f>
        <v>0</v>
      </c>
      <c r="L658" s="11">
        <f t="shared" si="442"/>
        <v>1</v>
      </c>
      <c r="M658" s="126">
        <v>45008</v>
      </c>
      <c r="N658" s="90" t="s">
        <v>553</v>
      </c>
      <c r="O658" s="26"/>
      <c r="P658" s="47"/>
      <c r="Q658" s="27"/>
      <c r="R658" s="34"/>
      <c r="S658" s="35">
        <f t="shared" si="452"/>
        <v>0</v>
      </c>
      <c r="T658" s="26">
        <v>5</v>
      </c>
      <c r="U658" s="47"/>
      <c r="V658" s="27"/>
      <c r="W658" s="34"/>
      <c r="X658" s="35">
        <f t="shared" si="453"/>
        <v>5</v>
      </c>
      <c r="Y658" s="11">
        <f t="shared" si="448"/>
        <v>5</v>
      </c>
      <c r="Z658" s="99">
        <v>45008</v>
      </c>
    </row>
    <row r="659" spans="1:27" x14ac:dyDescent="0.15">
      <c r="A659" s="13" t="s">
        <v>41</v>
      </c>
      <c r="B659" s="66"/>
      <c r="C659" s="67"/>
      <c r="D659" s="68"/>
      <c r="E659" s="69">
        <v>1</v>
      </c>
      <c r="F659" s="70">
        <f t="shared" si="454"/>
        <v>1</v>
      </c>
      <c r="G659" s="66">
        <v>2</v>
      </c>
      <c r="H659" s="67"/>
      <c r="I659" s="68"/>
      <c r="J659" s="69"/>
      <c r="K659" s="70">
        <f t="shared" si="455"/>
        <v>2</v>
      </c>
      <c r="L659" s="11">
        <f t="shared" si="442"/>
        <v>3</v>
      </c>
      <c r="M659" s="126">
        <v>45012</v>
      </c>
      <c r="N659" s="12" t="s">
        <v>547</v>
      </c>
      <c r="O659" s="66">
        <v>15</v>
      </c>
      <c r="P659" s="67"/>
      <c r="Q659" s="68"/>
      <c r="R659" s="94"/>
      <c r="S659" s="91">
        <f>SUM(O659:R659)</f>
        <v>15</v>
      </c>
      <c r="T659" s="67">
        <v>5</v>
      </c>
      <c r="U659" s="67"/>
      <c r="V659" s="68"/>
      <c r="W659" s="94"/>
      <c r="X659" s="91">
        <f>SUM(T659:W659)</f>
        <v>5</v>
      </c>
      <c r="Y659" s="11">
        <f t="shared" si="448"/>
        <v>20</v>
      </c>
      <c r="Z659" s="99">
        <v>45002</v>
      </c>
    </row>
    <row r="660" spans="1:27" x14ac:dyDescent="0.15">
      <c r="A660" s="15" t="s">
        <v>562</v>
      </c>
      <c r="B660" s="26">
        <v>3</v>
      </c>
      <c r="C660" s="47">
        <v>5</v>
      </c>
      <c r="D660" s="27"/>
      <c r="E660" s="34">
        <v>2</v>
      </c>
      <c r="F660" s="35">
        <f t="shared" si="454"/>
        <v>10</v>
      </c>
      <c r="G660" s="26"/>
      <c r="H660" s="47"/>
      <c r="I660" s="27">
        <v>1</v>
      </c>
      <c r="J660" s="34"/>
      <c r="K660" s="35">
        <f t="shared" si="455"/>
        <v>1</v>
      </c>
      <c r="L660" s="11">
        <f t="shared" si="442"/>
        <v>11</v>
      </c>
      <c r="M660" s="99">
        <v>45015</v>
      </c>
      <c r="N660" s="15" t="s">
        <v>548</v>
      </c>
      <c r="O660" s="26">
        <v>16</v>
      </c>
      <c r="P660" s="47">
        <v>9</v>
      </c>
      <c r="Q660" s="27">
        <v>5</v>
      </c>
      <c r="R660" s="34">
        <v>3</v>
      </c>
      <c r="S660" s="35">
        <f t="shared" ref="S660:S662" si="456">SUM(O660:R660)</f>
        <v>33</v>
      </c>
      <c r="T660" s="26"/>
      <c r="U660" s="47">
        <v>7</v>
      </c>
      <c r="V660" s="27">
        <v>1</v>
      </c>
      <c r="W660" s="34"/>
      <c r="X660" s="35">
        <f t="shared" ref="X660:X662" si="457">SUM(T660:W660)</f>
        <v>8</v>
      </c>
      <c r="Y660" s="11">
        <f t="shared" si="448"/>
        <v>41</v>
      </c>
      <c r="Z660" s="99">
        <v>45005</v>
      </c>
    </row>
    <row r="661" spans="1:27" x14ac:dyDescent="0.15">
      <c r="A661" s="12" t="s">
        <v>563</v>
      </c>
      <c r="B661" s="26"/>
      <c r="C661" s="47">
        <v>7</v>
      </c>
      <c r="D661" s="27"/>
      <c r="E661" s="34"/>
      <c r="F661" s="35">
        <f t="shared" si="454"/>
        <v>7</v>
      </c>
      <c r="G661" s="26"/>
      <c r="H661" s="47"/>
      <c r="I661" s="27"/>
      <c r="J661" s="34"/>
      <c r="K661" s="35">
        <f t="shared" si="455"/>
        <v>0</v>
      </c>
      <c r="L661" s="11">
        <f t="shared" si="442"/>
        <v>7</v>
      </c>
      <c r="M661" s="99">
        <v>45017</v>
      </c>
      <c r="N661" s="15" t="s">
        <v>550</v>
      </c>
      <c r="O661" s="26">
        <v>8</v>
      </c>
      <c r="P661" s="47">
        <v>14</v>
      </c>
      <c r="Q661" s="27">
        <v>5</v>
      </c>
      <c r="R661" s="34">
        <v>3</v>
      </c>
      <c r="S661" s="35">
        <f t="shared" si="456"/>
        <v>30</v>
      </c>
      <c r="T661" s="26">
        <v>9</v>
      </c>
      <c r="U661" s="47">
        <v>2</v>
      </c>
      <c r="V661" s="27">
        <v>6</v>
      </c>
      <c r="W661" s="34">
        <v>1</v>
      </c>
      <c r="X661" s="35">
        <f t="shared" si="457"/>
        <v>18</v>
      </c>
      <c r="Y661" s="11">
        <f t="shared" si="448"/>
        <v>48</v>
      </c>
      <c r="Z661" s="99">
        <v>45007</v>
      </c>
    </row>
    <row r="662" spans="1:27" x14ac:dyDescent="0.15">
      <c r="A662" s="13" t="s">
        <v>41</v>
      </c>
      <c r="B662" s="26"/>
      <c r="C662" s="47"/>
      <c r="D662" s="27"/>
      <c r="E662" s="34"/>
      <c r="F662" s="35">
        <f t="shared" si="454"/>
        <v>0</v>
      </c>
      <c r="G662" s="26"/>
      <c r="H662" s="47"/>
      <c r="I662" s="27">
        <v>2</v>
      </c>
      <c r="J662" s="34"/>
      <c r="K662" s="35">
        <f t="shared" si="455"/>
        <v>2</v>
      </c>
      <c r="L662" s="11">
        <f t="shared" si="442"/>
        <v>2</v>
      </c>
      <c r="M662" s="126">
        <v>45014</v>
      </c>
      <c r="N662" s="15" t="s">
        <v>552</v>
      </c>
      <c r="O662" s="26"/>
      <c r="P662" s="47">
        <v>10</v>
      </c>
      <c r="Q662" s="27"/>
      <c r="R662" s="34">
        <v>5</v>
      </c>
      <c r="S662" s="35">
        <f t="shared" si="456"/>
        <v>15</v>
      </c>
      <c r="T662" s="26">
        <v>2</v>
      </c>
      <c r="U662" s="47">
        <v>3</v>
      </c>
      <c r="V662" s="27"/>
      <c r="W662" s="34"/>
      <c r="X662" s="35">
        <f t="shared" si="457"/>
        <v>5</v>
      </c>
      <c r="Y662" s="11">
        <f t="shared" si="448"/>
        <v>20</v>
      </c>
      <c r="Z662" s="99">
        <v>45008</v>
      </c>
    </row>
    <row r="663" spans="1:27" x14ac:dyDescent="0.15">
      <c r="A663" s="32" t="s">
        <v>564</v>
      </c>
      <c r="B663" s="26">
        <v>10</v>
      </c>
      <c r="C663" s="47">
        <v>13</v>
      </c>
      <c r="D663" s="27">
        <v>17</v>
      </c>
      <c r="E663" s="34">
        <v>7</v>
      </c>
      <c r="F663" s="35">
        <f t="shared" si="454"/>
        <v>47</v>
      </c>
      <c r="G663" s="26">
        <v>18</v>
      </c>
      <c r="H663" s="47">
        <v>21</v>
      </c>
      <c r="I663" s="27"/>
      <c r="J663" s="34">
        <v>22</v>
      </c>
      <c r="K663" s="35">
        <f t="shared" si="455"/>
        <v>61</v>
      </c>
      <c r="L663" s="11">
        <f t="shared" si="442"/>
        <v>108</v>
      </c>
      <c r="M663" s="126">
        <v>45017</v>
      </c>
      <c r="N663" s="15" t="s">
        <v>554</v>
      </c>
      <c r="O663" s="26">
        <v>5</v>
      </c>
      <c r="P663" s="47">
        <v>12</v>
      </c>
      <c r="Q663" s="27">
        <v>10</v>
      </c>
      <c r="R663" s="50">
        <v>4</v>
      </c>
      <c r="S663" s="9">
        <f>SUM(O663:R663)</f>
        <v>31</v>
      </c>
      <c r="T663" s="47">
        <v>7</v>
      </c>
      <c r="U663" s="47">
        <v>1</v>
      </c>
      <c r="V663" s="27">
        <v>4</v>
      </c>
      <c r="W663" s="50"/>
      <c r="X663" s="9">
        <f>SUM(T663:W663)</f>
        <v>12</v>
      </c>
      <c r="Y663" s="11">
        <f t="shared" si="448"/>
        <v>43</v>
      </c>
      <c r="Z663" s="99">
        <v>45009</v>
      </c>
    </row>
    <row r="664" spans="1:27" x14ac:dyDescent="0.15">
      <c r="A664" s="13"/>
      <c r="B664" s="26"/>
      <c r="C664" s="47"/>
      <c r="D664" s="27"/>
      <c r="E664" s="34"/>
      <c r="F664" s="35">
        <f t="shared" si="454"/>
        <v>0</v>
      </c>
      <c r="G664" s="26"/>
      <c r="H664" s="47"/>
      <c r="I664" s="27"/>
      <c r="J664" s="34"/>
      <c r="K664" s="35">
        <f t="shared" si="455"/>
        <v>0</v>
      </c>
      <c r="L664" s="11">
        <f t="shared" si="442"/>
        <v>0</v>
      </c>
      <c r="N664" s="12" t="s">
        <v>555</v>
      </c>
      <c r="O664" s="26"/>
      <c r="P664" s="47"/>
      <c r="Q664" s="27"/>
      <c r="R664" s="34">
        <v>10</v>
      </c>
      <c r="S664" s="35">
        <f t="shared" ref="S664:S681" si="458">SUM(O664:R664)</f>
        <v>10</v>
      </c>
      <c r="T664" s="26"/>
      <c r="U664" s="47"/>
      <c r="V664" s="27"/>
      <c r="W664" s="34">
        <v>10</v>
      </c>
      <c r="X664" s="35">
        <f t="shared" ref="X664:X681" si="459">SUM(T664:W664)</f>
        <v>10</v>
      </c>
      <c r="Y664" s="11">
        <f t="shared" si="448"/>
        <v>20</v>
      </c>
      <c r="Z664" s="99">
        <v>45009</v>
      </c>
    </row>
    <row r="665" spans="1:27" x14ac:dyDescent="0.15">
      <c r="A665" s="32"/>
      <c r="B665" s="26"/>
      <c r="C665" s="47"/>
      <c r="D665" s="27"/>
      <c r="E665" s="34"/>
      <c r="F665" s="35">
        <f t="shared" si="454"/>
        <v>0</v>
      </c>
      <c r="G665" s="26"/>
      <c r="H665" s="47"/>
      <c r="I665" s="27"/>
      <c r="J665" s="34"/>
      <c r="K665" s="35">
        <f t="shared" si="455"/>
        <v>0</v>
      </c>
      <c r="L665" s="11">
        <f t="shared" si="442"/>
        <v>0</v>
      </c>
      <c r="N665" s="15" t="s">
        <v>556</v>
      </c>
      <c r="O665" s="26">
        <v>5</v>
      </c>
      <c r="P665" s="47">
        <v>2</v>
      </c>
      <c r="Q665" s="27">
        <v>4</v>
      </c>
      <c r="R665" s="34">
        <v>1</v>
      </c>
      <c r="S665" s="35">
        <f t="shared" si="458"/>
        <v>12</v>
      </c>
      <c r="T665" s="26"/>
      <c r="U665" s="47">
        <v>1</v>
      </c>
      <c r="V665" s="27"/>
      <c r="W665" s="34"/>
      <c r="X665" s="35">
        <f t="shared" si="459"/>
        <v>1</v>
      </c>
      <c r="Y665" s="11">
        <f t="shared" si="448"/>
        <v>13</v>
      </c>
      <c r="Z665" s="99">
        <v>45012</v>
      </c>
    </row>
    <row r="666" spans="1:27" x14ac:dyDescent="0.15">
      <c r="A666" s="15"/>
      <c r="B666" s="26"/>
      <c r="C666" s="47"/>
      <c r="D666" s="27"/>
      <c r="E666" s="34"/>
      <c r="F666" s="35">
        <f t="shared" si="454"/>
        <v>0</v>
      </c>
      <c r="G666" s="26"/>
      <c r="H666" s="47"/>
      <c r="I666" s="27"/>
      <c r="J666" s="34"/>
      <c r="K666" s="35">
        <f t="shared" si="455"/>
        <v>0</v>
      </c>
      <c r="L666" s="11">
        <f t="shared" si="442"/>
        <v>0</v>
      </c>
      <c r="N666" s="15" t="s">
        <v>557</v>
      </c>
      <c r="O666" s="26">
        <v>4</v>
      </c>
      <c r="P666" s="47">
        <v>11</v>
      </c>
      <c r="Q666" s="27">
        <v>4</v>
      </c>
      <c r="R666" s="34">
        <v>9</v>
      </c>
      <c r="S666" s="35">
        <f t="shared" si="458"/>
        <v>28</v>
      </c>
      <c r="T666" s="26">
        <v>6</v>
      </c>
      <c r="U666" s="47">
        <v>4</v>
      </c>
      <c r="V666" s="27">
        <v>5</v>
      </c>
      <c r="W666" s="34">
        <v>1</v>
      </c>
      <c r="X666" s="35">
        <f t="shared" si="459"/>
        <v>16</v>
      </c>
      <c r="Y666" s="11">
        <f t="shared" si="448"/>
        <v>44</v>
      </c>
      <c r="Z666" s="99">
        <v>45013</v>
      </c>
    </row>
    <row r="667" spans="1:27" x14ac:dyDescent="0.15">
      <c r="A667" s="13"/>
      <c r="B667" s="26"/>
      <c r="C667" s="47"/>
      <c r="D667" s="27"/>
      <c r="E667" s="34"/>
      <c r="F667" s="35">
        <f t="shared" si="454"/>
        <v>0</v>
      </c>
      <c r="G667" s="26"/>
      <c r="H667" s="47"/>
      <c r="I667" s="27"/>
      <c r="J667" s="34"/>
      <c r="K667" s="35">
        <f t="shared" si="455"/>
        <v>0</v>
      </c>
      <c r="L667" s="11">
        <f t="shared" si="442"/>
        <v>0</v>
      </c>
      <c r="N667" s="57" t="s">
        <v>558</v>
      </c>
      <c r="O667" s="26"/>
      <c r="P667" s="47"/>
      <c r="Q667" s="27"/>
      <c r="R667" s="34"/>
      <c r="S667" s="35">
        <f t="shared" si="458"/>
        <v>0</v>
      </c>
      <c r="T667" s="26"/>
      <c r="U667" s="47"/>
      <c r="V667" s="27">
        <v>3</v>
      </c>
      <c r="W667" s="34"/>
      <c r="X667" s="35">
        <f t="shared" si="459"/>
        <v>3</v>
      </c>
      <c r="Y667" s="11">
        <f t="shared" si="448"/>
        <v>3</v>
      </c>
      <c r="Z667" s="99">
        <v>45016</v>
      </c>
    </row>
    <row r="668" spans="1:27" x14ac:dyDescent="0.15">
      <c r="A668" s="15"/>
      <c r="B668" s="26"/>
      <c r="C668" s="47"/>
      <c r="D668" s="27"/>
      <c r="E668" s="34"/>
      <c r="F668" s="35">
        <f t="shared" si="454"/>
        <v>0</v>
      </c>
      <c r="G668" s="26"/>
      <c r="H668" s="47"/>
      <c r="I668" s="27"/>
      <c r="J668" s="34"/>
      <c r="K668" s="35">
        <f t="shared" si="455"/>
        <v>0</v>
      </c>
      <c r="L668" s="11">
        <f t="shared" si="442"/>
        <v>0</v>
      </c>
      <c r="N668" s="15" t="s">
        <v>559</v>
      </c>
      <c r="O668" s="26">
        <v>16</v>
      </c>
      <c r="P668" s="47">
        <v>10</v>
      </c>
      <c r="Q668" s="27"/>
      <c r="R668" s="34">
        <v>1</v>
      </c>
      <c r="S668" s="35">
        <f t="shared" si="458"/>
        <v>27</v>
      </c>
      <c r="T668" s="26">
        <v>3</v>
      </c>
      <c r="U668" s="47">
        <v>5</v>
      </c>
      <c r="V668" s="27"/>
      <c r="W668" s="34"/>
      <c r="X668" s="35">
        <f t="shared" si="459"/>
        <v>8</v>
      </c>
      <c r="Y668" s="11">
        <f t="shared" si="448"/>
        <v>35</v>
      </c>
      <c r="Z668" s="99">
        <v>45014</v>
      </c>
    </row>
    <row r="669" spans="1:27" x14ac:dyDescent="0.15">
      <c r="A669" s="13"/>
      <c r="B669" s="26"/>
      <c r="C669" s="47"/>
      <c r="D669" s="27"/>
      <c r="E669" s="34"/>
      <c r="F669" s="35">
        <f t="shared" si="454"/>
        <v>0</v>
      </c>
      <c r="G669" s="26"/>
      <c r="H669" s="47"/>
      <c r="I669" s="27"/>
      <c r="J669" s="34"/>
      <c r="K669" s="35">
        <f t="shared" si="455"/>
        <v>0</v>
      </c>
      <c r="L669" s="11">
        <f t="shared" si="442"/>
        <v>0</v>
      </c>
      <c r="N669" s="15" t="s">
        <v>566</v>
      </c>
      <c r="O669" s="26">
        <v>2</v>
      </c>
      <c r="P669" s="47">
        <v>12</v>
      </c>
      <c r="Q669" s="27">
        <v>2</v>
      </c>
      <c r="R669" s="34">
        <v>4</v>
      </c>
      <c r="S669" s="35">
        <f t="shared" si="458"/>
        <v>20</v>
      </c>
      <c r="T669" s="26">
        <v>1</v>
      </c>
      <c r="U669" s="47"/>
      <c r="V669" s="27"/>
      <c r="W669" s="34">
        <v>1</v>
      </c>
      <c r="X669" s="35">
        <f t="shared" si="459"/>
        <v>2</v>
      </c>
      <c r="Y669" s="11">
        <f t="shared" si="448"/>
        <v>22</v>
      </c>
      <c r="Z669" s="99">
        <v>45016</v>
      </c>
    </row>
    <row r="670" spans="1:27" x14ac:dyDescent="0.15">
      <c r="A670" s="15"/>
      <c r="B670" s="26"/>
      <c r="C670" s="47"/>
      <c r="D670" s="27"/>
      <c r="E670" s="34"/>
      <c r="F670" s="35">
        <f t="shared" si="454"/>
        <v>0</v>
      </c>
      <c r="G670" s="26"/>
      <c r="H670" s="47"/>
      <c r="I670" s="27"/>
      <c r="J670" s="34"/>
      <c r="K670" s="35">
        <f t="shared" si="455"/>
        <v>0</v>
      </c>
      <c r="L670" s="11">
        <f t="shared" si="442"/>
        <v>0</v>
      </c>
      <c r="N670" s="12" t="s">
        <v>567</v>
      </c>
      <c r="O670" s="26">
        <v>5</v>
      </c>
      <c r="P670" s="47">
        <v>20</v>
      </c>
      <c r="Q670" s="27">
        <v>7</v>
      </c>
      <c r="R670" s="34"/>
      <c r="S670" s="35">
        <f t="shared" si="458"/>
        <v>32</v>
      </c>
      <c r="T670" s="26"/>
      <c r="U670" s="47">
        <v>5</v>
      </c>
      <c r="V670" s="27"/>
      <c r="W670" s="34"/>
      <c r="X670" s="35">
        <f t="shared" si="459"/>
        <v>5</v>
      </c>
      <c r="Y670" s="108">
        <f t="shared" si="448"/>
        <v>37</v>
      </c>
      <c r="Z670" s="99">
        <v>45017</v>
      </c>
    </row>
    <row r="671" spans="1:27" x14ac:dyDescent="0.15">
      <c r="A671" s="13"/>
      <c r="B671" s="26"/>
      <c r="C671" s="47"/>
      <c r="D671" s="27"/>
      <c r="E671" s="34"/>
      <c r="F671" s="35">
        <f t="shared" si="454"/>
        <v>0</v>
      </c>
      <c r="G671" s="26"/>
      <c r="H671" s="47"/>
      <c r="I671" s="27"/>
      <c r="J671" s="34"/>
      <c r="K671" s="35">
        <f t="shared" si="455"/>
        <v>0</v>
      </c>
      <c r="L671" s="11">
        <f t="shared" si="442"/>
        <v>0</v>
      </c>
      <c r="N671" s="12"/>
      <c r="O671" s="26"/>
      <c r="P671" s="47"/>
      <c r="Q671" s="27"/>
      <c r="R671" s="34"/>
      <c r="S671" s="35">
        <f t="shared" ref="S671:S674" si="460">SUM(O671:R671)</f>
        <v>0</v>
      </c>
      <c r="T671" s="26"/>
      <c r="U671" s="47"/>
      <c r="V671" s="27"/>
      <c r="W671" s="34"/>
      <c r="X671" s="35">
        <f t="shared" ref="X671:X674" si="461">SUM(T671:W671)</f>
        <v>0</v>
      </c>
      <c r="Y671" s="108">
        <f t="shared" ref="Y671:Y674" si="462">S671+X671</f>
        <v>0</v>
      </c>
      <c r="Z671" s="101"/>
    </row>
    <row r="672" spans="1:27" x14ac:dyDescent="0.15">
      <c r="A672" s="15"/>
      <c r="B672" s="26"/>
      <c r="C672" s="47"/>
      <c r="D672" s="27"/>
      <c r="E672" s="34"/>
      <c r="F672" s="35">
        <f t="shared" si="454"/>
        <v>0</v>
      </c>
      <c r="G672" s="26"/>
      <c r="H672" s="47"/>
      <c r="I672" s="27"/>
      <c r="J672" s="34"/>
      <c r="K672" s="35">
        <f t="shared" si="455"/>
        <v>0</v>
      </c>
      <c r="L672" s="11">
        <f t="shared" si="442"/>
        <v>0</v>
      </c>
      <c r="N672" s="12"/>
      <c r="O672" s="26"/>
      <c r="P672" s="47"/>
      <c r="Q672" s="27"/>
      <c r="R672" s="34"/>
      <c r="S672" s="35">
        <f t="shared" si="460"/>
        <v>0</v>
      </c>
      <c r="T672" s="26"/>
      <c r="U672" s="47"/>
      <c r="V672" s="27"/>
      <c r="W672" s="34"/>
      <c r="X672" s="35">
        <f t="shared" si="461"/>
        <v>0</v>
      </c>
      <c r="Y672" s="108">
        <f t="shared" si="462"/>
        <v>0</v>
      </c>
      <c r="Z672" s="101"/>
    </row>
    <row r="673" spans="1:26" x14ac:dyDescent="0.15">
      <c r="A673" s="15"/>
      <c r="B673" s="26"/>
      <c r="C673" s="47"/>
      <c r="D673" s="27"/>
      <c r="E673" s="34"/>
      <c r="F673" s="35">
        <f t="shared" si="454"/>
        <v>0</v>
      </c>
      <c r="G673" s="26"/>
      <c r="H673" s="47"/>
      <c r="I673" s="27"/>
      <c r="J673" s="34"/>
      <c r="K673" s="35">
        <f t="shared" si="455"/>
        <v>0</v>
      </c>
      <c r="L673" s="11">
        <f t="shared" si="442"/>
        <v>0</v>
      </c>
      <c r="N673" s="173" t="s">
        <v>506</v>
      </c>
      <c r="O673" s="174"/>
      <c r="P673" s="175"/>
      <c r="Q673" s="176"/>
      <c r="R673" s="177"/>
      <c r="S673" s="178">
        <f t="shared" si="460"/>
        <v>0</v>
      </c>
      <c r="T673" s="174"/>
      <c r="U673" s="175"/>
      <c r="V673" s="176"/>
      <c r="W673" s="177"/>
      <c r="X673" s="178">
        <f t="shared" si="461"/>
        <v>0</v>
      </c>
      <c r="Y673" s="179">
        <f t="shared" si="462"/>
        <v>0</v>
      </c>
      <c r="Z673" s="160"/>
    </row>
    <row r="674" spans="1:26" x14ac:dyDescent="0.15">
      <c r="A674" s="13"/>
      <c r="B674" s="26"/>
      <c r="C674" s="47"/>
      <c r="D674" s="27"/>
      <c r="E674" s="34"/>
      <c r="F674" s="35">
        <f t="shared" si="454"/>
        <v>0</v>
      </c>
      <c r="G674" s="26"/>
      <c r="H674" s="47"/>
      <c r="I674" s="27"/>
      <c r="J674" s="34"/>
      <c r="K674" s="35">
        <f t="shared" si="455"/>
        <v>0</v>
      </c>
      <c r="L674" s="11">
        <f t="shared" si="442"/>
        <v>0</v>
      </c>
      <c r="N674" s="12" t="s">
        <v>307</v>
      </c>
      <c r="O674" s="26"/>
      <c r="P674" s="47"/>
      <c r="Q674" s="27"/>
      <c r="R674" s="34"/>
      <c r="S674" s="35">
        <f t="shared" si="460"/>
        <v>0</v>
      </c>
      <c r="T674" s="26"/>
      <c r="U674" s="47"/>
      <c r="V674" s="27"/>
      <c r="W674" s="34"/>
      <c r="X674" s="35">
        <f t="shared" si="461"/>
        <v>0</v>
      </c>
      <c r="Y674" s="108">
        <f t="shared" si="462"/>
        <v>0</v>
      </c>
      <c r="Z674" s="101" t="s">
        <v>324</v>
      </c>
    </row>
    <row r="675" spans="1:26" x14ac:dyDescent="0.15">
      <c r="A675" s="32"/>
      <c r="B675" s="26"/>
      <c r="C675" s="47"/>
      <c r="D675" s="27"/>
      <c r="E675" s="34"/>
      <c r="F675" s="35">
        <f t="shared" si="454"/>
        <v>0</v>
      </c>
      <c r="G675" s="26"/>
      <c r="H675" s="47"/>
      <c r="I675" s="27"/>
      <c r="J675" s="34"/>
      <c r="K675" s="35">
        <f t="shared" si="455"/>
        <v>0</v>
      </c>
      <c r="L675" s="11">
        <f t="shared" si="442"/>
        <v>0</v>
      </c>
      <c r="N675" s="57" t="s">
        <v>502</v>
      </c>
      <c r="O675" s="66"/>
      <c r="P675" s="67"/>
      <c r="Q675" s="68"/>
      <c r="R675" s="69"/>
      <c r="S675" s="70">
        <f t="shared" ref="S675:S679" si="463">SUM(O675:R675)</f>
        <v>0</v>
      </c>
      <c r="T675" s="66"/>
      <c r="U675" s="67"/>
      <c r="V675" s="68"/>
      <c r="W675" s="69"/>
      <c r="X675" s="70">
        <f t="shared" ref="X675:X679" si="464">SUM(T675:W675)</f>
        <v>0</v>
      </c>
      <c r="Y675" s="11">
        <f t="shared" ref="Y675:Y679" si="465">S675+X675</f>
        <v>0</v>
      </c>
      <c r="Z675" s="101" t="s">
        <v>501</v>
      </c>
    </row>
    <row r="676" spans="1:26" x14ac:dyDescent="0.15">
      <c r="A676" s="32"/>
      <c r="B676" s="26"/>
      <c r="C676" s="47"/>
      <c r="D676" s="27"/>
      <c r="E676" s="34"/>
      <c r="F676" s="35">
        <f t="shared" si="454"/>
        <v>0</v>
      </c>
      <c r="G676" s="26"/>
      <c r="H676" s="47"/>
      <c r="I676" s="27"/>
      <c r="J676" s="34"/>
      <c r="K676" s="35">
        <f t="shared" si="455"/>
        <v>0</v>
      </c>
      <c r="L676" s="11">
        <f t="shared" si="442"/>
        <v>0</v>
      </c>
      <c r="N676" s="12" t="s">
        <v>494</v>
      </c>
      <c r="O676" s="26"/>
      <c r="P676" s="47"/>
      <c r="Q676" s="27"/>
      <c r="R676" s="34"/>
      <c r="S676" s="35">
        <f t="shared" si="463"/>
        <v>0</v>
      </c>
      <c r="T676" s="26"/>
      <c r="U676" s="47"/>
      <c r="V676" s="27"/>
      <c r="W676" s="34"/>
      <c r="X676" s="35">
        <f t="shared" si="464"/>
        <v>0</v>
      </c>
      <c r="Y676" s="108">
        <f t="shared" si="465"/>
        <v>0</v>
      </c>
      <c r="Z676" s="101" t="s">
        <v>495</v>
      </c>
    </row>
    <row r="677" spans="1:26" x14ac:dyDescent="0.15">
      <c r="A677" s="12"/>
      <c r="B677" s="26"/>
      <c r="C677" s="47"/>
      <c r="D677" s="27"/>
      <c r="E677" s="34"/>
      <c r="F677" s="35">
        <f t="shared" si="454"/>
        <v>0</v>
      </c>
      <c r="G677" s="26"/>
      <c r="H677" s="47"/>
      <c r="I677" s="27"/>
      <c r="J677" s="34"/>
      <c r="K677" s="35">
        <f t="shared" si="455"/>
        <v>0</v>
      </c>
      <c r="L677" s="11">
        <f t="shared" si="442"/>
        <v>0</v>
      </c>
      <c r="N677" s="12" t="s">
        <v>84</v>
      </c>
      <c r="O677" s="26"/>
      <c r="P677" s="47"/>
      <c r="Q677" s="27"/>
      <c r="R677" s="34"/>
      <c r="S677" s="35">
        <f t="shared" si="463"/>
        <v>0</v>
      </c>
      <c r="T677" s="26"/>
      <c r="U677" s="47"/>
      <c r="V677" s="27"/>
      <c r="W677" s="34"/>
      <c r="X677" s="35">
        <f t="shared" si="464"/>
        <v>0</v>
      </c>
      <c r="Y677" s="108">
        <f t="shared" si="465"/>
        <v>0</v>
      </c>
      <c r="Z677" s="101" t="s">
        <v>85</v>
      </c>
    </row>
    <row r="678" spans="1:26" x14ac:dyDescent="0.15">
      <c r="A678" s="79"/>
      <c r="B678" s="26"/>
      <c r="C678" s="47"/>
      <c r="D678" s="27"/>
      <c r="E678" s="34"/>
      <c r="F678" s="35">
        <f t="shared" si="454"/>
        <v>0</v>
      </c>
      <c r="G678" s="26"/>
      <c r="H678" s="47"/>
      <c r="I678" s="27"/>
      <c r="J678" s="34"/>
      <c r="K678" s="35">
        <f t="shared" si="455"/>
        <v>0</v>
      </c>
      <c r="L678" s="11">
        <f t="shared" si="442"/>
        <v>0</v>
      </c>
      <c r="N678" s="173" t="s">
        <v>478</v>
      </c>
      <c r="O678" s="174"/>
      <c r="P678" s="175"/>
      <c r="Q678" s="176"/>
      <c r="R678" s="177"/>
      <c r="S678" s="178">
        <f t="shared" si="463"/>
        <v>0</v>
      </c>
      <c r="T678" s="174"/>
      <c r="U678" s="175"/>
      <c r="V678" s="176"/>
      <c r="W678" s="177"/>
      <c r="X678" s="178">
        <f t="shared" si="464"/>
        <v>0</v>
      </c>
      <c r="Y678" s="179">
        <f t="shared" si="465"/>
        <v>0</v>
      </c>
      <c r="Z678" s="160"/>
    </row>
    <row r="679" spans="1:26" x14ac:dyDescent="0.15">
      <c r="A679" s="57"/>
      <c r="B679" s="26"/>
      <c r="C679" s="47"/>
      <c r="D679" s="27"/>
      <c r="E679" s="34"/>
      <c r="F679" s="35">
        <f t="shared" si="454"/>
        <v>0</v>
      </c>
      <c r="G679" s="26"/>
      <c r="H679" s="47"/>
      <c r="I679" s="27"/>
      <c r="J679" s="34"/>
      <c r="K679" s="35">
        <f t="shared" si="455"/>
        <v>0</v>
      </c>
      <c r="L679" s="11">
        <f t="shared" si="442"/>
        <v>0</v>
      </c>
      <c r="N679" s="12" t="s">
        <v>476</v>
      </c>
      <c r="O679" s="26"/>
      <c r="P679" s="47"/>
      <c r="Q679" s="27"/>
      <c r="R679" s="34"/>
      <c r="S679" s="35">
        <f t="shared" si="463"/>
        <v>0</v>
      </c>
      <c r="T679" s="26"/>
      <c r="U679" s="47"/>
      <c r="V679" s="27"/>
      <c r="W679" s="34"/>
      <c r="X679" s="35">
        <f t="shared" si="464"/>
        <v>0</v>
      </c>
      <c r="Y679" s="108">
        <f t="shared" si="465"/>
        <v>0</v>
      </c>
      <c r="Z679" s="101" t="s">
        <v>477</v>
      </c>
    </row>
    <row r="680" spans="1:26" ht="14.25" thickBot="1" x14ac:dyDescent="0.2">
      <c r="A680" s="90" t="s">
        <v>608</v>
      </c>
      <c r="B680" s="62"/>
      <c r="C680" s="63">
        <v>-1</v>
      </c>
      <c r="D680" s="64">
        <v>1</v>
      </c>
      <c r="E680" s="65"/>
      <c r="F680" s="35">
        <f t="shared" si="454"/>
        <v>0</v>
      </c>
      <c r="G680" s="62"/>
      <c r="H680" s="63"/>
      <c r="I680" s="64"/>
      <c r="J680" s="65"/>
      <c r="K680" s="35">
        <f t="shared" si="455"/>
        <v>0</v>
      </c>
      <c r="L680" s="14">
        <f t="shared" si="442"/>
        <v>0</v>
      </c>
      <c r="N680" s="181" t="s">
        <v>520</v>
      </c>
      <c r="O680" s="182"/>
      <c r="P680" s="183"/>
      <c r="Q680" s="184"/>
      <c r="R680" s="185"/>
      <c r="S680" s="186">
        <f t="shared" ref="S680" si="466">SUM(O680:R680)</f>
        <v>0</v>
      </c>
      <c r="T680" s="182"/>
      <c r="U680" s="183"/>
      <c r="V680" s="184"/>
      <c r="W680" s="185"/>
      <c r="X680" s="186">
        <f t="shared" ref="X680" si="467">SUM(T680:W680)</f>
        <v>0</v>
      </c>
      <c r="Y680" s="187">
        <f t="shared" ref="Y680" si="468">S680+X680</f>
        <v>0</v>
      </c>
      <c r="Z680" s="205" t="s">
        <v>519</v>
      </c>
    </row>
    <row r="681" spans="1:26" ht="14.25" thickBot="1" x14ac:dyDescent="0.2">
      <c r="A681" s="17" t="s">
        <v>10</v>
      </c>
      <c r="B681" s="38">
        <f>SUM(B656:B680)</f>
        <v>13</v>
      </c>
      <c r="C681" s="48">
        <f>SUM(C656:C680)</f>
        <v>26</v>
      </c>
      <c r="D681" s="39">
        <f>SUM(D656:D680)</f>
        <v>20</v>
      </c>
      <c r="E681" s="40">
        <f>SUM(E656:E680)</f>
        <v>12</v>
      </c>
      <c r="F681" s="36">
        <f>SUM(B681:E681)</f>
        <v>71</v>
      </c>
      <c r="G681" s="38">
        <f>SUM(G656:G680)</f>
        <v>20</v>
      </c>
      <c r="H681" s="48">
        <f>SUM(H656:H680)</f>
        <v>24</v>
      </c>
      <c r="I681" s="39">
        <f>SUM(I656:I680)</f>
        <v>4</v>
      </c>
      <c r="J681" s="40">
        <f>SUM(J656:J680)</f>
        <v>23</v>
      </c>
      <c r="K681" s="36">
        <f>SUM(G681:J681)</f>
        <v>71</v>
      </c>
      <c r="L681" s="37">
        <f t="shared" si="442"/>
        <v>142</v>
      </c>
      <c r="N681" s="133" t="s">
        <v>10</v>
      </c>
      <c r="O681" s="38">
        <f>SUM(O656:O680)</f>
        <v>147</v>
      </c>
      <c r="P681" s="48">
        <f>SUM(P656:P680)</f>
        <v>185</v>
      </c>
      <c r="Q681" s="39">
        <f>SUM(Q656:Q680)</f>
        <v>61</v>
      </c>
      <c r="R681" s="40">
        <f>SUM(R656:R680)</f>
        <v>47</v>
      </c>
      <c r="S681" s="118">
        <f t="shared" si="458"/>
        <v>440</v>
      </c>
      <c r="T681" s="38">
        <f>SUM(T656:T680)</f>
        <v>40</v>
      </c>
      <c r="U681" s="48">
        <f>SUM(U656:U680)</f>
        <v>33</v>
      </c>
      <c r="V681" s="39">
        <f>SUM(V656:V680)</f>
        <v>22</v>
      </c>
      <c r="W681" s="40">
        <f>SUM(W656:W680)</f>
        <v>13</v>
      </c>
      <c r="X681" s="118">
        <f t="shared" si="459"/>
        <v>108</v>
      </c>
      <c r="Y681" s="119">
        <f t="shared" si="448"/>
        <v>548</v>
      </c>
    </row>
    <row r="682" spans="1:26" ht="14.25" thickBot="1" x14ac:dyDescent="0.2">
      <c r="A682" s="22" t="s">
        <v>11</v>
      </c>
      <c r="B682" s="41">
        <f>B655-B681</f>
        <v>5</v>
      </c>
      <c r="C682" s="49">
        <f>C655-C681</f>
        <v>6</v>
      </c>
      <c r="D682" s="42">
        <f t="shared" ref="D682:K682" si="469">D655-D681</f>
        <v>4</v>
      </c>
      <c r="E682" s="43">
        <f t="shared" si="469"/>
        <v>5</v>
      </c>
      <c r="F682" s="61">
        <f t="shared" si="469"/>
        <v>16</v>
      </c>
      <c r="G682" s="41">
        <f t="shared" si="469"/>
        <v>5</v>
      </c>
      <c r="H682" s="49">
        <f t="shared" si="469"/>
        <v>5</v>
      </c>
      <c r="I682" s="42">
        <f t="shared" si="469"/>
        <v>8</v>
      </c>
      <c r="J682" s="43">
        <f t="shared" si="469"/>
        <v>5</v>
      </c>
      <c r="K682" s="61">
        <f t="shared" si="469"/>
        <v>23</v>
      </c>
      <c r="L682" s="21">
        <f t="shared" si="442"/>
        <v>39</v>
      </c>
      <c r="N682" s="17" t="s">
        <v>11</v>
      </c>
      <c r="O682" s="41">
        <f>O655-O681</f>
        <v>615</v>
      </c>
      <c r="P682" s="49">
        <f t="shared" ref="P682:X682" si="470">P655-P681</f>
        <v>768</v>
      </c>
      <c r="Q682" s="42">
        <f t="shared" si="470"/>
        <v>405</v>
      </c>
      <c r="R682" s="43">
        <f t="shared" si="470"/>
        <v>264</v>
      </c>
      <c r="S682" s="61">
        <f t="shared" si="470"/>
        <v>2052</v>
      </c>
      <c r="T682" s="41">
        <f t="shared" si="470"/>
        <v>624</v>
      </c>
      <c r="U682" s="49">
        <f t="shared" si="470"/>
        <v>771</v>
      </c>
      <c r="V682" s="42">
        <f t="shared" si="470"/>
        <v>435</v>
      </c>
      <c r="W682" s="43">
        <f t="shared" si="470"/>
        <v>373</v>
      </c>
      <c r="X682" s="61">
        <f t="shared" si="470"/>
        <v>2203</v>
      </c>
      <c r="Y682" s="21">
        <f t="shared" si="448"/>
        <v>4255</v>
      </c>
    </row>
    <row r="683" spans="1:26" x14ac:dyDescent="0.15">
      <c r="O683" s="123">
        <f>O682/$S$682*100</f>
        <v>29.970760233918131</v>
      </c>
      <c r="P683" s="123">
        <f t="shared" ref="P683:S683" si="471">P682/$S$682*100</f>
        <v>37.42690058479532</v>
      </c>
      <c r="Q683" s="123">
        <f t="shared" si="471"/>
        <v>19.736842105263158</v>
      </c>
      <c r="R683" s="123">
        <f t="shared" si="471"/>
        <v>12.865497076023392</v>
      </c>
      <c r="S683" s="123">
        <f t="shared" si="471"/>
        <v>100</v>
      </c>
      <c r="T683" s="123">
        <f>T682/$X$682*100</f>
        <v>28.325011348161599</v>
      </c>
      <c r="U683" s="123">
        <f t="shared" ref="U683:X683" si="472">U682/$X$682*100</f>
        <v>34.997730367680433</v>
      </c>
      <c r="V683" s="123">
        <f t="shared" si="472"/>
        <v>19.745801180208804</v>
      </c>
      <c r="W683" s="123">
        <f t="shared" si="472"/>
        <v>16.93145710394916</v>
      </c>
      <c r="X683" s="123">
        <f t="shared" si="472"/>
        <v>100</v>
      </c>
    </row>
    <row r="684" spans="1:26" x14ac:dyDescent="0.15">
      <c r="N684" s="168" t="s">
        <v>521</v>
      </c>
      <c r="O684" s="167">
        <v>29.8</v>
      </c>
      <c r="P684" s="167">
        <v>36.6</v>
      </c>
      <c r="Q684" s="167">
        <v>21.7</v>
      </c>
      <c r="R684" s="167">
        <v>11.9</v>
      </c>
      <c r="S684" s="167">
        <f>SUM(O684:R684)</f>
        <v>100.00000000000001</v>
      </c>
      <c r="T684" s="167">
        <v>29.1</v>
      </c>
      <c r="U684" s="167">
        <v>33.6</v>
      </c>
      <c r="V684" s="166">
        <v>21.4</v>
      </c>
      <c r="W684" s="166">
        <v>15.9</v>
      </c>
      <c r="X684" s="167">
        <f>SUM(T684:W684)</f>
        <v>100</v>
      </c>
    </row>
    <row r="685" spans="1:26" ht="19.5" thickBot="1" x14ac:dyDescent="0.25">
      <c r="A685" s="2" t="s">
        <v>106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105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6" ht="14.25" thickBot="1" x14ac:dyDescent="0.2">
      <c r="A686" s="5" t="s">
        <v>0</v>
      </c>
      <c r="B686" s="342" t="s">
        <v>18</v>
      </c>
      <c r="C686" s="350"/>
      <c r="D686" s="350"/>
      <c r="E686" s="350"/>
      <c r="F686" s="351"/>
      <c r="G686" s="345" t="s">
        <v>12</v>
      </c>
      <c r="H686" s="352"/>
      <c r="I686" s="352"/>
      <c r="J686" s="352"/>
      <c r="K686" s="353"/>
      <c r="L686" s="354" t="s">
        <v>1</v>
      </c>
      <c r="N686" s="5" t="s">
        <v>0</v>
      </c>
      <c r="O686" s="342" t="s">
        <v>18</v>
      </c>
      <c r="P686" s="350"/>
      <c r="Q686" s="350"/>
      <c r="R686" s="350"/>
      <c r="S686" s="351"/>
      <c r="T686" s="345" t="s">
        <v>12</v>
      </c>
      <c r="U686" s="352"/>
      <c r="V686" s="352"/>
      <c r="W686" s="352"/>
      <c r="X686" s="353"/>
      <c r="Y686" s="354" t="s">
        <v>1</v>
      </c>
    </row>
    <row r="687" spans="1:26" ht="14.25" thickBot="1" x14ac:dyDescent="0.2">
      <c r="A687" s="5" t="s">
        <v>2</v>
      </c>
      <c r="B687" s="3" t="s">
        <v>13</v>
      </c>
      <c r="C687" s="44" t="s">
        <v>14</v>
      </c>
      <c r="D687" s="4" t="s">
        <v>15</v>
      </c>
      <c r="E687" s="23" t="s">
        <v>16</v>
      </c>
      <c r="F687" s="31" t="s">
        <v>3</v>
      </c>
      <c r="G687" s="3" t="s">
        <v>13</v>
      </c>
      <c r="H687" s="44" t="s">
        <v>14</v>
      </c>
      <c r="I687" s="4" t="s">
        <v>15</v>
      </c>
      <c r="J687" s="23" t="s">
        <v>16</v>
      </c>
      <c r="K687" s="31" t="s">
        <v>3</v>
      </c>
      <c r="L687" s="355"/>
      <c r="N687" s="5" t="s">
        <v>2</v>
      </c>
      <c r="O687" s="3" t="s">
        <v>13</v>
      </c>
      <c r="P687" s="44" t="s">
        <v>14</v>
      </c>
      <c r="Q687" s="4" t="s">
        <v>15</v>
      </c>
      <c r="R687" s="23" t="s">
        <v>16</v>
      </c>
      <c r="S687" s="31" t="s">
        <v>3</v>
      </c>
      <c r="T687" s="3" t="s">
        <v>13</v>
      </c>
      <c r="U687" s="44" t="s">
        <v>14</v>
      </c>
      <c r="V687" s="4" t="s">
        <v>15</v>
      </c>
      <c r="W687" s="23" t="s">
        <v>16</v>
      </c>
      <c r="X687" s="31" t="s">
        <v>3</v>
      </c>
      <c r="Y687" s="355"/>
    </row>
    <row r="688" spans="1:26" x14ac:dyDescent="0.15">
      <c r="A688" s="71" t="s">
        <v>17</v>
      </c>
      <c r="B688" s="72">
        <f>B682</f>
        <v>5</v>
      </c>
      <c r="C688" s="73">
        <f t="shared" ref="C688:L688" si="473">C682</f>
        <v>6</v>
      </c>
      <c r="D688" s="73">
        <f t="shared" si="473"/>
        <v>4</v>
      </c>
      <c r="E688" s="74">
        <f t="shared" si="473"/>
        <v>5</v>
      </c>
      <c r="F688" s="76">
        <f t="shared" si="473"/>
        <v>16</v>
      </c>
      <c r="G688" s="72">
        <f t="shared" si="473"/>
        <v>5</v>
      </c>
      <c r="H688" s="73">
        <f t="shared" si="473"/>
        <v>5</v>
      </c>
      <c r="I688" s="73">
        <f t="shared" si="473"/>
        <v>8</v>
      </c>
      <c r="J688" s="74">
        <f t="shared" si="473"/>
        <v>5</v>
      </c>
      <c r="K688" s="75">
        <f t="shared" si="473"/>
        <v>23</v>
      </c>
      <c r="L688" s="16">
        <f t="shared" si="473"/>
        <v>39</v>
      </c>
      <c r="N688" s="71" t="s">
        <v>17</v>
      </c>
      <c r="O688" s="72">
        <f>O682</f>
        <v>615</v>
      </c>
      <c r="P688" s="73">
        <f t="shared" ref="P688:Y688" si="474">P682</f>
        <v>768</v>
      </c>
      <c r="Q688" s="73">
        <f t="shared" si="474"/>
        <v>405</v>
      </c>
      <c r="R688" s="74">
        <f t="shared" si="474"/>
        <v>264</v>
      </c>
      <c r="S688" s="76">
        <f t="shared" si="474"/>
        <v>2052</v>
      </c>
      <c r="T688" s="72">
        <f t="shared" si="474"/>
        <v>624</v>
      </c>
      <c r="U688" s="73">
        <f t="shared" si="474"/>
        <v>771</v>
      </c>
      <c r="V688" s="73">
        <f t="shared" si="474"/>
        <v>435</v>
      </c>
      <c r="W688" s="74">
        <f t="shared" si="474"/>
        <v>373</v>
      </c>
      <c r="X688" s="75">
        <f t="shared" si="474"/>
        <v>2203</v>
      </c>
      <c r="Y688" s="16">
        <f t="shared" si="474"/>
        <v>4255</v>
      </c>
    </row>
    <row r="689" spans="1:27" x14ac:dyDescent="0.15">
      <c r="A689" s="13" t="s">
        <v>5</v>
      </c>
      <c r="B689" s="6"/>
      <c r="C689" s="30"/>
      <c r="D689" s="27">
        <v>8</v>
      </c>
      <c r="E689" s="8"/>
      <c r="F689" s="9">
        <f>SUM(B689:E689)</f>
        <v>8</v>
      </c>
      <c r="G689" s="30"/>
      <c r="H689" s="30"/>
      <c r="I689" s="7"/>
      <c r="J689" s="8"/>
      <c r="K689" s="9">
        <f>SUM(G689:J689)</f>
        <v>0</v>
      </c>
      <c r="L689" s="11">
        <f t="shared" ref="L689:L720" si="475">F689+K689</f>
        <v>8</v>
      </c>
      <c r="M689" s="99">
        <v>45022</v>
      </c>
      <c r="N689" s="13" t="s">
        <v>350</v>
      </c>
      <c r="O689" s="26">
        <v>11</v>
      </c>
      <c r="P689" s="47">
        <v>17</v>
      </c>
      <c r="Q689" s="27">
        <v>21</v>
      </c>
      <c r="R689" s="34">
        <v>7</v>
      </c>
      <c r="S689" s="35">
        <f t="shared" ref="S689" si="476">SUM(O689:R689)</f>
        <v>56</v>
      </c>
      <c r="T689" s="26">
        <v>3</v>
      </c>
      <c r="U689" s="47">
        <v>6</v>
      </c>
      <c r="V689" s="27">
        <v>4</v>
      </c>
      <c r="W689" s="34">
        <v>8</v>
      </c>
      <c r="X689" s="35">
        <f t="shared" ref="X689" si="477">SUM(T689:W689)</f>
        <v>21</v>
      </c>
      <c r="Y689" s="11">
        <f t="shared" ref="Y689" si="478">S689+X689</f>
        <v>77</v>
      </c>
      <c r="Z689" s="126">
        <v>45031</v>
      </c>
    </row>
    <row r="690" spans="1:27" x14ac:dyDescent="0.15">
      <c r="A690" s="13" t="s">
        <v>153</v>
      </c>
      <c r="B690" s="6">
        <v>16</v>
      </c>
      <c r="C690" s="30">
        <v>14</v>
      </c>
      <c r="D690" s="7">
        <v>8</v>
      </c>
      <c r="E690" s="8">
        <v>10</v>
      </c>
      <c r="F690" s="9">
        <f>SUM(B690:E690)</f>
        <v>48</v>
      </c>
      <c r="G690" s="30">
        <v>3</v>
      </c>
      <c r="H690" s="30">
        <v>5</v>
      </c>
      <c r="I690" s="7">
        <v>2</v>
      </c>
      <c r="J690" s="8">
        <v>5</v>
      </c>
      <c r="K690" s="9">
        <f>SUM(G690:J690)</f>
        <v>15</v>
      </c>
      <c r="L690" s="11">
        <f t="shared" si="475"/>
        <v>63</v>
      </c>
      <c r="M690" s="99">
        <v>45027</v>
      </c>
      <c r="N690" s="13" t="s">
        <v>6</v>
      </c>
      <c r="O690" s="26"/>
      <c r="P690" s="47"/>
      <c r="Q690" s="27"/>
      <c r="R690" s="34"/>
      <c r="S690" s="77">
        <f>SUM(O690:R690)</f>
        <v>0</v>
      </c>
      <c r="T690" s="26"/>
      <c r="U690" s="47"/>
      <c r="V690" s="27"/>
      <c r="W690" s="34"/>
      <c r="X690" s="9">
        <f>SUM(T690:W690)</f>
        <v>0</v>
      </c>
      <c r="Y690" s="11">
        <f t="shared" ref="Y690:Y720" si="479">S690+X690</f>
        <v>0</v>
      </c>
      <c r="Z690" s="101"/>
      <c r="AA690" s="58"/>
    </row>
    <row r="691" spans="1:27" x14ac:dyDescent="0.15">
      <c r="A691" s="13" t="s">
        <v>7</v>
      </c>
      <c r="B691" s="6"/>
      <c r="C691" s="30"/>
      <c r="D691" s="7"/>
      <c r="E691" s="8"/>
      <c r="F691" s="9">
        <f>SUM(B691:E691)</f>
        <v>0</v>
      </c>
      <c r="G691" s="30">
        <v>5</v>
      </c>
      <c r="H691" s="30"/>
      <c r="I691" s="7"/>
      <c r="J691" s="8"/>
      <c r="K691" s="9">
        <f>SUM(G691:J691)</f>
        <v>5</v>
      </c>
      <c r="L691" s="11">
        <f t="shared" si="475"/>
        <v>5</v>
      </c>
      <c r="M691" s="99">
        <v>45030</v>
      </c>
      <c r="N691" s="13" t="s">
        <v>7</v>
      </c>
      <c r="O691" s="26"/>
      <c r="P691" s="47"/>
      <c r="Q691" s="27"/>
      <c r="R691" s="34"/>
      <c r="S691" s="77">
        <f>SUM(O691:R691)</f>
        <v>0</v>
      </c>
      <c r="T691" s="47"/>
      <c r="U691" s="47"/>
      <c r="V691" s="27"/>
      <c r="W691" s="50"/>
      <c r="X691" s="9">
        <f>SUM(T691:W691)</f>
        <v>0</v>
      </c>
      <c r="Y691" s="11">
        <f t="shared" si="479"/>
        <v>0</v>
      </c>
    </row>
    <row r="692" spans="1:27" ht="14.25" thickBot="1" x14ac:dyDescent="0.2">
      <c r="A692" s="13" t="s">
        <v>49</v>
      </c>
      <c r="B692" s="6">
        <f>11-3</f>
        <v>8</v>
      </c>
      <c r="C692" s="30">
        <f>20-5</f>
        <v>15</v>
      </c>
      <c r="D692" s="7">
        <f>11-2</f>
        <v>9</v>
      </c>
      <c r="E692" s="8">
        <v>2</v>
      </c>
      <c r="F692" s="10">
        <f>SUM(B692:E692)</f>
        <v>34</v>
      </c>
      <c r="G692" s="30">
        <v>3</v>
      </c>
      <c r="H692" s="30">
        <v>3</v>
      </c>
      <c r="I692" s="7"/>
      <c r="J692" s="8">
        <v>4</v>
      </c>
      <c r="K692" s="10">
        <f>SUM(G692:J692)</f>
        <v>10</v>
      </c>
      <c r="L692" s="14">
        <f t="shared" si="475"/>
        <v>44</v>
      </c>
      <c r="M692" s="126">
        <v>45030</v>
      </c>
      <c r="N692" s="13" t="s">
        <v>8</v>
      </c>
      <c r="O692" s="62"/>
      <c r="P692" s="63"/>
      <c r="Q692" s="64"/>
      <c r="R692" s="65"/>
      <c r="S692" s="78">
        <f>SUM(O692:R692)</f>
        <v>0</v>
      </c>
      <c r="T692" s="47"/>
      <c r="U692" s="47"/>
      <c r="V692" s="27"/>
      <c r="W692" s="50"/>
      <c r="X692" s="10">
        <f>SUM(T692:W692)</f>
        <v>0</v>
      </c>
      <c r="Y692" s="14">
        <f t="shared" si="479"/>
        <v>0</v>
      </c>
    </row>
    <row r="693" spans="1:27" ht="14.25" thickBot="1" x14ac:dyDescent="0.2">
      <c r="A693" s="22" t="s">
        <v>9</v>
      </c>
      <c r="B693" s="51">
        <f t="shared" ref="B693:K693" si="480">SUM(B688:B692)</f>
        <v>29</v>
      </c>
      <c r="C693" s="52">
        <f t="shared" si="480"/>
        <v>35</v>
      </c>
      <c r="D693" s="53">
        <f t="shared" si="480"/>
        <v>29</v>
      </c>
      <c r="E693" s="54">
        <f t="shared" si="480"/>
        <v>17</v>
      </c>
      <c r="F693" s="28">
        <f t="shared" si="480"/>
        <v>106</v>
      </c>
      <c r="G693" s="51">
        <f t="shared" si="480"/>
        <v>16</v>
      </c>
      <c r="H693" s="52">
        <f t="shared" si="480"/>
        <v>13</v>
      </c>
      <c r="I693" s="53">
        <f t="shared" si="480"/>
        <v>10</v>
      </c>
      <c r="J693" s="54">
        <f t="shared" si="480"/>
        <v>14</v>
      </c>
      <c r="K693" s="28">
        <f t="shared" si="480"/>
        <v>53</v>
      </c>
      <c r="L693" s="21">
        <f t="shared" si="475"/>
        <v>159</v>
      </c>
      <c r="N693" s="17" t="s">
        <v>9</v>
      </c>
      <c r="O693" s="41">
        <f>SUM(O688:O692)</f>
        <v>626</v>
      </c>
      <c r="P693" s="49">
        <f t="shared" ref="P693:V693" si="481">SUM(P688:P692)</f>
        <v>785</v>
      </c>
      <c r="Q693" s="42">
        <f t="shared" si="481"/>
        <v>426</v>
      </c>
      <c r="R693" s="92">
        <f t="shared" si="481"/>
        <v>271</v>
      </c>
      <c r="S693" s="93">
        <f t="shared" si="481"/>
        <v>2108</v>
      </c>
      <c r="T693" s="41">
        <f t="shared" si="481"/>
        <v>627</v>
      </c>
      <c r="U693" s="49">
        <f t="shared" si="481"/>
        <v>777</v>
      </c>
      <c r="V693" s="42">
        <f t="shared" si="481"/>
        <v>439</v>
      </c>
      <c r="W693" s="92">
        <f>SUM(W688:W692)</f>
        <v>381</v>
      </c>
      <c r="X693" s="93">
        <f t="shared" ref="X693" si="482">SUM(X688:X692)</f>
        <v>2224</v>
      </c>
      <c r="Y693" s="56">
        <f t="shared" si="479"/>
        <v>4332</v>
      </c>
    </row>
    <row r="694" spans="1:27" x14ac:dyDescent="0.15">
      <c r="A694" s="13" t="s">
        <v>41</v>
      </c>
      <c r="B694" s="24"/>
      <c r="C694" s="46"/>
      <c r="D694" s="25">
        <v>1</v>
      </c>
      <c r="E694" s="33"/>
      <c r="F694" s="35">
        <f>SUM(B694:E694)</f>
        <v>1</v>
      </c>
      <c r="G694" s="24">
        <v>1</v>
      </c>
      <c r="H694" s="46"/>
      <c r="I694" s="25"/>
      <c r="J694" s="33"/>
      <c r="K694" s="35">
        <f>SUM(G694:J694)</f>
        <v>1</v>
      </c>
      <c r="L694" s="11">
        <f t="shared" si="475"/>
        <v>2</v>
      </c>
      <c r="M694" s="126">
        <v>45020</v>
      </c>
      <c r="N694" s="15" t="s">
        <v>568</v>
      </c>
      <c r="O694" s="66">
        <v>46</v>
      </c>
      <c r="P694" s="67">
        <v>60</v>
      </c>
      <c r="Q694" s="68">
        <v>30</v>
      </c>
      <c r="R694" s="94">
        <v>17</v>
      </c>
      <c r="S694" s="91">
        <f>SUM(O694:R694)</f>
        <v>153</v>
      </c>
      <c r="T694" s="67">
        <v>13</v>
      </c>
      <c r="U694" s="67">
        <v>17</v>
      </c>
      <c r="V694" s="68">
        <v>11</v>
      </c>
      <c r="W694" s="94">
        <v>6</v>
      </c>
      <c r="X694" s="91">
        <f>SUM(T694:W694)</f>
        <v>47</v>
      </c>
      <c r="Y694" s="11">
        <f t="shared" si="479"/>
        <v>200</v>
      </c>
      <c r="Z694" s="99">
        <v>45019</v>
      </c>
    </row>
    <row r="695" spans="1:27" x14ac:dyDescent="0.15">
      <c r="A695" s="32" t="s">
        <v>574</v>
      </c>
      <c r="B695" s="26"/>
      <c r="C695" s="47"/>
      <c r="D695" s="27">
        <v>2</v>
      </c>
      <c r="E695" s="34"/>
      <c r="F695" s="35">
        <f>SUM(B695:E695)</f>
        <v>2</v>
      </c>
      <c r="G695" s="26"/>
      <c r="H695" s="47"/>
      <c r="I695" s="27"/>
      <c r="J695" s="34"/>
      <c r="K695" s="35">
        <f>SUM(G695:J695)</f>
        <v>0</v>
      </c>
      <c r="L695" s="11">
        <f t="shared" si="475"/>
        <v>2</v>
      </c>
      <c r="M695" s="99">
        <v>45027</v>
      </c>
      <c r="N695" s="15" t="s">
        <v>573</v>
      </c>
      <c r="O695" s="26"/>
      <c r="P695" s="47"/>
      <c r="Q695" s="27"/>
      <c r="R695" s="34">
        <v>8</v>
      </c>
      <c r="S695" s="35">
        <f t="shared" ref="S695:S696" si="483">SUM(O695:R695)</f>
        <v>8</v>
      </c>
      <c r="T695" s="26"/>
      <c r="U695" s="47"/>
      <c r="V695" s="27"/>
      <c r="W695" s="34">
        <v>5</v>
      </c>
      <c r="X695" s="35">
        <f t="shared" ref="X695:X696" si="484">SUM(T695:W695)</f>
        <v>5</v>
      </c>
      <c r="Y695" s="11">
        <f t="shared" si="479"/>
        <v>13</v>
      </c>
      <c r="Z695" s="99">
        <v>45021</v>
      </c>
    </row>
    <row r="696" spans="1:27" x14ac:dyDescent="0.15">
      <c r="A696" s="13" t="s">
        <v>41</v>
      </c>
      <c r="B696" s="26"/>
      <c r="C696" s="47"/>
      <c r="D696" s="27"/>
      <c r="E696" s="34">
        <v>1</v>
      </c>
      <c r="F696" s="35">
        <f t="shared" ref="F696:F718" si="485">SUM(B696:E696)</f>
        <v>1</v>
      </c>
      <c r="G696" s="26"/>
      <c r="H696" s="47"/>
      <c r="I696" s="27"/>
      <c r="J696" s="34"/>
      <c r="K696" s="35">
        <f t="shared" ref="K696:K718" si="486">SUM(G696:J696)</f>
        <v>0</v>
      </c>
      <c r="L696" s="11">
        <f t="shared" si="475"/>
        <v>1</v>
      </c>
      <c r="M696" s="126">
        <v>45021</v>
      </c>
      <c r="N696" s="90" t="s">
        <v>350</v>
      </c>
      <c r="O696" s="26"/>
      <c r="P696" s="47"/>
      <c r="Q696" s="27">
        <v>8</v>
      </c>
      <c r="R696" s="34"/>
      <c r="S696" s="35">
        <f t="shared" si="483"/>
        <v>8</v>
      </c>
      <c r="T696" s="26"/>
      <c r="U696" s="47"/>
      <c r="V696" s="27"/>
      <c r="W696" s="34"/>
      <c r="X696" s="35">
        <f t="shared" si="484"/>
        <v>0</v>
      </c>
      <c r="Y696" s="11">
        <f t="shared" si="479"/>
        <v>8</v>
      </c>
      <c r="Z696" s="99">
        <v>45022</v>
      </c>
    </row>
    <row r="697" spans="1:27" x14ac:dyDescent="0.15">
      <c r="A697" s="13" t="s">
        <v>41</v>
      </c>
      <c r="B697" s="66"/>
      <c r="C697" s="67"/>
      <c r="D697" s="68"/>
      <c r="E697" s="69">
        <v>1</v>
      </c>
      <c r="F697" s="70">
        <f t="shared" si="485"/>
        <v>1</v>
      </c>
      <c r="G697" s="66">
        <v>1</v>
      </c>
      <c r="H697" s="67"/>
      <c r="I697" s="68"/>
      <c r="J697" s="69"/>
      <c r="K697" s="70">
        <f t="shared" si="486"/>
        <v>1</v>
      </c>
      <c r="L697" s="11">
        <f t="shared" si="475"/>
        <v>2</v>
      </c>
      <c r="M697" s="126">
        <v>45022</v>
      </c>
      <c r="N697" s="15" t="s">
        <v>575</v>
      </c>
      <c r="O697" s="66">
        <v>19</v>
      </c>
      <c r="P697" s="67">
        <v>34</v>
      </c>
      <c r="Q697" s="68">
        <v>10</v>
      </c>
      <c r="R697" s="94">
        <v>9</v>
      </c>
      <c r="S697" s="91">
        <f>SUM(O697:R697)</f>
        <v>72</v>
      </c>
      <c r="T697" s="67"/>
      <c r="U697" s="67">
        <v>2</v>
      </c>
      <c r="V697" s="68"/>
      <c r="W697" s="94">
        <v>2</v>
      </c>
      <c r="X697" s="91">
        <f>SUM(T697:W697)</f>
        <v>4</v>
      </c>
      <c r="Y697" s="11">
        <f t="shared" si="479"/>
        <v>76</v>
      </c>
      <c r="Z697" s="99">
        <v>45022</v>
      </c>
    </row>
    <row r="698" spans="1:27" x14ac:dyDescent="0.15">
      <c r="A698" s="15" t="s">
        <v>585</v>
      </c>
      <c r="B698" s="26"/>
      <c r="C698" s="47"/>
      <c r="D698" s="27"/>
      <c r="E698" s="34">
        <v>2</v>
      </c>
      <c r="F698" s="35">
        <f t="shared" si="485"/>
        <v>2</v>
      </c>
      <c r="G698" s="26"/>
      <c r="H698" s="47"/>
      <c r="I698" s="27"/>
      <c r="J698" s="34"/>
      <c r="K698" s="35">
        <f t="shared" si="486"/>
        <v>0</v>
      </c>
      <c r="L698" s="11">
        <f t="shared" si="475"/>
        <v>2</v>
      </c>
      <c r="M698" s="99">
        <v>45027</v>
      </c>
      <c r="N698" s="90" t="s">
        <v>579</v>
      </c>
      <c r="O698" s="26">
        <v>5</v>
      </c>
      <c r="P698" s="47"/>
      <c r="Q698" s="27"/>
      <c r="R698" s="34"/>
      <c r="S698" s="35">
        <f t="shared" ref="S698:S700" si="487">SUM(O698:R698)</f>
        <v>5</v>
      </c>
      <c r="T698" s="26"/>
      <c r="U698" s="47"/>
      <c r="V698" s="27"/>
      <c r="W698" s="34"/>
      <c r="X698" s="35">
        <f t="shared" ref="X698:X700" si="488">SUM(T698:W698)</f>
        <v>0</v>
      </c>
      <c r="Y698" s="11">
        <f t="shared" si="479"/>
        <v>5</v>
      </c>
      <c r="Z698" s="99">
        <v>45027</v>
      </c>
    </row>
    <row r="699" spans="1:27" x14ac:dyDescent="0.15">
      <c r="A699" s="15" t="s">
        <v>584</v>
      </c>
      <c r="B699" s="26">
        <v>13</v>
      </c>
      <c r="C699" s="47">
        <v>12</v>
      </c>
      <c r="D699" s="27">
        <v>1</v>
      </c>
      <c r="E699" s="34">
        <v>3</v>
      </c>
      <c r="F699" s="35">
        <f t="shared" ref="F699" si="489">SUM(B699:E699)</f>
        <v>29</v>
      </c>
      <c r="G699" s="26">
        <v>5</v>
      </c>
      <c r="H699" s="47">
        <v>2</v>
      </c>
      <c r="I699" s="27">
        <v>1</v>
      </c>
      <c r="J699" s="34">
        <v>2</v>
      </c>
      <c r="K699" s="35">
        <f t="shared" ref="K699" si="490">SUM(G699:J699)</f>
        <v>10</v>
      </c>
      <c r="L699" s="11">
        <f t="shared" ref="L699" si="491">F699+K699</f>
        <v>39</v>
      </c>
      <c r="M699" s="99">
        <v>45029</v>
      </c>
      <c r="N699" s="15" t="s">
        <v>576</v>
      </c>
      <c r="O699" s="26">
        <v>19</v>
      </c>
      <c r="P699" s="47">
        <v>6</v>
      </c>
      <c r="Q699" s="27">
        <v>11</v>
      </c>
      <c r="R699" s="34">
        <v>6</v>
      </c>
      <c r="S699" s="35">
        <f t="shared" si="487"/>
        <v>42</v>
      </c>
      <c r="T699" s="26">
        <v>5</v>
      </c>
      <c r="U699" s="47">
        <v>3</v>
      </c>
      <c r="V699" s="27"/>
      <c r="W699" s="34">
        <v>3</v>
      </c>
      <c r="X699" s="35">
        <f t="shared" si="488"/>
        <v>11</v>
      </c>
      <c r="Y699" s="11">
        <f t="shared" si="479"/>
        <v>53</v>
      </c>
      <c r="Z699" s="99">
        <v>45023</v>
      </c>
    </row>
    <row r="700" spans="1:27" x14ac:dyDescent="0.15">
      <c r="A700" s="79" t="s">
        <v>590</v>
      </c>
      <c r="B700" s="26"/>
      <c r="C700" s="47"/>
      <c r="D700" s="27"/>
      <c r="E700" s="34"/>
      <c r="F700" s="35">
        <f t="shared" si="485"/>
        <v>0</v>
      </c>
      <c r="G700" s="26">
        <v>1</v>
      </c>
      <c r="H700" s="47"/>
      <c r="I700" s="27"/>
      <c r="J700" s="34"/>
      <c r="K700" s="35">
        <f t="shared" si="486"/>
        <v>1</v>
      </c>
      <c r="L700" s="11">
        <f t="shared" si="475"/>
        <v>1</v>
      </c>
      <c r="M700" s="126">
        <v>45033</v>
      </c>
      <c r="N700" s="15" t="s">
        <v>578</v>
      </c>
      <c r="O700" s="26">
        <v>8</v>
      </c>
      <c r="P700" s="47">
        <v>6</v>
      </c>
      <c r="Q700" s="27">
        <v>4</v>
      </c>
      <c r="R700" s="34">
        <v>8</v>
      </c>
      <c r="S700" s="35">
        <f t="shared" si="487"/>
        <v>26</v>
      </c>
      <c r="T700" s="26">
        <v>2</v>
      </c>
      <c r="U700" s="47"/>
      <c r="V700" s="27"/>
      <c r="W700" s="34">
        <v>5</v>
      </c>
      <c r="X700" s="35">
        <f t="shared" si="488"/>
        <v>7</v>
      </c>
      <c r="Y700" s="11">
        <f t="shared" si="479"/>
        <v>33</v>
      </c>
      <c r="Z700" s="99">
        <v>45026</v>
      </c>
    </row>
    <row r="701" spans="1:27" x14ac:dyDescent="0.15">
      <c r="A701" s="32" t="s">
        <v>284</v>
      </c>
      <c r="B701" s="26">
        <v>11</v>
      </c>
      <c r="C701" s="47">
        <v>17</v>
      </c>
      <c r="D701" s="27">
        <v>21</v>
      </c>
      <c r="E701" s="34">
        <v>7</v>
      </c>
      <c r="F701" s="35">
        <f t="shared" si="485"/>
        <v>56</v>
      </c>
      <c r="G701" s="26">
        <v>3</v>
      </c>
      <c r="H701" s="47">
        <v>6</v>
      </c>
      <c r="I701" s="27">
        <v>4</v>
      </c>
      <c r="J701" s="34">
        <v>8</v>
      </c>
      <c r="K701" s="35">
        <f t="shared" si="486"/>
        <v>21</v>
      </c>
      <c r="L701" s="11">
        <f t="shared" si="475"/>
        <v>77</v>
      </c>
      <c r="M701" s="126">
        <v>45031</v>
      </c>
      <c r="N701" s="15" t="s">
        <v>580</v>
      </c>
      <c r="O701" s="26">
        <v>13</v>
      </c>
      <c r="P701" s="47">
        <v>21</v>
      </c>
      <c r="Q701" s="27">
        <v>14</v>
      </c>
      <c r="R701" s="50">
        <v>1</v>
      </c>
      <c r="S701" s="9">
        <f>SUM(O701:R701)</f>
        <v>49</v>
      </c>
      <c r="T701" s="47">
        <v>5</v>
      </c>
      <c r="U701" s="47">
        <v>5</v>
      </c>
      <c r="V701" s="27"/>
      <c r="W701" s="50"/>
      <c r="X701" s="9">
        <f>SUM(T701:W701)</f>
        <v>10</v>
      </c>
      <c r="Y701" s="11">
        <f t="shared" si="479"/>
        <v>59</v>
      </c>
      <c r="Z701" s="99">
        <v>45027</v>
      </c>
    </row>
    <row r="702" spans="1:27" x14ac:dyDescent="0.15">
      <c r="A702" s="13" t="s">
        <v>594</v>
      </c>
      <c r="B702" s="26">
        <v>-2</v>
      </c>
      <c r="C702" s="47">
        <v>-5</v>
      </c>
      <c r="D702" s="27">
        <v>-2</v>
      </c>
      <c r="E702" s="34">
        <v>-1</v>
      </c>
      <c r="F702" s="35">
        <f t="shared" si="485"/>
        <v>-10</v>
      </c>
      <c r="G702" s="26"/>
      <c r="H702" s="47"/>
      <c r="I702" s="27"/>
      <c r="J702" s="34"/>
      <c r="K702" s="35">
        <f t="shared" si="486"/>
        <v>0</v>
      </c>
      <c r="L702" s="11">
        <f t="shared" si="475"/>
        <v>-10</v>
      </c>
      <c r="M702" s="126">
        <v>45033</v>
      </c>
      <c r="N702" s="57" t="s">
        <v>581</v>
      </c>
      <c r="O702" s="26"/>
      <c r="P702" s="47"/>
      <c r="Q702" s="27"/>
      <c r="R702" s="34">
        <v>2</v>
      </c>
      <c r="S702" s="35">
        <f t="shared" ref="S702:S719" si="492">SUM(O702:R702)</f>
        <v>2</v>
      </c>
      <c r="T702" s="26"/>
      <c r="U702" s="47"/>
      <c r="V702" s="27"/>
      <c r="W702" s="34"/>
      <c r="X702" s="35">
        <f t="shared" ref="X702:X719" si="493">SUM(T702:W702)</f>
        <v>0</v>
      </c>
      <c r="Y702" s="11">
        <f t="shared" si="479"/>
        <v>2</v>
      </c>
      <c r="Z702" s="99">
        <v>45030</v>
      </c>
    </row>
    <row r="703" spans="1:27" x14ac:dyDescent="0.15">
      <c r="A703" s="13" t="s">
        <v>41</v>
      </c>
      <c r="B703" s="26"/>
      <c r="C703" s="47"/>
      <c r="D703" s="27"/>
      <c r="E703" s="34"/>
      <c r="F703" s="35">
        <f t="shared" si="485"/>
        <v>0</v>
      </c>
      <c r="G703" s="26"/>
      <c r="H703" s="47">
        <v>1</v>
      </c>
      <c r="I703" s="27"/>
      <c r="J703" s="34"/>
      <c r="K703" s="35">
        <f t="shared" si="486"/>
        <v>1</v>
      </c>
      <c r="L703" s="11">
        <f t="shared" si="475"/>
        <v>1</v>
      </c>
      <c r="M703" s="126">
        <v>45034</v>
      </c>
      <c r="N703" s="15" t="s">
        <v>583</v>
      </c>
      <c r="O703" s="26">
        <v>12</v>
      </c>
      <c r="P703" s="47">
        <v>16</v>
      </c>
      <c r="Q703" s="27">
        <v>7</v>
      </c>
      <c r="R703" s="34">
        <v>3</v>
      </c>
      <c r="S703" s="35">
        <f t="shared" si="492"/>
        <v>38</v>
      </c>
      <c r="T703" s="26">
        <v>4</v>
      </c>
      <c r="U703" s="47">
        <v>5</v>
      </c>
      <c r="V703" s="27">
        <v>1</v>
      </c>
      <c r="W703" s="34">
        <v>3</v>
      </c>
      <c r="X703" s="35">
        <f t="shared" si="493"/>
        <v>13</v>
      </c>
      <c r="Y703" s="11">
        <f t="shared" si="479"/>
        <v>51</v>
      </c>
      <c r="Z703" s="99">
        <v>45028</v>
      </c>
    </row>
    <row r="704" spans="1:27" x14ac:dyDescent="0.15">
      <c r="A704" s="13" t="s">
        <v>41</v>
      </c>
      <c r="B704" s="26"/>
      <c r="C704" s="47">
        <v>1</v>
      </c>
      <c r="D704" s="27">
        <v>2</v>
      </c>
      <c r="E704" s="34"/>
      <c r="F704" s="35">
        <f t="shared" si="485"/>
        <v>3</v>
      </c>
      <c r="G704" s="26"/>
      <c r="H704" s="47"/>
      <c r="I704" s="27"/>
      <c r="J704" s="34"/>
      <c r="K704" s="35">
        <f t="shared" si="486"/>
        <v>0</v>
      </c>
      <c r="L704" s="11">
        <f t="shared" si="475"/>
        <v>3</v>
      </c>
      <c r="M704" s="126">
        <v>45037</v>
      </c>
      <c r="N704" s="90" t="s">
        <v>595</v>
      </c>
      <c r="O704" s="26"/>
      <c r="P704" s="47"/>
      <c r="Q704" s="27"/>
      <c r="R704" s="34"/>
      <c r="S704" s="35">
        <f t="shared" si="492"/>
        <v>0</v>
      </c>
      <c r="T704" s="26"/>
      <c r="U704" s="47"/>
      <c r="V704" s="27">
        <v>8</v>
      </c>
      <c r="W704" s="34"/>
      <c r="X704" s="35">
        <f t="shared" si="493"/>
        <v>8</v>
      </c>
      <c r="Y704" s="11">
        <f t="shared" si="479"/>
        <v>8</v>
      </c>
      <c r="Z704" s="99">
        <v>45034</v>
      </c>
    </row>
    <row r="705" spans="1:27" x14ac:dyDescent="0.15">
      <c r="A705" s="13"/>
      <c r="B705" s="26"/>
      <c r="C705" s="47"/>
      <c r="D705" s="27"/>
      <c r="E705" s="34"/>
      <c r="F705" s="35">
        <f t="shared" si="485"/>
        <v>0</v>
      </c>
      <c r="G705" s="26"/>
      <c r="H705" s="47"/>
      <c r="I705" s="27"/>
      <c r="J705" s="34"/>
      <c r="K705" s="35">
        <f t="shared" si="486"/>
        <v>0</v>
      </c>
      <c r="L705" s="11">
        <f t="shared" si="475"/>
        <v>0</v>
      </c>
      <c r="N705" s="15" t="s">
        <v>586</v>
      </c>
      <c r="O705" s="26">
        <v>5</v>
      </c>
      <c r="P705" s="47">
        <v>13</v>
      </c>
      <c r="Q705" s="27">
        <v>3</v>
      </c>
      <c r="R705" s="34">
        <v>2</v>
      </c>
      <c r="S705" s="35">
        <f t="shared" si="492"/>
        <v>23</v>
      </c>
      <c r="T705" s="26"/>
      <c r="U705" s="47">
        <v>2</v>
      </c>
      <c r="V705" s="27">
        <v>3</v>
      </c>
      <c r="W705" s="34"/>
      <c r="X705" s="35">
        <f t="shared" si="493"/>
        <v>5</v>
      </c>
      <c r="Y705" s="11">
        <f t="shared" si="479"/>
        <v>28</v>
      </c>
      <c r="Z705" s="99">
        <v>45030</v>
      </c>
      <c r="AA705" s="58"/>
    </row>
    <row r="706" spans="1:27" x14ac:dyDescent="0.15">
      <c r="A706" s="15"/>
      <c r="B706" s="26"/>
      <c r="C706" s="47"/>
      <c r="D706" s="27"/>
      <c r="E706" s="34"/>
      <c r="F706" s="35">
        <f t="shared" si="485"/>
        <v>0</v>
      </c>
      <c r="G706" s="26"/>
      <c r="H706" s="47"/>
      <c r="I706" s="27"/>
      <c r="J706" s="34"/>
      <c r="K706" s="35">
        <f t="shared" si="486"/>
        <v>0</v>
      </c>
      <c r="L706" s="11">
        <f t="shared" si="475"/>
        <v>0</v>
      </c>
      <c r="N706" s="90" t="s">
        <v>350</v>
      </c>
      <c r="O706" s="26"/>
      <c r="P706" s="47"/>
      <c r="Q706" s="27"/>
      <c r="R706" s="34"/>
      <c r="S706" s="35">
        <f>SUM(O706:R706)</f>
        <v>0</v>
      </c>
      <c r="T706" s="26">
        <v>5</v>
      </c>
      <c r="U706" s="47"/>
      <c r="V706" s="27"/>
      <c r="W706" s="34"/>
      <c r="X706" s="35">
        <f>SUM(T706:W706)</f>
        <v>5</v>
      </c>
      <c r="Y706" s="11">
        <f t="shared" si="479"/>
        <v>5</v>
      </c>
      <c r="Z706" s="99">
        <v>45030</v>
      </c>
    </row>
    <row r="707" spans="1:27" x14ac:dyDescent="0.15">
      <c r="A707" s="13"/>
      <c r="B707" s="26"/>
      <c r="C707" s="47"/>
      <c r="D707" s="27"/>
      <c r="E707" s="34"/>
      <c r="F707" s="35">
        <f t="shared" si="485"/>
        <v>0</v>
      </c>
      <c r="G707" s="26"/>
      <c r="H707" s="47"/>
      <c r="I707" s="27"/>
      <c r="J707" s="34"/>
      <c r="K707" s="35">
        <f t="shared" si="486"/>
        <v>0</v>
      </c>
      <c r="L707" s="11">
        <f t="shared" si="475"/>
        <v>0</v>
      </c>
      <c r="N707" s="15" t="s">
        <v>589</v>
      </c>
      <c r="O707" s="26">
        <v>27</v>
      </c>
      <c r="P707" s="47">
        <v>35</v>
      </c>
      <c r="Q707" s="27">
        <v>16</v>
      </c>
      <c r="R707" s="34">
        <v>10</v>
      </c>
      <c r="S707" s="35">
        <f t="shared" si="492"/>
        <v>88</v>
      </c>
      <c r="T707" s="26">
        <v>7</v>
      </c>
      <c r="U707" s="47">
        <v>8</v>
      </c>
      <c r="V707" s="27">
        <v>6</v>
      </c>
      <c r="W707" s="34">
        <v>4</v>
      </c>
      <c r="X707" s="35">
        <f t="shared" si="493"/>
        <v>25</v>
      </c>
      <c r="Y707" s="11">
        <f t="shared" si="479"/>
        <v>113</v>
      </c>
      <c r="Z707" s="99">
        <v>45033</v>
      </c>
    </row>
    <row r="708" spans="1:27" x14ac:dyDescent="0.15">
      <c r="A708" s="15"/>
      <c r="B708" s="26"/>
      <c r="C708" s="47"/>
      <c r="D708" s="27"/>
      <c r="E708" s="34"/>
      <c r="F708" s="35">
        <f t="shared" si="485"/>
        <v>0</v>
      </c>
      <c r="G708" s="26"/>
      <c r="H708" s="47"/>
      <c r="I708" s="27"/>
      <c r="J708" s="34"/>
      <c r="K708" s="35">
        <f t="shared" si="486"/>
        <v>0</v>
      </c>
      <c r="L708" s="11">
        <f t="shared" si="475"/>
        <v>0</v>
      </c>
      <c r="N708" s="15" t="s">
        <v>593</v>
      </c>
      <c r="O708" s="26">
        <v>4</v>
      </c>
      <c r="P708" s="47">
        <v>8</v>
      </c>
      <c r="Q708" s="27">
        <v>4</v>
      </c>
      <c r="R708" s="34">
        <v>3</v>
      </c>
      <c r="S708" s="35">
        <f t="shared" si="492"/>
        <v>19</v>
      </c>
      <c r="T708" s="26"/>
      <c r="U708" s="47">
        <v>2</v>
      </c>
      <c r="V708" s="27">
        <v>1</v>
      </c>
      <c r="W708" s="34">
        <v>1</v>
      </c>
      <c r="X708" s="35">
        <f t="shared" si="493"/>
        <v>4</v>
      </c>
      <c r="Y708" s="11">
        <f t="shared" si="479"/>
        <v>23</v>
      </c>
      <c r="Z708" s="99">
        <v>45034</v>
      </c>
    </row>
    <row r="709" spans="1:27" x14ac:dyDescent="0.15">
      <c r="A709" s="13"/>
      <c r="B709" s="26"/>
      <c r="C709" s="47"/>
      <c r="D709" s="27"/>
      <c r="E709" s="34"/>
      <c r="F709" s="35">
        <f t="shared" si="485"/>
        <v>0</v>
      </c>
      <c r="G709" s="26"/>
      <c r="H709" s="47"/>
      <c r="I709" s="27"/>
      <c r="J709" s="34"/>
      <c r="K709" s="35">
        <f t="shared" si="486"/>
        <v>0</v>
      </c>
      <c r="L709" s="11">
        <f t="shared" si="475"/>
        <v>0</v>
      </c>
      <c r="N709" s="15" t="s">
        <v>596</v>
      </c>
      <c r="O709" s="26">
        <v>3</v>
      </c>
      <c r="P709" s="47"/>
      <c r="Q709" s="27">
        <v>7</v>
      </c>
      <c r="R709" s="34">
        <v>6</v>
      </c>
      <c r="S709" s="35">
        <f t="shared" si="492"/>
        <v>16</v>
      </c>
      <c r="T709" s="26"/>
      <c r="U709" s="47"/>
      <c r="V709" s="27"/>
      <c r="W709" s="34"/>
      <c r="X709" s="35">
        <f t="shared" si="493"/>
        <v>0</v>
      </c>
      <c r="Y709" s="11">
        <f t="shared" si="479"/>
        <v>16</v>
      </c>
      <c r="Z709" s="99">
        <v>45036</v>
      </c>
      <c r="AA709" s="58"/>
    </row>
    <row r="710" spans="1:27" x14ac:dyDescent="0.15">
      <c r="A710" s="15"/>
      <c r="B710" s="26"/>
      <c r="C710" s="47"/>
      <c r="D710" s="27"/>
      <c r="E710" s="34"/>
      <c r="F710" s="35">
        <f t="shared" si="485"/>
        <v>0</v>
      </c>
      <c r="G710" s="26"/>
      <c r="H710" s="47"/>
      <c r="I710" s="27"/>
      <c r="J710" s="34"/>
      <c r="K710" s="35">
        <f t="shared" si="486"/>
        <v>0</v>
      </c>
      <c r="L710" s="11">
        <f t="shared" si="475"/>
        <v>0</v>
      </c>
      <c r="N710" s="15" t="s">
        <v>597</v>
      </c>
      <c r="O710" s="26">
        <v>22</v>
      </c>
      <c r="P710" s="47">
        <v>6</v>
      </c>
      <c r="Q710" s="27">
        <v>9</v>
      </c>
      <c r="R710" s="34">
        <v>3</v>
      </c>
      <c r="S710" s="35">
        <f t="shared" si="492"/>
        <v>40</v>
      </c>
      <c r="T710" s="26">
        <v>6</v>
      </c>
      <c r="U710" s="47">
        <v>16</v>
      </c>
      <c r="V710" s="27">
        <v>1</v>
      </c>
      <c r="W710" s="34">
        <v>1</v>
      </c>
      <c r="X710" s="35">
        <f t="shared" si="493"/>
        <v>24</v>
      </c>
      <c r="Y710" s="11">
        <f t="shared" si="479"/>
        <v>64</v>
      </c>
      <c r="Z710" s="99">
        <v>45037</v>
      </c>
    </row>
    <row r="711" spans="1:27" x14ac:dyDescent="0.15">
      <c r="A711" s="15"/>
      <c r="B711" s="26"/>
      <c r="C711" s="47"/>
      <c r="D711" s="27"/>
      <c r="E711" s="34"/>
      <c r="F711" s="35">
        <f t="shared" si="485"/>
        <v>0</v>
      </c>
      <c r="G711" s="26"/>
      <c r="H711" s="47"/>
      <c r="I711" s="27"/>
      <c r="J711" s="34"/>
      <c r="K711" s="35">
        <f t="shared" si="486"/>
        <v>0</v>
      </c>
      <c r="L711" s="11">
        <f t="shared" si="475"/>
        <v>0</v>
      </c>
      <c r="N711" s="90" t="s">
        <v>604</v>
      </c>
      <c r="O711" s="26"/>
      <c r="P711" s="47"/>
      <c r="Q711" s="27"/>
      <c r="R711" s="34">
        <v>8</v>
      </c>
      <c r="S711" s="35">
        <f t="shared" si="492"/>
        <v>8</v>
      </c>
      <c r="T711" s="26"/>
      <c r="U711" s="47">
        <v>5</v>
      </c>
      <c r="V711" s="27">
        <v>5</v>
      </c>
      <c r="W711" s="34"/>
      <c r="X711" s="35">
        <f t="shared" si="493"/>
        <v>10</v>
      </c>
      <c r="Y711" s="11">
        <f t="shared" si="479"/>
        <v>18</v>
      </c>
      <c r="Z711" s="99">
        <v>45041</v>
      </c>
    </row>
    <row r="712" spans="1:27" x14ac:dyDescent="0.15">
      <c r="A712" s="13"/>
      <c r="B712" s="26"/>
      <c r="C712" s="47"/>
      <c r="D712" s="27"/>
      <c r="E712" s="34"/>
      <c r="F712" s="35">
        <f t="shared" si="485"/>
        <v>0</v>
      </c>
      <c r="G712" s="26"/>
      <c r="H712" s="47"/>
      <c r="I712" s="27"/>
      <c r="J712" s="34"/>
      <c r="K712" s="35">
        <f t="shared" si="486"/>
        <v>0</v>
      </c>
      <c r="L712" s="11">
        <f t="shared" si="475"/>
        <v>0</v>
      </c>
      <c r="N712" s="90" t="s">
        <v>350</v>
      </c>
      <c r="O712" s="26"/>
      <c r="P712" s="47"/>
      <c r="Q712" s="27"/>
      <c r="R712" s="34">
        <v>3</v>
      </c>
      <c r="S712" s="35">
        <f>SUM(O712:R712)</f>
        <v>3</v>
      </c>
      <c r="T712" s="26"/>
      <c r="U712" s="47"/>
      <c r="V712" s="27"/>
      <c r="W712" s="34"/>
      <c r="X712" s="35">
        <f>SUM(T712:W712)</f>
        <v>0</v>
      </c>
      <c r="Y712" s="11">
        <f t="shared" si="479"/>
        <v>3</v>
      </c>
      <c r="Z712" s="99">
        <v>45041</v>
      </c>
    </row>
    <row r="713" spans="1:27" x14ac:dyDescent="0.15">
      <c r="A713" s="32"/>
      <c r="B713" s="26"/>
      <c r="C713" s="47"/>
      <c r="D713" s="27"/>
      <c r="E713" s="34"/>
      <c r="F713" s="35">
        <f t="shared" si="485"/>
        <v>0</v>
      </c>
      <c r="G713" s="26"/>
      <c r="H713" s="47"/>
      <c r="I713" s="27"/>
      <c r="J713" s="34"/>
      <c r="K713" s="35">
        <f t="shared" si="486"/>
        <v>0</v>
      </c>
      <c r="L713" s="11">
        <f t="shared" si="475"/>
        <v>0</v>
      </c>
      <c r="N713" s="57"/>
      <c r="O713" s="26"/>
      <c r="P713" s="47"/>
      <c r="Q713" s="27"/>
      <c r="R713" s="34"/>
      <c r="S713" s="35">
        <f t="shared" ref="S713" si="494">SUM(O713:R713)</f>
        <v>0</v>
      </c>
      <c r="T713" s="26"/>
      <c r="U713" s="47"/>
      <c r="V713" s="27"/>
      <c r="W713" s="34"/>
      <c r="X713" s="35">
        <f t="shared" ref="X713" si="495">SUM(T713:W713)</f>
        <v>0</v>
      </c>
      <c r="Y713" s="11">
        <f t="shared" ref="Y713" si="496">S713+X713</f>
        <v>0</v>
      </c>
    </row>
    <row r="714" spans="1:27" x14ac:dyDescent="0.15">
      <c r="A714" s="32"/>
      <c r="B714" s="26"/>
      <c r="C714" s="47"/>
      <c r="D714" s="27"/>
      <c r="E714" s="34"/>
      <c r="F714" s="35">
        <f t="shared" si="485"/>
        <v>0</v>
      </c>
      <c r="G714" s="26"/>
      <c r="H714" s="47"/>
      <c r="I714" s="27"/>
      <c r="J714" s="34"/>
      <c r="K714" s="35">
        <f t="shared" si="486"/>
        <v>0</v>
      </c>
      <c r="L714" s="11">
        <f t="shared" si="475"/>
        <v>0</v>
      </c>
      <c r="N714" s="153" t="s">
        <v>569</v>
      </c>
      <c r="O714" s="154"/>
      <c r="P714" s="155"/>
      <c r="Q714" s="156"/>
      <c r="R714" s="157"/>
      <c r="S714" s="158">
        <f t="shared" ref="S714:S715" si="497">SUM(O714:R714)</f>
        <v>0</v>
      </c>
      <c r="T714" s="154"/>
      <c r="U714" s="155"/>
      <c r="V714" s="156"/>
      <c r="W714" s="157"/>
      <c r="X714" s="158">
        <f t="shared" ref="X714" si="498">SUM(T714:W714)</f>
        <v>0</v>
      </c>
      <c r="Y714" s="159">
        <f t="shared" ref="Y714:Y715" si="499">S714+X714</f>
        <v>0</v>
      </c>
      <c r="Z714" s="205" t="s">
        <v>570</v>
      </c>
    </row>
    <row r="715" spans="1:27" x14ac:dyDescent="0.15">
      <c r="A715" s="12"/>
      <c r="B715" s="26"/>
      <c r="C715" s="47"/>
      <c r="D715" s="27"/>
      <c r="E715" s="34"/>
      <c r="F715" s="35">
        <f t="shared" si="485"/>
        <v>0</v>
      </c>
      <c r="G715" s="26"/>
      <c r="H715" s="47"/>
      <c r="I715" s="27"/>
      <c r="J715" s="34"/>
      <c r="K715" s="35">
        <f t="shared" si="486"/>
        <v>0</v>
      </c>
      <c r="L715" s="11">
        <f t="shared" si="475"/>
        <v>0</v>
      </c>
      <c r="N715" s="173" t="s">
        <v>549</v>
      </c>
      <c r="O715" s="174"/>
      <c r="P715" s="175"/>
      <c r="Q715" s="176"/>
      <c r="R715" s="177"/>
      <c r="S715" s="178">
        <f t="shared" si="497"/>
        <v>0</v>
      </c>
      <c r="T715" s="174"/>
      <c r="U715" s="175"/>
      <c r="V715" s="176"/>
      <c r="W715" s="177"/>
      <c r="X715" s="178">
        <f t="shared" si="493"/>
        <v>0</v>
      </c>
      <c r="Y715" s="179">
        <f t="shared" si="499"/>
        <v>0</v>
      </c>
      <c r="Z715" s="205" t="s">
        <v>540</v>
      </c>
    </row>
    <row r="716" spans="1:27" x14ac:dyDescent="0.15">
      <c r="A716" s="79"/>
      <c r="B716" s="26"/>
      <c r="C716" s="47"/>
      <c r="D716" s="27"/>
      <c r="E716" s="34"/>
      <c r="F716" s="35">
        <f t="shared" si="485"/>
        <v>0</v>
      </c>
      <c r="G716" s="26"/>
      <c r="H716" s="47"/>
      <c r="I716" s="27"/>
      <c r="J716" s="34"/>
      <c r="K716" s="35">
        <f t="shared" si="486"/>
        <v>0</v>
      </c>
      <c r="L716" s="11">
        <f t="shared" si="475"/>
        <v>0</v>
      </c>
      <c r="N716" s="57" t="s">
        <v>527</v>
      </c>
      <c r="O716" s="66"/>
      <c r="P716" s="67"/>
      <c r="Q716" s="68"/>
      <c r="R716" s="69"/>
      <c r="S716" s="70">
        <f t="shared" si="492"/>
        <v>0</v>
      </c>
      <c r="T716" s="66"/>
      <c r="U716" s="67"/>
      <c r="V716" s="68"/>
      <c r="W716" s="69"/>
      <c r="X716" s="70">
        <f t="shared" si="493"/>
        <v>0</v>
      </c>
      <c r="Y716" s="11">
        <f t="shared" si="479"/>
        <v>0</v>
      </c>
      <c r="Z716" s="101" t="s">
        <v>528</v>
      </c>
    </row>
    <row r="717" spans="1:27" x14ac:dyDescent="0.15">
      <c r="A717" s="57"/>
      <c r="B717" s="26"/>
      <c r="C717" s="47"/>
      <c r="D717" s="27"/>
      <c r="E717" s="34"/>
      <c r="F717" s="35">
        <f t="shared" si="485"/>
        <v>0</v>
      </c>
      <c r="G717" s="26"/>
      <c r="H717" s="47"/>
      <c r="I717" s="27"/>
      <c r="J717" s="34"/>
      <c r="K717" s="35">
        <f t="shared" si="486"/>
        <v>0</v>
      </c>
      <c r="L717" s="11">
        <f t="shared" si="475"/>
        <v>0</v>
      </c>
      <c r="N717" s="57" t="s">
        <v>539</v>
      </c>
      <c r="O717" s="66"/>
      <c r="P717" s="67"/>
      <c r="Q717" s="68"/>
      <c r="R717" s="69"/>
      <c r="S717" s="70">
        <f t="shared" si="492"/>
        <v>0</v>
      </c>
      <c r="T717" s="66"/>
      <c r="U717" s="67"/>
      <c r="V717" s="68"/>
      <c r="W717" s="69"/>
      <c r="X717" s="70">
        <f t="shared" si="493"/>
        <v>0</v>
      </c>
      <c r="Y717" s="11">
        <f t="shared" si="479"/>
        <v>0</v>
      </c>
      <c r="Z717" s="101" t="s">
        <v>540</v>
      </c>
    </row>
    <row r="718" spans="1:27" ht="14.25" thickBot="1" x14ac:dyDescent="0.2">
      <c r="A718" s="90"/>
      <c r="B718" s="62"/>
      <c r="C718" s="63"/>
      <c r="D718" s="64"/>
      <c r="E718" s="65"/>
      <c r="F718" s="35">
        <f t="shared" si="485"/>
        <v>0</v>
      </c>
      <c r="G718" s="62"/>
      <c r="H718" s="63"/>
      <c r="I718" s="64"/>
      <c r="J718" s="65"/>
      <c r="K718" s="35">
        <f t="shared" si="486"/>
        <v>0</v>
      </c>
      <c r="L718" s="14">
        <f t="shared" si="475"/>
        <v>0</v>
      </c>
      <c r="N718" s="135" t="s">
        <v>533</v>
      </c>
      <c r="O718" s="62"/>
      <c r="P718" s="63"/>
      <c r="Q718" s="64"/>
      <c r="R718" s="65"/>
      <c r="S718" s="120">
        <f t="shared" si="492"/>
        <v>0</v>
      </c>
      <c r="T718" s="62"/>
      <c r="U718" s="63"/>
      <c r="V718" s="64"/>
      <c r="W718" s="65"/>
      <c r="X718" s="120">
        <f t="shared" si="493"/>
        <v>0</v>
      </c>
      <c r="Y718" s="114">
        <f t="shared" si="479"/>
        <v>0</v>
      </c>
      <c r="Z718" s="101" t="s">
        <v>534</v>
      </c>
      <c r="AA718" s="58"/>
    </row>
    <row r="719" spans="1:27" ht="14.25" thickBot="1" x14ac:dyDescent="0.2">
      <c r="A719" s="17" t="s">
        <v>10</v>
      </c>
      <c r="B719" s="38">
        <f>SUM(B694:B718)</f>
        <v>22</v>
      </c>
      <c r="C719" s="48">
        <f>SUM(C694:C718)</f>
        <v>25</v>
      </c>
      <c r="D719" s="39">
        <f>SUM(D694:D718)</f>
        <v>25</v>
      </c>
      <c r="E719" s="40">
        <f>SUM(E694:E718)</f>
        <v>13</v>
      </c>
      <c r="F719" s="36">
        <f>SUM(B719:E719)</f>
        <v>85</v>
      </c>
      <c r="G719" s="38">
        <f>SUM(G694:G718)</f>
        <v>11</v>
      </c>
      <c r="H719" s="48">
        <f>SUM(H694:H718)</f>
        <v>9</v>
      </c>
      <c r="I719" s="39">
        <f>SUM(I694:I718)</f>
        <v>5</v>
      </c>
      <c r="J719" s="40">
        <f>SUM(J694:J718)</f>
        <v>10</v>
      </c>
      <c r="K719" s="36">
        <f>SUM(G719:J719)</f>
        <v>35</v>
      </c>
      <c r="L719" s="37">
        <f t="shared" si="475"/>
        <v>120</v>
      </c>
      <c r="N719" s="133" t="s">
        <v>10</v>
      </c>
      <c r="O719" s="38">
        <f>SUM(O694:O718)</f>
        <v>183</v>
      </c>
      <c r="P719" s="48">
        <f>SUM(P694:P718)</f>
        <v>205</v>
      </c>
      <c r="Q719" s="39">
        <f>SUM(Q694:Q718)</f>
        <v>123</v>
      </c>
      <c r="R719" s="40">
        <f>SUM(R694:R718)</f>
        <v>89</v>
      </c>
      <c r="S719" s="118">
        <f t="shared" si="492"/>
        <v>600</v>
      </c>
      <c r="T719" s="38">
        <f>SUM(T694:T718)</f>
        <v>47</v>
      </c>
      <c r="U719" s="48">
        <f>SUM(U694:U718)</f>
        <v>65</v>
      </c>
      <c r="V719" s="39">
        <f>SUM(V694:V718)</f>
        <v>36</v>
      </c>
      <c r="W719" s="40">
        <f>SUM(W694:W718)</f>
        <v>30</v>
      </c>
      <c r="X719" s="118">
        <f t="shared" si="493"/>
        <v>178</v>
      </c>
      <c r="Y719" s="119">
        <f t="shared" si="479"/>
        <v>778</v>
      </c>
    </row>
    <row r="720" spans="1:27" ht="14.25" thickBot="1" x14ac:dyDescent="0.2">
      <c r="A720" s="22" t="s">
        <v>11</v>
      </c>
      <c r="B720" s="41">
        <f>B693-B719</f>
        <v>7</v>
      </c>
      <c r="C720" s="49">
        <f>C693-C719</f>
        <v>10</v>
      </c>
      <c r="D720" s="42">
        <f t="shared" ref="D720:K720" si="500">D693-D719</f>
        <v>4</v>
      </c>
      <c r="E720" s="43">
        <f t="shared" si="500"/>
        <v>4</v>
      </c>
      <c r="F720" s="61">
        <f t="shared" si="500"/>
        <v>21</v>
      </c>
      <c r="G720" s="41">
        <f t="shared" si="500"/>
        <v>5</v>
      </c>
      <c r="H720" s="49">
        <f t="shared" si="500"/>
        <v>4</v>
      </c>
      <c r="I720" s="42">
        <f t="shared" si="500"/>
        <v>5</v>
      </c>
      <c r="J720" s="43">
        <f t="shared" si="500"/>
        <v>4</v>
      </c>
      <c r="K720" s="61">
        <f t="shared" si="500"/>
        <v>18</v>
      </c>
      <c r="L720" s="21">
        <f t="shared" si="475"/>
        <v>39</v>
      </c>
      <c r="N720" s="17" t="s">
        <v>11</v>
      </c>
      <c r="O720" s="41">
        <f>O693-O719</f>
        <v>443</v>
      </c>
      <c r="P720" s="49">
        <f t="shared" ref="P720:X720" si="501">P693-P719</f>
        <v>580</v>
      </c>
      <c r="Q720" s="42">
        <f t="shared" si="501"/>
        <v>303</v>
      </c>
      <c r="R720" s="43">
        <f t="shared" si="501"/>
        <v>182</v>
      </c>
      <c r="S720" s="61">
        <f t="shared" si="501"/>
        <v>1508</v>
      </c>
      <c r="T720" s="41">
        <f t="shared" si="501"/>
        <v>580</v>
      </c>
      <c r="U720" s="49">
        <f t="shared" si="501"/>
        <v>712</v>
      </c>
      <c r="V720" s="42">
        <f t="shared" si="501"/>
        <v>403</v>
      </c>
      <c r="W720" s="43">
        <f t="shared" si="501"/>
        <v>351</v>
      </c>
      <c r="X720" s="61">
        <f t="shared" si="501"/>
        <v>2046</v>
      </c>
      <c r="Y720" s="21">
        <f t="shared" si="479"/>
        <v>3554</v>
      </c>
    </row>
    <row r="721" spans="1:26" x14ac:dyDescent="0.15"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4"/>
    </row>
    <row r="722" spans="1:26" x14ac:dyDescent="0.15">
      <c r="N722" s="214"/>
      <c r="O722" s="215"/>
      <c r="P722" s="215"/>
      <c r="Q722" s="215"/>
      <c r="R722" s="215"/>
      <c r="S722" s="215"/>
      <c r="T722" s="215"/>
      <c r="U722" s="215"/>
      <c r="V722" s="211"/>
      <c r="W722" s="211"/>
      <c r="X722" s="215"/>
    </row>
    <row r="723" spans="1:26" ht="19.5" thickBot="1" x14ac:dyDescent="0.25">
      <c r="A723" s="2" t="s">
        <v>106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6" ht="14.25" thickBot="1" x14ac:dyDescent="0.2">
      <c r="A724" s="5" t="s">
        <v>0</v>
      </c>
      <c r="B724" s="342" t="s">
        <v>18</v>
      </c>
      <c r="C724" s="350"/>
      <c r="D724" s="350"/>
      <c r="E724" s="350"/>
      <c r="F724" s="351"/>
      <c r="G724" s="345" t="s">
        <v>12</v>
      </c>
      <c r="H724" s="352"/>
      <c r="I724" s="352"/>
      <c r="J724" s="352"/>
      <c r="K724" s="353"/>
      <c r="L724" s="354" t="s">
        <v>1</v>
      </c>
      <c r="N724" s="5" t="s">
        <v>0</v>
      </c>
      <c r="O724" s="342" t="s">
        <v>18</v>
      </c>
      <c r="P724" s="350"/>
      <c r="Q724" s="350"/>
      <c r="R724" s="350"/>
      <c r="S724" s="351"/>
      <c r="T724" s="345" t="s">
        <v>12</v>
      </c>
      <c r="U724" s="352"/>
      <c r="V724" s="352"/>
      <c r="W724" s="352"/>
      <c r="X724" s="353"/>
      <c r="Y724" s="354" t="s">
        <v>1</v>
      </c>
    </row>
    <row r="725" spans="1:26" ht="14.25" thickBot="1" x14ac:dyDescent="0.2">
      <c r="A725" s="5" t="s">
        <v>2</v>
      </c>
      <c r="B725" s="3" t="s">
        <v>13</v>
      </c>
      <c r="C725" s="44" t="s">
        <v>14</v>
      </c>
      <c r="D725" s="4" t="s">
        <v>15</v>
      </c>
      <c r="E725" s="23" t="s">
        <v>16</v>
      </c>
      <c r="F725" s="31" t="s">
        <v>3</v>
      </c>
      <c r="G725" s="3" t="s">
        <v>13</v>
      </c>
      <c r="H725" s="44" t="s">
        <v>14</v>
      </c>
      <c r="I725" s="4" t="s">
        <v>15</v>
      </c>
      <c r="J725" s="23" t="s">
        <v>16</v>
      </c>
      <c r="K725" s="31" t="s">
        <v>3</v>
      </c>
      <c r="L725" s="355"/>
      <c r="N725" s="5" t="s">
        <v>2</v>
      </c>
      <c r="O725" s="3" t="s">
        <v>13</v>
      </c>
      <c r="P725" s="44" t="s">
        <v>14</v>
      </c>
      <c r="Q725" s="4" t="s">
        <v>15</v>
      </c>
      <c r="R725" s="23" t="s">
        <v>16</v>
      </c>
      <c r="S725" s="31" t="s">
        <v>3</v>
      </c>
      <c r="T725" s="3" t="s">
        <v>13</v>
      </c>
      <c r="U725" s="44" t="s">
        <v>14</v>
      </c>
      <c r="V725" s="4" t="s">
        <v>15</v>
      </c>
      <c r="W725" s="23" t="s">
        <v>16</v>
      </c>
      <c r="X725" s="31" t="s">
        <v>3</v>
      </c>
      <c r="Y725" s="355"/>
    </row>
    <row r="726" spans="1:26" x14ac:dyDescent="0.15">
      <c r="A726" s="71" t="s">
        <v>17</v>
      </c>
      <c r="B726" s="72">
        <f>B720</f>
        <v>7</v>
      </c>
      <c r="C726" s="73">
        <f t="shared" ref="C726:L726" si="502">C720</f>
        <v>10</v>
      </c>
      <c r="D726" s="73">
        <f t="shared" si="502"/>
        <v>4</v>
      </c>
      <c r="E726" s="74">
        <f t="shared" si="502"/>
        <v>4</v>
      </c>
      <c r="F726" s="76">
        <f t="shared" si="502"/>
        <v>21</v>
      </c>
      <c r="G726" s="72">
        <f t="shared" si="502"/>
        <v>5</v>
      </c>
      <c r="H726" s="73">
        <f t="shared" si="502"/>
        <v>4</v>
      </c>
      <c r="I726" s="73">
        <f t="shared" si="502"/>
        <v>5</v>
      </c>
      <c r="J726" s="74">
        <f t="shared" si="502"/>
        <v>4</v>
      </c>
      <c r="K726" s="75">
        <f t="shared" si="502"/>
        <v>18</v>
      </c>
      <c r="L726" s="16">
        <f t="shared" si="502"/>
        <v>39</v>
      </c>
      <c r="N726" s="71" t="s">
        <v>17</v>
      </c>
      <c r="O726" s="72">
        <f>O720</f>
        <v>443</v>
      </c>
      <c r="P726" s="73">
        <f t="shared" ref="P726:Y726" si="503">P720</f>
        <v>580</v>
      </c>
      <c r="Q726" s="73">
        <f t="shared" si="503"/>
        <v>303</v>
      </c>
      <c r="R726" s="74">
        <f t="shared" si="503"/>
        <v>182</v>
      </c>
      <c r="S726" s="76">
        <f t="shared" si="503"/>
        <v>1508</v>
      </c>
      <c r="T726" s="72">
        <f t="shared" si="503"/>
        <v>580</v>
      </c>
      <c r="U726" s="73">
        <f t="shared" si="503"/>
        <v>712</v>
      </c>
      <c r="V726" s="73">
        <f t="shared" si="503"/>
        <v>403</v>
      </c>
      <c r="W726" s="74">
        <f t="shared" si="503"/>
        <v>351</v>
      </c>
      <c r="X726" s="75">
        <f t="shared" si="503"/>
        <v>2046</v>
      </c>
      <c r="Y726" s="16">
        <f t="shared" si="503"/>
        <v>3554</v>
      </c>
    </row>
    <row r="727" spans="1:26" x14ac:dyDescent="0.15">
      <c r="A727" s="13" t="s">
        <v>166</v>
      </c>
      <c r="B727" s="26">
        <v>5</v>
      </c>
      <c r="C727" s="47">
        <v>17</v>
      </c>
      <c r="D727" s="27">
        <v>9</v>
      </c>
      <c r="E727" s="50">
        <v>1</v>
      </c>
      <c r="F727" s="9">
        <f>SUM(B727:E727)</f>
        <v>32</v>
      </c>
      <c r="G727" s="47">
        <v>9</v>
      </c>
      <c r="H727" s="47">
        <v>3</v>
      </c>
      <c r="I727" s="27">
        <v>12</v>
      </c>
      <c r="J727" s="50">
        <v>6</v>
      </c>
      <c r="K727" s="9">
        <f>SUM(G727:J727)</f>
        <v>30</v>
      </c>
      <c r="L727" s="11">
        <f t="shared" ref="L727:L758" si="504">F727+K727</f>
        <v>62</v>
      </c>
      <c r="M727" s="126">
        <v>45036</v>
      </c>
      <c r="N727" s="13" t="s">
        <v>5</v>
      </c>
      <c r="O727" s="26"/>
      <c r="P727" s="47"/>
      <c r="Q727" s="27"/>
      <c r="R727" s="34"/>
      <c r="S727" s="77">
        <f>SUM(O727:R727)</f>
        <v>0</v>
      </c>
      <c r="T727" s="26"/>
      <c r="U727" s="47"/>
      <c r="V727" s="27"/>
      <c r="W727" s="34"/>
      <c r="X727" s="9">
        <f>SUM(T727:W727)</f>
        <v>0</v>
      </c>
      <c r="Y727" s="11">
        <f t="shared" ref="Y727" si="505">S727+X727</f>
        <v>0</v>
      </c>
    </row>
    <row r="728" spans="1:26" x14ac:dyDescent="0.15">
      <c r="A728" s="13" t="s">
        <v>6</v>
      </c>
      <c r="B728" s="26"/>
      <c r="C728" s="47"/>
      <c r="D728" s="27"/>
      <c r="E728" s="50">
        <v>3</v>
      </c>
      <c r="F728" s="9">
        <f>SUM(B728:E728)</f>
        <v>3</v>
      </c>
      <c r="G728" s="47"/>
      <c r="H728" s="47"/>
      <c r="I728" s="27"/>
      <c r="J728" s="50"/>
      <c r="K728" s="9">
        <f>SUM(G728:J728)</f>
        <v>0</v>
      </c>
      <c r="L728" s="11">
        <f t="shared" si="504"/>
        <v>3</v>
      </c>
      <c r="M728" s="99">
        <v>45041</v>
      </c>
      <c r="N728" s="13" t="s">
        <v>6</v>
      </c>
      <c r="O728" s="26"/>
      <c r="P728" s="47"/>
      <c r="Q728" s="27"/>
      <c r="R728" s="34"/>
      <c r="S728" s="77">
        <f>SUM(O728:R728)</f>
        <v>0</v>
      </c>
      <c r="T728" s="26"/>
      <c r="U728" s="47"/>
      <c r="V728" s="27"/>
      <c r="W728" s="34"/>
      <c r="X728" s="9">
        <f>SUM(T728:W728)</f>
        <v>0</v>
      </c>
      <c r="Y728" s="11">
        <f t="shared" ref="Y728" si="506">S728+X728</f>
        <v>0</v>
      </c>
    </row>
    <row r="729" spans="1:26" x14ac:dyDescent="0.15">
      <c r="A729" s="13" t="s">
        <v>49</v>
      </c>
      <c r="B729" s="26">
        <f>9+3</f>
        <v>12</v>
      </c>
      <c r="C729" s="47">
        <f>10-2</f>
        <v>8</v>
      </c>
      <c r="D729" s="27">
        <v>6</v>
      </c>
      <c r="E729" s="50">
        <f>7-3</f>
        <v>4</v>
      </c>
      <c r="F729" s="9">
        <f>SUM(B729:E729)</f>
        <v>30</v>
      </c>
      <c r="G729" s="47">
        <v>2</v>
      </c>
      <c r="H729" s="47">
        <v>1</v>
      </c>
      <c r="I729" s="27">
        <v>1</v>
      </c>
      <c r="J729" s="50">
        <v>1</v>
      </c>
      <c r="K729" s="9">
        <f>SUM(G729:J729)</f>
        <v>5</v>
      </c>
      <c r="L729" s="11">
        <f t="shared" si="504"/>
        <v>35</v>
      </c>
      <c r="M729" s="99">
        <v>45043</v>
      </c>
      <c r="N729" s="13" t="s">
        <v>7</v>
      </c>
      <c r="O729" s="26"/>
      <c r="P729" s="47"/>
      <c r="Q729" s="27"/>
      <c r="R729" s="34"/>
      <c r="S729" s="77">
        <f>SUM(O729:R729)</f>
        <v>0</v>
      </c>
      <c r="T729" s="47"/>
      <c r="U729" s="47"/>
      <c r="V729" s="27"/>
      <c r="W729" s="50"/>
      <c r="X729" s="9">
        <f>SUM(T729:W729)</f>
        <v>0</v>
      </c>
      <c r="Y729" s="11">
        <f t="shared" ref="Y729:Y758" si="507">S729+X729</f>
        <v>0</v>
      </c>
    </row>
    <row r="730" spans="1:26" ht="14.25" thickBot="1" x14ac:dyDescent="0.2">
      <c r="A730" s="13" t="s">
        <v>8</v>
      </c>
      <c r="B730" s="26"/>
      <c r="C730" s="47"/>
      <c r="D730" s="27"/>
      <c r="E730" s="50">
        <v>3</v>
      </c>
      <c r="F730" s="10">
        <f>SUM(B730:E730)</f>
        <v>3</v>
      </c>
      <c r="G730" s="47"/>
      <c r="H730" s="47"/>
      <c r="I730" s="27"/>
      <c r="J730" s="50">
        <v>3</v>
      </c>
      <c r="K730" s="10">
        <f>SUM(G730:J730)</f>
        <v>3</v>
      </c>
      <c r="L730" s="14">
        <f t="shared" si="504"/>
        <v>6</v>
      </c>
      <c r="M730" s="99">
        <v>45055</v>
      </c>
      <c r="N730" s="13" t="s">
        <v>8</v>
      </c>
      <c r="O730" s="62"/>
      <c r="P730" s="63"/>
      <c r="Q730" s="64"/>
      <c r="R730" s="65"/>
      <c r="S730" s="78">
        <f>SUM(O730:R730)</f>
        <v>0</v>
      </c>
      <c r="T730" s="47"/>
      <c r="U730" s="47"/>
      <c r="V730" s="27"/>
      <c r="W730" s="50"/>
      <c r="X730" s="10">
        <f>SUM(T730:W730)</f>
        <v>0</v>
      </c>
      <c r="Y730" s="14">
        <f t="shared" si="507"/>
        <v>0</v>
      </c>
    </row>
    <row r="731" spans="1:26" ht="14.25" thickBot="1" x14ac:dyDescent="0.2">
      <c r="A731" s="22" t="s">
        <v>9</v>
      </c>
      <c r="B731" s="51">
        <f t="shared" ref="B731:K731" si="508">SUM(B726:B730)</f>
        <v>24</v>
      </c>
      <c r="C731" s="52">
        <f t="shared" si="508"/>
        <v>35</v>
      </c>
      <c r="D731" s="53">
        <f t="shared" si="508"/>
        <v>19</v>
      </c>
      <c r="E731" s="54">
        <f t="shared" si="508"/>
        <v>15</v>
      </c>
      <c r="F731" s="28">
        <f t="shared" si="508"/>
        <v>89</v>
      </c>
      <c r="G731" s="51">
        <f t="shared" si="508"/>
        <v>16</v>
      </c>
      <c r="H731" s="52">
        <f t="shared" si="508"/>
        <v>8</v>
      </c>
      <c r="I731" s="53">
        <f t="shared" si="508"/>
        <v>18</v>
      </c>
      <c r="J731" s="54">
        <f t="shared" si="508"/>
        <v>14</v>
      </c>
      <c r="K731" s="28">
        <f t="shared" si="508"/>
        <v>56</v>
      </c>
      <c r="L731" s="21">
        <f t="shared" si="504"/>
        <v>145</v>
      </c>
      <c r="N731" s="17" t="s">
        <v>9</v>
      </c>
      <c r="O731" s="41">
        <f>SUM(O726:O730)</f>
        <v>443</v>
      </c>
      <c r="P731" s="49">
        <f t="shared" ref="P731:V731" si="509">SUM(P726:P730)</f>
        <v>580</v>
      </c>
      <c r="Q731" s="42">
        <f t="shared" si="509"/>
        <v>303</v>
      </c>
      <c r="R731" s="92">
        <f t="shared" si="509"/>
        <v>182</v>
      </c>
      <c r="S731" s="93">
        <f t="shared" si="509"/>
        <v>1508</v>
      </c>
      <c r="T731" s="41">
        <f t="shared" si="509"/>
        <v>580</v>
      </c>
      <c r="U731" s="49">
        <f t="shared" si="509"/>
        <v>712</v>
      </c>
      <c r="V731" s="42">
        <f t="shared" si="509"/>
        <v>403</v>
      </c>
      <c r="W731" s="92">
        <f>SUM(W726:W730)</f>
        <v>351</v>
      </c>
      <c r="X731" s="93">
        <f t="shared" ref="X731" si="510">SUM(X726:X730)</f>
        <v>2046</v>
      </c>
      <c r="Y731" s="56">
        <f t="shared" si="507"/>
        <v>3554</v>
      </c>
    </row>
    <row r="732" spans="1:26" x14ac:dyDescent="0.15">
      <c r="A732" s="13" t="s">
        <v>614</v>
      </c>
      <c r="B732" s="24">
        <v>7</v>
      </c>
      <c r="C732" s="46">
        <v>9</v>
      </c>
      <c r="D732" s="25">
        <v>2</v>
      </c>
      <c r="E732" s="33">
        <v>3</v>
      </c>
      <c r="F732" s="35">
        <f>SUM(B732:E732)</f>
        <v>21</v>
      </c>
      <c r="G732" s="24">
        <v>2</v>
      </c>
      <c r="H732" s="46">
        <v>3</v>
      </c>
      <c r="I732" s="25">
        <v>8</v>
      </c>
      <c r="J732" s="33"/>
      <c r="K732" s="35">
        <f>SUM(G732:J732)</f>
        <v>13</v>
      </c>
      <c r="L732" s="11">
        <f t="shared" si="504"/>
        <v>34</v>
      </c>
      <c r="M732" s="99">
        <v>45040</v>
      </c>
      <c r="N732" s="15" t="s">
        <v>603</v>
      </c>
      <c r="O732" s="66">
        <v>1</v>
      </c>
      <c r="P732" s="67">
        <v>13</v>
      </c>
      <c r="Q732" s="68">
        <v>9</v>
      </c>
      <c r="R732" s="94">
        <v>13</v>
      </c>
      <c r="S732" s="91">
        <f>SUM(O732:R732)</f>
        <v>36</v>
      </c>
      <c r="T732" s="67">
        <v>2</v>
      </c>
      <c r="U732" s="67">
        <v>4</v>
      </c>
      <c r="V732" s="68"/>
      <c r="W732" s="94">
        <v>1</v>
      </c>
      <c r="X732" s="91">
        <f>SUM(T732:W732)</f>
        <v>7</v>
      </c>
      <c r="Y732" s="11">
        <f t="shared" si="507"/>
        <v>43</v>
      </c>
      <c r="Z732" s="99">
        <v>45041</v>
      </c>
    </row>
    <row r="733" spans="1:26" x14ac:dyDescent="0.15">
      <c r="A733" s="13" t="s">
        <v>41</v>
      </c>
      <c r="B733" s="26"/>
      <c r="C733" s="47"/>
      <c r="D733" s="27"/>
      <c r="E733" s="34"/>
      <c r="F733" s="35">
        <f>SUM(B733:E733)</f>
        <v>0</v>
      </c>
      <c r="G733" s="26"/>
      <c r="H733" s="47"/>
      <c r="I733" s="27"/>
      <c r="J733" s="34">
        <v>1</v>
      </c>
      <c r="K733" s="35">
        <f>SUM(G733:J733)</f>
        <v>1</v>
      </c>
      <c r="L733" s="11">
        <f t="shared" si="504"/>
        <v>1</v>
      </c>
      <c r="M733" s="126">
        <v>45041</v>
      </c>
      <c r="N733" s="57" t="s">
        <v>605</v>
      </c>
      <c r="O733" s="26">
        <v>1</v>
      </c>
      <c r="P733" s="47">
        <v>1</v>
      </c>
      <c r="Q733" s="27">
        <v>4</v>
      </c>
      <c r="R733" s="34">
        <v>1</v>
      </c>
      <c r="S733" s="35">
        <f t="shared" ref="S733:S734" si="511">SUM(O733:R733)</f>
        <v>7</v>
      </c>
      <c r="T733" s="26"/>
      <c r="U733" s="47"/>
      <c r="V733" s="27">
        <v>3</v>
      </c>
      <c r="W733" s="34"/>
      <c r="X733" s="35">
        <f t="shared" ref="X733:X734" si="512">SUM(T733:W733)</f>
        <v>3</v>
      </c>
      <c r="Y733" s="11">
        <f t="shared" si="507"/>
        <v>10</v>
      </c>
      <c r="Z733" s="99">
        <v>45044</v>
      </c>
    </row>
    <row r="734" spans="1:26" x14ac:dyDescent="0.15">
      <c r="A734" s="13" t="s">
        <v>41</v>
      </c>
      <c r="B734" s="66"/>
      <c r="C734" s="67"/>
      <c r="D734" s="68"/>
      <c r="E734" s="69"/>
      <c r="F734" s="70">
        <f t="shared" ref="F734:F740" si="513">SUM(B734:E734)</f>
        <v>0</v>
      </c>
      <c r="G734" s="66"/>
      <c r="H734" s="67"/>
      <c r="I734" s="68"/>
      <c r="J734" s="69">
        <v>2</v>
      </c>
      <c r="K734" s="70">
        <f t="shared" ref="K734:K740" si="514">SUM(G734:J734)</f>
        <v>2</v>
      </c>
      <c r="L734" s="11">
        <f t="shared" ref="L734:L740" si="515">F734+K734</f>
        <v>2</v>
      </c>
      <c r="M734" s="126">
        <v>45042</v>
      </c>
      <c r="N734" s="15" t="s">
        <v>606</v>
      </c>
      <c r="O734" s="26">
        <v>20</v>
      </c>
      <c r="P734" s="47">
        <v>4</v>
      </c>
      <c r="Q734" s="27">
        <v>8</v>
      </c>
      <c r="R734" s="34"/>
      <c r="S734" s="35">
        <f t="shared" si="511"/>
        <v>32</v>
      </c>
      <c r="T734" s="26">
        <v>10</v>
      </c>
      <c r="U734" s="47">
        <v>5</v>
      </c>
      <c r="V734" s="27"/>
      <c r="W734" s="34">
        <v>2</v>
      </c>
      <c r="X734" s="35">
        <f t="shared" si="512"/>
        <v>17</v>
      </c>
      <c r="Y734" s="11">
        <f t="shared" si="507"/>
        <v>49</v>
      </c>
      <c r="Z734" s="99">
        <v>45042</v>
      </c>
    </row>
    <row r="735" spans="1:26" x14ac:dyDescent="0.15">
      <c r="A735" s="15" t="s">
        <v>615</v>
      </c>
      <c r="B735" s="26">
        <v>1</v>
      </c>
      <c r="C735" s="47">
        <v>12</v>
      </c>
      <c r="D735" s="27">
        <v>3</v>
      </c>
      <c r="E735" s="34">
        <v>5</v>
      </c>
      <c r="F735" s="35">
        <f t="shared" si="513"/>
        <v>21</v>
      </c>
      <c r="G735" s="26">
        <v>1</v>
      </c>
      <c r="H735" s="47">
        <v>2</v>
      </c>
      <c r="I735" s="27">
        <v>4</v>
      </c>
      <c r="J735" s="34">
        <v>2</v>
      </c>
      <c r="K735" s="35">
        <f t="shared" si="514"/>
        <v>9</v>
      </c>
      <c r="L735" s="11">
        <f t="shared" si="515"/>
        <v>30</v>
      </c>
      <c r="M735" s="99">
        <v>45047</v>
      </c>
      <c r="N735" s="15" t="s">
        <v>607</v>
      </c>
      <c r="O735" s="66">
        <v>9</v>
      </c>
      <c r="P735" s="67">
        <v>6</v>
      </c>
      <c r="Q735" s="68">
        <v>5</v>
      </c>
      <c r="R735" s="94">
        <v>7</v>
      </c>
      <c r="S735" s="91">
        <f>SUM(O735:R735)</f>
        <v>27</v>
      </c>
      <c r="T735" s="67">
        <v>4</v>
      </c>
      <c r="U735" s="67">
        <v>2</v>
      </c>
      <c r="V735" s="68">
        <v>5</v>
      </c>
      <c r="W735" s="94"/>
      <c r="X735" s="91">
        <f>SUM(T735:W735)</f>
        <v>11</v>
      </c>
      <c r="Y735" s="11">
        <f t="shared" si="507"/>
        <v>38</v>
      </c>
      <c r="Z735" s="99">
        <v>45043</v>
      </c>
    </row>
    <row r="736" spans="1:26" x14ac:dyDescent="0.15">
      <c r="A736" s="13" t="s">
        <v>41</v>
      </c>
      <c r="B736" s="26"/>
      <c r="C736" s="47"/>
      <c r="D736" s="27">
        <v>1</v>
      </c>
      <c r="E736" s="34">
        <v>1</v>
      </c>
      <c r="F736" s="35">
        <f t="shared" si="513"/>
        <v>2</v>
      </c>
      <c r="G736" s="26"/>
      <c r="H736" s="47"/>
      <c r="I736" s="27"/>
      <c r="J736" s="34">
        <v>1</v>
      </c>
      <c r="K736" s="35">
        <f t="shared" si="514"/>
        <v>1</v>
      </c>
      <c r="L736" s="11">
        <f t="shared" si="515"/>
        <v>3</v>
      </c>
      <c r="M736" s="126">
        <v>45044</v>
      </c>
      <c r="N736" s="90" t="s">
        <v>621</v>
      </c>
      <c r="O736" s="26"/>
      <c r="P736" s="47">
        <v>8</v>
      </c>
      <c r="Q736" s="27"/>
      <c r="R736" s="34"/>
      <c r="S736" s="35">
        <f t="shared" ref="S736:S738" si="516">SUM(O736:R736)</f>
        <v>8</v>
      </c>
      <c r="T736" s="26"/>
      <c r="U736" s="47"/>
      <c r="V736" s="27"/>
      <c r="W736" s="34"/>
      <c r="X736" s="35">
        <f t="shared" ref="X736:X738" si="517">SUM(T736:W736)</f>
        <v>0</v>
      </c>
      <c r="Y736" s="11">
        <f t="shared" si="507"/>
        <v>8</v>
      </c>
      <c r="Z736" s="99">
        <v>45055</v>
      </c>
    </row>
    <row r="737" spans="1:26" x14ac:dyDescent="0.15">
      <c r="A737" s="15" t="s">
        <v>616</v>
      </c>
      <c r="B737" s="26">
        <v>4</v>
      </c>
      <c r="C737" s="47">
        <v>3</v>
      </c>
      <c r="D737" s="27">
        <v>3</v>
      </c>
      <c r="E737" s="34"/>
      <c r="F737" s="35">
        <f t="shared" si="513"/>
        <v>10</v>
      </c>
      <c r="G737" s="26">
        <v>1</v>
      </c>
      <c r="H737" s="47"/>
      <c r="I737" s="27"/>
      <c r="J737" s="34">
        <v>2</v>
      </c>
      <c r="K737" s="35">
        <f t="shared" si="514"/>
        <v>3</v>
      </c>
      <c r="L737" s="11">
        <f t="shared" si="515"/>
        <v>13</v>
      </c>
      <c r="M737" s="99">
        <v>45048</v>
      </c>
      <c r="N737" s="15" t="s">
        <v>609</v>
      </c>
      <c r="O737" s="26">
        <v>17</v>
      </c>
      <c r="P737" s="47">
        <v>12</v>
      </c>
      <c r="Q737" s="27">
        <v>11</v>
      </c>
      <c r="R737" s="34">
        <v>9</v>
      </c>
      <c r="S737" s="35">
        <f t="shared" si="516"/>
        <v>49</v>
      </c>
      <c r="T737" s="26"/>
      <c r="U737" s="47"/>
      <c r="V737" s="27">
        <v>2</v>
      </c>
      <c r="W737" s="34">
        <v>1</v>
      </c>
      <c r="X737" s="35">
        <f t="shared" si="517"/>
        <v>3</v>
      </c>
      <c r="Y737" s="11">
        <f t="shared" si="507"/>
        <v>52</v>
      </c>
      <c r="Z737" s="99">
        <v>45044</v>
      </c>
    </row>
    <row r="738" spans="1:26" x14ac:dyDescent="0.15">
      <c r="A738" s="13" t="s">
        <v>41</v>
      </c>
      <c r="B738" s="26"/>
      <c r="C738" s="47"/>
      <c r="D738" s="27"/>
      <c r="E738" s="34"/>
      <c r="F738" s="35">
        <f t="shared" si="513"/>
        <v>0</v>
      </c>
      <c r="G738" s="26"/>
      <c r="H738" s="47"/>
      <c r="I738" s="27"/>
      <c r="J738" s="34">
        <v>1</v>
      </c>
      <c r="K738" s="35">
        <f t="shared" si="514"/>
        <v>1</v>
      </c>
      <c r="L738" s="11">
        <f t="shared" si="515"/>
        <v>1</v>
      </c>
      <c r="M738" s="126">
        <v>45047</v>
      </c>
      <c r="N738" s="15" t="s">
        <v>619</v>
      </c>
      <c r="O738" s="26">
        <v>32</v>
      </c>
      <c r="P738" s="47">
        <v>37</v>
      </c>
      <c r="Q738" s="27">
        <v>18</v>
      </c>
      <c r="R738" s="34">
        <v>12</v>
      </c>
      <c r="S738" s="35">
        <f t="shared" si="516"/>
        <v>99</v>
      </c>
      <c r="T738" s="26">
        <v>8</v>
      </c>
      <c r="U738" s="47">
        <v>9</v>
      </c>
      <c r="V738" s="27">
        <v>6</v>
      </c>
      <c r="W738" s="34">
        <v>5</v>
      </c>
      <c r="X738" s="35">
        <f t="shared" si="517"/>
        <v>28</v>
      </c>
      <c r="Y738" s="11">
        <f t="shared" si="507"/>
        <v>127</v>
      </c>
      <c r="Z738" s="99">
        <v>45054</v>
      </c>
    </row>
    <row r="739" spans="1:26" x14ac:dyDescent="0.15">
      <c r="A739" s="13" t="s">
        <v>41</v>
      </c>
      <c r="B739" s="26"/>
      <c r="C739" s="47"/>
      <c r="D739" s="27"/>
      <c r="E739" s="34"/>
      <c r="F739" s="35">
        <f t="shared" si="513"/>
        <v>0</v>
      </c>
      <c r="G739" s="26"/>
      <c r="H739" s="47">
        <v>1</v>
      </c>
      <c r="I739" s="27"/>
      <c r="J739" s="34">
        <v>1</v>
      </c>
      <c r="K739" s="35">
        <f t="shared" si="514"/>
        <v>2</v>
      </c>
      <c r="L739" s="11">
        <f t="shared" si="515"/>
        <v>2</v>
      </c>
      <c r="M739" s="126">
        <v>45055</v>
      </c>
      <c r="N739" s="90" t="s">
        <v>350</v>
      </c>
      <c r="O739" s="26"/>
      <c r="P739" s="47"/>
      <c r="Q739" s="27"/>
      <c r="R739" s="50">
        <v>3</v>
      </c>
      <c r="S739" s="9">
        <f>SUM(O739:R739)</f>
        <v>3</v>
      </c>
      <c r="T739" s="47"/>
      <c r="U739" s="47"/>
      <c r="V739" s="27"/>
      <c r="W739" s="50">
        <v>3</v>
      </c>
      <c r="X739" s="9">
        <f>SUM(T739:W739)</f>
        <v>3</v>
      </c>
      <c r="Y739" s="11">
        <f t="shared" si="507"/>
        <v>6</v>
      </c>
      <c r="Z739" s="99">
        <v>45055</v>
      </c>
    </row>
    <row r="740" spans="1:26" x14ac:dyDescent="0.15">
      <c r="A740" s="13" t="s">
        <v>41</v>
      </c>
      <c r="B740" s="26"/>
      <c r="C740" s="47"/>
      <c r="D740" s="27"/>
      <c r="E740" s="34">
        <v>1</v>
      </c>
      <c r="F740" s="35">
        <f t="shared" si="513"/>
        <v>1</v>
      </c>
      <c r="G740" s="26"/>
      <c r="H740" s="47"/>
      <c r="I740" s="27"/>
      <c r="J740" s="34"/>
      <c r="K740" s="35">
        <f t="shared" si="514"/>
        <v>0</v>
      </c>
      <c r="L740" s="11">
        <f t="shared" si="515"/>
        <v>1</v>
      </c>
      <c r="M740" s="126">
        <v>45062</v>
      </c>
      <c r="N740" s="15" t="s">
        <v>622</v>
      </c>
      <c r="O740" s="26"/>
      <c r="P740" s="47"/>
      <c r="Q740" s="27"/>
      <c r="R740" s="34">
        <v>1</v>
      </c>
      <c r="S740" s="35">
        <f t="shared" ref="S740:S757" si="518">SUM(O740:R740)</f>
        <v>1</v>
      </c>
      <c r="T740" s="26"/>
      <c r="U740" s="47">
        <v>4</v>
      </c>
      <c r="V740" s="27"/>
      <c r="W740" s="34">
        <v>1</v>
      </c>
      <c r="X740" s="35">
        <f t="shared" ref="X740:X757" si="519">SUM(T740:W740)</f>
        <v>5</v>
      </c>
      <c r="Y740" s="11">
        <f t="shared" si="507"/>
        <v>6</v>
      </c>
      <c r="Z740" s="99">
        <v>45056</v>
      </c>
    </row>
    <row r="741" spans="1:26" x14ac:dyDescent="0.15">
      <c r="A741" s="32" t="s">
        <v>641</v>
      </c>
      <c r="B741" s="26">
        <v>-1</v>
      </c>
      <c r="C741" s="47"/>
      <c r="D741" s="27">
        <v>-2</v>
      </c>
      <c r="E741" s="34"/>
      <c r="F741" s="35">
        <f t="shared" ref="F741:F756" si="520">SUM(B741:E741)</f>
        <v>-3</v>
      </c>
      <c r="G741" s="26"/>
      <c r="H741" s="47"/>
      <c r="I741" s="27"/>
      <c r="J741" s="34"/>
      <c r="K741" s="35">
        <f t="shared" ref="K741:K756" si="521">SUM(G741:J741)</f>
        <v>0</v>
      </c>
      <c r="L741" s="11">
        <f t="shared" si="504"/>
        <v>-3</v>
      </c>
      <c r="N741" s="15" t="s">
        <v>624</v>
      </c>
      <c r="O741" s="26">
        <v>12</v>
      </c>
      <c r="P741" s="47">
        <v>16</v>
      </c>
      <c r="Q741" s="27"/>
      <c r="R741" s="34">
        <v>6</v>
      </c>
      <c r="S741" s="35">
        <f t="shared" si="518"/>
        <v>34</v>
      </c>
      <c r="T741" s="26"/>
      <c r="U741" s="47">
        <v>10</v>
      </c>
      <c r="V741" s="27">
        <v>5</v>
      </c>
      <c r="W741" s="34">
        <v>1</v>
      </c>
      <c r="X741" s="35">
        <f t="shared" si="519"/>
        <v>16</v>
      </c>
      <c r="Y741" s="11">
        <f t="shared" si="507"/>
        <v>50</v>
      </c>
      <c r="Z741" s="99">
        <v>45057</v>
      </c>
    </row>
    <row r="742" spans="1:26" x14ac:dyDescent="0.15">
      <c r="A742" s="15"/>
      <c r="B742" s="26"/>
      <c r="C742" s="47"/>
      <c r="D742" s="27"/>
      <c r="E742" s="34"/>
      <c r="F742" s="35">
        <f t="shared" si="520"/>
        <v>0</v>
      </c>
      <c r="G742" s="26"/>
      <c r="H742" s="47"/>
      <c r="I742" s="27"/>
      <c r="J742" s="34"/>
      <c r="K742" s="35">
        <f t="shared" si="521"/>
        <v>0</v>
      </c>
      <c r="L742" s="11">
        <f t="shared" si="504"/>
        <v>0</v>
      </c>
      <c r="N742" s="90" t="s">
        <v>631</v>
      </c>
      <c r="O742" s="26"/>
      <c r="P742" s="47"/>
      <c r="Q742" s="27">
        <v>5</v>
      </c>
      <c r="R742" s="34"/>
      <c r="S742" s="35">
        <f t="shared" si="518"/>
        <v>5</v>
      </c>
      <c r="T742" s="26"/>
      <c r="U742" s="47"/>
      <c r="V742" s="27"/>
      <c r="W742" s="34"/>
      <c r="X742" s="35">
        <f t="shared" si="519"/>
        <v>0</v>
      </c>
      <c r="Y742" s="11">
        <f t="shared" si="507"/>
        <v>5</v>
      </c>
      <c r="Z742" s="99">
        <v>45062</v>
      </c>
    </row>
    <row r="743" spans="1:26" x14ac:dyDescent="0.15">
      <c r="A743" s="13"/>
      <c r="B743" s="26"/>
      <c r="C743" s="47"/>
      <c r="D743" s="27"/>
      <c r="E743" s="34"/>
      <c r="F743" s="35">
        <f t="shared" si="520"/>
        <v>0</v>
      </c>
      <c r="G743" s="26"/>
      <c r="H743" s="47"/>
      <c r="I743" s="27"/>
      <c r="J743" s="34"/>
      <c r="K743" s="35">
        <f t="shared" si="521"/>
        <v>0</v>
      </c>
      <c r="L743" s="11">
        <f t="shared" si="504"/>
        <v>0</v>
      </c>
      <c r="N743" s="15" t="s">
        <v>625</v>
      </c>
      <c r="O743" s="26">
        <v>14</v>
      </c>
      <c r="P743" s="47">
        <v>13</v>
      </c>
      <c r="Q743" s="27">
        <v>3</v>
      </c>
      <c r="R743" s="34">
        <v>8</v>
      </c>
      <c r="S743" s="35">
        <f t="shared" si="518"/>
        <v>38</v>
      </c>
      <c r="T743" s="26"/>
      <c r="U743" s="47">
        <v>1</v>
      </c>
      <c r="V743" s="27">
        <v>2</v>
      </c>
      <c r="W743" s="34">
        <v>8</v>
      </c>
      <c r="X743" s="35">
        <f t="shared" si="519"/>
        <v>11</v>
      </c>
      <c r="Y743" s="11">
        <f t="shared" si="507"/>
        <v>49</v>
      </c>
      <c r="Z743" s="99">
        <v>45058</v>
      </c>
    </row>
    <row r="744" spans="1:26" x14ac:dyDescent="0.15">
      <c r="A744" s="15"/>
      <c r="B744" s="26"/>
      <c r="C744" s="47"/>
      <c r="D744" s="27"/>
      <c r="E744" s="34"/>
      <c r="F744" s="35">
        <f t="shared" si="520"/>
        <v>0</v>
      </c>
      <c r="G744" s="26"/>
      <c r="H744" s="47"/>
      <c r="I744" s="27"/>
      <c r="J744" s="34"/>
      <c r="K744" s="35">
        <f t="shared" si="521"/>
        <v>0</v>
      </c>
      <c r="L744" s="11">
        <f t="shared" si="504"/>
        <v>0</v>
      </c>
      <c r="N744" s="15" t="s">
        <v>626</v>
      </c>
      <c r="O744" s="26">
        <v>9</v>
      </c>
      <c r="P744" s="47">
        <v>3</v>
      </c>
      <c r="Q744" s="27">
        <v>8</v>
      </c>
      <c r="R744" s="34">
        <v>7</v>
      </c>
      <c r="S744" s="35">
        <f t="shared" si="518"/>
        <v>27</v>
      </c>
      <c r="T744" s="26">
        <v>3</v>
      </c>
      <c r="U744" s="47"/>
      <c r="V744" s="27"/>
      <c r="W744" s="34"/>
      <c r="X744" s="35">
        <f t="shared" si="519"/>
        <v>3</v>
      </c>
      <c r="Y744" s="11">
        <f t="shared" si="507"/>
        <v>30</v>
      </c>
      <c r="Z744" s="99">
        <v>45061</v>
      </c>
    </row>
    <row r="745" spans="1:26" x14ac:dyDescent="0.15">
      <c r="A745" s="13"/>
      <c r="B745" s="26"/>
      <c r="C745" s="47"/>
      <c r="D745" s="27"/>
      <c r="E745" s="34"/>
      <c r="F745" s="35">
        <f t="shared" si="520"/>
        <v>0</v>
      </c>
      <c r="G745" s="26"/>
      <c r="H745" s="47"/>
      <c r="I745" s="27"/>
      <c r="J745" s="34"/>
      <c r="K745" s="35">
        <f t="shared" si="521"/>
        <v>0</v>
      </c>
      <c r="L745" s="11">
        <f t="shared" si="504"/>
        <v>0</v>
      </c>
      <c r="N745" s="15" t="s">
        <v>630</v>
      </c>
      <c r="O745" s="26">
        <v>17</v>
      </c>
      <c r="P745" s="47">
        <v>26</v>
      </c>
      <c r="Q745" s="27">
        <v>8</v>
      </c>
      <c r="R745" s="34">
        <v>3</v>
      </c>
      <c r="S745" s="35">
        <f t="shared" si="518"/>
        <v>54</v>
      </c>
      <c r="T745" s="26">
        <v>1</v>
      </c>
      <c r="U745" s="47">
        <v>11</v>
      </c>
      <c r="V745" s="27">
        <v>3</v>
      </c>
      <c r="W745" s="34">
        <v>1</v>
      </c>
      <c r="X745" s="35">
        <f t="shared" si="519"/>
        <v>16</v>
      </c>
      <c r="Y745" s="11">
        <f t="shared" si="507"/>
        <v>70</v>
      </c>
      <c r="Z745" s="99">
        <v>45062</v>
      </c>
    </row>
    <row r="746" spans="1:26" x14ac:dyDescent="0.15">
      <c r="A746" s="15"/>
      <c r="B746" s="26"/>
      <c r="C746" s="47"/>
      <c r="D746" s="27"/>
      <c r="E746" s="34"/>
      <c r="F746" s="35">
        <f t="shared" si="520"/>
        <v>0</v>
      </c>
      <c r="G746" s="26"/>
      <c r="H746" s="47"/>
      <c r="I746" s="27"/>
      <c r="J746" s="34"/>
      <c r="K746" s="35">
        <f t="shared" si="521"/>
        <v>0</v>
      </c>
      <c r="L746" s="11">
        <f t="shared" si="504"/>
        <v>0</v>
      </c>
      <c r="N746" s="15" t="s">
        <v>632</v>
      </c>
      <c r="O746" s="26">
        <v>13</v>
      </c>
      <c r="P746" s="47">
        <v>8</v>
      </c>
      <c r="Q746" s="27">
        <v>6</v>
      </c>
      <c r="R746" s="34"/>
      <c r="S746" s="35">
        <f t="shared" si="518"/>
        <v>27</v>
      </c>
      <c r="T746" s="26"/>
      <c r="U746" s="47">
        <v>2</v>
      </c>
      <c r="V746" s="27"/>
      <c r="W746" s="34"/>
      <c r="X746" s="35">
        <f t="shared" si="519"/>
        <v>2</v>
      </c>
      <c r="Y746" s="11">
        <f t="shared" si="507"/>
        <v>29</v>
      </c>
      <c r="Z746" s="99">
        <v>45063</v>
      </c>
    </row>
    <row r="747" spans="1:26" x14ac:dyDescent="0.15">
      <c r="A747" s="13"/>
      <c r="B747" s="26"/>
      <c r="C747" s="47"/>
      <c r="D747" s="27"/>
      <c r="E747" s="34"/>
      <c r="F747" s="35">
        <f t="shared" si="520"/>
        <v>0</v>
      </c>
      <c r="G747" s="26"/>
      <c r="H747" s="47"/>
      <c r="I747" s="27"/>
      <c r="J747" s="34"/>
      <c r="K747" s="35">
        <f t="shared" si="521"/>
        <v>0</v>
      </c>
      <c r="L747" s="11">
        <f t="shared" si="504"/>
        <v>0</v>
      </c>
      <c r="N747" s="15" t="s">
        <v>633</v>
      </c>
      <c r="O747" s="26">
        <v>15</v>
      </c>
      <c r="P747" s="47">
        <v>8</v>
      </c>
      <c r="Q747" s="27">
        <v>12</v>
      </c>
      <c r="R747" s="34">
        <v>4</v>
      </c>
      <c r="S747" s="35">
        <f t="shared" si="518"/>
        <v>39</v>
      </c>
      <c r="T747" s="26">
        <v>2</v>
      </c>
      <c r="U747" s="47">
        <v>3</v>
      </c>
      <c r="V747" s="27"/>
      <c r="W747" s="34"/>
      <c r="X747" s="35">
        <f t="shared" si="519"/>
        <v>5</v>
      </c>
      <c r="Y747" s="11">
        <f t="shared" si="507"/>
        <v>44</v>
      </c>
      <c r="Z747" s="99">
        <v>45064</v>
      </c>
    </row>
    <row r="748" spans="1:26" x14ac:dyDescent="0.15">
      <c r="A748" s="15"/>
      <c r="B748" s="26"/>
      <c r="C748" s="47"/>
      <c r="D748" s="27"/>
      <c r="E748" s="34"/>
      <c r="F748" s="35">
        <f t="shared" si="520"/>
        <v>0</v>
      </c>
      <c r="G748" s="26"/>
      <c r="H748" s="47"/>
      <c r="I748" s="27"/>
      <c r="J748" s="34"/>
      <c r="K748" s="35">
        <f t="shared" si="521"/>
        <v>0</v>
      </c>
      <c r="L748" s="11">
        <f t="shared" si="504"/>
        <v>0</v>
      </c>
      <c r="N748" s="15" t="s">
        <v>634</v>
      </c>
      <c r="O748" s="26">
        <v>3</v>
      </c>
      <c r="P748" s="47">
        <v>3</v>
      </c>
      <c r="Q748" s="27">
        <v>9</v>
      </c>
      <c r="R748" s="34">
        <v>2</v>
      </c>
      <c r="S748" s="35">
        <f t="shared" si="518"/>
        <v>17</v>
      </c>
      <c r="T748" s="26"/>
      <c r="U748" s="47"/>
      <c r="V748" s="27">
        <v>1</v>
      </c>
      <c r="W748" s="34"/>
      <c r="X748" s="35">
        <f t="shared" si="519"/>
        <v>1</v>
      </c>
      <c r="Y748" s="11">
        <f t="shared" si="507"/>
        <v>18</v>
      </c>
      <c r="Z748" s="99">
        <v>45065</v>
      </c>
    </row>
    <row r="749" spans="1:26" x14ac:dyDescent="0.15">
      <c r="A749" s="15"/>
      <c r="B749" s="26"/>
      <c r="C749" s="47"/>
      <c r="D749" s="27"/>
      <c r="E749" s="34"/>
      <c r="F749" s="35">
        <f t="shared" si="520"/>
        <v>0</v>
      </c>
      <c r="G749" s="26"/>
      <c r="H749" s="47"/>
      <c r="I749" s="27"/>
      <c r="J749" s="34"/>
      <c r="K749" s="35">
        <f t="shared" si="521"/>
        <v>0</v>
      </c>
      <c r="L749" s="11">
        <f t="shared" si="504"/>
        <v>0</v>
      </c>
      <c r="N749" s="15" t="s">
        <v>637</v>
      </c>
      <c r="O749" s="66">
        <v>51</v>
      </c>
      <c r="P749" s="67">
        <v>52</v>
      </c>
      <c r="Q749" s="68">
        <v>26</v>
      </c>
      <c r="R749" s="94">
        <v>19</v>
      </c>
      <c r="S749" s="91">
        <f>SUM(O749:R749)</f>
        <v>148</v>
      </c>
      <c r="T749" s="67">
        <v>12</v>
      </c>
      <c r="U749" s="67">
        <v>15</v>
      </c>
      <c r="V749" s="68">
        <v>9</v>
      </c>
      <c r="W749" s="94">
        <v>7</v>
      </c>
      <c r="X749" s="91">
        <f>SUM(T749:W749)</f>
        <v>43</v>
      </c>
      <c r="Y749" s="11">
        <f t="shared" si="507"/>
        <v>191</v>
      </c>
      <c r="Z749" s="99">
        <v>45068</v>
      </c>
    </row>
    <row r="750" spans="1:26" x14ac:dyDescent="0.15">
      <c r="A750" s="13"/>
      <c r="B750" s="26"/>
      <c r="C750" s="47"/>
      <c r="D750" s="27"/>
      <c r="E750" s="34"/>
      <c r="F750" s="35">
        <f t="shared" si="520"/>
        <v>0</v>
      </c>
      <c r="G750" s="26"/>
      <c r="H750" s="47"/>
      <c r="I750" s="27"/>
      <c r="J750" s="34"/>
      <c r="K750" s="35">
        <f t="shared" si="521"/>
        <v>0</v>
      </c>
      <c r="L750" s="11">
        <f t="shared" si="504"/>
        <v>0</v>
      </c>
      <c r="N750" s="15"/>
      <c r="O750" s="26"/>
      <c r="P750" s="47"/>
      <c r="Q750" s="27"/>
      <c r="R750" s="34"/>
      <c r="S750" s="35">
        <f t="shared" si="518"/>
        <v>0</v>
      </c>
      <c r="T750" s="26"/>
      <c r="U750" s="47"/>
      <c r="V750" s="27"/>
      <c r="W750" s="34"/>
      <c r="X750" s="35">
        <f t="shared" si="519"/>
        <v>0</v>
      </c>
      <c r="Y750" s="11">
        <f t="shared" si="507"/>
        <v>0</v>
      </c>
    </row>
    <row r="751" spans="1:26" x14ac:dyDescent="0.15">
      <c r="A751" s="32"/>
      <c r="B751" s="26"/>
      <c r="C751" s="47"/>
      <c r="D751" s="27"/>
      <c r="E751" s="34"/>
      <c r="F751" s="35">
        <f t="shared" si="520"/>
        <v>0</v>
      </c>
      <c r="G751" s="26"/>
      <c r="H751" s="47"/>
      <c r="I751" s="27"/>
      <c r="J751" s="34"/>
      <c r="K751" s="35">
        <f t="shared" si="521"/>
        <v>0</v>
      </c>
      <c r="L751" s="11">
        <f t="shared" si="504"/>
        <v>0</v>
      </c>
      <c r="N751" s="15"/>
      <c r="O751" s="26"/>
      <c r="P751" s="47"/>
      <c r="Q751" s="27"/>
      <c r="R751" s="34"/>
      <c r="S751" s="35">
        <f t="shared" ref="S751:S756" si="522">SUM(O751:R751)</f>
        <v>0</v>
      </c>
      <c r="T751" s="26"/>
      <c r="U751" s="47"/>
      <c r="V751" s="27"/>
      <c r="W751" s="34"/>
      <c r="X751" s="35">
        <f t="shared" ref="X751:X756" si="523">SUM(T751:W751)</f>
        <v>0</v>
      </c>
      <c r="Y751" s="11">
        <f t="shared" ref="Y751:Y756" si="524">S751+X751</f>
        <v>0</v>
      </c>
    </row>
    <row r="752" spans="1:26" x14ac:dyDescent="0.15">
      <c r="A752" s="32"/>
      <c r="B752" s="26"/>
      <c r="C752" s="47"/>
      <c r="D752" s="27"/>
      <c r="E752" s="34"/>
      <c r="F752" s="35">
        <f t="shared" si="520"/>
        <v>0</v>
      </c>
      <c r="G752" s="26"/>
      <c r="H752" s="47"/>
      <c r="I752" s="27"/>
      <c r="J752" s="34"/>
      <c r="K752" s="35">
        <f t="shared" si="521"/>
        <v>0</v>
      </c>
      <c r="L752" s="11">
        <f t="shared" si="504"/>
        <v>0</v>
      </c>
      <c r="N752" s="15"/>
      <c r="O752" s="26"/>
      <c r="P752" s="47"/>
      <c r="Q752" s="27"/>
      <c r="R752" s="34"/>
      <c r="S752" s="35">
        <f t="shared" si="522"/>
        <v>0</v>
      </c>
      <c r="T752" s="26"/>
      <c r="U752" s="47"/>
      <c r="V752" s="27"/>
      <c r="W752" s="34"/>
      <c r="X752" s="35">
        <f t="shared" si="523"/>
        <v>0</v>
      </c>
      <c r="Y752" s="11">
        <f t="shared" si="524"/>
        <v>0</v>
      </c>
      <c r="Z752" s="101"/>
    </row>
    <row r="753" spans="1:26" x14ac:dyDescent="0.15">
      <c r="A753" s="12"/>
      <c r="B753" s="26"/>
      <c r="C753" s="47"/>
      <c r="D753" s="27"/>
      <c r="E753" s="34"/>
      <c r="F753" s="35">
        <f t="shared" si="520"/>
        <v>0</v>
      </c>
      <c r="G753" s="26"/>
      <c r="H753" s="47"/>
      <c r="I753" s="27"/>
      <c r="J753" s="34"/>
      <c r="K753" s="35">
        <f t="shared" si="521"/>
        <v>0</v>
      </c>
      <c r="L753" s="11">
        <f t="shared" si="504"/>
        <v>0</v>
      </c>
      <c r="N753" s="153" t="s">
        <v>599</v>
      </c>
      <c r="O753" s="154"/>
      <c r="P753" s="155"/>
      <c r="Q753" s="156"/>
      <c r="R753" s="157"/>
      <c r="S753" s="158">
        <f t="shared" si="522"/>
        <v>0</v>
      </c>
      <c r="T753" s="154"/>
      <c r="U753" s="155"/>
      <c r="V753" s="156"/>
      <c r="W753" s="157"/>
      <c r="X753" s="158">
        <f t="shared" si="523"/>
        <v>0</v>
      </c>
      <c r="Y753" s="179">
        <f t="shared" si="524"/>
        <v>0</v>
      </c>
      <c r="Z753" s="160" t="s">
        <v>598</v>
      </c>
    </row>
    <row r="754" spans="1:26" x14ac:dyDescent="0.15">
      <c r="A754" s="79"/>
      <c r="B754" s="26"/>
      <c r="C754" s="47"/>
      <c r="D754" s="27"/>
      <c r="E754" s="34"/>
      <c r="F754" s="35">
        <f t="shared" si="520"/>
        <v>0</v>
      </c>
      <c r="G754" s="26"/>
      <c r="H754" s="47"/>
      <c r="I754" s="27"/>
      <c r="J754" s="34"/>
      <c r="K754" s="35">
        <f t="shared" si="521"/>
        <v>0</v>
      </c>
      <c r="L754" s="11">
        <f t="shared" si="504"/>
        <v>0</v>
      </c>
      <c r="N754" s="57" t="s">
        <v>587</v>
      </c>
      <c r="O754" s="66"/>
      <c r="P754" s="67"/>
      <c r="Q754" s="68"/>
      <c r="R754" s="69"/>
      <c r="S754" s="70">
        <f t="shared" si="522"/>
        <v>0</v>
      </c>
      <c r="T754" s="66"/>
      <c r="U754" s="67"/>
      <c r="V754" s="68"/>
      <c r="W754" s="69"/>
      <c r="X754" s="70">
        <f t="shared" si="523"/>
        <v>0</v>
      </c>
      <c r="Y754" s="11">
        <f t="shared" si="524"/>
        <v>0</v>
      </c>
      <c r="Z754" s="101" t="s">
        <v>588</v>
      </c>
    </row>
    <row r="755" spans="1:26" x14ac:dyDescent="0.15">
      <c r="A755" s="57"/>
      <c r="B755" s="26"/>
      <c r="C755" s="47"/>
      <c r="D755" s="27"/>
      <c r="E755" s="34"/>
      <c r="F755" s="35">
        <f t="shared" si="520"/>
        <v>0</v>
      </c>
      <c r="G755" s="26"/>
      <c r="H755" s="47"/>
      <c r="I755" s="27"/>
      <c r="J755" s="34"/>
      <c r="K755" s="35">
        <f t="shared" si="521"/>
        <v>0</v>
      </c>
      <c r="L755" s="11">
        <f t="shared" si="504"/>
        <v>0</v>
      </c>
      <c r="N755" s="57" t="s">
        <v>582</v>
      </c>
      <c r="O755" s="66"/>
      <c r="P755" s="67"/>
      <c r="Q755" s="68"/>
      <c r="R755" s="69"/>
      <c r="S755" s="70">
        <f t="shared" si="522"/>
        <v>0</v>
      </c>
      <c r="T755" s="66"/>
      <c r="U755" s="67"/>
      <c r="V755" s="68"/>
      <c r="W755" s="69"/>
      <c r="X755" s="70">
        <f t="shared" si="523"/>
        <v>0</v>
      </c>
      <c r="Y755" s="11">
        <f t="shared" si="524"/>
        <v>0</v>
      </c>
      <c r="Z755" s="101" t="s">
        <v>561</v>
      </c>
    </row>
    <row r="756" spans="1:26" ht="14.25" thickBot="1" x14ac:dyDescent="0.2">
      <c r="A756" s="90"/>
      <c r="B756" s="62"/>
      <c r="C756" s="63"/>
      <c r="D756" s="64"/>
      <c r="E756" s="65"/>
      <c r="F756" s="35">
        <f t="shared" si="520"/>
        <v>0</v>
      </c>
      <c r="G756" s="62"/>
      <c r="H756" s="63"/>
      <c r="I756" s="64"/>
      <c r="J756" s="65"/>
      <c r="K756" s="35">
        <f t="shared" si="521"/>
        <v>0</v>
      </c>
      <c r="L756" s="14">
        <f t="shared" si="504"/>
        <v>0</v>
      </c>
      <c r="N756" s="135" t="s">
        <v>560</v>
      </c>
      <c r="O756" s="62"/>
      <c r="P756" s="63"/>
      <c r="Q756" s="64"/>
      <c r="R756" s="65"/>
      <c r="S756" s="120">
        <f t="shared" si="522"/>
        <v>0</v>
      </c>
      <c r="T756" s="62"/>
      <c r="U756" s="63"/>
      <c r="V756" s="64"/>
      <c r="W756" s="65"/>
      <c r="X756" s="120">
        <f t="shared" si="523"/>
        <v>0</v>
      </c>
      <c r="Y756" s="121">
        <f t="shared" si="524"/>
        <v>0</v>
      </c>
      <c r="Z756" s="101" t="s">
        <v>561</v>
      </c>
    </row>
    <row r="757" spans="1:26" ht="14.25" thickBot="1" x14ac:dyDescent="0.2">
      <c r="A757" s="17" t="s">
        <v>10</v>
      </c>
      <c r="B757" s="38">
        <f>SUM(B732:B756)</f>
        <v>11</v>
      </c>
      <c r="C757" s="48">
        <f>SUM(C732:C756)</f>
        <v>24</v>
      </c>
      <c r="D757" s="39">
        <f>SUM(D732:D756)</f>
        <v>7</v>
      </c>
      <c r="E757" s="40">
        <f>SUM(E732:E756)</f>
        <v>10</v>
      </c>
      <c r="F757" s="36">
        <f>SUM(B757:E757)</f>
        <v>52</v>
      </c>
      <c r="G757" s="38">
        <f>SUM(G732:G756)</f>
        <v>4</v>
      </c>
      <c r="H757" s="48">
        <f>SUM(H732:H756)</f>
        <v>6</v>
      </c>
      <c r="I757" s="39">
        <f>SUM(I732:I756)</f>
        <v>12</v>
      </c>
      <c r="J757" s="40">
        <f>SUM(J732:J756)</f>
        <v>10</v>
      </c>
      <c r="K757" s="36">
        <f>SUM(G757:J757)</f>
        <v>32</v>
      </c>
      <c r="L757" s="37">
        <f t="shared" si="504"/>
        <v>84</v>
      </c>
      <c r="N757" s="133" t="s">
        <v>10</v>
      </c>
      <c r="O757" s="38">
        <f>SUM(O732:O756)</f>
        <v>214</v>
      </c>
      <c r="P757" s="48">
        <f>SUM(P732:P756)</f>
        <v>210</v>
      </c>
      <c r="Q757" s="39">
        <f>SUM(Q732:Q756)</f>
        <v>132</v>
      </c>
      <c r="R757" s="40">
        <f>SUM(R732:R756)</f>
        <v>95</v>
      </c>
      <c r="S757" s="118">
        <f t="shared" si="518"/>
        <v>651</v>
      </c>
      <c r="T757" s="38">
        <f>SUM(T732:T756)</f>
        <v>42</v>
      </c>
      <c r="U757" s="48">
        <f>SUM(U732:U756)</f>
        <v>66</v>
      </c>
      <c r="V757" s="39">
        <f>SUM(V732:V756)</f>
        <v>36</v>
      </c>
      <c r="W757" s="40">
        <f>SUM(W732:W756)</f>
        <v>30</v>
      </c>
      <c r="X757" s="118">
        <f t="shared" si="519"/>
        <v>174</v>
      </c>
      <c r="Y757" s="119">
        <f t="shared" si="507"/>
        <v>825</v>
      </c>
    </row>
    <row r="758" spans="1:26" ht="14.25" thickBot="1" x14ac:dyDescent="0.2">
      <c r="A758" s="22" t="s">
        <v>11</v>
      </c>
      <c r="B758" s="41">
        <f>B731-B757</f>
        <v>13</v>
      </c>
      <c r="C758" s="49">
        <f>C731-C757</f>
        <v>11</v>
      </c>
      <c r="D758" s="42">
        <f t="shared" ref="D758:K758" si="525">D731-D757</f>
        <v>12</v>
      </c>
      <c r="E758" s="43">
        <f t="shared" si="525"/>
        <v>5</v>
      </c>
      <c r="F758" s="61">
        <f t="shared" si="525"/>
        <v>37</v>
      </c>
      <c r="G758" s="41">
        <f t="shared" si="525"/>
        <v>12</v>
      </c>
      <c r="H758" s="49">
        <f t="shared" si="525"/>
        <v>2</v>
      </c>
      <c r="I758" s="42">
        <f t="shared" si="525"/>
        <v>6</v>
      </c>
      <c r="J758" s="43">
        <f t="shared" si="525"/>
        <v>4</v>
      </c>
      <c r="K758" s="61">
        <f t="shared" si="525"/>
        <v>24</v>
      </c>
      <c r="L758" s="21">
        <f t="shared" si="504"/>
        <v>61</v>
      </c>
      <c r="N758" s="17" t="s">
        <v>11</v>
      </c>
      <c r="O758" s="41">
        <f>O731-O757</f>
        <v>229</v>
      </c>
      <c r="P758" s="49">
        <f t="shared" ref="P758:X758" si="526">P731-P757</f>
        <v>370</v>
      </c>
      <c r="Q758" s="42">
        <f t="shared" si="526"/>
        <v>171</v>
      </c>
      <c r="R758" s="43">
        <f t="shared" si="526"/>
        <v>87</v>
      </c>
      <c r="S758" s="61">
        <f t="shared" si="526"/>
        <v>857</v>
      </c>
      <c r="T758" s="41">
        <f t="shared" si="526"/>
        <v>538</v>
      </c>
      <c r="U758" s="49">
        <f t="shared" si="526"/>
        <v>646</v>
      </c>
      <c r="V758" s="42">
        <f t="shared" si="526"/>
        <v>367</v>
      </c>
      <c r="W758" s="43">
        <f t="shared" si="526"/>
        <v>321</v>
      </c>
      <c r="X758" s="61">
        <f t="shared" si="526"/>
        <v>1872</v>
      </c>
      <c r="Y758" s="21">
        <f t="shared" si="507"/>
        <v>2729</v>
      </c>
    </row>
    <row r="759" spans="1:26" x14ac:dyDescent="0.15">
      <c r="N759" s="216" t="s">
        <v>639</v>
      </c>
      <c r="O759" s="210">
        <f>O757+O719+O681+O643+O607</f>
        <v>2473</v>
      </c>
      <c r="P759" s="210">
        <f t="shared" ref="P759:Y759" si="527">P757+P719+P681+P643+P607</f>
        <v>2989</v>
      </c>
      <c r="Q759" s="210">
        <f t="shared" si="527"/>
        <v>1767</v>
      </c>
      <c r="R759" s="210">
        <f t="shared" si="527"/>
        <v>1002</v>
      </c>
      <c r="S759" s="210">
        <f t="shared" si="527"/>
        <v>8231</v>
      </c>
      <c r="T759" s="210">
        <f t="shared" si="527"/>
        <v>1346</v>
      </c>
      <c r="U759" s="210">
        <f t="shared" si="527"/>
        <v>1590</v>
      </c>
      <c r="V759" s="210">
        <f t="shared" si="527"/>
        <v>1015</v>
      </c>
      <c r="W759" s="210">
        <f t="shared" si="527"/>
        <v>747</v>
      </c>
      <c r="X759" s="210">
        <f t="shared" si="527"/>
        <v>4698</v>
      </c>
      <c r="Y759" s="210">
        <f t="shared" si="527"/>
        <v>12929</v>
      </c>
    </row>
    <row r="760" spans="1:26" x14ac:dyDescent="0.15">
      <c r="N760" s="213" t="s">
        <v>638</v>
      </c>
      <c r="O760" s="211">
        <f>O759/$S$759*100</f>
        <v>30.04495201069129</v>
      </c>
      <c r="P760" s="211">
        <f t="shared" ref="P760:S760" si="528">P759/$S$759*100</f>
        <v>36.313935123314302</v>
      </c>
      <c r="Q760" s="211">
        <f t="shared" si="528"/>
        <v>21.467622403110191</v>
      </c>
      <c r="R760" s="211">
        <f t="shared" si="528"/>
        <v>12.173490462884217</v>
      </c>
      <c r="S760" s="211">
        <f t="shared" si="528"/>
        <v>100</v>
      </c>
      <c r="T760" s="211">
        <f>T759/$X$759*100</f>
        <v>28.650489570029801</v>
      </c>
      <c r="U760" s="211">
        <f t="shared" ref="U760:X760" si="529">U759/$X$759*100</f>
        <v>33.844189016602812</v>
      </c>
      <c r="V760" s="211">
        <f t="shared" si="529"/>
        <v>21.604938271604937</v>
      </c>
      <c r="W760" s="211">
        <f t="shared" si="529"/>
        <v>15.900383141762454</v>
      </c>
      <c r="X760" s="211">
        <f t="shared" si="529"/>
        <v>100</v>
      </c>
    </row>
    <row r="761" spans="1:26" ht="19.5" thickBot="1" x14ac:dyDescent="0.25">
      <c r="A761" s="2" t="s">
        <v>106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105</v>
      </c>
      <c r="O761" s="2"/>
      <c r="P761" s="1"/>
      <c r="Q761" s="1"/>
      <c r="R761" s="1"/>
      <c r="S761" s="212">
        <v>63.7</v>
      </c>
      <c r="T761" s="1"/>
      <c r="U761" s="1"/>
      <c r="V761" s="1"/>
      <c r="W761" s="1"/>
      <c r="X761" s="212">
        <v>36.299999999999997</v>
      </c>
      <c r="Y761" s="1"/>
    </row>
    <row r="762" spans="1:26" ht="14.25" thickBot="1" x14ac:dyDescent="0.2">
      <c r="A762" s="5" t="s">
        <v>0</v>
      </c>
      <c r="B762" s="342" t="s">
        <v>18</v>
      </c>
      <c r="C762" s="350"/>
      <c r="D762" s="350"/>
      <c r="E762" s="350"/>
      <c r="F762" s="351"/>
      <c r="G762" s="345" t="s">
        <v>12</v>
      </c>
      <c r="H762" s="352"/>
      <c r="I762" s="352"/>
      <c r="J762" s="352"/>
      <c r="K762" s="353"/>
      <c r="L762" s="354" t="s">
        <v>1</v>
      </c>
      <c r="N762" s="5" t="s">
        <v>0</v>
      </c>
      <c r="O762" s="342" t="s">
        <v>18</v>
      </c>
      <c r="P762" s="350"/>
      <c r="Q762" s="350"/>
      <c r="R762" s="350"/>
      <c r="S762" s="351"/>
      <c r="T762" s="345" t="s">
        <v>12</v>
      </c>
      <c r="U762" s="352"/>
      <c r="V762" s="352"/>
      <c r="W762" s="352"/>
      <c r="X762" s="353"/>
      <c r="Y762" s="354" t="s">
        <v>1</v>
      </c>
    </row>
    <row r="763" spans="1:26" ht="14.25" thickBot="1" x14ac:dyDescent="0.2">
      <c r="A763" s="5" t="s">
        <v>2</v>
      </c>
      <c r="B763" s="3" t="s">
        <v>13</v>
      </c>
      <c r="C763" s="44" t="s">
        <v>14</v>
      </c>
      <c r="D763" s="4" t="s">
        <v>15</v>
      </c>
      <c r="E763" s="23" t="s">
        <v>16</v>
      </c>
      <c r="F763" s="31" t="s">
        <v>3</v>
      </c>
      <c r="G763" s="3" t="s">
        <v>13</v>
      </c>
      <c r="H763" s="44" t="s">
        <v>14</v>
      </c>
      <c r="I763" s="4" t="s">
        <v>15</v>
      </c>
      <c r="J763" s="23" t="s">
        <v>16</v>
      </c>
      <c r="K763" s="31" t="s">
        <v>3</v>
      </c>
      <c r="L763" s="355"/>
      <c r="N763" s="5" t="s">
        <v>2</v>
      </c>
      <c r="O763" s="3" t="s">
        <v>13</v>
      </c>
      <c r="P763" s="44" t="s">
        <v>14</v>
      </c>
      <c r="Q763" s="4" t="s">
        <v>15</v>
      </c>
      <c r="R763" s="23" t="s">
        <v>16</v>
      </c>
      <c r="S763" s="31" t="s">
        <v>3</v>
      </c>
      <c r="T763" s="3" t="s">
        <v>13</v>
      </c>
      <c r="U763" s="44" t="s">
        <v>14</v>
      </c>
      <c r="V763" s="4" t="s">
        <v>15</v>
      </c>
      <c r="W763" s="23" t="s">
        <v>16</v>
      </c>
      <c r="X763" s="31" t="s">
        <v>3</v>
      </c>
      <c r="Y763" s="355"/>
    </row>
    <row r="764" spans="1:26" x14ac:dyDescent="0.15">
      <c r="A764" s="71" t="s">
        <v>17</v>
      </c>
      <c r="B764" s="72">
        <f>B758</f>
        <v>13</v>
      </c>
      <c r="C764" s="73">
        <f t="shared" ref="C764:L764" si="530">C758</f>
        <v>11</v>
      </c>
      <c r="D764" s="73">
        <f t="shared" si="530"/>
        <v>12</v>
      </c>
      <c r="E764" s="74">
        <f t="shared" si="530"/>
        <v>5</v>
      </c>
      <c r="F764" s="76">
        <f t="shared" si="530"/>
        <v>37</v>
      </c>
      <c r="G764" s="72">
        <f t="shared" si="530"/>
        <v>12</v>
      </c>
      <c r="H764" s="73">
        <f t="shared" si="530"/>
        <v>2</v>
      </c>
      <c r="I764" s="73">
        <f t="shared" si="530"/>
        <v>6</v>
      </c>
      <c r="J764" s="74">
        <f t="shared" si="530"/>
        <v>4</v>
      </c>
      <c r="K764" s="75">
        <f t="shared" si="530"/>
        <v>24</v>
      </c>
      <c r="L764" s="16">
        <f t="shared" si="530"/>
        <v>61</v>
      </c>
      <c r="N764" s="71" t="s">
        <v>17</v>
      </c>
      <c r="O764" s="72">
        <f>O758</f>
        <v>229</v>
      </c>
      <c r="P764" s="73">
        <f t="shared" ref="P764:Y764" si="531">P758</f>
        <v>370</v>
      </c>
      <c r="Q764" s="73">
        <f t="shared" si="531"/>
        <v>171</v>
      </c>
      <c r="R764" s="74">
        <f t="shared" si="531"/>
        <v>87</v>
      </c>
      <c r="S764" s="76">
        <f t="shared" si="531"/>
        <v>857</v>
      </c>
      <c r="T764" s="72">
        <f t="shared" si="531"/>
        <v>538</v>
      </c>
      <c r="U764" s="73">
        <f t="shared" si="531"/>
        <v>646</v>
      </c>
      <c r="V764" s="73">
        <f t="shared" si="531"/>
        <v>367</v>
      </c>
      <c r="W764" s="74">
        <f t="shared" si="531"/>
        <v>321</v>
      </c>
      <c r="X764" s="75">
        <f t="shared" si="531"/>
        <v>1872</v>
      </c>
      <c r="Y764" s="16">
        <f t="shared" si="531"/>
        <v>2729</v>
      </c>
    </row>
    <row r="765" spans="1:26" x14ac:dyDescent="0.15">
      <c r="A765" s="13" t="s">
        <v>620</v>
      </c>
      <c r="B765" s="26">
        <v>6</v>
      </c>
      <c r="C765" s="47">
        <v>3</v>
      </c>
      <c r="D765" s="27">
        <v>3</v>
      </c>
      <c r="E765" s="50">
        <v>1</v>
      </c>
      <c r="F765" s="9">
        <f>SUM(B765:E765)</f>
        <v>13</v>
      </c>
      <c r="G765" s="47"/>
      <c r="H765" s="47">
        <v>1</v>
      </c>
      <c r="I765" s="27"/>
      <c r="J765" s="50"/>
      <c r="K765" s="9">
        <f>SUM(G765:J765)</f>
        <v>1</v>
      </c>
      <c r="L765" s="11">
        <f t="shared" ref="L765:L796" si="532">F765+K765</f>
        <v>14</v>
      </c>
      <c r="M765" s="99">
        <v>45063</v>
      </c>
      <c r="N765" s="13" t="s">
        <v>5</v>
      </c>
      <c r="O765" s="26"/>
      <c r="P765" s="47"/>
      <c r="Q765" s="27"/>
      <c r="R765" s="34"/>
      <c r="S765" s="77">
        <f>SUM(O765:R765)</f>
        <v>0</v>
      </c>
      <c r="T765" s="26"/>
      <c r="U765" s="47"/>
      <c r="V765" s="27"/>
      <c r="W765" s="34"/>
      <c r="X765" s="9">
        <f>SUM(T765:W765)</f>
        <v>0</v>
      </c>
      <c r="Y765" s="11">
        <f t="shared" ref="Y765:Y796" si="533">S765+X765</f>
        <v>0</v>
      </c>
    </row>
    <row r="766" spans="1:26" x14ac:dyDescent="0.15">
      <c r="A766" s="13" t="s">
        <v>49</v>
      </c>
      <c r="B766" s="26">
        <v>4</v>
      </c>
      <c r="C766" s="47">
        <v>3</v>
      </c>
      <c r="D766" s="27">
        <v>2</v>
      </c>
      <c r="E766" s="50">
        <v>1</v>
      </c>
      <c r="F766" s="9">
        <f>SUM(B766:E766)</f>
        <v>10</v>
      </c>
      <c r="G766" s="47">
        <v>1</v>
      </c>
      <c r="H766" s="47">
        <v>3</v>
      </c>
      <c r="I766" s="27">
        <v>1</v>
      </c>
      <c r="J766" s="50">
        <v>1</v>
      </c>
      <c r="K766" s="9">
        <f>SUM(G766:J766)</f>
        <v>6</v>
      </c>
      <c r="L766" s="11">
        <f t="shared" si="532"/>
        <v>16</v>
      </c>
      <c r="M766" s="126">
        <v>45058</v>
      </c>
      <c r="N766" s="13" t="s">
        <v>515</v>
      </c>
      <c r="O766" s="26">
        <v>600</v>
      </c>
      <c r="P766" s="47">
        <v>700</v>
      </c>
      <c r="Q766" s="27">
        <v>450</v>
      </c>
      <c r="R766" s="34">
        <v>250</v>
      </c>
      <c r="S766" s="77">
        <f>SUM(O766:R766)</f>
        <v>2000</v>
      </c>
      <c r="T766" s="26"/>
      <c r="U766" s="47"/>
      <c r="V766" s="27"/>
      <c r="W766" s="34"/>
      <c r="X766" s="9">
        <f>SUM(T766:W766)</f>
        <v>0</v>
      </c>
      <c r="Y766" s="11">
        <f t="shared" si="533"/>
        <v>2000</v>
      </c>
      <c r="Z766" s="99" t="s">
        <v>658</v>
      </c>
    </row>
    <row r="767" spans="1:26" x14ac:dyDescent="0.15">
      <c r="A767" s="79" t="s">
        <v>629</v>
      </c>
      <c r="B767" s="26">
        <v>1</v>
      </c>
      <c r="C767" s="47"/>
      <c r="D767" s="27"/>
      <c r="E767" s="34"/>
      <c r="F767" s="35">
        <f>SUM(B767:E767)</f>
        <v>1</v>
      </c>
      <c r="G767" s="26">
        <v>1</v>
      </c>
      <c r="H767" s="47"/>
      <c r="I767" s="27"/>
      <c r="J767" s="34"/>
      <c r="K767" s="35">
        <f>SUM(G767:J767)</f>
        <v>1</v>
      </c>
      <c r="L767" s="11">
        <f t="shared" si="532"/>
        <v>2</v>
      </c>
      <c r="M767" s="126">
        <v>45059</v>
      </c>
      <c r="N767" s="13" t="s">
        <v>350</v>
      </c>
      <c r="O767" s="26">
        <v>11</v>
      </c>
      <c r="P767" s="47">
        <v>8</v>
      </c>
      <c r="Q767" s="27">
        <v>8</v>
      </c>
      <c r="R767" s="34"/>
      <c r="S767" s="77">
        <f t="shared" ref="S767:S768" si="534">SUM(O767:R767)</f>
        <v>27</v>
      </c>
      <c r="T767" s="26">
        <v>8</v>
      </c>
      <c r="U767" s="47">
        <v>4</v>
      </c>
      <c r="V767" s="27">
        <v>2</v>
      </c>
      <c r="W767" s="34">
        <v>1</v>
      </c>
      <c r="X767" s="9">
        <f>SUM(T767:W767)</f>
        <v>15</v>
      </c>
      <c r="Y767" s="11">
        <f t="shared" si="533"/>
        <v>42</v>
      </c>
      <c r="Z767" s="126">
        <v>45059</v>
      </c>
    </row>
    <row r="768" spans="1:26" ht="14.25" thickBot="1" x14ac:dyDescent="0.2">
      <c r="A768" s="13" t="s">
        <v>166</v>
      </c>
      <c r="B768" s="26">
        <v>6</v>
      </c>
      <c r="C768" s="47">
        <v>7</v>
      </c>
      <c r="D768" s="27">
        <v>5</v>
      </c>
      <c r="E768" s="50">
        <v>2</v>
      </c>
      <c r="F768" s="10">
        <f>SUM(B768:E768)</f>
        <v>20</v>
      </c>
      <c r="G768" s="47">
        <v>2</v>
      </c>
      <c r="H768" s="47">
        <v>6</v>
      </c>
      <c r="I768" s="27">
        <v>6</v>
      </c>
      <c r="J768" s="50">
        <v>2</v>
      </c>
      <c r="K768" s="10">
        <f>SUM(G768:J768)</f>
        <v>16</v>
      </c>
      <c r="L768" s="14">
        <f t="shared" si="532"/>
        <v>36</v>
      </c>
      <c r="M768" s="126">
        <v>45064</v>
      </c>
      <c r="N768" s="13" t="s">
        <v>8</v>
      </c>
      <c r="O768" s="26">
        <v>12</v>
      </c>
      <c r="P768" s="47">
        <v>12</v>
      </c>
      <c r="Q768" s="27">
        <v>7</v>
      </c>
      <c r="R768" s="34">
        <v>3</v>
      </c>
      <c r="S768" s="77">
        <f t="shared" si="534"/>
        <v>34</v>
      </c>
      <c r="T768" s="26">
        <v>2</v>
      </c>
      <c r="U768" s="47">
        <v>6</v>
      </c>
      <c r="V768" s="27">
        <v>7</v>
      </c>
      <c r="W768" s="34">
        <v>2</v>
      </c>
      <c r="X768" s="9">
        <f t="shared" ref="X768" si="535">SUM(T768:W768)</f>
        <v>17</v>
      </c>
      <c r="Y768" s="11">
        <f t="shared" si="533"/>
        <v>51</v>
      </c>
      <c r="Z768" s="126">
        <v>45066</v>
      </c>
    </row>
    <row r="769" spans="1:27" ht="14.25" thickBot="1" x14ac:dyDescent="0.2">
      <c r="A769" s="22" t="s">
        <v>9</v>
      </c>
      <c r="B769" s="41">
        <f t="shared" ref="B769:K769" si="536">SUM(B764:B768)</f>
        <v>30</v>
      </c>
      <c r="C769" s="49">
        <f t="shared" si="536"/>
        <v>24</v>
      </c>
      <c r="D769" s="42">
        <f t="shared" si="536"/>
        <v>22</v>
      </c>
      <c r="E769" s="92">
        <f t="shared" si="536"/>
        <v>9</v>
      </c>
      <c r="F769" s="132">
        <f t="shared" si="536"/>
        <v>81</v>
      </c>
      <c r="G769" s="41">
        <f t="shared" si="536"/>
        <v>16</v>
      </c>
      <c r="H769" s="49">
        <f t="shared" si="536"/>
        <v>12</v>
      </c>
      <c r="I769" s="42">
        <f t="shared" si="536"/>
        <v>13</v>
      </c>
      <c r="J769" s="92">
        <f t="shared" si="536"/>
        <v>7</v>
      </c>
      <c r="K769" s="132">
        <f t="shared" si="536"/>
        <v>48</v>
      </c>
      <c r="L769" s="21">
        <f t="shared" si="532"/>
        <v>129</v>
      </c>
      <c r="N769" s="17" t="s">
        <v>9</v>
      </c>
      <c r="O769" s="41">
        <f>SUM(O764:O768)</f>
        <v>852</v>
      </c>
      <c r="P769" s="49">
        <f t="shared" ref="P769:V769" si="537">SUM(P764:P768)</f>
        <v>1090</v>
      </c>
      <c r="Q769" s="42">
        <f t="shared" si="537"/>
        <v>636</v>
      </c>
      <c r="R769" s="92">
        <f t="shared" si="537"/>
        <v>340</v>
      </c>
      <c r="S769" s="93">
        <f t="shared" si="537"/>
        <v>2918</v>
      </c>
      <c r="T769" s="41">
        <f t="shared" si="537"/>
        <v>548</v>
      </c>
      <c r="U769" s="49">
        <f t="shared" si="537"/>
        <v>656</v>
      </c>
      <c r="V769" s="42">
        <f t="shared" si="537"/>
        <v>376</v>
      </c>
      <c r="W769" s="92">
        <f>SUM(W764:W768)</f>
        <v>324</v>
      </c>
      <c r="X769" s="93">
        <f t="shared" ref="X769" si="538">SUM(X764:X768)</f>
        <v>1904</v>
      </c>
      <c r="Y769" s="56">
        <f t="shared" si="533"/>
        <v>4822</v>
      </c>
    </row>
    <row r="770" spans="1:27" x14ac:dyDescent="0.15">
      <c r="A770" s="32" t="s">
        <v>284</v>
      </c>
      <c r="B770" s="66">
        <v>11</v>
      </c>
      <c r="C770" s="67">
        <v>8</v>
      </c>
      <c r="D770" s="68">
        <v>8</v>
      </c>
      <c r="E770" s="69"/>
      <c r="F770" s="70">
        <f t="shared" ref="F770" si="539">SUM(B770:E770)</f>
        <v>27</v>
      </c>
      <c r="G770" s="66">
        <v>8</v>
      </c>
      <c r="H770" s="67">
        <v>4</v>
      </c>
      <c r="I770" s="68">
        <v>2</v>
      </c>
      <c r="J770" s="69">
        <v>1</v>
      </c>
      <c r="K770" s="70">
        <f>SUM(G770:J770)</f>
        <v>15</v>
      </c>
      <c r="L770" s="11">
        <f t="shared" si="532"/>
        <v>42</v>
      </c>
      <c r="M770" s="126">
        <v>45059</v>
      </c>
      <c r="N770" s="15" t="s">
        <v>640</v>
      </c>
      <c r="O770" s="66">
        <v>10</v>
      </c>
      <c r="P770" s="67">
        <v>10</v>
      </c>
      <c r="Q770" s="68">
        <v>10</v>
      </c>
      <c r="R770" s="94">
        <v>10</v>
      </c>
      <c r="S770" s="91">
        <f>SUM(O770:R770)</f>
        <v>40</v>
      </c>
      <c r="T770" s="67">
        <v>10</v>
      </c>
      <c r="U770" s="67">
        <v>10</v>
      </c>
      <c r="V770" s="68">
        <v>10</v>
      </c>
      <c r="W770" s="94">
        <v>10</v>
      </c>
      <c r="X770" s="91">
        <f>SUM(T770:W770)</f>
        <v>40</v>
      </c>
      <c r="Y770" s="11">
        <f t="shared" si="533"/>
        <v>80</v>
      </c>
      <c r="Z770" s="99">
        <v>45071</v>
      </c>
      <c r="AA770" s="58"/>
    </row>
    <row r="771" spans="1:27" x14ac:dyDescent="0.15">
      <c r="A771" s="13" t="s">
        <v>41</v>
      </c>
      <c r="B771" s="26"/>
      <c r="C771" s="47"/>
      <c r="D771" s="27"/>
      <c r="E771" s="34">
        <v>1</v>
      </c>
      <c r="F771" s="35">
        <f>SUM(B771:E771)</f>
        <v>1</v>
      </c>
      <c r="G771" s="26">
        <v>1</v>
      </c>
      <c r="H771" s="47"/>
      <c r="I771" s="27"/>
      <c r="J771" s="34"/>
      <c r="K771" s="35">
        <f>SUM(G771:J771)</f>
        <v>1</v>
      </c>
      <c r="L771" s="11">
        <f t="shared" si="532"/>
        <v>2</v>
      </c>
      <c r="M771" s="126">
        <v>45061</v>
      </c>
      <c r="N771" s="15" t="s">
        <v>644</v>
      </c>
      <c r="O771" s="26"/>
      <c r="P771" s="47"/>
      <c r="Q771" s="27">
        <v>2</v>
      </c>
      <c r="R771" s="34"/>
      <c r="S771" s="35">
        <f t="shared" ref="S771:S772" si="540">SUM(O771:R771)</f>
        <v>2</v>
      </c>
      <c r="T771" s="26"/>
      <c r="U771" s="47"/>
      <c r="V771" s="27"/>
      <c r="W771" s="34"/>
      <c r="X771" s="35">
        <f t="shared" ref="X771:X772" si="541">SUM(T771:W771)</f>
        <v>0</v>
      </c>
      <c r="Y771" s="11">
        <f t="shared" si="533"/>
        <v>2</v>
      </c>
      <c r="Z771" s="99">
        <v>45070</v>
      </c>
    </row>
    <row r="772" spans="1:27" x14ac:dyDescent="0.15">
      <c r="A772" s="15" t="s">
        <v>643</v>
      </c>
      <c r="B772" s="26"/>
      <c r="C772" s="47"/>
      <c r="D772" s="27"/>
      <c r="E772" s="34"/>
      <c r="F772" s="35">
        <f t="shared" ref="F772:F794" si="542">SUM(B772:E772)</f>
        <v>0</v>
      </c>
      <c r="G772" s="26"/>
      <c r="H772" s="47">
        <v>1</v>
      </c>
      <c r="I772" s="27"/>
      <c r="J772" s="34"/>
      <c r="K772" s="35">
        <f t="shared" ref="K772:K794" si="543">SUM(G772:J772)</f>
        <v>1</v>
      </c>
      <c r="L772" s="11">
        <f t="shared" si="532"/>
        <v>1</v>
      </c>
      <c r="M772" s="99">
        <v>45070</v>
      </c>
      <c r="N772" s="90" t="s">
        <v>350</v>
      </c>
      <c r="O772" s="26"/>
      <c r="P772" s="47"/>
      <c r="Q772" s="27"/>
      <c r="R772" s="34"/>
      <c r="S772" s="35">
        <f t="shared" si="540"/>
        <v>0</v>
      </c>
      <c r="T772" s="26"/>
      <c r="U772" s="47">
        <v>3</v>
      </c>
      <c r="V772" s="27">
        <v>3</v>
      </c>
      <c r="W772" s="34"/>
      <c r="X772" s="35">
        <f t="shared" si="541"/>
        <v>6</v>
      </c>
      <c r="Y772" s="11">
        <f t="shared" si="533"/>
        <v>6</v>
      </c>
      <c r="Z772" s="99">
        <v>45070</v>
      </c>
    </row>
    <row r="773" spans="1:27" x14ac:dyDescent="0.15">
      <c r="A773" s="32" t="s">
        <v>284</v>
      </c>
      <c r="B773" s="66">
        <v>12</v>
      </c>
      <c r="C773" s="67">
        <v>12</v>
      </c>
      <c r="D773" s="68">
        <v>7</v>
      </c>
      <c r="E773" s="69">
        <v>3</v>
      </c>
      <c r="F773" s="70">
        <f t="shared" si="542"/>
        <v>34</v>
      </c>
      <c r="G773" s="66">
        <v>2</v>
      </c>
      <c r="H773" s="67">
        <v>6</v>
      </c>
      <c r="I773" s="68">
        <v>7</v>
      </c>
      <c r="J773" s="69">
        <v>2</v>
      </c>
      <c r="K773" s="70">
        <f t="shared" si="543"/>
        <v>17</v>
      </c>
      <c r="L773" s="11">
        <f t="shared" si="532"/>
        <v>51</v>
      </c>
      <c r="M773" s="126">
        <v>45066</v>
      </c>
      <c r="N773" s="15" t="s">
        <v>646</v>
      </c>
      <c r="O773" s="66">
        <v>1</v>
      </c>
      <c r="P773" s="67"/>
      <c r="Q773" s="68">
        <v>16</v>
      </c>
      <c r="R773" s="94"/>
      <c r="S773" s="91">
        <f>SUM(O773:R773)</f>
        <v>17</v>
      </c>
      <c r="T773" s="67"/>
      <c r="U773" s="67">
        <v>2</v>
      </c>
      <c r="V773" s="68"/>
      <c r="W773" s="94"/>
      <c r="X773" s="91">
        <f>SUM(T773:W773)</f>
        <v>2</v>
      </c>
      <c r="Y773" s="11">
        <f t="shared" si="533"/>
        <v>19</v>
      </c>
      <c r="Z773" s="99">
        <v>45071</v>
      </c>
    </row>
    <row r="774" spans="1:27" x14ac:dyDescent="0.15">
      <c r="A774" s="13" t="s">
        <v>645</v>
      </c>
      <c r="B774" s="26"/>
      <c r="C774" s="47"/>
      <c r="D774" s="27"/>
      <c r="E774" s="34"/>
      <c r="F774" s="35">
        <f t="shared" si="542"/>
        <v>0</v>
      </c>
      <c r="G774" s="26"/>
      <c r="H774" s="47">
        <v>-3</v>
      </c>
      <c r="I774" s="27">
        <v>-3</v>
      </c>
      <c r="J774" s="34"/>
      <c r="K774" s="35">
        <f t="shared" si="543"/>
        <v>-6</v>
      </c>
      <c r="L774" s="11">
        <f t="shared" si="532"/>
        <v>-6</v>
      </c>
      <c r="M774" s="99">
        <v>45070</v>
      </c>
      <c r="N774" s="15" t="s">
        <v>647</v>
      </c>
      <c r="O774" s="26">
        <v>7</v>
      </c>
      <c r="P774" s="47">
        <v>4</v>
      </c>
      <c r="Q774" s="27">
        <v>13</v>
      </c>
      <c r="R774" s="34"/>
      <c r="S774" s="35">
        <f t="shared" ref="S774:S776" si="544">SUM(O774:R774)</f>
        <v>24</v>
      </c>
      <c r="T774" s="26"/>
      <c r="U774" s="47">
        <v>4</v>
      </c>
      <c r="V774" s="27">
        <v>1</v>
      </c>
      <c r="W774" s="34">
        <v>1</v>
      </c>
      <c r="X774" s="35">
        <f t="shared" ref="X774:X776" si="545">SUM(T774:W774)</f>
        <v>6</v>
      </c>
      <c r="Y774" s="11">
        <f t="shared" si="533"/>
        <v>30</v>
      </c>
      <c r="Z774" s="99">
        <v>45072</v>
      </c>
    </row>
    <row r="775" spans="1:27" x14ac:dyDescent="0.15">
      <c r="A775" s="13" t="s">
        <v>41</v>
      </c>
      <c r="B775" s="26"/>
      <c r="C775" s="47">
        <v>1</v>
      </c>
      <c r="D775" s="27"/>
      <c r="E775" s="34"/>
      <c r="F775" s="35">
        <f t="shared" si="542"/>
        <v>1</v>
      </c>
      <c r="G775" s="26"/>
      <c r="H775" s="47"/>
      <c r="I775" s="27"/>
      <c r="J775" s="34"/>
      <c r="K775" s="35">
        <f t="shared" si="543"/>
        <v>0</v>
      </c>
      <c r="L775" s="11">
        <f t="shared" si="532"/>
        <v>1</v>
      </c>
      <c r="M775" s="126">
        <v>45075</v>
      </c>
      <c r="N775" s="15" t="s">
        <v>648</v>
      </c>
      <c r="O775" s="26">
        <v>24</v>
      </c>
      <c r="P775" s="47">
        <v>16</v>
      </c>
      <c r="Q775" s="27">
        <v>17</v>
      </c>
      <c r="R775" s="34">
        <v>6</v>
      </c>
      <c r="S775" s="35">
        <f t="shared" si="544"/>
        <v>63</v>
      </c>
      <c r="T775" s="26">
        <v>3</v>
      </c>
      <c r="U775" s="47">
        <v>8</v>
      </c>
      <c r="V775" s="27">
        <v>4</v>
      </c>
      <c r="W775" s="34">
        <v>5</v>
      </c>
      <c r="X775" s="35">
        <f t="shared" si="545"/>
        <v>20</v>
      </c>
      <c r="Y775" s="11">
        <f t="shared" si="533"/>
        <v>83</v>
      </c>
      <c r="Z775" s="99">
        <v>45075</v>
      </c>
    </row>
    <row r="776" spans="1:27" x14ac:dyDescent="0.15">
      <c r="A776" s="79" t="s">
        <v>657</v>
      </c>
      <c r="B776" s="26">
        <v>1</v>
      </c>
      <c r="C776" s="47"/>
      <c r="D776" s="27"/>
      <c r="E776" s="34"/>
      <c r="F776" s="35">
        <f t="shared" si="542"/>
        <v>1</v>
      </c>
      <c r="G776" s="26"/>
      <c r="H776" s="47"/>
      <c r="I776" s="27"/>
      <c r="J776" s="34"/>
      <c r="K776" s="35">
        <f t="shared" si="543"/>
        <v>0</v>
      </c>
      <c r="L776" s="11">
        <f t="shared" si="532"/>
        <v>1</v>
      </c>
      <c r="M776" s="126">
        <v>45079</v>
      </c>
      <c r="N776" s="15" t="s">
        <v>649</v>
      </c>
      <c r="O776" s="26"/>
      <c r="P776" s="47">
        <v>2</v>
      </c>
      <c r="Q776" s="27"/>
      <c r="R776" s="34">
        <v>2</v>
      </c>
      <c r="S776" s="35">
        <f t="shared" si="544"/>
        <v>4</v>
      </c>
      <c r="T776" s="26"/>
      <c r="U776" s="47"/>
      <c r="V776" s="27">
        <v>6</v>
      </c>
      <c r="W776" s="34"/>
      <c r="X776" s="35">
        <f t="shared" si="545"/>
        <v>6</v>
      </c>
      <c r="Y776" s="11">
        <f t="shared" si="533"/>
        <v>10</v>
      </c>
      <c r="Z776" s="99">
        <v>45076</v>
      </c>
    </row>
    <row r="777" spans="1:27" x14ac:dyDescent="0.15">
      <c r="A777" s="32"/>
      <c r="B777" s="26"/>
      <c r="C777" s="47"/>
      <c r="D777" s="27"/>
      <c r="E777" s="34"/>
      <c r="F777" s="35">
        <f t="shared" si="542"/>
        <v>0</v>
      </c>
      <c r="G777" s="26"/>
      <c r="H777" s="47"/>
      <c r="I777" s="27"/>
      <c r="J777" s="34"/>
      <c r="K777" s="35">
        <f t="shared" si="543"/>
        <v>0</v>
      </c>
      <c r="L777" s="11">
        <f t="shared" si="532"/>
        <v>0</v>
      </c>
      <c r="N777" s="15" t="s">
        <v>652</v>
      </c>
      <c r="O777" s="26">
        <v>10</v>
      </c>
      <c r="P777" s="47">
        <v>28</v>
      </c>
      <c r="Q777" s="27"/>
      <c r="R777" s="50">
        <v>5</v>
      </c>
      <c r="S777" s="9">
        <f>SUM(O777:R777)</f>
        <v>43</v>
      </c>
      <c r="T777" s="47">
        <v>8</v>
      </c>
      <c r="U777" s="47">
        <v>5</v>
      </c>
      <c r="V777" s="27">
        <v>9</v>
      </c>
      <c r="W777" s="50"/>
      <c r="X777" s="9">
        <f>SUM(T777:W777)</f>
        <v>22</v>
      </c>
      <c r="Y777" s="11">
        <f t="shared" si="533"/>
        <v>65</v>
      </c>
      <c r="Z777" s="99">
        <v>45077</v>
      </c>
    </row>
    <row r="778" spans="1:27" x14ac:dyDescent="0.15">
      <c r="A778" s="13"/>
      <c r="B778" s="26"/>
      <c r="C778" s="47"/>
      <c r="D778" s="27"/>
      <c r="E778" s="34"/>
      <c r="F778" s="35">
        <f t="shared" si="542"/>
        <v>0</v>
      </c>
      <c r="G778" s="26"/>
      <c r="H778" s="47"/>
      <c r="I778" s="27"/>
      <c r="J778" s="34"/>
      <c r="K778" s="35">
        <f t="shared" si="543"/>
        <v>0</v>
      </c>
      <c r="L778" s="11">
        <f t="shared" si="532"/>
        <v>0</v>
      </c>
      <c r="N778" s="90" t="s">
        <v>660</v>
      </c>
      <c r="O778" s="26"/>
      <c r="P778" s="47"/>
      <c r="Q778" s="27">
        <v>5</v>
      </c>
      <c r="R778" s="34"/>
      <c r="S778" s="35">
        <f t="shared" ref="S778:S795" si="546">SUM(O778:R778)</f>
        <v>5</v>
      </c>
      <c r="T778" s="26"/>
      <c r="U778" s="47"/>
      <c r="V778" s="27"/>
      <c r="W778" s="34"/>
      <c r="X778" s="35">
        <f t="shared" ref="X778:X795" si="547">SUM(T778:W778)</f>
        <v>0</v>
      </c>
      <c r="Y778" s="11">
        <f t="shared" si="533"/>
        <v>5</v>
      </c>
      <c r="Z778" s="99">
        <v>45083</v>
      </c>
    </row>
    <row r="779" spans="1:27" x14ac:dyDescent="0.15">
      <c r="A779" s="32"/>
      <c r="B779" s="26"/>
      <c r="C779" s="47"/>
      <c r="D779" s="27"/>
      <c r="E779" s="34"/>
      <c r="F779" s="35">
        <f t="shared" si="542"/>
        <v>0</v>
      </c>
      <c r="G779" s="26"/>
      <c r="H779" s="47"/>
      <c r="I779" s="27"/>
      <c r="J779" s="34"/>
      <c r="K779" s="35">
        <f t="shared" si="543"/>
        <v>0</v>
      </c>
      <c r="L779" s="11">
        <f t="shared" si="532"/>
        <v>0</v>
      </c>
      <c r="N779" s="15" t="s">
        <v>655</v>
      </c>
      <c r="O779" s="26">
        <v>20</v>
      </c>
      <c r="P779" s="47">
        <v>13</v>
      </c>
      <c r="Q779" s="27">
        <v>9</v>
      </c>
      <c r="R779" s="34">
        <v>6</v>
      </c>
      <c r="S779" s="35">
        <f t="shared" si="546"/>
        <v>48</v>
      </c>
      <c r="T779" s="26">
        <v>3</v>
      </c>
      <c r="U779" s="47">
        <v>8</v>
      </c>
      <c r="V779" s="27">
        <v>2</v>
      </c>
      <c r="W779" s="34">
        <v>1</v>
      </c>
      <c r="X779" s="35">
        <f t="shared" si="547"/>
        <v>14</v>
      </c>
      <c r="Y779" s="11">
        <f t="shared" si="533"/>
        <v>62</v>
      </c>
      <c r="Z779" s="99">
        <v>45078</v>
      </c>
    </row>
    <row r="780" spans="1:27" x14ac:dyDescent="0.15">
      <c r="A780" s="15"/>
      <c r="B780" s="26"/>
      <c r="C780" s="47"/>
      <c r="D780" s="27"/>
      <c r="E780" s="34"/>
      <c r="F780" s="35">
        <f t="shared" si="542"/>
        <v>0</v>
      </c>
      <c r="G780" s="26"/>
      <c r="H780" s="47"/>
      <c r="I780" s="27"/>
      <c r="J780" s="34"/>
      <c r="K780" s="35">
        <f t="shared" si="543"/>
        <v>0</v>
      </c>
      <c r="L780" s="11">
        <f t="shared" si="532"/>
        <v>0</v>
      </c>
      <c r="N780" s="15" t="s">
        <v>656</v>
      </c>
      <c r="O780" s="26">
        <v>18</v>
      </c>
      <c r="P780" s="47">
        <v>18</v>
      </c>
      <c r="Q780" s="27">
        <v>15</v>
      </c>
      <c r="R780" s="34"/>
      <c r="S780" s="35">
        <f t="shared" si="546"/>
        <v>51</v>
      </c>
      <c r="T780" s="26">
        <v>6</v>
      </c>
      <c r="U780" s="47"/>
      <c r="V780" s="27">
        <v>2</v>
      </c>
      <c r="W780" s="34">
        <v>1</v>
      </c>
      <c r="X780" s="35">
        <f t="shared" si="547"/>
        <v>9</v>
      </c>
      <c r="Y780" s="11">
        <f t="shared" si="533"/>
        <v>60</v>
      </c>
      <c r="Z780" s="99">
        <v>45079</v>
      </c>
    </row>
    <row r="781" spans="1:27" x14ac:dyDescent="0.15">
      <c r="A781" s="13"/>
      <c r="B781" s="26"/>
      <c r="C781" s="47"/>
      <c r="D781" s="27"/>
      <c r="E781" s="34"/>
      <c r="F781" s="35">
        <f t="shared" si="542"/>
        <v>0</v>
      </c>
      <c r="G781" s="26"/>
      <c r="H781" s="47"/>
      <c r="I781" s="27"/>
      <c r="J781" s="34"/>
      <c r="K781" s="35">
        <f t="shared" si="543"/>
        <v>0</v>
      </c>
      <c r="L781" s="11">
        <f t="shared" si="532"/>
        <v>0</v>
      </c>
      <c r="N781" s="15" t="s">
        <v>659</v>
      </c>
      <c r="O781" s="26">
        <v>20</v>
      </c>
      <c r="P781" s="47">
        <v>19</v>
      </c>
      <c r="Q781" s="27">
        <v>12</v>
      </c>
      <c r="R781" s="34">
        <v>6</v>
      </c>
      <c r="S781" s="35">
        <f t="shared" si="546"/>
        <v>57</v>
      </c>
      <c r="T781" s="26">
        <v>4</v>
      </c>
      <c r="U781" s="47">
        <v>6</v>
      </c>
      <c r="V781" s="27">
        <v>4</v>
      </c>
      <c r="W781" s="34">
        <v>2</v>
      </c>
      <c r="X781" s="35">
        <f t="shared" si="547"/>
        <v>16</v>
      </c>
      <c r="Y781" s="11">
        <f t="shared" si="533"/>
        <v>73</v>
      </c>
      <c r="Z781" s="99">
        <v>45082</v>
      </c>
    </row>
    <row r="782" spans="1:27" x14ac:dyDescent="0.15">
      <c r="A782" s="15"/>
      <c r="B782" s="26"/>
      <c r="C782" s="47"/>
      <c r="D782" s="27"/>
      <c r="E782" s="34"/>
      <c r="F782" s="35">
        <f t="shared" si="542"/>
        <v>0</v>
      </c>
      <c r="G782" s="26"/>
      <c r="H782" s="47"/>
      <c r="I782" s="27"/>
      <c r="J782" s="34"/>
      <c r="K782" s="35">
        <f t="shared" si="543"/>
        <v>0</v>
      </c>
      <c r="L782" s="11">
        <f t="shared" si="532"/>
        <v>0</v>
      </c>
      <c r="N782" s="12"/>
      <c r="O782" s="26"/>
      <c r="P782" s="47"/>
      <c r="Q782" s="27"/>
      <c r="R782" s="34"/>
      <c r="S782" s="35">
        <f t="shared" si="546"/>
        <v>0</v>
      </c>
      <c r="T782" s="26"/>
      <c r="U782" s="47"/>
      <c r="V782" s="27"/>
      <c r="W782" s="34"/>
      <c r="X782" s="35">
        <f t="shared" si="547"/>
        <v>0</v>
      </c>
      <c r="Y782" s="11">
        <f t="shared" si="533"/>
        <v>0</v>
      </c>
    </row>
    <row r="783" spans="1:27" x14ac:dyDescent="0.15">
      <c r="A783" s="13"/>
      <c r="B783" s="26"/>
      <c r="C783" s="47"/>
      <c r="D783" s="27"/>
      <c r="E783" s="34"/>
      <c r="F783" s="35">
        <f t="shared" si="542"/>
        <v>0</v>
      </c>
      <c r="G783" s="26"/>
      <c r="H783" s="47"/>
      <c r="I783" s="27"/>
      <c r="J783" s="34"/>
      <c r="K783" s="35">
        <f t="shared" si="543"/>
        <v>0</v>
      </c>
      <c r="L783" s="11">
        <f t="shared" si="532"/>
        <v>0</v>
      </c>
      <c r="N783" s="15"/>
      <c r="O783" s="26"/>
      <c r="P783" s="47"/>
      <c r="Q783" s="27"/>
      <c r="R783" s="34"/>
      <c r="S783" s="35">
        <f t="shared" si="546"/>
        <v>0</v>
      </c>
      <c r="T783" s="26"/>
      <c r="U783" s="47"/>
      <c r="V783" s="27"/>
      <c r="W783" s="34"/>
      <c r="X783" s="35">
        <f t="shared" si="547"/>
        <v>0</v>
      </c>
      <c r="Y783" s="11">
        <f t="shared" si="533"/>
        <v>0</v>
      </c>
    </row>
    <row r="784" spans="1:27" x14ac:dyDescent="0.15">
      <c r="A784" s="15"/>
      <c r="B784" s="26"/>
      <c r="C784" s="47"/>
      <c r="D784" s="27"/>
      <c r="E784" s="34"/>
      <c r="F784" s="35">
        <f t="shared" si="542"/>
        <v>0</v>
      </c>
      <c r="G784" s="26"/>
      <c r="H784" s="47"/>
      <c r="I784" s="27"/>
      <c r="J784" s="34"/>
      <c r="K784" s="35">
        <f t="shared" si="543"/>
        <v>0</v>
      </c>
      <c r="L784" s="11">
        <f t="shared" si="532"/>
        <v>0</v>
      </c>
      <c r="N784" s="57"/>
      <c r="O784" s="26"/>
      <c r="P784" s="47"/>
      <c r="Q784" s="27"/>
      <c r="R784" s="34"/>
      <c r="S784" s="35">
        <f t="shared" si="546"/>
        <v>0</v>
      </c>
      <c r="T784" s="26"/>
      <c r="U784" s="47"/>
      <c r="V784" s="27"/>
      <c r="W784" s="34"/>
      <c r="X784" s="35">
        <f t="shared" si="547"/>
        <v>0</v>
      </c>
      <c r="Y784" s="11">
        <f t="shared" si="533"/>
        <v>0</v>
      </c>
    </row>
    <row r="785" spans="1:26" x14ac:dyDescent="0.15">
      <c r="A785" s="13"/>
      <c r="B785" s="26"/>
      <c r="C785" s="47"/>
      <c r="D785" s="27"/>
      <c r="E785" s="34"/>
      <c r="F785" s="35">
        <f t="shared" si="542"/>
        <v>0</v>
      </c>
      <c r="G785" s="26"/>
      <c r="H785" s="47"/>
      <c r="I785" s="27"/>
      <c r="J785" s="34"/>
      <c r="K785" s="35">
        <f t="shared" si="543"/>
        <v>0</v>
      </c>
      <c r="L785" s="11">
        <f t="shared" si="532"/>
        <v>0</v>
      </c>
      <c r="N785" s="15"/>
      <c r="O785" s="26"/>
      <c r="P785" s="47"/>
      <c r="Q785" s="27"/>
      <c r="R785" s="34"/>
      <c r="S785" s="35">
        <f t="shared" si="546"/>
        <v>0</v>
      </c>
      <c r="T785" s="26"/>
      <c r="U785" s="47"/>
      <c r="V785" s="27"/>
      <c r="W785" s="34"/>
      <c r="X785" s="35">
        <f t="shared" si="547"/>
        <v>0</v>
      </c>
      <c r="Y785" s="11">
        <f t="shared" si="533"/>
        <v>0</v>
      </c>
    </row>
    <row r="786" spans="1:26" x14ac:dyDescent="0.15">
      <c r="A786" s="15"/>
      <c r="B786" s="26"/>
      <c r="C786" s="47"/>
      <c r="D786" s="27"/>
      <c r="E786" s="34"/>
      <c r="F786" s="35">
        <f t="shared" si="542"/>
        <v>0</v>
      </c>
      <c r="G786" s="26"/>
      <c r="H786" s="47"/>
      <c r="I786" s="27"/>
      <c r="J786" s="34"/>
      <c r="K786" s="35">
        <f t="shared" si="543"/>
        <v>0</v>
      </c>
      <c r="L786" s="11">
        <f t="shared" si="532"/>
        <v>0</v>
      </c>
      <c r="N786" s="57"/>
      <c r="O786" s="26"/>
      <c r="P786" s="47"/>
      <c r="Q786" s="27"/>
      <c r="R786" s="34"/>
      <c r="S786" s="35">
        <f t="shared" si="546"/>
        <v>0</v>
      </c>
      <c r="T786" s="26"/>
      <c r="U786" s="47"/>
      <c r="V786" s="27"/>
      <c r="W786" s="34"/>
      <c r="X786" s="35">
        <f t="shared" si="547"/>
        <v>0</v>
      </c>
      <c r="Y786" s="11">
        <f t="shared" si="533"/>
        <v>0</v>
      </c>
    </row>
    <row r="787" spans="1:26" x14ac:dyDescent="0.15">
      <c r="A787" s="15"/>
      <c r="B787" s="26"/>
      <c r="C787" s="47"/>
      <c r="D787" s="27"/>
      <c r="E787" s="34"/>
      <c r="F787" s="35">
        <f t="shared" si="542"/>
        <v>0</v>
      </c>
      <c r="G787" s="26"/>
      <c r="H787" s="47"/>
      <c r="I787" s="27"/>
      <c r="J787" s="34"/>
      <c r="K787" s="35">
        <f t="shared" si="543"/>
        <v>0</v>
      </c>
      <c r="L787" s="11">
        <f t="shared" si="532"/>
        <v>0</v>
      </c>
      <c r="N787" s="57"/>
      <c r="O787" s="26"/>
      <c r="P787" s="47"/>
      <c r="Q787" s="27"/>
      <c r="R787" s="34"/>
      <c r="S787" s="35">
        <f t="shared" si="546"/>
        <v>0</v>
      </c>
      <c r="T787" s="26"/>
      <c r="U787" s="47"/>
      <c r="V787" s="27"/>
      <c r="W787" s="34"/>
      <c r="X787" s="35">
        <f t="shared" si="547"/>
        <v>0</v>
      </c>
      <c r="Y787" s="11">
        <f t="shared" si="533"/>
        <v>0</v>
      </c>
    </row>
    <row r="788" spans="1:26" x14ac:dyDescent="0.15">
      <c r="A788" s="13"/>
      <c r="B788" s="26"/>
      <c r="C788" s="47"/>
      <c r="D788" s="27"/>
      <c r="E788" s="34"/>
      <c r="F788" s="35">
        <f t="shared" si="542"/>
        <v>0</v>
      </c>
      <c r="G788" s="26"/>
      <c r="H788" s="47"/>
      <c r="I788" s="27"/>
      <c r="J788" s="34"/>
      <c r="K788" s="35">
        <f t="shared" si="543"/>
        <v>0</v>
      </c>
      <c r="L788" s="11">
        <f t="shared" si="532"/>
        <v>0</v>
      </c>
      <c r="N788" s="15"/>
      <c r="O788" s="26"/>
      <c r="P788" s="47"/>
      <c r="Q788" s="27"/>
      <c r="R788" s="34"/>
      <c r="S788" s="35">
        <f t="shared" si="546"/>
        <v>0</v>
      </c>
      <c r="T788" s="26"/>
      <c r="U788" s="47"/>
      <c r="V788" s="27"/>
      <c r="W788" s="34"/>
      <c r="X788" s="35">
        <f t="shared" si="547"/>
        <v>0</v>
      </c>
      <c r="Y788" s="11">
        <f t="shared" si="533"/>
        <v>0</v>
      </c>
    </row>
    <row r="789" spans="1:26" x14ac:dyDescent="0.15">
      <c r="A789" s="32"/>
      <c r="B789" s="26"/>
      <c r="C789" s="47"/>
      <c r="D789" s="27"/>
      <c r="E789" s="34"/>
      <c r="F789" s="35">
        <f t="shared" si="542"/>
        <v>0</v>
      </c>
      <c r="G789" s="26"/>
      <c r="H789" s="47"/>
      <c r="I789" s="27"/>
      <c r="J789" s="34"/>
      <c r="K789" s="35">
        <f t="shared" si="543"/>
        <v>0</v>
      </c>
      <c r="L789" s="11">
        <f t="shared" si="532"/>
        <v>0</v>
      </c>
      <c r="N789" s="15"/>
      <c r="O789" s="26"/>
      <c r="P789" s="47"/>
      <c r="Q789" s="27"/>
      <c r="R789" s="34"/>
      <c r="S789" s="35">
        <f t="shared" si="546"/>
        <v>0</v>
      </c>
      <c r="T789" s="26"/>
      <c r="U789" s="47"/>
      <c r="V789" s="27"/>
      <c r="W789" s="34"/>
      <c r="X789" s="35">
        <f t="shared" si="547"/>
        <v>0</v>
      </c>
      <c r="Y789" s="11">
        <f t="shared" si="533"/>
        <v>0</v>
      </c>
    </row>
    <row r="790" spans="1:26" x14ac:dyDescent="0.15">
      <c r="A790" s="32"/>
      <c r="B790" s="26"/>
      <c r="C790" s="47"/>
      <c r="D790" s="27"/>
      <c r="E790" s="34"/>
      <c r="F790" s="35">
        <f t="shared" si="542"/>
        <v>0</v>
      </c>
      <c r="G790" s="26"/>
      <c r="H790" s="47"/>
      <c r="I790" s="27"/>
      <c r="J790" s="34"/>
      <c r="K790" s="35">
        <f t="shared" si="543"/>
        <v>0</v>
      </c>
      <c r="L790" s="11">
        <f t="shared" si="532"/>
        <v>0</v>
      </c>
      <c r="N790" s="15"/>
      <c r="O790" s="26"/>
      <c r="P790" s="47"/>
      <c r="Q790" s="27"/>
      <c r="R790" s="34"/>
      <c r="S790" s="35">
        <f t="shared" si="546"/>
        <v>0</v>
      </c>
      <c r="T790" s="26"/>
      <c r="U790" s="47"/>
      <c r="V790" s="27"/>
      <c r="W790" s="34"/>
      <c r="X790" s="35">
        <f t="shared" si="547"/>
        <v>0</v>
      </c>
      <c r="Y790" s="11">
        <f t="shared" si="533"/>
        <v>0</v>
      </c>
    </row>
    <row r="791" spans="1:26" x14ac:dyDescent="0.15">
      <c r="A791" s="12"/>
      <c r="B791" s="26"/>
      <c r="C791" s="47"/>
      <c r="D791" s="27"/>
      <c r="E791" s="34"/>
      <c r="F791" s="35">
        <f t="shared" si="542"/>
        <v>0</v>
      </c>
      <c r="G791" s="26"/>
      <c r="H791" s="47"/>
      <c r="I791" s="27"/>
      <c r="J791" s="34"/>
      <c r="K791" s="35">
        <f t="shared" si="543"/>
        <v>0</v>
      </c>
      <c r="L791" s="11">
        <f t="shared" si="532"/>
        <v>0</v>
      </c>
      <c r="N791" s="15"/>
      <c r="O791" s="26"/>
      <c r="P791" s="47"/>
      <c r="Q791" s="27"/>
      <c r="R791" s="34"/>
      <c r="S791" s="35">
        <f t="shared" ref="S791:S793" si="548">SUM(O791:R791)</f>
        <v>0</v>
      </c>
      <c r="T791" s="26"/>
      <c r="U791" s="47"/>
      <c r="V791" s="27"/>
      <c r="W791" s="34"/>
      <c r="X791" s="35">
        <f t="shared" ref="X791:X793" si="549">SUM(T791:W791)</f>
        <v>0</v>
      </c>
      <c r="Y791" s="11">
        <f t="shared" ref="Y791:Y793" si="550">S791+X791</f>
        <v>0</v>
      </c>
    </row>
    <row r="792" spans="1:26" x14ac:dyDescent="0.15">
      <c r="A792" s="79"/>
      <c r="B792" s="26"/>
      <c r="C792" s="47"/>
      <c r="D792" s="27"/>
      <c r="E792" s="34"/>
      <c r="F792" s="35">
        <f t="shared" si="542"/>
        <v>0</v>
      </c>
      <c r="G792" s="26"/>
      <c r="H792" s="47"/>
      <c r="I792" s="27"/>
      <c r="J792" s="34"/>
      <c r="K792" s="35">
        <f t="shared" si="543"/>
        <v>0</v>
      </c>
      <c r="L792" s="11">
        <f t="shared" si="532"/>
        <v>0</v>
      </c>
      <c r="N792" s="153" t="s">
        <v>635</v>
      </c>
      <c r="O792" s="154"/>
      <c r="P792" s="155"/>
      <c r="Q792" s="156"/>
      <c r="R792" s="157"/>
      <c r="S792" s="158">
        <f t="shared" ref="S792" si="551">SUM(O792:R792)</f>
        <v>0</v>
      </c>
      <c r="T792" s="154"/>
      <c r="U792" s="155"/>
      <c r="V792" s="156"/>
      <c r="W792" s="157"/>
      <c r="X792" s="158">
        <f t="shared" ref="X792" si="552">SUM(T792:W792)</f>
        <v>0</v>
      </c>
      <c r="Y792" s="179">
        <f t="shared" ref="Y792" si="553">S792+X792</f>
        <v>0</v>
      </c>
      <c r="Z792" s="160" t="s">
        <v>636</v>
      </c>
    </row>
    <row r="793" spans="1:26" x14ac:dyDescent="0.15">
      <c r="A793" s="57"/>
      <c r="B793" s="26"/>
      <c r="C793" s="47"/>
      <c r="D793" s="27"/>
      <c r="E793" s="34"/>
      <c r="F793" s="35">
        <f t="shared" si="542"/>
        <v>0</v>
      </c>
      <c r="G793" s="26"/>
      <c r="H793" s="47"/>
      <c r="I793" s="27"/>
      <c r="J793" s="34"/>
      <c r="K793" s="35">
        <f t="shared" si="543"/>
        <v>0</v>
      </c>
      <c r="L793" s="11">
        <f t="shared" si="532"/>
        <v>0</v>
      </c>
      <c r="N793" s="153" t="s">
        <v>618</v>
      </c>
      <c r="O793" s="154"/>
      <c r="P793" s="155"/>
      <c r="Q793" s="156"/>
      <c r="R793" s="157"/>
      <c r="S793" s="158">
        <f t="shared" si="548"/>
        <v>0</v>
      </c>
      <c r="T793" s="154"/>
      <c r="U793" s="155"/>
      <c r="V793" s="156"/>
      <c r="W793" s="157"/>
      <c r="X793" s="158">
        <f t="shared" si="549"/>
        <v>0</v>
      </c>
      <c r="Y793" s="179">
        <f t="shared" si="550"/>
        <v>0</v>
      </c>
      <c r="Z793" s="160" t="s">
        <v>617</v>
      </c>
    </row>
    <row r="794" spans="1:26" ht="14.25" thickBot="1" x14ac:dyDescent="0.2">
      <c r="A794" s="90"/>
      <c r="B794" s="62"/>
      <c r="C794" s="63"/>
      <c r="D794" s="64"/>
      <c r="E794" s="65"/>
      <c r="F794" s="35">
        <f t="shared" si="542"/>
        <v>0</v>
      </c>
      <c r="G794" s="62"/>
      <c r="H794" s="63"/>
      <c r="I794" s="64"/>
      <c r="J794" s="65"/>
      <c r="K794" s="35">
        <f t="shared" si="543"/>
        <v>0</v>
      </c>
      <c r="L794" s="14">
        <f t="shared" si="532"/>
        <v>0</v>
      </c>
      <c r="N794" s="135" t="s">
        <v>591</v>
      </c>
      <c r="O794" s="62"/>
      <c r="P794" s="63"/>
      <c r="Q794" s="64"/>
      <c r="R794" s="65"/>
      <c r="S794" s="120">
        <f t="shared" ref="S794" si="554">SUM(O794:R794)</f>
        <v>0</v>
      </c>
      <c r="T794" s="62"/>
      <c r="U794" s="63"/>
      <c r="V794" s="64"/>
      <c r="W794" s="65"/>
      <c r="X794" s="120">
        <f t="shared" ref="X794" si="555">SUM(T794:W794)</f>
        <v>0</v>
      </c>
      <c r="Y794" s="121">
        <f t="shared" ref="Y794" si="556">S794+X794</f>
        <v>0</v>
      </c>
      <c r="Z794" s="101" t="s">
        <v>592</v>
      </c>
    </row>
    <row r="795" spans="1:26" ht="14.25" thickBot="1" x14ac:dyDescent="0.2">
      <c r="A795" s="17" t="s">
        <v>10</v>
      </c>
      <c r="B795" s="38">
        <f>SUM(B770:B794)</f>
        <v>24</v>
      </c>
      <c r="C795" s="48">
        <f>SUM(C770:C794)</f>
        <v>21</v>
      </c>
      <c r="D795" s="39">
        <f>SUM(D770:D794)</f>
        <v>15</v>
      </c>
      <c r="E795" s="40">
        <f>SUM(E770:E794)</f>
        <v>4</v>
      </c>
      <c r="F795" s="36">
        <f>SUM(B795:E795)</f>
        <v>64</v>
      </c>
      <c r="G795" s="38">
        <f>SUM(G770:G794)</f>
        <v>11</v>
      </c>
      <c r="H795" s="48">
        <f>SUM(H770:H794)</f>
        <v>8</v>
      </c>
      <c r="I795" s="39">
        <f>SUM(I770:I794)</f>
        <v>6</v>
      </c>
      <c r="J795" s="40">
        <f>SUM(J770:J794)</f>
        <v>3</v>
      </c>
      <c r="K795" s="36">
        <f>SUM(G795:J795)</f>
        <v>28</v>
      </c>
      <c r="L795" s="37">
        <f t="shared" si="532"/>
        <v>92</v>
      </c>
      <c r="N795" s="133" t="s">
        <v>10</v>
      </c>
      <c r="O795" s="38">
        <f>SUM(O770:O794)</f>
        <v>110</v>
      </c>
      <c r="P795" s="48">
        <f>SUM(P770:P794)</f>
        <v>110</v>
      </c>
      <c r="Q795" s="39">
        <f>SUM(Q770:Q794)</f>
        <v>99</v>
      </c>
      <c r="R795" s="40">
        <f>SUM(R770:R794)</f>
        <v>35</v>
      </c>
      <c r="S795" s="118">
        <f t="shared" si="546"/>
        <v>354</v>
      </c>
      <c r="T795" s="38">
        <f>SUM(T770:T794)</f>
        <v>34</v>
      </c>
      <c r="U795" s="48">
        <f>SUM(U770:U794)</f>
        <v>46</v>
      </c>
      <c r="V795" s="39">
        <f>SUM(V770:V794)</f>
        <v>41</v>
      </c>
      <c r="W795" s="40">
        <f>SUM(W770:W794)</f>
        <v>20</v>
      </c>
      <c r="X795" s="118">
        <f t="shared" si="547"/>
        <v>141</v>
      </c>
      <c r="Y795" s="119">
        <f t="shared" si="533"/>
        <v>495</v>
      </c>
    </row>
    <row r="796" spans="1:26" ht="14.25" thickBot="1" x14ac:dyDescent="0.2">
      <c r="A796" s="22" t="s">
        <v>11</v>
      </c>
      <c r="B796" s="41">
        <f>B769-B795</f>
        <v>6</v>
      </c>
      <c r="C796" s="49">
        <f>C769-C795</f>
        <v>3</v>
      </c>
      <c r="D796" s="42">
        <f t="shared" ref="D796:K796" si="557">D769-D795</f>
        <v>7</v>
      </c>
      <c r="E796" s="43">
        <f t="shared" si="557"/>
        <v>5</v>
      </c>
      <c r="F796" s="61">
        <f t="shared" si="557"/>
        <v>17</v>
      </c>
      <c r="G796" s="41">
        <f t="shared" si="557"/>
        <v>5</v>
      </c>
      <c r="H796" s="49">
        <f t="shared" si="557"/>
        <v>4</v>
      </c>
      <c r="I796" s="42">
        <f t="shared" si="557"/>
        <v>7</v>
      </c>
      <c r="J796" s="43">
        <f t="shared" si="557"/>
        <v>4</v>
      </c>
      <c r="K796" s="61">
        <f t="shared" si="557"/>
        <v>20</v>
      </c>
      <c r="L796" s="21">
        <f t="shared" si="532"/>
        <v>37</v>
      </c>
      <c r="N796" s="17" t="s">
        <v>11</v>
      </c>
      <c r="O796" s="41">
        <f>O769-O795</f>
        <v>742</v>
      </c>
      <c r="P796" s="49">
        <f t="shared" ref="P796:X796" si="558">P769-P795</f>
        <v>980</v>
      </c>
      <c r="Q796" s="42">
        <f t="shared" si="558"/>
        <v>537</v>
      </c>
      <c r="R796" s="43">
        <f t="shared" si="558"/>
        <v>305</v>
      </c>
      <c r="S796" s="61">
        <f t="shared" si="558"/>
        <v>2564</v>
      </c>
      <c r="T796" s="41">
        <f t="shared" si="558"/>
        <v>514</v>
      </c>
      <c r="U796" s="49">
        <f t="shared" si="558"/>
        <v>610</v>
      </c>
      <c r="V796" s="42">
        <f t="shared" si="558"/>
        <v>335</v>
      </c>
      <c r="W796" s="43">
        <f t="shared" si="558"/>
        <v>304</v>
      </c>
      <c r="X796" s="61">
        <f t="shared" si="558"/>
        <v>1763</v>
      </c>
      <c r="Y796" s="21">
        <f t="shared" si="533"/>
        <v>4327</v>
      </c>
    </row>
    <row r="799" spans="1:26" ht="19.5" thickBot="1" x14ac:dyDescent="0.25">
      <c r="A799" s="2" t="s">
        <v>106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105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6" ht="14.25" thickBot="1" x14ac:dyDescent="0.2">
      <c r="A800" s="5" t="s">
        <v>0</v>
      </c>
      <c r="B800" s="342" t="s">
        <v>18</v>
      </c>
      <c r="C800" s="350"/>
      <c r="D800" s="350"/>
      <c r="E800" s="350"/>
      <c r="F800" s="351"/>
      <c r="G800" s="345" t="s">
        <v>12</v>
      </c>
      <c r="H800" s="352"/>
      <c r="I800" s="352"/>
      <c r="J800" s="352"/>
      <c r="K800" s="353"/>
      <c r="L800" s="354" t="s">
        <v>1</v>
      </c>
      <c r="N800" s="5" t="s">
        <v>0</v>
      </c>
      <c r="O800" s="342" t="s">
        <v>18</v>
      </c>
      <c r="P800" s="350"/>
      <c r="Q800" s="350"/>
      <c r="R800" s="350"/>
      <c r="S800" s="351"/>
      <c r="T800" s="345" t="s">
        <v>12</v>
      </c>
      <c r="U800" s="352"/>
      <c r="V800" s="352"/>
      <c r="W800" s="352"/>
      <c r="X800" s="353"/>
      <c r="Y800" s="354" t="s">
        <v>1</v>
      </c>
    </row>
    <row r="801" spans="1:26" ht="14.25" thickBot="1" x14ac:dyDescent="0.2">
      <c r="A801" s="5" t="s">
        <v>2</v>
      </c>
      <c r="B801" s="3" t="s">
        <v>13</v>
      </c>
      <c r="C801" s="44" t="s">
        <v>14</v>
      </c>
      <c r="D801" s="4" t="s">
        <v>15</v>
      </c>
      <c r="E801" s="23" t="s">
        <v>16</v>
      </c>
      <c r="F801" s="31" t="s">
        <v>3</v>
      </c>
      <c r="G801" s="3" t="s">
        <v>13</v>
      </c>
      <c r="H801" s="44" t="s">
        <v>14</v>
      </c>
      <c r="I801" s="4" t="s">
        <v>15</v>
      </c>
      <c r="J801" s="23" t="s">
        <v>16</v>
      </c>
      <c r="K801" s="31" t="s">
        <v>3</v>
      </c>
      <c r="L801" s="355"/>
      <c r="N801" s="5" t="s">
        <v>2</v>
      </c>
      <c r="O801" s="3" t="s">
        <v>13</v>
      </c>
      <c r="P801" s="44" t="s">
        <v>14</v>
      </c>
      <c r="Q801" s="4" t="s">
        <v>15</v>
      </c>
      <c r="R801" s="23" t="s">
        <v>16</v>
      </c>
      <c r="S801" s="31" t="s">
        <v>3</v>
      </c>
      <c r="T801" s="3" t="s">
        <v>13</v>
      </c>
      <c r="U801" s="44" t="s">
        <v>14</v>
      </c>
      <c r="V801" s="4" t="s">
        <v>15</v>
      </c>
      <c r="W801" s="23" t="s">
        <v>16</v>
      </c>
      <c r="X801" s="31" t="s">
        <v>3</v>
      </c>
      <c r="Y801" s="355"/>
    </row>
    <row r="802" spans="1:26" x14ac:dyDescent="0.15">
      <c r="A802" s="71" t="s">
        <v>17</v>
      </c>
      <c r="B802" s="72">
        <f>B796</f>
        <v>6</v>
      </c>
      <c r="C802" s="73">
        <f t="shared" ref="C802:L802" si="559">C796</f>
        <v>3</v>
      </c>
      <c r="D802" s="73">
        <f t="shared" si="559"/>
        <v>7</v>
      </c>
      <c r="E802" s="74">
        <f t="shared" si="559"/>
        <v>5</v>
      </c>
      <c r="F802" s="76">
        <f t="shared" si="559"/>
        <v>17</v>
      </c>
      <c r="G802" s="72">
        <f t="shared" si="559"/>
        <v>5</v>
      </c>
      <c r="H802" s="73">
        <f t="shared" si="559"/>
        <v>4</v>
      </c>
      <c r="I802" s="73">
        <f t="shared" si="559"/>
        <v>7</v>
      </c>
      <c r="J802" s="74">
        <f t="shared" si="559"/>
        <v>4</v>
      </c>
      <c r="K802" s="75">
        <f t="shared" si="559"/>
        <v>20</v>
      </c>
      <c r="L802" s="16">
        <f t="shared" si="559"/>
        <v>37</v>
      </c>
      <c r="N802" s="71" t="s">
        <v>17</v>
      </c>
      <c r="O802" s="72">
        <f>O796</f>
        <v>742</v>
      </c>
      <c r="P802" s="73">
        <f t="shared" ref="P802:Y802" si="560">P796</f>
        <v>980</v>
      </c>
      <c r="Q802" s="73">
        <f t="shared" si="560"/>
        <v>537</v>
      </c>
      <c r="R802" s="74">
        <f t="shared" si="560"/>
        <v>305</v>
      </c>
      <c r="S802" s="76">
        <f t="shared" si="560"/>
        <v>2564</v>
      </c>
      <c r="T802" s="72">
        <f t="shared" si="560"/>
        <v>514</v>
      </c>
      <c r="U802" s="73">
        <f t="shared" si="560"/>
        <v>610</v>
      </c>
      <c r="V802" s="73">
        <f t="shared" si="560"/>
        <v>335</v>
      </c>
      <c r="W802" s="74">
        <f t="shared" si="560"/>
        <v>304</v>
      </c>
      <c r="X802" s="75">
        <f t="shared" si="560"/>
        <v>1763</v>
      </c>
      <c r="Y802" s="16">
        <f t="shared" si="560"/>
        <v>4327</v>
      </c>
    </row>
    <row r="803" spans="1:26" x14ac:dyDescent="0.15">
      <c r="A803" s="13" t="s">
        <v>49</v>
      </c>
      <c r="B803" s="26">
        <v>10</v>
      </c>
      <c r="C803" s="47">
        <v>8</v>
      </c>
      <c r="D803" s="27">
        <v>9</v>
      </c>
      <c r="E803" s="50">
        <v>5</v>
      </c>
      <c r="F803" s="9">
        <f>SUM(B803:E803)</f>
        <v>32</v>
      </c>
      <c r="G803" s="47"/>
      <c r="H803" s="47">
        <v>2</v>
      </c>
      <c r="I803" s="27">
        <v>5</v>
      </c>
      <c r="J803" s="50">
        <v>1</v>
      </c>
      <c r="K803" s="9">
        <f>SUM(G803:J803)</f>
        <v>8</v>
      </c>
      <c r="L803" s="11">
        <f t="shared" ref="L803:L834" si="561">F803+K803</f>
        <v>40</v>
      </c>
      <c r="M803" s="126">
        <v>45075</v>
      </c>
      <c r="N803" s="13" t="s">
        <v>565</v>
      </c>
      <c r="O803" s="26">
        <v>12</v>
      </c>
      <c r="P803" s="47">
        <v>6</v>
      </c>
      <c r="Q803" s="27">
        <v>11</v>
      </c>
      <c r="R803" s="34">
        <v>5</v>
      </c>
      <c r="S803" s="77">
        <f>SUM(O803:R803)</f>
        <v>34</v>
      </c>
      <c r="T803" s="26"/>
      <c r="U803" s="47"/>
      <c r="V803" s="27">
        <v>7</v>
      </c>
      <c r="W803" s="34"/>
      <c r="X803" s="9">
        <f>SUM(T803:W803)</f>
        <v>7</v>
      </c>
      <c r="Y803" s="11">
        <f t="shared" ref="Y803" si="562">S803+X803</f>
        <v>41</v>
      </c>
      <c r="Z803" s="126">
        <v>45080</v>
      </c>
    </row>
    <row r="804" spans="1:26" x14ac:dyDescent="0.15">
      <c r="A804" s="79" t="s">
        <v>666</v>
      </c>
      <c r="B804" s="66">
        <v>1</v>
      </c>
      <c r="C804" s="67"/>
      <c r="D804" s="68"/>
      <c r="E804" s="69"/>
      <c r="F804" s="70">
        <f t="shared" ref="F804" si="563">SUM(B804:E804)</f>
        <v>1</v>
      </c>
      <c r="G804" s="66"/>
      <c r="H804" s="67">
        <v>1</v>
      </c>
      <c r="I804" s="68"/>
      <c r="J804" s="69"/>
      <c r="K804" s="70">
        <f t="shared" ref="K804" si="564">SUM(G804:J804)</f>
        <v>1</v>
      </c>
      <c r="L804" s="11">
        <f t="shared" si="561"/>
        <v>2</v>
      </c>
      <c r="M804" s="126">
        <v>45082</v>
      </c>
      <c r="N804" s="13" t="s">
        <v>6</v>
      </c>
      <c r="O804" s="26"/>
      <c r="P804" s="47"/>
      <c r="Q804" s="27"/>
      <c r="R804" s="34"/>
      <c r="S804" s="77">
        <f>SUM(O804:R804)</f>
        <v>0</v>
      </c>
      <c r="T804" s="26"/>
      <c r="U804" s="47"/>
      <c r="V804" s="27"/>
      <c r="W804" s="34"/>
      <c r="X804" s="9">
        <f>SUM(T804:W804)</f>
        <v>0</v>
      </c>
      <c r="Y804" s="11">
        <f t="shared" ref="Y804" si="565">S804+X804</f>
        <v>0</v>
      </c>
    </row>
    <row r="805" spans="1:26" x14ac:dyDescent="0.15">
      <c r="A805" s="13" t="s">
        <v>49</v>
      </c>
      <c r="B805" s="26">
        <v>6</v>
      </c>
      <c r="C805" s="47">
        <v>6</v>
      </c>
      <c r="D805" s="27">
        <v>4</v>
      </c>
      <c r="E805" s="50">
        <v>2</v>
      </c>
      <c r="F805" s="9">
        <f>SUM(B805:E805)</f>
        <v>18</v>
      </c>
      <c r="G805" s="47"/>
      <c r="H805" s="47">
        <v>1</v>
      </c>
      <c r="I805" s="27"/>
      <c r="J805" s="50">
        <v>1</v>
      </c>
      <c r="K805" s="9">
        <f>SUM(G805:J805)</f>
        <v>2</v>
      </c>
      <c r="L805" s="11">
        <f t="shared" si="561"/>
        <v>20</v>
      </c>
      <c r="M805" s="126">
        <v>45086</v>
      </c>
      <c r="N805" s="13" t="s">
        <v>7</v>
      </c>
      <c r="O805" s="26"/>
      <c r="P805" s="47"/>
      <c r="Q805" s="27"/>
      <c r="R805" s="34"/>
      <c r="S805" s="77">
        <f>SUM(O805:R805)</f>
        <v>0</v>
      </c>
      <c r="T805" s="47"/>
      <c r="U805" s="47"/>
      <c r="V805" s="27"/>
      <c r="W805" s="50"/>
      <c r="X805" s="9">
        <f>SUM(T805:W805)</f>
        <v>0</v>
      </c>
      <c r="Y805" s="11">
        <f t="shared" ref="Y805:Y834" si="566">S805+X805</f>
        <v>0</v>
      </c>
    </row>
    <row r="806" spans="1:26" ht="14.25" thickBot="1" x14ac:dyDescent="0.2">
      <c r="A806" s="13" t="s">
        <v>166</v>
      </c>
      <c r="B806" s="26"/>
      <c r="C806" s="47"/>
      <c r="D806" s="27"/>
      <c r="E806" s="50"/>
      <c r="F806" s="10">
        <f>SUM(B806:E806)</f>
        <v>0</v>
      </c>
      <c r="G806" s="47"/>
      <c r="H806" s="47">
        <v>2</v>
      </c>
      <c r="I806" s="27"/>
      <c r="J806" s="50"/>
      <c r="K806" s="10">
        <f>SUM(G806:J806)</f>
        <v>2</v>
      </c>
      <c r="L806" s="14">
        <f t="shared" si="561"/>
        <v>2</v>
      </c>
      <c r="M806" s="126">
        <v>45096</v>
      </c>
      <c r="N806" s="13" t="s">
        <v>8</v>
      </c>
      <c r="O806" s="62"/>
      <c r="P806" s="63"/>
      <c r="Q806" s="64"/>
      <c r="R806" s="65"/>
      <c r="S806" s="78">
        <f>SUM(O806:R806)</f>
        <v>0</v>
      </c>
      <c r="T806" s="47"/>
      <c r="U806" s="47"/>
      <c r="V806" s="27"/>
      <c r="W806" s="50"/>
      <c r="X806" s="10">
        <f>SUM(T806:W806)</f>
        <v>0</v>
      </c>
      <c r="Y806" s="14">
        <f t="shared" si="566"/>
        <v>0</v>
      </c>
    </row>
    <row r="807" spans="1:26" ht="14.25" thickBot="1" x14ac:dyDescent="0.2">
      <c r="A807" s="22" t="s">
        <v>9</v>
      </c>
      <c r="B807" s="51">
        <f t="shared" ref="B807:K807" si="567">SUM(B802:B806)</f>
        <v>23</v>
      </c>
      <c r="C807" s="52">
        <f t="shared" si="567"/>
        <v>17</v>
      </c>
      <c r="D807" s="53">
        <f t="shared" si="567"/>
        <v>20</v>
      </c>
      <c r="E807" s="54">
        <f t="shared" si="567"/>
        <v>12</v>
      </c>
      <c r="F807" s="28">
        <f t="shared" si="567"/>
        <v>68</v>
      </c>
      <c r="G807" s="51">
        <f t="shared" si="567"/>
        <v>5</v>
      </c>
      <c r="H807" s="52">
        <f t="shared" si="567"/>
        <v>10</v>
      </c>
      <c r="I807" s="53">
        <f t="shared" si="567"/>
        <v>12</v>
      </c>
      <c r="J807" s="54">
        <f t="shared" si="567"/>
        <v>6</v>
      </c>
      <c r="K807" s="28">
        <f t="shared" si="567"/>
        <v>33</v>
      </c>
      <c r="L807" s="21">
        <f t="shared" si="561"/>
        <v>101</v>
      </c>
      <c r="N807" s="17" t="s">
        <v>9</v>
      </c>
      <c r="O807" s="41">
        <f>SUM(O802:O806)</f>
        <v>754</v>
      </c>
      <c r="P807" s="49">
        <f t="shared" ref="P807:V807" si="568">SUM(P802:P806)</f>
        <v>986</v>
      </c>
      <c r="Q807" s="42">
        <f t="shared" si="568"/>
        <v>548</v>
      </c>
      <c r="R807" s="92">
        <f t="shared" si="568"/>
        <v>310</v>
      </c>
      <c r="S807" s="93">
        <f t="shared" si="568"/>
        <v>2598</v>
      </c>
      <c r="T807" s="41">
        <f t="shared" si="568"/>
        <v>514</v>
      </c>
      <c r="U807" s="49">
        <f t="shared" si="568"/>
        <v>610</v>
      </c>
      <c r="V807" s="42">
        <f t="shared" si="568"/>
        <v>342</v>
      </c>
      <c r="W807" s="92">
        <f>SUM(W802:W806)</f>
        <v>304</v>
      </c>
      <c r="X807" s="93">
        <f t="shared" ref="X807" si="569">SUM(X802:X806)</f>
        <v>1770</v>
      </c>
      <c r="Y807" s="56">
        <f t="shared" si="566"/>
        <v>4368</v>
      </c>
    </row>
    <row r="808" spans="1:26" x14ac:dyDescent="0.15">
      <c r="A808" s="32" t="s">
        <v>284</v>
      </c>
      <c r="B808" s="24">
        <v>12</v>
      </c>
      <c r="C808" s="46">
        <v>6</v>
      </c>
      <c r="D808" s="25">
        <v>11</v>
      </c>
      <c r="E808" s="33">
        <v>5</v>
      </c>
      <c r="F808" s="35">
        <f>SUM(B808:E808)</f>
        <v>34</v>
      </c>
      <c r="G808" s="24"/>
      <c r="H808" s="46"/>
      <c r="I808" s="25">
        <v>7</v>
      </c>
      <c r="J808" s="33"/>
      <c r="K808" s="35">
        <f>SUM(G808:J808)</f>
        <v>7</v>
      </c>
      <c r="L808" s="11">
        <f t="shared" si="561"/>
        <v>41</v>
      </c>
      <c r="M808" s="126">
        <v>45080</v>
      </c>
      <c r="N808" s="15" t="s">
        <v>663</v>
      </c>
      <c r="O808" s="66"/>
      <c r="P808" s="67">
        <v>6</v>
      </c>
      <c r="Q808" s="68"/>
      <c r="R808" s="94">
        <v>1</v>
      </c>
      <c r="S808" s="91">
        <f>SUM(O808:R808)</f>
        <v>7</v>
      </c>
      <c r="T808" s="67"/>
      <c r="U808" s="67"/>
      <c r="V808" s="68">
        <v>2</v>
      </c>
      <c r="W808" s="94">
        <v>1</v>
      </c>
      <c r="X808" s="91">
        <f>SUM(T808:W808)</f>
        <v>3</v>
      </c>
      <c r="Y808" s="11">
        <f t="shared" si="566"/>
        <v>10</v>
      </c>
      <c r="Z808" s="99">
        <v>45083</v>
      </c>
    </row>
    <row r="809" spans="1:26" x14ac:dyDescent="0.15">
      <c r="A809" s="13" t="s">
        <v>41</v>
      </c>
      <c r="B809" s="26"/>
      <c r="C809" s="47">
        <v>1</v>
      </c>
      <c r="D809" s="27"/>
      <c r="E809" s="34"/>
      <c r="F809" s="35">
        <f>SUM(B809:E809)</f>
        <v>1</v>
      </c>
      <c r="G809" s="26"/>
      <c r="H809" s="47"/>
      <c r="I809" s="27"/>
      <c r="J809" s="34"/>
      <c r="K809" s="35">
        <f>SUM(G809:J809)</f>
        <v>0</v>
      </c>
      <c r="L809" s="11">
        <f t="shared" si="561"/>
        <v>1</v>
      </c>
      <c r="M809" s="126">
        <v>45083</v>
      </c>
      <c r="N809" s="15" t="s">
        <v>667</v>
      </c>
      <c r="O809" s="26">
        <v>12</v>
      </c>
      <c r="P809" s="47">
        <v>45</v>
      </c>
      <c r="Q809" s="27">
        <v>5</v>
      </c>
      <c r="R809" s="34">
        <v>7</v>
      </c>
      <c r="S809" s="35">
        <f t="shared" ref="S809" si="570">SUM(O809:R809)</f>
        <v>69</v>
      </c>
      <c r="T809" s="26">
        <v>7</v>
      </c>
      <c r="U809" s="47">
        <v>6</v>
      </c>
      <c r="V809" s="27">
        <v>1</v>
      </c>
      <c r="W809" s="34">
        <v>3</v>
      </c>
      <c r="X809" s="35">
        <f t="shared" ref="X809" si="571">SUM(T809:W809)</f>
        <v>17</v>
      </c>
      <c r="Y809" s="11">
        <f t="shared" ref="Y809" si="572">S809+X809</f>
        <v>86</v>
      </c>
      <c r="Z809" s="99">
        <v>45085</v>
      </c>
    </row>
    <row r="810" spans="1:26" x14ac:dyDescent="0.15">
      <c r="A810" s="13" t="s">
        <v>41</v>
      </c>
      <c r="B810" s="26"/>
      <c r="C810" s="47"/>
      <c r="D810" s="27"/>
      <c r="E810" s="34"/>
      <c r="F810" s="35">
        <f t="shared" ref="F810:F832" si="573">SUM(B810:E810)</f>
        <v>0</v>
      </c>
      <c r="G810" s="26"/>
      <c r="H810" s="47"/>
      <c r="I810" s="27"/>
      <c r="J810" s="34">
        <v>1</v>
      </c>
      <c r="K810" s="35">
        <f t="shared" ref="K810:K832" si="574">SUM(G810:J810)</f>
        <v>1</v>
      </c>
      <c r="L810" s="11">
        <f t="shared" si="561"/>
        <v>1</v>
      </c>
      <c r="M810" s="126">
        <v>45084</v>
      </c>
      <c r="N810" s="15" t="s">
        <v>668</v>
      </c>
      <c r="O810" s="26">
        <v>14</v>
      </c>
      <c r="P810" s="47">
        <v>20</v>
      </c>
      <c r="Q810" s="27">
        <v>9</v>
      </c>
      <c r="R810" s="34">
        <v>9</v>
      </c>
      <c r="S810" s="35">
        <f t="shared" ref="S810" si="575">SUM(O810:R810)</f>
        <v>52</v>
      </c>
      <c r="T810" s="26"/>
      <c r="U810" s="47">
        <v>2</v>
      </c>
      <c r="V810" s="27"/>
      <c r="W810" s="34">
        <v>3</v>
      </c>
      <c r="X810" s="35">
        <f t="shared" ref="X810" si="576">SUM(T810:W810)</f>
        <v>5</v>
      </c>
      <c r="Y810" s="11">
        <f t="shared" si="566"/>
        <v>57</v>
      </c>
      <c r="Z810" s="99">
        <v>45086</v>
      </c>
    </row>
    <row r="811" spans="1:26" x14ac:dyDescent="0.15">
      <c r="A811" s="13" t="s">
        <v>41</v>
      </c>
      <c r="B811" s="66"/>
      <c r="C811" s="67">
        <v>1</v>
      </c>
      <c r="D811" s="68"/>
      <c r="E811" s="69"/>
      <c r="F811" s="70">
        <f t="shared" si="573"/>
        <v>1</v>
      </c>
      <c r="G811" s="66"/>
      <c r="H811" s="67"/>
      <c r="I811" s="68"/>
      <c r="J811" s="69"/>
      <c r="K811" s="70">
        <f t="shared" si="574"/>
        <v>0</v>
      </c>
      <c r="L811" s="11">
        <f t="shared" si="561"/>
        <v>1</v>
      </c>
      <c r="M811" s="126">
        <v>45085</v>
      </c>
      <c r="N811" s="15" t="s">
        <v>669</v>
      </c>
      <c r="O811" s="66">
        <v>11</v>
      </c>
      <c r="P811" s="67">
        <v>3</v>
      </c>
      <c r="Q811" s="68">
        <v>3</v>
      </c>
      <c r="R811" s="94">
        <v>3</v>
      </c>
      <c r="S811" s="91">
        <f>SUM(O811:R811)</f>
        <v>20</v>
      </c>
      <c r="T811" s="67">
        <v>3</v>
      </c>
      <c r="U811" s="67"/>
      <c r="V811" s="68"/>
      <c r="W811" s="94"/>
      <c r="X811" s="91">
        <f>SUM(T811:W811)</f>
        <v>3</v>
      </c>
      <c r="Y811" s="11">
        <f t="shared" si="566"/>
        <v>23</v>
      </c>
      <c r="Z811" s="99">
        <v>45089</v>
      </c>
    </row>
    <row r="812" spans="1:26" x14ac:dyDescent="0.15">
      <c r="A812" s="13" t="s">
        <v>41</v>
      </c>
      <c r="B812" s="26">
        <v>1</v>
      </c>
      <c r="C812" s="47"/>
      <c r="D812" s="27"/>
      <c r="E812" s="34"/>
      <c r="F812" s="35">
        <f t="shared" si="573"/>
        <v>1</v>
      </c>
      <c r="G812" s="26"/>
      <c r="H812" s="47">
        <v>4</v>
      </c>
      <c r="I812" s="27"/>
      <c r="J812" s="34"/>
      <c r="K812" s="35">
        <f t="shared" si="574"/>
        <v>4</v>
      </c>
      <c r="L812" s="11">
        <f t="shared" si="561"/>
        <v>5</v>
      </c>
      <c r="M812" s="126">
        <v>45086</v>
      </c>
      <c r="N812" s="15" t="s">
        <v>670</v>
      </c>
      <c r="O812" s="26">
        <v>25</v>
      </c>
      <c r="P812" s="47">
        <v>14</v>
      </c>
      <c r="Q812" s="27">
        <v>4</v>
      </c>
      <c r="R812" s="34">
        <v>4</v>
      </c>
      <c r="S812" s="35">
        <f t="shared" ref="S812:S814" si="577">SUM(O812:R812)</f>
        <v>47</v>
      </c>
      <c r="T812" s="26">
        <v>1</v>
      </c>
      <c r="U812" s="47">
        <v>2</v>
      </c>
      <c r="V812" s="27">
        <v>3</v>
      </c>
      <c r="W812" s="34"/>
      <c r="X812" s="35">
        <f t="shared" ref="X812:X814" si="578">SUM(T812:W812)</f>
        <v>6</v>
      </c>
      <c r="Y812" s="11">
        <f t="shared" si="566"/>
        <v>53</v>
      </c>
      <c r="Z812" s="99">
        <v>45090</v>
      </c>
    </row>
    <row r="813" spans="1:26" x14ac:dyDescent="0.15">
      <c r="A813" s="13" t="s">
        <v>41</v>
      </c>
      <c r="B813" s="26"/>
      <c r="C813" s="47">
        <v>4</v>
      </c>
      <c r="D813" s="27"/>
      <c r="E813" s="34">
        <v>1</v>
      </c>
      <c r="F813" s="35">
        <f t="shared" si="573"/>
        <v>5</v>
      </c>
      <c r="G813" s="26"/>
      <c r="H813" s="47"/>
      <c r="I813" s="27"/>
      <c r="J813" s="34"/>
      <c r="K813" s="35">
        <f t="shared" si="574"/>
        <v>0</v>
      </c>
      <c r="L813" s="11">
        <f t="shared" si="561"/>
        <v>5</v>
      </c>
      <c r="M813" s="126">
        <v>45089</v>
      </c>
      <c r="N813" s="15" t="s">
        <v>677</v>
      </c>
      <c r="O813" s="26">
        <v>11</v>
      </c>
      <c r="P813" s="47">
        <v>12</v>
      </c>
      <c r="Q813" s="27">
        <v>4</v>
      </c>
      <c r="R813" s="34">
        <v>7</v>
      </c>
      <c r="S813" s="35">
        <f t="shared" si="577"/>
        <v>34</v>
      </c>
      <c r="T813" s="26">
        <v>5</v>
      </c>
      <c r="U813" s="47">
        <v>2</v>
      </c>
      <c r="V813" s="27">
        <v>3</v>
      </c>
      <c r="W813" s="34">
        <v>1</v>
      </c>
      <c r="X813" s="35">
        <f t="shared" si="578"/>
        <v>11</v>
      </c>
      <c r="Y813" s="11">
        <f t="shared" si="566"/>
        <v>45</v>
      </c>
      <c r="Z813" s="99">
        <v>45091</v>
      </c>
    </row>
    <row r="814" spans="1:26" x14ac:dyDescent="0.15">
      <c r="A814" s="13" t="s">
        <v>41</v>
      </c>
      <c r="B814" s="26"/>
      <c r="C814" s="47"/>
      <c r="D814" s="27"/>
      <c r="E814" s="34"/>
      <c r="F814" s="35">
        <f t="shared" si="573"/>
        <v>0</v>
      </c>
      <c r="G814" s="26"/>
      <c r="H814" s="47">
        <v>1</v>
      </c>
      <c r="I814" s="27"/>
      <c r="J814" s="34"/>
      <c r="K814" s="35">
        <f t="shared" si="574"/>
        <v>1</v>
      </c>
      <c r="L814" s="11">
        <f t="shared" si="561"/>
        <v>1</v>
      </c>
      <c r="M814" s="126">
        <v>45090</v>
      </c>
      <c r="N814" s="15" t="s">
        <v>678</v>
      </c>
      <c r="O814" s="26">
        <v>7</v>
      </c>
      <c r="P814" s="47">
        <v>17</v>
      </c>
      <c r="Q814" s="27">
        <v>9</v>
      </c>
      <c r="R814" s="34">
        <v>4</v>
      </c>
      <c r="S814" s="35">
        <f t="shared" si="577"/>
        <v>37</v>
      </c>
      <c r="T814" s="26">
        <v>3</v>
      </c>
      <c r="U814" s="47">
        <v>2</v>
      </c>
      <c r="V814" s="27">
        <v>2</v>
      </c>
      <c r="W814" s="34"/>
      <c r="X814" s="35">
        <f t="shared" si="578"/>
        <v>7</v>
      </c>
      <c r="Y814" s="11">
        <f t="shared" si="566"/>
        <v>44</v>
      </c>
      <c r="Z814" s="99">
        <v>45092</v>
      </c>
    </row>
    <row r="815" spans="1:26" x14ac:dyDescent="0.15">
      <c r="A815" s="13" t="s">
        <v>41</v>
      </c>
      <c r="B815" s="26"/>
      <c r="C815" s="47"/>
      <c r="D815" s="27"/>
      <c r="E815" s="34"/>
      <c r="F815" s="35">
        <f t="shared" si="573"/>
        <v>0</v>
      </c>
      <c r="G815" s="26">
        <v>1</v>
      </c>
      <c r="H815" s="47"/>
      <c r="I815" s="27"/>
      <c r="J815" s="34"/>
      <c r="K815" s="35">
        <f t="shared" si="574"/>
        <v>1</v>
      </c>
      <c r="L815" s="11">
        <f t="shared" si="561"/>
        <v>1</v>
      </c>
      <c r="M815" s="126">
        <v>45091</v>
      </c>
      <c r="N815" s="15" t="s">
        <v>681</v>
      </c>
      <c r="O815" s="26">
        <v>9</v>
      </c>
      <c r="P815" s="47">
        <v>5</v>
      </c>
      <c r="Q815" s="27">
        <v>1</v>
      </c>
      <c r="R815" s="50"/>
      <c r="S815" s="9">
        <f>SUM(O815:R815)</f>
        <v>15</v>
      </c>
      <c r="T815" s="47">
        <v>5</v>
      </c>
      <c r="U815" s="47">
        <v>3</v>
      </c>
      <c r="V815" s="27">
        <v>2</v>
      </c>
      <c r="W815" s="50"/>
      <c r="X815" s="9">
        <f>SUM(T815:W815)</f>
        <v>10</v>
      </c>
      <c r="Y815" s="11">
        <f t="shared" si="566"/>
        <v>25</v>
      </c>
      <c r="Z815" s="99">
        <v>45093</v>
      </c>
    </row>
    <row r="816" spans="1:26" x14ac:dyDescent="0.15">
      <c r="A816" s="13" t="s">
        <v>284</v>
      </c>
      <c r="B816" s="26">
        <v>6</v>
      </c>
      <c r="C816" s="47"/>
      <c r="D816" s="27">
        <v>4</v>
      </c>
      <c r="E816" s="34">
        <v>2</v>
      </c>
      <c r="F816" s="35">
        <f t="shared" si="573"/>
        <v>12</v>
      </c>
      <c r="G816" s="26"/>
      <c r="H816" s="47"/>
      <c r="I816" s="27"/>
      <c r="J816" s="34"/>
      <c r="K816" s="35">
        <f t="shared" si="574"/>
        <v>0</v>
      </c>
      <c r="L816" s="11">
        <f t="shared" si="561"/>
        <v>12</v>
      </c>
      <c r="M816" s="126">
        <v>45094</v>
      </c>
      <c r="N816" s="15" t="s">
        <v>682</v>
      </c>
      <c r="O816" s="26">
        <v>18</v>
      </c>
      <c r="P816" s="47">
        <v>20</v>
      </c>
      <c r="Q816" s="27">
        <v>9</v>
      </c>
      <c r="R816" s="34">
        <v>6</v>
      </c>
      <c r="S816" s="35">
        <f t="shared" ref="S816:S833" si="579">SUM(O816:R816)</f>
        <v>53</v>
      </c>
      <c r="T816" s="26">
        <v>4</v>
      </c>
      <c r="U816" s="47">
        <v>7</v>
      </c>
      <c r="V816" s="27">
        <v>4</v>
      </c>
      <c r="W816" s="34">
        <v>2</v>
      </c>
      <c r="X816" s="35">
        <f t="shared" ref="X816:X833" si="580">SUM(T816:W816)</f>
        <v>17</v>
      </c>
      <c r="Y816" s="11">
        <f t="shared" si="566"/>
        <v>70</v>
      </c>
      <c r="Z816" s="99">
        <v>45096</v>
      </c>
    </row>
    <row r="817" spans="1:26" x14ac:dyDescent="0.15">
      <c r="A817" s="13" t="s">
        <v>41</v>
      </c>
      <c r="B817" s="26"/>
      <c r="C817" s="47">
        <v>1</v>
      </c>
      <c r="D817" s="27"/>
      <c r="E817" s="34"/>
      <c r="F817" s="35">
        <f t="shared" si="573"/>
        <v>1</v>
      </c>
      <c r="G817" s="26"/>
      <c r="H817" s="47"/>
      <c r="I817" s="27"/>
      <c r="J817" s="34"/>
      <c r="K817" s="35">
        <f t="shared" si="574"/>
        <v>0</v>
      </c>
      <c r="L817" s="11">
        <f t="shared" si="561"/>
        <v>1</v>
      </c>
      <c r="M817" s="126">
        <v>45096</v>
      </c>
      <c r="N817" s="15" t="s">
        <v>684</v>
      </c>
      <c r="O817" s="26">
        <v>4</v>
      </c>
      <c r="P817" s="47">
        <v>4</v>
      </c>
      <c r="Q817" s="27">
        <v>6</v>
      </c>
      <c r="R817" s="34">
        <v>10</v>
      </c>
      <c r="S817" s="35">
        <f t="shared" ref="S817" si="581">SUM(O817:R817)</f>
        <v>24</v>
      </c>
      <c r="T817" s="26">
        <v>1</v>
      </c>
      <c r="U817" s="47">
        <v>6</v>
      </c>
      <c r="V817" s="27">
        <v>8</v>
      </c>
      <c r="W817" s="34">
        <v>4</v>
      </c>
      <c r="X817" s="35">
        <f t="shared" ref="X817" si="582">SUM(T817:W817)</f>
        <v>19</v>
      </c>
      <c r="Y817" s="11">
        <f t="shared" ref="Y817" si="583">S817+X817</f>
        <v>43</v>
      </c>
      <c r="Z817" s="99">
        <v>45098</v>
      </c>
    </row>
    <row r="818" spans="1:26" x14ac:dyDescent="0.15">
      <c r="A818" s="13" t="s">
        <v>686</v>
      </c>
      <c r="B818" s="26"/>
      <c r="C818" s="47"/>
      <c r="D818" s="27"/>
      <c r="E818" s="34"/>
      <c r="F818" s="35">
        <f t="shared" si="573"/>
        <v>0</v>
      </c>
      <c r="G818" s="26">
        <v>-1</v>
      </c>
      <c r="H818" s="47"/>
      <c r="I818" s="27"/>
      <c r="J818" s="34"/>
      <c r="K818" s="35">
        <f t="shared" si="574"/>
        <v>-1</v>
      </c>
      <c r="L818" s="11">
        <f t="shared" si="561"/>
        <v>-1</v>
      </c>
      <c r="M818" s="126">
        <v>45098</v>
      </c>
      <c r="N818" s="15" t="s">
        <v>685</v>
      </c>
      <c r="O818" s="26">
        <v>1</v>
      </c>
      <c r="P818" s="47">
        <v>7</v>
      </c>
      <c r="Q818" s="27">
        <v>13</v>
      </c>
      <c r="R818" s="34">
        <v>3</v>
      </c>
      <c r="S818" s="35">
        <f t="shared" si="579"/>
        <v>24</v>
      </c>
      <c r="T818" s="26"/>
      <c r="U818" s="47">
        <v>3</v>
      </c>
      <c r="V818" s="27"/>
      <c r="W818" s="34"/>
      <c r="X818" s="35">
        <f t="shared" si="580"/>
        <v>3</v>
      </c>
      <c r="Y818" s="11">
        <f t="shared" si="566"/>
        <v>27</v>
      </c>
      <c r="Z818" s="99">
        <v>45099</v>
      </c>
    </row>
    <row r="819" spans="1:26" x14ac:dyDescent="0.15">
      <c r="A819" s="13" t="s">
        <v>687</v>
      </c>
      <c r="B819" s="26">
        <v>-2</v>
      </c>
      <c r="C819" s="47">
        <v>-2</v>
      </c>
      <c r="D819" s="27">
        <v>-1</v>
      </c>
      <c r="E819" s="34">
        <v>-1</v>
      </c>
      <c r="F819" s="35">
        <f t="shared" si="573"/>
        <v>-6</v>
      </c>
      <c r="G819" s="26"/>
      <c r="H819" s="47">
        <v>-2</v>
      </c>
      <c r="I819" s="27">
        <v>-1</v>
      </c>
      <c r="J819" s="34">
        <v>-1</v>
      </c>
      <c r="K819" s="35">
        <f t="shared" si="574"/>
        <v>-4</v>
      </c>
      <c r="L819" s="11">
        <f t="shared" si="561"/>
        <v>-10</v>
      </c>
      <c r="M819" s="126">
        <v>45098</v>
      </c>
      <c r="N819" s="15" t="s">
        <v>688</v>
      </c>
      <c r="O819" s="26">
        <v>10</v>
      </c>
      <c r="P819" s="47">
        <v>11</v>
      </c>
      <c r="Q819" s="27">
        <v>9</v>
      </c>
      <c r="R819" s="34">
        <v>2</v>
      </c>
      <c r="S819" s="35">
        <f t="shared" si="579"/>
        <v>32</v>
      </c>
      <c r="T819" s="26">
        <v>1</v>
      </c>
      <c r="U819" s="47">
        <v>1</v>
      </c>
      <c r="V819" s="27">
        <v>1</v>
      </c>
      <c r="W819" s="34">
        <v>1</v>
      </c>
      <c r="X819" s="35">
        <f t="shared" si="580"/>
        <v>4</v>
      </c>
      <c r="Y819" s="11">
        <f t="shared" si="566"/>
        <v>36</v>
      </c>
      <c r="Z819" s="99">
        <v>45100</v>
      </c>
    </row>
    <row r="820" spans="1:26" x14ac:dyDescent="0.15">
      <c r="A820" s="13" t="s">
        <v>41</v>
      </c>
      <c r="B820" s="26">
        <v>1</v>
      </c>
      <c r="C820" s="47"/>
      <c r="D820" s="27">
        <v>1</v>
      </c>
      <c r="E820" s="34"/>
      <c r="F820" s="35">
        <f t="shared" si="573"/>
        <v>2</v>
      </c>
      <c r="G820" s="26">
        <v>1</v>
      </c>
      <c r="H820" s="47"/>
      <c r="I820" s="27"/>
      <c r="J820" s="34"/>
      <c r="K820" s="35">
        <f t="shared" si="574"/>
        <v>1</v>
      </c>
      <c r="L820" s="11">
        <f t="shared" si="561"/>
        <v>3</v>
      </c>
      <c r="M820" s="126">
        <v>45103</v>
      </c>
      <c r="N820" s="15" t="s">
        <v>689</v>
      </c>
      <c r="O820" s="26">
        <v>12</v>
      </c>
      <c r="P820" s="47">
        <v>5</v>
      </c>
      <c r="Q820" s="27">
        <v>1</v>
      </c>
      <c r="R820" s="34"/>
      <c r="S820" s="35">
        <f t="shared" si="579"/>
        <v>18</v>
      </c>
      <c r="T820" s="26"/>
      <c r="U820" s="47"/>
      <c r="V820" s="27">
        <v>1</v>
      </c>
      <c r="W820" s="34">
        <v>1</v>
      </c>
      <c r="X820" s="35">
        <f t="shared" si="580"/>
        <v>2</v>
      </c>
      <c r="Y820" s="11">
        <f t="shared" si="566"/>
        <v>20</v>
      </c>
      <c r="Z820" s="99">
        <v>45103</v>
      </c>
    </row>
    <row r="821" spans="1:26" x14ac:dyDescent="0.15">
      <c r="A821" s="13" t="s">
        <v>694</v>
      </c>
      <c r="B821" s="26"/>
      <c r="C821" s="47"/>
      <c r="D821" s="27"/>
      <c r="E821" s="34"/>
      <c r="F821" s="35">
        <f t="shared" si="573"/>
        <v>0</v>
      </c>
      <c r="G821" s="26"/>
      <c r="H821" s="47"/>
      <c r="I821" s="27">
        <v>3</v>
      </c>
      <c r="J821" s="34"/>
      <c r="K821" s="35">
        <f t="shared" si="574"/>
        <v>3</v>
      </c>
      <c r="L821" s="11">
        <f t="shared" si="561"/>
        <v>3</v>
      </c>
      <c r="M821" s="126">
        <v>45104</v>
      </c>
      <c r="N821" s="15" t="s">
        <v>690</v>
      </c>
      <c r="O821" s="26">
        <v>3</v>
      </c>
      <c r="P821" s="47">
        <v>14</v>
      </c>
      <c r="Q821" s="27">
        <v>12</v>
      </c>
      <c r="R821" s="34">
        <v>4</v>
      </c>
      <c r="S821" s="35">
        <f t="shared" si="579"/>
        <v>33</v>
      </c>
      <c r="T821" s="26"/>
      <c r="U821" s="47">
        <v>1</v>
      </c>
      <c r="V821" s="27">
        <v>4</v>
      </c>
      <c r="W821" s="34"/>
      <c r="X821" s="35">
        <f t="shared" si="580"/>
        <v>5</v>
      </c>
      <c r="Y821" s="11">
        <f t="shared" si="566"/>
        <v>38</v>
      </c>
      <c r="Z821" s="99">
        <v>45104</v>
      </c>
    </row>
    <row r="822" spans="1:26" x14ac:dyDescent="0.15">
      <c r="A822" s="13"/>
      <c r="B822" s="26"/>
      <c r="C822" s="47"/>
      <c r="D822" s="27"/>
      <c r="E822" s="34"/>
      <c r="F822" s="35">
        <f t="shared" ref="F822" si="584">SUM(B822:E822)</f>
        <v>0</v>
      </c>
      <c r="G822" s="26"/>
      <c r="H822" s="47"/>
      <c r="I822" s="27"/>
      <c r="J822" s="34"/>
      <c r="K822" s="35">
        <f t="shared" ref="K822" si="585">SUM(G822:J822)</f>
        <v>0</v>
      </c>
      <c r="L822" s="11">
        <f t="shared" ref="L822" si="586">F822+K822</f>
        <v>0</v>
      </c>
      <c r="N822" s="15" t="s">
        <v>693</v>
      </c>
      <c r="O822" s="26">
        <v>9</v>
      </c>
      <c r="P822" s="47">
        <v>8</v>
      </c>
      <c r="Q822" s="27">
        <v>6</v>
      </c>
      <c r="R822" s="34">
        <v>2</v>
      </c>
      <c r="S822" s="35">
        <f t="shared" si="579"/>
        <v>25</v>
      </c>
      <c r="T822" s="26">
        <v>2</v>
      </c>
      <c r="U822" s="47">
        <v>1</v>
      </c>
      <c r="V822" s="27">
        <v>5</v>
      </c>
      <c r="W822" s="34">
        <v>1</v>
      </c>
      <c r="X822" s="35">
        <f t="shared" si="580"/>
        <v>9</v>
      </c>
      <c r="Y822" s="11">
        <f t="shared" si="566"/>
        <v>34</v>
      </c>
      <c r="Z822" s="99">
        <v>45105</v>
      </c>
    </row>
    <row r="823" spans="1:26" x14ac:dyDescent="0.15">
      <c r="A823" s="13"/>
      <c r="B823" s="26"/>
      <c r="C823" s="47"/>
      <c r="D823" s="27"/>
      <c r="E823" s="34"/>
      <c r="F823" s="35">
        <f t="shared" si="573"/>
        <v>0</v>
      </c>
      <c r="G823" s="26"/>
      <c r="H823" s="47"/>
      <c r="I823" s="27"/>
      <c r="J823" s="34"/>
      <c r="K823" s="35">
        <f t="shared" si="574"/>
        <v>0</v>
      </c>
      <c r="L823" s="11">
        <f t="shared" si="561"/>
        <v>0</v>
      </c>
      <c r="N823" s="15" t="s">
        <v>350</v>
      </c>
      <c r="O823" s="26"/>
      <c r="P823" s="47"/>
      <c r="Q823" s="27"/>
      <c r="R823" s="34"/>
      <c r="S823" s="35">
        <f>SUM(O823:R823)</f>
        <v>0</v>
      </c>
      <c r="T823" s="26"/>
      <c r="U823" s="47"/>
      <c r="V823" s="27">
        <v>3</v>
      </c>
      <c r="W823" s="34"/>
      <c r="X823" s="35">
        <f>SUM(T823:W823)</f>
        <v>3</v>
      </c>
      <c r="Y823" s="11">
        <f t="shared" si="566"/>
        <v>3</v>
      </c>
      <c r="Z823" s="99">
        <v>45105</v>
      </c>
    </row>
    <row r="824" spans="1:26" x14ac:dyDescent="0.15">
      <c r="A824" s="15"/>
      <c r="B824" s="26"/>
      <c r="C824" s="47"/>
      <c r="D824" s="27"/>
      <c r="E824" s="34"/>
      <c r="F824" s="35">
        <f t="shared" si="573"/>
        <v>0</v>
      </c>
      <c r="G824" s="26"/>
      <c r="H824" s="47"/>
      <c r="I824" s="27"/>
      <c r="J824" s="34"/>
      <c r="K824" s="35">
        <f t="shared" si="574"/>
        <v>0</v>
      </c>
      <c r="L824" s="11">
        <f t="shared" si="561"/>
        <v>0</v>
      </c>
      <c r="N824" s="15" t="s">
        <v>695</v>
      </c>
      <c r="O824" s="26">
        <v>5</v>
      </c>
      <c r="P824" s="47">
        <v>4</v>
      </c>
      <c r="Q824" s="27">
        <v>5</v>
      </c>
      <c r="R824" s="34">
        <v>3</v>
      </c>
      <c r="S824" s="35">
        <f t="shared" si="579"/>
        <v>17</v>
      </c>
      <c r="T824" s="26"/>
      <c r="U824" s="47">
        <v>1</v>
      </c>
      <c r="V824" s="27"/>
      <c r="W824" s="34"/>
      <c r="X824" s="35">
        <f t="shared" si="580"/>
        <v>1</v>
      </c>
      <c r="Y824" s="11">
        <f t="shared" si="566"/>
        <v>18</v>
      </c>
      <c r="Z824" s="99">
        <v>45106</v>
      </c>
    </row>
    <row r="825" spans="1:26" x14ac:dyDescent="0.15">
      <c r="A825" s="15"/>
      <c r="B825" s="26"/>
      <c r="C825" s="47"/>
      <c r="D825" s="27"/>
      <c r="E825" s="34"/>
      <c r="F825" s="35">
        <f t="shared" si="573"/>
        <v>0</v>
      </c>
      <c r="G825" s="26"/>
      <c r="H825" s="47"/>
      <c r="I825" s="27"/>
      <c r="J825" s="34"/>
      <c r="K825" s="35">
        <f t="shared" si="574"/>
        <v>0</v>
      </c>
      <c r="L825" s="11">
        <f t="shared" si="561"/>
        <v>0</v>
      </c>
      <c r="N825" s="57"/>
      <c r="O825" s="26"/>
      <c r="P825" s="47"/>
      <c r="Q825" s="27"/>
      <c r="R825" s="34"/>
      <c r="S825" s="35">
        <f t="shared" si="579"/>
        <v>0</v>
      </c>
      <c r="T825" s="26"/>
      <c r="U825" s="47"/>
      <c r="V825" s="27"/>
      <c r="W825" s="34"/>
      <c r="X825" s="35">
        <f t="shared" si="580"/>
        <v>0</v>
      </c>
      <c r="Y825" s="11">
        <f t="shared" si="566"/>
        <v>0</v>
      </c>
    </row>
    <row r="826" spans="1:26" x14ac:dyDescent="0.15">
      <c r="A826" s="13"/>
      <c r="B826" s="26"/>
      <c r="C826" s="47"/>
      <c r="D826" s="27"/>
      <c r="E826" s="34"/>
      <c r="F826" s="35">
        <f t="shared" si="573"/>
        <v>0</v>
      </c>
      <c r="G826" s="26"/>
      <c r="H826" s="47"/>
      <c r="I826" s="27"/>
      <c r="J826" s="34"/>
      <c r="K826" s="35">
        <f t="shared" si="574"/>
        <v>0</v>
      </c>
      <c r="L826" s="11">
        <f t="shared" si="561"/>
        <v>0</v>
      </c>
      <c r="N826" s="153" t="s">
        <v>661</v>
      </c>
      <c r="O826" s="154"/>
      <c r="P826" s="155"/>
      <c r="Q826" s="156"/>
      <c r="R826" s="157"/>
      <c r="S826" s="158">
        <f t="shared" si="579"/>
        <v>0</v>
      </c>
      <c r="T826" s="154"/>
      <c r="U826" s="155"/>
      <c r="V826" s="156"/>
      <c r="W826" s="157"/>
      <c r="X826" s="158">
        <f t="shared" si="580"/>
        <v>0</v>
      </c>
      <c r="Y826" s="179">
        <f t="shared" si="566"/>
        <v>0</v>
      </c>
      <c r="Z826" s="160" t="s">
        <v>662</v>
      </c>
    </row>
    <row r="827" spans="1:26" x14ac:dyDescent="0.15">
      <c r="A827" s="32"/>
      <c r="B827" s="26"/>
      <c r="C827" s="47"/>
      <c r="D827" s="27"/>
      <c r="E827" s="34"/>
      <c r="F827" s="35">
        <f t="shared" si="573"/>
        <v>0</v>
      </c>
      <c r="G827" s="26"/>
      <c r="H827" s="47"/>
      <c r="I827" s="27"/>
      <c r="J827" s="34"/>
      <c r="K827" s="35">
        <f t="shared" si="574"/>
        <v>0</v>
      </c>
      <c r="L827" s="11">
        <f t="shared" si="561"/>
        <v>0</v>
      </c>
      <c r="N827" s="57" t="s">
        <v>650</v>
      </c>
      <c r="O827" s="66"/>
      <c r="P827" s="67"/>
      <c r="Q827" s="68"/>
      <c r="R827" s="69"/>
      <c r="S827" s="70">
        <f t="shared" si="579"/>
        <v>0</v>
      </c>
      <c r="T827" s="66"/>
      <c r="U827" s="67"/>
      <c r="V827" s="68"/>
      <c r="W827" s="69"/>
      <c r="X827" s="70">
        <f t="shared" si="580"/>
        <v>0</v>
      </c>
      <c r="Y827" s="11">
        <f t="shared" si="566"/>
        <v>0</v>
      </c>
      <c r="Z827" s="101" t="s">
        <v>651</v>
      </c>
    </row>
    <row r="828" spans="1:26" x14ac:dyDescent="0.15">
      <c r="A828" s="32"/>
      <c r="B828" s="26"/>
      <c r="C828" s="47"/>
      <c r="D828" s="27"/>
      <c r="E828" s="34"/>
      <c r="F828" s="35">
        <f t="shared" si="573"/>
        <v>0</v>
      </c>
      <c r="G828" s="26"/>
      <c r="H828" s="47"/>
      <c r="I828" s="27"/>
      <c r="J828" s="34"/>
      <c r="K828" s="35">
        <f t="shared" si="574"/>
        <v>0</v>
      </c>
      <c r="L828" s="11">
        <f t="shared" si="561"/>
        <v>0</v>
      </c>
      <c r="N828" s="153" t="s">
        <v>642</v>
      </c>
      <c r="O828" s="154"/>
      <c r="P828" s="155"/>
      <c r="Q828" s="156"/>
      <c r="R828" s="157"/>
      <c r="S828" s="158">
        <f t="shared" ref="S828:S832" si="587">SUM(O828:R828)</f>
        <v>0</v>
      </c>
      <c r="T828" s="154"/>
      <c r="U828" s="155"/>
      <c r="V828" s="156"/>
      <c r="W828" s="157"/>
      <c r="X828" s="158">
        <f t="shared" ref="X828:X832" si="588">SUM(T828:W828)</f>
        <v>0</v>
      </c>
      <c r="Y828" s="179">
        <f t="shared" ref="Y828:Y832" si="589">S828+X828</f>
        <v>0</v>
      </c>
      <c r="Z828" s="160" t="s">
        <v>613</v>
      </c>
    </row>
    <row r="829" spans="1:26" x14ac:dyDescent="0.15">
      <c r="A829" s="12"/>
      <c r="B829" s="26"/>
      <c r="C829" s="47"/>
      <c r="D829" s="27"/>
      <c r="E829" s="34"/>
      <c r="F829" s="35">
        <f t="shared" si="573"/>
        <v>0</v>
      </c>
      <c r="G829" s="26"/>
      <c r="H829" s="47"/>
      <c r="I829" s="27"/>
      <c r="J829" s="34"/>
      <c r="K829" s="35">
        <f t="shared" si="574"/>
        <v>0</v>
      </c>
      <c r="L829" s="11">
        <f t="shared" si="561"/>
        <v>0</v>
      </c>
      <c r="N829" s="57" t="s">
        <v>627</v>
      </c>
      <c r="O829" s="66"/>
      <c r="P829" s="67"/>
      <c r="Q829" s="68"/>
      <c r="R829" s="69"/>
      <c r="S829" s="70">
        <f t="shared" si="587"/>
        <v>0</v>
      </c>
      <c r="T829" s="66"/>
      <c r="U829" s="67"/>
      <c r="V829" s="68"/>
      <c r="W829" s="69"/>
      <c r="X829" s="70">
        <f t="shared" si="588"/>
        <v>0</v>
      </c>
      <c r="Y829" s="11">
        <f t="shared" si="589"/>
        <v>0</v>
      </c>
      <c r="Z829" s="101" t="s">
        <v>628</v>
      </c>
    </row>
    <row r="830" spans="1:26" x14ac:dyDescent="0.15">
      <c r="A830" s="79"/>
      <c r="B830" s="26"/>
      <c r="C830" s="47"/>
      <c r="D830" s="27"/>
      <c r="E830" s="34"/>
      <c r="F830" s="35">
        <f t="shared" si="573"/>
        <v>0</v>
      </c>
      <c r="G830" s="26"/>
      <c r="H830" s="47"/>
      <c r="I830" s="27"/>
      <c r="J830" s="34"/>
      <c r="K830" s="35">
        <f t="shared" si="574"/>
        <v>0</v>
      </c>
      <c r="L830" s="11">
        <f t="shared" si="561"/>
        <v>0</v>
      </c>
      <c r="N830" s="57" t="s">
        <v>623</v>
      </c>
      <c r="O830" s="66"/>
      <c r="P830" s="67"/>
      <c r="Q830" s="68"/>
      <c r="R830" s="69"/>
      <c r="S830" s="70">
        <f t="shared" si="587"/>
        <v>0</v>
      </c>
      <c r="T830" s="66"/>
      <c r="U830" s="67"/>
      <c r="V830" s="68"/>
      <c r="W830" s="69"/>
      <c r="X830" s="70">
        <f t="shared" si="588"/>
        <v>0</v>
      </c>
      <c r="Y830" s="11">
        <f t="shared" si="589"/>
        <v>0</v>
      </c>
      <c r="Z830" s="101" t="s">
        <v>493</v>
      </c>
    </row>
    <row r="831" spans="1:26" x14ac:dyDescent="0.15">
      <c r="A831" s="57"/>
      <c r="B831" s="26"/>
      <c r="C831" s="47"/>
      <c r="D831" s="27"/>
      <c r="E831" s="34"/>
      <c r="F831" s="35">
        <f t="shared" si="573"/>
        <v>0</v>
      </c>
      <c r="G831" s="26"/>
      <c r="H831" s="47"/>
      <c r="I831" s="27"/>
      <c r="J831" s="34"/>
      <c r="K831" s="35">
        <f t="shared" si="574"/>
        <v>0</v>
      </c>
      <c r="L831" s="11">
        <f t="shared" si="561"/>
        <v>0</v>
      </c>
      <c r="N831" s="57" t="s">
        <v>612</v>
      </c>
      <c r="O831" s="66"/>
      <c r="P831" s="67"/>
      <c r="Q831" s="68"/>
      <c r="R831" s="69"/>
      <c r="S831" s="70">
        <f t="shared" si="587"/>
        <v>0</v>
      </c>
      <c r="T831" s="66"/>
      <c r="U831" s="67"/>
      <c r="V831" s="68"/>
      <c r="W831" s="69"/>
      <c r="X831" s="70">
        <f t="shared" si="588"/>
        <v>0</v>
      </c>
      <c r="Y831" s="11">
        <f t="shared" si="589"/>
        <v>0</v>
      </c>
      <c r="Z831" s="101" t="s">
        <v>613</v>
      </c>
    </row>
    <row r="832" spans="1:26" ht="14.25" thickBot="1" x14ac:dyDescent="0.2">
      <c r="A832" s="90"/>
      <c r="B832" s="62"/>
      <c r="C832" s="63"/>
      <c r="D832" s="64"/>
      <c r="E832" s="65"/>
      <c r="F832" s="35">
        <f t="shared" si="573"/>
        <v>0</v>
      </c>
      <c r="G832" s="62"/>
      <c r="H832" s="63"/>
      <c r="I832" s="64"/>
      <c r="J832" s="65"/>
      <c r="K832" s="35">
        <f t="shared" si="574"/>
        <v>0</v>
      </c>
      <c r="L832" s="14">
        <f t="shared" si="561"/>
        <v>0</v>
      </c>
      <c r="N832" s="135" t="s">
        <v>577</v>
      </c>
      <c r="O832" s="62"/>
      <c r="P832" s="63"/>
      <c r="Q832" s="64"/>
      <c r="R832" s="65"/>
      <c r="S832" s="120">
        <f t="shared" si="587"/>
        <v>0</v>
      </c>
      <c r="T832" s="62"/>
      <c r="U832" s="63"/>
      <c r="V832" s="64"/>
      <c r="W832" s="65"/>
      <c r="X832" s="120">
        <f t="shared" si="588"/>
        <v>0</v>
      </c>
      <c r="Y832" s="121">
        <f t="shared" si="589"/>
        <v>0</v>
      </c>
      <c r="Z832" s="101" t="s">
        <v>148</v>
      </c>
    </row>
    <row r="833" spans="1:26" ht="14.25" thickBot="1" x14ac:dyDescent="0.2">
      <c r="A833" s="17" t="s">
        <v>10</v>
      </c>
      <c r="B833" s="38">
        <f>SUM(B808:B832)</f>
        <v>18</v>
      </c>
      <c r="C833" s="48">
        <f>SUM(C808:C832)</f>
        <v>11</v>
      </c>
      <c r="D833" s="39">
        <f>SUM(D808:D832)</f>
        <v>15</v>
      </c>
      <c r="E833" s="40">
        <f>SUM(E808:E832)</f>
        <v>7</v>
      </c>
      <c r="F833" s="36">
        <f>SUM(B833:E833)</f>
        <v>51</v>
      </c>
      <c r="G833" s="38">
        <f>SUM(G808:G832)</f>
        <v>1</v>
      </c>
      <c r="H833" s="48">
        <f>SUM(H808:H832)</f>
        <v>3</v>
      </c>
      <c r="I833" s="39">
        <f>SUM(I808:I832)</f>
        <v>9</v>
      </c>
      <c r="J833" s="40">
        <f>SUM(J808:J832)</f>
        <v>0</v>
      </c>
      <c r="K833" s="36">
        <f>SUM(G833:J833)</f>
        <v>13</v>
      </c>
      <c r="L833" s="37">
        <f t="shared" si="561"/>
        <v>64</v>
      </c>
      <c r="N833" s="133" t="s">
        <v>10</v>
      </c>
      <c r="O833" s="38">
        <f>SUM(O808:O832)</f>
        <v>151</v>
      </c>
      <c r="P833" s="48">
        <f>SUM(P808:P832)</f>
        <v>195</v>
      </c>
      <c r="Q833" s="39">
        <f>SUM(Q808:Q832)</f>
        <v>96</v>
      </c>
      <c r="R833" s="40">
        <f>SUM(R808:R832)</f>
        <v>65</v>
      </c>
      <c r="S833" s="118">
        <f t="shared" si="579"/>
        <v>507</v>
      </c>
      <c r="T833" s="38">
        <f>SUM(T808:T832)</f>
        <v>32</v>
      </c>
      <c r="U833" s="48">
        <f>SUM(U808:U832)</f>
        <v>37</v>
      </c>
      <c r="V833" s="39">
        <f>SUM(V808:V832)</f>
        <v>39</v>
      </c>
      <c r="W833" s="40">
        <f>SUM(W808:W832)</f>
        <v>17</v>
      </c>
      <c r="X833" s="118">
        <f t="shared" si="580"/>
        <v>125</v>
      </c>
      <c r="Y833" s="119">
        <f t="shared" si="566"/>
        <v>632</v>
      </c>
    </row>
    <row r="834" spans="1:26" ht="14.25" thickBot="1" x14ac:dyDescent="0.2">
      <c r="A834" s="22" t="s">
        <v>11</v>
      </c>
      <c r="B834" s="41">
        <f>B807-B833</f>
        <v>5</v>
      </c>
      <c r="C834" s="49">
        <f>C807-C833</f>
        <v>6</v>
      </c>
      <c r="D834" s="42">
        <f t="shared" ref="D834:K834" si="590">D807-D833</f>
        <v>5</v>
      </c>
      <c r="E834" s="43">
        <f t="shared" si="590"/>
        <v>5</v>
      </c>
      <c r="F834" s="61">
        <f t="shared" si="590"/>
        <v>17</v>
      </c>
      <c r="G834" s="41">
        <f t="shared" si="590"/>
        <v>4</v>
      </c>
      <c r="H834" s="49">
        <f t="shared" si="590"/>
        <v>7</v>
      </c>
      <c r="I834" s="42">
        <f t="shared" si="590"/>
        <v>3</v>
      </c>
      <c r="J834" s="43">
        <f t="shared" si="590"/>
        <v>6</v>
      </c>
      <c r="K834" s="61">
        <f t="shared" si="590"/>
        <v>20</v>
      </c>
      <c r="L834" s="21">
        <f t="shared" si="561"/>
        <v>37</v>
      </c>
      <c r="N834" s="17" t="s">
        <v>11</v>
      </c>
      <c r="O834" s="41">
        <f>O807-O833</f>
        <v>603</v>
      </c>
      <c r="P834" s="49">
        <f t="shared" ref="P834:X834" si="591">P807-P833</f>
        <v>791</v>
      </c>
      <c r="Q834" s="42">
        <f t="shared" si="591"/>
        <v>452</v>
      </c>
      <c r="R834" s="43">
        <f t="shared" si="591"/>
        <v>245</v>
      </c>
      <c r="S834" s="61">
        <f t="shared" si="591"/>
        <v>2091</v>
      </c>
      <c r="T834" s="41">
        <f t="shared" si="591"/>
        <v>482</v>
      </c>
      <c r="U834" s="49">
        <f t="shared" si="591"/>
        <v>573</v>
      </c>
      <c r="V834" s="42">
        <f t="shared" si="591"/>
        <v>303</v>
      </c>
      <c r="W834" s="43">
        <f t="shared" si="591"/>
        <v>287</v>
      </c>
      <c r="X834" s="61">
        <f t="shared" si="591"/>
        <v>1645</v>
      </c>
      <c r="Y834" s="21">
        <f t="shared" si="566"/>
        <v>3736</v>
      </c>
    </row>
    <row r="835" spans="1:26" x14ac:dyDescent="0.15">
      <c r="O835" s="218">
        <f>O833+O795+O759</f>
        <v>2734</v>
      </c>
      <c r="P835" s="218">
        <f t="shared" ref="P835:Y835" si="592">P833+P795+P759</f>
        <v>3294</v>
      </c>
      <c r="Q835" s="218">
        <f t="shared" si="592"/>
        <v>1962</v>
      </c>
      <c r="R835" s="218">
        <f t="shared" si="592"/>
        <v>1102</v>
      </c>
      <c r="S835" s="218">
        <f t="shared" si="592"/>
        <v>9092</v>
      </c>
      <c r="T835" s="218">
        <f t="shared" si="592"/>
        <v>1412</v>
      </c>
      <c r="U835" s="218">
        <f t="shared" si="592"/>
        <v>1673</v>
      </c>
      <c r="V835" s="218">
        <f t="shared" si="592"/>
        <v>1095</v>
      </c>
      <c r="W835" s="218">
        <f t="shared" si="592"/>
        <v>784</v>
      </c>
      <c r="X835" s="218">
        <f t="shared" si="592"/>
        <v>4964</v>
      </c>
      <c r="Y835" s="218">
        <f t="shared" si="592"/>
        <v>14056</v>
      </c>
    </row>
    <row r="836" spans="1:26" x14ac:dyDescent="0.15">
      <c r="O836" s="211">
        <f>O835/$S$835*100</f>
        <v>30.070391553013636</v>
      </c>
      <c r="P836" s="211">
        <f t="shared" ref="P836:S836" si="593">P835/$S$835*100</f>
        <v>36.229652441706996</v>
      </c>
      <c r="Q836" s="211">
        <f t="shared" si="593"/>
        <v>21.579410470743511</v>
      </c>
      <c r="R836" s="211">
        <f t="shared" si="593"/>
        <v>12.120545534535855</v>
      </c>
      <c r="S836" s="211">
        <f t="shared" si="593"/>
        <v>100</v>
      </c>
      <c r="T836" s="211">
        <f>T835/$X$835*100</f>
        <v>28.444802578565675</v>
      </c>
      <c r="U836" s="211">
        <f t="shared" ref="U836:X836" si="594">U835/$X$835*100</f>
        <v>33.70265914585012</v>
      </c>
      <c r="V836" s="211">
        <f t="shared" si="594"/>
        <v>22.058823529411764</v>
      </c>
      <c r="W836" s="211">
        <f t="shared" si="594"/>
        <v>15.793714746172441</v>
      </c>
      <c r="X836" s="211">
        <f t="shared" si="594"/>
        <v>100</v>
      </c>
    </row>
    <row r="837" spans="1:26" ht="19.5" thickBot="1" x14ac:dyDescent="0.25">
      <c r="A837" s="2" t="s">
        <v>106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105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6" ht="14.25" thickBot="1" x14ac:dyDescent="0.2">
      <c r="A838" s="5" t="s">
        <v>0</v>
      </c>
      <c r="B838" s="342" t="s">
        <v>18</v>
      </c>
      <c r="C838" s="350"/>
      <c r="D838" s="350"/>
      <c r="E838" s="350"/>
      <c r="F838" s="351"/>
      <c r="G838" s="345" t="s">
        <v>12</v>
      </c>
      <c r="H838" s="352"/>
      <c r="I838" s="352"/>
      <c r="J838" s="352"/>
      <c r="K838" s="353"/>
      <c r="L838" s="354" t="s">
        <v>1</v>
      </c>
      <c r="N838" s="5" t="s">
        <v>0</v>
      </c>
      <c r="O838" s="342" t="s">
        <v>18</v>
      </c>
      <c r="P838" s="350"/>
      <c r="Q838" s="350"/>
      <c r="R838" s="350"/>
      <c r="S838" s="351"/>
      <c r="T838" s="345" t="s">
        <v>12</v>
      </c>
      <c r="U838" s="352"/>
      <c r="V838" s="352"/>
      <c r="W838" s="352"/>
      <c r="X838" s="353"/>
      <c r="Y838" s="354" t="s">
        <v>1</v>
      </c>
    </row>
    <row r="839" spans="1:26" ht="14.25" thickBot="1" x14ac:dyDescent="0.2">
      <c r="A839" s="5" t="s">
        <v>2</v>
      </c>
      <c r="B839" s="3" t="s">
        <v>13</v>
      </c>
      <c r="C839" s="44" t="s">
        <v>14</v>
      </c>
      <c r="D839" s="4" t="s">
        <v>15</v>
      </c>
      <c r="E839" s="23" t="s">
        <v>16</v>
      </c>
      <c r="F839" s="31" t="s">
        <v>3</v>
      </c>
      <c r="G839" s="3" t="s">
        <v>13</v>
      </c>
      <c r="H839" s="44" t="s">
        <v>14</v>
      </c>
      <c r="I839" s="4" t="s">
        <v>15</v>
      </c>
      <c r="J839" s="23" t="s">
        <v>16</v>
      </c>
      <c r="K839" s="31" t="s">
        <v>3</v>
      </c>
      <c r="L839" s="355"/>
      <c r="N839" s="5" t="s">
        <v>2</v>
      </c>
      <c r="O839" s="3" t="s">
        <v>13</v>
      </c>
      <c r="P839" s="44" t="s">
        <v>14</v>
      </c>
      <c r="Q839" s="4" t="s">
        <v>15</v>
      </c>
      <c r="R839" s="23" t="s">
        <v>16</v>
      </c>
      <c r="S839" s="31" t="s">
        <v>3</v>
      </c>
      <c r="T839" s="3" t="s">
        <v>13</v>
      </c>
      <c r="U839" s="44" t="s">
        <v>14</v>
      </c>
      <c r="V839" s="4" t="s">
        <v>15</v>
      </c>
      <c r="W839" s="23" t="s">
        <v>16</v>
      </c>
      <c r="X839" s="31" t="s">
        <v>3</v>
      </c>
      <c r="Y839" s="355"/>
    </row>
    <row r="840" spans="1:26" x14ac:dyDescent="0.15">
      <c r="A840" s="71" t="s">
        <v>17</v>
      </c>
      <c r="B840" s="72">
        <f>B834</f>
        <v>5</v>
      </c>
      <c r="C840" s="73">
        <f t="shared" ref="C840:L840" si="595">C834</f>
        <v>6</v>
      </c>
      <c r="D840" s="73">
        <f t="shared" si="595"/>
        <v>5</v>
      </c>
      <c r="E840" s="74">
        <f t="shared" si="595"/>
        <v>5</v>
      </c>
      <c r="F840" s="76">
        <f t="shared" si="595"/>
        <v>17</v>
      </c>
      <c r="G840" s="72">
        <f t="shared" si="595"/>
        <v>4</v>
      </c>
      <c r="H840" s="73">
        <f t="shared" si="595"/>
        <v>7</v>
      </c>
      <c r="I840" s="73">
        <f t="shared" si="595"/>
        <v>3</v>
      </c>
      <c r="J840" s="74">
        <f t="shared" si="595"/>
        <v>6</v>
      </c>
      <c r="K840" s="75">
        <f t="shared" si="595"/>
        <v>20</v>
      </c>
      <c r="L840" s="16">
        <f t="shared" si="595"/>
        <v>37</v>
      </c>
      <c r="N840" s="71" t="s">
        <v>17</v>
      </c>
      <c r="O840" s="72">
        <f>O834</f>
        <v>603</v>
      </c>
      <c r="P840" s="73">
        <f t="shared" ref="P840:Y840" si="596">P834</f>
        <v>791</v>
      </c>
      <c r="Q840" s="73">
        <f t="shared" si="596"/>
        <v>452</v>
      </c>
      <c r="R840" s="74">
        <f t="shared" si="596"/>
        <v>245</v>
      </c>
      <c r="S840" s="76">
        <f t="shared" si="596"/>
        <v>2091</v>
      </c>
      <c r="T840" s="72">
        <f t="shared" si="596"/>
        <v>482</v>
      </c>
      <c r="U840" s="73">
        <f t="shared" si="596"/>
        <v>573</v>
      </c>
      <c r="V840" s="73">
        <f t="shared" si="596"/>
        <v>303</v>
      </c>
      <c r="W840" s="74">
        <f t="shared" si="596"/>
        <v>287</v>
      </c>
      <c r="X840" s="75">
        <f t="shared" si="596"/>
        <v>1645</v>
      </c>
      <c r="Y840" s="16">
        <f t="shared" si="596"/>
        <v>3736</v>
      </c>
    </row>
    <row r="841" spans="1:26" x14ac:dyDescent="0.15">
      <c r="A841" s="13" t="s">
        <v>49</v>
      </c>
      <c r="B841" s="26">
        <v>6</v>
      </c>
      <c r="C841" s="47">
        <v>10</v>
      </c>
      <c r="D841" s="27">
        <v>9</v>
      </c>
      <c r="E841" s="50">
        <v>1</v>
      </c>
      <c r="F841" s="9">
        <f>SUM(B841:E841)</f>
        <v>26</v>
      </c>
      <c r="G841" s="47">
        <v>5</v>
      </c>
      <c r="H841" s="47">
        <v>4</v>
      </c>
      <c r="I841" s="27"/>
      <c r="J841" s="50">
        <v>1</v>
      </c>
      <c r="K841" s="9">
        <f>SUM(G841:J841)</f>
        <v>10</v>
      </c>
      <c r="L841" s="11">
        <f t="shared" ref="L841:L872" si="597">F841+K841</f>
        <v>36</v>
      </c>
      <c r="M841" s="126">
        <v>45100</v>
      </c>
      <c r="N841" s="13" t="s">
        <v>305</v>
      </c>
      <c r="O841" s="26">
        <v>6</v>
      </c>
      <c r="P841" s="47">
        <v>10</v>
      </c>
      <c r="Q841" s="27">
        <v>9</v>
      </c>
      <c r="R841" s="34"/>
      <c r="S841" s="77">
        <f>SUM(O841:R841)</f>
        <v>25</v>
      </c>
      <c r="T841" s="26">
        <v>3</v>
      </c>
      <c r="U841" s="47">
        <v>4</v>
      </c>
      <c r="V841" s="27"/>
      <c r="W841" s="34"/>
      <c r="X841" s="9">
        <f>SUM(T841:W841)</f>
        <v>7</v>
      </c>
      <c r="Y841" s="11">
        <f t="shared" ref="Y841:Y842" si="598">S841+X841</f>
        <v>32</v>
      </c>
      <c r="Z841" s="126">
        <v>45108</v>
      </c>
    </row>
    <row r="842" spans="1:26" x14ac:dyDescent="0.15">
      <c r="A842" s="13" t="s">
        <v>725</v>
      </c>
      <c r="B842" s="26"/>
      <c r="C842" s="47"/>
      <c r="D842" s="27"/>
      <c r="E842" s="50"/>
      <c r="F842" s="9">
        <f>SUM(B842:E842)</f>
        <v>0</v>
      </c>
      <c r="G842" s="47"/>
      <c r="H842" s="47">
        <v>9</v>
      </c>
      <c r="I842" s="27">
        <v>3</v>
      </c>
      <c r="J842" s="50">
        <v>2</v>
      </c>
      <c r="K842" s="9">
        <f>SUM(G842:J842)</f>
        <v>14</v>
      </c>
      <c r="L842" s="11">
        <f t="shared" si="597"/>
        <v>14</v>
      </c>
      <c r="M842" s="99">
        <v>45121</v>
      </c>
      <c r="N842" s="13" t="s">
        <v>305</v>
      </c>
      <c r="O842" s="26">
        <v>6</v>
      </c>
      <c r="P842" s="47">
        <v>9</v>
      </c>
      <c r="Q842" s="27">
        <v>2</v>
      </c>
      <c r="R842" s="34">
        <v>5</v>
      </c>
      <c r="S842" s="77">
        <f t="shared" ref="S842" si="599">SUM(O842:R842)</f>
        <v>22</v>
      </c>
      <c r="T842" s="26"/>
      <c r="U842" s="47">
        <v>9</v>
      </c>
      <c r="V842" s="27">
        <v>3</v>
      </c>
      <c r="W842" s="34">
        <v>3</v>
      </c>
      <c r="X842" s="9">
        <f t="shared" ref="X842" si="600">SUM(T842:W842)</f>
        <v>15</v>
      </c>
      <c r="Y842" s="11">
        <f t="shared" si="598"/>
        <v>37</v>
      </c>
      <c r="Z842" s="126">
        <v>45122</v>
      </c>
    </row>
    <row r="843" spans="1:26" x14ac:dyDescent="0.15">
      <c r="A843" s="13" t="s">
        <v>7</v>
      </c>
      <c r="B843" s="26"/>
      <c r="C843" s="47"/>
      <c r="D843" s="27"/>
      <c r="E843" s="50"/>
      <c r="F843" s="9">
        <f>SUM(B843:E843)</f>
        <v>0</v>
      </c>
      <c r="G843" s="47"/>
      <c r="H843" s="47"/>
      <c r="I843" s="27">
        <v>3</v>
      </c>
      <c r="J843" s="50"/>
      <c r="K843" s="9">
        <f>SUM(G843:J843)</f>
        <v>3</v>
      </c>
      <c r="L843" s="11">
        <f t="shared" si="597"/>
        <v>3</v>
      </c>
      <c r="M843" s="99">
        <v>45105</v>
      </c>
      <c r="N843" s="13" t="s">
        <v>7</v>
      </c>
      <c r="O843" s="26"/>
      <c r="P843" s="47"/>
      <c r="Q843" s="27"/>
      <c r="R843" s="34"/>
      <c r="S843" s="77">
        <f>SUM(O843:R843)</f>
        <v>0</v>
      </c>
      <c r="T843" s="47"/>
      <c r="U843" s="47"/>
      <c r="V843" s="27"/>
      <c r="W843" s="50"/>
      <c r="X843" s="9">
        <f>SUM(T843:W843)</f>
        <v>0</v>
      </c>
      <c r="Y843" s="11">
        <f t="shared" ref="Y843:Y872" si="601">S843+X843</f>
        <v>0</v>
      </c>
    </row>
    <row r="844" spans="1:26" ht="14.25" thickBot="1" x14ac:dyDescent="0.2">
      <c r="A844" s="13" t="s">
        <v>49</v>
      </c>
      <c r="B844" s="26">
        <v>6</v>
      </c>
      <c r="C844" s="47">
        <v>9</v>
      </c>
      <c r="D844" s="27">
        <v>2</v>
      </c>
      <c r="E844" s="50">
        <v>5</v>
      </c>
      <c r="F844" s="10">
        <f>SUM(B844:E844)</f>
        <v>22</v>
      </c>
      <c r="G844" s="47">
        <v>1</v>
      </c>
      <c r="H844" s="47"/>
      <c r="I844" s="27"/>
      <c r="J844" s="50">
        <v>1</v>
      </c>
      <c r="K844" s="10">
        <f>SUM(G844:J844)</f>
        <v>2</v>
      </c>
      <c r="L844" s="14">
        <f t="shared" si="597"/>
        <v>24</v>
      </c>
      <c r="M844" s="126">
        <v>45112</v>
      </c>
      <c r="N844" s="13" t="s">
        <v>8</v>
      </c>
      <c r="O844" s="62"/>
      <c r="P844" s="63"/>
      <c r="Q844" s="64"/>
      <c r="R844" s="65"/>
      <c r="S844" s="78">
        <f>SUM(O844:R844)</f>
        <v>0</v>
      </c>
      <c r="T844" s="47"/>
      <c r="U844" s="47"/>
      <c r="V844" s="27"/>
      <c r="W844" s="50"/>
      <c r="X844" s="10">
        <f>SUM(T844:W844)</f>
        <v>0</v>
      </c>
      <c r="Y844" s="14">
        <f t="shared" si="601"/>
        <v>0</v>
      </c>
    </row>
    <row r="845" spans="1:26" ht="14.25" thickBot="1" x14ac:dyDescent="0.2">
      <c r="A845" s="22" t="s">
        <v>9</v>
      </c>
      <c r="B845" s="51">
        <f t="shared" ref="B845:K845" si="602">SUM(B840:B844)</f>
        <v>17</v>
      </c>
      <c r="C845" s="52">
        <f t="shared" si="602"/>
        <v>25</v>
      </c>
      <c r="D845" s="53">
        <f t="shared" si="602"/>
        <v>16</v>
      </c>
      <c r="E845" s="54">
        <f t="shared" si="602"/>
        <v>11</v>
      </c>
      <c r="F845" s="28">
        <f t="shared" si="602"/>
        <v>65</v>
      </c>
      <c r="G845" s="51">
        <f t="shared" si="602"/>
        <v>10</v>
      </c>
      <c r="H845" s="52">
        <f t="shared" si="602"/>
        <v>20</v>
      </c>
      <c r="I845" s="53">
        <f t="shared" si="602"/>
        <v>9</v>
      </c>
      <c r="J845" s="54">
        <f t="shared" si="602"/>
        <v>10</v>
      </c>
      <c r="K845" s="28">
        <f t="shared" si="602"/>
        <v>49</v>
      </c>
      <c r="L845" s="21">
        <f t="shared" si="597"/>
        <v>114</v>
      </c>
      <c r="N845" s="17" t="s">
        <v>9</v>
      </c>
      <c r="O845" s="41">
        <f>SUM(O840:O844)</f>
        <v>615</v>
      </c>
      <c r="P845" s="49">
        <f t="shared" ref="P845:V845" si="603">SUM(P840:P844)</f>
        <v>810</v>
      </c>
      <c r="Q845" s="42">
        <f t="shared" si="603"/>
        <v>463</v>
      </c>
      <c r="R845" s="92">
        <f t="shared" si="603"/>
        <v>250</v>
      </c>
      <c r="S845" s="93">
        <f t="shared" si="603"/>
        <v>2138</v>
      </c>
      <c r="T845" s="41">
        <f t="shared" si="603"/>
        <v>485</v>
      </c>
      <c r="U845" s="49">
        <f t="shared" si="603"/>
        <v>586</v>
      </c>
      <c r="V845" s="42">
        <f t="shared" si="603"/>
        <v>306</v>
      </c>
      <c r="W845" s="92">
        <f>SUM(W840:W844)</f>
        <v>290</v>
      </c>
      <c r="X845" s="93">
        <f t="shared" ref="X845" si="604">SUM(X840:X844)</f>
        <v>1667</v>
      </c>
      <c r="Y845" s="56">
        <f t="shared" si="601"/>
        <v>3805</v>
      </c>
    </row>
    <row r="846" spans="1:26" x14ac:dyDescent="0.15">
      <c r="A846" s="13" t="s">
        <v>284</v>
      </c>
      <c r="B846" s="24">
        <v>6</v>
      </c>
      <c r="C846" s="46">
        <v>10</v>
      </c>
      <c r="D846" s="25">
        <v>9</v>
      </c>
      <c r="E846" s="33"/>
      <c r="F846" s="35">
        <f>SUM(B846:E846)</f>
        <v>25</v>
      </c>
      <c r="G846" s="24">
        <v>3</v>
      </c>
      <c r="H846" s="46">
        <v>4</v>
      </c>
      <c r="I846" s="25"/>
      <c r="J846" s="33"/>
      <c r="K846" s="35">
        <f>SUM(G846:J846)</f>
        <v>7</v>
      </c>
      <c r="L846" s="11">
        <f t="shared" si="597"/>
        <v>32</v>
      </c>
      <c r="M846" s="126">
        <v>45108</v>
      </c>
      <c r="N846" s="15" t="s">
        <v>696</v>
      </c>
      <c r="O846" s="66">
        <v>8</v>
      </c>
      <c r="P846" s="67">
        <v>15</v>
      </c>
      <c r="Q846" s="68"/>
      <c r="R846" s="94">
        <v>2</v>
      </c>
      <c r="S846" s="91">
        <f>SUM(O846:R846)</f>
        <v>25</v>
      </c>
      <c r="T846" s="67"/>
      <c r="U846" s="67">
        <v>2</v>
      </c>
      <c r="V846" s="68">
        <v>1</v>
      </c>
      <c r="W846" s="94"/>
      <c r="X846" s="91">
        <f>SUM(T846:W846)</f>
        <v>3</v>
      </c>
      <c r="Y846" s="11">
        <f t="shared" si="601"/>
        <v>28</v>
      </c>
      <c r="Z846" s="99">
        <v>45107</v>
      </c>
    </row>
    <row r="847" spans="1:26" x14ac:dyDescent="0.15">
      <c r="A847" s="13" t="s">
        <v>41</v>
      </c>
      <c r="B847" s="26"/>
      <c r="C847" s="47"/>
      <c r="D847" s="27"/>
      <c r="E847" s="34"/>
      <c r="F847" s="35">
        <f>SUM(B847:E847)</f>
        <v>0</v>
      </c>
      <c r="G847" s="26">
        <v>1</v>
      </c>
      <c r="H847" s="47"/>
      <c r="I847" s="27"/>
      <c r="J847" s="34"/>
      <c r="K847" s="35">
        <f>SUM(G847:J847)</f>
        <v>1</v>
      </c>
      <c r="L847" s="11">
        <f t="shared" si="597"/>
        <v>1</v>
      </c>
      <c r="M847" s="126">
        <v>45110</v>
      </c>
      <c r="N847" s="15" t="s">
        <v>697</v>
      </c>
      <c r="O847" s="26">
        <v>5</v>
      </c>
      <c r="P847" s="47"/>
      <c r="Q847" s="27">
        <v>2</v>
      </c>
      <c r="R847" s="34">
        <v>1</v>
      </c>
      <c r="S847" s="35">
        <f t="shared" ref="S847:S848" si="605">SUM(O847:R847)</f>
        <v>8</v>
      </c>
      <c r="T847" s="26"/>
      <c r="U847" s="47">
        <v>1</v>
      </c>
      <c r="V847" s="27">
        <v>4</v>
      </c>
      <c r="W847" s="34"/>
      <c r="X847" s="35">
        <f t="shared" ref="X847:X848" si="606">SUM(T847:W847)</f>
        <v>5</v>
      </c>
      <c r="Y847" s="11">
        <f t="shared" si="601"/>
        <v>13</v>
      </c>
      <c r="Z847" s="99">
        <v>45110</v>
      </c>
    </row>
    <row r="848" spans="1:26" x14ac:dyDescent="0.15">
      <c r="A848" s="13" t="s">
        <v>704</v>
      </c>
      <c r="B848" s="26"/>
      <c r="C848" s="47">
        <v>1</v>
      </c>
      <c r="D848" s="27"/>
      <c r="E848" s="34"/>
      <c r="F848" s="35">
        <f t="shared" ref="F848:F868" si="607">SUM(B848:E848)</f>
        <v>1</v>
      </c>
      <c r="G848" s="26"/>
      <c r="H848" s="47">
        <v>1</v>
      </c>
      <c r="I848" s="27"/>
      <c r="J848" s="34"/>
      <c r="K848" s="35">
        <f t="shared" ref="K848:K868" si="608">SUM(G848:J848)</f>
        <v>1</v>
      </c>
      <c r="L848" s="11">
        <f t="shared" si="597"/>
        <v>2</v>
      </c>
      <c r="M848" s="126">
        <v>45112</v>
      </c>
      <c r="N848" s="15" t="s">
        <v>702</v>
      </c>
      <c r="O848" s="26">
        <v>2</v>
      </c>
      <c r="P848" s="47">
        <v>6</v>
      </c>
      <c r="Q848" s="27">
        <v>8</v>
      </c>
      <c r="R848" s="34"/>
      <c r="S848" s="35">
        <f t="shared" si="605"/>
        <v>16</v>
      </c>
      <c r="T848" s="26">
        <v>1</v>
      </c>
      <c r="U848" s="47">
        <v>1</v>
      </c>
      <c r="V848" s="27">
        <v>1</v>
      </c>
      <c r="W848" s="34"/>
      <c r="X848" s="35">
        <f t="shared" si="606"/>
        <v>3</v>
      </c>
      <c r="Y848" s="11">
        <f t="shared" si="601"/>
        <v>19</v>
      </c>
      <c r="Z848" s="99">
        <v>45111</v>
      </c>
    </row>
    <row r="849" spans="1:28" x14ac:dyDescent="0.15">
      <c r="A849" s="13" t="s">
        <v>41</v>
      </c>
      <c r="B849" s="66">
        <v>1</v>
      </c>
      <c r="C849" s="67"/>
      <c r="D849" s="68"/>
      <c r="E849" s="69"/>
      <c r="F849" s="70">
        <f t="shared" si="607"/>
        <v>1</v>
      </c>
      <c r="G849" s="66">
        <v>1</v>
      </c>
      <c r="H849" s="67"/>
      <c r="I849" s="68"/>
      <c r="J849" s="69"/>
      <c r="K849" s="70">
        <f t="shared" si="608"/>
        <v>1</v>
      </c>
      <c r="L849" s="11">
        <f t="shared" si="597"/>
        <v>2</v>
      </c>
      <c r="M849" s="126">
        <v>45112</v>
      </c>
      <c r="N849" s="57" t="s">
        <v>703</v>
      </c>
      <c r="O849" s="66"/>
      <c r="P849" s="67">
        <v>10</v>
      </c>
      <c r="Q849" s="68"/>
      <c r="R849" s="94"/>
      <c r="S849" s="91">
        <f>SUM(O849:R849)</f>
        <v>10</v>
      </c>
      <c r="T849" s="67">
        <v>15</v>
      </c>
      <c r="U849" s="67">
        <v>10</v>
      </c>
      <c r="V849" s="68"/>
      <c r="W849" s="94"/>
      <c r="X849" s="91">
        <f>SUM(T849:W849)</f>
        <v>25</v>
      </c>
      <c r="Y849" s="11">
        <f t="shared" si="601"/>
        <v>35</v>
      </c>
      <c r="Z849" s="99">
        <v>45112</v>
      </c>
    </row>
    <row r="850" spans="1:28" x14ac:dyDescent="0.15">
      <c r="A850" s="13" t="s">
        <v>41</v>
      </c>
      <c r="B850" s="26"/>
      <c r="C850" s="47"/>
      <c r="D850" s="27"/>
      <c r="E850" s="34"/>
      <c r="F850" s="35">
        <f t="shared" si="607"/>
        <v>0</v>
      </c>
      <c r="G850" s="26"/>
      <c r="H850" s="47">
        <v>1</v>
      </c>
      <c r="I850" s="27"/>
      <c r="J850" s="34"/>
      <c r="K850" s="35">
        <f t="shared" si="608"/>
        <v>1</v>
      </c>
      <c r="L850" s="11">
        <f t="shared" si="597"/>
        <v>1</v>
      </c>
      <c r="M850" s="126">
        <v>45113</v>
      </c>
      <c r="N850" s="15" t="s">
        <v>705</v>
      </c>
      <c r="O850" s="26">
        <v>1</v>
      </c>
      <c r="P850" s="47">
        <v>1</v>
      </c>
      <c r="Q850" s="27"/>
      <c r="R850" s="34"/>
      <c r="S850" s="35">
        <f t="shared" ref="S850:S852" si="609">SUM(O850:R850)</f>
        <v>2</v>
      </c>
      <c r="T850" s="26">
        <v>2</v>
      </c>
      <c r="U850" s="47">
        <v>2</v>
      </c>
      <c r="V850" s="27">
        <v>3</v>
      </c>
      <c r="W850" s="34"/>
      <c r="X850" s="35">
        <f t="shared" ref="X850:X852" si="610">SUM(T850:W850)</f>
        <v>7</v>
      </c>
      <c r="Y850" s="11">
        <f t="shared" si="601"/>
        <v>9</v>
      </c>
      <c r="Z850" s="99">
        <v>45112</v>
      </c>
    </row>
    <row r="851" spans="1:28" x14ac:dyDescent="0.15">
      <c r="A851" s="13" t="s">
        <v>41</v>
      </c>
      <c r="B851" s="26">
        <v>1</v>
      </c>
      <c r="C851" s="47"/>
      <c r="D851" s="27"/>
      <c r="E851" s="34"/>
      <c r="F851" s="35">
        <f t="shared" si="607"/>
        <v>1</v>
      </c>
      <c r="G851" s="26"/>
      <c r="H851" s="47"/>
      <c r="I851" s="27"/>
      <c r="J851" s="34"/>
      <c r="K851" s="35">
        <f t="shared" si="608"/>
        <v>0</v>
      </c>
      <c r="L851" s="11">
        <f t="shared" si="597"/>
        <v>1</v>
      </c>
      <c r="M851" s="126">
        <v>45117</v>
      </c>
      <c r="N851" s="15" t="s">
        <v>706</v>
      </c>
      <c r="O851" s="26">
        <v>1</v>
      </c>
      <c r="P851" s="47">
        <v>10</v>
      </c>
      <c r="Q851" s="27">
        <v>3</v>
      </c>
      <c r="R851" s="34">
        <v>2</v>
      </c>
      <c r="S851" s="35">
        <f t="shared" si="609"/>
        <v>16</v>
      </c>
      <c r="T851" s="26">
        <v>2</v>
      </c>
      <c r="U851" s="47">
        <v>3</v>
      </c>
      <c r="V851" s="27">
        <v>1</v>
      </c>
      <c r="W851" s="34">
        <v>2</v>
      </c>
      <c r="X851" s="35">
        <f t="shared" si="610"/>
        <v>8</v>
      </c>
      <c r="Y851" s="11">
        <f t="shared" si="601"/>
        <v>24</v>
      </c>
      <c r="Z851" s="99">
        <v>45113</v>
      </c>
    </row>
    <row r="852" spans="1:28" x14ac:dyDescent="0.15">
      <c r="A852" s="13" t="s">
        <v>41</v>
      </c>
      <c r="B852" s="26"/>
      <c r="C852" s="47">
        <v>1</v>
      </c>
      <c r="D852" s="27"/>
      <c r="E852" s="34"/>
      <c r="F852" s="35">
        <f t="shared" si="607"/>
        <v>1</v>
      </c>
      <c r="G852" s="26"/>
      <c r="H852" s="47"/>
      <c r="I852" s="27"/>
      <c r="J852" s="34"/>
      <c r="K852" s="35">
        <f t="shared" si="608"/>
        <v>0</v>
      </c>
      <c r="L852" s="11">
        <f t="shared" si="597"/>
        <v>1</v>
      </c>
      <c r="M852" s="126">
        <v>45119</v>
      </c>
      <c r="N852" s="12" t="s">
        <v>707</v>
      </c>
      <c r="O852" s="26">
        <v>20</v>
      </c>
      <c r="P852" s="47">
        <v>20</v>
      </c>
      <c r="Q852" s="27">
        <v>20</v>
      </c>
      <c r="R852" s="34"/>
      <c r="S852" s="35">
        <f t="shared" si="609"/>
        <v>60</v>
      </c>
      <c r="T852" s="26">
        <v>20</v>
      </c>
      <c r="U852" s="47">
        <v>20</v>
      </c>
      <c r="V852" s="27">
        <v>20</v>
      </c>
      <c r="W852" s="34"/>
      <c r="X852" s="35">
        <f t="shared" si="610"/>
        <v>60</v>
      </c>
      <c r="Y852" s="11">
        <f t="shared" si="601"/>
        <v>120</v>
      </c>
      <c r="Z852" s="99">
        <v>45114</v>
      </c>
      <c r="AA852" s="58"/>
    </row>
    <row r="853" spans="1:28" x14ac:dyDescent="0.15">
      <c r="A853" s="13" t="s">
        <v>284</v>
      </c>
      <c r="B853" s="26">
        <v>6</v>
      </c>
      <c r="C853" s="47">
        <v>9</v>
      </c>
      <c r="D853" s="27">
        <v>2</v>
      </c>
      <c r="E853" s="34">
        <v>5</v>
      </c>
      <c r="F853" s="35">
        <f t="shared" si="607"/>
        <v>22</v>
      </c>
      <c r="G853" s="26"/>
      <c r="H853" s="47">
        <v>9</v>
      </c>
      <c r="I853" s="27">
        <v>3</v>
      </c>
      <c r="J853" s="34">
        <v>3</v>
      </c>
      <c r="K853" s="35">
        <f t="shared" si="608"/>
        <v>15</v>
      </c>
      <c r="L853" s="11">
        <f t="shared" si="597"/>
        <v>37</v>
      </c>
      <c r="M853" s="126">
        <v>45122</v>
      </c>
      <c r="N853" s="12" t="s">
        <v>708</v>
      </c>
      <c r="O853" s="26">
        <v>10</v>
      </c>
      <c r="P853" s="47">
        <v>10</v>
      </c>
      <c r="Q853" s="27">
        <v>7</v>
      </c>
      <c r="R853" s="50">
        <v>5</v>
      </c>
      <c r="S853" s="9">
        <f>SUM(O853:R853)</f>
        <v>32</v>
      </c>
      <c r="T853" s="47">
        <v>5</v>
      </c>
      <c r="U853" s="47">
        <v>5</v>
      </c>
      <c r="V853" s="27">
        <v>5</v>
      </c>
      <c r="W853" s="50">
        <v>5</v>
      </c>
      <c r="X853" s="9">
        <f>SUM(T853:W853)</f>
        <v>20</v>
      </c>
      <c r="Y853" s="11">
        <f t="shared" si="601"/>
        <v>52</v>
      </c>
      <c r="Z853" s="99">
        <v>45114</v>
      </c>
    </row>
    <row r="854" spans="1:28" x14ac:dyDescent="0.15">
      <c r="A854" s="13" t="s">
        <v>41</v>
      </c>
      <c r="B854" s="26"/>
      <c r="C854" s="47">
        <v>1</v>
      </c>
      <c r="D854" s="27">
        <v>1</v>
      </c>
      <c r="E854" s="34"/>
      <c r="F854" s="35">
        <f t="shared" si="607"/>
        <v>2</v>
      </c>
      <c r="G854" s="26"/>
      <c r="H854" s="47"/>
      <c r="I854" s="27"/>
      <c r="J854" s="34"/>
      <c r="K854" s="35">
        <f t="shared" si="608"/>
        <v>0</v>
      </c>
      <c r="L854" s="11">
        <f t="shared" si="597"/>
        <v>2</v>
      </c>
      <c r="M854" s="126">
        <v>45125</v>
      </c>
      <c r="N854" s="57" t="s">
        <v>711</v>
      </c>
      <c r="O854" s="26">
        <v>20</v>
      </c>
      <c r="P854" s="47"/>
      <c r="Q854" s="27">
        <v>20</v>
      </c>
      <c r="R854" s="34"/>
      <c r="S854" s="35">
        <f t="shared" ref="S854:S871" si="611">SUM(O854:R854)</f>
        <v>40</v>
      </c>
      <c r="T854" s="26"/>
      <c r="U854" s="47"/>
      <c r="V854" s="27"/>
      <c r="W854" s="34">
        <v>10</v>
      </c>
      <c r="X854" s="35">
        <f t="shared" ref="X854:X871" si="612">SUM(T854:W854)</f>
        <v>10</v>
      </c>
      <c r="Y854" s="11">
        <f t="shared" si="601"/>
        <v>50</v>
      </c>
      <c r="Z854" s="99">
        <v>45117</v>
      </c>
    </row>
    <row r="855" spans="1:28" x14ac:dyDescent="0.15">
      <c r="A855" s="13" t="s">
        <v>41</v>
      </c>
      <c r="B855" s="26"/>
      <c r="C855" s="47"/>
      <c r="D855" s="27">
        <v>1</v>
      </c>
      <c r="E855" s="34"/>
      <c r="F855" s="35">
        <f t="shared" si="607"/>
        <v>1</v>
      </c>
      <c r="G855" s="26"/>
      <c r="H855" s="47"/>
      <c r="I855" s="27"/>
      <c r="J855" s="34"/>
      <c r="K855" s="35">
        <f t="shared" si="608"/>
        <v>0</v>
      </c>
      <c r="L855" s="11">
        <f t="shared" si="597"/>
        <v>1</v>
      </c>
      <c r="M855" s="126">
        <v>45128</v>
      </c>
      <c r="N855" s="15" t="s">
        <v>712</v>
      </c>
      <c r="O855" s="26"/>
      <c r="P855" s="47">
        <v>3</v>
      </c>
      <c r="Q855" s="27"/>
      <c r="R855" s="34">
        <v>7</v>
      </c>
      <c r="S855" s="35">
        <f t="shared" si="611"/>
        <v>10</v>
      </c>
      <c r="T855" s="26">
        <v>2</v>
      </c>
      <c r="U855" s="47">
        <v>2</v>
      </c>
      <c r="V855" s="27"/>
      <c r="W855" s="34">
        <v>2</v>
      </c>
      <c r="X855" s="35">
        <f t="shared" si="612"/>
        <v>6</v>
      </c>
      <c r="Y855" s="11">
        <f t="shared" si="601"/>
        <v>16</v>
      </c>
      <c r="Z855" s="99">
        <v>45114</v>
      </c>
      <c r="AA855" s="58"/>
    </row>
    <row r="856" spans="1:28" x14ac:dyDescent="0.15">
      <c r="A856" s="13" t="s">
        <v>41</v>
      </c>
      <c r="B856" s="26"/>
      <c r="C856" s="47"/>
      <c r="D856" s="27"/>
      <c r="E856" s="34">
        <v>1</v>
      </c>
      <c r="F856" s="35">
        <f t="shared" si="607"/>
        <v>1</v>
      </c>
      <c r="G856" s="26">
        <v>1</v>
      </c>
      <c r="H856" s="47"/>
      <c r="I856" s="27"/>
      <c r="J856" s="34"/>
      <c r="K856" s="35">
        <f t="shared" si="608"/>
        <v>1</v>
      </c>
      <c r="L856" s="11">
        <f t="shared" si="597"/>
        <v>2</v>
      </c>
      <c r="M856" s="126">
        <v>45131</v>
      </c>
      <c r="N856" s="15" t="s">
        <v>713</v>
      </c>
      <c r="O856" s="26"/>
      <c r="P856" s="47"/>
      <c r="Q856" s="27">
        <v>5</v>
      </c>
      <c r="R856" s="34">
        <v>3</v>
      </c>
      <c r="S856" s="35">
        <f t="shared" si="611"/>
        <v>8</v>
      </c>
      <c r="T856" s="26">
        <v>1</v>
      </c>
      <c r="U856" s="47">
        <v>1</v>
      </c>
      <c r="V856" s="27"/>
      <c r="W856" s="34">
        <v>1</v>
      </c>
      <c r="X856" s="35">
        <f t="shared" si="612"/>
        <v>3</v>
      </c>
      <c r="Y856" s="11">
        <f t="shared" si="601"/>
        <v>11</v>
      </c>
      <c r="Z856" s="99">
        <v>45117</v>
      </c>
    </row>
    <row r="857" spans="1:28" x14ac:dyDescent="0.15">
      <c r="A857" s="13"/>
      <c r="B857" s="26"/>
      <c r="C857" s="47"/>
      <c r="D857" s="27"/>
      <c r="E857" s="34"/>
      <c r="F857" s="35">
        <f t="shared" si="607"/>
        <v>0</v>
      </c>
      <c r="G857" s="26"/>
      <c r="H857" s="47"/>
      <c r="I857" s="27"/>
      <c r="J857" s="34"/>
      <c r="K857" s="35">
        <f t="shared" si="608"/>
        <v>0</v>
      </c>
      <c r="L857" s="11">
        <f t="shared" si="597"/>
        <v>0</v>
      </c>
      <c r="N857" s="12" t="s">
        <v>714</v>
      </c>
      <c r="O857" s="26"/>
      <c r="P857" s="47"/>
      <c r="Q857" s="27"/>
      <c r="R857" s="34"/>
      <c r="S857" s="35">
        <f t="shared" si="611"/>
        <v>0</v>
      </c>
      <c r="T857" s="26"/>
      <c r="U857" s="47"/>
      <c r="V857" s="27">
        <v>10</v>
      </c>
      <c r="W857" s="34"/>
      <c r="X857" s="35">
        <f t="shared" si="612"/>
        <v>10</v>
      </c>
      <c r="Y857" s="11">
        <f t="shared" si="601"/>
        <v>10</v>
      </c>
      <c r="Z857" s="99">
        <v>45118</v>
      </c>
    </row>
    <row r="858" spans="1:28" x14ac:dyDescent="0.15">
      <c r="A858" s="15"/>
      <c r="B858" s="26"/>
      <c r="C858" s="47"/>
      <c r="D858" s="27"/>
      <c r="E858" s="34"/>
      <c r="F858" s="35">
        <f t="shared" si="607"/>
        <v>0</v>
      </c>
      <c r="G858" s="26"/>
      <c r="H858" s="47"/>
      <c r="I858" s="27"/>
      <c r="J858" s="34"/>
      <c r="K858" s="35">
        <f t="shared" si="608"/>
        <v>0</v>
      </c>
      <c r="L858" s="11">
        <f t="shared" si="597"/>
        <v>0</v>
      </c>
      <c r="N858" s="15" t="s">
        <v>715</v>
      </c>
      <c r="O858" s="26">
        <v>2</v>
      </c>
      <c r="P858" s="47"/>
      <c r="Q858" s="27">
        <v>7</v>
      </c>
      <c r="R858" s="34">
        <v>2</v>
      </c>
      <c r="S858" s="35">
        <f t="shared" si="611"/>
        <v>11</v>
      </c>
      <c r="T858" s="26">
        <v>6</v>
      </c>
      <c r="U858" s="47"/>
      <c r="V858" s="27">
        <v>1</v>
      </c>
      <c r="W858" s="34">
        <v>2</v>
      </c>
      <c r="X858" s="35">
        <f t="shared" si="612"/>
        <v>9</v>
      </c>
      <c r="Y858" s="11">
        <f t="shared" si="601"/>
        <v>20</v>
      </c>
      <c r="Z858" s="99">
        <v>45118</v>
      </c>
    </row>
    <row r="859" spans="1:28" x14ac:dyDescent="0.15">
      <c r="A859" s="13"/>
      <c r="B859" s="26"/>
      <c r="C859" s="47"/>
      <c r="D859" s="27"/>
      <c r="E859" s="34"/>
      <c r="F859" s="35">
        <f t="shared" si="607"/>
        <v>0</v>
      </c>
      <c r="G859" s="26"/>
      <c r="H859" s="47"/>
      <c r="I859" s="27"/>
      <c r="J859" s="34"/>
      <c r="K859" s="35">
        <f t="shared" si="608"/>
        <v>0</v>
      </c>
      <c r="L859" s="11">
        <f t="shared" si="597"/>
        <v>0</v>
      </c>
      <c r="N859" s="15" t="s">
        <v>716</v>
      </c>
      <c r="O859" s="26">
        <v>2</v>
      </c>
      <c r="P859" s="47">
        <v>2</v>
      </c>
      <c r="Q859" s="27"/>
      <c r="R859" s="34"/>
      <c r="S859" s="35">
        <f t="shared" si="611"/>
        <v>4</v>
      </c>
      <c r="T859" s="26"/>
      <c r="U859" s="47">
        <v>1</v>
      </c>
      <c r="V859" s="27"/>
      <c r="W859" s="34"/>
      <c r="X859" s="35">
        <f t="shared" si="612"/>
        <v>1</v>
      </c>
      <c r="Y859" s="11">
        <f t="shared" si="601"/>
        <v>5</v>
      </c>
      <c r="Z859" s="99">
        <v>45119</v>
      </c>
    </row>
    <row r="860" spans="1:28" x14ac:dyDescent="0.15">
      <c r="A860" s="15"/>
      <c r="B860" s="26"/>
      <c r="C860" s="47"/>
      <c r="D860" s="27"/>
      <c r="E860" s="34"/>
      <c r="F860" s="35">
        <f t="shared" si="607"/>
        <v>0</v>
      </c>
      <c r="G860" s="26"/>
      <c r="H860" s="47"/>
      <c r="I860" s="27"/>
      <c r="J860" s="34"/>
      <c r="K860" s="35">
        <f t="shared" si="608"/>
        <v>0</v>
      </c>
      <c r="L860" s="11">
        <f t="shared" si="597"/>
        <v>0</v>
      </c>
      <c r="N860" s="15" t="s">
        <v>718</v>
      </c>
      <c r="O860" s="26">
        <v>3</v>
      </c>
      <c r="P860" s="47">
        <v>2</v>
      </c>
      <c r="Q860" s="27">
        <v>3</v>
      </c>
      <c r="R860" s="34">
        <v>3</v>
      </c>
      <c r="S860" s="35">
        <f t="shared" ref="S860" si="613">SUM(O860:R860)</f>
        <v>11</v>
      </c>
      <c r="T860" s="26"/>
      <c r="U860" s="47">
        <v>2</v>
      </c>
      <c r="V860" s="27"/>
      <c r="W860" s="34"/>
      <c r="X860" s="35">
        <f t="shared" ref="X860" si="614">SUM(T860:W860)</f>
        <v>2</v>
      </c>
      <c r="Y860" s="11">
        <f t="shared" ref="Y860" si="615">S860+X860</f>
        <v>13</v>
      </c>
      <c r="Z860" s="99">
        <v>45120</v>
      </c>
      <c r="AA860" s="58"/>
      <c r="AB860" s="58"/>
    </row>
    <row r="861" spans="1:28" x14ac:dyDescent="0.15">
      <c r="A861" s="13"/>
      <c r="B861" s="26"/>
      <c r="C861" s="47"/>
      <c r="D861" s="27"/>
      <c r="E861" s="34"/>
      <c r="F861" s="35">
        <f t="shared" si="607"/>
        <v>0</v>
      </c>
      <c r="G861" s="26"/>
      <c r="H861" s="47"/>
      <c r="I861" s="27"/>
      <c r="J861" s="34"/>
      <c r="K861" s="35">
        <f t="shared" si="608"/>
        <v>0</v>
      </c>
      <c r="L861" s="11">
        <f t="shared" si="597"/>
        <v>0</v>
      </c>
      <c r="N861" s="12" t="s">
        <v>719</v>
      </c>
      <c r="O861" s="26"/>
      <c r="P861" s="47"/>
      <c r="Q861" s="27">
        <v>25</v>
      </c>
      <c r="R861" s="34"/>
      <c r="S861" s="35">
        <f t="shared" si="611"/>
        <v>25</v>
      </c>
      <c r="T861" s="26"/>
      <c r="U861" s="47"/>
      <c r="V861" s="27">
        <v>20</v>
      </c>
      <c r="W861" s="34"/>
      <c r="X861" s="35">
        <f t="shared" si="612"/>
        <v>20</v>
      </c>
      <c r="Y861" s="11">
        <f t="shared" si="601"/>
        <v>45</v>
      </c>
      <c r="Z861" s="99">
        <v>45120</v>
      </c>
      <c r="AA861" s="58"/>
    </row>
    <row r="862" spans="1:28" x14ac:dyDescent="0.15">
      <c r="A862" s="15"/>
      <c r="B862" s="26"/>
      <c r="C862" s="47"/>
      <c r="D862" s="27"/>
      <c r="E862" s="34"/>
      <c r="F862" s="35">
        <f t="shared" si="607"/>
        <v>0</v>
      </c>
      <c r="G862" s="26"/>
      <c r="H862" s="47"/>
      <c r="I862" s="27"/>
      <c r="J862" s="34"/>
      <c r="K862" s="35">
        <f t="shared" si="608"/>
        <v>0</v>
      </c>
      <c r="L862" s="11">
        <f t="shared" si="597"/>
        <v>0</v>
      </c>
      <c r="N862" s="15" t="s">
        <v>720</v>
      </c>
      <c r="O862" s="26">
        <v>6</v>
      </c>
      <c r="P862" s="47">
        <v>4</v>
      </c>
      <c r="Q862" s="27">
        <v>2</v>
      </c>
      <c r="R862" s="34">
        <v>1</v>
      </c>
      <c r="S862" s="35">
        <f t="shared" ref="S862:S864" si="616">SUM(O862:R862)</f>
        <v>13</v>
      </c>
      <c r="T862" s="26">
        <v>5</v>
      </c>
      <c r="U862" s="47">
        <v>2</v>
      </c>
      <c r="V862" s="27">
        <v>1</v>
      </c>
      <c r="W862" s="34">
        <v>1</v>
      </c>
      <c r="X862" s="35">
        <f t="shared" ref="X862:X864" si="617">SUM(T862:W862)</f>
        <v>9</v>
      </c>
      <c r="Y862" s="11">
        <f t="shared" ref="Y862:Y864" si="618">S862+X862</f>
        <v>22</v>
      </c>
      <c r="Z862" s="99">
        <v>45121</v>
      </c>
    </row>
    <row r="863" spans="1:28" x14ac:dyDescent="0.15">
      <c r="A863" s="15"/>
      <c r="B863" s="26"/>
      <c r="C863" s="47"/>
      <c r="D863" s="27"/>
      <c r="E863" s="34"/>
      <c r="F863" s="35">
        <f t="shared" si="607"/>
        <v>0</v>
      </c>
      <c r="G863" s="26"/>
      <c r="H863" s="47"/>
      <c r="I863" s="27"/>
      <c r="J863" s="34"/>
      <c r="K863" s="35">
        <f t="shared" si="608"/>
        <v>0</v>
      </c>
      <c r="L863" s="11">
        <f t="shared" si="597"/>
        <v>0</v>
      </c>
      <c r="N863" s="12" t="s">
        <v>721</v>
      </c>
      <c r="O863" s="26"/>
      <c r="P863" s="47">
        <v>25</v>
      </c>
      <c r="Q863" s="27"/>
      <c r="R863" s="34">
        <v>20</v>
      </c>
      <c r="S863" s="35">
        <f t="shared" si="616"/>
        <v>45</v>
      </c>
      <c r="T863" s="26">
        <v>5</v>
      </c>
      <c r="U863" s="47">
        <v>5</v>
      </c>
      <c r="V863" s="27"/>
      <c r="W863" s="34"/>
      <c r="X863" s="35">
        <f t="shared" si="617"/>
        <v>10</v>
      </c>
      <c r="Y863" s="11">
        <f t="shared" si="618"/>
        <v>55</v>
      </c>
      <c r="Z863" s="99">
        <v>45121</v>
      </c>
    </row>
    <row r="864" spans="1:28" x14ac:dyDescent="0.15">
      <c r="A864" s="13"/>
      <c r="B864" s="26"/>
      <c r="C864" s="47"/>
      <c r="D864" s="27"/>
      <c r="E864" s="34"/>
      <c r="F864" s="35">
        <f t="shared" si="607"/>
        <v>0</v>
      </c>
      <c r="G864" s="26"/>
      <c r="H864" s="47"/>
      <c r="I864" s="27"/>
      <c r="J864" s="34"/>
      <c r="K864" s="35">
        <f t="shared" si="608"/>
        <v>0</v>
      </c>
      <c r="L864" s="11">
        <f t="shared" si="597"/>
        <v>0</v>
      </c>
      <c r="N864" s="12" t="s">
        <v>722</v>
      </c>
      <c r="O864" s="26">
        <v>10</v>
      </c>
      <c r="P864" s="47"/>
      <c r="Q864" s="27">
        <v>30</v>
      </c>
      <c r="R864" s="34"/>
      <c r="S864" s="35">
        <f t="shared" si="616"/>
        <v>40</v>
      </c>
      <c r="T864" s="26"/>
      <c r="U864" s="47">
        <v>5</v>
      </c>
      <c r="V864" s="27">
        <v>5</v>
      </c>
      <c r="W864" s="34"/>
      <c r="X864" s="35">
        <f t="shared" si="617"/>
        <v>10</v>
      </c>
      <c r="Y864" s="11">
        <f t="shared" si="618"/>
        <v>50</v>
      </c>
      <c r="Z864" s="99">
        <v>45121</v>
      </c>
      <c r="AA864" s="58"/>
    </row>
    <row r="865" spans="1:27" x14ac:dyDescent="0.15">
      <c r="A865" s="32"/>
      <c r="B865" s="26"/>
      <c r="C865" s="47"/>
      <c r="D865" s="27"/>
      <c r="E865" s="34"/>
      <c r="F865" s="35">
        <f t="shared" si="607"/>
        <v>0</v>
      </c>
      <c r="G865" s="26"/>
      <c r="H865" s="47"/>
      <c r="I865" s="27"/>
      <c r="J865" s="34"/>
      <c r="K865" s="35">
        <f t="shared" si="608"/>
        <v>0</v>
      </c>
      <c r="L865" s="11">
        <f t="shared" si="597"/>
        <v>0</v>
      </c>
      <c r="N865" s="15"/>
      <c r="O865" s="26"/>
      <c r="P865" s="47"/>
      <c r="Q865" s="27"/>
      <c r="R865" s="34"/>
      <c r="S865" s="35">
        <f t="shared" ref="S865" si="619">SUM(O865:R865)</f>
        <v>0</v>
      </c>
      <c r="T865" s="26"/>
      <c r="U865" s="47"/>
      <c r="V865" s="27"/>
      <c r="W865" s="34"/>
      <c r="X865" s="35">
        <f t="shared" ref="X865" si="620">SUM(T865:W865)</f>
        <v>0</v>
      </c>
      <c r="Y865" s="11">
        <f t="shared" ref="Y865" si="621">S865+X865</f>
        <v>0</v>
      </c>
    </row>
    <row r="866" spans="1:27" x14ac:dyDescent="0.15">
      <c r="A866" s="32"/>
      <c r="B866" s="26"/>
      <c r="C866" s="47"/>
      <c r="D866" s="27"/>
      <c r="E866" s="34"/>
      <c r="F866" s="35">
        <f t="shared" si="607"/>
        <v>0</v>
      </c>
      <c r="G866" s="26"/>
      <c r="H866" s="47"/>
      <c r="I866" s="27"/>
      <c r="J866" s="34"/>
      <c r="K866" s="35">
        <f t="shared" si="608"/>
        <v>0</v>
      </c>
      <c r="L866" s="11">
        <f t="shared" si="597"/>
        <v>0</v>
      </c>
      <c r="N866" s="57" t="s">
        <v>680</v>
      </c>
      <c r="O866" s="66"/>
      <c r="P866" s="67"/>
      <c r="Q866" s="68"/>
      <c r="R866" s="69"/>
      <c r="S866" s="70">
        <f t="shared" ref="S866" si="622">SUM(O866:R866)</f>
        <v>0</v>
      </c>
      <c r="T866" s="66"/>
      <c r="U866" s="67"/>
      <c r="V866" s="68"/>
      <c r="W866" s="69"/>
      <c r="X866" s="70">
        <f t="shared" ref="X866" si="623">SUM(T866:W866)</f>
        <v>0</v>
      </c>
      <c r="Y866" s="11">
        <f t="shared" ref="Y866" si="624">S866+X866</f>
        <v>0</v>
      </c>
      <c r="Z866" s="101" t="s">
        <v>679</v>
      </c>
    </row>
    <row r="867" spans="1:27" x14ac:dyDescent="0.15">
      <c r="A867" s="12"/>
      <c r="B867" s="26"/>
      <c r="C867" s="47"/>
      <c r="D867" s="27"/>
      <c r="E867" s="34"/>
      <c r="F867" s="35">
        <f t="shared" si="607"/>
        <v>0</v>
      </c>
      <c r="G867" s="26"/>
      <c r="H867" s="47"/>
      <c r="I867" s="27"/>
      <c r="J867" s="34"/>
      <c r="K867" s="35">
        <f t="shared" si="608"/>
        <v>0</v>
      </c>
      <c r="L867" s="11">
        <f t="shared" si="597"/>
        <v>0</v>
      </c>
      <c r="N867" s="153" t="s">
        <v>611</v>
      </c>
      <c r="O867" s="154"/>
      <c r="P867" s="155"/>
      <c r="Q867" s="156"/>
      <c r="R867" s="157"/>
      <c r="S867" s="158">
        <f t="shared" si="611"/>
        <v>0</v>
      </c>
      <c r="T867" s="154"/>
      <c r="U867" s="155"/>
      <c r="V867" s="156"/>
      <c r="W867" s="157"/>
      <c r="X867" s="158">
        <f t="shared" si="612"/>
        <v>0</v>
      </c>
      <c r="Y867" s="179">
        <f t="shared" si="601"/>
        <v>0</v>
      </c>
      <c r="Z867" s="101"/>
      <c r="AA867" s="58"/>
    </row>
    <row r="868" spans="1:27" x14ac:dyDescent="0.15">
      <c r="A868" s="79"/>
      <c r="B868" s="26"/>
      <c r="C868" s="47"/>
      <c r="D868" s="27"/>
      <c r="E868" s="34"/>
      <c r="F868" s="35">
        <f t="shared" si="607"/>
        <v>0</v>
      </c>
      <c r="G868" s="26"/>
      <c r="H868" s="47"/>
      <c r="I868" s="27"/>
      <c r="J868" s="34"/>
      <c r="K868" s="35">
        <f t="shared" si="608"/>
        <v>0</v>
      </c>
      <c r="L868" s="11">
        <f t="shared" si="597"/>
        <v>0</v>
      </c>
      <c r="N868" s="12" t="s">
        <v>610</v>
      </c>
      <c r="O868" s="26"/>
      <c r="P868" s="47"/>
      <c r="Q868" s="27"/>
      <c r="R868" s="219"/>
      <c r="S868" s="35">
        <f t="shared" si="611"/>
        <v>0</v>
      </c>
      <c r="T868" s="26"/>
      <c r="U868" s="47"/>
      <c r="V868" s="27"/>
      <c r="W868" s="219"/>
      <c r="X868" s="35">
        <f t="shared" si="612"/>
        <v>0</v>
      </c>
      <c r="Y868" s="11">
        <f t="shared" si="601"/>
        <v>0</v>
      </c>
      <c r="Z868" s="101" t="s">
        <v>601</v>
      </c>
      <c r="AA868" s="58"/>
    </row>
    <row r="869" spans="1:27" x14ac:dyDescent="0.15">
      <c r="A869" s="79"/>
      <c r="B869" s="26"/>
      <c r="C869" s="47"/>
      <c r="D869" s="27"/>
      <c r="E869" s="34"/>
      <c r="F869" s="35">
        <f t="shared" ref="F869:F870" si="625">SUM(B869:E869)</f>
        <v>0</v>
      </c>
      <c r="G869" s="26"/>
      <c r="H869" s="47"/>
      <c r="I869" s="27"/>
      <c r="J869" s="34"/>
      <c r="K869" s="35">
        <f t="shared" ref="K869:K870" si="626">SUM(G869:J869)</f>
        <v>0</v>
      </c>
      <c r="L869" s="11">
        <f t="shared" ref="L869:L870" si="627">F869+K869</f>
        <v>0</v>
      </c>
      <c r="N869" s="173" t="s">
        <v>602</v>
      </c>
      <c r="O869" s="174"/>
      <c r="P869" s="175"/>
      <c r="Q869" s="176"/>
      <c r="R869" s="177"/>
      <c r="S869" s="178">
        <f t="shared" si="611"/>
        <v>0</v>
      </c>
      <c r="T869" s="174"/>
      <c r="U869" s="175"/>
      <c r="V869" s="176"/>
      <c r="W869" s="177"/>
      <c r="X869" s="178">
        <f t="shared" si="612"/>
        <v>0</v>
      </c>
      <c r="Y869" s="179">
        <f t="shared" si="601"/>
        <v>0</v>
      </c>
      <c r="Z869" s="101"/>
      <c r="AA869" s="58"/>
    </row>
    <row r="870" spans="1:27" ht="14.25" thickBot="1" x14ac:dyDescent="0.2">
      <c r="A870" s="222" t="s">
        <v>756</v>
      </c>
      <c r="B870" s="223"/>
      <c r="C870" s="224">
        <v>1</v>
      </c>
      <c r="D870" s="225">
        <v>-1</v>
      </c>
      <c r="E870" s="226"/>
      <c r="F870" s="227">
        <f t="shared" si="625"/>
        <v>0</v>
      </c>
      <c r="G870" s="223"/>
      <c r="H870" s="224">
        <v>-2</v>
      </c>
      <c r="I870" s="225">
        <v>1</v>
      </c>
      <c r="J870" s="226"/>
      <c r="K870" s="227">
        <f t="shared" si="626"/>
        <v>-1</v>
      </c>
      <c r="L870" s="14">
        <f t="shared" si="627"/>
        <v>-1</v>
      </c>
      <c r="M870" s="126">
        <v>45142</v>
      </c>
      <c r="N870" s="220" t="s">
        <v>600</v>
      </c>
      <c r="O870" s="109"/>
      <c r="P870" s="110"/>
      <c r="Q870" s="111"/>
      <c r="R870" s="112"/>
      <c r="S870" s="134">
        <f t="shared" si="611"/>
        <v>0</v>
      </c>
      <c r="T870" s="109"/>
      <c r="U870" s="110"/>
      <c r="V870" s="111"/>
      <c r="W870" s="112"/>
      <c r="X870" s="134">
        <f t="shared" si="612"/>
        <v>0</v>
      </c>
      <c r="Y870" s="119">
        <f t="shared" si="601"/>
        <v>0</v>
      </c>
      <c r="Z870" s="101" t="s">
        <v>601</v>
      </c>
      <c r="AA870" s="58"/>
    </row>
    <row r="871" spans="1:27" ht="14.25" thickBot="1" x14ac:dyDescent="0.2">
      <c r="A871" s="17" t="s">
        <v>10</v>
      </c>
      <c r="B871" s="228">
        <f>SUM(B846:B870)</f>
        <v>14</v>
      </c>
      <c r="C871" s="229">
        <f>SUM(C846:C870)</f>
        <v>23</v>
      </c>
      <c r="D871" s="230">
        <f>SUM(D846:D870)</f>
        <v>12</v>
      </c>
      <c r="E871" s="231">
        <f>SUM(E846:E870)</f>
        <v>6</v>
      </c>
      <c r="F871" s="36">
        <f>SUM(B871:E871)</f>
        <v>55</v>
      </c>
      <c r="G871" s="228">
        <f>SUM(G846:G870)</f>
        <v>6</v>
      </c>
      <c r="H871" s="229">
        <f>SUM(H846:H870)</f>
        <v>13</v>
      </c>
      <c r="I871" s="230">
        <f>SUM(I846:I870)</f>
        <v>4</v>
      </c>
      <c r="J871" s="231">
        <f>SUM(J846:J870)</f>
        <v>3</v>
      </c>
      <c r="K871" s="36">
        <f>SUM(G871:J871)</f>
        <v>26</v>
      </c>
      <c r="L871" s="37">
        <f t="shared" si="597"/>
        <v>81</v>
      </c>
      <c r="N871" s="133" t="s">
        <v>10</v>
      </c>
      <c r="O871" s="38">
        <f>SUM(O846:O870)</f>
        <v>90</v>
      </c>
      <c r="P871" s="48">
        <f>SUM(P846:P870)</f>
        <v>108</v>
      </c>
      <c r="Q871" s="39">
        <f>SUM(Q846:Q870)</f>
        <v>132</v>
      </c>
      <c r="R871" s="40">
        <f>SUM(R846:R870)</f>
        <v>46</v>
      </c>
      <c r="S871" s="118">
        <f t="shared" si="611"/>
        <v>376</v>
      </c>
      <c r="T871" s="38">
        <f>SUM(T846:T870)</f>
        <v>64</v>
      </c>
      <c r="U871" s="48">
        <f>SUM(U846:U870)</f>
        <v>62</v>
      </c>
      <c r="V871" s="39">
        <f>SUM(V846:V870)</f>
        <v>72</v>
      </c>
      <c r="W871" s="40">
        <f>SUM(W846:W870)</f>
        <v>23</v>
      </c>
      <c r="X871" s="118">
        <f t="shared" si="612"/>
        <v>221</v>
      </c>
      <c r="Y871" s="119">
        <f t="shared" si="601"/>
        <v>597</v>
      </c>
    </row>
    <row r="872" spans="1:27" ht="14.25" thickBot="1" x14ac:dyDescent="0.2">
      <c r="A872" s="22" t="s">
        <v>11</v>
      </c>
      <c r="B872" s="41">
        <f>B845-B871</f>
        <v>3</v>
      </c>
      <c r="C872" s="49">
        <f>C845-C871</f>
        <v>2</v>
      </c>
      <c r="D872" s="42">
        <f t="shared" ref="D872:K872" si="628">D845-D871</f>
        <v>4</v>
      </c>
      <c r="E872" s="43">
        <f t="shared" si="628"/>
        <v>5</v>
      </c>
      <c r="F872" s="61">
        <f t="shared" si="628"/>
        <v>10</v>
      </c>
      <c r="G872" s="41">
        <f t="shared" si="628"/>
        <v>4</v>
      </c>
      <c r="H872" s="49">
        <f t="shared" si="628"/>
        <v>7</v>
      </c>
      <c r="I872" s="42">
        <f t="shared" si="628"/>
        <v>5</v>
      </c>
      <c r="J872" s="43">
        <f t="shared" si="628"/>
        <v>7</v>
      </c>
      <c r="K872" s="61">
        <f t="shared" si="628"/>
        <v>23</v>
      </c>
      <c r="L872" s="21">
        <f t="shared" si="597"/>
        <v>33</v>
      </c>
      <c r="N872" s="17" t="s">
        <v>11</v>
      </c>
      <c r="O872" s="41">
        <f>O845-O871</f>
        <v>525</v>
      </c>
      <c r="P872" s="49">
        <f t="shared" ref="P872:X872" si="629">P845-P871</f>
        <v>702</v>
      </c>
      <c r="Q872" s="42">
        <f t="shared" si="629"/>
        <v>331</v>
      </c>
      <c r="R872" s="43">
        <f t="shared" si="629"/>
        <v>204</v>
      </c>
      <c r="S872" s="61">
        <f t="shared" si="629"/>
        <v>1762</v>
      </c>
      <c r="T872" s="41">
        <f t="shared" si="629"/>
        <v>421</v>
      </c>
      <c r="U872" s="49">
        <f t="shared" si="629"/>
        <v>524</v>
      </c>
      <c r="V872" s="42">
        <f t="shared" si="629"/>
        <v>234</v>
      </c>
      <c r="W872" s="43">
        <f t="shared" si="629"/>
        <v>267</v>
      </c>
      <c r="X872" s="61">
        <f t="shared" si="629"/>
        <v>1446</v>
      </c>
      <c r="Y872" s="21">
        <f t="shared" si="601"/>
        <v>3208</v>
      </c>
    </row>
    <row r="875" spans="1:27" ht="19.5" thickBot="1" x14ac:dyDescent="0.25">
      <c r="A875" s="2" t="s">
        <v>106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105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7" ht="14.25" thickBot="1" x14ac:dyDescent="0.2">
      <c r="A876" s="5" t="s">
        <v>0</v>
      </c>
      <c r="B876" s="342" t="s">
        <v>18</v>
      </c>
      <c r="C876" s="350"/>
      <c r="D876" s="350"/>
      <c r="E876" s="350"/>
      <c r="F876" s="351"/>
      <c r="G876" s="345" t="s">
        <v>12</v>
      </c>
      <c r="H876" s="352"/>
      <c r="I876" s="352"/>
      <c r="J876" s="352"/>
      <c r="K876" s="353"/>
      <c r="L876" s="354" t="s">
        <v>1</v>
      </c>
      <c r="N876" s="5" t="s">
        <v>0</v>
      </c>
      <c r="O876" s="342" t="s">
        <v>18</v>
      </c>
      <c r="P876" s="350"/>
      <c r="Q876" s="350"/>
      <c r="R876" s="350"/>
      <c r="S876" s="351"/>
      <c r="T876" s="345" t="s">
        <v>12</v>
      </c>
      <c r="U876" s="352"/>
      <c r="V876" s="352"/>
      <c r="W876" s="352"/>
      <c r="X876" s="353"/>
      <c r="Y876" s="354" t="s">
        <v>1</v>
      </c>
    </row>
    <row r="877" spans="1:27" ht="14.25" thickBot="1" x14ac:dyDescent="0.2">
      <c r="A877" s="5" t="s">
        <v>2</v>
      </c>
      <c r="B877" s="3" t="s">
        <v>13</v>
      </c>
      <c r="C877" s="44" t="s">
        <v>14</v>
      </c>
      <c r="D877" s="4" t="s">
        <v>15</v>
      </c>
      <c r="E877" s="23" t="s">
        <v>16</v>
      </c>
      <c r="F877" s="31" t="s">
        <v>3</v>
      </c>
      <c r="G877" s="3" t="s">
        <v>13</v>
      </c>
      <c r="H877" s="44" t="s">
        <v>14</v>
      </c>
      <c r="I877" s="4" t="s">
        <v>15</v>
      </c>
      <c r="J877" s="23" t="s">
        <v>16</v>
      </c>
      <c r="K877" s="31" t="s">
        <v>3</v>
      </c>
      <c r="L877" s="355"/>
      <c r="N877" s="5" t="s">
        <v>2</v>
      </c>
      <c r="O877" s="3" t="s">
        <v>13</v>
      </c>
      <c r="P877" s="44" t="s">
        <v>14</v>
      </c>
      <c r="Q877" s="4" t="s">
        <v>15</v>
      </c>
      <c r="R877" s="23" t="s">
        <v>16</v>
      </c>
      <c r="S877" s="31" t="s">
        <v>3</v>
      </c>
      <c r="T877" s="3" t="s">
        <v>13</v>
      </c>
      <c r="U877" s="44" t="s">
        <v>14</v>
      </c>
      <c r="V877" s="4" t="s">
        <v>15</v>
      </c>
      <c r="W877" s="23" t="s">
        <v>16</v>
      </c>
      <c r="X877" s="31" t="s">
        <v>3</v>
      </c>
      <c r="Y877" s="355"/>
    </row>
    <row r="878" spans="1:27" x14ac:dyDescent="0.15">
      <c r="A878" s="71" t="s">
        <v>17</v>
      </c>
      <c r="B878" s="72">
        <f>B872</f>
        <v>3</v>
      </c>
      <c r="C878" s="73">
        <f t="shared" ref="C878:L878" si="630">C872</f>
        <v>2</v>
      </c>
      <c r="D878" s="73">
        <f t="shared" si="630"/>
        <v>4</v>
      </c>
      <c r="E878" s="74">
        <f t="shared" si="630"/>
        <v>5</v>
      </c>
      <c r="F878" s="76">
        <f t="shared" si="630"/>
        <v>10</v>
      </c>
      <c r="G878" s="72">
        <f t="shared" si="630"/>
        <v>4</v>
      </c>
      <c r="H878" s="73">
        <f t="shared" si="630"/>
        <v>7</v>
      </c>
      <c r="I878" s="73">
        <f t="shared" si="630"/>
        <v>5</v>
      </c>
      <c r="J878" s="74">
        <f t="shared" si="630"/>
        <v>7</v>
      </c>
      <c r="K878" s="75">
        <f t="shared" si="630"/>
        <v>23</v>
      </c>
      <c r="L878" s="16">
        <f t="shared" si="630"/>
        <v>33</v>
      </c>
      <c r="N878" s="71" t="s">
        <v>17</v>
      </c>
      <c r="O878" s="72">
        <f>O872</f>
        <v>525</v>
      </c>
      <c r="P878" s="73">
        <f t="shared" ref="P878:Y878" si="631">P872</f>
        <v>702</v>
      </c>
      <c r="Q878" s="73">
        <f t="shared" si="631"/>
        <v>331</v>
      </c>
      <c r="R878" s="74">
        <f t="shared" si="631"/>
        <v>204</v>
      </c>
      <c r="S878" s="76">
        <f t="shared" si="631"/>
        <v>1762</v>
      </c>
      <c r="T878" s="72">
        <f t="shared" si="631"/>
        <v>421</v>
      </c>
      <c r="U878" s="73">
        <f t="shared" si="631"/>
        <v>524</v>
      </c>
      <c r="V878" s="73">
        <f t="shared" si="631"/>
        <v>234</v>
      </c>
      <c r="W878" s="74">
        <f t="shared" si="631"/>
        <v>267</v>
      </c>
      <c r="X878" s="75">
        <f t="shared" si="631"/>
        <v>1446</v>
      </c>
      <c r="Y878" s="16">
        <f t="shared" si="631"/>
        <v>3208</v>
      </c>
    </row>
    <row r="879" spans="1:27" x14ac:dyDescent="0.15">
      <c r="A879" s="13" t="s">
        <v>5</v>
      </c>
      <c r="B879" s="26">
        <v>3</v>
      </c>
      <c r="C879" s="47">
        <v>3</v>
      </c>
      <c r="D879" s="27">
        <v>3</v>
      </c>
      <c r="E879" s="50"/>
      <c r="F879" s="9">
        <f>SUM(B879:E879)</f>
        <v>9</v>
      </c>
      <c r="G879" s="47"/>
      <c r="H879" s="47"/>
      <c r="I879" s="27"/>
      <c r="J879" s="50"/>
      <c r="K879" s="9">
        <f>SUM(G879:J879)</f>
        <v>0</v>
      </c>
      <c r="L879" s="11">
        <f t="shared" ref="L879:L910" si="632">F879+K879</f>
        <v>9</v>
      </c>
      <c r="M879" s="99">
        <v>45131</v>
      </c>
      <c r="N879" s="13" t="s">
        <v>727</v>
      </c>
      <c r="O879" s="26"/>
      <c r="P879" s="47"/>
      <c r="Q879" s="27">
        <v>-1</v>
      </c>
      <c r="R879" s="34">
        <v>-1</v>
      </c>
      <c r="S879" s="77">
        <f>SUM(O879:R879)</f>
        <v>-2</v>
      </c>
      <c r="T879" s="26"/>
      <c r="U879" s="47"/>
      <c r="V879" s="27">
        <v>1</v>
      </c>
      <c r="W879" s="34">
        <v>-2</v>
      </c>
      <c r="X879" s="9">
        <f>SUM(T879:W879)</f>
        <v>-1</v>
      </c>
      <c r="Y879" s="11">
        <f t="shared" ref="Y879:Y910" si="633">S879+X879</f>
        <v>-3</v>
      </c>
      <c r="Z879" s="126">
        <v>45122</v>
      </c>
    </row>
    <row r="880" spans="1:27" x14ac:dyDescent="0.15">
      <c r="A880" s="13" t="s">
        <v>49</v>
      </c>
      <c r="B880" s="26">
        <v>3</v>
      </c>
      <c r="C880" s="47">
        <v>7</v>
      </c>
      <c r="D880" s="27">
        <v>2</v>
      </c>
      <c r="E880" s="50">
        <v>2</v>
      </c>
      <c r="F880" s="9">
        <f>SUM(B880:E880)</f>
        <v>14</v>
      </c>
      <c r="G880" s="47"/>
      <c r="H880" s="47"/>
      <c r="I880" s="27">
        <v>3</v>
      </c>
      <c r="J880" s="50"/>
      <c r="K880" s="9">
        <f>SUM(G880:J880)</f>
        <v>3</v>
      </c>
      <c r="L880" s="11">
        <f t="shared" si="632"/>
        <v>17</v>
      </c>
      <c r="M880" s="126">
        <v>45133</v>
      </c>
      <c r="N880" s="13" t="s">
        <v>350</v>
      </c>
      <c r="O880" s="26">
        <v>3</v>
      </c>
      <c r="P880" s="47">
        <v>7</v>
      </c>
      <c r="Q880" s="27">
        <v>2</v>
      </c>
      <c r="R880" s="34">
        <v>2</v>
      </c>
      <c r="S880" s="77">
        <f>SUM(O880:R880)</f>
        <v>14</v>
      </c>
      <c r="T880" s="26"/>
      <c r="U880" s="47"/>
      <c r="V880" s="27">
        <v>3</v>
      </c>
      <c r="W880" s="34"/>
      <c r="X880" s="9">
        <f>SUM(T880:W880)</f>
        <v>3</v>
      </c>
      <c r="Y880" s="11">
        <f t="shared" si="633"/>
        <v>17</v>
      </c>
      <c r="Z880" s="126">
        <v>45136</v>
      </c>
    </row>
    <row r="881" spans="1:27" x14ac:dyDescent="0.15">
      <c r="A881" s="13" t="s">
        <v>749</v>
      </c>
      <c r="B881" s="26">
        <v>2</v>
      </c>
      <c r="C881" s="47">
        <v>1</v>
      </c>
      <c r="D881" s="27"/>
      <c r="E881" s="50"/>
      <c r="F881" s="9">
        <f>SUM(B881:E881)</f>
        <v>3</v>
      </c>
      <c r="G881" s="47">
        <v>13</v>
      </c>
      <c r="H881" s="47">
        <v>9</v>
      </c>
      <c r="I881" s="27">
        <v>1</v>
      </c>
      <c r="J881" s="50"/>
      <c r="K881" s="9">
        <f>SUM(G881:J881)</f>
        <v>23</v>
      </c>
      <c r="L881" s="11">
        <f t="shared" si="632"/>
        <v>26</v>
      </c>
      <c r="M881" s="126">
        <v>45141</v>
      </c>
      <c r="N881" s="13" t="s">
        <v>7</v>
      </c>
      <c r="O881" s="26"/>
      <c r="P881" s="47"/>
      <c r="Q881" s="27"/>
      <c r="R881" s="34"/>
      <c r="S881" s="77">
        <f>SUM(O881:R881)</f>
        <v>0</v>
      </c>
      <c r="T881" s="47"/>
      <c r="U881" s="47"/>
      <c r="V881" s="27"/>
      <c r="W881" s="50"/>
      <c r="X881" s="9">
        <f>SUM(T881:W881)</f>
        <v>0</v>
      </c>
      <c r="Y881" s="11">
        <f t="shared" si="633"/>
        <v>0</v>
      </c>
    </row>
    <row r="882" spans="1:27" ht="14.25" thickBot="1" x14ac:dyDescent="0.2">
      <c r="A882" s="13" t="s">
        <v>8</v>
      </c>
      <c r="B882" s="26"/>
      <c r="C882" s="47"/>
      <c r="D882" s="27"/>
      <c r="E882" s="50"/>
      <c r="F882" s="10">
        <f>SUM(B882:E882)</f>
        <v>0</v>
      </c>
      <c r="G882" s="47"/>
      <c r="H882" s="47"/>
      <c r="I882" s="27"/>
      <c r="J882" s="50"/>
      <c r="K882" s="10">
        <f>SUM(G882:J882)</f>
        <v>0</v>
      </c>
      <c r="L882" s="14">
        <f t="shared" si="632"/>
        <v>0</v>
      </c>
      <c r="N882" s="13" t="s">
        <v>8</v>
      </c>
      <c r="O882" s="62"/>
      <c r="P882" s="63"/>
      <c r="Q882" s="64"/>
      <c r="R882" s="65"/>
      <c r="S882" s="78">
        <f>SUM(O882:R882)</f>
        <v>0</v>
      </c>
      <c r="T882" s="47"/>
      <c r="U882" s="47"/>
      <c r="V882" s="27"/>
      <c r="W882" s="50"/>
      <c r="X882" s="10">
        <f>SUM(T882:W882)</f>
        <v>0</v>
      </c>
      <c r="Y882" s="14">
        <f t="shared" si="633"/>
        <v>0</v>
      </c>
    </row>
    <row r="883" spans="1:27" ht="14.25" thickBot="1" x14ac:dyDescent="0.2">
      <c r="A883" s="22" t="s">
        <v>9</v>
      </c>
      <c r="B883" s="51">
        <f t="shared" ref="B883:K883" si="634">SUM(B878:B882)</f>
        <v>11</v>
      </c>
      <c r="C883" s="52">
        <f t="shared" si="634"/>
        <v>13</v>
      </c>
      <c r="D883" s="53">
        <f t="shared" si="634"/>
        <v>9</v>
      </c>
      <c r="E883" s="54">
        <f t="shared" si="634"/>
        <v>7</v>
      </c>
      <c r="F883" s="28">
        <f t="shared" si="634"/>
        <v>36</v>
      </c>
      <c r="G883" s="51">
        <f t="shared" si="634"/>
        <v>17</v>
      </c>
      <c r="H883" s="52">
        <f t="shared" si="634"/>
        <v>16</v>
      </c>
      <c r="I883" s="53">
        <f t="shared" si="634"/>
        <v>9</v>
      </c>
      <c r="J883" s="54">
        <f t="shared" si="634"/>
        <v>7</v>
      </c>
      <c r="K883" s="28">
        <f t="shared" si="634"/>
        <v>49</v>
      </c>
      <c r="L883" s="21">
        <f t="shared" si="632"/>
        <v>85</v>
      </c>
      <c r="N883" s="17" t="s">
        <v>9</v>
      </c>
      <c r="O883" s="41">
        <f>SUM(O878:O882)</f>
        <v>528</v>
      </c>
      <c r="P883" s="49">
        <f t="shared" ref="P883:V883" si="635">SUM(P878:P882)</f>
        <v>709</v>
      </c>
      <c r="Q883" s="42">
        <f t="shared" si="635"/>
        <v>332</v>
      </c>
      <c r="R883" s="92">
        <f t="shared" si="635"/>
        <v>205</v>
      </c>
      <c r="S883" s="93">
        <f t="shared" si="635"/>
        <v>1774</v>
      </c>
      <c r="T883" s="41">
        <f t="shared" si="635"/>
        <v>421</v>
      </c>
      <c r="U883" s="49">
        <f t="shared" si="635"/>
        <v>524</v>
      </c>
      <c r="V883" s="42">
        <f t="shared" si="635"/>
        <v>238</v>
      </c>
      <c r="W883" s="92">
        <f>SUM(W878:W882)</f>
        <v>265</v>
      </c>
      <c r="X883" s="93">
        <f t="shared" ref="X883" si="636">SUM(X878:X882)</f>
        <v>1448</v>
      </c>
      <c r="Y883" s="56">
        <f t="shared" si="633"/>
        <v>3222</v>
      </c>
    </row>
    <row r="884" spans="1:27" x14ac:dyDescent="0.15">
      <c r="A884" s="13" t="s">
        <v>41</v>
      </c>
      <c r="B884" s="24"/>
      <c r="C884" s="46">
        <v>1</v>
      </c>
      <c r="D884" s="25"/>
      <c r="E884" s="33"/>
      <c r="F884" s="35">
        <f>SUM(B884:E884)</f>
        <v>1</v>
      </c>
      <c r="G884" s="24"/>
      <c r="H884" s="46"/>
      <c r="I884" s="25"/>
      <c r="J884" s="33"/>
      <c r="K884" s="35">
        <f>SUM(G884:J884)</f>
        <v>0</v>
      </c>
      <c r="L884" s="11">
        <f t="shared" si="632"/>
        <v>1</v>
      </c>
      <c r="M884" s="126">
        <v>45132</v>
      </c>
      <c r="N884" s="57" t="s">
        <v>717</v>
      </c>
      <c r="O884" s="26"/>
      <c r="P884" s="47">
        <v>10</v>
      </c>
      <c r="Q884" s="27"/>
      <c r="R884" s="34">
        <v>6</v>
      </c>
      <c r="S884" s="35">
        <f t="shared" ref="S884" si="637">SUM(O884:R884)</f>
        <v>16</v>
      </c>
      <c r="T884" s="26"/>
      <c r="U884" s="47">
        <v>10</v>
      </c>
      <c r="V884" s="27">
        <v>6</v>
      </c>
      <c r="W884" s="34"/>
      <c r="X884" s="35">
        <f t="shared" ref="X884" si="638">SUM(T884:W884)</f>
        <v>16</v>
      </c>
      <c r="Y884" s="11">
        <f t="shared" si="633"/>
        <v>32</v>
      </c>
      <c r="Z884" s="99">
        <v>45132</v>
      </c>
    </row>
    <row r="885" spans="1:27" x14ac:dyDescent="0.15">
      <c r="A885" s="13" t="s">
        <v>41</v>
      </c>
      <c r="B885" s="26"/>
      <c r="C885" s="47"/>
      <c r="D885" s="27"/>
      <c r="E885" s="34"/>
      <c r="F885" s="35">
        <f>SUM(B885:E885)</f>
        <v>0</v>
      </c>
      <c r="G885" s="26">
        <v>1</v>
      </c>
      <c r="H885" s="47"/>
      <c r="I885" s="27"/>
      <c r="J885" s="34"/>
      <c r="K885" s="35">
        <f>SUM(G885:J885)</f>
        <v>1</v>
      </c>
      <c r="L885" s="11">
        <f t="shared" si="632"/>
        <v>1</v>
      </c>
      <c r="M885" s="126">
        <v>45133</v>
      </c>
      <c r="N885" s="15" t="s">
        <v>723</v>
      </c>
      <c r="O885" s="26">
        <v>5</v>
      </c>
      <c r="P885" s="47">
        <v>1</v>
      </c>
      <c r="Q885" s="27">
        <v>6</v>
      </c>
      <c r="R885" s="34"/>
      <c r="S885" s="35">
        <f t="shared" ref="S885:S886" si="639">SUM(O885:R885)</f>
        <v>12</v>
      </c>
      <c r="T885" s="26">
        <v>4</v>
      </c>
      <c r="U885" s="47">
        <v>4</v>
      </c>
      <c r="V885" s="27"/>
      <c r="W885" s="34"/>
      <c r="X885" s="35">
        <f t="shared" ref="X885:X886" si="640">SUM(T885:W885)</f>
        <v>8</v>
      </c>
      <c r="Y885" s="11">
        <f t="shared" si="633"/>
        <v>20</v>
      </c>
      <c r="Z885" s="99">
        <v>45122</v>
      </c>
    </row>
    <row r="886" spans="1:27" x14ac:dyDescent="0.15">
      <c r="A886" s="13" t="s">
        <v>41</v>
      </c>
      <c r="B886" s="26"/>
      <c r="C886" s="47"/>
      <c r="D886" s="27"/>
      <c r="E886" s="34"/>
      <c r="F886" s="35">
        <f t="shared" ref="F886:F908" si="641">SUM(B886:E886)</f>
        <v>0</v>
      </c>
      <c r="G886" s="26">
        <v>1</v>
      </c>
      <c r="H886" s="47"/>
      <c r="I886" s="27"/>
      <c r="J886" s="34"/>
      <c r="K886" s="35">
        <f t="shared" ref="K886:K908" si="642">SUM(G886:J886)</f>
        <v>1</v>
      </c>
      <c r="L886" s="11">
        <f t="shared" si="632"/>
        <v>1</v>
      </c>
      <c r="M886" s="126">
        <v>45135</v>
      </c>
      <c r="N886" s="12" t="s">
        <v>724</v>
      </c>
      <c r="O886" s="26">
        <v>5</v>
      </c>
      <c r="P886" s="47"/>
      <c r="Q886" s="27"/>
      <c r="R886" s="34"/>
      <c r="S886" s="35">
        <f t="shared" si="639"/>
        <v>5</v>
      </c>
      <c r="T886" s="26"/>
      <c r="U886" s="47">
        <v>10</v>
      </c>
      <c r="V886" s="27"/>
      <c r="W886" s="34">
        <v>10</v>
      </c>
      <c r="X886" s="35">
        <f t="shared" si="640"/>
        <v>20</v>
      </c>
      <c r="Y886" s="11">
        <f t="shared" si="633"/>
        <v>25</v>
      </c>
      <c r="Z886" s="99">
        <v>45122</v>
      </c>
    </row>
    <row r="887" spans="1:27" x14ac:dyDescent="0.15">
      <c r="A887" s="32" t="s">
        <v>740</v>
      </c>
      <c r="B887" s="66">
        <v>3</v>
      </c>
      <c r="C887" s="67">
        <v>7</v>
      </c>
      <c r="D887" s="68">
        <v>2</v>
      </c>
      <c r="E887" s="69">
        <v>2</v>
      </c>
      <c r="F887" s="70">
        <f t="shared" si="641"/>
        <v>14</v>
      </c>
      <c r="G887" s="66"/>
      <c r="H887" s="67"/>
      <c r="I887" s="68">
        <v>3</v>
      </c>
      <c r="J887" s="69"/>
      <c r="K887" s="70">
        <f t="shared" si="642"/>
        <v>3</v>
      </c>
      <c r="L887" s="11">
        <f t="shared" si="632"/>
        <v>17</v>
      </c>
      <c r="M887" s="126">
        <v>45136</v>
      </c>
      <c r="N887" s="12" t="s">
        <v>726</v>
      </c>
      <c r="O887" s="66"/>
      <c r="P887" s="67">
        <v>15</v>
      </c>
      <c r="Q887" s="68"/>
      <c r="R887" s="94"/>
      <c r="S887" s="91">
        <f>SUM(O887:R887)</f>
        <v>15</v>
      </c>
      <c r="T887" s="67"/>
      <c r="U887" s="67"/>
      <c r="V887" s="68"/>
      <c r="W887" s="94"/>
      <c r="X887" s="91">
        <f>SUM(T887:W887)</f>
        <v>0</v>
      </c>
      <c r="Y887" s="11">
        <f t="shared" si="633"/>
        <v>15</v>
      </c>
      <c r="Z887" s="99">
        <v>45122</v>
      </c>
    </row>
    <row r="888" spans="1:27" x14ac:dyDescent="0.15">
      <c r="A888" s="13"/>
      <c r="B888" s="26"/>
      <c r="C888" s="47"/>
      <c r="D888" s="27"/>
      <c r="E888" s="34"/>
      <c r="F888" s="35">
        <f t="shared" si="641"/>
        <v>0</v>
      </c>
      <c r="G888" s="26"/>
      <c r="H888" s="47"/>
      <c r="I888" s="27"/>
      <c r="J888" s="34"/>
      <c r="K888" s="35">
        <f t="shared" si="642"/>
        <v>0</v>
      </c>
      <c r="L888" s="11">
        <f t="shared" si="632"/>
        <v>0</v>
      </c>
      <c r="N888" s="15" t="s">
        <v>728</v>
      </c>
      <c r="O888" s="26">
        <v>1</v>
      </c>
      <c r="P888" s="47">
        <v>5</v>
      </c>
      <c r="Q888" s="27">
        <v>2</v>
      </c>
      <c r="R888" s="34"/>
      <c r="S888" s="35">
        <f t="shared" ref="S888:S890" si="643">SUM(O888:R888)</f>
        <v>8</v>
      </c>
      <c r="T888" s="26"/>
      <c r="U888" s="47">
        <v>5</v>
      </c>
      <c r="V888" s="27"/>
      <c r="W888" s="34"/>
      <c r="X888" s="35">
        <f t="shared" ref="X888:X890" si="644">SUM(T888:W888)</f>
        <v>5</v>
      </c>
      <c r="Y888" s="11">
        <f t="shared" si="633"/>
        <v>13</v>
      </c>
      <c r="Z888" s="99">
        <v>45126</v>
      </c>
    </row>
    <row r="889" spans="1:27" x14ac:dyDescent="0.15">
      <c r="A889" s="13"/>
      <c r="B889" s="26"/>
      <c r="C889" s="47"/>
      <c r="D889" s="27"/>
      <c r="E889" s="34"/>
      <c r="F889" s="35">
        <f t="shared" si="641"/>
        <v>0</v>
      </c>
      <c r="G889" s="26"/>
      <c r="H889" s="47"/>
      <c r="I889" s="27"/>
      <c r="J889" s="34"/>
      <c r="K889" s="35">
        <f t="shared" si="642"/>
        <v>0</v>
      </c>
      <c r="L889" s="11">
        <f t="shared" si="632"/>
        <v>0</v>
      </c>
      <c r="N889" s="15" t="s">
        <v>729</v>
      </c>
      <c r="O889" s="26">
        <v>2</v>
      </c>
      <c r="P889" s="47">
        <v>2</v>
      </c>
      <c r="Q889" s="27">
        <v>5</v>
      </c>
      <c r="R889" s="34"/>
      <c r="S889" s="35">
        <f t="shared" si="643"/>
        <v>9</v>
      </c>
      <c r="T889" s="26"/>
      <c r="U889" s="47"/>
      <c r="V889" s="27">
        <v>2</v>
      </c>
      <c r="W889" s="34">
        <v>2</v>
      </c>
      <c r="X889" s="35">
        <f t="shared" si="644"/>
        <v>4</v>
      </c>
      <c r="Y889" s="11">
        <f t="shared" si="633"/>
        <v>13</v>
      </c>
      <c r="Z889" s="99">
        <v>45127</v>
      </c>
    </row>
    <row r="890" spans="1:27" x14ac:dyDescent="0.15">
      <c r="A890" s="79"/>
      <c r="B890" s="26"/>
      <c r="C890" s="47"/>
      <c r="D890" s="27"/>
      <c r="E890" s="34"/>
      <c r="F890" s="35">
        <f t="shared" si="641"/>
        <v>0</v>
      </c>
      <c r="G890" s="26"/>
      <c r="H890" s="47"/>
      <c r="I890" s="27"/>
      <c r="J890" s="34"/>
      <c r="K890" s="35">
        <f t="shared" si="642"/>
        <v>0</v>
      </c>
      <c r="L890" s="11">
        <f t="shared" si="632"/>
        <v>0</v>
      </c>
      <c r="N890" s="15" t="s">
        <v>730</v>
      </c>
      <c r="O890" s="26">
        <v>2</v>
      </c>
      <c r="P890" s="47">
        <v>6</v>
      </c>
      <c r="Q890" s="27">
        <v>4</v>
      </c>
      <c r="R890" s="34">
        <v>3</v>
      </c>
      <c r="S890" s="35">
        <f t="shared" si="643"/>
        <v>15</v>
      </c>
      <c r="T890" s="26">
        <v>2</v>
      </c>
      <c r="U890" s="47">
        <v>2</v>
      </c>
      <c r="V890" s="27"/>
      <c r="W890" s="34">
        <v>2</v>
      </c>
      <c r="X890" s="35">
        <f t="shared" si="644"/>
        <v>6</v>
      </c>
      <c r="Y890" s="11">
        <f t="shared" si="633"/>
        <v>21</v>
      </c>
      <c r="Z890" s="99">
        <v>45128</v>
      </c>
    </row>
    <row r="891" spans="1:27" x14ac:dyDescent="0.15">
      <c r="A891" s="32"/>
      <c r="B891" s="26"/>
      <c r="C891" s="47"/>
      <c r="D891" s="27"/>
      <c r="E891" s="34"/>
      <c r="F891" s="35">
        <f t="shared" si="641"/>
        <v>0</v>
      </c>
      <c r="G891" s="26"/>
      <c r="H891" s="47"/>
      <c r="I891" s="27"/>
      <c r="J891" s="34"/>
      <c r="K891" s="35">
        <f t="shared" si="642"/>
        <v>0</v>
      </c>
      <c r="L891" s="11">
        <f t="shared" si="632"/>
        <v>0</v>
      </c>
      <c r="N891" s="15" t="s">
        <v>733</v>
      </c>
      <c r="O891" s="26">
        <v>4</v>
      </c>
      <c r="P891" s="47"/>
      <c r="Q891" s="27"/>
      <c r="R891" s="50"/>
      <c r="S891" s="9">
        <f>SUM(O891:R891)</f>
        <v>4</v>
      </c>
      <c r="T891" s="47"/>
      <c r="U891" s="47"/>
      <c r="V891" s="27"/>
      <c r="W891" s="50"/>
      <c r="X891" s="9">
        <f>SUM(T891:W891)</f>
        <v>0</v>
      </c>
      <c r="Y891" s="11">
        <f t="shared" si="633"/>
        <v>4</v>
      </c>
      <c r="Z891" s="99">
        <v>45131</v>
      </c>
      <c r="AA891" s="58"/>
    </row>
    <row r="892" spans="1:27" x14ac:dyDescent="0.15">
      <c r="A892" s="13"/>
      <c r="B892" s="26"/>
      <c r="C892" s="47"/>
      <c r="D892" s="27"/>
      <c r="E892" s="34"/>
      <c r="F892" s="35">
        <f t="shared" si="641"/>
        <v>0</v>
      </c>
      <c r="G892" s="26"/>
      <c r="H892" s="47"/>
      <c r="I892" s="27"/>
      <c r="J892" s="34"/>
      <c r="K892" s="35">
        <f t="shared" si="642"/>
        <v>0</v>
      </c>
      <c r="L892" s="11">
        <f t="shared" si="632"/>
        <v>0</v>
      </c>
      <c r="N892" s="15" t="s">
        <v>734</v>
      </c>
      <c r="O892" s="26">
        <v>3</v>
      </c>
      <c r="P892" s="47">
        <v>3</v>
      </c>
      <c r="Q892" s="27">
        <v>3</v>
      </c>
      <c r="R892" s="34"/>
      <c r="S892" s="35">
        <f>SUM(O892:R892)</f>
        <v>9</v>
      </c>
      <c r="T892" s="26"/>
      <c r="U892" s="47"/>
      <c r="V892" s="27"/>
      <c r="W892" s="34"/>
      <c r="X892" s="35">
        <f>SUM(T892:W892)</f>
        <v>0</v>
      </c>
      <c r="Y892" s="11">
        <f t="shared" si="633"/>
        <v>9</v>
      </c>
      <c r="Z892" s="99">
        <v>45131</v>
      </c>
    </row>
    <row r="893" spans="1:27" x14ac:dyDescent="0.15">
      <c r="A893" s="32"/>
      <c r="B893" s="26"/>
      <c r="C893" s="47"/>
      <c r="D893" s="27"/>
      <c r="E893" s="34"/>
      <c r="F893" s="35">
        <f t="shared" si="641"/>
        <v>0</v>
      </c>
      <c r="G893" s="26"/>
      <c r="H893" s="47"/>
      <c r="I893" s="27"/>
      <c r="J893" s="34"/>
      <c r="K893" s="35">
        <f t="shared" si="642"/>
        <v>0</v>
      </c>
      <c r="L893" s="11">
        <f t="shared" si="632"/>
        <v>0</v>
      </c>
      <c r="N893" s="15" t="s">
        <v>735</v>
      </c>
      <c r="O893" s="26">
        <v>4</v>
      </c>
      <c r="P893" s="47">
        <v>9</v>
      </c>
      <c r="Q893" s="27">
        <v>2</v>
      </c>
      <c r="R893" s="34"/>
      <c r="S893" s="35">
        <f t="shared" ref="S893:S909" si="645">SUM(O893:R893)</f>
        <v>15</v>
      </c>
      <c r="T893" s="26"/>
      <c r="U893" s="47">
        <v>3</v>
      </c>
      <c r="V893" s="27">
        <v>1</v>
      </c>
      <c r="W893" s="34">
        <v>1</v>
      </c>
      <c r="X893" s="35">
        <f t="shared" ref="X893:X909" si="646">SUM(T893:W893)</f>
        <v>5</v>
      </c>
      <c r="Y893" s="11">
        <f t="shared" si="633"/>
        <v>20</v>
      </c>
      <c r="Z893" s="99">
        <v>45132</v>
      </c>
    </row>
    <row r="894" spans="1:27" x14ac:dyDescent="0.15">
      <c r="A894" s="15"/>
      <c r="B894" s="26"/>
      <c r="C894" s="47"/>
      <c r="D894" s="27"/>
      <c r="E894" s="34"/>
      <c r="F894" s="35">
        <f t="shared" si="641"/>
        <v>0</v>
      </c>
      <c r="G894" s="26"/>
      <c r="H894" s="47"/>
      <c r="I894" s="27"/>
      <c r="J894" s="34"/>
      <c r="K894" s="35">
        <f t="shared" si="642"/>
        <v>0</v>
      </c>
      <c r="L894" s="11">
        <f t="shared" si="632"/>
        <v>0</v>
      </c>
      <c r="N894" s="15" t="s">
        <v>736</v>
      </c>
      <c r="O894" s="26">
        <v>2</v>
      </c>
      <c r="P894" s="47">
        <v>3</v>
      </c>
      <c r="Q894" s="27"/>
      <c r="R894" s="34">
        <v>4</v>
      </c>
      <c r="S894" s="35">
        <f t="shared" si="645"/>
        <v>9</v>
      </c>
      <c r="T894" s="26"/>
      <c r="U894" s="47"/>
      <c r="V894" s="27"/>
      <c r="W894" s="34">
        <v>1</v>
      </c>
      <c r="X894" s="35">
        <f t="shared" si="646"/>
        <v>1</v>
      </c>
      <c r="Y894" s="11">
        <f t="shared" si="633"/>
        <v>10</v>
      </c>
      <c r="Z894" s="99">
        <v>45133</v>
      </c>
    </row>
    <row r="895" spans="1:27" x14ac:dyDescent="0.15">
      <c r="A895" s="13"/>
      <c r="B895" s="26"/>
      <c r="C895" s="47"/>
      <c r="D895" s="27"/>
      <c r="E895" s="34"/>
      <c r="F895" s="35">
        <f t="shared" si="641"/>
        <v>0</v>
      </c>
      <c r="G895" s="26"/>
      <c r="H895" s="47"/>
      <c r="I895" s="27"/>
      <c r="J895" s="34"/>
      <c r="K895" s="35">
        <f t="shared" si="642"/>
        <v>0</v>
      </c>
      <c r="L895" s="11">
        <f t="shared" si="632"/>
        <v>0</v>
      </c>
      <c r="N895" s="15" t="s">
        <v>737</v>
      </c>
      <c r="O895" s="26">
        <v>7</v>
      </c>
      <c r="P895" s="47">
        <v>2</v>
      </c>
      <c r="Q895" s="27">
        <v>8</v>
      </c>
      <c r="R895" s="34">
        <v>1</v>
      </c>
      <c r="S895" s="35">
        <f t="shared" si="645"/>
        <v>18</v>
      </c>
      <c r="T895" s="26"/>
      <c r="U895" s="47">
        <v>2</v>
      </c>
      <c r="V895" s="27">
        <v>1</v>
      </c>
      <c r="W895" s="34">
        <v>2</v>
      </c>
      <c r="X895" s="35">
        <f t="shared" si="646"/>
        <v>5</v>
      </c>
      <c r="Y895" s="11">
        <f t="shared" si="633"/>
        <v>23</v>
      </c>
      <c r="Z895" s="99">
        <v>45134</v>
      </c>
    </row>
    <row r="896" spans="1:27" x14ac:dyDescent="0.15">
      <c r="A896" s="15"/>
      <c r="B896" s="26"/>
      <c r="C896" s="47"/>
      <c r="D896" s="27"/>
      <c r="E896" s="34"/>
      <c r="F896" s="35">
        <f t="shared" si="641"/>
        <v>0</v>
      </c>
      <c r="G896" s="26"/>
      <c r="H896" s="47"/>
      <c r="I896" s="27"/>
      <c r="J896" s="34"/>
      <c r="K896" s="35">
        <f t="shared" si="642"/>
        <v>0</v>
      </c>
      <c r="L896" s="11">
        <f t="shared" si="632"/>
        <v>0</v>
      </c>
      <c r="N896" s="15" t="s">
        <v>738</v>
      </c>
      <c r="O896" s="26"/>
      <c r="P896" s="47">
        <v>2</v>
      </c>
      <c r="Q896" s="27">
        <v>2</v>
      </c>
      <c r="R896" s="34">
        <v>1</v>
      </c>
      <c r="S896" s="35">
        <f t="shared" si="645"/>
        <v>5</v>
      </c>
      <c r="T896" s="26"/>
      <c r="U896" s="47">
        <v>2</v>
      </c>
      <c r="V896" s="27">
        <v>1</v>
      </c>
      <c r="W896" s="34"/>
      <c r="X896" s="35">
        <f t="shared" si="646"/>
        <v>3</v>
      </c>
      <c r="Y896" s="11">
        <f t="shared" si="633"/>
        <v>8</v>
      </c>
      <c r="Z896" s="99">
        <v>45135</v>
      </c>
    </row>
    <row r="897" spans="1:26" x14ac:dyDescent="0.15">
      <c r="A897" s="13"/>
      <c r="B897" s="26"/>
      <c r="C897" s="47"/>
      <c r="D897" s="27"/>
      <c r="E897" s="34"/>
      <c r="F897" s="35">
        <f t="shared" si="641"/>
        <v>0</v>
      </c>
      <c r="G897" s="26"/>
      <c r="H897" s="47"/>
      <c r="I897" s="27"/>
      <c r="J897" s="34"/>
      <c r="K897" s="35">
        <f t="shared" si="642"/>
        <v>0</v>
      </c>
      <c r="L897" s="11">
        <f t="shared" si="632"/>
        <v>0</v>
      </c>
      <c r="N897" s="15" t="s">
        <v>739</v>
      </c>
      <c r="O897" s="26">
        <v>1</v>
      </c>
      <c r="P897" s="47">
        <v>1</v>
      </c>
      <c r="Q897" s="27">
        <v>2</v>
      </c>
      <c r="R897" s="34">
        <v>1</v>
      </c>
      <c r="S897" s="35">
        <f t="shared" si="645"/>
        <v>5</v>
      </c>
      <c r="T897" s="26">
        <v>1</v>
      </c>
      <c r="U897" s="47">
        <v>3</v>
      </c>
      <c r="V897" s="27">
        <v>1</v>
      </c>
      <c r="W897" s="34">
        <v>1</v>
      </c>
      <c r="X897" s="35">
        <f t="shared" si="646"/>
        <v>6</v>
      </c>
      <c r="Y897" s="11">
        <f t="shared" si="633"/>
        <v>11</v>
      </c>
      <c r="Z897" s="99">
        <v>45138</v>
      </c>
    </row>
    <row r="898" spans="1:26" x14ac:dyDescent="0.15">
      <c r="A898" s="15"/>
      <c r="B898" s="26"/>
      <c r="C898" s="47"/>
      <c r="D898" s="27"/>
      <c r="E898" s="34"/>
      <c r="F898" s="35">
        <f t="shared" si="641"/>
        <v>0</v>
      </c>
      <c r="G898" s="26"/>
      <c r="H898" s="47"/>
      <c r="I898" s="27"/>
      <c r="J898" s="34"/>
      <c r="K898" s="35">
        <f t="shared" si="642"/>
        <v>0</v>
      </c>
      <c r="L898" s="11">
        <f t="shared" si="632"/>
        <v>0</v>
      </c>
      <c r="N898" s="15" t="s">
        <v>741</v>
      </c>
      <c r="O898" s="26">
        <v>8</v>
      </c>
      <c r="P898" s="47">
        <v>1</v>
      </c>
      <c r="Q898" s="27"/>
      <c r="R898" s="34">
        <v>1</v>
      </c>
      <c r="S898" s="35">
        <f t="shared" si="645"/>
        <v>10</v>
      </c>
      <c r="T898" s="26">
        <v>1</v>
      </c>
      <c r="U898" s="47">
        <v>5</v>
      </c>
      <c r="V898" s="27">
        <v>2</v>
      </c>
      <c r="W898" s="34"/>
      <c r="X898" s="35">
        <f t="shared" si="646"/>
        <v>8</v>
      </c>
      <c r="Y898" s="11">
        <f t="shared" si="633"/>
        <v>18</v>
      </c>
      <c r="Z898" s="99">
        <v>45139</v>
      </c>
    </row>
    <row r="899" spans="1:26" x14ac:dyDescent="0.15">
      <c r="A899" s="13"/>
      <c r="B899" s="26"/>
      <c r="C899" s="47"/>
      <c r="D899" s="27"/>
      <c r="E899" s="34"/>
      <c r="F899" s="35">
        <f t="shared" si="641"/>
        <v>0</v>
      </c>
      <c r="G899" s="26"/>
      <c r="H899" s="47"/>
      <c r="I899" s="27"/>
      <c r="J899" s="34"/>
      <c r="K899" s="35">
        <f t="shared" si="642"/>
        <v>0</v>
      </c>
      <c r="L899" s="11">
        <f t="shared" si="632"/>
        <v>0</v>
      </c>
      <c r="N899" s="15" t="s">
        <v>34</v>
      </c>
      <c r="O899" s="26"/>
      <c r="P899" s="47"/>
      <c r="Q899" s="27"/>
      <c r="R899" s="34"/>
      <c r="S899" s="35">
        <f t="shared" si="645"/>
        <v>0</v>
      </c>
      <c r="T899" s="26">
        <v>5</v>
      </c>
      <c r="U899" s="47"/>
      <c r="V899" s="27"/>
      <c r="W899" s="34"/>
      <c r="X899" s="35">
        <f t="shared" si="646"/>
        <v>5</v>
      </c>
      <c r="Y899" s="11">
        <f t="shared" si="633"/>
        <v>5</v>
      </c>
      <c r="Z899" s="99">
        <v>45139</v>
      </c>
    </row>
    <row r="900" spans="1:26" x14ac:dyDescent="0.15">
      <c r="A900" s="15"/>
      <c r="B900" s="26"/>
      <c r="C900" s="47"/>
      <c r="D900" s="27"/>
      <c r="E900" s="34"/>
      <c r="F900" s="35">
        <f t="shared" si="641"/>
        <v>0</v>
      </c>
      <c r="G900" s="26"/>
      <c r="H900" s="47"/>
      <c r="I900" s="27"/>
      <c r="J900" s="34"/>
      <c r="K900" s="35">
        <f t="shared" si="642"/>
        <v>0</v>
      </c>
      <c r="L900" s="11">
        <f t="shared" si="632"/>
        <v>0</v>
      </c>
      <c r="N900" s="15" t="s">
        <v>742</v>
      </c>
      <c r="O900" s="26">
        <v>1</v>
      </c>
      <c r="P900" s="47">
        <v>3</v>
      </c>
      <c r="Q900" s="27">
        <v>2</v>
      </c>
      <c r="R900" s="34">
        <v>1</v>
      </c>
      <c r="S900" s="35">
        <f t="shared" si="645"/>
        <v>7</v>
      </c>
      <c r="T900" s="26"/>
      <c r="U900" s="47">
        <v>1</v>
      </c>
      <c r="V900" s="27">
        <v>2</v>
      </c>
      <c r="W900" s="34"/>
      <c r="X900" s="35">
        <f t="shared" si="646"/>
        <v>3</v>
      </c>
      <c r="Y900" s="11">
        <f t="shared" si="633"/>
        <v>10</v>
      </c>
      <c r="Z900" s="99">
        <v>45140</v>
      </c>
    </row>
    <row r="901" spans="1:26" x14ac:dyDescent="0.15">
      <c r="A901" s="15"/>
      <c r="B901" s="26"/>
      <c r="C901" s="47"/>
      <c r="D901" s="27"/>
      <c r="E901" s="34"/>
      <c r="F901" s="35">
        <f t="shared" si="641"/>
        <v>0</v>
      </c>
      <c r="G901" s="26"/>
      <c r="H901" s="47"/>
      <c r="I901" s="27"/>
      <c r="J901" s="34"/>
      <c r="K901" s="35">
        <f t="shared" si="642"/>
        <v>0</v>
      </c>
      <c r="L901" s="11">
        <f t="shared" si="632"/>
        <v>0</v>
      </c>
      <c r="N901" s="57" t="s">
        <v>746</v>
      </c>
      <c r="O901" s="26"/>
      <c r="P901" s="47"/>
      <c r="Q901" s="27"/>
      <c r="R901" s="34">
        <v>8</v>
      </c>
      <c r="S901" s="35">
        <f t="shared" si="645"/>
        <v>8</v>
      </c>
      <c r="T901" s="26"/>
      <c r="U901" s="47"/>
      <c r="V901" s="27"/>
      <c r="W901" s="34"/>
      <c r="X901" s="35">
        <f t="shared" si="646"/>
        <v>0</v>
      </c>
      <c r="Y901" s="11">
        <f t="shared" si="633"/>
        <v>8</v>
      </c>
      <c r="Z901" s="99">
        <v>45142</v>
      </c>
    </row>
    <row r="902" spans="1:26" x14ac:dyDescent="0.15">
      <c r="A902" s="13"/>
      <c r="B902" s="26"/>
      <c r="C902" s="47"/>
      <c r="D902" s="27"/>
      <c r="E902" s="34"/>
      <c r="F902" s="35">
        <f t="shared" si="641"/>
        <v>0</v>
      </c>
      <c r="G902" s="26"/>
      <c r="H902" s="47"/>
      <c r="I902" s="27"/>
      <c r="J902" s="34"/>
      <c r="K902" s="35">
        <f t="shared" si="642"/>
        <v>0</v>
      </c>
      <c r="L902" s="11">
        <f t="shared" si="632"/>
        <v>0</v>
      </c>
      <c r="N902" s="15" t="s">
        <v>743</v>
      </c>
      <c r="O902" s="26">
        <v>4</v>
      </c>
      <c r="P902" s="47">
        <v>4</v>
      </c>
      <c r="Q902" s="27"/>
      <c r="R902" s="34">
        <v>1</v>
      </c>
      <c r="S902" s="35">
        <f t="shared" si="645"/>
        <v>9</v>
      </c>
      <c r="T902" s="26">
        <v>5</v>
      </c>
      <c r="U902" s="47"/>
      <c r="V902" s="27">
        <v>1</v>
      </c>
      <c r="W902" s="34"/>
      <c r="X902" s="35">
        <f t="shared" si="646"/>
        <v>6</v>
      </c>
      <c r="Y902" s="11">
        <f t="shared" si="633"/>
        <v>15</v>
      </c>
      <c r="Z902" s="99">
        <v>45141</v>
      </c>
    </row>
    <row r="903" spans="1:26" x14ac:dyDescent="0.15">
      <c r="A903" s="32"/>
      <c r="B903" s="26"/>
      <c r="C903" s="47"/>
      <c r="D903" s="27"/>
      <c r="E903" s="34"/>
      <c r="F903" s="35">
        <f t="shared" si="641"/>
        <v>0</v>
      </c>
      <c r="G903" s="26"/>
      <c r="H903" s="47"/>
      <c r="I903" s="27"/>
      <c r="J903" s="34"/>
      <c r="K903" s="35">
        <f t="shared" si="642"/>
        <v>0</v>
      </c>
      <c r="L903" s="11">
        <f t="shared" si="632"/>
        <v>0</v>
      </c>
      <c r="N903" s="15"/>
      <c r="O903" s="26"/>
      <c r="P903" s="47"/>
      <c r="Q903" s="27"/>
      <c r="R903" s="34"/>
      <c r="S903" s="35">
        <f t="shared" si="645"/>
        <v>0</v>
      </c>
      <c r="T903" s="26"/>
      <c r="U903" s="47"/>
      <c r="V903" s="27"/>
      <c r="W903" s="34"/>
      <c r="X903" s="35">
        <f t="shared" si="646"/>
        <v>0</v>
      </c>
      <c r="Y903" s="11">
        <f t="shared" si="633"/>
        <v>0</v>
      </c>
    </row>
    <row r="904" spans="1:26" x14ac:dyDescent="0.15">
      <c r="A904" s="32"/>
      <c r="B904" s="26"/>
      <c r="C904" s="47"/>
      <c r="D904" s="27"/>
      <c r="E904" s="34"/>
      <c r="F904" s="35">
        <f t="shared" si="641"/>
        <v>0</v>
      </c>
      <c r="G904" s="26"/>
      <c r="H904" s="47"/>
      <c r="I904" s="27"/>
      <c r="J904" s="34"/>
      <c r="K904" s="35">
        <f t="shared" si="642"/>
        <v>0</v>
      </c>
      <c r="L904" s="11">
        <f t="shared" si="632"/>
        <v>0</v>
      </c>
      <c r="N904" s="57" t="s">
        <v>675</v>
      </c>
      <c r="O904" s="26"/>
      <c r="P904" s="47"/>
      <c r="Q904" s="27"/>
      <c r="R904" s="34"/>
      <c r="S904" s="221">
        <f t="shared" si="645"/>
        <v>0</v>
      </c>
      <c r="T904" s="26"/>
      <c r="U904" s="47"/>
      <c r="V904" s="27"/>
      <c r="W904" s="34"/>
      <c r="X904" s="221">
        <f t="shared" si="646"/>
        <v>0</v>
      </c>
      <c r="Y904" s="11">
        <f t="shared" si="633"/>
        <v>0</v>
      </c>
      <c r="Z904" s="101" t="s">
        <v>676</v>
      </c>
    </row>
    <row r="905" spans="1:26" x14ac:dyDescent="0.15">
      <c r="A905" s="12"/>
      <c r="B905" s="26"/>
      <c r="C905" s="47"/>
      <c r="D905" s="27"/>
      <c r="E905" s="34"/>
      <c r="F905" s="35">
        <f t="shared" si="641"/>
        <v>0</v>
      </c>
      <c r="G905" s="26"/>
      <c r="H905" s="47"/>
      <c r="I905" s="27"/>
      <c r="J905" s="34"/>
      <c r="K905" s="35">
        <f t="shared" si="642"/>
        <v>0</v>
      </c>
      <c r="L905" s="11">
        <f t="shared" si="632"/>
        <v>0</v>
      </c>
      <c r="N905" s="57" t="s">
        <v>653</v>
      </c>
      <c r="O905" s="66"/>
      <c r="P905" s="67"/>
      <c r="Q905" s="68"/>
      <c r="R905" s="69"/>
      <c r="S905" s="70">
        <f t="shared" si="645"/>
        <v>0</v>
      </c>
      <c r="T905" s="66"/>
      <c r="U905" s="67"/>
      <c r="V905" s="68"/>
      <c r="W905" s="69"/>
      <c r="X905" s="70">
        <f t="shared" si="646"/>
        <v>0</v>
      </c>
      <c r="Y905" s="11">
        <f t="shared" si="633"/>
        <v>0</v>
      </c>
      <c r="Z905" s="101" t="s">
        <v>654</v>
      </c>
    </row>
    <row r="906" spans="1:26" x14ac:dyDescent="0.15">
      <c r="A906" s="79"/>
      <c r="B906" s="26"/>
      <c r="C906" s="47"/>
      <c r="D906" s="27"/>
      <c r="E906" s="34"/>
      <c r="F906" s="35">
        <f t="shared" si="641"/>
        <v>0</v>
      </c>
      <c r="G906" s="26"/>
      <c r="H906" s="47"/>
      <c r="I906" s="27"/>
      <c r="J906" s="34"/>
      <c r="K906" s="35">
        <f t="shared" si="642"/>
        <v>0</v>
      </c>
      <c r="L906" s="11">
        <f t="shared" si="632"/>
        <v>0</v>
      </c>
      <c r="N906" s="57" t="s">
        <v>671</v>
      </c>
      <c r="O906" s="66"/>
      <c r="P906" s="67"/>
      <c r="Q906" s="68"/>
      <c r="R906" s="69"/>
      <c r="S906" s="70">
        <f t="shared" si="645"/>
        <v>0</v>
      </c>
      <c r="T906" s="66"/>
      <c r="U906" s="67"/>
      <c r="V906" s="68"/>
      <c r="W906" s="69"/>
      <c r="X906" s="70">
        <f t="shared" si="646"/>
        <v>0</v>
      </c>
      <c r="Y906" s="11">
        <f t="shared" si="633"/>
        <v>0</v>
      </c>
      <c r="Z906" s="99" t="s">
        <v>672</v>
      </c>
    </row>
    <row r="907" spans="1:26" x14ac:dyDescent="0.15">
      <c r="A907" s="57"/>
      <c r="B907" s="26"/>
      <c r="C907" s="47"/>
      <c r="D907" s="27"/>
      <c r="E907" s="34"/>
      <c r="F907" s="35">
        <f t="shared" si="641"/>
        <v>0</v>
      </c>
      <c r="G907" s="26"/>
      <c r="H907" s="47"/>
      <c r="I907" s="27"/>
      <c r="J907" s="34"/>
      <c r="K907" s="35">
        <f t="shared" si="642"/>
        <v>0</v>
      </c>
      <c r="L907" s="11">
        <f t="shared" si="632"/>
        <v>0</v>
      </c>
      <c r="N907" s="57" t="s">
        <v>692</v>
      </c>
      <c r="O907" s="66"/>
      <c r="P907" s="67"/>
      <c r="Q907" s="68"/>
      <c r="R907" s="69"/>
      <c r="S907" s="70">
        <f t="shared" ref="S907:S908" si="647">SUM(O907:R907)</f>
        <v>0</v>
      </c>
      <c r="T907" s="66"/>
      <c r="U907" s="67"/>
      <c r="V907" s="68"/>
      <c r="W907" s="69"/>
      <c r="X907" s="70">
        <f t="shared" ref="X907:X908" si="648">SUM(T907:W907)</f>
        <v>0</v>
      </c>
      <c r="Y907" s="11">
        <f t="shared" ref="Y907:Y908" si="649">S907+X907</f>
        <v>0</v>
      </c>
      <c r="Z907" s="101" t="s">
        <v>691</v>
      </c>
    </row>
    <row r="908" spans="1:26" ht="14.25" thickBot="1" x14ac:dyDescent="0.2">
      <c r="A908" s="90"/>
      <c r="B908" s="62"/>
      <c r="C908" s="63"/>
      <c r="D908" s="64"/>
      <c r="E908" s="65"/>
      <c r="F908" s="35">
        <f t="shared" si="641"/>
        <v>0</v>
      </c>
      <c r="G908" s="62"/>
      <c r="H908" s="63"/>
      <c r="I908" s="64"/>
      <c r="J908" s="65"/>
      <c r="K908" s="35">
        <f t="shared" si="642"/>
        <v>0</v>
      </c>
      <c r="L908" s="14">
        <f t="shared" si="632"/>
        <v>0</v>
      </c>
      <c r="N908" s="135" t="s">
        <v>683</v>
      </c>
      <c r="O908" s="62"/>
      <c r="P908" s="63"/>
      <c r="Q908" s="64"/>
      <c r="R908" s="65"/>
      <c r="S908" s="120">
        <f t="shared" si="647"/>
        <v>0</v>
      </c>
      <c r="T908" s="62"/>
      <c r="U908" s="63"/>
      <c r="V908" s="64"/>
      <c r="W908" s="65"/>
      <c r="X908" s="120">
        <f t="shared" si="648"/>
        <v>0</v>
      </c>
      <c r="Y908" s="121">
        <f t="shared" si="649"/>
        <v>0</v>
      </c>
      <c r="Z908" s="99" t="s">
        <v>672</v>
      </c>
    </row>
    <row r="909" spans="1:26" ht="14.25" thickBot="1" x14ac:dyDescent="0.2">
      <c r="A909" s="17" t="s">
        <v>10</v>
      </c>
      <c r="B909" s="38">
        <f>SUM(B884:B908)</f>
        <v>3</v>
      </c>
      <c r="C909" s="48">
        <f>SUM(C884:C908)</f>
        <v>8</v>
      </c>
      <c r="D909" s="39">
        <f>SUM(D884:D908)</f>
        <v>2</v>
      </c>
      <c r="E909" s="40">
        <f>SUM(E884:E908)</f>
        <v>2</v>
      </c>
      <c r="F909" s="36">
        <f>SUM(B909:E909)</f>
        <v>15</v>
      </c>
      <c r="G909" s="38">
        <f>SUM(G884:G908)</f>
        <v>2</v>
      </c>
      <c r="H909" s="48">
        <f>SUM(H884:H908)</f>
        <v>0</v>
      </c>
      <c r="I909" s="39">
        <f>SUM(I884:I908)</f>
        <v>3</v>
      </c>
      <c r="J909" s="40">
        <f>SUM(J884:J908)</f>
        <v>0</v>
      </c>
      <c r="K909" s="36">
        <f>SUM(G909:J909)</f>
        <v>5</v>
      </c>
      <c r="L909" s="37">
        <f t="shared" si="632"/>
        <v>20</v>
      </c>
      <c r="N909" s="133" t="s">
        <v>10</v>
      </c>
      <c r="O909" s="38">
        <f>SUM(O884:O908)</f>
        <v>49</v>
      </c>
      <c r="P909" s="48">
        <f>SUM(P884:P908)</f>
        <v>67</v>
      </c>
      <c r="Q909" s="39">
        <f>SUM(Q884:Q908)</f>
        <v>36</v>
      </c>
      <c r="R909" s="40">
        <f>SUM(R884:R908)</f>
        <v>27</v>
      </c>
      <c r="S909" s="118">
        <f t="shared" si="645"/>
        <v>179</v>
      </c>
      <c r="T909" s="38">
        <f>SUM(T884:T908)</f>
        <v>18</v>
      </c>
      <c r="U909" s="48">
        <f>SUM(U884:U908)</f>
        <v>47</v>
      </c>
      <c r="V909" s="39">
        <f>SUM(V884:V908)</f>
        <v>17</v>
      </c>
      <c r="W909" s="40">
        <f>SUM(W884:W908)</f>
        <v>19</v>
      </c>
      <c r="X909" s="118">
        <f t="shared" si="646"/>
        <v>101</v>
      </c>
      <c r="Y909" s="119">
        <f t="shared" si="633"/>
        <v>280</v>
      </c>
    </row>
    <row r="910" spans="1:26" ht="14.25" thickBot="1" x14ac:dyDescent="0.2">
      <c r="A910" s="22" t="s">
        <v>11</v>
      </c>
      <c r="B910" s="41">
        <f>B883-B909</f>
        <v>8</v>
      </c>
      <c r="C910" s="49">
        <f>C883-C909</f>
        <v>5</v>
      </c>
      <c r="D910" s="42">
        <f t="shared" ref="D910:K910" si="650">D883-D909</f>
        <v>7</v>
      </c>
      <c r="E910" s="43">
        <f t="shared" si="650"/>
        <v>5</v>
      </c>
      <c r="F910" s="61">
        <f t="shared" si="650"/>
        <v>21</v>
      </c>
      <c r="G910" s="41">
        <f t="shared" si="650"/>
        <v>15</v>
      </c>
      <c r="H910" s="49">
        <f t="shared" si="650"/>
        <v>16</v>
      </c>
      <c r="I910" s="42">
        <f t="shared" si="650"/>
        <v>6</v>
      </c>
      <c r="J910" s="43">
        <f t="shared" si="650"/>
        <v>7</v>
      </c>
      <c r="K910" s="61">
        <f t="shared" si="650"/>
        <v>44</v>
      </c>
      <c r="L910" s="21">
        <f t="shared" si="632"/>
        <v>65</v>
      </c>
      <c r="N910" s="17" t="s">
        <v>11</v>
      </c>
      <c r="O910" s="41">
        <f>O883-O909</f>
        <v>479</v>
      </c>
      <c r="P910" s="49">
        <f t="shared" ref="P910:X910" si="651">P883-P909</f>
        <v>642</v>
      </c>
      <c r="Q910" s="42">
        <f t="shared" si="651"/>
        <v>296</v>
      </c>
      <c r="R910" s="43">
        <f t="shared" si="651"/>
        <v>178</v>
      </c>
      <c r="S910" s="61">
        <f t="shared" si="651"/>
        <v>1595</v>
      </c>
      <c r="T910" s="41">
        <f t="shared" si="651"/>
        <v>403</v>
      </c>
      <c r="U910" s="49">
        <f t="shared" si="651"/>
        <v>477</v>
      </c>
      <c r="V910" s="42">
        <f t="shared" si="651"/>
        <v>221</v>
      </c>
      <c r="W910" s="43">
        <f t="shared" si="651"/>
        <v>246</v>
      </c>
      <c r="X910" s="61">
        <f t="shared" si="651"/>
        <v>1347</v>
      </c>
      <c r="Y910" s="21">
        <f t="shared" si="633"/>
        <v>2942</v>
      </c>
    </row>
    <row r="911" spans="1:26" x14ac:dyDescent="0.15">
      <c r="N911" s="200">
        <v>45142</v>
      </c>
      <c r="O911" s="218">
        <f>O909+O871+O835</f>
        <v>2873</v>
      </c>
      <c r="P911" s="218">
        <f t="shared" ref="P911:Y911" si="652">P909+P871+P835</f>
        <v>3469</v>
      </c>
      <c r="Q911" s="218">
        <f t="shared" si="652"/>
        <v>2130</v>
      </c>
      <c r="R911" s="218">
        <f t="shared" si="652"/>
        <v>1175</v>
      </c>
      <c r="S911" s="218">
        <f t="shared" si="652"/>
        <v>9647</v>
      </c>
      <c r="T911" s="218">
        <f t="shared" si="652"/>
        <v>1494</v>
      </c>
      <c r="U911" s="218">
        <f t="shared" si="652"/>
        <v>1782</v>
      </c>
      <c r="V911" s="218">
        <f t="shared" si="652"/>
        <v>1184</v>
      </c>
      <c r="W911" s="218">
        <f t="shared" si="652"/>
        <v>826</v>
      </c>
      <c r="X911" s="218">
        <f t="shared" si="652"/>
        <v>5286</v>
      </c>
      <c r="Y911" s="218">
        <f t="shared" si="652"/>
        <v>14933</v>
      </c>
    </row>
    <row r="912" spans="1:26" x14ac:dyDescent="0.15">
      <c r="O912" s="211">
        <f>O911/$S$911*100</f>
        <v>29.781279154141181</v>
      </c>
      <c r="P912" s="211">
        <f t="shared" ref="P912:S912" si="653">P911/$S$911*100</f>
        <v>35.959365605887839</v>
      </c>
      <c r="Q912" s="211">
        <f t="shared" si="653"/>
        <v>22.079402923188557</v>
      </c>
      <c r="R912" s="211">
        <f t="shared" si="653"/>
        <v>12.179952316782419</v>
      </c>
      <c r="S912" s="211">
        <f t="shared" si="653"/>
        <v>100</v>
      </c>
      <c r="T912" s="211">
        <f>T911/$X$911*100</f>
        <v>28.263337116912602</v>
      </c>
      <c r="U912" s="211">
        <f t="shared" ref="U912:X912" si="654">U911/$X$911*100</f>
        <v>33.711691259931897</v>
      </c>
      <c r="V912" s="211">
        <f t="shared" si="654"/>
        <v>22.398789254634885</v>
      </c>
      <c r="W912" s="211">
        <f t="shared" si="654"/>
        <v>15.626182368520618</v>
      </c>
      <c r="X912" s="211">
        <f t="shared" si="654"/>
        <v>100</v>
      </c>
    </row>
    <row r="913" spans="1:27" ht="19.5" thickBot="1" x14ac:dyDescent="0.25">
      <c r="A913" s="2" t="s">
        <v>106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105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7" ht="14.25" thickBot="1" x14ac:dyDescent="0.2">
      <c r="A914" s="5" t="s">
        <v>0</v>
      </c>
      <c r="B914" s="342" t="s">
        <v>18</v>
      </c>
      <c r="C914" s="350"/>
      <c r="D914" s="350"/>
      <c r="E914" s="350"/>
      <c r="F914" s="351"/>
      <c r="G914" s="345" t="s">
        <v>12</v>
      </c>
      <c r="H914" s="352"/>
      <c r="I914" s="352"/>
      <c r="J914" s="352"/>
      <c r="K914" s="353"/>
      <c r="L914" s="354" t="s">
        <v>1</v>
      </c>
      <c r="N914" s="5" t="s">
        <v>0</v>
      </c>
      <c r="O914" s="342" t="s">
        <v>18</v>
      </c>
      <c r="P914" s="350"/>
      <c r="Q914" s="350"/>
      <c r="R914" s="350"/>
      <c r="S914" s="351"/>
      <c r="T914" s="345" t="s">
        <v>12</v>
      </c>
      <c r="U914" s="352"/>
      <c r="V914" s="352"/>
      <c r="W914" s="352"/>
      <c r="X914" s="353"/>
      <c r="Y914" s="354" t="s">
        <v>1</v>
      </c>
    </row>
    <row r="915" spans="1:27" ht="14.25" thickBot="1" x14ac:dyDescent="0.2">
      <c r="A915" s="5" t="s">
        <v>2</v>
      </c>
      <c r="B915" s="3" t="s">
        <v>13</v>
      </c>
      <c r="C915" s="44" t="s">
        <v>14</v>
      </c>
      <c r="D915" s="4" t="s">
        <v>15</v>
      </c>
      <c r="E915" s="23" t="s">
        <v>16</v>
      </c>
      <c r="F915" s="31" t="s">
        <v>3</v>
      </c>
      <c r="G915" s="3" t="s">
        <v>13</v>
      </c>
      <c r="H915" s="44" t="s">
        <v>14</v>
      </c>
      <c r="I915" s="4" t="s">
        <v>15</v>
      </c>
      <c r="J915" s="23" t="s">
        <v>16</v>
      </c>
      <c r="K915" s="31" t="s">
        <v>3</v>
      </c>
      <c r="L915" s="355"/>
      <c r="N915" s="5" t="s">
        <v>2</v>
      </c>
      <c r="O915" s="3" t="s">
        <v>13</v>
      </c>
      <c r="P915" s="44" t="s">
        <v>14</v>
      </c>
      <c r="Q915" s="4" t="s">
        <v>15</v>
      </c>
      <c r="R915" s="23" t="s">
        <v>16</v>
      </c>
      <c r="S915" s="31" t="s">
        <v>3</v>
      </c>
      <c r="T915" s="3" t="s">
        <v>13</v>
      </c>
      <c r="U915" s="44" t="s">
        <v>14</v>
      </c>
      <c r="V915" s="4" t="s">
        <v>15</v>
      </c>
      <c r="W915" s="23" t="s">
        <v>16</v>
      </c>
      <c r="X915" s="31" t="s">
        <v>3</v>
      </c>
      <c r="Y915" s="355"/>
    </row>
    <row r="916" spans="1:27" x14ac:dyDescent="0.15">
      <c r="A916" s="71" t="s">
        <v>17</v>
      </c>
      <c r="B916" s="72">
        <f>B910</f>
        <v>8</v>
      </c>
      <c r="C916" s="73">
        <f t="shared" ref="C916:L916" si="655">C910</f>
        <v>5</v>
      </c>
      <c r="D916" s="73">
        <f t="shared" si="655"/>
        <v>7</v>
      </c>
      <c r="E916" s="74">
        <f t="shared" si="655"/>
        <v>5</v>
      </c>
      <c r="F916" s="76">
        <f t="shared" si="655"/>
        <v>21</v>
      </c>
      <c r="G916" s="72">
        <f t="shared" si="655"/>
        <v>15</v>
      </c>
      <c r="H916" s="73">
        <f t="shared" si="655"/>
        <v>16</v>
      </c>
      <c r="I916" s="73">
        <f t="shared" si="655"/>
        <v>6</v>
      </c>
      <c r="J916" s="74">
        <f t="shared" si="655"/>
        <v>7</v>
      </c>
      <c r="K916" s="75">
        <f t="shared" si="655"/>
        <v>44</v>
      </c>
      <c r="L916" s="16">
        <f t="shared" si="655"/>
        <v>65</v>
      </c>
      <c r="N916" s="71" t="s">
        <v>17</v>
      </c>
      <c r="O916" s="72">
        <f>O910</f>
        <v>479</v>
      </c>
      <c r="P916" s="73">
        <f t="shared" ref="P916:Y916" si="656">P910</f>
        <v>642</v>
      </c>
      <c r="Q916" s="73">
        <f t="shared" si="656"/>
        <v>296</v>
      </c>
      <c r="R916" s="74">
        <f t="shared" si="656"/>
        <v>178</v>
      </c>
      <c r="S916" s="76">
        <f t="shared" si="656"/>
        <v>1595</v>
      </c>
      <c r="T916" s="72">
        <f t="shared" si="656"/>
        <v>403</v>
      </c>
      <c r="U916" s="73">
        <f t="shared" si="656"/>
        <v>477</v>
      </c>
      <c r="V916" s="73">
        <f t="shared" si="656"/>
        <v>221</v>
      </c>
      <c r="W916" s="74">
        <f t="shared" si="656"/>
        <v>246</v>
      </c>
      <c r="X916" s="75">
        <f t="shared" si="656"/>
        <v>1347</v>
      </c>
      <c r="Y916" s="16">
        <f t="shared" si="656"/>
        <v>2942</v>
      </c>
    </row>
    <row r="917" spans="1:27" x14ac:dyDescent="0.15">
      <c r="A917" s="13" t="s">
        <v>5</v>
      </c>
      <c r="B917" s="26">
        <v>3</v>
      </c>
      <c r="C917" s="47">
        <v>3</v>
      </c>
      <c r="D917" s="27"/>
      <c r="E917" s="50"/>
      <c r="F917" s="9">
        <f t="shared" ref="F917" si="657">SUM(B917:E917)</f>
        <v>6</v>
      </c>
      <c r="G917" s="47"/>
      <c r="H917" s="47">
        <v>3</v>
      </c>
      <c r="I917" s="27"/>
      <c r="J917" s="50"/>
      <c r="K917" s="9">
        <f>SUM(G917:J917)</f>
        <v>3</v>
      </c>
      <c r="L917" s="11">
        <f t="shared" ref="L917:L948" si="658">F917+K917</f>
        <v>9</v>
      </c>
      <c r="M917" s="99">
        <v>45141</v>
      </c>
      <c r="N917" s="13" t="s">
        <v>5</v>
      </c>
      <c r="O917" s="26"/>
      <c r="P917" s="47"/>
      <c r="Q917" s="27"/>
      <c r="R917" s="34"/>
      <c r="S917" s="77">
        <f t="shared" ref="S917" si="659">SUM(O917:R917)</f>
        <v>0</v>
      </c>
      <c r="T917" s="26">
        <v>13</v>
      </c>
      <c r="U917" s="47">
        <v>9</v>
      </c>
      <c r="V917" s="27"/>
      <c r="W917" s="34"/>
      <c r="X917" s="9">
        <f t="shared" ref="X917" si="660">SUM(T917:W917)</f>
        <v>22</v>
      </c>
      <c r="Y917" s="11">
        <f t="shared" ref="Y917:Y918" si="661">S917+X917</f>
        <v>22</v>
      </c>
      <c r="Z917" s="126">
        <v>45143</v>
      </c>
    </row>
    <row r="918" spans="1:27" x14ac:dyDescent="0.15">
      <c r="A918" s="13" t="s">
        <v>727</v>
      </c>
      <c r="B918" s="26">
        <v>0</v>
      </c>
      <c r="C918" s="47">
        <v>1</v>
      </c>
      <c r="D918" s="27">
        <v>0</v>
      </c>
      <c r="E918" s="50">
        <v>0</v>
      </c>
      <c r="F918" s="9">
        <f>SUM(B918:E918)</f>
        <v>1</v>
      </c>
      <c r="G918" s="47">
        <v>5</v>
      </c>
      <c r="H918" s="47">
        <v>-1</v>
      </c>
      <c r="I918" s="27">
        <v>0</v>
      </c>
      <c r="J918" s="50">
        <v>0</v>
      </c>
      <c r="K918" s="9">
        <f>SUM(G918:J918)</f>
        <v>4</v>
      </c>
      <c r="L918" s="11">
        <f t="shared" ref="L918:L919" si="662">F918+K918</f>
        <v>5</v>
      </c>
      <c r="M918" s="126">
        <v>45142</v>
      </c>
      <c r="N918" s="13" t="s">
        <v>6</v>
      </c>
      <c r="O918" s="26">
        <v>8</v>
      </c>
      <c r="P918" s="47"/>
      <c r="Q918" s="27">
        <v>5</v>
      </c>
      <c r="R918" s="34">
        <v>5</v>
      </c>
      <c r="S918" s="77">
        <f>SUM(O918:R918)</f>
        <v>18</v>
      </c>
      <c r="T918" s="26"/>
      <c r="U918" s="47"/>
      <c r="V918" s="27"/>
      <c r="W918" s="34"/>
      <c r="X918" s="9">
        <f>SUM(T918:W918)</f>
        <v>0</v>
      </c>
      <c r="Y918" s="11">
        <f t="shared" si="661"/>
        <v>18</v>
      </c>
      <c r="Z918" s="126">
        <v>45157</v>
      </c>
    </row>
    <row r="919" spans="1:27" x14ac:dyDescent="0.15">
      <c r="A919" s="13" t="s">
        <v>49</v>
      </c>
      <c r="B919" s="26">
        <v>1</v>
      </c>
      <c r="C919" s="47">
        <v>1</v>
      </c>
      <c r="D919" s="27">
        <v>3</v>
      </c>
      <c r="E919" s="50">
        <v>1</v>
      </c>
      <c r="F919" s="9">
        <f>SUM(B919:E919)</f>
        <v>6</v>
      </c>
      <c r="G919" s="47"/>
      <c r="H919" s="47">
        <v>1</v>
      </c>
      <c r="I919" s="27"/>
      <c r="J919" s="50"/>
      <c r="K919" s="9">
        <f>SUM(G919:J919)</f>
        <v>1</v>
      </c>
      <c r="L919" s="108">
        <f t="shared" si="662"/>
        <v>7</v>
      </c>
      <c r="M919" s="126">
        <v>45148</v>
      </c>
      <c r="N919" s="13" t="s">
        <v>7</v>
      </c>
      <c r="O919" s="26"/>
      <c r="P919" s="47"/>
      <c r="Q919" s="27"/>
      <c r="R919" s="34"/>
      <c r="S919" s="77">
        <f>SUM(O919:R919)</f>
        <v>0</v>
      </c>
      <c r="T919" s="47"/>
      <c r="U919" s="47"/>
      <c r="V919" s="27"/>
      <c r="W919" s="50"/>
      <c r="X919" s="9">
        <f>SUM(T919:W919)</f>
        <v>0</v>
      </c>
      <c r="Y919" s="11">
        <f t="shared" ref="Y919:Y948" si="663">S919+X919</f>
        <v>0</v>
      </c>
    </row>
    <row r="920" spans="1:27" ht="14.25" thickBot="1" x14ac:dyDescent="0.2">
      <c r="A920" s="13" t="s">
        <v>166</v>
      </c>
      <c r="B920" s="66">
        <v>2</v>
      </c>
      <c r="C920" s="67">
        <v>3</v>
      </c>
      <c r="D920" s="68">
        <v>3</v>
      </c>
      <c r="E920" s="94">
        <v>5</v>
      </c>
      <c r="F920" s="118">
        <f>SUM(B920:E920)</f>
        <v>13</v>
      </c>
      <c r="G920" s="67">
        <v>2</v>
      </c>
      <c r="H920" s="67">
        <v>2</v>
      </c>
      <c r="I920" s="68">
        <v>2</v>
      </c>
      <c r="J920" s="94">
        <v>2</v>
      </c>
      <c r="K920" s="118">
        <f>SUM(G920:J920)</f>
        <v>8</v>
      </c>
      <c r="L920" s="14">
        <f t="shared" si="658"/>
        <v>21</v>
      </c>
      <c r="M920" s="126">
        <v>45156</v>
      </c>
      <c r="N920" s="13" t="s">
        <v>8</v>
      </c>
      <c r="O920" s="62"/>
      <c r="P920" s="63"/>
      <c r="Q920" s="64"/>
      <c r="R920" s="65"/>
      <c r="S920" s="78">
        <f>SUM(O920:R920)</f>
        <v>0</v>
      </c>
      <c r="T920" s="47"/>
      <c r="U920" s="47"/>
      <c r="V920" s="27"/>
      <c r="W920" s="50"/>
      <c r="X920" s="10">
        <f>SUM(T920:W920)</f>
        <v>0</v>
      </c>
      <c r="Y920" s="14">
        <f t="shared" si="663"/>
        <v>0</v>
      </c>
    </row>
    <row r="921" spans="1:27" ht="14.25" thickBot="1" x14ac:dyDescent="0.2">
      <c r="A921" s="22" t="s">
        <v>9</v>
      </c>
      <c r="B921" s="51">
        <f t="shared" ref="B921:K921" si="664">SUM(B916:B920)</f>
        <v>14</v>
      </c>
      <c r="C921" s="52">
        <f t="shared" si="664"/>
        <v>13</v>
      </c>
      <c r="D921" s="53">
        <f t="shared" si="664"/>
        <v>13</v>
      </c>
      <c r="E921" s="54">
        <f t="shared" si="664"/>
        <v>11</v>
      </c>
      <c r="F921" s="28">
        <f t="shared" si="664"/>
        <v>47</v>
      </c>
      <c r="G921" s="51">
        <f t="shared" si="664"/>
        <v>22</v>
      </c>
      <c r="H921" s="52">
        <f t="shared" si="664"/>
        <v>21</v>
      </c>
      <c r="I921" s="53">
        <f t="shared" si="664"/>
        <v>8</v>
      </c>
      <c r="J921" s="54">
        <f t="shared" si="664"/>
        <v>9</v>
      </c>
      <c r="K921" s="28">
        <f t="shared" si="664"/>
        <v>60</v>
      </c>
      <c r="L921" s="21">
        <f t="shared" si="658"/>
        <v>107</v>
      </c>
      <c r="N921" s="17" t="s">
        <v>9</v>
      </c>
      <c r="O921" s="41">
        <f>SUM(O916:O920)</f>
        <v>487</v>
      </c>
      <c r="P921" s="49">
        <f t="shared" ref="P921:V921" si="665">SUM(P916:P920)</f>
        <v>642</v>
      </c>
      <c r="Q921" s="42">
        <f t="shared" si="665"/>
        <v>301</v>
      </c>
      <c r="R921" s="92">
        <f t="shared" si="665"/>
        <v>183</v>
      </c>
      <c r="S921" s="93">
        <f t="shared" si="665"/>
        <v>1613</v>
      </c>
      <c r="T921" s="41">
        <f t="shared" si="665"/>
        <v>416</v>
      </c>
      <c r="U921" s="49">
        <f t="shared" si="665"/>
        <v>486</v>
      </c>
      <c r="V921" s="42">
        <f t="shared" si="665"/>
        <v>221</v>
      </c>
      <c r="W921" s="92">
        <f>SUM(W916:W920)</f>
        <v>246</v>
      </c>
      <c r="X921" s="93">
        <f t="shared" ref="X921" si="666">SUM(X916:X920)</f>
        <v>1369</v>
      </c>
      <c r="Y921" s="56">
        <f t="shared" si="663"/>
        <v>2982</v>
      </c>
    </row>
    <row r="922" spans="1:27" x14ac:dyDescent="0.15">
      <c r="A922" s="161" t="s">
        <v>744</v>
      </c>
      <c r="B922" s="24">
        <v>2</v>
      </c>
      <c r="C922" s="46">
        <v>2</v>
      </c>
      <c r="D922" s="25">
        <v>2</v>
      </c>
      <c r="E922" s="33">
        <v>1</v>
      </c>
      <c r="F922" s="35">
        <f>SUM(B922:E922)</f>
        <v>7</v>
      </c>
      <c r="G922" s="24">
        <v>2</v>
      </c>
      <c r="H922" s="46">
        <v>2</v>
      </c>
      <c r="I922" s="25">
        <v>2</v>
      </c>
      <c r="J922" s="33">
        <v>2</v>
      </c>
      <c r="K922" s="35">
        <f>SUM(G922:J922)</f>
        <v>8</v>
      </c>
      <c r="L922" s="11">
        <f t="shared" si="658"/>
        <v>15</v>
      </c>
      <c r="M922" s="99">
        <v>45142</v>
      </c>
      <c r="N922" s="90" t="s">
        <v>755</v>
      </c>
      <c r="O922" s="66"/>
      <c r="P922" s="67"/>
      <c r="Q922" s="68"/>
      <c r="R922" s="94"/>
      <c r="S922" s="91">
        <f>SUM(O922:R922)</f>
        <v>0</v>
      </c>
      <c r="T922" s="67">
        <v>8</v>
      </c>
      <c r="U922" s="67"/>
      <c r="V922" s="68"/>
      <c r="W922" s="94"/>
      <c r="X922" s="91">
        <f>SUM(T922:W922)</f>
        <v>8</v>
      </c>
      <c r="Y922" s="11">
        <f t="shared" si="663"/>
        <v>8</v>
      </c>
      <c r="Z922" s="99">
        <v>45146</v>
      </c>
    </row>
    <row r="923" spans="1:27" x14ac:dyDescent="0.15">
      <c r="A923" s="13" t="s">
        <v>41</v>
      </c>
      <c r="B923" s="26">
        <v>1</v>
      </c>
      <c r="C923" s="47"/>
      <c r="D923" s="27"/>
      <c r="E923" s="34"/>
      <c r="F923" s="35">
        <f>SUM(B923:E923)</f>
        <v>1</v>
      </c>
      <c r="G923" s="26"/>
      <c r="H923" s="47"/>
      <c r="I923" s="27"/>
      <c r="J923" s="34"/>
      <c r="K923" s="35">
        <f>SUM(G923:J923)</f>
        <v>0</v>
      </c>
      <c r="L923" s="11">
        <f t="shared" si="658"/>
        <v>1</v>
      </c>
      <c r="M923" s="126">
        <v>45140</v>
      </c>
      <c r="N923" s="79" t="s">
        <v>745</v>
      </c>
      <c r="O923" s="26">
        <v>3</v>
      </c>
      <c r="P923" s="47">
        <v>3</v>
      </c>
      <c r="Q923" s="27"/>
      <c r="R923" s="34"/>
      <c r="S923" s="35">
        <f t="shared" ref="S923:S924" si="667">SUM(O923:R923)</f>
        <v>6</v>
      </c>
      <c r="T923" s="26"/>
      <c r="U923" s="47">
        <v>3</v>
      </c>
      <c r="V923" s="27"/>
      <c r="W923" s="34"/>
      <c r="X923" s="35">
        <f t="shared" ref="X923:X924" si="668">SUM(T923:W923)</f>
        <v>3</v>
      </c>
      <c r="Y923" s="11">
        <f t="shared" si="663"/>
        <v>9</v>
      </c>
      <c r="Z923" s="99">
        <v>45141</v>
      </c>
      <c r="AA923" s="58"/>
    </row>
    <row r="924" spans="1:27" x14ac:dyDescent="0.15">
      <c r="A924" s="13" t="s">
        <v>751</v>
      </c>
      <c r="B924" s="26"/>
      <c r="C924" s="47">
        <v>1</v>
      </c>
      <c r="D924" s="27"/>
      <c r="E924" s="34"/>
      <c r="F924" s="35">
        <f t="shared" ref="F924" si="669">SUM(B924:E924)</f>
        <v>1</v>
      </c>
      <c r="G924" s="26"/>
      <c r="H924" s="47"/>
      <c r="I924" s="27"/>
      <c r="J924" s="34"/>
      <c r="K924" s="35">
        <f t="shared" ref="K924" si="670">SUM(G924:J924)</f>
        <v>0</v>
      </c>
      <c r="L924" s="11">
        <f t="shared" si="658"/>
        <v>1</v>
      </c>
      <c r="M924" s="99">
        <v>45145</v>
      </c>
      <c r="N924" s="57" t="s">
        <v>747</v>
      </c>
      <c r="O924" s="26">
        <v>10</v>
      </c>
      <c r="P924" s="47">
        <v>10</v>
      </c>
      <c r="Q924" s="27">
        <v>10</v>
      </c>
      <c r="R924" s="34"/>
      <c r="S924" s="35">
        <f t="shared" si="667"/>
        <v>30</v>
      </c>
      <c r="T924" s="26">
        <v>10</v>
      </c>
      <c r="U924" s="47"/>
      <c r="V924" s="27"/>
      <c r="W924" s="34"/>
      <c r="X924" s="35">
        <f t="shared" si="668"/>
        <v>10</v>
      </c>
      <c r="Y924" s="11">
        <f t="shared" si="663"/>
        <v>40</v>
      </c>
      <c r="Z924" s="99">
        <v>45159</v>
      </c>
    </row>
    <row r="925" spans="1:27" x14ac:dyDescent="0.15">
      <c r="A925" s="32" t="s">
        <v>754</v>
      </c>
      <c r="B925" s="66"/>
      <c r="C925" s="67"/>
      <c r="D925" s="68"/>
      <c r="E925" s="69"/>
      <c r="F925" s="70">
        <f t="shared" ref="F925:F946" si="671">SUM(B925:E925)</f>
        <v>0</v>
      </c>
      <c r="G925" s="66">
        <v>13</v>
      </c>
      <c r="H925" s="67">
        <v>9</v>
      </c>
      <c r="I925" s="68"/>
      <c r="J925" s="69"/>
      <c r="K925" s="70">
        <f t="shared" ref="K925:K946" si="672">SUM(G925:J925)</f>
        <v>22</v>
      </c>
      <c r="L925" s="11">
        <f t="shared" si="658"/>
        <v>22</v>
      </c>
      <c r="M925" s="126">
        <v>45143</v>
      </c>
      <c r="N925" s="15" t="s">
        <v>748</v>
      </c>
      <c r="O925" s="66">
        <v>1</v>
      </c>
      <c r="P925" s="67">
        <v>1</v>
      </c>
      <c r="Q925" s="68">
        <v>1</v>
      </c>
      <c r="R925" s="94">
        <v>1</v>
      </c>
      <c r="S925" s="91">
        <f>SUM(O925:R925)</f>
        <v>4</v>
      </c>
      <c r="T925" s="67">
        <v>1</v>
      </c>
      <c r="U925" s="67"/>
      <c r="V925" s="68"/>
      <c r="W925" s="94"/>
      <c r="X925" s="91">
        <f>SUM(T925:W925)</f>
        <v>1</v>
      </c>
      <c r="Y925" s="11">
        <f t="shared" si="663"/>
        <v>5</v>
      </c>
      <c r="Z925" s="99">
        <v>45142</v>
      </c>
    </row>
    <row r="926" spans="1:27" x14ac:dyDescent="0.15">
      <c r="A926" s="13" t="s">
        <v>41</v>
      </c>
      <c r="B926" s="26"/>
      <c r="C926" s="47"/>
      <c r="D926" s="27"/>
      <c r="E926" s="34"/>
      <c r="F926" s="35">
        <f t="shared" ref="F926:F928" si="673">SUM(B926:E926)</f>
        <v>0</v>
      </c>
      <c r="G926" s="26"/>
      <c r="H926" s="47"/>
      <c r="I926" s="27"/>
      <c r="J926" s="34">
        <v>1</v>
      </c>
      <c r="K926" s="35">
        <f t="shared" ref="K926:K928" si="674">SUM(G926:J926)</f>
        <v>1</v>
      </c>
      <c r="L926" s="11">
        <f t="shared" ref="L926:L928" si="675">F926+K926</f>
        <v>1</v>
      </c>
      <c r="M926" s="126">
        <v>45145</v>
      </c>
      <c r="N926" s="15" t="s">
        <v>750</v>
      </c>
      <c r="O926" s="26"/>
      <c r="P926" s="47">
        <v>3</v>
      </c>
      <c r="Q926" s="27"/>
      <c r="R926" s="34">
        <v>2</v>
      </c>
      <c r="S926" s="35">
        <f t="shared" ref="S926:S928" si="676">SUM(O926:R926)</f>
        <v>5</v>
      </c>
      <c r="T926" s="26">
        <v>1</v>
      </c>
      <c r="U926" s="47"/>
      <c r="V926" s="27"/>
      <c r="W926" s="34">
        <v>1</v>
      </c>
      <c r="X926" s="35">
        <f t="shared" ref="X926:X928" si="677">SUM(T926:W926)</f>
        <v>2</v>
      </c>
      <c r="Y926" s="11">
        <f t="shared" si="663"/>
        <v>7</v>
      </c>
      <c r="Z926" s="99">
        <v>45145</v>
      </c>
    </row>
    <row r="927" spans="1:27" x14ac:dyDescent="0.15">
      <c r="A927" s="15" t="s">
        <v>760</v>
      </c>
      <c r="B927" s="26"/>
      <c r="C927" s="47">
        <v>2</v>
      </c>
      <c r="D927" s="27"/>
      <c r="E927" s="34"/>
      <c r="F927" s="35">
        <f t="shared" si="673"/>
        <v>2</v>
      </c>
      <c r="G927" s="26"/>
      <c r="H927" s="47"/>
      <c r="I927" s="27"/>
      <c r="J927" s="34"/>
      <c r="K927" s="35">
        <f t="shared" si="674"/>
        <v>0</v>
      </c>
      <c r="L927" s="11">
        <f t="shared" si="675"/>
        <v>2</v>
      </c>
      <c r="M927" s="99">
        <v>45148</v>
      </c>
      <c r="N927" s="15" t="s">
        <v>757</v>
      </c>
      <c r="O927" s="26">
        <v>4</v>
      </c>
      <c r="P927" s="47">
        <v>2</v>
      </c>
      <c r="Q927" s="27">
        <v>3</v>
      </c>
      <c r="R927" s="34">
        <v>1</v>
      </c>
      <c r="S927" s="35">
        <f t="shared" si="676"/>
        <v>10</v>
      </c>
      <c r="T927" s="26"/>
      <c r="U927" s="47"/>
      <c r="V927" s="27">
        <v>1</v>
      </c>
      <c r="W927" s="34"/>
      <c r="X927" s="35">
        <f t="shared" si="677"/>
        <v>1</v>
      </c>
      <c r="Y927" s="11">
        <f t="shared" si="663"/>
        <v>11</v>
      </c>
      <c r="Z927" s="99">
        <v>45146</v>
      </c>
    </row>
    <row r="928" spans="1:27" x14ac:dyDescent="0.15">
      <c r="A928" s="13" t="s">
        <v>41</v>
      </c>
      <c r="B928" s="26"/>
      <c r="C928" s="47"/>
      <c r="D928" s="27"/>
      <c r="E928" s="34">
        <v>1</v>
      </c>
      <c r="F928" s="35">
        <f t="shared" si="673"/>
        <v>1</v>
      </c>
      <c r="G928" s="26"/>
      <c r="H928" s="47"/>
      <c r="I928" s="27"/>
      <c r="J928" s="34"/>
      <c r="K928" s="35">
        <f t="shared" si="674"/>
        <v>0</v>
      </c>
      <c r="L928" s="11">
        <f t="shared" si="675"/>
        <v>1</v>
      </c>
      <c r="M928" s="126">
        <v>45147</v>
      </c>
      <c r="N928" s="15" t="s">
        <v>758</v>
      </c>
      <c r="O928" s="26"/>
      <c r="P928" s="47"/>
      <c r="Q928" s="27">
        <v>2</v>
      </c>
      <c r="R928" s="34">
        <v>2</v>
      </c>
      <c r="S928" s="35">
        <f t="shared" si="676"/>
        <v>4</v>
      </c>
      <c r="T928" s="26"/>
      <c r="U928" s="47">
        <v>2</v>
      </c>
      <c r="V928" s="27"/>
      <c r="W928" s="34"/>
      <c r="X928" s="35">
        <f t="shared" si="677"/>
        <v>2</v>
      </c>
      <c r="Y928" s="11">
        <f t="shared" si="663"/>
        <v>6</v>
      </c>
      <c r="Z928" s="99">
        <v>45147</v>
      </c>
    </row>
    <row r="929" spans="1:27" x14ac:dyDescent="0.15">
      <c r="A929" s="12" t="s">
        <v>41</v>
      </c>
      <c r="B929" s="26">
        <v>1</v>
      </c>
      <c r="C929" s="47"/>
      <c r="D929" s="27"/>
      <c r="E929" s="34"/>
      <c r="F929" s="35">
        <f t="shared" si="671"/>
        <v>1</v>
      </c>
      <c r="G929" s="26"/>
      <c r="H929" s="47">
        <v>2</v>
      </c>
      <c r="I929" s="27"/>
      <c r="J929" s="34"/>
      <c r="K929" s="35">
        <f t="shared" si="672"/>
        <v>2</v>
      </c>
      <c r="L929" s="11">
        <f t="shared" si="658"/>
        <v>3</v>
      </c>
      <c r="M929" s="126">
        <v>45148</v>
      </c>
      <c r="N929" s="15" t="s">
        <v>759</v>
      </c>
      <c r="O929" s="26"/>
      <c r="P929" s="47">
        <v>3</v>
      </c>
      <c r="Q929" s="27"/>
      <c r="R929" s="50"/>
      <c r="S929" s="9">
        <f>SUM(O929:R929)</f>
        <v>3</v>
      </c>
      <c r="T929" s="47"/>
      <c r="U929" s="47"/>
      <c r="V929" s="27"/>
      <c r="W929" s="50"/>
      <c r="X929" s="9">
        <f>SUM(T929:W929)</f>
        <v>0</v>
      </c>
      <c r="Y929" s="11">
        <f t="shared" si="663"/>
        <v>3</v>
      </c>
      <c r="Z929" s="99">
        <v>45148</v>
      </c>
    </row>
    <row r="930" spans="1:27" x14ac:dyDescent="0.15">
      <c r="A930" s="57" t="s">
        <v>763</v>
      </c>
      <c r="B930" s="26"/>
      <c r="C930" s="47">
        <v>2</v>
      </c>
      <c r="D930" s="27"/>
      <c r="E930" s="34"/>
      <c r="F930" s="35">
        <f t="shared" si="671"/>
        <v>2</v>
      </c>
      <c r="G930" s="26"/>
      <c r="H930" s="47"/>
      <c r="I930" s="27"/>
      <c r="J930" s="34"/>
      <c r="K930" s="35">
        <f t="shared" si="672"/>
        <v>0</v>
      </c>
      <c r="L930" s="11">
        <f t="shared" si="658"/>
        <v>2</v>
      </c>
      <c r="M930" s="99">
        <v>45157</v>
      </c>
      <c r="N930" s="90" t="s">
        <v>772</v>
      </c>
      <c r="O930" s="26"/>
      <c r="P930" s="47"/>
      <c r="Q930" s="27"/>
      <c r="R930" s="34">
        <v>5</v>
      </c>
      <c r="S930" s="35">
        <f t="shared" ref="S930:S947" si="678">SUM(O930:R930)</f>
        <v>5</v>
      </c>
      <c r="T930" s="26"/>
      <c r="U930" s="47"/>
      <c r="V930" s="27"/>
      <c r="W930" s="34">
        <v>8</v>
      </c>
      <c r="X930" s="35">
        <f t="shared" ref="X930:X947" si="679">SUM(T930:W930)</f>
        <v>8</v>
      </c>
      <c r="Y930" s="11">
        <f t="shared" si="663"/>
        <v>13</v>
      </c>
      <c r="Z930" s="99">
        <v>45161</v>
      </c>
    </row>
    <row r="931" spans="1:27" x14ac:dyDescent="0.15">
      <c r="A931" s="12" t="s">
        <v>41</v>
      </c>
      <c r="B931" s="26"/>
      <c r="C931" s="47"/>
      <c r="D931" s="27"/>
      <c r="E931" s="34"/>
      <c r="F931" s="35">
        <f t="shared" si="671"/>
        <v>0</v>
      </c>
      <c r="G931" s="26"/>
      <c r="H931" s="47"/>
      <c r="I931" s="27">
        <v>1</v>
      </c>
      <c r="J931" s="34"/>
      <c r="K931" s="35">
        <f t="shared" si="672"/>
        <v>1</v>
      </c>
      <c r="L931" s="11">
        <f t="shared" si="658"/>
        <v>1</v>
      </c>
      <c r="M931" s="126">
        <v>45154</v>
      </c>
      <c r="N931" s="15" t="s">
        <v>764</v>
      </c>
      <c r="O931" s="26">
        <v>1</v>
      </c>
      <c r="P931" s="47">
        <v>5</v>
      </c>
      <c r="Q931" s="27">
        <v>3</v>
      </c>
      <c r="R931" s="34">
        <v>3</v>
      </c>
      <c r="S931" s="35">
        <f t="shared" si="678"/>
        <v>12</v>
      </c>
      <c r="T931" s="26"/>
      <c r="U931" s="47">
        <v>1</v>
      </c>
      <c r="V931" s="27">
        <v>1</v>
      </c>
      <c r="W931" s="34">
        <v>1</v>
      </c>
      <c r="X931" s="35">
        <f t="shared" si="679"/>
        <v>3</v>
      </c>
      <c r="Y931" s="11">
        <f t="shared" si="663"/>
        <v>15</v>
      </c>
      <c r="Z931" s="99">
        <v>45156</v>
      </c>
    </row>
    <row r="932" spans="1:27" x14ac:dyDescent="0.15">
      <c r="A932" s="12" t="s">
        <v>41</v>
      </c>
      <c r="B932" s="26"/>
      <c r="C932" s="47">
        <v>1</v>
      </c>
      <c r="D932" s="27"/>
      <c r="E932" s="34"/>
      <c r="F932" s="35">
        <f t="shared" ref="F932:F935" si="680">SUM(B932:E932)</f>
        <v>1</v>
      </c>
      <c r="G932" s="26"/>
      <c r="H932" s="47"/>
      <c r="I932" s="27"/>
      <c r="J932" s="34"/>
      <c r="K932" s="35">
        <f t="shared" ref="K932:K935" si="681">SUM(G932:J932)</f>
        <v>0</v>
      </c>
      <c r="L932" s="11">
        <f t="shared" ref="L932:L935" si="682">F932+K932</f>
        <v>1</v>
      </c>
      <c r="M932" s="126">
        <v>45156</v>
      </c>
      <c r="N932" s="15" t="s">
        <v>765</v>
      </c>
      <c r="O932" s="26">
        <v>3</v>
      </c>
      <c r="P932" s="47">
        <v>5</v>
      </c>
      <c r="Q932" s="27">
        <v>1</v>
      </c>
      <c r="R932" s="34"/>
      <c r="S932" s="35">
        <f t="shared" si="678"/>
        <v>9</v>
      </c>
      <c r="T932" s="26"/>
      <c r="U932" s="47"/>
      <c r="V932" s="27"/>
      <c r="W932" s="34"/>
      <c r="X932" s="35">
        <f t="shared" si="679"/>
        <v>0</v>
      </c>
      <c r="Y932" s="11">
        <f t="shared" si="663"/>
        <v>9</v>
      </c>
      <c r="Z932" s="99">
        <v>45159</v>
      </c>
    </row>
    <row r="933" spans="1:27" x14ac:dyDescent="0.15">
      <c r="A933" s="15" t="s">
        <v>766</v>
      </c>
      <c r="B933" s="26">
        <v>-3</v>
      </c>
      <c r="C933" s="47"/>
      <c r="D933" s="27"/>
      <c r="E933" s="34">
        <v>-1</v>
      </c>
      <c r="F933" s="35">
        <f t="shared" si="680"/>
        <v>-4</v>
      </c>
      <c r="G933" s="26"/>
      <c r="H933" s="47"/>
      <c r="I933" s="27"/>
      <c r="J933" s="34"/>
      <c r="K933" s="35">
        <f t="shared" si="681"/>
        <v>0</v>
      </c>
      <c r="L933" s="11">
        <f t="shared" si="682"/>
        <v>-4</v>
      </c>
      <c r="M933" s="126">
        <v>45156</v>
      </c>
      <c r="N933" s="79" t="s">
        <v>34</v>
      </c>
      <c r="O933" s="26"/>
      <c r="P933" s="47">
        <v>3</v>
      </c>
      <c r="Q933" s="27"/>
      <c r="R933" s="34"/>
      <c r="S933" s="35">
        <f t="shared" si="678"/>
        <v>3</v>
      </c>
      <c r="T933" s="26"/>
      <c r="U933" s="47"/>
      <c r="V933" s="27">
        <v>3</v>
      </c>
      <c r="W933" s="34"/>
      <c r="X933" s="35">
        <f t="shared" si="679"/>
        <v>3</v>
      </c>
      <c r="Y933" s="11">
        <f t="shared" si="663"/>
        <v>6</v>
      </c>
      <c r="Z933" s="99">
        <v>45157</v>
      </c>
    </row>
    <row r="934" spans="1:27" x14ac:dyDescent="0.15">
      <c r="A934" s="13" t="s">
        <v>284</v>
      </c>
      <c r="B934" s="26">
        <v>8</v>
      </c>
      <c r="C934" s="47"/>
      <c r="D934" s="27">
        <v>5</v>
      </c>
      <c r="E934" s="34">
        <v>5</v>
      </c>
      <c r="F934" s="35">
        <f>SUM(B934:E934)</f>
        <v>18</v>
      </c>
      <c r="G934" s="26"/>
      <c r="H934" s="47"/>
      <c r="I934" s="27"/>
      <c r="J934" s="34"/>
      <c r="K934" s="35">
        <f>SUM(G934:J934)</f>
        <v>0</v>
      </c>
      <c r="L934" s="11">
        <f t="shared" si="682"/>
        <v>18</v>
      </c>
      <c r="M934" s="126">
        <v>45156</v>
      </c>
      <c r="N934" s="15" t="s">
        <v>769</v>
      </c>
      <c r="O934" s="26">
        <v>3</v>
      </c>
      <c r="P934" s="47">
        <v>2</v>
      </c>
      <c r="Q934" s="27">
        <v>1</v>
      </c>
      <c r="R934" s="34">
        <v>1</v>
      </c>
      <c r="S934" s="35">
        <f t="shared" si="678"/>
        <v>7</v>
      </c>
      <c r="T934" s="26"/>
      <c r="U934" s="47">
        <v>2</v>
      </c>
      <c r="V934" s="27">
        <v>1</v>
      </c>
      <c r="W934" s="34"/>
      <c r="X934" s="35">
        <f t="shared" si="679"/>
        <v>3</v>
      </c>
      <c r="Y934" s="11">
        <f t="shared" si="663"/>
        <v>10</v>
      </c>
      <c r="Z934" s="99">
        <v>45160</v>
      </c>
    </row>
    <row r="935" spans="1:27" x14ac:dyDescent="0.15">
      <c r="A935" s="15" t="s">
        <v>62</v>
      </c>
      <c r="B935" s="26"/>
      <c r="C935" s="47">
        <v>-3</v>
      </c>
      <c r="D935" s="27"/>
      <c r="E935" s="34"/>
      <c r="F935" s="35">
        <f t="shared" si="680"/>
        <v>-3</v>
      </c>
      <c r="G935" s="26"/>
      <c r="H935" s="47"/>
      <c r="I935" s="27">
        <v>-3</v>
      </c>
      <c r="J935" s="34"/>
      <c r="K935" s="35">
        <f t="shared" si="681"/>
        <v>-3</v>
      </c>
      <c r="L935" s="11">
        <f t="shared" si="682"/>
        <v>-6</v>
      </c>
      <c r="M935" s="99">
        <v>45157</v>
      </c>
      <c r="N935" s="57" t="s">
        <v>771</v>
      </c>
      <c r="O935" s="26"/>
      <c r="P935" s="47"/>
      <c r="Q935" s="27"/>
      <c r="R935" s="34"/>
      <c r="S935" s="35">
        <f t="shared" si="678"/>
        <v>0</v>
      </c>
      <c r="T935" s="26"/>
      <c r="U935" s="47"/>
      <c r="V935" s="27">
        <v>5</v>
      </c>
      <c r="W935" s="34"/>
      <c r="X935" s="35">
        <f t="shared" si="679"/>
        <v>5</v>
      </c>
      <c r="Y935" s="11">
        <f t="shared" si="663"/>
        <v>5</v>
      </c>
      <c r="Z935" s="99">
        <v>45163</v>
      </c>
    </row>
    <row r="936" spans="1:27" x14ac:dyDescent="0.15">
      <c r="A936" s="57" t="s">
        <v>770</v>
      </c>
      <c r="B936" s="26">
        <v>3</v>
      </c>
      <c r="C936" s="47">
        <v>3</v>
      </c>
      <c r="D936" s="27">
        <v>3</v>
      </c>
      <c r="E936" s="34">
        <v>3</v>
      </c>
      <c r="F936" s="35">
        <f t="shared" si="671"/>
        <v>12</v>
      </c>
      <c r="G936" s="26">
        <v>2</v>
      </c>
      <c r="H936" s="47"/>
      <c r="I936" s="27">
        <v>1</v>
      </c>
      <c r="J936" s="34">
        <v>1</v>
      </c>
      <c r="K936" s="35">
        <f t="shared" si="672"/>
        <v>4</v>
      </c>
      <c r="L936" s="11">
        <f t="shared" si="658"/>
        <v>16</v>
      </c>
      <c r="M936" s="99">
        <v>45162</v>
      </c>
      <c r="N936" s="15" t="s">
        <v>773</v>
      </c>
      <c r="O936" s="26"/>
      <c r="P936" s="47">
        <v>1</v>
      </c>
      <c r="Q936" s="27">
        <v>1</v>
      </c>
      <c r="R936" s="34">
        <v>1</v>
      </c>
      <c r="S936" s="35">
        <f t="shared" si="678"/>
        <v>3</v>
      </c>
      <c r="T936" s="26"/>
      <c r="U936" s="47"/>
      <c r="V936" s="27">
        <v>1</v>
      </c>
      <c r="W936" s="34">
        <v>1</v>
      </c>
      <c r="X936" s="35">
        <f t="shared" si="679"/>
        <v>2</v>
      </c>
      <c r="Y936" s="11">
        <f t="shared" si="663"/>
        <v>5</v>
      </c>
      <c r="Z936" s="99">
        <v>45161</v>
      </c>
      <c r="AA936" s="58"/>
    </row>
    <row r="937" spans="1:27" x14ac:dyDescent="0.15">
      <c r="A937" s="57" t="s">
        <v>774</v>
      </c>
      <c r="B937" s="26">
        <v>5</v>
      </c>
      <c r="C937" s="47"/>
      <c r="D937" s="27"/>
      <c r="E937" s="34"/>
      <c r="F937" s="35">
        <f t="shared" si="671"/>
        <v>5</v>
      </c>
      <c r="G937" s="26"/>
      <c r="H937" s="47"/>
      <c r="I937" s="27"/>
      <c r="J937" s="34"/>
      <c r="K937" s="35">
        <f t="shared" si="672"/>
        <v>0</v>
      </c>
      <c r="L937" s="11">
        <f t="shared" si="658"/>
        <v>5</v>
      </c>
      <c r="M937" s="99">
        <v>45162</v>
      </c>
      <c r="N937" s="15" t="s">
        <v>775</v>
      </c>
      <c r="O937" s="26">
        <v>10</v>
      </c>
      <c r="P937" s="47">
        <v>3</v>
      </c>
      <c r="Q937" s="27"/>
      <c r="R937" s="34">
        <v>3</v>
      </c>
      <c r="S937" s="35">
        <f t="shared" si="678"/>
        <v>16</v>
      </c>
      <c r="T937" s="26"/>
      <c r="U937" s="47"/>
      <c r="V937" s="27"/>
      <c r="W937" s="34"/>
      <c r="X937" s="35">
        <f t="shared" si="679"/>
        <v>0</v>
      </c>
      <c r="Y937" s="11">
        <f t="shared" si="663"/>
        <v>16</v>
      </c>
      <c r="Z937" s="99">
        <v>45161</v>
      </c>
    </row>
    <row r="938" spans="1:27" x14ac:dyDescent="0.15">
      <c r="A938" s="15" t="s">
        <v>62</v>
      </c>
      <c r="B938" s="26">
        <v>-10</v>
      </c>
      <c r="C938" s="47">
        <v>-3</v>
      </c>
      <c r="D938" s="27"/>
      <c r="E938" s="34">
        <v>-3</v>
      </c>
      <c r="F938" s="35">
        <f t="shared" si="671"/>
        <v>-16</v>
      </c>
      <c r="G938" s="26"/>
      <c r="H938" s="47"/>
      <c r="I938" s="27"/>
      <c r="J938" s="34"/>
      <c r="K938" s="35">
        <f t="shared" si="672"/>
        <v>0</v>
      </c>
      <c r="L938" s="11">
        <f t="shared" si="658"/>
        <v>-16</v>
      </c>
      <c r="M938" s="99">
        <v>45161</v>
      </c>
      <c r="N938" s="57" t="s">
        <v>776</v>
      </c>
      <c r="O938" s="26"/>
      <c r="P938" s="47">
        <v>6</v>
      </c>
      <c r="Q938" s="27"/>
      <c r="R938" s="34">
        <v>5</v>
      </c>
      <c r="S938" s="35">
        <f t="shared" si="678"/>
        <v>11</v>
      </c>
      <c r="T938" s="26"/>
      <c r="U938" s="47"/>
      <c r="V938" s="27"/>
      <c r="W938" s="34"/>
      <c r="X938" s="35">
        <f t="shared" si="679"/>
        <v>0</v>
      </c>
      <c r="Y938" s="11">
        <f t="shared" si="663"/>
        <v>11</v>
      </c>
      <c r="Z938" s="99">
        <v>45163</v>
      </c>
    </row>
    <row r="939" spans="1:27" x14ac:dyDescent="0.15">
      <c r="A939" s="12" t="s">
        <v>41</v>
      </c>
      <c r="B939" s="26"/>
      <c r="C939" s="47"/>
      <c r="D939" s="27"/>
      <c r="E939" s="34">
        <v>1</v>
      </c>
      <c r="F939" s="35">
        <f t="shared" si="671"/>
        <v>1</v>
      </c>
      <c r="G939" s="26"/>
      <c r="H939" s="47"/>
      <c r="I939" s="27"/>
      <c r="J939" s="34"/>
      <c r="K939" s="35">
        <f t="shared" si="672"/>
        <v>0</v>
      </c>
      <c r="L939" s="11">
        <f t="shared" si="658"/>
        <v>1</v>
      </c>
      <c r="M939" s="126">
        <v>45160</v>
      </c>
      <c r="N939" s="15" t="s">
        <v>777</v>
      </c>
      <c r="O939" s="26">
        <v>2</v>
      </c>
      <c r="P939" s="47"/>
      <c r="Q939" s="27"/>
      <c r="R939" s="34"/>
      <c r="S939" s="35">
        <f t="shared" si="678"/>
        <v>2</v>
      </c>
      <c r="T939" s="26"/>
      <c r="U939" s="47">
        <v>1</v>
      </c>
      <c r="V939" s="27"/>
      <c r="W939" s="34"/>
      <c r="X939" s="35">
        <f t="shared" si="679"/>
        <v>1</v>
      </c>
      <c r="Y939" s="11">
        <f t="shared" si="663"/>
        <v>3</v>
      </c>
      <c r="Z939" s="99">
        <v>45162</v>
      </c>
    </row>
    <row r="940" spans="1:27" x14ac:dyDescent="0.15">
      <c r="A940" s="13"/>
      <c r="B940" s="26"/>
      <c r="C940" s="47"/>
      <c r="D940" s="27"/>
      <c r="E940" s="34"/>
      <c r="F940" s="35">
        <f t="shared" si="671"/>
        <v>0</v>
      </c>
      <c r="G940" s="26"/>
      <c r="H940" s="47"/>
      <c r="I940" s="27"/>
      <c r="J940" s="34"/>
      <c r="K940" s="35">
        <f t="shared" si="672"/>
        <v>0</v>
      </c>
      <c r="L940" s="11">
        <f t="shared" si="658"/>
        <v>0</v>
      </c>
      <c r="N940" s="15" t="s">
        <v>778</v>
      </c>
      <c r="O940" s="26">
        <v>1</v>
      </c>
      <c r="P940" s="47"/>
      <c r="Q940" s="27">
        <v>4</v>
      </c>
      <c r="R940" s="34"/>
      <c r="S940" s="35">
        <f t="shared" si="678"/>
        <v>5</v>
      </c>
      <c r="T940" s="26"/>
      <c r="U940" s="47">
        <v>1</v>
      </c>
      <c r="V940" s="27">
        <v>1</v>
      </c>
      <c r="W940" s="34"/>
      <c r="X940" s="35">
        <f t="shared" si="679"/>
        <v>2</v>
      </c>
      <c r="Y940" s="11">
        <f t="shared" si="663"/>
        <v>7</v>
      </c>
      <c r="Z940" s="99">
        <v>45163</v>
      </c>
    </row>
    <row r="941" spans="1:27" x14ac:dyDescent="0.15">
      <c r="A941" s="32"/>
      <c r="B941" s="26"/>
      <c r="C941" s="47"/>
      <c r="D941" s="27"/>
      <c r="E941" s="34"/>
      <c r="F941" s="35">
        <f t="shared" si="671"/>
        <v>0</v>
      </c>
      <c r="G941" s="26"/>
      <c r="H941" s="47"/>
      <c r="I941" s="27"/>
      <c r="J941" s="34"/>
      <c r="K941" s="35">
        <f t="shared" si="672"/>
        <v>0</v>
      </c>
      <c r="L941" s="11">
        <f t="shared" si="658"/>
        <v>0</v>
      </c>
      <c r="N941" s="57" t="s">
        <v>779</v>
      </c>
      <c r="O941" s="26">
        <v>3</v>
      </c>
      <c r="P941" s="47">
        <v>6</v>
      </c>
      <c r="Q941" s="27"/>
      <c r="R941" s="34"/>
      <c r="S941" s="35">
        <f t="shared" si="678"/>
        <v>9</v>
      </c>
      <c r="T941" s="26">
        <v>3</v>
      </c>
      <c r="U941" s="47"/>
      <c r="V941" s="27">
        <v>6</v>
      </c>
      <c r="W941" s="34"/>
      <c r="X941" s="35">
        <f t="shared" si="679"/>
        <v>9</v>
      </c>
      <c r="Y941" s="11">
        <f t="shared" si="663"/>
        <v>18</v>
      </c>
      <c r="Z941" s="99">
        <v>45167</v>
      </c>
    </row>
    <row r="942" spans="1:27" x14ac:dyDescent="0.15">
      <c r="A942" s="32"/>
      <c r="B942" s="26"/>
      <c r="C942" s="47"/>
      <c r="D942" s="27"/>
      <c r="E942" s="34"/>
      <c r="F942" s="35">
        <f t="shared" si="671"/>
        <v>0</v>
      </c>
      <c r="G942" s="26"/>
      <c r="H942" s="47"/>
      <c r="I942" s="27"/>
      <c r="J942" s="34"/>
      <c r="K942" s="35">
        <f t="shared" si="672"/>
        <v>0</v>
      </c>
      <c r="L942" s="11">
        <f t="shared" si="658"/>
        <v>0</v>
      </c>
      <c r="N942" s="57"/>
      <c r="O942" s="66"/>
      <c r="P942" s="67"/>
      <c r="Q942" s="68"/>
      <c r="R942" s="69"/>
      <c r="S942" s="217">
        <f t="shared" si="678"/>
        <v>0</v>
      </c>
      <c r="T942" s="66"/>
      <c r="U942" s="67"/>
      <c r="V942" s="68"/>
      <c r="W942" s="69"/>
      <c r="X942" s="217">
        <f t="shared" si="679"/>
        <v>0</v>
      </c>
      <c r="Y942" s="11">
        <f t="shared" si="663"/>
        <v>0</v>
      </c>
      <c r="Z942" s="101"/>
    </row>
    <row r="943" spans="1:27" x14ac:dyDescent="0.15">
      <c r="A943" s="12"/>
      <c r="B943" s="26"/>
      <c r="C943" s="47"/>
      <c r="D943" s="27"/>
      <c r="E943" s="34"/>
      <c r="F943" s="35">
        <f t="shared" si="671"/>
        <v>0</v>
      </c>
      <c r="G943" s="26"/>
      <c r="H943" s="47"/>
      <c r="I943" s="27"/>
      <c r="J943" s="34"/>
      <c r="K943" s="35">
        <f t="shared" si="672"/>
        <v>0</v>
      </c>
      <c r="L943" s="11">
        <f t="shared" si="658"/>
        <v>0</v>
      </c>
      <c r="N943" s="12" t="s">
        <v>709</v>
      </c>
      <c r="O943" s="26"/>
      <c r="P943" s="47"/>
      <c r="Q943" s="27"/>
      <c r="R943" s="34"/>
      <c r="S943" s="35">
        <f t="shared" si="678"/>
        <v>0</v>
      </c>
      <c r="T943" s="26"/>
      <c r="U943" s="47"/>
      <c r="V943" s="27"/>
      <c r="W943" s="34"/>
      <c r="X943" s="35">
        <f t="shared" si="679"/>
        <v>0</v>
      </c>
      <c r="Y943" s="108">
        <f t="shared" si="663"/>
        <v>0</v>
      </c>
      <c r="Z943" s="99" t="s">
        <v>710</v>
      </c>
    </row>
    <row r="944" spans="1:27" x14ac:dyDescent="0.15">
      <c r="A944" s="79"/>
      <c r="B944" s="26"/>
      <c r="C944" s="47"/>
      <c r="D944" s="27"/>
      <c r="E944" s="34"/>
      <c r="F944" s="35">
        <f t="shared" si="671"/>
        <v>0</v>
      </c>
      <c r="G944" s="26"/>
      <c r="H944" s="47"/>
      <c r="I944" s="27"/>
      <c r="J944" s="34"/>
      <c r="K944" s="35">
        <f t="shared" si="672"/>
        <v>0</v>
      </c>
      <c r="L944" s="11">
        <f t="shared" si="658"/>
        <v>0</v>
      </c>
      <c r="N944" s="57" t="s">
        <v>698</v>
      </c>
      <c r="O944" s="66"/>
      <c r="P944" s="67"/>
      <c r="Q944" s="68"/>
      <c r="R944" s="69"/>
      <c r="S944" s="70">
        <f t="shared" ref="S944" si="683">SUM(O944:R944)</f>
        <v>0</v>
      </c>
      <c r="T944" s="66"/>
      <c r="U944" s="67"/>
      <c r="V944" s="68"/>
      <c r="W944" s="69"/>
      <c r="X944" s="70">
        <f t="shared" ref="X944" si="684">SUM(T944:W944)</f>
        <v>0</v>
      </c>
      <c r="Y944" s="11">
        <f t="shared" ref="Y944" si="685">S944+X944</f>
        <v>0</v>
      </c>
      <c r="Z944" s="101" t="s">
        <v>699</v>
      </c>
    </row>
    <row r="945" spans="1:26" x14ac:dyDescent="0.15">
      <c r="A945" s="57"/>
      <c r="B945" s="26"/>
      <c r="C945" s="47"/>
      <c r="D945" s="27"/>
      <c r="E945" s="34"/>
      <c r="F945" s="35">
        <f t="shared" si="671"/>
        <v>0</v>
      </c>
      <c r="G945" s="26"/>
      <c r="H945" s="47"/>
      <c r="I945" s="27"/>
      <c r="J945" s="34"/>
      <c r="K945" s="35">
        <f t="shared" si="672"/>
        <v>0</v>
      </c>
      <c r="L945" s="11">
        <f t="shared" si="658"/>
        <v>0</v>
      </c>
      <c r="N945" s="57" t="s">
        <v>673</v>
      </c>
      <c r="O945" s="66"/>
      <c r="P945" s="67"/>
      <c r="Q945" s="68"/>
      <c r="R945" s="69"/>
      <c r="S945" s="217">
        <f t="shared" si="678"/>
        <v>0</v>
      </c>
      <c r="T945" s="66"/>
      <c r="U945" s="67"/>
      <c r="V945" s="68"/>
      <c r="W945" s="69"/>
      <c r="X945" s="217">
        <f t="shared" si="679"/>
        <v>0</v>
      </c>
      <c r="Y945" s="11">
        <f t="shared" si="663"/>
        <v>0</v>
      </c>
      <c r="Z945" s="101" t="s">
        <v>674</v>
      </c>
    </row>
    <row r="946" spans="1:26" ht="14.25" thickBot="1" x14ac:dyDescent="0.2">
      <c r="A946" s="90"/>
      <c r="B946" s="62"/>
      <c r="C946" s="63"/>
      <c r="D946" s="64"/>
      <c r="E946" s="65"/>
      <c r="F946" s="35">
        <f t="shared" si="671"/>
        <v>0</v>
      </c>
      <c r="G946" s="62"/>
      <c r="H946" s="63"/>
      <c r="I946" s="64"/>
      <c r="J946" s="65"/>
      <c r="K946" s="35">
        <f t="shared" si="672"/>
        <v>0</v>
      </c>
      <c r="L946" s="14">
        <f t="shared" si="658"/>
        <v>0</v>
      </c>
      <c r="N946" s="220" t="s">
        <v>664</v>
      </c>
      <c r="O946" s="109"/>
      <c r="P946" s="110"/>
      <c r="Q946" s="111"/>
      <c r="R946" s="112"/>
      <c r="S946" s="134">
        <f t="shared" si="678"/>
        <v>0</v>
      </c>
      <c r="T946" s="109"/>
      <c r="U946" s="110"/>
      <c r="V946" s="111"/>
      <c r="W946" s="112"/>
      <c r="X946" s="134">
        <f t="shared" si="679"/>
        <v>0</v>
      </c>
      <c r="Y946" s="119">
        <f t="shared" si="663"/>
        <v>0</v>
      </c>
      <c r="Z946" s="101" t="s">
        <v>665</v>
      </c>
    </row>
    <row r="947" spans="1:26" ht="14.25" thickBot="1" x14ac:dyDescent="0.2">
      <c r="A947" s="17" t="s">
        <v>10</v>
      </c>
      <c r="B947" s="38">
        <f>SUM(B922:B946)</f>
        <v>7</v>
      </c>
      <c r="C947" s="48">
        <f>SUM(C922:C946)</f>
        <v>5</v>
      </c>
      <c r="D947" s="39">
        <f>SUM(D922:D946)</f>
        <v>10</v>
      </c>
      <c r="E947" s="40">
        <f>SUM(E922:E946)</f>
        <v>7</v>
      </c>
      <c r="F947" s="36">
        <f>SUM(B947:E947)</f>
        <v>29</v>
      </c>
      <c r="G947" s="38">
        <f>SUM(G922:G946)</f>
        <v>17</v>
      </c>
      <c r="H947" s="48">
        <f>SUM(H922:H946)</f>
        <v>13</v>
      </c>
      <c r="I947" s="39">
        <f>SUM(I922:I946)</f>
        <v>1</v>
      </c>
      <c r="J947" s="40">
        <f>SUM(J922:J946)</f>
        <v>4</v>
      </c>
      <c r="K947" s="36">
        <f>SUM(G947:J947)</f>
        <v>35</v>
      </c>
      <c r="L947" s="37">
        <f t="shared" si="658"/>
        <v>64</v>
      </c>
      <c r="N947" s="133" t="s">
        <v>10</v>
      </c>
      <c r="O947" s="38">
        <f>SUM(O922:O946)</f>
        <v>41</v>
      </c>
      <c r="P947" s="48">
        <f>SUM(P922:P946)</f>
        <v>53</v>
      </c>
      <c r="Q947" s="39">
        <f>SUM(Q922:Q946)</f>
        <v>26</v>
      </c>
      <c r="R947" s="40">
        <f>SUM(R922:R946)</f>
        <v>24</v>
      </c>
      <c r="S947" s="118">
        <f t="shared" si="678"/>
        <v>144</v>
      </c>
      <c r="T947" s="38">
        <f>SUM(T922:T946)</f>
        <v>23</v>
      </c>
      <c r="U947" s="48">
        <f>SUM(U922:U946)</f>
        <v>10</v>
      </c>
      <c r="V947" s="39">
        <f>SUM(V922:V946)</f>
        <v>19</v>
      </c>
      <c r="W947" s="40">
        <f>SUM(W922:W946)</f>
        <v>11</v>
      </c>
      <c r="X947" s="118">
        <f t="shared" si="679"/>
        <v>63</v>
      </c>
      <c r="Y947" s="119">
        <f t="shared" si="663"/>
        <v>207</v>
      </c>
    </row>
    <row r="948" spans="1:26" ht="14.25" thickBot="1" x14ac:dyDescent="0.2">
      <c r="A948" s="22" t="s">
        <v>11</v>
      </c>
      <c r="B948" s="41">
        <f>B921-B947</f>
        <v>7</v>
      </c>
      <c r="C948" s="49">
        <f>C921-C947</f>
        <v>8</v>
      </c>
      <c r="D948" s="42">
        <f t="shared" ref="D948:K948" si="686">D921-D947</f>
        <v>3</v>
      </c>
      <c r="E948" s="43">
        <f t="shared" si="686"/>
        <v>4</v>
      </c>
      <c r="F948" s="61">
        <f t="shared" si="686"/>
        <v>18</v>
      </c>
      <c r="G948" s="41">
        <f t="shared" si="686"/>
        <v>5</v>
      </c>
      <c r="H948" s="49">
        <f t="shared" si="686"/>
        <v>8</v>
      </c>
      <c r="I948" s="42">
        <f t="shared" si="686"/>
        <v>7</v>
      </c>
      <c r="J948" s="43">
        <f t="shared" si="686"/>
        <v>5</v>
      </c>
      <c r="K948" s="61">
        <f t="shared" si="686"/>
        <v>25</v>
      </c>
      <c r="L948" s="21">
        <f t="shared" si="658"/>
        <v>43</v>
      </c>
      <c r="N948" s="17" t="s">
        <v>11</v>
      </c>
      <c r="O948" s="41">
        <f>O921-O947</f>
        <v>446</v>
      </c>
      <c r="P948" s="49">
        <f t="shared" ref="P948:X948" si="687">P921-P947</f>
        <v>589</v>
      </c>
      <c r="Q948" s="42">
        <f t="shared" si="687"/>
        <v>275</v>
      </c>
      <c r="R948" s="43">
        <f t="shared" si="687"/>
        <v>159</v>
      </c>
      <c r="S948" s="61">
        <f t="shared" si="687"/>
        <v>1469</v>
      </c>
      <c r="T948" s="41">
        <f t="shared" si="687"/>
        <v>393</v>
      </c>
      <c r="U948" s="49">
        <f t="shared" si="687"/>
        <v>476</v>
      </c>
      <c r="V948" s="42">
        <f t="shared" si="687"/>
        <v>202</v>
      </c>
      <c r="W948" s="43">
        <f t="shared" si="687"/>
        <v>235</v>
      </c>
      <c r="X948" s="61">
        <f t="shared" si="687"/>
        <v>1306</v>
      </c>
      <c r="Y948" s="21">
        <f t="shared" si="663"/>
        <v>2775</v>
      </c>
    </row>
    <row r="951" spans="1:26" ht="19.5" thickBot="1" x14ac:dyDescent="0.25">
      <c r="A951" s="2" t="s">
        <v>106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105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6" ht="14.25" thickBot="1" x14ac:dyDescent="0.2">
      <c r="A952" s="5" t="s">
        <v>0</v>
      </c>
      <c r="B952" s="342" t="s">
        <v>18</v>
      </c>
      <c r="C952" s="350"/>
      <c r="D952" s="350"/>
      <c r="E952" s="350"/>
      <c r="F952" s="351"/>
      <c r="G952" s="345" t="s">
        <v>12</v>
      </c>
      <c r="H952" s="352"/>
      <c r="I952" s="352"/>
      <c r="J952" s="352"/>
      <c r="K952" s="353"/>
      <c r="L952" s="354" t="s">
        <v>1</v>
      </c>
      <c r="N952" s="5" t="s">
        <v>0</v>
      </c>
      <c r="O952" s="342" t="s">
        <v>18</v>
      </c>
      <c r="P952" s="350"/>
      <c r="Q952" s="350"/>
      <c r="R952" s="350"/>
      <c r="S952" s="351"/>
      <c r="T952" s="345" t="s">
        <v>12</v>
      </c>
      <c r="U952" s="352"/>
      <c r="V952" s="352"/>
      <c r="W952" s="352"/>
      <c r="X952" s="353"/>
      <c r="Y952" s="354" t="s">
        <v>1</v>
      </c>
    </row>
    <row r="953" spans="1:26" ht="14.25" thickBot="1" x14ac:dyDescent="0.2">
      <c r="A953" s="5" t="s">
        <v>2</v>
      </c>
      <c r="B953" s="3" t="s">
        <v>13</v>
      </c>
      <c r="C953" s="44" t="s">
        <v>14</v>
      </c>
      <c r="D953" s="4" t="s">
        <v>15</v>
      </c>
      <c r="E953" s="23" t="s">
        <v>16</v>
      </c>
      <c r="F953" s="31" t="s">
        <v>3</v>
      </c>
      <c r="G953" s="3" t="s">
        <v>13</v>
      </c>
      <c r="H953" s="44" t="s">
        <v>14</v>
      </c>
      <c r="I953" s="4" t="s">
        <v>15</v>
      </c>
      <c r="J953" s="23" t="s">
        <v>16</v>
      </c>
      <c r="K953" s="31" t="s">
        <v>3</v>
      </c>
      <c r="L953" s="355"/>
      <c r="N953" s="5" t="s">
        <v>2</v>
      </c>
      <c r="O953" s="3" t="s">
        <v>13</v>
      </c>
      <c r="P953" s="44" t="s">
        <v>14</v>
      </c>
      <c r="Q953" s="4" t="s">
        <v>15</v>
      </c>
      <c r="R953" s="23" t="s">
        <v>16</v>
      </c>
      <c r="S953" s="31" t="s">
        <v>3</v>
      </c>
      <c r="T953" s="3" t="s">
        <v>13</v>
      </c>
      <c r="U953" s="44" t="s">
        <v>14</v>
      </c>
      <c r="V953" s="4" t="s">
        <v>15</v>
      </c>
      <c r="W953" s="23" t="s">
        <v>16</v>
      </c>
      <c r="X953" s="31" t="s">
        <v>3</v>
      </c>
      <c r="Y953" s="355"/>
    </row>
    <row r="954" spans="1:26" x14ac:dyDescent="0.15">
      <c r="A954" s="71" t="s">
        <v>17</v>
      </c>
      <c r="B954" s="72">
        <f>B948</f>
        <v>7</v>
      </c>
      <c r="C954" s="73">
        <f t="shared" ref="C954:L954" si="688">C948</f>
        <v>8</v>
      </c>
      <c r="D954" s="73">
        <f t="shared" si="688"/>
        <v>3</v>
      </c>
      <c r="E954" s="74">
        <f t="shared" si="688"/>
        <v>4</v>
      </c>
      <c r="F954" s="76">
        <f t="shared" si="688"/>
        <v>18</v>
      </c>
      <c r="G954" s="72">
        <f t="shared" si="688"/>
        <v>5</v>
      </c>
      <c r="H954" s="73">
        <f t="shared" si="688"/>
        <v>8</v>
      </c>
      <c r="I954" s="73">
        <f t="shared" si="688"/>
        <v>7</v>
      </c>
      <c r="J954" s="74">
        <f t="shared" si="688"/>
        <v>5</v>
      </c>
      <c r="K954" s="75">
        <f t="shared" si="688"/>
        <v>25</v>
      </c>
      <c r="L954" s="16">
        <f t="shared" si="688"/>
        <v>43</v>
      </c>
      <c r="N954" s="71" t="s">
        <v>17</v>
      </c>
      <c r="O954" s="72">
        <f>O948</f>
        <v>446</v>
      </c>
      <c r="P954" s="73">
        <f t="shared" ref="P954:Y954" si="689">P948</f>
        <v>589</v>
      </c>
      <c r="Q954" s="73">
        <f t="shared" si="689"/>
        <v>275</v>
      </c>
      <c r="R954" s="74">
        <f t="shared" si="689"/>
        <v>159</v>
      </c>
      <c r="S954" s="76">
        <f t="shared" si="689"/>
        <v>1469</v>
      </c>
      <c r="T954" s="72">
        <f t="shared" si="689"/>
        <v>393</v>
      </c>
      <c r="U954" s="73">
        <f t="shared" si="689"/>
        <v>476</v>
      </c>
      <c r="V954" s="73">
        <f t="shared" si="689"/>
        <v>202</v>
      </c>
      <c r="W954" s="74">
        <f t="shared" si="689"/>
        <v>235</v>
      </c>
      <c r="X954" s="75">
        <f t="shared" si="689"/>
        <v>1306</v>
      </c>
      <c r="Y954" s="16">
        <f t="shared" si="689"/>
        <v>2775</v>
      </c>
    </row>
    <row r="955" spans="1:26" x14ac:dyDescent="0.15">
      <c r="A955" s="13" t="s">
        <v>5</v>
      </c>
      <c r="B955" s="26"/>
      <c r="C955" s="47"/>
      <c r="D955" s="27">
        <v>5</v>
      </c>
      <c r="E955" s="50">
        <v>7</v>
      </c>
      <c r="F955" s="9">
        <f t="shared" ref="F955" si="690">SUM(B955:E955)</f>
        <v>12</v>
      </c>
      <c r="G955" s="47"/>
      <c r="H955" s="47"/>
      <c r="I955" s="27"/>
      <c r="J955" s="50"/>
      <c r="K955" s="9">
        <f t="shared" ref="K955" si="691">SUM(G955:J955)</f>
        <v>0</v>
      </c>
      <c r="L955" s="11">
        <f t="shared" ref="L955" si="692">F955+K955</f>
        <v>12</v>
      </c>
      <c r="M955" s="99">
        <v>45166</v>
      </c>
      <c r="N955" s="13" t="s">
        <v>5</v>
      </c>
      <c r="O955" s="26"/>
      <c r="P955" s="47"/>
      <c r="Q955" s="27"/>
      <c r="R955" s="34"/>
      <c r="S955" s="77">
        <f>SUM(O955:R955)</f>
        <v>0</v>
      </c>
      <c r="T955" s="26"/>
      <c r="U955" s="47"/>
      <c r="V955" s="27"/>
      <c r="W955" s="34"/>
      <c r="X955" s="9">
        <f>SUM(T955:W955)</f>
        <v>0</v>
      </c>
      <c r="Y955" s="11">
        <f t="shared" ref="Y955:Y986" si="693">S955+X955</f>
        <v>0</v>
      </c>
    </row>
    <row r="956" spans="1:26" x14ac:dyDescent="0.15">
      <c r="A956" s="13" t="s">
        <v>49</v>
      </c>
      <c r="B956" s="26">
        <v>4</v>
      </c>
      <c r="C956" s="47">
        <v>2</v>
      </c>
      <c r="D956" s="27"/>
      <c r="E956" s="50">
        <v>1</v>
      </c>
      <c r="F956" s="9">
        <f>SUM(B956:E956)</f>
        <v>7</v>
      </c>
      <c r="G956" s="47">
        <v>1</v>
      </c>
      <c r="H956" s="47"/>
      <c r="I956" s="27"/>
      <c r="J956" s="50"/>
      <c r="K956" s="9">
        <f>SUM(G956:J956)</f>
        <v>1</v>
      </c>
      <c r="L956" s="11">
        <f t="shared" ref="L956:L986" si="694">F956+K956</f>
        <v>8</v>
      </c>
      <c r="M956" s="99">
        <v>45168</v>
      </c>
      <c r="N956" s="13" t="s">
        <v>6</v>
      </c>
      <c r="O956" s="26"/>
      <c r="P956" s="47"/>
      <c r="Q956" s="27"/>
      <c r="R956" s="34"/>
      <c r="S956" s="77">
        <f>SUM(O956:R956)</f>
        <v>0</v>
      </c>
      <c r="T956" s="26"/>
      <c r="U956" s="47"/>
      <c r="V956" s="27"/>
      <c r="W956" s="34"/>
      <c r="X956" s="9">
        <f>SUM(T956:W956)</f>
        <v>0</v>
      </c>
      <c r="Y956" s="11">
        <f t="shared" si="693"/>
        <v>0</v>
      </c>
    </row>
    <row r="957" spans="1:26" x14ac:dyDescent="0.15">
      <c r="A957" s="13" t="s">
        <v>7</v>
      </c>
      <c r="B957" s="26"/>
      <c r="C957" s="47"/>
      <c r="D957" s="27">
        <v>1</v>
      </c>
      <c r="E957" s="50"/>
      <c r="F957" s="9">
        <f>SUM(B957:E957)</f>
        <v>1</v>
      </c>
      <c r="G957" s="47"/>
      <c r="H957" s="47"/>
      <c r="I957" s="27"/>
      <c r="J957" s="50"/>
      <c r="K957" s="9">
        <f>SUM(G957:J957)</f>
        <v>0</v>
      </c>
      <c r="L957" s="11">
        <f t="shared" si="694"/>
        <v>1</v>
      </c>
      <c r="M957" s="99">
        <v>45171</v>
      </c>
      <c r="N957" s="13" t="s">
        <v>7</v>
      </c>
      <c r="O957" s="26"/>
      <c r="P957" s="47"/>
      <c r="Q957" s="27"/>
      <c r="R957" s="34"/>
      <c r="S957" s="77">
        <f>SUM(O957:R957)</f>
        <v>0</v>
      </c>
      <c r="T957" s="26"/>
      <c r="U957" s="47"/>
      <c r="V957" s="27"/>
      <c r="W957" s="34"/>
      <c r="X957" s="9">
        <f>SUM(T957:W957)</f>
        <v>0</v>
      </c>
      <c r="Y957" s="11">
        <f t="shared" ref="Y957" si="695">S957+X957</f>
        <v>0</v>
      </c>
    </row>
    <row r="958" spans="1:26" ht="14.25" thickBot="1" x14ac:dyDescent="0.2">
      <c r="A958" s="13" t="s">
        <v>8</v>
      </c>
      <c r="B958" s="26"/>
      <c r="C958" s="47">
        <v>3</v>
      </c>
      <c r="D958" s="27"/>
      <c r="E958" s="50">
        <v>3</v>
      </c>
      <c r="F958" s="10">
        <f>SUM(B958:E958)</f>
        <v>6</v>
      </c>
      <c r="G958" s="47">
        <v>3</v>
      </c>
      <c r="H958" s="47">
        <v>3</v>
      </c>
      <c r="I958" s="27"/>
      <c r="J958" s="50">
        <v>3</v>
      </c>
      <c r="K958" s="10">
        <f>SUM(G958:J958)</f>
        <v>9</v>
      </c>
      <c r="L958" s="14">
        <f t="shared" si="694"/>
        <v>15</v>
      </c>
      <c r="M958" s="99">
        <v>45181</v>
      </c>
      <c r="N958" s="13" t="s">
        <v>8</v>
      </c>
      <c r="O958" s="62"/>
      <c r="P958" s="63"/>
      <c r="Q958" s="64"/>
      <c r="R958" s="65"/>
      <c r="S958" s="78">
        <f>SUM(O958:R958)</f>
        <v>0</v>
      </c>
      <c r="T958" s="47"/>
      <c r="U958" s="47"/>
      <c r="V958" s="27"/>
      <c r="W958" s="50"/>
      <c r="X958" s="10">
        <f>SUM(T958:W958)</f>
        <v>0</v>
      </c>
      <c r="Y958" s="14">
        <f t="shared" si="693"/>
        <v>0</v>
      </c>
    </row>
    <row r="959" spans="1:26" ht="14.25" thickBot="1" x14ac:dyDescent="0.2">
      <c r="A959" s="22" t="s">
        <v>9</v>
      </c>
      <c r="B959" s="51">
        <f t="shared" ref="B959:K959" si="696">SUM(B954:B958)</f>
        <v>11</v>
      </c>
      <c r="C959" s="52">
        <f t="shared" si="696"/>
        <v>13</v>
      </c>
      <c r="D959" s="53">
        <f t="shared" si="696"/>
        <v>9</v>
      </c>
      <c r="E959" s="54">
        <f t="shared" si="696"/>
        <v>15</v>
      </c>
      <c r="F959" s="28">
        <f t="shared" si="696"/>
        <v>44</v>
      </c>
      <c r="G959" s="51">
        <f t="shared" si="696"/>
        <v>9</v>
      </c>
      <c r="H959" s="52">
        <f t="shared" si="696"/>
        <v>11</v>
      </c>
      <c r="I959" s="53">
        <f t="shared" si="696"/>
        <v>7</v>
      </c>
      <c r="J959" s="54">
        <f t="shared" si="696"/>
        <v>8</v>
      </c>
      <c r="K959" s="28">
        <f t="shared" si="696"/>
        <v>35</v>
      </c>
      <c r="L959" s="21">
        <f t="shared" si="694"/>
        <v>79</v>
      </c>
      <c r="N959" s="17" t="s">
        <v>9</v>
      </c>
      <c r="O959" s="41">
        <f>SUM(O954:O958)</f>
        <v>446</v>
      </c>
      <c r="P959" s="49">
        <f t="shared" ref="P959:V959" si="697">SUM(P954:P958)</f>
        <v>589</v>
      </c>
      <c r="Q959" s="42">
        <f t="shared" si="697"/>
        <v>275</v>
      </c>
      <c r="R959" s="92">
        <f t="shared" si="697"/>
        <v>159</v>
      </c>
      <c r="S959" s="93">
        <f t="shared" si="697"/>
        <v>1469</v>
      </c>
      <c r="T959" s="41">
        <f t="shared" si="697"/>
        <v>393</v>
      </c>
      <c r="U959" s="49">
        <f t="shared" si="697"/>
        <v>476</v>
      </c>
      <c r="V959" s="42">
        <f t="shared" si="697"/>
        <v>202</v>
      </c>
      <c r="W959" s="92">
        <f>SUM(W954:W958)</f>
        <v>235</v>
      </c>
      <c r="X959" s="93">
        <f t="shared" ref="X959" si="698">SUM(X954:X958)</f>
        <v>1306</v>
      </c>
      <c r="Y959" s="56">
        <f t="shared" si="693"/>
        <v>2775</v>
      </c>
    </row>
    <row r="960" spans="1:26" x14ac:dyDescent="0.15">
      <c r="A960" s="57" t="s">
        <v>781</v>
      </c>
      <c r="B960" s="24">
        <v>2</v>
      </c>
      <c r="C960" s="46">
        <v>2</v>
      </c>
      <c r="D960" s="25">
        <v>2</v>
      </c>
      <c r="E960" s="33">
        <v>6</v>
      </c>
      <c r="F960" s="35">
        <f>SUM(B960:E960)</f>
        <v>12</v>
      </c>
      <c r="G960" s="24"/>
      <c r="H960" s="46"/>
      <c r="I960" s="25"/>
      <c r="J960" s="33"/>
      <c r="K960" s="35">
        <f>SUM(G960:J960)</f>
        <v>0</v>
      </c>
      <c r="L960" s="11">
        <f t="shared" si="694"/>
        <v>12</v>
      </c>
      <c r="M960" s="99">
        <v>45167</v>
      </c>
      <c r="N960" s="15" t="s">
        <v>780</v>
      </c>
      <c r="O960" s="66">
        <v>1</v>
      </c>
      <c r="P960" s="67">
        <v>3</v>
      </c>
      <c r="Q960" s="68">
        <v>2</v>
      </c>
      <c r="R960" s="94"/>
      <c r="S960" s="91">
        <f>SUM(O960:R960)</f>
        <v>6</v>
      </c>
      <c r="T960" s="67"/>
      <c r="U960" s="67"/>
      <c r="V960" s="68"/>
      <c r="W960" s="94"/>
      <c r="X960" s="91">
        <f>SUM(T960:W960)</f>
        <v>0</v>
      </c>
      <c r="Y960" s="11">
        <f t="shared" si="693"/>
        <v>6</v>
      </c>
      <c r="Z960" s="99">
        <v>45166</v>
      </c>
    </row>
    <row r="961" spans="1:26" x14ac:dyDescent="0.15">
      <c r="A961" s="32" t="s">
        <v>784</v>
      </c>
      <c r="B961" s="26"/>
      <c r="C961" s="47">
        <v>1</v>
      </c>
      <c r="D961" s="27">
        <v>1</v>
      </c>
      <c r="E961" s="34"/>
      <c r="F961" s="35">
        <f>SUM(B961:E961)</f>
        <v>2</v>
      </c>
      <c r="G961" s="26"/>
      <c r="H961" s="47"/>
      <c r="I961" s="27"/>
      <c r="J961" s="34"/>
      <c r="K961" s="35">
        <f>SUM(G961:J961)</f>
        <v>0</v>
      </c>
      <c r="L961" s="11">
        <f t="shared" si="694"/>
        <v>2</v>
      </c>
      <c r="M961" s="126">
        <v>45166</v>
      </c>
      <c r="N961" s="79" t="s">
        <v>782</v>
      </c>
      <c r="O961" s="26"/>
      <c r="P961" s="47"/>
      <c r="Q961" s="27">
        <v>5</v>
      </c>
      <c r="R961" s="34">
        <v>7</v>
      </c>
      <c r="S961" s="35">
        <f t="shared" ref="S961:S962" si="699">SUM(O961:R961)</f>
        <v>12</v>
      </c>
      <c r="T961" s="26"/>
      <c r="U961" s="47"/>
      <c r="V961" s="27"/>
      <c r="W961" s="34"/>
      <c r="X961" s="35">
        <f t="shared" ref="X961:X962" si="700">SUM(T961:W961)</f>
        <v>0</v>
      </c>
      <c r="Y961" s="11">
        <f t="shared" si="693"/>
        <v>12</v>
      </c>
      <c r="Z961" s="99">
        <v>45166</v>
      </c>
    </row>
    <row r="962" spans="1:26" x14ac:dyDescent="0.15">
      <c r="A962" s="12" t="s">
        <v>41</v>
      </c>
      <c r="B962" s="26"/>
      <c r="C962" s="47">
        <v>1</v>
      </c>
      <c r="D962" s="27"/>
      <c r="E962" s="34">
        <v>1</v>
      </c>
      <c r="F962" s="35">
        <f t="shared" ref="F962:F983" si="701">SUM(B962:E962)</f>
        <v>2</v>
      </c>
      <c r="G962" s="26"/>
      <c r="H962" s="47"/>
      <c r="I962" s="27"/>
      <c r="J962" s="34"/>
      <c r="K962" s="35">
        <f t="shared" ref="K962:K984" si="702">SUM(G962:J962)</f>
        <v>0</v>
      </c>
      <c r="L962" s="11">
        <f t="shared" si="694"/>
        <v>2</v>
      </c>
      <c r="M962" s="126">
        <v>45166</v>
      </c>
      <c r="N962" s="15" t="s">
        <v>783</v>
      </c>
      <c r="O962" s="26">
        <v>3</v>
      </c>
      <c r="P962" s="47">
        <v>3</v>
      </c>
      <c r="Q962" s="27"/>
      <c r="R962" s="34"/>
      <c r="S962" s="35">
        <f t="shared" si="699"/>
        <v>6</v>
      </c>
      <c r="T962" s="26"/>
      <c r="U962" s="47"/>
      <c r="V962" s="27"/>
      <c r="W962" s="34">
        <v>2</v>
      </c>
      <c r="X962" s="35">
        <f t="shared" si="700"/>
        <v>2</v>
      </c>
      <c r="Y962" s="11">
        <f t="shared" si="693"/>
        <v>8</v>
      </c>
      <c r="Z962" s="99">
        <v>45167</v>
      </c>
    </row>
    <row r="963" spans="1:26" x14ac:dyDescent="0.15">
      <c r="A963" s="12" t="s">
        <v>41</v>
      </c>
      <c r="B963" s="66"/>
      <c r="C963" s="67">
        <v>1</v>
      </c>
      <c r="D963" s="68"/>
      <c r="E963" s="69">
        <v>1</v>
      </c>
      <c r="F963" s="70">
        <f t="shared" si="701"/>
        <v>2</v>
      </c>
      <c r="G963" s="66"/>
      <c r="H963" s="67"/>
      <c r="I963" s="68"/>
      <c r="J963" s="69"/>
      <c r="K963" s="70">
        <f t="shared" si="702"/>
        <v>0</v>
      </c>
      <c r="L963" s="11">
        <f t="shared" si="694"/>
        <v>2</v>
      </c>
      <c r="M963" s="126">
        <v>45167</v>
      </c>
      <c r="N963" s="57" t="s">
        <v>785</v>
      </c>
      <c r="O963" s="66">
        <v>5</v>
      </c>
      <c r="P963" s="67">
        <v>5</v>
      </c>
      <c r="Q963" s="68"/>
      <c r="R963" s="94">
        <v>5</v>
      </c>
      <c r="S963" s="91">
        <f>SUM(O963:R963)</f>
        <v>15</v>
      </c>
      <c r="T963" s="67">
        <v>3</v>
      </c>
      <c r="U963" s="67"/>
      <c r="V963" s="68"/>
      <c r="W963" s="94"/>
      <c r="X963" s="91">
        <f>SUM(T963:W963)</f>
        <v>3</v>
      </c>
      <c r="Y963" s="11">
        <f t="shared" si="693"/>
        <v>18</v>
      </c>
      <c r="Z963" s="126">
        <v>45168</v>
      </c>
    </row>
    <row r="964" spans="1:26" x14ac:dyDescent="0.15">
      <c r="A964" s="12" t="s">
        <v>41</v>
      </c>
      <c r="B964" s="26"/>
      <c r="C964" s="47">
        <v>1</v>
      </c>
      <c r="D964" s="27"/>
      <c r="E964" s="34"/>
      <c r="F964" s="35">
        <f t="shared" si="701"/>
        <v>1</v>
      </c>
      <c r="G964" s="26"/>
      <c r="H964" s="47">
        <f>2+1</f>
        <v>3</v>
      </c>
      <c r="I964" s="27"/>
      <c r="J964" s="34"/>
      <c r="K964" s="35">
        <f t="shared" si="702"/>
        <v>3</v>
      </c>
      <c r="L964" s="11">
        <f t="shared" si="694"/>
        <v>4</v>
      </c>
      <c r="M964" s="126">
        <v>45170</v>
      </c>
      <c r="N964" s="57" t="s">
        <v>786</v>
      </c>
      <c r="O964" s="26">
        <v>3</v>
      </c>
      <c r="P964" s="47">
        <v>3</v>
      </c>
      <c r="Q964" s="27">
        <v>3</v>
      </c>
      <c r="R964" s="34">
        <v>10</v>
      </c>
      <c r="S964" s="35">
        <f t="shared" ref="S964:S966" si="703">SUM(O964:R964)</f>
        <v>19</v>
      </c>
      <c r="T964" s="26">
        <v>2</v>
      </c>
      <c r="U964" s="47"/>
      <c r="V964" s="27">
        <v>2</v>
      </c>
      <c r="W964" s="34">
        <v>2</v>
      </c>
      <c r="X964" s="35">
        <f t="shared" ref="X964:X966" si="704">SUM(T964:W964)</f>
        <v>6</v>
      </c>
      <c r="Y964" s="11">
        <f t="shared" si="693"/>
        <v>25</v>
      </c>
      <c r="Z964" s="99">
        <v>45170</v>
      </c>
    </row>
    <row r="965" spans="1:26" x14ac:dyDescent="0.15">
      <c r="A965" s="12" t="s">
        <v>41</v>
      </c>
      <c r="B965" s="26"/>
      <c r="C965" s="47"/>
      <c r="D965" s="27"/>
      <c r="E965" s="34">
        <v>1</v>
      </c>
      <c r="F965" s="35">
        <f t="shared" si="701"/>
        <v>1</v>
      </c>
      <c r="G965" s="26">
        <v>2</v>
      </c>
      <c r="H965" s="47">
        <v>1</v>
      </c>
      <c r="I965" s="27"/>
      <c r="J965" s="34"/>
      <c r="K965" s="35">
        <f t="shared" si="702"/>
        <v>3</v>
      </c>
      <c r="L965" s="11">
        <f t="shared" si="694"/>
        <v>4</v>
      </c>
      <c r="M965" s="126">
        <v>45174</v>
      </c>
      <c r="N965" s="57" t="s">
        <v>787</v>
      </c>
      <c r="O965" s="26"/>
      <c r="P965" s="47">
        <v>2</v>
      </c>
      <c r="Q965" s="27">
        <v>9</v>
      </c>
      <c r="R965" s="34"/>
      <c r="S965" s="35">
        <f t="shared" si="703"/>
        <v>11</v>
      </c>
      <c r="T965" s="26"/>
      <c r="U965" s="47">
        <v>8</v>
      </c>
      <c r="V965" s="27">
        <v>5</v>
      </c>
      <c r="W965" s="34"/>
      <c r="X965" s="35">
        <f t="shared" si="704"/>
        <v>13</v>
      </c>
      <c r="Y965" s="11">
        <f t="shared" si="693"/>
        <v>24</v>
      </c>
      <c r="Z965" s="99">
        <v>45173</v>
      </c>
    </row>
    <row r="966" spans="1:26" x14ac:dyDescent="0.15">
      <c r="A966" s="12" t="s">
        <v>41</v>
      </c>
      <c r="B966" s="26"/>
      <c r="C966" s="47"/>
      <c r="D966" s="27"/>
      <c r="E966" s="34">
        <v>1</v>
      </c>
      <c r="F966" s="35">
        <f t="shared" si="701"/>
        <v>1</v>
      </c>
      <c r="G966" s="26"/>
      <c r="H966" s="47"/>
      <c r="I966" s="27"/>
      <c r="J966" s="34"/>
      <c r="K966" s="35">
        <f t="shared" si="702"/>
        <v>0</v>
      </c>
      <c r="L966" s="11">
        <f t="shared" si="694"/>
        <v>1</v>
      </c>
      <c r="M966" s="126">
        <v>45175</v>
      </c>
      <c r="N966" s="15" t="s">
        <v>788</v>
      </c>
      <c r="O966" s="26"/>
      <c r="P966" s="47">
        <v>9</v>
      </c>
      <c r="Q966" s="27"/>
      <c r="R966" s="34"/>
      <c r="S966" s="35">
        <f t="shared" si="703"/>
        <v>9</v>
      </c>
      <c r="T966" s="26"/>
      <c r="U966" s="47">
        <v>1</v>
      </c>
      <c r="V966" s="27"/>
      <c r="W966" s="34"/>
      <c r="X966" s="35">
        <f t="shared" si="704"/>
        <v>1</v>
      </c>
      <c r="Y966" s="11">
        <f t="shared" si="693"/>
        <v>10</v>
      </c>
      <c r="Z966" s="99">
        <v>45168</v>
      </c>
    </row>
    <row r="967" spans="1:26" x14ac:dyDescent="0.15">
      <c r="A967" s="12" t="s">
        <v>41</v>
      </c>
      <c r="B967" s="26"/>
      <c r="C967" s="47"/>
      <c r="D967" s="27"/>
      <c r="E967" s="34"/>
      <c r="F967" s="35">
        <f t="shared" si="701"/>
        <v>0</v>
      </c>
      <c r="G967" s="26">
        <v>1</v>
      </c>
      <c r="H967" s="47"/>
      <c r="I967" s="27"/>
      <c r="J967" s="34">
        <v>2</v>
      </c>
      <c r="K967" s="35">
        <f t="shared" si="702"/>
        <v>3</v>
      </c>
      <c r="L967" s="11">
        <f t="shared" si="694"/>
        <v>3</v>
      </c>
      <c r="M967" s="126">
        <v>45180</v>
      </c>
      <c r="N967" s="12" t="s">
        <v>789</v>
      </c>
      <c r="O967" s="26"/>
      <c r="P967" s="47">
        <v>3</v>
      </c>
      <c r="Q967" s="27">
        <v>3</v>
      </c>
      <c r="R967" s="50"/>
      <c r="S967" s="9">
        <f>SUM(O967:R967)</f>
        <v>6</v>
      </c>
      <c r="T967" s="47"/>
      <c r="U967" s="47">
        <v>3</v>
      </c>
      <c r="V967" s="27"/>
      <c r="W967" s="50"/>
      <c r="X967" s="9">
        <f>SUM(T967:W967)</f>
        <v>3</v>
      </c>
      <c r="Y967" s="11">
        <f t="shared" si="693"/>
        <v>9</v>
      </c>
      <c r="Z967" s="99">
        <v>45173</v>
      </c>
    </row>
    <row r="968" spans="1:26" x14ac:dyDescent="0.15">
      <c r="A968" s="13"/>
      <c r="B968" s="26"/>
      <c r="C968" s="47"/>
      <c r="D968" s="27"/>
      <c r="E968" s="34"/>
      <c r="F968" s="35">
        <f t="shared" si="701"/>
        <v>0</v>
      </c>
      <c r="G968" s="26"/>
      <c r="H968" s="47"/>
      <c r="I968" s="27"/>
      <c r="J968" s="34"/>
      <c r="K968" s="35">
        <f t="shared" si="702"/>
        <v>0</v>
      </c>
      <c r="L968" s="11">
        <f t="shared" si="694"/>
        <v>0</v>
      </c>
      <c r="N968" s="15" t="s">
        <v>790</v>
      </c>
      <c r="O968" s="26">
        <v>3</v>
      </c>
      <c r="P968" s="47">
        <v>4</v>
      </c>
      <c r="Q968" s="27">
        <v>1</v>
      </c>
      <c r="R968" s="34">
        <v>1</v>
      </c>
      <c r="S968" s="35">
        <f t="shared" ref="S968:S985" si="705">SUM(O968:R968)</f>
        <v>9</v>
      </c>
      <c r="T968" s="26">
        <v>2</v>
      </c>
      <c r="U968" s="47">
        <v>1</v>
      </c>
      <c r="V968" s="27"/>
      <c r="W968" s="34"/>
      <c r="X968" s="35">
        <f t="shared" ref="X968:X985" si="706">SUM(T968:W968)</f>
        <v>3</v>
      </c>
      <c r="Y968" s="11">
        <f t="shared" si="693"/>
        <v>12</v>
      </c>
      <c r="Z968" s="99">
        <v>45169</v>
      </c>
    </row>
    <row r="969" spans="1:26" x14ac:dyDescent="0.15">
      <c r="A969" s="32"/>
      <c r="B969" s="26"/>
      <c r="C969" s="47"/>
      <c r="D969" s="27"/>
      <c r="E969" s="34"/>
      <c r="F969" s="35">
        <f t="shared" si="701"/>
        <v>0</v>
      </c>
      <c r="G969" s="26"/>
      <c r="H969" s="47"/>
      <c r="I969" s="27"/>
      <c r="J969" s="34"/>
      <c r="K969" s="35">
        <f t="shared" si="702"/>
        <v>0</v>
      </c>
      <c r="L969" s="11">
        <f t="shared" si="694"/>
        <v>0</v>
      </c>
      <c r="N969" s="15" t="s">
        <v>791</v>
      </c>
      <c r="O969" s="26">
        <v>4</v>
      </c>
      <c r="P969" s="47">
        <v>4</v>
      </c>
      <c r="Q969" s="27">
        <v>10</v>
      </c>
      <c r="R969" s="34"/>
      <c r="S969" s="35">
        <f t="shared" si="705"/>
        <v>18</v>
      </c>
      <c r="T969" s="26">
        <v>2</v>
      </c>
      <c r="U969" s="47">
        <v>1</v>
      </c>
      <c r="V969" s="27">
        <v>1</v>
      </c>
      <c r="W969" s="34"/>
      <c r="X969" s="35">
        <f t="shared" si="706"/>
        <v>4</v>
      </c>
      <c r="Y969" s="11">
        <f t="shared" si="693"/>
        <v>22</v>
      </c>
      <c r="Z969" s="99">
        <v>45170</v>
      </c>
    </row>
    <row r="970" spans="1:26" x14ac:dyDescent="0.15">
      <c r="A970" s="15"/>
      <c r="B970" s="26"/>
      <c r="C970" s="47"/>
      <c r="D970" s="27"/>
      <c r="E970" s="34"/>
      <c r="F970" s="35">
        <f t="shared" si="701"/>
        <v>0</v>
      </c>
      <c r="G970" s="26"/>
      <c r="H970" s="47"/>
      <c r="I970" s="27"/>
      <c r="J970" s="34"/>
      <c r="K970" s="35">
        <f t="shared" si="702"/>
        <v>0</v>
      </c>
      <c r="L970" s="11">
        <f t="shared" si="694"/>
        <v>0</v>
      </c>
      <c r="N970" s="12" t="s">
        <v>792</v>
      </c>
      <c r="O970" s="26"/>
      <c r="P970" s="47"/>
      <c r="Q970" s="27"/>
      <c r="R970" s="34"/>
      <c r="S970" s="35">
        <f t="shared" si="705"/>
        <v>0</v>
      </c>
      <c r="T970" s="26"/>
      <c r="U970" s="47"/>
      <c r="V970" s="27">
        <v>3</v>
      </c>
      <c r="W970" s="34"/>
      <c r="X970" s="35">
        <f t="shared" si="706"/>
        <v>3</v>
      </c>
      <c r="Y970" s="11">
        <f t="shared" si="693"/>
        <v>3</v>
      </c>
      <c r="Z970" s="99">
        <v>45174</v>
      </c>
    </row>
    <row r="971" spans="1:26" x14ac:dyDescent="0.15">
      <c r="A971" s="13"/>
      <c r="B971" s="26"/>
      <c r="C971" s="47"/>
      <c r="D971" s="27"/>
      <c r="E971" s="34"/>
      <c r="F971" s="35">
        <f t="shared" si="701"/>
        <v>0</v>
      </c>
      <c r="G971" s="26"/>
      <c r="H971" s="47"/>
      <c r="I971" s="27"/>
      <c r="J971" s="34"/>
      <c r="K971" s="35">
        <f t="shared" si="702"/>
        <v>0</v>
      </c>
      <c r="L971" s="11">
        <f t="shared" si="694"/>
        <v>0</v>
      </c>
      <c r="N971" s="15" t="s">
        <v>793</v>
      </c>
      <c r="O971" s="26">
        <v>1</v>
      </c>
      <c r="P971" s="47">
        <v>1</v>
      </c>
      <c r="Q971" s="27">
        <v>1</v>
      </c>
      <c r="R971" s="34">
        <v>2</v>
      </c>
      <c r="S971" s="35">
        <f t="shared" si="705"/>
        <v>5</v>
      </c>
      <c r="T971" s="26"/>
      <c r="U971" s="47"/>
      <c r="V971" s="27">
        <v>1</v>
      </c>
      <c r="W971" s="34"/>
      <c r="X971" s="35">
        <f t="shared" si="706"/>
        <v>1</v>
      </c>
      <c r="Y971" s="11">
        <f t="shared" si="693"/>
        <v>6</v>
      </c>
      <c r="Z971" s="99">
        <v>45173</v>
      </c>
    </row>
    <row r="972" spans="1:26" x14ac:dyDescent="0.15">
      <c r="A972" s="15"/>
      <c r="B972" s="26"/>
      <c r="C972" s="47"/>
      <c r="D972" s="27"/>
      <c r="E972" s="34"/>
      <c r="F972" s="35">
        <f t="shared" si="701"/>
        <v>0</v>
      </c>
      <c r="G972" s="26"/>
      <c r="H972" s="47"/>
      <c r="I972" s="27"/>
      <c r="J972" s="34"/>
      <c r="K972" s="35">
        <f t="shared" si="702"/>
        <v>0</v>
      </c>
      <c r="L972" s="11">
        <f t="shared" si="694"/>
        <v>0</v>
      </c>
      <c r="N972" s="57" t="s">
        <v>794</v>
      </c>
      <c r="O972" s="26">
        <v>2</v>
      </c>
      <c r="P972" s="47">
        <v>8</v>
      </c>
      <c r="Q972" s="27">
        <v>2</v>
      </c>
      <c r="R972" s="34">
        <v>3</v>
      </c>
      <c r="S972" s="35">
        <f t="shared" si="705"/>
        <v>15</v>
      </c>
      <c r="T972" s="26"/>
      <c r="U972" s="47"/>
      <c r="V972" s="27"/>
      <c r="W972" s="34">
        <v>2</v>
      </c>
      <c r="X972" s="35">
        <f t="shared" si="706"/>
        <v>2</v>
      </c>
      <c r="Y972" s="11">
        <f t="shared" si="693"/>
        <v>17</v>
      </c>
      <c r="Z972" s="99">
        <v>45174</v>
      </c>
    </row>
    <row r="973" spans="1:26" x14ac:dyDescent="0.15">
      <c r="A973" s="13"/>
      <c r="B973" s="26"/>
      <c r="C973" s="47"/>
      <c r="D973" s="27"/>
      <c r="E973" s="34"/>
      <c r="F973" s="35">
        <f t="shared" si="701"/>
        <v>0</v>
      </c>
      <c r="G973" s="26"/>
      <c r="H973" s="47"/>
      <c r="I973" s="27"/>
      <c r="J973" s="34"/>
      <c r="K973" s="35">
        <f t="shared" si="702"/>
        <v>0</v>
      </c>
      <c r="L973" s="11">
        <f t="shared" si="694"/>
        <v>0</v>
      </c>
      <c r="N973" s="15" t="s">
        <v>795</v>
      </c>
      <c r="O973" s="26">
        <v>2</v>
      </c>
      <c r="P973" s="47">
        <v>5</v>
      </c>
      <c r="Q973" s="27">
        <v>3</v>
      </c>
      <c r="R973" s="34">
        <v>2</v>
      </c>
      <c r="S973" s="35">
        <f t="shared" si="705"/>
        <v>12</v>
      </c>
      <c r="T973" s="26">
        <v>1</v>
      </c>
      <c r="U973" s="47">
        <v>1</v>
      </c>
      <c r="V973" s="27">
        <v>1</v>
      </c>
      <c r="W973" s="34">
        <v>1</v>
      </c>
      <c r="X973" s="35">
        <f t="shared" si="706"/>
        <v>4</v>
      </c>
      <c r="Y973" s="11">
        <f t="shared" si="693"/>
        <v>16</v>
      </c>
      <c r="Z973" s="99">
        <v>45174</v>
      </c>
    </row>
    <row r="974" spans="1:26" x14ac:dyDescent="0.15">
      <c r="A974" s="15"/>
      <c r="B974" s="26"/>
      <c r="C974" s="47"/>
      <c r="D974" s="27"/>
      <c r="E974" s="34"/>
      <c r="F974" s="35">
        <f t="shared" si="701"/>
        <v>0</v>
      </c>
      <c r="G974" s="26"/>
      <c r="H974" s="47"/>
      <c r="I974" s="27"/>
      <c r="J974" s="34"/>
      <c r="K974" s="35">
        <f t="shared" si="702"/>
        <v>0</v>
      </c>
      <c r="L974" s="11">
        <f t="shared" si="694"/>
        <v>0</v>
      </c>
      <c r="N974" s="79" t="s">
        <v>34</v>
      </c>
      <c r="O974" s="26"/>
      <c r="P974" s="47"/>
      <c r="Q974" s="27">
        <v>1</v>
      </c>
      <c r="R974" s="34"/>
      <c r="S974" s="35">
        <f t="shared" si="705"/>
        <v>1</v>
      </c>
      <c r="T974" s="26"/>
      <c r="U974" s="47"/>
      <c r="V974" s="27"/>
      <c r="W974" s="34"/>
      <c r="X974" s="35">
        <f t="shared" si="706"/>
        <v>0</v>
      </c>
      <c r="Y974" s="11">
        <f t="shared" si="693"/>
        <v>1</v>
      </c>
      <c r="Z974" s="126">
        <v>45171</v>
      </c>
    </row>
    <row r="975" spans="1:26" x14ac:dyDescent="0.15">
      <c r="A975" s="13"/>
      <c r="B975" s="26"/>
      <c r="C975" s="47"/>
      <c r="D975" s="27"/>
      <c r="E975" s="34"/>
      <c r="F975" s="35">
        <f t="shared" si="701"/>
        <v>0</v>
      </c>
      <c r="G975" s="26"/>
      <c r="H975" s="47"/>
      <c r="I975" s="27"/>
      <c r="J975" s="34"/>
      <c r="K975" s="35">
        <f t="shared" si="702"/>
        <v>0</v>
      </c>
      <c r="L975" s="11">
        <f t="shared" si="694"/>
        <v>0</v>
      </c>
      <c r="N975" s="15" t="s">
        <v>796</v>
      </c>
      <c r="O975" s="26"/>
      <c r="P975" s="47"/>
      <c r="Q975" s="27"/>
      <c r="R975" s="34"/>
      <c r="S975" s="35">
        <f t="shared" si="705"/>
        <v>0</v>
      </c>
      <c r="T975" s="26">
        <v>5</v>
      </c>
      <c r="U975" s="47">
        <v>5</v>
      </c>
      <c r="V975" s="27"/>
      <c r="W975" s="34"/>
      <c r="X975" s="35">
        <f t="shared" si="706"/>
        <v>10</v>
      </c>
      <c r="Y975" s="11">
        <f t="shared" si="693"/>
        <v>10</v>
      </c>
      <c r="Z975" s="99">
        <v>45175</v>
      </c>
    </row>
    <row r="976" spans="1:26" x14ac:dyDescent="0.15">
      <c r="A976" s="15"/>
      <c r="B976" s="26"/>
      <c r="C976" s="47"/>
      <c r="D976" s="27"/>
      <c r="E976" s="34"/>
      <c r="F976" s="35">
        <f t="shared" si="701"/>
        <v>0</v>
      </c>
      <c r="G976" s="26"/>
      <c r="H976" s="47"/>
      <c r="I976" s="27"/>
      <c r="J976" s="34"/>
      <c r="K976" s="35">
        <f t="shared" si="702"/>
        <v>0</v>
      </c>
      <c r="L976" s="11">
        <f t="shared" si="694"/>
        <v>0</v>
      </c>
      <c r="N976" s="12" t="s">
        <v>797</v>
      </c>
      <c r="O976" s="26"/>
      <c r="P976" s="47"/>
      <c r="Q976" s="27"/>
      <c r="R976" s="34"/>
      <c r="S976" s="35">
        <f t="shared" si="705"/>
        <v>0</v>
      </c>
      <c r="T976" s="26"/>
      <c r="U976" s="47"/>
      <c r="V976" s="27"/>
      <c r="W976" s="34">
        <v>10</v>
      </c>
      <c r="X976" s="35">
        <f t="shared" si="706"/>
        <v>10</v>
      </c>
      <c r="Y976" s="11">
        <f t="shared" si="693"/>
        <v>10</v>
      </c>
      <c r="Z976" s="99">
        <v>45177</v>
      </c>
    </row>
    <row r="977" spans="1:26" x14ac:dyDescent="0.15">
      <c r="A977" s="15"/>
      <c r="B977" s="26"/>
      <c r="C977" s="47"/>
      <c r="D977" s="27"/>
      <c r="E977" s="34"/>
      <c r="F977" s="35">
        <f t="shared" si="701"/>
        <v>0</v>
      </c>
      <c r="G977" s="26"/>
      <c r="H977" s="47"/>
      <c r="I977" s="27"/>
      <c r="J977" s="34"/>
      <c r="K977" s="35">
        <f t="shared" si="702"/>
        <v>0</v>
      </c>
      <c r="L977" s="11">
        <f t="shared" si="694"/>
        <v>0</v>
      </c>
      <c r="N977" s="15" t="s">
        <v>800</v>
      </c>
      <c r="O977" s="26">
        <v>2</v>
      </c>
      <c r="P977" s="47">
        <v>2</v>
      </c>
      <c r="Q977" s="27"/>
      <c r="R977" s="34">
        <v>1</v>
      </c>
      <c r="S977" s="35">
        <f t="shared" si="705"/>
        <v>5</v>
      </c>
      <c r="T977" s="26"/>
      <c r="U977" s="47">
        <v>3</v>
      </c>
      <c r="V977" s="27"/>
      <c r="W977" s="34"/>
      <c r="X977" s="35">
        <f t="shared" si="706"/>
        <v>3</v>
      </c>
      <c r="Y977" s="11">
        <f t="shared" si="693"/>
        <v>8</v>
      </c>
      <c r="Z977" s="99">
        <v>45176</v>
      </c>
    </row>
    <row r="978" spans="1:26" x14ac:dyDescent="0.15">
      <c r="A978" s="13"/>
      <c r="B978" s="26"/>
      <c r="C978" s="47"/>
      <c r="D978" s="27"/>
      <c r="E978" s="34"/>
      <c r="F978" s="35">
        <f t="shared" si="701"/>
        <v>0</v>
      </c>
      <c r="G978" s="26"/>
      <c r="H978" s="47"/>
      <c r="I978" s="27"/>
      <c r="J978" s="34"/>
      <c r="K978" s="35">
        <f t="shared" si="702"/>
        <v>0</v>
      </c>
      <c r="L978" s="11">
        <f t="shared" si="694"/>
        <v>0</v>
      </c>
      <c r="N978" s="15" t="s">
        <v>801</v>
      </c>
      <c r="O978" s="26"/>
      <c r="P978" s="47">
        <v>2</v>
      </c>
      <c r="Q978" s="27">
        <v>1</v>
      </c>
      <c r="R978" s="34"/>
      <c r="S978" s="35">
        <f t="shared" si="705"/>
        <v>3</v>
      </c>
      <c r="T978" s="26"/>
      <c r="U978" s="47">
        <v>1</v>
      </c>
      <c r="V978" s="27"/>
      <c r="W978" s="34">
        <v>1</v>
      </c>
      <c r="X978" s="35">
        <f t="shared" si="706"/>
        <v>2</v>
      </c>
      <c r="Y978" s="11">
        <f t="shared" si="693"/>
        <v>5</v>
      </c>
      <c r="Z978" s="99">
        <v>45177</v>
      </c>
    </row>
    <row r="979" spans="1:26" x14ac:dyDescent="0.15">
      <c r="A979" s="32"/>
      <c r="B979" s="26"/>
      <c r="C979" s="47"/>
      <c r="D979" s="27"/>
      <c r="E979" s="34"/>
      <c r="F979" s="35">
        <f t="shared" si="701"/>
        <v>0</v>
      </c>
      <c r="G979" s="26"/>
      <c r="H979" s="47"/>
      <c r="I979" s="27"/>
      <c r="J979" s="34"/>
      <c r="K979" s="35">
        <f t="shared" si="702"/>
        <v>0</v>
      </c>
      <c r="L979" s="11">
        <f t="shared" si="694"/>
        <v>0</v>
      </c>
      <c r="N979" s="57" t="s">
        <v>802</v>
      </c>
      <c r="O979" s="26">
        <v>2</v>
      </c>
      <c r="P979" s="47">
        <v>3</v>
      </c>
      <c r="Q979" s="27"/>
      <c r="R979" s="34"/>
      <c r="S979" s="35">
        <f t="shared" si="705"/>
        <v>5</v>
      </c>
      <c r="T979" s="26"/>
      <c r="U979" s="47">
        <v>1</v>
      </c>
      <c r="V979" s="27"/>
      <c r="W979" s="34">
        <v>2</v>
      </c>
      <c r="X979" s="35">
        <f t="shared" si="706"/>
        <v>3</v>
      </c>
      <c r="Y979" s="11">
        <f t="shared" si="693"/>
        <v>8</v>
      </c>
      <c r="Z979" s="99">
        <v>45180</v>
      </c>
    </row>
    <row r="980" spans="1:26" x14ac:dyDescent="0.15">
      <c r="A980" s="32"/>
      <c r="B980" s="26"/>
      <c r="C980" s="47"/>
      <c r="D980" s="27"/>
      <c r="E980" s="34"/>
      <c r="F980" s="35">
        <f t="shared" si="701"/>
        <v>0</v>
      </c>
      <c r="G980" s="26"/>
      <c r="H980" s="47"/>
      <c r="I980" s="27"/>
      <c r="J980" s="34"/>
      <c r="K980" s="35">
        <f t="shared" si="702"/>
        <v>0</v>
      </c>
      <c r="L980" s="11">
        <f t="shared" si="694"/>
        <v>0</v>
      </c>
      <c r="N980" s="57"/>
      <c r="O980" s="66"/>
      <c r="P980" s="67"/>
      <c r="Q980" s="68"/>
      <c r="R980" s="69"/>
      <c r="S980" s="217">
        <f t="shared" si="705"/>
        <v>0</v>
      </c>
      <c r="T980" s="66"/>
      <c r="U980" s="67"/>
      <c r="V980" s="68"/>
      <c r="W980" s="69"/>
      <c r="X980" s="217">
        <f t="shared" si="706"/>
        <v>0</v>
      </c>
      <c r="Y980" s="11">
        <f t="shared" si="693"/>
        <v>0</v>
      </c>
    </row>
    <row r="981" spans="1:26" x14ac:dyDescent="0.15">
      <c r="A981" s="12"/>
      <c r="B981" s="26"/>
      <c r="C981" s="47"/>
      <c r="D981" s="27"/>
      <c r="E981" s="34"/>
      <c r="F981" s="35">
        <f t="shared" si="701"/>
        <v>0</v>
      </c>
      <c r="G981" s="26"/>
      <c r="H981" s="47"/>
      <c r="I981" s="27"/>
      <c r="J981" s="34"/>
      <c r="K981" s="35">
        <f t="shared" si="702"/>
        <v>0</v>
      </c>
      <c r="L981" s="11">
        <f t="shared" si="694"/>
        <v>0</v>
      </c>
      <c r="N981" s="57"/>
      <c r="O981" s="66"/>
      <c r="P981" s="67"/>
      <c r="Q981" s="68"/>
      <c r="R981" s="69"/>
      <c r="S981" s="70">
        <f t="shared" si="705"/>
        <v>0</v>
      </c>
      <c r="T981" s="66"/>
      <c r="U981" s="67"/>
      <c r="V981" s="68"/>
      <c r="W981" s="69"/>
      <c r="X981" s="70">
        <f t="shared" si="706"/>
        <v>0</v>
      </c>
      <c r="Y981" s="11">
        <f t="shared" si="693"/>
        <v>0</v>
      </c>
      <c r="Z981" s="101"/>
    </row>
    <row r="982" spans="1:26" x14ac:dyDescent="0.15">
      <c r="A982" s="79"/>
      <c r="B982" s="26"/>
      <c r="C982" s="47"/>
      <c r="D982" s="27"/>
      <c r="E982" s="34"/>
      <c r="F982" s="35">
        <f t="shared" si="701"/>
        <v>0</v>
      </c>
      <c r="G982" s="26"/>
      <c r="H982" s="47"/>
      <c r="I982" s="27"/>
      <c r="J982" s="34"/>
      <c r="K982" s="35">
        <f t="shared" si="702"/>
        <v>0</v>
      </c>
      <c r="L982" s="11">
        <f t="shared" si="694"/>
        <v>0</v>
      </c>
      <c r="N982" s="57" t="s">
        <v>761</v>
      </c>
      <c r="O982" s="66"/>
      <c r="P982" s="67"/>
      <c r="Q982" s="68"/>
      <c r="R982" s="69"/>
      <c r="S982" s="70">
        <f t="shared" ref="S982:S984" si="707">SUM(O982:R982)</f>
        <v>0</v>
      </c>
      <c r="T982" s="66"/>
      <c r="U982" s="67"/>
      <c r="V982" s="68"/>
      <c r="W982" s="69"/>
      <c r="X982" s="70">
        <f t="shared" ref="X982:X984" si="708">SUM(T982:W982)</f>
        <v>0</v>
      </c>
      <c r="Y982" s="11">
        <f t="shared" ref="Y982:Y984" si="709">S982+X982</f>
        <v>0</v>
      </c>
      <c r="Z982" s="101" t="s">
        <v>762</v>
      </c>
    </row>
    <row r="983" spans="1:26" x14ac:dyDescent="0.15">
      <c r="A983" s="57"/>
      <c r="B983" s="26"/>
      <c r="C983" s="47"/>
      <c r="D983" s="27"/>
      <c r="E983" s="34"/>
      <c r="F983" s="35">
        <f t="shared" si="701"/>
        <v>0</v>
      </c>
      <c r="G983" s="26"/>
      <c r="H983" s="47"/>
      <c r="I983" s="27"/>
      <c r="J983" s="34"/>
      <c r="K983" s="35">
        <f t="shared" si="702"/>
        <v>0</v>
      </c>
      <c r="L983" s="11">
        <f t="shared" si="694"/>
        <v>0</v>
      </c>
      <c r="N983" s="57" t="s">
        <v>731</v>
      </c>
      <c r="O983" s="66"/>
      <c r="P983" s="67"/>
      <c r="Q983" s="68"/>
      <c r="R983" s="69"/>
      <c r="S983" s="70">
        <f t="shared" si="707"/>
        <v>0</v>
      </c>
      <c r="T983" s="66"/>
      <c r="U983" s="67"/>
      <c r="V983" s="68"/>
      <c r="W983" s="69"/>
      <c r="X983" s="70">
        <f t="shared" si="708"/>
        <v>0</v>
      </c>
      <c r="Y983" s="11">
        <f t="shared" si="709"/>
        <v>0</v>
      </c>
      <c r="Z983" s="101" t="s">
        <v>732</v>
      </c>
    </row>
    <row r="984" spans="1:26" ht="14.25" thickBot="1" x14ac:dyDescent="0.2">
      <c r="A984" s="90" t="s">
        <v>848</v>
      </c>
      <c r="B984" s="62"/>
      <c r="C984" s="63">
        <v>-1</v>
      </c>
      <c r="D984" s="64">
        <v>-1</v>
      </c>
      <c r="E984" s="65">
        <v>1</v>
      </c>
      <c r="F984" s="35">
        <f>SUM(B984:E984)</f>
        <v>-1</v>
      </c>
      <c r="G984" s="62">
        <v>1</v>
      </c>
      <c r="H984" s="63">
        <v>-2</v>
      </c>
      <c r="I984" s="64"/>
      <c r="J984" s="65">
        <v>-1</v>
      </c>
      <c r="K984" s="35">
        <f t="shared" si="702"/>
        <v>-2</v>
      </c>
      <c r="L984" s="14">
        <f t="shared" si="694"/>
        <v>-3</v>
      </c>
      <c r="M984" s="126">
        <v>45198</v>
      </c>
      <c r="N984" s="135" t="s">
        <v>752</v>
      </c>
      <c r="O984" s="62"/>
      <c r="P984" s="63"/>
      <c r="Q984" s="64"/>
      <c r="R984" s="65"/>
      <c r="S984" s="120">
        <f t="shared" si="707"/>
        <v>0</v>
      </c>
      <c r="T984" s="62"/>
      <c r="U984" s="63"/>
      <c r="V984" s="64"/>
      <c r="W984" s="65"/>
      <c r="X984" s="120">
        <f t="shared" si="708"/>
        <v>0</v>
      </c>
      <c r="Y984" s="121">
        <f t="shared" si="709"/>
        <v>0</v>
      </c>
      <c r="Z984" s="101" t="s">
        <v>753</v>
      </c>
    </row>
    <row r="985" spans="1:26" ht="14.25" thickBot="1" x14ac:dyDescent="0.2">
      <c r="A985" s="17" t="s">
        <v>10</v>
      </c>
      <c r="B985" s="38">
        <f>SUM(B960:B984)</f>
        <v>2</v>
      </c>
      <c r="C985" s="48">
        <f>SUM(C960:C984)</f>
        <v>5</v>
      </c>
      <c r="D985" s="39">
        <f>SUM(D960:D984)</f>
        <v>2</v>
      </c>
      <c r="E985" s="40">
        <f>SUM(E960:E984)</f>
        <v>11</v>
      </c>
      <c r="F985" s="36">
        <f>SUM(B985:E985)</f>
        <v>20</v>
      </c>
      <c r="G985" s="38">
        <f>SUM(G960:G984)</f>
        <v>4</v>
      </c>
      <c r="H985" s="48">
        <f>SUM(H960:H984)</f>
        <v>2</v>
      </c>
      <c r="I985" s="39">
        <f>SUM(I960:I984)</f>
        <v>0</v>
      </c>
      <c r="J985" s="40">
        <f>SUM(J960:J984)</f>
        <v>1</v>
      </c>
      <c r="K985" s="36">
        <f>SUM(G985:J985)</f>
        <v>7</v>
      </c>
      <c r="L985" s="37">
        <f t="shared" si="694"/>
        <v>27</v>
      </c>
      <c r="N985" s="133" t="s">
        <v>10</v>
      </c>
      <c r="O985" s="38">
        <f>SUM(O960:O984)</f>
        <v>28</v>
      </c>
      <c r="P985" s="48">
        <f>SUM(P960:P984)</f>
        <v>57</v>
      </c>
      <c r="Q985" s="39">
        <f>SUM(Q960:Q984)</f>
        <v>41</v>
      </c>
      <c r="R985" s="40">
        <f>SUM(R960:R984)</f>
        <v>31</v>
      </c>
      <c r="S985" s="118">
        <f t="shared" si="705"/>
        <v>157</v>
      </c>
      <c r="T985" s="38">
        <f>SUM(T960:T984)</f>
        <v>15</v>
      </c>
      <c r="U985" s="48">
        <f>SUM(U960:U984)</f>
        <v>25</v>
      </c>
      <c r="V985" s="39">
        <f>SUM(V960:V984)</f>
        <v>13</v>
      </c>
      <c r="W985" s="40">
        <f>SUM(W960:W984)</f>
        <v>20</v>
      </c>
      <c r="X985" s="118">
        <f t="shared" si="706"/>
        <v>73</v>
      </c>
      <c r="Y985" s="119">
        <f t="shared" si="693"/>
        <v>230</v>
      </c>
    </row>
    <row r="986" spans="1:26" ht="14.25" thickBot="1" x14ac:dyDescent="0.2">
      <c r="A986" s="22" t="s">
        <v>11</v>
      </c>
      <c r="B986" s="41">
        <f>B959-B985</f>
        <v>9</v>
      </c>
      <c r="C986" s="49">
        <f>C959-C985</f>
        <v>8</v>
      </c>
      <c r="D986" s="42">
        <f t="shared" ref="D986:K986" si="710">D959-D985</f>
        <v>7</v>
      </c>
      <c r="E986" s="43">
        <f t="shared" si="710"/>
        <v>4</v>
      </c>
      <c r="F986" s="61">
        <f t="shared" si="710"/>
        <v>24</v>
      </c>
      <c r="G986" s="41">
        <f t="shared" si="710"/>
        <v>5</v>
      </c>
      <c r="H986" s="49">
        <f t="shared" si="710"/>
        <v>9</v>
      </c>
      <c r="I986" s="42">
        <f t="shared" si="710"/>
        <v>7</v>
      </c>
      <c r="J986" s="43">
        <f t="shared" si="710"/>
        <v>7</v>
      </c>
      <c r="K986" s="61">
        <f t="shared" si="710"/>
        <v>28</v>
      </c>
      <c r="L986" s="21">
        <f t="shared" si="694"/>
        <v>52</v>
      </c>
      <c r="N986" s="17" t="s">
        <v>11</v>
      </c>
      <c r="O986" s="41">
        <f>O959-O985</f>
        <v>418</v>
      </c>
      <c r="P986" s="49">
        <f t="shared" ref="P986:X986" si="711">P959-P985</f>
        <v>532</v>
      </c>
      <c r="Q986" s="42">
        <f t="shared" si="711"/>
        <v>234</v>
      </c>
      <c r="R986" s="43">
        <f>R959-R985</f>
        <v>128</v>
      </c>
      <c r="S986" s="61">
        <f t="shared" si="711"/>
        <v>1312</v>
      </c>
      <c r="T986" s="41">
        <f t="shared" si="711"/>
        <v>378</v>
      </c>
      <c r="U986" s="49">
        <f t="shared" si="711"/>
        <v>451</v>
      </c>
      <c r="V986" s="42">
        <f t="shared" si="711"/>
        <v>189</v>
      </c>
      <c r="W986" s="43">
        <f t="shared" si="711"/>
        <v>215</v>
      </c>
      <c r="X986" s="61">
        <f t="shared" si="711"/>
        <v>1233</v>
      </c>
      <c r="Y986" s="21">
        <f t="shared" si="693"/>
        <v>2545</v>
      </c>
    </row>
    <row r="987" spans="1:26" x14ac:dyDescent="0.15">
      <c r="O987" s="125">
        <f>O986/$S$986*100</f>
        <v>31.859756097560975</v>
      </c>
      <c r="P987" s="125">
        <f t="shared" ref="P987:S987" si="712">P986/$S$986*100</f>
        <v>40.548780487804883</v>
      </c>
      <c r="Q987" s="125">
        <f t="shared" si="712"/>
        <v>17.835365853658537</v>
      </c>
      <c r="R987" s="125">
        <f t="shared" si="712"/>
        <v>9.7560975609756095</v>
      </c>
      <c r="S987" s="125">
        <f t="shared" si="712"/>
        <v>100</v>
      </c>
      <c r="T987" s="125">
        <f>T986/$X$986*100</f>
        <v>30.656934306569344</v>
      </c>
      <c r="U987" s="125">
        <f t="shared" ref="U987:X987" si="713">U986/$X$986*100</f>
        <v>36.577453365774531</v>
      </c>
      <c r="V987" s="125">
        <f t="shared" si="713"/>
        <v>15.328467153284672</v>
      </c>
      <c r="W987" s="125">
        <f t="shared" si="713"/>
        <v>17.437145174371452</v>
      </c>
      <c r="X987" s="125">
        <f t="shared" si="713"/>
        <v>100</v>
      </c>
      <c r="Y987" s="215"/>
    </row>
    <row r="988" spans="1:26" x14ac:dyDescent="0.15">
      <c r="O988" s="215">
        <v>29.8</v>
      </c>
      <c r="P988" s="211">
        <v>36</v>
      </c>
      <c r="Q988" s="215">
        <v>22.1</v>
      </c>
      <c r="R988" s="215">
        <v>12.2</v>
      </c>
      <c r="S988" s="215"/>
      <c r="T988" s="215">
        <v>28.3</v>
      </c>
      <c r="U988" s="215">
        <v>33.700000000000003</v>
      </c>
      <c r="V988" s="215">
        <v>22.4</v>
      </c>
      <c r="W988" s="215">
        <v>15.6</v>
      </c>
      <c r="X988" s="215"/>
    </row>
    <row r="989" spans="1:26" ht="19.5" thickBot="1" x14ac:dyDescent="0.25">
      <c r="A989" s="2" t="s">
        <v>106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105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6" ht="14.25" thickBot="1" x14ac:dyDescent="0.2">
      <c r="A990" s="5" t="s">
        <v>0</v>
      </c>
      <c r="B990" s="342" t="s">
        <v>18</v>
      </c>
      <c r="C990" s="350"/>
      <c r="D990" s="350"/>
      <c r="E990" s="350"/>
      <c r="F990" s="351"/>
      <c r="G990" s="345" t="s">
        <v>12</v>
      </c>
      <c r="H990" s="352"/>
      <c r="I990" s="352"/>
      <c r="J990" s="352"/>
      <c r="K990" s="353"/>
      <c r="L990" s="354" t="s">
        <v>1</v>
      </c>
      <c r="N990" s="5" t="s">
        <v>0</v>
      </c>
      <c r="O990" s="342" t="s">
        <v>18</v>
      </c>
      <c r="P990" s="350"/>
      <c r="Q990" s="350"/>
      <c r="R990" s="350"/>
      <c r="S990" s="351"/>
      <c r="T990" s="345" t="s">
        <v>12</v>
      </c>
      <c r="U990" s="352"/>
      <c r="V990" s="352"/>
      <c r="W990" s="352"/>
      <c r="X990" s="353"/>
      <c r="Y990" s="354" t="s">
        <v>1</v>
      </c>
    </row>
    <row r="991" spans="1:26" ht="14.25" thickBot="1" x14ac:dyDescent="0.2">
      <c r="A991" s="5" t="s">
        <v>2</v>
      </c>
      <c r="B991" s="3" t="s">
        <v>13</v>
      </c>
      <c r="C991" s="44" t="s">
        <v>14</v>
      </c>
      <c r="D991" s="4" t="s">
        <v>15</v>
      </c>
      <c r="E991" s="23" t="s">
        <v>16</v>
      </c>
      <c r="F991" s="31" t="s">
        <v>3</v>
      </c>
      <c r="G991" s="3" t="s">
        <v>13</v>
      </c>
      <c r="H991" s="44" t="s">
        <v>14</v>
      </c>
      <c r="I991" s="4" t="s">
        <v>15</v>
      </c>
      <c r="J991" s="23" t="s">
        <v>16</v>
      </c>
      <c r="K991" s="31" t="s">
        <v>3</v>
      </c>
      <c r="L991" s="355"/>
      <c r="N991" s="5" t="s">
        <v>2</v>
      </c>
      <c r="O991" s="3" t="s">
        <v>13</v>
      </c>
      <c r="P991" s="44" t="s">
        <v>14</v>
      </c>
      <c r="Q991" s="4" t="s">
        <v>15</v>
      </c>
      <c r="R991" s="23" t="s">
        <v>16</v>
      </c>
      <c r="S991" s="31" t="s">
        <v>3</v>
      </c>
      <c r="T991" s="3" t="s">
        <v>13</v>
      </c>
      <c r="U991" s="44" t="s">
        <v>14</v>
      </c>
      <c r="V991" s="4" t="s">
        <v>15</v>
      </c>
      <c r="W991" s="23" t="s">
        <v>16</v>
      </c>
      <c r="X991" s="31" t="s">
        <v>3</v>
      </c>
      <c r="Y991" s="355"/>
    </row>
    <row r="992" spans="1:26" x14ac:dyDescent="0.15">
      <c r="A992" s="71" t="s">
        <v>17</v>
      </c>
      <c r="B992" s="72">
        <f>B986</f>
        <v>9</v>
      </c>
      <c r="C992" s="73">
        <f t="shared" ref="C992:L992" si="714">C986</f>
        <v>8</v>
      </c>
      <c r="D992" s="73">
        <f t="shared" si="714"/>
        <v>7</v>
      </c>
      <c r="E992" s="74">
        <f t="shared" si="714"/>
        <v>4</v>
      </c>
      <c r="F992" s="76">
        <f t="shared" si="714"/>
        <v>24</v>
      </c>
      <c r="G992" s="72">
        <f t="shared" si="714"/>
        <v>5</v>
      </c>
      <c r="H992" s="73">
        <f t="shared" si="714"/>
        <v>9</v>
      </c>
      <c r="I992" s="73">
        <f t="shared" si="714"/>
        <v>7</v>
      </c>
      <c r="J992" s="74">
        <f t="shared" si="714"/>
        <v>7</v>
      </c>
      <c r="K992" s="75">
        <f t="shared" si="714"/>
        <v>28</v>
      </c>
      <c r="L992" s="16">
        <f t="shared" si="714"/>
        <v>52</v>
      </c>
      <c r="N992" s="71" t="s">
        <v>17</v>
      </c>
      <c r="O992" s="72">
        <f>O986</f>
        <v>418</v>
      </c>
      <c r="P992" s="73">
        <f t="shared" ref="P992:Y992" si="715">P986</f>
        <v>532</v>
      </c>
      <c r="Q992" s="73">
        <f t="shared" si="715"/>
        <v>234</v>
      </c>
      <c r="R992" s="74">
        <f t="shared" si="715"/>
        <v>128</v>
      </c>
      <c r="S992" s="76">
        <f t="shared" si="715"/>
        <v>1312</v>
      </c>
      <c r="T992" s="72">
        <f t="shared" si="715"/>
        <v>378</v>
      </c>
      <c r="U992" s="73">
        <f t="shared" si="715"/>
        <v>451</v>
      </c>
      <c r="V992" s="73">
        <f t="shared" si="715"/>
        <v>189</v>
      </c>
      <c r="W992" s="74">
        <f t="shared" si="715"/>
        <v>215</v>
      </c>
      <c r="X992" s="75">
        <f t="shared" si="715"/>
        <v>1233</v>
      </c>
      <c r="Y992" s="16">
        <f t="shared" si="715"/>
        <v>2545</v>
      </c>
    </row>
    <row r="993" spans="1:27" x14ac:dyDescent="0.15">
      <c r="A993" s="13" t="s">
        <v>49</v>
      </c>
      <c r="B993" s="26"/>
      <c r="C993" s="47">
        <v>4</v>
      </c>
      <c r="D993" s="27">
        <v>1</v>
      </c>
      <c r="E993" s="50">
        <v>1</v>
      </c>
      <c r="F993" s="9">
        <f>SUM(B993:E993)</f>
        <v>6</v>
      </c>
      <c r="G993" s="47"/>
      <c r="H993" s="47">
        <v>3</v>
      </c>
      <c r="I993" s="27"/>
      <c r="J993" s="50"/>
      <c r="K993" s="9">
        <f>SUM(G993:J993)</f>
        <v>3</v>
      </c>
      <c r="L993" s="11">
        <f t="shared" ref="L993:L1024" si="716">F993+K993</f>
        <v>9</v>
      </c>
      <c r="M993" s="126">
        <v>45183</v>
      </c>
      <c r="N993" s="13" t="s">
        <v>5</v>
      </c>
      <c r="O993" s="26"/>
      <c r="P993" s="47"/>
      <c r="Q993" s="27"/>
      <c r="R993" s="34"/>
      <c r="S993" s="77">
        <f>SUM(O993:R993)</f>
        <v>0</v>
      </c>
      <c r="T993" s="26"/>
      <c r="U993" s="47"/>
      <c r="V993" s="27"/>
      <c r="W993" s="34"/>
      <c r="X993" s="9">
        <f>SUM(T993:W993)</f>
        <v>0</v>
      </c>
      <c r="Y993" s="11">
        <f t="shared" ref="Y993:Y1024" si="717">S993+X993</f>
        <v>0</v>
      </c>
    </row>
    <row r="994" spans="1:27" x14ac:dyDescent="0.15">
      <c r="A994" s="13" t="s">
        <v>166</v>
      </c>
      <c r="B994" s="26">
        <v>2</v>
      </c>
      <c r="C994" s="47">
        <v>1</v>
      </c>
      <c r="D994" s="27">
        <v>4</v>
      </c>
      <c r="E994" s="50"/>
      <c r="F994" s="9">
        <f>SUM(B994:E994)</f>
        <v>7</v>
      </c>
      <c r="G994" s="47">
        <v>2</v>
      </c>
      <c r="H994" s="47"/>
      <c r="I994" s="27"/>
      <c r="J994" s="50"/>
      <c r="K994" s="9">
        <f>SUM(G994:J994)</f>
        <v>2</v>
      </c>
      <c r="L994" s="11">
        <f t="shared" si="716"/>
        <v>9</v>
      </c>
      <c r="M994" s="126">
        <v>45188</v>
      </c>
      <c r="N994" s="13" t="s">
        <v>166</v>
      </c>
      <c r="O994" s="26">
        <v>14</v>
      </c>
      <c r="P994" s="47">
        <v>23</v>
      </c>
      <c r="Q994" s="27">
        <v>7</v>
      </c>
      <c r="R994" s="34">
        <v>11</v>
      </c>
      <c r="S994" s="77">
        <f>SUM(O994:R994)</f>
        <v>55</v>
      </c>
      <c r="T994" s="26">
        <v>14</v>
      </c>
      <c r="U994" s="47">
        <v>17</v>
      </c>
      <c r="V994" s="27">
        <v>31</v>
      </c>
      <c r="W994" s="34">
        <v>7</v>
      </c>
      <c r="X994" s="9">
        <f>SUM(T994:W994)</f>
        <v>69</v>
      </c>
      <c r="Y994" s="11">
        <f t="shared" si="717"/>
        <v>124</v>
      </c>
      <c r="Z994" s="99">
        <v>45181</v>
      </c>
    </row>
    <row r="995" spans="1:27" x14ac:dyDescent="0.15">
      <c r="A995" s="13" t="s">
        <v>830</v>
      </c>
      <c r="B995" s="26">
        <v>2</v>
      </c>
      <c r="C995" s="47">
        <v>1</v>
      </c>
      <c r="D995" s="27">
        <v>1</v>
      </c>
      <c r="E995" s="50">
        <v>1</v>
      </c>
      <c r="F995" s="9">
        <f>SUM(B995:E995)</f>
        <v>5</v>
      </c>
      <c r="G995" s="47">
        <v>1</v>
      </c>
      <c r="H995" s="47">
        <v>1</v>
      </c>
      <c r="I995" s="27"/>
      <c r="J995" s="50"/>
      <c r="K995" s="9">
        <f>SUM(G995:J995)</f>
        <v>2</v>
      </c>
      <c r="L995" s="11">
        <f t="shared" si="716"/>
        <v>7</v>
      </c>
      <c r="M995" s="126">
        <v>45190</v>
      </c>
      <c r="N995" s="13" t="s">
        <v>7</v>
      </c>
      <c r="O995" s="26"/>
      <c r="P995" s="47"/>
      <c r="Q995" s="27"/>
      <c r="R995" s="34"/>
      <c r="S995" s="77">
        <f>SUM(O995:R995)</f>
        <v>0</v>
      </c>
      <c r="T995" s="26"/>
      <c r="U995" s="47"/>
      <c r="V995" s="27"/>
      <c r="W995" s="34"/>
      <c r="X995" s="9">
        <f>SUM(T995:W995)</f>
        <v>0</v>
      </c>
      <c r="Y995" s="11">
        <f t="shared" ref="Y995" si="718">S995+X995</f>
        <v>0</v>
      </c>
    </row>
    <row r="996" spans="1:27" ht="14.25" thickBot="1" x14ac:dyDescent="0.2">
      <c r="A996" s="13" t="s">
        <v>49</v>
      </c>
      <c r="B996" s="26">
        <f>3+1</f>
        <v>4</v>
      </c>
      <c r="C996" s="47">
        <f>1+3</f>
        <v>4</v>
      </c>
      <c r="D996" s="27">
        <f>1-1</f>
        <v>0</v>
      </c>
      <c r="E996" s="50">
        <v>2</v>
      </c>
      <c r="F996" s="10">
        <f>SUM(B996:E996)</f>
        <v>10</v>
      </c>
      <c r="G996" s="47"/>
      <c r="H996" s="47">
        <f>1-1</f>
        <v>0</v>
      </c>
      <c r="I996" s="27"/>
      <c r="J996" s="50"/>
      <c r="K996" s="10">
        <f>SUM(G996:J996)</f>
        <v>0</v>
      </c>
      <c r="L996" s="14">
        <f t="shared" si="716"/>
        <v>10</v>
      </c>
      <c r="M996" s="126">
        <v>45196</v>
      </c>
      <c r="N996" s="13" t="s">
        <v>8</v>
      </c>
      <c r="O996" s="62"/>
      <c r="P996" s="63"/>
      <c r="Q996" s="64"/>
      <c r="R996" s="65"/>
      <c r="S996" s="78">
        <f>SUM(O996:R996)</f>
        <v>0</v>
      </c>
      <c r="T996" s="47"/>
      <c r="U996" s="47"/>
      <c r="V996" s="27"/>
      <c r="W996" s="50"/>
      <c r="X996" s="10">
        <f>SUM(T996:W996)</f>
        <v>0</v>
      </c>
      <c r="Y996" s="14">
        <f t="shared" si="717"/>
        <v>0</v>
      </c>
    </row>
    <row r="997" spans="1:27" ht="14.25" thickBot="1" x14ac:dyDescent="0.2">
      <c r="A997" s="22" t="s">
        <v>9</v>
      </c>
      <c r="B997" s="51">
        <f t="shared" ref="B997:K997" si="719">SUM(B992:B996)</f>
        <v>17</v>
      </c>
      <c r="C997" s="52">
        <f t="shared" si="719"/>
        <v>18</v>
      </c>
      <c r="D997" s="53">
        <f t="shared" si="719"/>
        <v>13</v>
      </c>
      <c r="E997" s="54">
        <f t="shared" si="719"/>
        <v>8</v>
      </c>
      <c r="F997" s="28">
        <f t="shared" si="719"/>
        <v>52</v>
      </c>
      <c r="G997" s="51">
        <f t="shared" si="719"/>
        <v>8</v>
      </c>
      <c r="H997" s="52">
        <f t="shared" si="719"/>
        <v>13</v>
      </c>
      <c r="I997" s="53">
        <f t="shared" si="719"/>
        <v>7</v>
      </c>
      <c r="J997" s="54">
        <f t="shared" si="719"/>
        <v>7</v>
      </c>
      <c r="K997" s="28">
        <f t="shared" si="719"/>
        <v>35</v>
      </c>
      <c r="L997" s="21">
        <f t="shared" si="716"/>
        <v>87</v>
      </c>
      <c r="N997" s="17" t="s">
        <v>9</v>
      </c>
      <c r="O997" s="41">
        <f>SUM(O992:O996)</f>
        <v>432</v>
      </c>
      <c r="P997" s="49">
        <f t="shared" ref="P997:V997" si="720">SUM(P992:P996)</f>
        <v>555</v>
      </c>
      <c r="Q997" s="42">
        <f t="shared" si="720"/>
        <v>241</v>
      </c>
      <c r="R997" s="92">
        <f t="shared" si="720"/>
        <v>139</v>
      </c>
      <c r="S997" s="93">
        <f t="shared" si="720"/>
        <v>1367</v>
      </c>
      <c r="T997" s="41">
        <f t="shared" si="720"/>
        <v>392</v>
      </c>
      <c r="U997" s="49">
        <f t="shared" si="720"/>
        <v>468</v>
      </c>
      <c r="V997" s="42">
        <f t="shared" si="720"/>
        <v>220</v>
      </c>
      <c r="W997" s="92">
        <f>SUM(W992:W996)</f>
        <v>222</v>
      </c>
      <c r="X997" s="93">
        <f t="shared" ref="X997" si="721">SUM(X992:X996)</f>
        <v>1302</v>
      </c>
      <c r="Y997" s="56">
        <f t="shared" si="717"/>
        <v>2669</v>
      </c>
    </row>
    <row r="998" spans="1:27" x14ac:dyDescent="0.15">
      <c r="A998" s="15" t="s">
        <v>807</v>
      </c>
      <c r="B998" s="24">
        <v>1</v>
      </c>
      <c r="C998" s="46">
        <v>1</v>
      </c>
      <c r="D998" s="25"/>
      <c r="E998" s="33"/>
      <c r="F998" s="35">
        <f>SUM(B998:E998)</f>
        <v>2</v>
      </c>
      <c r="G998" s="24"/>
      <c r="H998" s="46"/>
      <c r="I998" s="25"/>
      <c r="J998" s="33"/>
      <c r="K998" s="35">
        <f>SUM(G998:J998)</f>
        <v>0</v>
      </c>
      <c r="L998" s="11">
        <f t="shared" si="716"/>
        <v>2</v>
      </c>
      <c r="M998" s="99">
        <v>45182</v>
      </c>
      <c r="N998" s="15" t="s">
        <v>803</v>
      </c>
      <c r="O998" s="66">
        <v>2</v>
      </c>
      <c r="P998" s="67">
        <v>1</v>
      </c>
      <c r="Q998" s="68">
        <v>6</v>
      </c>
      <c r="R998" s="94"/>
      <c r="S998" s="91">
        <f>SUM(O998:R998)</f>
        <v>9</v>
      </c>
      <c r="T998" s="67"/>
      <c r="U998" s="67">
        <v>1</v>
      </c>
      <c r="V998" s="68"/>
      <c r="W998" s="94">
        <v>2</v>
      </c>
      <c r="X998" s="91">
        <f>SUM(T998:W998)</f>
        <v>3</v>
      </c>
      <c r="Y998" s="11">
        <f t="shared" si="717"/>
        <v>12</v>
      </c>
      <c r="Z998" s="99">
        <v>45180</v>
      </c>
    </row>
    <row r="999" spans="1:27" x14ac:dyDescent="0.15">
      <c r="A999" s="12" t="s">
        <v>41</v>
      </c>
      <c r="B999" s="26"/>
      <c r="C999" s="47">
        <v>1</v>
      </c>
      <c r="D999" s="27"/>
      <c r="E999" s="34">
        <v>1</v>
      </c>
      <c r="F999" s="35">
        <f>SUM(B999:E999)</f>
        <v>2</v>
      </c>
      <c r="G999" s="26"/>
      <c r="H999" s="47">
        <v>1</v>
      </c>
      <c r="I999" s="27"/>
      <c r="J999" s="34"/>
      <c r="K999" s="35">
        <f>SUM(G999:J999)</f>
        <v>1</v>
      </c>
      <c r="L999" s="11">
        <f t="shared" si="716"/>
        <v>3</v>
      </c>
      <c r="M999" s="126">
        <v>45183</v>
      </c>
      <c r="N999" s="15" t="s">
        <v>806</v>
      </c>
      <c r="O999" s="26"/>
      <c r="P999" s="47">
        <v>4</v>
      </c>
      <c r="Q999" s="27"/>
      <c r="R999" s="34">
        <v>3</v>
      </c>
      <c r="S999" s="35">
        <f t="shared" ref="S999" si="722">SUM(O999:R999)</f>
        <v>7</v>
      </c>
      <c r="T999" s="26"/>
      <c r="U999" s="47">
        <v>4</v>
      </c>
      <c r="V999" s="27"/>
      <c r="W999" s="34">
        <v>3</v>
      </c>
      <c r="X999" s="35">
        <f t="shared" ref="X999" si="723">SUM(T999:W999)</f>
        <v>7</v>
      </c>
      <c r="Y999" s="11">
        <f t="shared" si="717"/>
        <v>14</v>
      </c>
      <c r="Z999" s="99">
        <v>45181</v>
      </c>
    </row>
    <row r="1000" spans="1:27" x14ac:dyDescent="0.15">
      <c r="A1000" s="12" t="s">
        <v>41</v>
      </c>
      <c r="B1000" s="26"/>
      <c r="C1000" s="47"/>
      <c r="D1000" s="27"/>
      <c r="E1000" s="34"/>
      <c r="F1000" s="35">
        <f t="shared" ref="F1000:F1022" si="724">SUM(B1000:E1000)</f>
        <v>0</v>
      </c>
      <c r="G1000" s="26"/>
      <c r="H1000" s="47"/>
      <c r="I1000" s="27">
        <v>2</v>
      </c>
      <c r="J1000" s="34"/>
      <c r="K1000" s="35">
        <f t="shared" ref="K1000:K1022" si="725">SUM(G1000:J1000)</f>
        <v>2</v>
      </c>
      <c r="L1000" s="11">
        <f t="shared" si="716"/>
        <v>2</v>
      </c>
      <c r="M1000" s="126">
        <v>45188</v>
      </c>
      <c r="N1000" s="79" t="s">
        <v>34</v>
      </c>
      <c r="O1000" s="26"/>
      <c r="P1000" s="47">
        <v>3</v>
      </c>
      <c r="Q1000" s="27"/>
      <c r="R1000" s="34">
        <v>3</v>
      </c>
      <c r="S1000" s="35">
        <f>SUM(O1000:R1000)</f>
        <v>6</v>
      </c>
      <c r="T1000" s="26">
        <v>3</v>
      </c>
      <c r="U1000" s="47">
        <v>3</v>
      </c>
      <c r="V1000" s="27"/>
      <c r="W1000" s="34">
        <v>3</v>
      </c>
      <c r="X1000" s="35">
        <f>SUM(T1000:W1000)</f>
        <v>9</v>
      </c>
      <c r="Y1000" s="11">
        <f t="shared" si="717"/>
        <v>15</v>
      </c>
      <c r="Z1000" s="99">
        <v>45181</v>
      </c>
    </row>
    <row r="1001" spans="1:27" x14ac:dyDescent="0.15">
      <c r="A1001" s="12" t="s">
        <v>41</v>
      </c>
      <c r="B1001" s="66">
        <v>1</v>
      </c>
      <c r="C1001" s="67">
        <v>1</v>
      </c>
      <c r="D1001" s="68"/>
      <c r="E1001" s="69"/>
      <c r="F1001" s="70">
        <f t="shared" si="724"/>
        <v>2</v>
      </c>
      <c r="G1001" s="66"/>
      <c r="H1001" s="67"/>
      <c r="I1001" s="68"/>
      <c r="J1001" s="69"/>
      <c r="K1001" s="70">
        <f t="shared" si="725"/>
        <v>0</v>
      </c>
      <c r="L1001" s="11">
        <f t="shared" si="716"/>
        <v>2</v>
      </c>
      <c r="M1001" s="126">
        <v>45189</v>
      </c>
      <c r="N1001" s="15" t="s">
        <v>808</v>
      </c>
      <c r="O1001" s="66">
        <v>2</v>
      </c>
      <c r="P1001" s="67">
        <v>1</v>
      </c>
      <c r="Q1001" s="68">
        <v>5</v>
      </c>
      <c r="R1001" s="94"/>
      <c r="S1001" s="91">
        <f>SUM(O1001:R1001)</f>
        <v>8</v>
      </c>
      <c r="T1001" s="67"/>
      <c r="U1001" s="67"/>
      <c r="V1001" s="68"/>
      <c r="W1001" s="94"/>
      <c r="X1001" s="91">
        <f>SUM(T1001:W1001)</f>
        <v>0</v>
      </c>
      <c r="Y1001" s="11">
        <f t="shared" si="717"/>
        <v>8</v>
      </c>
      <c r="Z1001" s="99">
        <v>45182</v>
      </c>
    </row>
    <row r="1002" spans="1:27" x14ac:dyDescent="0.15">
      <c r="A1002" s="12" t="s">
        <v>41</v>
      </c>
      <c r="B1002" s="26"/>
      <c r="C1002" s="47"/>
      <c r="D1002" s="27"/>
      <c r="E1002" s="34"/>
      <c r="F1002" s="35">
        <f t="shared" si="724"/>
        <v>0</v>
      </c>
      <c r="G1002" s="26">
        <v>1</v>
      </c>
      <c r="H1002" s="47"/>
      <c r="I1002" s="27"/>
      <c r="J1002" s="34"/>
      <c r="K1002" s="35">
        <f t="shared" si="725"/>
        <v>1</v>
      </c>
      <c r="L1002" s="11">
        <f t="shared" si="716"/>
        <v>1</v>
      </c>
      <c r="M1002" s="126">
        <v>45190</v>
      </c>
      <c r="N1002" s="12" t="s">
        <v>809</v>
      </c>
      <c r="O1002" s="26"/>
      <c r="P1002" s="47"/>
      <c r="Q1002" s="27"/>
      <c r="R1002" s="34">
        <v>6</v>
      </c>
      <c r="S1002" s="35">
        <f t="shared" ref="S1002:S1004" si="726">SUM(O1002:R1002)</f>
        <v>6</v>
      </c>
      <c r="T1002" s="26"/>
      <c r="U1002" s="47"/>
      <c r="V1002" s="27"/>
      <c r="W1002" s="34"/>
      <c r="X1002" s="35">
        <f t="shared" ref="X1002:X1004" si="727">SUM(T1002:W1002)</f>
        <v>0</v>
      </c>
      <c r="Y1002" s="11">
        <f t="shared" si="717"/>
        <v>6</v>
      </c>
      <c r="Z1002" s="99">
        <v>45183</v>
      </c>
    </row>
    <row r="1003" spans="1:27" x14ac:dyDescent="0.15">
      <c r="A1003" s="57" t="s">
        <v>833</v>
      </c>
      <c r="B1003" s="26"/>
      <c r="C1003" s="47">
        <v>4</v>
      </c>
      <c r="D1003" s="27">
        <v>4</v>
      </c>
      <c r="E1003" s="34"/>
      <c r="F1003" s="35">
        <f t="shared" si="724"/>
        <v>8</v>
      </c>
      <c r="G1003" s="26">
        <v>1</v>
      </c>
      <c r="H1003" s="47"/>
      <c r="I1003" s="27"/>
      <c r="J1003" s="34"/>
      <c r="K1003" s="35">
        <f t="shared" si="725"/>
        <v>1</v>
      </c>
      <c r="L1003" s="11">
        <f t="shared" si="716"/>
        <v>9</v>
      </c>
      <c r="M1003" s="99">
        <v>45195</v>
      </c>
      <c r="N1003" s="15" t="s">
        <v>810</v>
      </c>
      <c r="O1003" s="26">
        <v>4</v>
      </c>
      <c r="P1003" s="47">
        <v>11</v>
      </c>
      <c r="Q1003" s="27">
        <v>10</v>
      </c>
      <c r="R1003" s="34">
        <v>2</v>
      </c>
      <c r="S1003" s="35">
        <f t="shared" si="726"/>
        <v>27</v>
      </c>
      <c r="T1003" s="26">
        <v>3</v>
      </c>
      <c r="U1003" s="47">
        <v>2</v>
      </c>
      <c r="V1003" s="27">
        <v>1</v>
      </c>
      <c r="W1003" s="34">
        <v>2</v>
      </c>
      <c r="X1003" s="35">
        <f t="shared" si="727"/>
        <v>8</v>
      </c>
      <c r="Y1003" s="11">
        <f t="shared" si="717"/>
        <v>35</v>
      </c>
      <c r="Z1003" s="99">
        <v>45183</v>
      </c>
      <c r="AA1003" s="58"/>
    </row>
    <row r="1004" spans="1:27" x14ac:dyDescent="0.15">
      <c r="A1004" s="79" t="s">
        <v>834</v>
      </c>
      <c r="B1004" s="26">
        <v>1</v>
      </c>
      <c r="C1004" s="47"/>
      <c r="D1004" s="27"/>
      <c r="E1004" s="34"/>
      <c r="F1004" s="35">
        <f t="shared" si="724"/>
        <v>1</v>
      </c>
      <c r="G1004" s="26"/>
      <c r="H1004" s="47"/>
      <c r="I1004" s="27"/>
      <c r="J1004" s="34"/>
      <c r="K1004" s="35">
        <f t="shared" si="725"/>
        <v>0</v>
      </c>
      <c r="L1004" s="11">
        <f t="shared" si="716"/>
        <v>1</v>
      </c>
      <c r="M1004" s="126">
        <v>45196</v>
      </c>
      <c r="N1004" s="15" t="s">
        <v>815</v>
      </c>
      <c r="O1004" s="26"/>
      <c r="P1004" s="47"/>
      <c r="Q1004" s="27">
        <v>7</v>
      </c>
      <c r="R1004" s="34"/>
      <c r="S1004" s="35">
        <f t="shared" si="726"/>
        <v>7</v>
      </c>
      <c r="T1004" s="26"/>
      <c r="U1004" s="47"/>
      <c r="V1004" s="27"/>
      <c r="W1004" s="34"/>
      <c r="X1004" s="35">
        <f t="shared" si="727"/>
        <v>0</v>
      </c>
      <c r="Y1004" s="11">
        <f t="shared" si="717"/>
        <v>7</v>
      </c>
      <c r="Z1004" s="99">
        <v>45184</v>
      </c>
    </row>
    <row r="1005" spans="1:27" x14ac:dyDescent="0.15">
      <c r="A1005" s="12" t="s">
        <v>41</v>
      </c>
      <c r="B1005" s="26"/>
      <c r="C1005" s="47"/>
      <c r="D1005" s="27">
        <v>2</v>
      </c>
      <c r="E1005" s="34"/>
      <c r="F1005" s="35">
        <f t="shared" si="724"/>
        <v>2</v>
      </c>
      <c r="G1005" s="26"/>
      <c r="H1005" s="47"/>
      <c r="I1005" s="27">
        <f>1+2</f>
        <v>3</v>
      </c>
      <c r="J1005" s="34">
        <v>1</v>
      </c>
      <c r="K1005" s="35">
        <f t="shared" si="725"/>
        <v>4</v>
      </c>
      <c r="L1005" s="11">
        <f t="shared" si="716"/>
        <v>6</v>
      </c>
      <c r="M1005" s="126">
        <v>45194</v>
      </c>
      <c r="N1005" s="12" t="s">
        <v>816</v>
      </c>
      <c r="O1005" s="26">
        <v>5</v>
      </c>
      <c r="P1005" s="47"/>
      <c r="Q1005" s="27"/>
      <c r="R1005" s="50">
        <v>10</v>
      </c>
      <c r="S1005" s="9">
        <f>SUM(O1005:R1005)</f>
        <v>15</v>
      </c>
      <c r="T1005" s="47">
        <v>10</v>
      </c>
      <c r="U1005" s="47">
        <v>10</v>
      </c>
      <c r="V1005" s="27"/>
      <c r="W1005" s="50">
        <v>3</v>
      </c>
      <c r="X1005" s="9">
        <f>SUM(T1005:W1005)</f>
        <v>23</v>
      </c>
      <c r="Y1005" s="11">
        <f t="shared" si="717"/>
        <v>38</v>
      </c>
      <c r="Z1005" s="99">
        <v>45201</v>
      </c>
    </row>
    <row r="1006" spans="1:27" x14ac:dyDescent="0.15">
      <c r="A1006" s="15" t="s">
        <v>836</v>
      </c>
      <c r="B1006" s="26"/>
      <c r="C1006" s="47"/>
      <c r="D1006" s="27"/>
      <c r="E1006" s="34"/>
      <c r="F1006" s="35">
        <f t="shared" si="724"/>
        <v>0</v>
      </c>
      <c r="G1006" s="26">
        <v>1</v>
      </c>
      <c r="H1006" s="47"/>
      <c r="I1006" s="27"/>
      <c r="J1006" s="34"/>
      <c r="K1006" s="35">
        <f t="shared" si="725"/>
        <v>1</v>
      </c>
      <c r="L1006" s="11">
        <f t="shared" si="716"/>
        <v>1</v>
      </c>
      <c r="M1006" s="99">
        <v>45196</v>
      </c>
      <c r="N1006" s="15" t="s">
        <v>817</v>
      </c>
      <c r="O1006" s="26"/>
      <c r="P1006" s="47"/>
      <c r="Q1006" s="27">
        <v>1</v>
      </c>
      <c r="R1006" s="34"/>
      <c r="S1006" s="35">
        <f t="shared" ref="S1006:S1023" si="728">SUM(O1006:R1006)</f>
        <v>1</v>
      </c>
      <c r="T1006" s="26"/>
      <c r="U1006" s="47">
        <v>1</v>
      </c>
      <c r="V1006" s="27"/>
      <c r="W1006" s="34"/>
      <c r="X1006" s="35">
        <f t="shared" ref="X1006:X1023" si="729">SUM(T1006:W1006)</f>
        <v>1</v>
      </c>
      <c r="Y1006" s="11">
        <f t="shared" si="717"/>
        <v>2</v>
      </c>
      <c r="Z1006" s="99">
        <v>45188</v>
      </c>
    </row>
    <row r="1007" spans="1:27" x14ac:dyDescent="0.15">
      <c r="A1007" s="12" t="s">
        <v>837</v>
      </c>
      <c r="B1007" s="26"/>
      <c r="C1007" s="47">
        <v>4</v>
      </c>
      <c r="D1007" s="27"/>
      <c r="E1007" s="34"/>
      <c r="F1007" s="35">
        <f t="shared" si="724"/>
        <v>4</v>
      </c>
      <c r="G1007" s="26">
        <v>4</v>
      </c>
      <c r="H1007" s="47"/>
      <c r="I1007" s="27"/>
      <c r="J1007" s="34"/>
      <c r="K1007" s="35">
        <f t="shared" si="725"/>
        <v>4</v>
      </c>
      <c r="L1007" s="11">
        <f t="shared" si="716"/>
        <v>8</v>
      </c>
      <c r="M1007" s="99">
        <v>45196</v>
      </c>
      <c r="N1007" s="15" t="s">
        <v>818</v>
      </c>
      <c r="O1007" s="26"/>
      <c r="P1007" s="47"/>
      <c r="Q1007" s="27">
        <v>2</v>
      </c>
      <c r="R1007" s="34">
        <v>1</v>
      </c>
      <c r="S1007" s="35">
        <f t="shared" si="728"/>
        <v>3</v>
      </c>
      <c r="T1007" s="26"/>
      <c r="U1007" s="47"/>
      <c r="V1007" s="27"/>
      <c r="W1007" s="34"/>
      <c r="X1007" s="35">
        <f t="shared" si="729"/>
        <v>0</v>
      </c>
      <c r="Y1007" s="11">
        <f t="shared" si="717"/>
        <v>3</v>
      </c>
      <c r="Z1007" s="99">
        <v>45189</v>
      </c>
    </row>
    <row r="1008" spans="1:27" x14ac:dyDescent="0.15">
      <c r="A1008" s="12" t="s">
        <v>41</v>
      </c>
      <c r="B1008" s="26"/>
      <c r="C1008" s="47">
        <v>1</v>
      </c>
      <c r="D1008" s="27"/>
      <c r="E1008" s="34"/>
      <c r="F1008" s="35">
        <f t="shared" si="724"/>
        <v>1</v>
      </c>
      <c r="G1008" s="26"/>
      <c r="H1008" s="47"/>
      <c r="I1008" s="27"/>
      <c r="J1008" s="34"/>
      <c r="K1008" s="35">
        <f t="shared" si="725"/>
        <v>0</v>
      </c>
      <c r="L1008" s="11">
        <f t="shared" si="716"/>
        <v>1</v>
      </c>
      <c r="M1008" s="126">
        <v>45195</v>
      </c>
      <c r="N1008" s="15" t="s">
        <v>820</v>
      </c>
      <c r="O1008" s="26">
        <v>3</v>
      </c>
      <c r="P1008" s="47">
        <v>10</v>
      </c>
      <c r="Q1008" s="27"/>
      <c r="R1008" s="34">
        <v>4</v>
      </c>
      <c r="S1008" s="35">
        <f t="shared" si="728"/>
        <v>17</v>
      </c>
      <c r="T1008" s="26"/>
      <c r="U1008" s="47">
        <v>3</v>
      </c>
      <c r="V1008" s="27">
        <v>1</v>
      </c>
      <c r="W1008" s="34"/>
      <c r="X1008" s="35">
        <f t="shared" si="729"/>
        <v>4</v>
      </c>
      <c r="Y1008" s="11">
        <f t="shared" si="717"/>
        <v>21</v>
      </c>
      <c r="Z1008" s="99">
        <v>45190</v>
      </c>
      <c r="AA1008" s="58"/>
    </row>
    <row r="1009" spans="1:30" x14ac:dyDescent="0.15">
      <c r="A1009" s="12" t="s">
        <v>41</v>
      </c>
      <c r="B1009" s="26"/>
      <c r="C1009" s="47"/>
      <c r="D1009" s="27"/>
      <c r="E1009" s="34"/>
      <c r="F1009" s="35">
        <f t="shared" si="724"/>
        <v>0</v>
      </c>
      <c r="G1009" s="26"/>
      <c r="H1009" s="47">
        <v>1</v>
      </c>
      <c r="I1009" s="27"/>
      <c r="J1009" s="34"/>
      <c r="K1009" s="35">
        <f t="shared" si="725"/>
        <v>1</v>
      </c>
      <c r="L1009" s="11">
        <f t="shared" si="716"/>
        <v>1</v>
      </c>
      <c r="M1009" s="126">
        <v>45196</v>
      </c>
      <c r="N1009" s="12" t="s">
        <v>821</v>
      </c>
      <c r="O1009" s="26"/>
      <c r="P1009" s="47"/>
      <c r="Q1009" s="27"/>
      <c r="R1009" s="34"/>
      <c r="S1009" s="35">
        <f t="shared" si="728"/>
        <v>0</v>
      </c>
      <c r="T1009" s="26"/>
      <c r="U1009" s="47"/>
      <c r="V1009" s="27">
        <v>6</v>
      </c>
      <c r="W1009" s="34"/>
      <c r="X1009" s="35">
        <f t="shared" si="729"/>
        <v>6</v>
      </c>
      <c r="Y1009" s="11">
        <f t="shared" si="717"/>
        <v>6</v>
      </c>
      <c r="Z1009" s="99">
        <v>45194</v>
      </c>
    </row>
    <row r="1010" spans="1:30" x14ac:dyDescent="0.15">
      <c r="A1010" s="15" t="s">
        <v>841</v>
      </c>
      <c r="B1010" s="26"/>
      <c r="C1010" s="47"/>
      <c r="D1010" s="27"/>
      <c r="E1010" s="34"/>
      <c r="F1010" s="35">
        <f t="shared" si="724"/>
        <v>0</v>
      </c>
      <c r="G1010" s="26">
        <v>-3</v>
      </c>
      <c r="H1010" s="47"/>
      <c r="I1010" s="27"/>
      <c r="J1010" s="34"/>
      <c r="K1010" s="35">
        <f t="shared" si="725"/>
        <v>-3</v>
      </c>
      <c r="L1010" s="11">
        <f t="shared" si="716"/>
        <v>-3</v>
      </c>
      <c r="M1010" s="99">
        <v>45197</v>
      </c>
      <c r="N1010" s="90" t="s">
        <v>835</v>
      </c>
      <c r="O1010" s="26"/>
      <c r="P1010" s="47"/>
      <c r="Q1010" s="27">
        <v>5</v>
      </c>
      <c r="R1010" s="34"/>
      <c r="S1010" s="35">
        <f t="shared" si="728"/>
        <v>5</v>
      </c>
      <c r="T1010" s="26"/>
      <c r="U1010" s="47"/>
      <c r="V1010" s="27"/>
      <c r="W1010" s="34"/>
      <c r="X1010" s="35">
        <f t="shared" si="729"/>
        <v>0</v>
      </c>
      <c r="Y1010" s="11">
        <f t="shared" si="717"/>
        <v>5</v>
      </c>
      <c r="Z1010" s="99">
        <v>45196</v>
      </c>
    </row>
    <row r="1011" spans="1:30" x14ac:dyDescent="0.15">
      <c r="A1011" s="13"/>
      <c r="B1011" s="26"/>
      <c r="C1011" s="47"/>
      <c r="D1011" s="27"/>
      <c r="E1011" s="34"/>
      <c r="F1011" s="35">
        <f t="shared" si="724"/>
        <v>0</v>
      </c>
      <c r="G1011" s="26"/>
      <c r="H1011" s="47"/>
      <c r="I1011" s="27"/>
      <c r="J1011" s="34"/>
      <c r="K1011" s="35">
        <f t="shared" si="725"/>
        <v>0</v>
      </c>
      <c r="L1011" s="11">
        <f t="shared" si="716"/>
        <v>0</v>
      </c>
      <c r="N1011" s="15" t="s">
        <v>828</v>
      </c>
      <c r="O1011" s="26">
        <v>6</v>
      </c>
      <c r="P1011" s="47">
        <v>1</v>
      </c>
      <c r="Q1011" s="27">
        <v>2</v>
      </c>
      <c r="R1011" s="34">
        <v>1</v>
      </c>
      <c r="S1011" s="35">
        <f t="shared" si="728"/>
        <v>10</v>
      </c>
      <c r="T1011" s="26"/>
      <c r="U1011" s="47">
        <v>1</v>
      </c>
      <c r="V1011" s="27"/>
      <c r="W1011" s="34"/>
      <c r="X1011" s="35">
        <f t="shared" si="729"/>
        <v>1</v>
      </c>
      <c r="Y1011" s="11">
        <f t="shared" si="717"/>
        <v>11</v>
      </c>
      <c r="Z1011" s="99">
        <v>45191</v>
      </c>
    </row>
    <row r="1012" spans="1:30" x14ac:dyDescent="0.15">
      <c r="A1012" s="15"/>
      <c r="B1012" s="26"/>
      <c r="C1012" s="47"/>
      <c r="D1012" s="27"/>
      <c r="E1012" s="34"/>
      <c r="F1012" s="35">
        <f t="shared" si="724"/>
        <v>0</v>
      </c>
      <c r="G1012" s="26"/>
      <c r="H1012" s="47"/>
      <c r="I1012" s="27"/>
      <c r="J1012" s="34"/>
      <c r="K1012" s="35">
        <f t="shared" si="725"/>
        <v>0</v>
      </c>
      <c r="L1012" s="11">
        <f t="shared" si="716"/>
        <v>0</v>
      </c>
      <c r="N1012" s="12" t="s">
        <v>829</v>
      </c>
      <c r="O1012" s="26">
        <v>4</v>
      </c>
      <c r="P1012" s="47">
        <v>4</v>
      </c>
      <c r="Q1012" s="27">
        <v>4</v>
      </c>
      <c r="R1012" s="34">
        <v>4</v>
      </c>
      <c r="S1012" s="35">
        <f t="shared" si="728"/>
        <v>16</v>
      </c>
      <c r="T1012" s="26">
        <v>4</v>
      </c>
      <c r="U1012" s="47">
        <v>4</v>
      </c>
      <c r="V1012" s="27">
        <v>4</v>
      </c>
      <c r="W1012" s="34">
        <v>4</v>
      </c>
      <c r="X1012" s="35">
        <f t="shared" si="729"/>
        <v>16</v>
      </c>
      <c r="Y1012" s="11">
        <f t="shared" si="717"/>
        <v>32</v>
      </c>
      <c r="Z1012" s="99">
        <v>45194</v>
      </c>
    </row>
    <row r="1013" spans="1:30" x14ac:dyDescent="0.15">
      <c r="A1013" s="13"/>
      <c r="B1013" s="26"/>
      <c r="C1013" s="47"/>
      <c r="D1013" s="27"/>
      <c r="E1013" s="34"/>
      <c r="F1013" s="35">
        <f t="shared" si="724"/>
        <v>0</v>
      </c>
      <c r="G1013" s="26"/>
      <c r="H1013" s="47"/>
      <c r="I1013" s="27"/>
      <c r="J1013" s="34"/>
      <c r="K1013" s="35">
        <f t="shared" si="725"/>
        <v>0</v>
      </c>
      <c r="L1013" s="11">
        <f t="shared" si="716"/>
        <v>0</v>
      </c>
      <c r="N1013" s="15" t="s">
        <v>832</v>
      </c>
      <c r="O1013" s="26">
        <v>33</v>
      </c>
      <c r="P1013" s="47">
        <v>40</v>
      </c>
      <c r="Q1013" s="27">
        <v>23</v>
      </c>
      <c r="R1013" s="34">
        <v>11</v>
      </c>
      <c r="S1013" s="35">
        <f t="shared" ref="S1013" si="730">SUM(O1013:R1013)</f>
        <v>107</v>
      </c>
      <c r="T1013" s="26">
        <v>7</v>
      </c>
      <c r="U1013" s="47">
        <v>9</v>
      </c>
      <c r="V1013" s="27">
        <v>8</v>
      </c>
      <c r="W1013" s="34">
        <v>5</v>
      </c>
      <c r="X1013" s="35">
        <f t="shared" ref="X1013" si="731">SUM(T1013:W1013)</f>
        <v>29</v>
      </c>
      <c r="Y1013" s="11">
        <f t="shared" ref="Y1013" si="732">S1013+X1013</f>
        <v>136</v>
      </c>
      <c r="Z1013" s="99">
        <v>45194</v>
      </c>
    </row>
    <row r="1014" spans="1:30" x14ac:dyDescent="0.15">
      <c r="A1014" s="15"/>
      <c r="B1014" s="26"/>
      <c r="C1014" s="47"/>
      <c r="D1014" s="27"/>
      <c r="E1014" s="34"/>
      <c r="F1014" s="35">
        <f t="shared" si="724"/>
        <v>0</v>
      </c>
      <c r="G1014" s="26"/>
      <c r="H1014" s="47"/>
      <c r="I1014" s="27"/>
      <c r="J1014" s="34"/>
      <c r="K1014" s="35">
        <f t="shared" si="725"/>
        <v>0</v>
      </c>
      <c r="L1014" s="11">
        <f t="shared" si="716"/>
        <v>0</v>
      </c>
      <c r="N1014" s="15" t="s">
        <v>838</v>
      </c>
      <c r="O1014" s="26"/>
      <c r="P1014" s="47"/>
      <c r="Q1014" s="27">
        <v>1</v>
      </c>
      <c r="R1014" s="34">
        <v>4</v>
      </c>
      <c r="S1014" s="35">
        <f t="shared" si="728"/>
        <v>5</v>
      </c>
      <c r="T1014" s="26">
        <v>3</v>
      </c>
      <c r="U1014" s="47">
        <v>10</v>
      </c>
      <c r="V1014" s="27"/>
      <c r="W1014" s="34"/>
      <c r="X1014" s="35">
        <f t="shared" si="729"/>
        <v>13</v>
      </c>
      <c r="Y1014" s="11">
        <f t="shared" si="717"/>
        <v>18</v>
      </c>
      <c r="Z1014" s="99">
        <v>45197</v>
      </c>
    </row>
    <row r="1015" spans="1:30" x14ac:dyDescent="0.15">
      <c r="A1015" s="15"/>
      <c r="B1015" s="26"/>
      <c r="C1015" s="47"/>
      <c r="D1015" s="27"/>
      <c r="E1015" s="34"/>
      <c r="F1015" s="35">
        <f t="shared" si="724"/>
        <v>0</v>
      </c>
      <c r="G1015" s="26"/>
      <c r="H1015" s="47"/>
      <c r="I1015" s="27"/>
      <c r="J1015" s="34"/>
      <c r="K1015" s="35">
        <f t="shared" si="725"/>
        <v>0</v>
      </c>
      <c r="L1015" s="11">
        <f t="shared" si="716"/>
        <v>0</v>
      </c>
      <c r="N1015" s="90" t="s">
        <v>852</v>
      </c>
      <c r="O1015" s="26"/>
      <c r="P1015" s="47">
        <v>5</v>
      </c>
      <c r="Q1015" s="27"/>
      <c r="R1015" s="34"/>
      <c r="S1015" s="35">
        <f t="shared" si="728"/>
        <v>5</v>
      </c>
      <c r="T1015" s="26"/>
      <c r="U1015" s="47">
        <v>5</v>
      </c>
      <c r="V1015" s="27"/>
      <c r="W1015" s="34"/>
      <c r="X1015" s="35">
        <f t="shared" si="729"/>
        <v>5</v>
      </c>
      <c r="Y1015" s="11">
        <f t="shared" si="717"/>
        <v>10</v>
      </c>
      <c r="Z1015" s="99">
        <v>45202</v>
      </c>
    </row>
    <row r="1016" spans="1:30" x14ac:dyDescent="0.15">
      <c r="A1016" s="13"/>
      <c r="B1016" s="26"/>
      <c r="C1016" s="47"/>
      <c r="D1016" s="27"/>
      <c r="E1016" s="34"/>
      <c r="F1016" s="35">
        <f t="shared" si="724"/>
        <v>0</v>
      </c>
      <c r="G1016" s="26"/>
      <c r="H1016" s="47"/>
      <c r="I1016" s="27"/>
      <c r="J1016" s="34"/>
      <c r="K1016" s="35">
        <f t="shared" si="725"/>
        <v>0</v>
      </c>
      <c r="L1016" s="11">
        <f t="shared" si="716"/>
        <v>0</v>
      </c>
      <c r="N1016" s="12" t="s">
        <v>839</v>
      </c>
      <c r="O1016" s="26">
        <v>4</v>
      </c>
      <c r="P1016" s="47"/>
      <c r="Q1016" s="27"/>
      <c r="R1016" s="34"/>
      <c r="S1016" s="35">
        <f t="shared" si="728"/>
        <v>4</v>
      </c>
      <c r="T1016" s="26"/>
      <c r="U1016" s="47"/>
      <c r="V1016" s="27"/>
      <c r="W1016" s="34"/>
      <c r="X1016" s="35">
        <f t="shared" si="729"/>
        <v>0</v>
      </c>
      <c r="Y1016" s="11">
        <f t="shared" si="717"/>
        <v>4</v>
      </c>
      <c r="Z1016" s="99">
        <v>45197</v>
      </c>
      <c r="AA1016" s="58"/>
    </row>
    <row r="1017" spans="1:30" x14ac:dyDescent="0.15">
      <c r="A1017" s="32"/>
      <c r="B1017" s="26"/>
      <c r="C1017" s="47"/>
      <c r="D1017" s="27"/>
      <c r="E1017" s="34"/>
      <c r="F1017" s="35">
        <f t="shared" si="724"/>
        <v>0</v>
      </c>
      <c r="G1017" s="26"/>
      <c r="H1017" s="47"/>
      <c r="I1017" s="27"/>
      <c r="J1017" s="34"/>
      <c r="K1017" s="35">
        <f t="shared" si="725"/>
        <v>0</v>
      </c>
      <c r="L1017" s="11">
        <f t="shared" si="716"/>
        <v>0</v>
      </c>
      <c r="N1017" s="12" t="s">
        <v>840</v>
      </c>
      <c r="O1017" s="26">
        <v>4</v>
      </c>
      <c r="P1017" s="47"/>
      <c r="Q1017" s="27"/>
      <c r="R1017" s="34"/>
      <c r="S1017" s="35">
        <f t="shared" si="728"/>
        <v>4</v>
      </c>
      <c r="T1017" s="26"/>
      <c r="U1017" s="47"/>
      <c r="V1017" s="27"/>
      <c r="W1017" s="34"/>
      <c r="X1017" s="35">
        <f t="shared" si="729"/>
        <v>0</v>
      </c>
      <c r="Y1017" s="11">
        <f t="shared" si="717"/>
        <v>4</v>
      </c>
      <c r="Z1017" s="99">
        <v>45197</v>
      </c>
      <c r="AA1017" s="58"/>
    </row>
    <row r="1018" spans="1:30" x14ac:dyDescent="0.15">
      <c r="A1018" s="32"/>
      <c r="B1018" s="26"/>
      <c r="C1018" s="47"/>
      <c r="D1018" s="27"/>
      <c r="E1018" s="34"/>
      <c r="F1018" s="35">
        <f t="shared" si="724"/>
        <v>0</v>
      </c>
      <c r="G1018" s="26"/>
      <c r="H1018" s="47"/>
      <c r="I1018" s="27"/>
      <c r="J1018" s="34"/>
      <c r="K1018" s="35">
        <f t="shared" si="725"/>
        <v>0</v>
      </c>
      <c r="L1018" s="11">
        <f t="shared" si="716"/>
        <v>0</v>
      </c>
      <c r="N1018" s="79" t="s">
        <v>34</v>
      </c>
      <c r="O1018" s="66"/>
      <c r="P1018" s="67"/>
      <c r="Q1018" s="68"/>
      <c r="R1018" s="69"/>
      <c r="S1018" s="217">
        <f t="shared" si="728"/>
        <v>0</v>
      </c>
      <c r="T1018" s="66">
        <v>3</v>
      </c>
      <c r="U1018" s="67"/>
      <c r="V1018" s="68"/>
      <c r="W1018" s="69"/>
      <c r="X1018" s="217">
        <f t="shared" si="729"/>
        <v>3</v>
      </c>
      <c r="Y1018" s="11">
        <f t="shared" si="717"/>
        <v>3</v>
      </c>
      <c r="Z1018" s="99">
        <v>45197</v>
      </c>
    </row>
    <row r="1019" spans="1:30" x14ac:dyDescent="0.15">
      <c r="A1019" s="12"/>
      <c r="B1019" s="26"/>
      <c r="C1019" s="47"/>
      <c r="D1019" s="27"/>
      <c r="E1019" s="34"/>
      <c r="F1019" s="35">
        <f t="shared" si="724"/>
        <v>0</v>
      </c>
      <c r="G1019" s="26"/>
      <c r="H1019" s="47"/>
      <c r="I1019" s="27"/>
      <c r="J1019" s="34"/>
      <c r="K1019" s="35">
        <f t="shared" si="725"/>
        <v>0</v>
      </c>
      <c r="L1019" s="11">
        <f t="shared" si="716"/>
        <v>0</v>
      </c>
      <c r="N1019" s="15" t="s">
        <v>842</v>
      </c>
      <c r="O1019" s="66">
        <v>5</v>
      </c>
      <c r="P1019" s="67">
        <v>9</v>
      </c>
      <c r="Q1019" s="68">
        <v>5</v>
      </c>
      <c r="R1019" s="69">
        <v>3</v>
      </c>
      <c r="S1019" s="70">
        <f t="shared" si="728"/>
        <v>22</v>
      </c>
      <c r="T1019" s="66">
        <v>3</v>
      </c>
      <c r="U1019" s="67">
        <v>1</v>
      </c>
      <c r="V1019" s="68"/>
      <c r="W1019" s="69"/>
      <c r="X1019" s="70">
        <f t="shared" si="729"/>
        <v>4</v>
      </c>
      <c r="Y1019" s="11">
        <f t="shared" si="717"/>
        <v>26</v>
      </c>
      <c r="Z1019" s="99">
        <v>45198</v>
      </c>
      <c r="AA1019" t="s">
        <v>826</v>
      </c>
    </row>
    <row r="1020" spans="1:30" x14ac:dyDescent="0.15">
      <c r="A1020" s="79"/>
      <c r="B1020" s="26"/>
      <c r="C1020" s="47"/>
      <c r="D1020" s="27"/>
      <c r="E1020" s="34"/>
      <c r="F1020" s="35">
        <f t="shared" si="724"/>
        <v>0</v>
      </c>
      <c r="G1020" s="26"/>
      <c r="H1020" s="47"/>
      <c r="I1020" s="27"/>
      <c r="J1020" s="34"/>
      <c r="K1020" s="35">
        <f t="shared" si="725"/>
        <v>0</v>
      </c>
      <c r="L1020" s="11">
        <f t="shared" si="716"/>
        <v>0</v>
      </c>
      <c r="N1020" s="57"/>
      <c r="O1020" s="66"/>
      <c r="P1020" s="67"/>
      <c r="Q1020" s="68"/>
      <c r="R1020" s="69"/>
      <c r="S1020" s="70">
        <f t="shared" ref="S1020:S1021" si="733">SUM(O1020:R1020)</f>
        <v>0</v>
      </c>
      <c r="T1020" s="66"/>
      <c r="U1020" s="67"/>
      <c r="V1020" s="68"/>
      <c r="W1020" s="69"/>
      <c r="X1020" s="70">
        <f t="shared" ref="X1020:X1021" si="734">SUM(T1020:W1020)</f>
        <v>0</v>
      </c>
      <c r="Y1020" s="11">
        <f t="shared" ref="Y1020:Y1021" si="735">S1020+X1020</f>
        <v>0</v>
      </c>
      <c r="AA1020" s="232" t="s">
        <v>822</v>
      </c>
      <c r="AB1020" s="232" t="s">
        <v>823</v>
      </c>
      <c r="AC1020" s="232" t="s">
        <v>824</v>
      </c>
      <c r="AD1020" s="232" t="s">
        <v>825</v>
      </c>
    </row>
    <row r="1021" spans="1:30" x14ac:dyDescent="0.15">
      <c r="A1021" s="57"/>
      <c r="B1021" s="26"/>
      <c r="C1021" s="47"/>
      <c r="D1021" s="27"/>
      <c r="E1021" s="34"/>
      <c r="F1021" s="35">
        <f t="shared" si="724"/>
        <v>0</v>
      </c>
      <c r="G1021" s="26"/>
      <c r="H1021" s="47"/>
      <c r="I1021" s="27"/>
      <c r="J1021" s="34"/>
      <c r="K1021" s="35">
        <f t="shared" si="725"/>
        <v>0</v>
      </c>
      <c r="L1021" s="11">
        <f t="shared" si="716"/>
        <v>0</v>
      </c>
      <c r="N1021" s="12" t="s">
        <v>700</v>
      </c>
      <c r="O1021" s="26"/>
      <c r="P1021" s="47"/>
      <c r="Q1021" s="27"/>
      <c r="R1021" s="34"/>
      <c r="S1021" s="35">
        <f t="shared" si="733"/>
        <v>0</v>
      </c>
      <c r="T1021" s="26"/>
      <c r="U1021" s="47"/>
      <c r="V1021" s="27"/>
      <c r="W1021" s="34"/>
      <c r="X1021" s="35">
        <f t="shared" si="734"/>
        <v>0</v>
      </c>
      <c r="Y1021" s="108">
        <f t="shared" si="735"/>
        <v>0</v>
      </c>
      <c r="Z1021" s="101" t="s">
        <v>701</v>
      </c>
      <c r="AA1021" s="232">
        <v>154</v>
      </c>
      <c r="AB1021" s="232">
        <v>191</v>
      </c>
      <c r="AC1021" s="232">
        <v>86</v>
      </c>
      <c r="AD1021" s="232">
        <v>53</v>
      </c>
    </row>
    <row r="1022" spans="1:30" ht="14.25" thickBot="1" x14ac:dyDescent="0.2">
      <c r="A1022" s="90"/>
      <c r="B1022" s="62"/>
      <c r="C1022" s="63"/>
      <c r="D1022" s="64"/>
      <c r="E1022" s="65"/>
      <c r="F1022" s="35">
        <f t="shared" si="724"/>
        <v>0</v>
      </c>
      <c r="G1022" s="62"/>
      <c r="H1022" s="63"/>
      <c r="I1022" s="64"/>
      <c r="J1022" s="65"/>
      <c r="K1022" s="35">
        <f t="shared" si="725"/>
        <v>0</v>
      </c>
      <c r="L1022" s="14">
        <f t="shared" si="716"/>
        <v>0</v>
      </c>
      <c r="N1022" s="188" t="s">
        <v>804</v>
      </c>
      <c r="O1022" s="189"/>
      <c r="P1022" s="190"/>
      <c r="Q1022" s="191"/>
      <c r="R1022" s="192"/>
      <c r="S1022" s="193">
        <f t="shared" ref="S1022" si="736">SUM(O1022:R1022)</f>
        <v>0</v>
      </c>
      <c r="T1022" s="189"/>
      <c r="U1022" s="190"/>
      <c r="V1022" s="191"/>
      <c r="W1022" s="192"/>
      <c r="X1022" s="193">
        <f t="shared" ref="X1022" si="737">SUM(T1022:W1022)</f>
        <v>0</v>
      </c>
      <c r="Y1022" s="194">
        <f t="shared" ref="Y1022" si="738">S1022+X1022</f>
        <v>0</v>
      </c>
      <c r="Z1022" s="160" t="s">
        <v>805</v>
      </c>
    </row>
    <row r="1023" spans="1:30" ht="14.25" thickBot="1" x14ac:dyDescent="0.2">
      <c r="A1023" s="17" t="s">
        <v>10</v>
      </c>
      <c r="B1023" s="38">
        <f>SUM(B998:B1022)</f>
        <v>3</v>
      </c>
      <c r="C1023" s="48">
        <f>SUM(C998:C1022)</f>
        <v>12</v>
      </c>
      <c r="D1023" s="39">
        <f>SUM(D998:D1022)</f>
        <v>6</v>
      </c>
      <c r="E1023" s="40">
        <f>SUM(E998:E1022)</f>
        <v>1</v>
      </c>
      <c r="F1023" s="36">
        <f>SUM(B1023:E1023)</f>
        <v>22</v>
      </c>
      <c r="G1023" s="38">
        <f>SUM(G998:G1022)</f>
        <v>4</v>
      </c>
      <c r="H1023" s="48">
        <f>SUM(H998:H1022)</f>
        <v>2</v>
      </c>
      <c r="I1023" s="39">
        <f>SUM(I998:I1022)</f>
        <v>5</v>
      </c>
      <c r="J1023" s="40">
        <f>SUM(J998:J1022)</f>
        <v>1</v>
      </c>
      <c r="K1023" s="36">
        <f>SUM(G1023:J1023)</f>
        <v>12</v>
      </c>
      <c r="L1023" s="37">
        <f t="shared" si="716"/>
        <v>34</v>
      </c>
      <c r="N1023" s="133" t="s">
        <v>10</v>
      </c>
      <c r="O1023" s="38">
        <f>SUM(O998:O1022)</f>
        <v>72</v>
      </c>
      <c r="P1023" s="48">
        <f>SUM(P998:P1022)</f>
        <v>89</v>
      </c>
      <c r="Q1023" s="39">
        <f>SUM(Q998:Q1022)</f>
        <v>71</v>
      </c>
      <c r="R1023" s="40">
        <f>SUM(R998:R1022)</f>
        <v>52</v>
      </c>
      <c r="S1023" s="118">
        <f t="shared" si="728"/>
        <v>284</v>
      </c>
      <c r="T1023" s="38">
        <f>SUM(T998:T1022)</f>
        <v>36</v>
      </c>
      <c r="U1023" s="48">
        <f>SUM(U998:U1022)</f>
        <v>54</v>
      </c>
      <c r="V1023" s="39">
        <f>SUM(V998:V1022)</f>
        <v>20</v>
      </c>
      <c r="W1023" s="40">
        <f>SUM(W998:W1022)</f>
        <v>22</v>
      </c>
      <c r="X1023" s="118">
        <f t="shared" si="729"/>
        <v>132</v>
      </c>
      <c r="Y1023" s="119">
        <f t="shared" si="717"/>
        <v>416</v>
      </c>
      <c r="AA1023" t="s">
        <v>827</v>
      </c>
    </row>
    <row r="1024" spans="1:30" ht="14.25" thickBot="1" x14ac:dyDescent="0.2">
      <c r="A1024" s="22" t="s">
        <v>11</v>
      </c>
      <c r="B1024" s="41">
        <f>B997-B1023</f>
        <v>14</v>
      </c>
      <c r="C1024" s="49">
        <f>C997-C1023</f>
        <v>6</v>
      </c>
      <c r="D1024" s="42">
        <f t="shared" ref="D1024:K1024" si="739">D997-D1023</f>
        <v>7</v>
      </c>
      <c r="E1024" s="43">
        <f t="shared" si="739"/>
        <v>7</v>
      </c>
      <c r="F1024" s="61">
        <f t="shared" si="739"/>
        <v>30</v>
      </c>
      <c r="G1024" s="41">
        <f t="shared" si="739"/>
        <v>4</v>
      </c>
      <c r="H1024" s="49">
        <f t="shared" si="739"/>
        <v>11</v>
      </c>
      <c r="I1024" s="42">
        <f t="shared" si="739"/>
        <v>2</v>
      </c>
      <c r="J1024" s="43">
        <f t="shared" si="739"/>
        <v>6</v>
      </c>
      <c r="K1024" s="61">
        <f t="shared" si="739"/>
        <v>23</v>
      </c>
      <c r="L1024" s="21">
        <f t="shared" si="716"/>
        <v>53</v>
      </c>
      <c r="N1024" s="17" t="s">
        <v>11</v>
      </c>
      <c r="O1024" s="41">
        <f>O997-O1023</f>
        <v>360</v>
      </c>
      <c r="P1024" s="49">
        <f t="shared" ref="P1024:Q1024" si="740">P997-P1023</f>
        <v>466</v>
      </c>
      <c r="Q1024" s="42">
        <f t="shared" si="740"/>
        <v>170</v>
      </c>
      <c r="R1024" s="43">
        <f>R997-R1023</f>
        <v>87</v>
      </c>
      <c r="S1024" s="61">
        <f t="shared" ref="S1024:X1024" si="741">S997-S1023</f>
        <v>1083</v>
      </c>
      <c r="T1024" s="41">
        <f t="shared" si="741"/>
        <v>356</v>
      </c>
      <c r="U1024" s="49">
        <f t="shared" si="741"/>
        <v>414</v>
      </c>
      <c r="V1024" s="42">
        <f t="shared" si="741"/>
        <v>200</v>
      </c>
      <c r="W1024" s="43">
        <f t="shared" si="741"/>
        <v>200</v>
      </c>
      <c r="X1024" s="61">
        <f t="shared" si="741"/>
        <v>1170</v>
      </c>
      <c r="Y1024" s="21">
        <f t="shared" si="717"/>
        <v>2253</v>
      </c>
      <c r="AA1024" s="232" t="s">
        <v>822</v>
      </c>
      <c r="AB1024" s="232" t="s">
        <v>823</v>
      </c>
      <c r="AC1024" s="232" t="s">
        <v>824</v>
      </c>
      <c r="AD1024" s="232" t="s">
        <v>825</v>
      </c>
    </row>
    <row r="1025" spans="1:30" x14ac:dyDescent="0.15">
      <c r="N1025" s="200"/>
      <c r="O1025" s="125"/>
      <c r="P1025" s="125"/>
      <c r="Q1025" s="125"/>
      <c r="R1025" s="125"/>
      <c r="S1025" s="125"/>
      <c r="T1025" s="125"/>
      <c r="U1025" s="125"/>
      <c r="V1025" s="125"/>
      <c r="W1025" s="125"/>
      <c r="X1025" s="125"/>
      <c r="AA1025" s="232">
        <v>173</v>
      </c>
      <c r="AB1025" s="232">
        <v>199</v>
      </c>
      <c r="AC1025" s="232">
        <v>127</v>
      </c>
      <c r="AD1025" s="232">
        <v>60</v>
      </c>
    </row>
    <row r="1026" spans="1:30" x14ac:dyDescent="0.15">
      <c r="O1026" s="215"/>
      <c r="P1026" s="211"/>
      <c r="Q1026" s="215"/>
      <c r="R1026" s="215"/>
      <c r="S1026" s="215"/>
      <c r="T1026" s="215"/>
      <c r="U1026" s="215"/>
      <c r="V1026" s="215"/>
      <c r="W1026" s="215"/>
    </row>
    <row r="1027" spans="1:30" ht="19.5" thickBot="1" x14ac:dyDescent="0.25">
      <c r="A1027" s="2" t="s">
        <v>106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105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30" ht="14.25" thickBot="1" x14ac:dyDescent="0.2">
      <c r="A1028" s="5" t="s">
        <v>0</v>
      </c>
      <c r="B1028" s="342" t="s">
        <v>18</v>
      </c>
      <c r="C1028" s="350"/>
      <c r="D1028" s="350"/>
      <c r="E1028" s="350"/>
      <c r="F1028" s="351"/>
      <c r="G1028" s="345" t="s">
        <v>12</v>
      </c>
      <c r="H1028" s="352"/>
      <c r="I1028" s="352"/>
      <c r="J1028" s="352"/>
      <c r="K1028" s="353"/>
      <c r="L1028" s="354" t="s">
        <v>1</v>
      </c>
      <c r="N1028" s="5" t="s">
        <v>0</v>
      </c>
      <c r="O1028" s="342" t="s">
        <v>18</v>
      </c>
      <c r="P1028" s="350"/>
      <c r="Q1028" s="350"/>
      <c r="R1028" s="350"/>
      <c r="S1028" s="351"/>
      <c r="T1028" s="345" t="s">
        <v>12</v>
      </c>
      <c r="U1028" s="352"/>
      <c r="V1028" s="352"/>
      <c r="W1028" s="352"/>
      <c r="X1028" s="353"/>
      <c r="Y1028" s="354" t="s">
        <v>1</v>
      </c>
    </row>
    <row r="1029" spans="1:30" ht="14.25" thickBot="1" x14ac:dyDescent="0.2">
      <c r="A1029" s="5" t="s">
        <v>2</v>
      </c>
      <c r="B1029" s="3" t="s">
        <v>13</v>
      </c>
      <c r="C1029" s="44" t="s">
        <v>14</v>
      </c>
      <c r="D1029" s="4" t="s">
        <v>15</v>
      </c>
      <c r="E1029" s="23" t="s">
        <v>16</v>
      </c>
      <c r="F1029" s="31" t="s">
        <v>3</v>
      </c>
      <c r="G1029" s="3" t="s">
        <v>13</v>
      </c>
      <c r="H1029" s="44" t="s">
        <v>14</v>
      </c>
      <c r="I1029" s="4" t="s">
        <v>15</v>
      </c>
      <c r="J1029" s="23" t="s">
        <v>16</v>
      </c>
      <c r="K1029" s="31" t="s">
        <v>3</v>
      </c>
      <c r="L1029" s="355"/>
      <c r="N1029" s="5" t="s">
        <v>2</v>
      </c>
      <c r="O1029" s="3" t="s">
        <v>13</v>
      </c>
      <c r="P1029" s="44" t="s">
        <v>14</v>
      </c>
      <c r="Q1029" s="4" t="s">
        <v>15</v>
      </c>
      <c r="R1029" s="23" t="s">
        <v>16</v>
      </c>
      <c r="S1029" s="31" t="s">
        <v>3</v>
      </c>
      <c r="T1029" s="3" t="s">
        <v>13</v>
      </c>
      <c r="U1029" s="44" t="s">
        <v>14</v>
      </c>
      <c r="V1029" s="4" t="s">
        <v>15</v>
      </c>
      <c r="W1029" s="23" t="s">
        <v>16</v>
      </c>
      <c r="X1029" s="31" t="s">
        <v>3</v>
      </c>
      <c r="Y1029" s="355"/>
    </row>
    <row r="1030" spans="1:30" x14ac:dyDescent="0.15">
      <c r="A1030" s="71" t="s">
        <v>17</v>
      </c>
      <c r="B1030" s="72">
        <f>B1024</f>
        <v>14</v>
      </c>
      <c r="C1030" s="73">
        <f t="shared" ref="C1030:L1030" si="742">C1024</f>
        <v>6</v>
      </c>
      <c r="D1030" s="73">
        <f t="shared" si="742"/>
        <v>7</v>
      </c>
      <c r="E1030" s="74">
        <f t="shared" si="742"/>
        <v>7</v>
      </c>
      <c r="F1030" s="76">
        <f t="shared" si="742"/>
        <v>30</v>
      </c>
      <c r="G1030" s="72">
        <f t="shared" si="742"/>
        <v>4</v>
      </c>
      <c r="H1030" s="73">
        <f t="shared" si="742"/>
        <v>11</v>
      </c>
      <c r="I1030" s="73">
        <f t="shared" si="742"/>
        <v>2</v>
      </c>
      <c r="J1030" s="74">
        <f t="shared" si="742"/>
        <v>6</v>
      </c>
      <c r="K1030" s="75">
        <f t="shared" si="742"/>
        <v>23</v>
      </c>
      <c r="L1030" s="16">
        <f t="shared" si="742"/>
        <v>53</v>
      </c>
      <c r="N1030" s="71" t="s">
        <v>17</v>
      </c>
      <c r="O1030" s="72">
        <f>O1024</f>
        <v>360</v>
      </c>
      <c r="P1030" s="73">
        <f t="shared" ref="P1030:Y1030" si="743">P1024</f>
        <v>466</v>
      </c>
      <c r="Q1030" s="73">
        <f t="shared" si="743"/>
        <v>170</v>
      </c>
      <c r="R1030" s="74">
        <f t="shared" si="743"/>
        <v>87</v>
      </c>
      <c r="S1030" s="76">
        <f t="shared" si="743"/>
        <v>1083</v>
      </c>
      <c r="T1030" s="72">
        <f t="shared" si="743"/>
        <v>356</v>
      </c>
      <c r="U1030" s="73">
        <f t="shared" si="743"/>
        <v>414</v>
      </c>
      <c r="V1030" s="73">
        <f t="shared" si="743"/>
        <v>200</v>
      </c>
      <c r="W1030" s="74">
        <f t="shared" si="743"/>
        <v>200</v>
      </c>
      <c r="X1030" s="75">
        <f t="shared" si="743"/>
        <v>1170</v>
      </c>
      <c r="Y1030" s="16">
        <f t="shared" si="743"/>
        <v>2253</v>
      </c>
    </row>
    <row r="1031" spans="1:30" x14ac:dyDescent="0.15">
      <c r="A1031" s="13" t="s">
        <v>5</v>
      </c>
      <c r="B1031" s="26">
        <v>3</v>
      </c>
      <c r="C1031" s="47">
        <v>5</v>
      </c>
      <c r="D1031" s="27"/>
      <c r="E1031" s="50"/>
      <c r="F1031" s="9">
        <f>SUM(B1031:E1031)</f>
        <v>8</v>
      </c>
      <c r="G1031" s="47"/>
      <c r="H1031" s="47"/>
      <c r="I1031" s="27">
        <v>3</v>
      </c>
      <c r="J1031" s="50"/>
      <c r="K1031" s="9">
        <f>SUM(G1031:J1031)</f>
        <v>3</v>
      </c>
      <c r="L1031" s="11">
        <f t="shared" ref="L1031:L1062" si="744">F1031+K1031</f>
        <v>11</v>
      </c>
      <c r="M1031" s="99">
        <v>45210</v>
      </c>
      <c r="N1031" s="13" t="s">
        <v>350</v>
      </c>
      <c r="O1031" s="26">
        <v>9</v>
      </c>
      <c r="P1031" s="47"/>
      <c r="Q1031" s="27">
        <v>2</v>
      </c>
      <c r="R1031" s="34">
        <v>3</v>
      </c>
      <c r="S1031" s="77">
        <f>SUM(O1031:R1031)</f>
        <v>14</v>
      </c>
      <c r="T1031" s="26"/>
      <c r="U1031" s="47">
        <v>6</v>
      </c>
      <c r="V1031" s="27"/>
      <c r="W1031" s="34"/>
      <c r="X1031" s="9">
        <f>SUM(T1031:W1031)</f>
        <v>6</v>
      </c>
      <c r="Y1031" s="11">
        <f t="shared" ref="Y1031" si="745">S1031+X1031</f>
        <v>20</v>
      </c>
      <c r="Z1031" s="126">
        <v>45199</v>
      </c>
    </row>
    <row r="1032" spans="1:30" x14ac:dyDescent="0.15">
      <c r="A1032" s="13" t="s">
        <v>6</v>
      </c>
      <c r="B1032" s="26"/>
      <c r="C1032" s="47">
        <v>3</v>
      </c>
      <c r="D1032" s="27"/>
      <c r="E1032" s="50"/>
      <c r="F1032" s="9">
        <f>SUM(B1032:E1032)</f>
        <v>3</v>
      </c>
      <c r="G1032" s="47"/>
      <c r="H1032" s="47">
        <v>3</v>
      </c>
      <c r="I1032" s="27"/>
      <c r="J1032" s="50"/>
      <c r="K1032" s="9">
        <f>SUM(G1032:J1032)</f>
        <v>3</v>
      </c>
      <c r="L1032" s="11">
        <f t="shared" si="744"/>
        <v>6</v>
      </c>
      <c r="M1032" s="99">
        <v>45212</v>
      </c>
      <c r="N1032" s="13" t="s">
        <v>6</v>
      </c>
      <c r="O1032" s="26">
        <v>140</v>
      </c>
      <c r="P1032" s="47">
        <v>140</v>
      </c>
      <c r="Q1032" s="27">
        <v>140</v>
      </c>
      <c r="R1032" s="34">
        <v>140</v>
      </c>
      <c r="S1032" s="77">
        <f>SUM(O1032:R1032)</f>
        <v>560</v>
      </c>
      <c r="T1032" s="26"/>
      <c r="U1032" s="47"/>
      <c r="V1032" s="27"/>
      <c r="W1032" s="34"/>
      <c r="X1032" s="9">
        <f>SUM(T1032:W1032)</f>
        <v>0</v>
      </c>
      <c r="Y1032" s="11">
        <f t="shared" ref="Y1032:Y1062" si="746">S1032+X1032</f>
        <v>560</v>
      </c>
      <c r="Z1032" s="99" t="s">
        <v>895</v>
      </c>
    </row>
    <row r="1033" spans="1:30" x14ac:dyDescent="0.15">
      <c r="A1033" s="13" t="s">
        <v>49</v>
      </c>
      <c r="B1033" s="26">
        <v>2</v>
      </c>
      <c r="C1033" s="47">
        <v>5</v>
      </c>
      <c r="D1033" s="27">
        <v>2</v>
      </c>
      <c r="E1033" s="50">
        <v>2</v>
      </c>
      <c r="F1033" s="9">
        <f>SUM(B1033:E1033)</f>
        <v>11</v>
      </c>
      <c r="G1033" s="47"/>
      <c r="H1033" s="47">
        <v>2</v>
      </c>
      <c r="I1033" s="27"/>
      <c r="J1033" s="50"/>
      <c r="K1033" s="9">
        <f>SUM(G1033:J1033)</f>
        <v>2</v>
      </c>
      <c r="L1033" s="11">
        <f t="shared" si="744"/>
        <v>13</v>
      </c>
      <c r="M1033" s="126">
        <v>45212</v>
      </c>
      <c r="N1033" s="13" t="s">
        <v>7</v>
      </c>
      <c r="O1033" s="26"/>
      <c r="P1033" s="47"/>
      <c r="Q1033" s="27"/>
      <c r="R1033" s="34"/>
      <c r="S1033" s="77">
        <f>SUM(O1033:R1033)</f>
        <v>0</v>
      </c>
      <c r="T1033" s="47"/>
      <c r="U1033" s="47"/>
      <c r="V1033" s="27"/>
      <c r="W1033" s="50"/>
      <c r="X1033" s="9">
        <f>SUM(T1033:W1033)</f>
        <v>0</v>
      </c>
      <c r="Y1033" s="108">
        <f t="shared" ref="Y1033" si="747">S1033+X1033</f>
        <v>0</v>
      </c>
    </row>
    <row r="1034" spans="1:30" ht="14.25" thickBot="1" x14ac:dyDescent="0.2">
      <c r="A1034" s="13" t="s">
        <v>126</v>
      </c>
      <c r="B1034" s="26">
        <v>1</v>
      </c>
      <c r="C1034" s="47"/>
      <c r="D1034" s="27">
        <v>1</v>
      </c>
      <c r="E1034" s="50"/>
      <c r="F1034" s="10">
        <f>SUM(B1034:E1034)</f>
        <v>2</v>
      </c>
      <c r="G1034" s="47"/>
      <c r="H1034" s="47">
        <v>1</v>
      </c>
      <c r="I1034" s="27"/>
      <c r="J1034" s="50"/>
      <c r="K1034" s="10">
        <f>SUM(G1034:J1034)</f>
        <v>1</v>
      </c>
      <c r="L1034" s="14">
        <f t="shared" si="744"/>
        <v>3</v>
      </c>
      <c r="M1034" s="126">
        <v>45212</v>
      </c>
      <c r="N1034" s="13" t="s">
        <v>8</v>
      </c>
      <c r="O1034" s="109"/>
      <c r="P1034" s="110"/>
      <c r="Q1034" s="111"/>
      <c r="R1034" s="112"/>
      <c r="S1034" s="233">
        <f>SUM(O1034:R1034)</f>
        <v>0</v>
      </c>
      <c r="T1034" s="67"/>
      <c r="U1034" s="67"/>
      <c r="V1034" s="68"/>
      <c r="W1034" s="94"/>
      <c r="X1034" s="118">
        <f>SUM(T1034:W1034)</f>
        <v>0</v>
      </c>
      <c r="Y1034" s="14">
        <f t="shared" si="746"/>
        <v>0</v>
      </c>
    </row>
    <row r="1035" spans="1:30" ht="14.25" thickBot="1" x14ac:dyDescent="0.2">
      <c r="A1035" s="22" t="s">
        <v>9</v>
      </c>
      <c r="B1035" s="51">
        <f t="shared" ref="B1035:K1035" si="748">SUM(B1030:B1034)</f>
        <v>20</v>
      </c>
      <c r="C1035" s="52">
        <f t="shared" si="748"/>
        <v>19</v>
      </c>
      <c r="D1035" s="53">
        <f t="shared" si="748"/>
        <v>10</v>
      </c>
      <c r="E1035" s="54">
        <f t="shared" si="748"/>
        <v>9</v>
      </c>
      <c r="F1035" s="28">
        <f t="shared" si="748"/>
        <v>54</v>
      </c>
      <c r="G1035" s="51">
        <f t="shared" si="748"/>
        <v>4</v>
      </c>
      <c r="H1035" s="52">
        <f t="shared" si="748"/>
        <v>17</v>
      </c>
      <c r="I1035" s="53">
        <f t="shared" si="748"/>
        <v>5</v>
      </c>
      <c r="J1035" s="54">
        <f t="shared" si="748"/>
        <v>6</v>
      </c>
      <c r="K1035" s="28">
        <f t="shared" si="748"/>
        <v>32</v>
      </c>
      <c r="L1035" s="21">
        <f t="shared" si="744"/>
        <v>86</v>
      </c>
      <c r="N1035" s="17" t="s">
        <v>9</v>
      </c>
      <c r="O1035" s="41">
        <f>SUM(O1030:O1034)</f>
        <v>509</v>
      </c>
      <c r="P1035" s="49">
        <f t="shared" ref="P1035:V1035" si="749">SUM(P1030:P1034)</f>
        <v>606</v>
      </c>
      <c r="Q1035" s="42">
        <f t="shared" si="749"/>
        <v>312</v>
      </c>
      <c r="R1035" s="92">
        <f t="shared" si="749"/>
        <v>230</v>
      </c>
      <c r="S1035" s="93">
        <f t="shared" si="749"/>
        <v>1657</v>
      </c>
      <c r="T1035" s="41">
        <f t="shared" si="749"/>
        <v>356</v>
      </c>
      <c r="U1035" s="49">
        <f t="shared" si="749"/>
        <v>420</v>
      </c>
      <c r="V1035" s="42">
        <f t="shared" si="749"/>
        <v>200</v>
      </c>
      <c r="W1035" s="92">
        <f>SUM(W1030:W1034)</f>
        <v>200</v>
      </c>
      <c r="X1035" s="93">
        <f t="shared" ref="X1035" si="750">SUM(X1030:X1034)</f>
        <v>1176</v>
      </c>
      <c r="Y1035" s="56">
        <f t="shared" si="746"/>
        <v>2833</v>
      </c>
    </row>
    <row r="1036" spans="1:30" x14ac:dyDescent="0.15">
      <c r="A1036" s="79" t="s">
        <v>847</v>
      </c>
      <c r="B1036" s="24">
        <v>9</v>
      </c>
      <c r="C1036" s="46"/>
      <c r="D1036" s="25">
        <v>2</v>
      </c>
      <c r="E1036" s="33">
        <v>3</v>
      </c>
      <c r="F1036" s="35">
        <f>SUM(B1036:E1036)</f>
        <v>14</v>
      </c>
      <c r="G1036" s="24"/>
      <c r="H1036" s="46">
        <v>6</v>
      </c>
      <c r="I1036" s="25"/>
      <c r="J1036" s="33"/>
      <c r="K1036" s="35">
        <f>SUM(G1036:J1036)</f>
        <v>6</v>
      </c>
      <c r="L1036" s="11">
        <f t="shared" si="744"/>
        <v>20</v>
      </c>
      <c r="M1036" s="126">
        <v>45199</v>
      </c>
      <c r="N1036" s="12" t="s">
        <v>831</v>
      </c>
      <c r="O1036" s="26">
        <v>4</v>
      </c>
      <c r="P1036" s="47">
        <v>6</v>
      </c>
      <c r="Q1036" s="27">
        <v>4</v>
      </c>
      <c r="R1036" s="34"/>
      <c r="S1036" s="35">
        <f t="shared" ref="S1036" si="751">SUM(O1036:R1036)</f>
        <v>14</v>
      </c>
      <c r="T1036" s="26"/>
      <c r="U1036" s="47"/>
      <c r="V1036" s="27">
        <v>4</v>
      </c>
      <c r="W1036" s="34"/>
      <c r="X1036" s="35">
        <f t="shared" ref="X1036" si="752">SUM(T1036:W1036)</f>
        <v>4</v>
      </c>
      <c r="Y1036" s="11">
        <f t="shared" si="746"/>
        <v>18</v>
      </c>
      <c r="Z1036" s="99">
        <v>45209</v>
      </c>
    </row>
    <row r="1037" spans="1:30" x14ac:dyDescent="0.15">
      <c r="A1037" s="12" t="s">
        <v>41</v>
      </c>
      <c r="B1037" s="26"/>
      <c r="C1037" s="47"/>
      <c r="D1037" s="27"/>
      <c r="E1037" s="34"/>
      <c r="F1037" s="35">
        <f>SUM(B1037:E1037)</f>
        <v>0</v>
      </c>
      <c r="G1037" s="26"/>
      <c r="H1037" s="47">
        <v>1</v>
      </c>
      <c r="I1037" s="27"/>
      <c r="J1037" s="34"/>
      <c r="K1037" s="35">
        <f>SUM(G1037:J1037)</f>
        <v>1</v>
      </c>
      <c r="L1037" s="11">
        <f t="shared" si="744"/>
        <v>1</v>
      </c>
      <c r="M1037" s="126">
        <v>45201</v>
      </c>
      <c r="N1037" s="12" t="s">
        <v>843</v>
      </c>
      <c r="O1037" s="26"/>
      <c r="P1037" s="47"/>
      <c r="Q1037" s="27"/>
      <c r="R1037" s="34">
        <v>10</v>
      </c>
      <c r="S1037" s="35">
        <f t="shared" ref="S1037:S1038" si="753">SUM(O1037:R1037)</f>
        <v>10</v>
      </c>
      <c r="T1037" s="26">
        <v>10</v>
      </c>
      <c r="U1037" s="47">
        <v>10</v>
      </c>
      <c r="V1037" s="27"/>
      <c r="W1037" s="34"/>
      <c r="X1037" s="35">
        <f t="shared" ref="X1037:X1038" si="754">SUM(T1037:W1037)</f>
        <v>20</v>
      </c>
      <c r="Y1037" s="11">
        <f t="shared" si="746"/>
        <v>30</v>
      </c>
      <c r="Z1037" s="99">
        <v>45215</v>
      </c>
    </row>
    <row r="1038" spans="1:30" x14ac:dyDescent="0.15">
      <c r="A1038" s="12" t="s">
        <v>41</v>
      </c>
      <c r="B1038" s="26"/>
      <c r="C1038" s="47"/>
      <c r="D1038" s="27">
        <v>1</v>
      </c>
      <c r="E1038" s="34"/>
      <c r="F1038" s="35">
        <f t="shared" ref="F1038:F1060" si="755">SUM(B1038:E1038)</f>
        <v>1</v>
      </c>
      <c r="G1038" s="26"/>
      <c r="H1038" s="47"/>
      <c r="I1038" s="27"/>
      <c r="J1038" s="34"/>
      <c r="K1038" s="35">
        <f t="shared" ref="K1038:K1060" si="756">SUM(G1038:J1038)</f>
        <v>0</v>
      </c>
      <c r="L1038" s="11">
        <f t="shared" si="744"/>
        <v>1</v>
      </c>
      <c r="M1038" s="126">
        <v>45203</v>
      </c>
      <c r="N1038" s="12" t="s">
        <v>844</v>
      </c>
      <c r="O1038" s="26"/>
      <c r="P1038" s="47">
        <v>4</v>
      </c>
      <c r="Q1038" s="27">
        <v>4</v>
      </c>
      <c r="R1038" s="34"/>
      <c r="S1038" s="35">
        <f t="shared" si="753"/>
        <v>8</v>
      </c>
      <c r="T1038" s="26"/>
      <c r="U1038" s="47"/>
      <c r="V1038" s="27"/>
      <c r="W1038" s="34"/>
      <c r="X1038" s="35">
        <f t="shared" si="754"/>
        <v>0</v>
      </c>
      <c r="Y1038" s="11">
        <f t="shared" si="746"/>
        <v>8</v>
      </c>
      <c r="Z1038" s="99">
        <v>45198</v>
      </c>
    </row>
    <row r="1039" spans="1:30" x14ac:dyDescent="0.15">
      <c r="A1039" s="12" t="s">
        <v>41</v>
      </c>
      <c r="B1039" s="66"/>
      <c r="C1039" s="67"/>
      <c r="D1039" s="68"/>
      <c r="E1039" s="69">
        <v>1</v>
      </c>
      <c r="F1039" s="70">
        <f t="shared" si="755"/>
        <v>1</v>
      </c>
      <c r="G1039" s="66"/>
      <c r="H1039" s="67"/>
      <c r="I1039" s="68"/>
      <c r="J1039" s="69"/>
      <c r="K1039" s="70">
        <f t="shared" si="756"/>
        <v>0</v>
      </c>
      <c r="L1039" s="11">
        <f t="shared" si="744"/>
        <v>1</v>
      </c>
      <c r="M1039" s="126">
        <v>45204</v>
      </c>
      <c r="N1039" s="57" t="s">
        <v>845</v>
      </c>
      <c r="O1039" s="66">
        <v>1</v>
      </c>
      <c r="P1039" s="67">
        <v>5</v>
      </c>
      <c r="Q1039" s="68">
        <v>2</v>
      </c>
      <c r="R1039" s="94"/>
      <c r="S1039" s="91">
        <f>SUM(O1039:R1039)</f>
        <v>8</v>
      </c>
      <c r="T1039" s="67">
        <v>2</v>
      </c>
      <c r="U1039" s="67"/>
      <c r="V1039" s="68"/>
      <c r="W1039" s="94"/>
      <c r="X1039" s="91">
        <f>SUM(T1039:W1039)</f>
        <v>2</v>
      </c>
      <c r="Y1039" s="11">
        <f t="shared" si="746"/>
        <v>10</v>
      </c>
      <c r="Z1039" s="99">
        <v>45202</v>
      </c>
    </row>
    <row r="1040" spans="1:30" x14ac:dyDescent="0.15">
      <c r="A1040" s="57" t="s">
        <v>860</v>
      </c>
      <c r="B1040" s="26">
        <v>2</v>
      </c>
      <c r="C1040" s="47">
        <v>5</v>
      </c>
      <c r="D1040" s="27"/>
      <c r="E1040" s="34"/>
      <c r="F1040" s="35">
        <f t="shared" si="755"/>
        <v>7</v>
      </c>
      <c r="G1040" s="26"/>
      <c r="H1040" s="47"/>
      <c r="I1040" s="27"/>
      <c r="J1040" s="34"/>
      <c r="K1040" s="35">
        <f t="shared" si="756"/>
        <v>0</v>
      </c>
      <c r="L1040" s="11">
        <f t="shared" si="744"/>
        <v>7</v>
      </c>
      <c r="M1040" s="99">
        <v>45211</v>
      </c>
      <c r="N1040" s="15" t="s">
        <v>846</v>
      </c>
      <c r="O1040" s="26">
        <v>23</v>
      </c>
      <c r="P1040" s="47">
        <v>27</v>
      </c>
      <c r="Q1040" s="27">
        <v>17</v>
      </c>
      <c r="R1040" s="34">
        <v>9</v>
      </c>
      <c r="S1040" s="35">
        <f t="shared" ref="S1040:S1042" si="757">SUM(O1040:R1040)</f>
        <v>76</v>
      </c>
      <c r="T1040" s="26">
        <v>6</v>
      </c>
      <c r="U1040" s="47">
        <v>8</v>
      </c>
      <c r="V1040" s="27">
        <v>7</v>
      </c>
      <c r="W1040" s="34">
        <v>4</v>
      </c>
      <c r="X1040" s="35">
        <f t="shared" ref="X1040:X1042" si="758">SUM(T1040:W1040)</f>
        <v>25</v>
      </c>
      <c r="Y1040" s="11">
        <f t="shared" si="746"/>
        <v>101</v>
      </c>
      <c r="Z1040" s="99">
        <v>45201</v>
      </c>
    </row>
    <row r="1041" spans="1:27" x14ac:dyDescent="0.15">
      <c r="A1041" s="12" t="s">
        <v>41</v>
      </c>
      <c r="B1041" s="26"/>
      <c r="C1041" s="47"/>
      <c r="D1041" s="27"/>
      <c r="E1041" s="34"/>
      <c r="F1041" s="35">
        <f t="shared" si="755"/>
        <v>0</v>
      </c>
      <c r="G1041" s="26"/>
      <c r="H1041" s="47"/>
      <c r="I1041" s="27">
        <v>1</v>
      </c>
      <c r="J1041" s="34">
        <v>1</v>
      </c>
      <c r="K1041" s="35">
        <f t="shared" si="756"/>
        <v>2</v>
      </c>
      <c r="L1041" s="11">
        <f t="shared" si="744"/>
        <v>2</v>
      </c>
      <c r="M1041" s="126">
        <v>45209</v>
      </c>
      <c r="N1041" s="15" t="s">
        <v>851</v>
      </c>
      <c r="O1041" s="26"/>
      <c r="P1041" s="47"/>
      <c r="Q1041" s="27"/>
      <c r="R1041" s="34"/>
      <c r="S1041" s="35">
        <f t="shared" si="757"/>
        <v>0</v>
      </c>
      <c r="T1041" s="26">
        <v>3</v>
      </c>
      <c r="U1041" s="47"/>
      <c r="V1041" s="27"/>
      <c r="W1041" s="34"/>
      <c r="X1041" s="35">
        <f t="shared" si="758"/>
        <v>3</v>
      </c>
      <c r="Y1041" s="11">
        <f t="shared" si="746"/>
        <v>3</v>
      </c>
      <c r="Z1041" s="99">
        <v>45202</v>
      </c>
    </row>
    <row r="1042" spans="1:27" x14ac:dyDescent="0.15">
      <c r="A1042" s="12" t="s">
        <v>861</v>
      </c>
      <c r="B1042" s="26"/>
      <c r="C1042" s="47">
        <v>4</v>
      </c>
      <c r="D1042" s="27"/>
      <c r="E1042" s="34"/>
      <c r="F1042" s="35">
        <f t="shared" si="755"/>
        <v>4</v>
      </c>
      <c r="G1042" s="26"/>
      <c r="H1042" s="47"/>
      <c r="I1042" s="27"/>
      <c r="J1042" s="34"/>
      <c r="K1042" s="35">
        <f t="shared" si="756"/>
        <v>0</v>
      </c>
      <c r="L1042" s="11">
        <f t="shared" si="744"/>
        <v>4</v>
      </c>
      <c r="M1042" s="99">
        <v>45211</v>
      </c>
      <c r="N1042" s="15" t="s">
        <v>853</v>
      </c>
      <c r="O1042" s="26">
        <v>15</v>
      </c>
      <c r="P1042" s="47">
        <v>20</v>
      </c>
      <c r="Q1042" s="27">
        <v>7</v>
      </c>
      <c r="R1042" s="34"/>
      <c r="S1042" s="35">
        <f t="shared" si="757"/>
        <v>42</v>
      </c>
      <c r="T1042" s="26">
        <v>5</v>
      </c>
      <c r="U1042" s="47">
        <v>4</v>
      </c>
      <c r="V1042" s="27">
        <v>4</v>
      </c>
      <c r="W1042" s="34"/>
      <c r="X1042" s="35">
        <f t="shared" si="758"/>
        <v>13</v>
      </c>
      <c r="Y1042" s="11">
        <f t="shared" si="746"/>
        <v>55</v>
      </c>
      <c r="Z1042" s="99">
        <v>45203</v>
      </c>
    </row>
    <row r="1043" spans="1:27" x14ac:dyDescent="0.15">
      <c r="A1043" s="79" t="s">
        <v>863</v>
      </c>
      <c r="B1043" s="26">
        <v>1</v>
      </c>
      <c r="C1043" s="47"/>
      <c r="D1043" s="27"/>
      <c r="E1043" s="34"/>
      <c r="F1043" s="35">
        <f t="shared" si="755"/>
        <v>1</v>
      </c>
      <c r="G1043" s="26">
        <v>1</v>
      </c>
      <c r="H1043" s="47"/>
      <c r="I1043" s="27"/>
      <c r="J1043" s="34"/>
      <c r="K1043" s="35">
        <f t="shared" si="756"/>
        <v>1</v>
      </c>
      <c r="L1043" s="11">
        <f t="shared" si="744"/>
        <v>2</v>
      </c>
      <c r="M1043" s="126">
        <v>45209</v>
      </c>
      <c r="N1043" s="15" t="s">
        <v>854</v>
      </c>
      <c r="O1043" s="26">
        <v>24</v>
      </c>
      <c r="P1043" s="47">
        <v>22</v>
      </c>
      <c r="Q1043" s="27">
        <v>7</v>
      </c>
      <c r="R1043" s="50"/>
      <c r="S1043" s="9">
        <f>SUM(O1043:R1043)</f>
        <v>53</v>
      </c>
      <c r="T1043" s="47">
        <v>4</v>
      </c>
      <c r="U1043" s="47">
        <v>11</v>
      </c>
      <c r="V1043" s="27">
        <v>2</v>
      </c>
      <c r="W1043" s="50">
        <v>1</v>
      </c>
      <c r="X1043" s="9">
        <f>SUM(T1043:W1043)</f>
        <v>18</v>
      </c>
      <c r="Y1043" s="11">
        <f t="shared" si="746"/>
        <v>71</v>
      </c>
      <c r="Z1043" s="99">
        <v>45204</v>
      </c>
    </row>
    <row r="1044" spans="1:27" x14ac:dyDescent="0.15">
      <c r="A1044" s="12" t="s">
        <v>41</v>
      </c>
      <c r="B1044" s="26"/>
      <c r="C1044" s="47"/>
      <c r="D1044" s="27"/>
      <c r="E1044" s="34"/>
      <c r="F1044" s="35">
        <f t="shared" si="755"/>
        <v>0</v>
      </c>
      <c r="G1044" s="26"/>
      <c r="H1044" s="47">
        <v>1</v>
      </c>
      <c r="I1044" s="27"/>
      <c r="J1044" s="34"/>
      <c r="K1044" s="35">
        <f t="shared" si="756"/>
        <v>1</v>
      </c>
      <c r="L1044" s="11">
        <f t="shared" si="744"/>
        <v>1</v>
      </c>
      <c r="M1044" s="126">
        <v>45210</v>
      </c>
      <c r="N1044" s="15" t="s">
        <v>855</v>
      </c>
      <c r="O1044" s="26">
        <v>7</v>
      </c>
      <c r="P1044" s="47">
        <v>10</v>
      </c>
      <c r="Q1044" s="27">
        <v>7</v>
      </c>
      <c r="R1044" s="34">
        <v>7</v>
      </c>
      <c r="S1044" s="35">
        <f t="shared" ref="S1044:S1061" si="759">SUM(O1044:R1044)</f>
        <v>31</v>
      </c>
      <c r="T1044" s="26">
        <v>2</v>
      </c>
      <c r="U1044" s="47">
        <v>2</v>
      </c>
      <c r="V1044" s="27"/>
      <c r="W1044" s="34"/>
      <c r="X1044" s="35">
        <f t="shared" ref="X1044:X1061" si="760">SUM(T1044:W1044)</f>
        <v>4</v>
      </c>
      <c r="Y1044" s="11">
        <f t="shared" si="746"/>
        <v>35</v>
      </c>
      <c r="Z1044" s="99">
        <v>45205</v>
      </c>
    </row>
    <row r="1045" spans="1:27" x14ac:dyDescent="0.15">
      <c r="A1045" s="12" t="s">
        <v>41</v>
      </c>
      <c r="B1045" s="26"/>
      <c r="C1045" s="47">
        <v>1</v>
      </c>
      <c r="D1045" s="27"/>
      <c r="E1045" s="34">
        <v>1</v>
      </c>
      <c r="F1045" s="35">
        <f t="shared" si="755"/>
        <v>2</v>
      </c>
      <c r="G1045" s="26">
        <v>1</v>
      </c>
      <c r="H1045" s="47"/>
      <c r="I1045" s="27">
        <v>2</v>
      </c>
      <c r="J1045" s="34">
        <f>1+1+2</f>
        <v>4</v>
      </c>
      <c r="K1045" s="35">
        <f t="shared" si="756"/>
        <v>7</v>
      </c>
      <c r="L1045" s="11">
        <f t="shared" si="744"/>
        <v>9</v>
      </c>
      <c r="M1045" s="126">
        <v>45215</v>
      </c>
      <c r="N1045" s="15" t="s">
        <v>856</v>
      </c>
      <c r="O1045" s="26">
        <v>5</v>
      </c>
      <c r="P1045" s="47">
        <v>6</v>
      </c>
      <c r="Q1045" s="27">
        <v>10</v>
      </c>
      <c r="R1045" s="34">
        <v>1</v>
      </c>
      <c r="S1045" s="35">
        <f t="shared" si="759"/>
        <v>22</v>
      </c>
      <c r="T1045" s="26">
        <v>4</v>
      </c>
      <c r="U1045" s="47">
        <v>2</v>
      </c>
      <c r="V1045" s="27"/>
      <c r="W1045" s="34"/>
      <c r="X1045" s="35">
        <f t="shared" si="760"/>
        <v>6</v>
      </c>
      <c r="Y1045" s="11">
        <f t="shared" si="746"/>
        <v>28</v>
      </c>
      <c r="Z1045" s="99">
        <v>45209</v>
      </c>
    </row>
    <row r="1046" spans="1:27" x14ac:dyDescent="0.15">
      <c r="A1046" s="15" t="s">
        <v>869</v>
      </c>
      <c r="B1046" s="26"/>
      <c r="C1046" s="47"/>
      <c r="D1046" s="27"/>
      <c r="E1046" s="34"/>
      <c r="F1046" s="35">
        <f t="shared" si="755"/>
        <v>0</v>
      </c>
      <c r="G1046" s="26">
        <v>-3</v>
      </c>
      <c r="H1046" s="47"/>
      <c r="I1046" s="27"/>
      <c r="J1046" s="34">
        <v>-5</v>
      </c>
      <c r="K1046" s="35">
        <f t="shared" si="756"/>
        <v>-8</v>
      </c>
      <c r="L1046" s="11">
        <f t="shared" si="744"/>
        <v>-8</v>
      </c>
      <c r="M1046" s="99">
        <v>45217</v>
      </c>
      <c r="N1046" s="15" t="s">
        <v>859</v>
      </c>
      <c r="O1046" s="26">
        <v>25</v>
      </c>
      <c r="P1046" s="47">
        <v>4</v>
      </c>
      <c r="Q1046" s="27"/>
      <c r="R1046" s="34">
        <v>7</v>
      </c>
      <c r="S1046" s="35">
        <f t="shared" si="759"/>
        <v>36</v>
      </c>
      <c r="T1046" s="26">
        <v>2</v>
      </c>
      <c r="U1046" s="47">
        <v>8</v>
      </c>
      <c r="V1046" s="27"/>
      <c r="W1046" s="34"/>
      <c r="X1046" s="35">
        <f t="shared" si="760"/>
        <v>10</v>
      </c>
      <c r="Y1046" s="11">
        <f t="shared" si="746"/>
        <v>46</v>
      </c>
      <c r="Z1046" s="99">
        <v>45210</v>
      </c>
    </row>
    <row r="1047" spans="1:27" x14ac:dyDescent="0.15">
      <c r="A1047" s="12" t="s">
        <v>41</v>
      </c>
      <c r="B1047" s="26"/>
      <c r="C1047" s="47"/>
      <c r="D1047" s="27"/>
      <c r="E1047" s="34">
        <v>1</v>
      </c>
      <c r="F1047" s="35">
        <f t="shared" si="755"/>
        <v>1</v>
      </c>
      <c r="G1047" s="26"/>
      <c r="H1047" s="47"/>
      <c r="I1047" s="27"/>
      <c r="J1047" s="34"/>
      <c r="K1047" s="35">
        <f t="shared" si="756"/>
        <v>0</v>
      </c>
      <c r="L1047" s="11">
        <f t="shared" si="744"/>
        <v>1</v>
      </c>
      <c r="M1047" s="126">
        <v>45217</v>
      </c>
      <c r="N1047" s="79" t="s">
        <v>34</v>
      </c>
      <c r="O1047" s="26">
        <v>3</v>
      </c>
      <c r="P1047" s="47">
        <v>5</v>
      </c>
      <c r="Q1047" s="27"/>
      <c r="R1047" s="34"/>
      <c r="S1047" s="35">
        <f>SUM(O1047:R1047)</f>
        <v>8</v>
      </c>
      <c r="T1047" s="26"/>
      <c r="U1047" s="47"/>
      <c r="V1047" s="27">
        <v>3</v>
      </c>
      <c r="W1047" s="34"/>
      <c r="X1047" s="35">
        <f>SUM(T1047:W1047)</f>
        <v>3</v>
      </c>
      <c r="Y1047" s="11">
        <f t="shared" si="746"/>
        <v>11</v>
      </c>
      <c r="Z1047" s="99">
        <v>45210</v>
      </c>
      <c r="AA1047" s="58"/>
    </row>
    <row r="1048" spans="1:27" x14ac:dyDescent="0.15">
      <c r="A1048" s="15" t="s">
        <v>878</v>
      </c>
      <c r="B1048" s="26"/>
      <c r="C1048" s="47"/>
      <c r="D1048" s="27">
        <v>-1</v>
      </c>
      <c r="E1048" s="34"/>
      <c r="F1048" s="35">
        <f t="shared" si="755"/>
        <v>-1</v>
      </c>
      <c r="G1048" s="26"/>
      <c r="H1048" s="47">
        <v>-1</v>
      </c>
      <c r="I1048" s="27">
        <v>-1</v>
      </c>
      <c r="J1048" s="34"/>
      <c r="K1048" s="35">
        <f t="shared" si="756"/>
        <v>-2</v>
      </c>
      <c r="L1048" s="11">
        <f t="shared" si="744"/>
        <v>-3</v>
      </c>
      <c r="M1048" s="126">
        <v>45218</v>
      </c>
      <c r="N1048" s="12" t="s">
        <v>862</v>
      </c>
      <c r="O1048" s="26">
        <v>4</v>
      </c>
      <c r="P1048" s="47">
        <v>6</v>
      </c>
      <c r="Q1048" s="27"/>
      <c r="R1048" s="34"/>
      <c r="S1048" s="35">
        <f t="shared" si="759"/>
        <v>10</v>
      </c>
      <c r="T1048" s="26"/>
      <c r="U1048" s="47"/>
      <c r="V1048" s="27"/>
      <c r="W1048" s="34"/>
      <c r="X1048" s="35">
        <f t="shared" si="760"/>
        <v>0</v>
      </c>
      <c r="Y1048" s="11">
        <f t="shared" si="746"/>
        <v>10</v>
      </c>
      <c r="Z1048" s="99">
        <v>45215</v>
      </c>
    </row>
    <row r="1049" spans="1:27" x14ac:dyDescent="0.15">
      <c r="A1049" s="12" t="s">
        <v>41</v>
      </c>
      <c r="B1049" s="26"/>
      <c r="C1049" s="47"/>
      <c r="D1049" s="27"/>
      <c r="E1049" s="34"/>
      <c r="F1049" s="35">
        <f t="shared" si="755"/>
        <v>0</v>
      </c>
      <c r="G1049" s="26"/>
      <c r="H1049" s="47"/>
      <c r="I1049" s="27">
        <v>2</v>
      </c>
      <c r="J1049" s="34"/>
      <c r="K1049" s="35">
        <f t="shared" si="756"/>
        <v>2</v>
      </c>
      <c r="L1049" s="11">
        <f t="shared" si="744"/>
        <v>2</v>
      </c>
      <c r="M1049" s="126">
        <v>45218</v>
      </c>
      <c r="N1049" s="15" t="s">
        <v>864</v>
      </c>
      <c r="O1049" s="26"/>
      <c r="P1049" s="47">
        <v>10</v>
      </c>
      <c r="Q1049" s="27">
        <v>2</v>
      </c>
      <c r="R1049" s="34">
        <v>3</v>
      </c>
      <c r="S1049" s="35">
        <f t="shared" si="759"/>
        <v>15</v>
      </c>
      <c r="T1049" s="26">
        <v>3</v>
      </c>
      <c r="U1049" s="47">
        <v>1</v>
      </c>
      <c r="V1049" s="27">
        <v>2</v>
      </c>
      <c r="W1049" s="34">
        <v>1</v>
      </c>
      <c r="X1049" s="35">
        <f t="shared" si="760"/>
        <v>7</v>
      </c>
      <c r="Y1049" s="11">
        <f t="shared" si="746"/>
        <v>22</v>
      </c>
      <c r="Z1049" s="99">
        <v>45211</v>
      </c>
    </row>
    <row r="1050" spans="1:27" x14ac:dyDescent="0.15">
      <c r="A1050" s="15" t="s">
        <v>881</v>
      </c>
      <c r="B1050" s="26"/>
      <c r="C1050" s="47"/>
      <c r="D1050" s="27"/>
      <c r="E1050" s="34">
        <v>2</v>
      </c>
      <c r="F1050" s="35">
        <f t="shared" si="755"/>
        <v>2</v>
      </c>
      <c r="G1050" s="26"/>
      <c r="H1050" s="47"/>
      <c r="I1050" s="27"/>
      <c r="J1050" s="34"/>
      <c r="K1050" s="35">
        <f t="shared" si="756"/>
        <v>0</v>
      </c>
      <c r="L1050" s="11">
        <f t="shared" si="744"/>
        <v>2</v>
      </c>
      <c r="M1050" s="126">
        <v>45222</v>
      </c>
      <c r="N1050" s="15" t="s">
        <v>865</v>
      </c>
      <c r="O1050" s="26">
        <v>3</v>
      </c>
      <c r="P1050" s="47">
        <v>2</v>
      </c>
      <c r="Q1050" s="27">
        <v>8</v>
      </c>
      <c r="R1050" s="34">
        <v>2</v>
      </c>
      <c r="S1050" s="35">
        <f t="shared" si="759"/>
        <v>15</v>
      </c>
      <c r="T1050" s="26">
        <v>2</v>
      </c>
      <c r="U1050" s="47">
        <v>1</v>
      </c>
      <c r="V1050" s="27">
        <v>2</v>
      </c>
      <c r="W1050" s="34">
        <v>2</v>
      </c>
      <c r="X1050" s="35">
        <f t="shared" si="760"/>
        <v>7</v>
      </c>
      <c r="Y1050" s="11">
        <f t="shared" si="746"/>
        <v>22</v>
      </c>
      <c r="Z1050" s="99">
        <v>45212</v>
      </c>
    </row>
    <row r="1051" spans="1:27" x14ac:dyDescent="0.15">
      <c r="A1051" s="13"/>
      <c r="B1051" s="26"/>
      <c r="C1051" s="47"/>
      <c r="D1051" s="27"/>
      <c r="E1051" s="34"/>
      <c r="F1051" s="35">
        <f t="shared" si="755"/>
        <v>0</v>
      </c>
      <c r="G1051" s="26"/>
      <c r="H1051" s="47"/>
      <c r="I1051" s="27"/>
      <c r="J1051" s="34"/>
      <c r="K1051" s="35">
        <f t="shared" si="756"/>
        <v>0</v>
      </c>
      <c r="L1051" s="11">
        <f t="shared" si="744"/>
        <v>0</v>
      </c>
      <c r="N1051" s="79" t="s">
        <v>34</v>
      </c>
      <c r="O1051" s="26"/>
      <c r="P1051" s="47">
        <v>3</v>
      </c>
      <c r="Q1051" s="27"/>
      <c r="R1051" s="34"/>
      <c r="S1051" s="35">
        <f>SUM(O1051:R1051)</f>
        <v>3</v>
      </c>
      <c r="T1051" s="26"/>
      <c r="U1051" s="47">
        <v>3</v>
      </c>
      <c r="V1051" s="27"/>
      <c r="W1051" s="34"/>
      <c r="X1051" s="35">
        <f>SUM(T1051:W1051)</f>
        <v>3</v>
      </c>
      <c r="Y1051" s="11">
        <f t="shared" si="746"/>
        <v>6</v>
      </c>
      <c r="Z1051" s="99">
        <v>45212</v>
      </c>
    </row>
    <row r="1052" spans="1:27" x14ac:dyDescent="0.15">
      <c r="A1052" s="15"/>
      <c r="B1052" s="26"/>
      <c r="C1052" s="47"/>
      <c r="D1052" s="27"/>
      <c r="E1052" s="34"/>
      <c r="F1052" s="35">
        <f t="shared" si="755"/>
        <v>0</v>
      </c>
      <c r="G1052" s="26"/>
      <c r="H1052" s="47"/>
      <c r="I1052" s="27"/>
      <c r="J1052" s="34"/>
      <c r="K1052" s="35">
        <f t="shared" si="756"/>
        <v>0</v>
      </c>
      <c r="L1052" s="11">
        <f t="shared" si="744"/>
        <v>0</v>
      </c>
      <c r="N1052" s="15" t="s">
        <v>866</v>
      </c>
      <c r="O1052" s="26">
        <v>19</v>
      </c>
      <c r="P1052" s="47">
        <v>22</v>
      </c>
      <c r="Q1052" s="27">
        <v>13</v>
      </c>
      <c r="R1052" s="34">
        <v>6</v>
      </c>
      <c r="S1052" s="35">
        <f t="shared" si="759"/>
        <v>60</v>
      </c>
      <c r="T1052" s="26">
        <v>5</v>
      </c>
      <c r="U1052" s="47">
        <v>7</v>
      </c>
      <c r="V1052" s="27">
        <v>5</v>
      </c>
      <c r="W1052" s="34">
        <v>3</v>
      </c>
      <c r="X1052" s="35">
        <f t="shared" si="760"/>
        <v>20</v>
      </c>
      <c r="Y1052" s="11">
        <f t="shared" si="746"/>
        <v>80</v>
      </c>
      <c r="Z1052" s="99">
        <v>45215</v>
      </c>
    </row>
    <row r="1053" spans="1:27" x14ac:dyDescent="0.15">
      <c r="A1053" s="15"/>
      <c r="B1053" s="26"/>
      <c r="C1053" s="47"/>
      <c r="D1053" s="27"/>
      <c r="E1053" s="34"/>
      <c r="F1053" s="35">
        <f t="shared" si="755"/>
        <v>0</v>
      </c>
      <c r="G1053" s="26"/>
      <c r="H1053" s="47"/>
      <c r="I1053" s="27"/>
      <c r="J1053" s="34"/>
      <c r="K1053" s="35">
        <f t="shared" si="756"/>
        <v>0</v>
      </c>
      <c r="L1053" s="11">
        <f t="shared" si="744"/>
        <v>0</v>
      </c>
      <c r="N1053" s="15" t="s">
        <v>867</v>
      </c>
      <c r="O1053" s="26"/>
      <c r="P1053" s="47"/>
      <c r="Q1053" s="27"/>
      <c r="R1053" s="34">
        <v>2</v>
      </c>
      <c r="S1053" s="35">
        <f t="shared" si="759"/>
        <v>2</v>
      </c>
      <c r="T1053" s="26"/>
      <c r="U1053" s="47"/>
      <c r="V1053" s="27">
        <v>2</v>
      </c>
      <c r="W1053" s="34"/>
      <c r="X1053" s="35">
        <f t="shared" si="760"/>
        <v>2</v>
      </c>
      <c r="Y1053" s="11">
        <f t="shared" si="746"/>
        <v>4</v>
      </c>
      <c r="Z1053" s="99">
        <v>45216</v>
      </c>
    </row>
    <row r="1054" spans="1:27" x14ac:dyDescent="0.15">
      <c r="A1054" s="13"/>
      <c r="B1054" s="26"/>
      <c r="C1054" s="47"/>
      <c r="D1054" s="27"/>
      <c r="E1054" s="34"/>
      <c r="F1054" s="35">
        <f t="shared" si="755"/>
        <v>0</v>
      </c>
      <c r="G1054" s="26"/>
      <c r="H1054" s="47"/>
      <c r="I1054" s="27"/>
      <c r="J1054" s="34"/>
      <c r="K1054" s="35">
        <f t="shared" si="756"/>
        <v>0</v>
      </c>
      <c r="L1054" s="11">
        <f t="shared" si="744"/>
        <v>0</v>
      </c>
      <c r="N1054" s="12" t="s">
        <v>868</v>
      </c>
      <c r="O1054" s="26"/>
      <c r="P1054" s="47">
        <v>4</v>
      </c>
      <c r="Q1054" s="27"/>
      <c r="R1054" s="34"/>
      <c r="S1054" s="35">
        <f t="shared" si="759"/>
        <v>4</v>
      </c>
      <c r="T1054" s="26"/>
      <c r="U1054" s="47"/>
      <c r="V1054" s="27"/>
      <c r="W1054" s="34"/>
      <c r="X1054" s="35">
        <f t="shared" si="760"/>
        <v>0</v>
      </c>
      <c r="Y1054" s="11">
        <f t="shared" si="746"/>
        <v>4</v>
      </c>
      <c r="Z1054" s="99">
        <v>45219</v>
      </c>
    </row>
    <row r="1055" spans="1:27" x14ac:dyDescent="0.15">
      <c r="A1055" s="32"/>
      <c r="B1055" s="26"/>
      <c r="C1055" s="47"/>
      <c r="D1055" s="27"/>
      <c r="E1055" s="34"/>
      <c r="F1055" s="35">
        <f t="shared" si="755"/>
        <v>0</v>
      </c>
      <c r="G1055" s="26"/>
      <c r="H1055" s="47"/>
      <c r="I1055" s="27"/>
      <c r="J1055" s="34"/>
      <c r="K1055" s="35">
        <f t="shared" si="756"/>
        <v>0</v>
      </c>
      <c r="L1055" s="11">
        <f t="shared" si="744"/>
        <v>0</v>
      </c>
      <c r="N1055" s="79" t="s">
        <v>34</v>
      </c>
      <c r="O1055" s="26"/>
      <c r="P1055" s="47"/>
      <c r="Q1055" s="27"/>
      <c r="R1055" s="34"/>
      <c r="S1055" s="35">
        <f t="shared" si="759"/>
        <v>0</v>
      </c>
      <c r="T1055" s="26">
        <v>3</v>
      </c>
      <c r="U1055" s="47"/>
      <c r="V1055" s="27"/>
      <c r="W1055" s="34">
        <v>5</v>
      </c>
      <c r="X1055" s="35">
        <f t="shared" si="760"/>
        <v>8</v>
      </c>
      <c r="Y1055" s="11">
        <f t="shared" si="746"/>
        <v>8</v>
      </c>
      <c r="Z1055" s="99">
        <v>45217</v>
      </c>
    </row>
    <row r="1056" spans="1:27" x14ac:dyDescent="0.15">
      <c r="A1056" s="32"/>
      <c r="B1056" s="26"/>
      <c r="C1056" s="47"/>
      <c r="D1056" s="27"/>
      <c r="E1056" s="34"/>
      <c r="F1056" s="35">
        <f t="shared" si="755"/>
        <v>0</v>
      </c>
      <c r="G1056" s="26"/>
      <c r="H1056" s="47"/>
      <c r="I1056" s="27"/>
      <c r="J1056" s="34"/>
      <c r="K1056" s="35">
        <f t="shared" si="756"/>
        <v>0</v>
      </c>
      <c r="L1056" s="11">
        <f t="shared" si="744"/>
        <v>0</v>
      </c>
      <c r="N1056" s="15"/>
      <c r="O1056" s="26"/>
      <c r="P1056" s="47"/>
      <c r="Q1056" s="27"/>
      <c r="R1056" s="34"/>
      <c r="S1056" s="35">
        <f t="shared" ref="S1056" si="761">SUM(O1056:R1056)</f>
        <v>0</v>
      </c>
      <c r="T1056" s="26"/>
      <c r="U1056" s="47"/>
      <c r="V1056" s="27"/>
      <c r="W1056" s="34"/>
      <c r="X1056" s="35">
        <f t="shared" ref="X1056" si="762">SUM(T1056:W1056)</f>
        <v>0</v>
      </c>
      <c r="Y1056" s="11">
        <f t="shared" ref="Y1056" si="763">S1056+X1056</f>
        <v>0</v>
      </c>
      <c r="Z1056" s="101"/>
    </row>
    <row r="1057" spans="1:26" x14ac:dyDescent="0.15">
      <c r="A1057" s="12"/>
      <c r="B1057" s="26"/>
      <c r="C1057" s="47"/>
      <c r="D1057" s="27"/>
      <c r="E1057" s="34"/>
      <c r="F1057" s="35">
        <f t="shared" si="755"/>
        <v>0</v>
      </c>
      <c r="G1057" s="26"/>
      <c r="H1057" s="47"/>
      <c r="I1057" s="27"/>
      <c r="J1057" s="34"/>
      <c r="K1057" s="35">
        <f t="shared" si="756"/>
        <v>0</v>
      </c>
      <c r="L1057" s="11">
        <f t="shared" si="744"/>
        <v>0</v>
      </c>
      <c r="N1057" s="153" t="s">
        <v>819</v>
      </c>
      <c r="O1057" s="154"/>
      <c r="P1057" s="155"/>
      <c r="Q1057" s="156"/>
      <c r="R1057" s="157"/>
      <c r="S1057" s="158">
        <f t="shared" ref="S1057:S1058" si="764">SUM(O1057:R1057)</f>
        <v>0</v>
      </c>
      <c r="T1057" s="154"/>
      <c r="U1057" s="155"/>
      <c r="V1057" s="156"/>
      <c r="W1057" s="157"/>
      <c r="X1057" s="158">
        <f t="shared" ref="X1057:X1058" si="765">SUM(T1057:W1057)</f>
        <v>0</v>
      </c>
      <c r="Y1057" s="159">
        <f t="shared" ref="Y1057:Y1058" si="766">S1057+X1057</f>
        <v>0</v>
      </c>
      <c r="Z1057" s="160" t="s">
        <v>768</v>
      </c>
    </row>
    <row r="1058" spans="1:26" x14ac:dyDescent="0.15">
      <c r="A1058" s="79"/>
      <c r="B1058" s="26"/>
      <c r="C1058" s="47"/>
      <c r="D1058" s="27"/>
      <c r="E1058" s="34"/>
      <c r="F1058" s="35">
        <f t="shared" si="755"/>
        <v>0</v>
      </c>
      <c r="G1058" s="26"/>
      <c r="H1058" s="47"/>
      <c r="I1058" s="27"/>
      <c r="J1058" s="34"/>
      <c r="K1058" s="35">
        <f t="shared" si="756"/>
        <v>0</v>
      </c>
      <c r="L1058" s="11">
        <f t="shared" si="744"/>
        <v>0</v>
      </c>
      <c r="N1058" s="57" t="s">
        <v>813</v>
      </c>
      <c r="O1058" s="66"/>
      <c r="P1058" s="67"/>
      <c r="Q1058" s="68"/>
      <c r="R1058" s="69"/>
      <c r="S1058" s="70">
        <f t="shared" si="764"/>
        <v>0</v>
      </c>
      <c r="T1058" s="66"/>
      <c r="U1058" s="67"/>
      <c r="V1058" s="68"/>
      <c r="W1058" s="69"/>
      <c r="X1058" s="70">
        <f t="shared" si="765"/>
        <v>0</v>
      </c>
      <c r="Y1058" s="11">
        <f t="shared" si="766"/>
        <v>0</v>
      </c>
      <c r="Z1058" s="101" t="s">
        <v>814</v>
      </c>
    </row>
    <row r="1059" spans="1:26" x14ac:dyDescent="0.15">
      <c r="A1059" s="57"/>
      <c r="B1059" s="26"/>
      <c r="C1059" s="47"/>
      <c r="D1059" s="27"/>
      <c r="E1059" s="34"/>
      <c r="F1059" s="35">
        <f t="shared" si="755"/>
        <v>0</v>
      </c>
      <c r="G1059" s="26"/>
      <c r="H1059" s="47"/>
      <c r="I1059" s="27"/>
      <c r="J1059" s="34"/>
      <c r="K1059" s="35">
        <f t="shared" si="756"/>
        <v>0</v>
      </c>
      <c r="L1059" s="11">
        <f t="shared" si="744"/>
        <v>0</v>
      </c>
      <c r="N1059" s="57" t="s">
        <v>798</v>
      </c>
      <c r="O1059" s="66"/>
      <c r="P1059" s="67"/>
      <c r="Q1059" s="68"/>
      <c r="R1059" s="69"/>
      <c r="S1059" s="70">
        <f t="shared" ref="S1059:S1060" si="767">SUM(O1059:R1059)</f>
        <v>0</v>
      </c>
      <c r="T1059" s="66"/>
      <c r="U1059" s="67"/>
      <c r="V1059" s="68"/>
      <c r="W1059" s="69"/>
      <c r="X1059" s="70">
        <f t="shared" ref="X1059:X1060" si="768">SUM(T1059:W1059)</f>
        <v>0</v>
      </c>
      <c r="Y1059" s="11">
        <f t="shared" si="746"/>
        <v>0</v>
      </c>
      <c r="Z1059" s="101" t="s">
        <v>799</v>
      </c>
    </row>
    <row r="1060" spans="1:26" ht="14.25" thickBot="1" x14ac:dyDescent="0.2">
      <c r="A1060" s="90"/>
      <c r="B1060" s="62"/>
      <c r="C1060" s="63"/>
      <c r="D1060" s="64"/>
      <c r="E1060" s="65"/>
      <c r="F1060" s="35">
        <f t="shared" si="755"/>
        <v>0</v>
      </c>
      <c r="G1060" s="62"/>
      <c r="H1060" s="63"/>
      <c r="I1060" s="64"/>
      <c r="J1060" s="65"/>
      <c r="K1060" s="35">
        <f t="shared" si="756"/>
        <v>0</v>
      </c>
      <c r="L1060" s="14">
        <f t="shared" si="744"/>
        <v>0</v>
      </c>
      <c r="N1060" s="135" t="s">
        <v>767</v>
      </c>
      <c r="O1060" s="62"/>
      <c r="P1060" s="63"/>
      <c r="Q1060" s="64"/>
      <c r="R1060" s="65"/>
      <c r="S1060" s="120">
        <f t="shared" si="767"/>
        <v>0</v>
      </c>
      <c r="T1060" s="62"/>
      <c r="U1060" s="63"/>
      <c r="V1060" s="64"/>
      <c r="W1060" s="65"/>
      <c r="X1060" s="120">
        <f t="shared" si="768"/>
        <v>0</v>
      </c>
      <c r="Y1060" s="121">
        <f t="shared" si="746"/>
        <v>0</v>
      </c>
      <c r="Z1060" s="99" t="s">
        <v>768</v>
      </c>
    </row>
    <row r="1061" spans="1:26" ht="14.25" thickBot="1" x14ac:dyDescent="0.2">
      <c r="A1061" s="17" t="s">
        <v>10</v>
      </c>
      <c r="B1061" s="38">
        <f>SUM(B1036:B1060)</f>
        <v>12</v>
      </c>
      <c r="C1061" s="48">
        <f>SUM(C1036:C1060)</f>
        <v>10</v>
      </c>
      <c r="D1061" s="39">
        <f>SUM(D1036:D1060)</f>
        <v>2</v>
      </c>
      <c r="E1061" s="40">
        <f>SUM(E1036:E1060)</f>
        <v>8</v>
      </c>
      <c r="F1061" s="36">
        <f>SUM(B1061:E1061)</f>
        <v>32</v>
      </c>
      <c r="G1061" s="38">
        <f>SUM(G1036:G1060)</f>
        <v>-1</v>
      </c>
      <c r="H1061" s="48">
        <f>SUM(H1036:H1060)</f>
        <v>7</v>
      </c>
      <c r="I1061" s="39">
        <f>SUM(I1036:I1060)</f>
        <v>4</v>
      </c>
      <c r="J1061" s="40">
        <f>SUM(J1036:J1060)</f>
        <v>0</v>
      </c>
      <c r="K1061" s="36">
        <f>SUM(G1061:J1061)</f>
        <v>10</v>
      </c>
      <c r="L1061" s="37">
        <f t="shared" si="744"/>
        <v>42</v>
      </c>
      <c r="N1061" s="133" t="s">
        <v>10</v>
      </c>
      <c r="O1061" s="38">
        <f>SUM(O1036:O1060)</f>
        <v>133</v>
      </c>
      <c r="P1061" s="48">
        <f>SUM(P1036:P1060)</f>
        <v>156</v>
      </c>
      <c r="Q1061" s="39">
        <f>SUM(Q1036:Q1060)</f>
        <v>81</v>
      </c>
      <c r="R1061" s="40">
        <f>SUM(R1036:R1060)</f>
        <v>47</v>
      </c>
      <c r="S1061" s="118">
        <f t="shared" si="759"/>
        <v>417</v>
      </c>
      <c r="T1061" s="38">
        <f>SUM(T1036:T1060)</f>
        <v>51</v>
      </c>
      <c r="U1061" s="48">
        <f>SUM(U1036:U1060)</f>
        <v>57</v>
      </c>
      <c r="V1061" s="39">
        <f>SUM(V1036:V1060)</f>
        <v>31</v>
      </c>
      <c r="W1061" s="40">
        <f>SUM(W1036:W1060)</f>
        <v>16</v>
      </c>
      <c r="X1061" s="118">
        <f t="shared" si="760"/>
        <v>155</v>
      </c>
      <c r="Y1061" s="119">
        <f t="shared" si="746"/>
        <v>572</v>
      </c>
    </row>
    <row r="1062" spans="1:26" ht="14.25" thickBot="1" x14ac:dyDescent="0.2">
      <c r="A1062" s="22" t="s">
        <v>11</v>
      </c>
      <c r="B1062" s="41">
        <f>B1035-B1061</f>
        <v>8</v>
      </c>
      <c r="C1062" s="49">
        <f>C1035-C1061</f>
        <v>9</v>
      </c>
      <c r="D1062" s="42">
        <f t="shared" ref="D1062:K1062" si="769">D1035-D1061</f>
        <v>8</v>
      </c>
      <c r="E1062" s="43">
        <f t="shared" si="769"/>
        <v>1</v>
      </c>
      <c r="F1062" s="61">
        <f t="shared" si="769"/>
        <v>22</v>
      </c>
      <c r="G1062" s="41">
        <f t="shared" si="769"/>
        <v>5</v>
      </c>
      <c r="H1062" s="49">
        <f t="shared" si="769"/>
        <v>10</v>
      </c>
      <c r="I1062" s="42">
        <f t="shared" si="769"/>
        <v>1</v>
      </c>
      <c r="J1062" s="43">
        <f t="shared" si="769"/>
        <v>6</v>
      </c>
      <c r="K1062" s="61">
        <f t="shared" si="769"/>
        <v>22</v>
      </c>
      <c r="L1062" s="21">
        <f t="shared" si="744"/>
        <v>44</v>
      </c>
      <c r="N1062" s="17" t="s">
        <v>11</v>
      </c>
      <c r="O1062" s="41">
        <f>O1035-O1061</f>
        <v>376</v>
      </c>
      <c r="P1062" s="49">
        <f t="shared" ref="P1062:Q1062" si="770">P1035-P1061</f>
        <v>450</v>
      </c>
      <c r="Q1062" s="42">
        <f t="shared" si="770"/>
        <v>231</v>
      </c>
      <c r="R1062" s="43">
        <f>R1035-R1061</f>
        <v>183</v>
      </c>
      <c r="S1062" s="61">
        <f t="shared" ref="S1062:X1062" si="771">S1035-S1061</f>
        <v>1240</v>
      </c>
      <c r="T1062" s="41">
        <f t="shared" si="771"/>
        <v>305</v>
      </c>
      <c r="U1062" s="49">
        <f t="shared" si="771"/>
        <v>363</v>
      </c>
      <c r="V1062" s="42">
        <f t="shared" si="771"/>
        <v>169</v>
      </c>
      <c r="W1062" s="43">
        <f t="shared" si="771"/>
        <v>184</v>
      </c>
      <c r="X1062" s="61">
        <f t="shared" si="771"/>
        <v>1021</v>
      </c>
      <c r="Y1062" s="21">
        <f t="shared" si="746"/>
        <v>2261</v>
      </c>
    </row>
    <row r="1063" spans="1:26" x14ac:dyDescent="0.15">
      <c r="N1063" s="200">
        <v>45142</v>
      </c>
      <c r="O1063" s="125">
        <v>28.628897083473014</v>
      </c>
      <c r="P1063" s="125">
        <v>34.897753938987599</v>
      </c>
      <c r="Q1063" s="125">
        <v>22.460610124036204</v>
      </c>
      <c r="R1063" s="125">
        <v>14.012738853503185</v>
      </c>
      <c r="S1063" s="125">
        <v>100</v>
      </c>
      <c r="T1063" s="125">
        <v>28.675754625121712</v>
      </c>
      <c r="U1063" s="125">
        <v>33.349561830574487</v>
      </c>
      <c r="V1063" s="125">
        <v>21.908471275559883</v>
      </c>
      <c r="W1063" s="125">
        <v>16.066212268743914</v>
      </c>
      <c r="X1063" s="125">
        <v>100</v>
      </c>
    </row>
    <row r="1064" spans="1:26" x14ac:dyDescent="0.15">
      <c r="O1064" s="215">
        <v>29.8</v>
      </c>
      <c r="P1064" s="211">
        <v>36</v>
      </c>
      <c r="Q1064" s="215">
        <v>22.1</v>
      </c>
      <c r="R1064" s="215">
        <v>12.2</v>
      </c>
      <c r="S1064" s="215"/>
      <c r="T1064" s="215">
        <v>28.3</v>
      </c>
      <c r="U1064" s="215">
        <v>33.700000000000003</v>
      </c>
      <c r="V1064" s="215">
        <v>22.4</v>
      </c>
      <c r="W1064" s="215">
        <v>15.6</v>
      </c>
    </row>
    <row r="1065" spans="1:26" ht="19.5" thickBot="1" x14ac:dyDescent="0.25">
      <c r="A1065" s="2" t="s">
        <v>106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105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6" ht="14.25" thickBot="1" x14ac:dyDescent="0.2">
      <c r="A1066" s="5" t="s">
        <v>0</v>
      </c>
      <c r="B1066" s="342" t="s">
        <v>18</v>
      </c>
      <c r="C1066" s="350"/>
      <c r="D1066" s="350"/>
      <c r="E1066" s="350"/>
      <c r="F1066" s="351"/>
      <c r="G1066" s="345" t="s">
        <v>12</v>
      </c>
      <c r="H1066" s="352"/>
      <c r="I1066" s="352"/>
      <c r="J1066" s="352"/>
      <c r="K1066" s="353"/>
      <c r="L1066" s="354" t="s">
        <v>1</v>
      </c>
      <c r="N1066" s="5" t="s">
        <v>0</v>
      </c>
      <c r="O1066" s="342" t="s">
        <v>18</v>
      </c>
      <c r="P1066" s="350"/>
      <c r="Q1066" s="350"/>
      <c r="R1066" s="350"/>
      <c r="S1066" s="351"/>
      <c r="T1066" s="345" t="s">
        <v>12</v>
      </c>
      <c r="U1066" s="352"/>
      <c r="V1066" s="352"/>
      <c r="W1066" s="352"/>
      <c r="X1066" s="353"/>
      <c r="Y1066" s="354" t="s">
        <v>1</v>
      </c>
    </row>
    <row r="1067" spans="1:26" ht="14.25" thickBot="1" x14ac:dyDescent="0.2">
      <c r="A1067" s="5" t="s">
        <v>2</v>
      </c>
      <c r="B1067" s="3" t="s">
        <v>13</v>
      </c>
      <c r="C1067" s="44" t="s">
        <v>14</v>
      </c>
      <c r="D1067" s="4" t="s">
        <v>15</v>
      </c>
      <c r="E1067" s="23" t="s">
        <v>16</v>
      </c>
      <c r="F1067" s="31" t="s">
        <v>3</v>
      </c>
      <c r="G1067" s="3" t="s">
        <v>13</v>
      </c>
      <c r="H1067" s="44" t="s">
        <v>14</v>
      </c>
      <c r="I1067" s="4" t="s">
        <v>15</v>
      </c>
      <c r="J1067" s="23" t="s">
        <v>16</v>
      </c>
      <c r="K1067" s="31" t="s">
        <v>3</v>
      </c>
      <c r="L1067" s="355"/>
      <c r="N1067" s="5" t="s">
        <v>2</v>
      </c>
      <c r="O1067" s="3" t="s">
        <v>13</v>
      </c>
      <c r="P1067" s="44" t="s">
        <v>14</v>
      </c>
      <c r="Q1067" s="4" t="s">
        <v>15</v>
      </c>
      <c r="R1067" s="23" t="s">
        <v>16</v>
      </c>
      <c r="S1067" s="31" t="s">
        <v>3</v>
      </c>
      <c r="T1067" s="3" t="s">
        <v>13</v>
      </c>
      <c r="U1067" s="44" t="s">
        <v>14</v>
      </c>
      <c r="V1067" s="4" t="s">
        <v>15</v>
      </c>
      <c r="W1067" s="23" t="s">
        <v>16</v>
      </c>
      <c r="X1067" s="31" t="s">
        <v>3</v>
      </c>
      <c r="Y1067" s="355"/>
    </row>
    <row r="1068" spans="1:26" x14ac:dyDescent="0.15">
      <c r="A1068" s="71" t="s">
        <v>17</v>
      </c>
      <c r="B1068" s="72">
        <f>B1062</f>
        <v>8</v>
      </c>
      <c r="C1068" s="73">
        <f t="shared" ref="C1068:L1068" si="772">C1062</f>
        <v>9</v>
      </c>
      <c r="D1068" s="73">
        <f t="shared" si="772"/>
        <v>8</v>
      </c>
      <c r="E1068" s="74">
        <f t="shared" si="772"/>
        <v>1</v>
      </c>
      <c r="F1068" s="76">
        <f t="shared" si="772"/>
        <v>22</v>
      </c>
      <c r="G1068" s="72">
        <f t="shared" si="772"/>
        <v>5</v>
      </c>
      <c r="H1068" s="73">
        <f t="shared" si="772"/>
        <v>10</v>
      </c>
      <c r="I1068" s="73">
        <f t="shared" si="772"/>
        <v>1</v>
      </c>
      <c r="J1068" s="74">
        <f t="shared" si="772"/>
        <v>6</v>
      </c>
      <c r="K1068" s="75">
        <f t="shared" si="772"/>
        <v>22</v>
      </c>
      <c r="L1068" s="16">
        <f t="shared" si="772"/>
        <v>44</v>
      </c>
      <c r="N1068" s="71" t="s">
        <v>17</v>
      </c>
      <c r="O1068" s="72">
        <f>O1062</f>
        <v>376</v>
      </c>
      <c r="P1068" s="73">
        <f t="shared" ref="P1068:Y1068" si="773">P1062</f>
        <v>450</v>
      </c>
      <c r="Q1068" s="73">
        <f t="shared" si="773"/>
        <v>231</v>
      </c>
      <c r="R1068" s="74">
        <f t="shared" si="773"/>
        <v>183</v>
      </c>
      <c r="S1068" s="76">
        <f t="shared" si="773"/>
        <v>1240</v>
      </c>
      <c r="T1068" s="72">
        <f t="shared" si="773"/>
        <v>305</v>
      </c>
      <c r="U1068" s="73">
        <f t="shared" si="773"/>
        <v>363</v>
      </c>
      <c r="V1068" s="73">
        <f t="shared" si="773"/>
        <v>169</v>
      </c>
      <c r="W1068" s="74">
        <f t="shared" si="773"/>
        <v>184</v>
      </c>
      <c r="X1068" s="75">
        <f t="shared" si="773"/>
        <v>1021</v>
      </c>
      <c r="Y1068" s="16">
        <f t="shared" si="773"/>
        <v>2261</v>
      </c>
    </row>
    <row r="1069" spans="1:26" x14ac:dyDescent="0.15">
      <c r="A1069" s="13" t="s">
        <v>880</v>
      </c>
      <c r="B1069" s="26">
        <v>2</v>
      </c>
      <c r="C1069" s="47"/>
      <c r="D1069" s="27"/>
      <c r="E1069" s="50"/>
      <c r="F1069" s="9">
        <f>SUM(B1069:E1069)</f>
        <v>2</v>
      </c>
      <c r="G1069" s="47"/>
      <c r="H1069" s="47"/>
      <c r="I1069" s="27"/>
      <c r="J1069" s="50"/>
      <c r="K1069" s="9">
        <f>SUM(G1069:J1069)</f>
        <v>0</v>
      </c>
      <c r="L1069" s="11">
        <f t="shared" ref="L1069:L1100" si="774">F1069+K1069</f>
        <v>2</v>
      </c>
      <c r="M1069" s="126">
        <v>45219</v>
      </c>
      <c r="N1069" s="13" t="s">
        <v>305</v>
      </c>
      <c r="O1069" s="26">
        <v>10</v>
      </c>
      <c r="P1069" s="47">
        <v>6</v>
      </c>
      <c r="Q1069" s="27">
        <v>5</v>
      </c>
      <c r="R1069" s="34"/>
      <c r="S1069" s="77">
        <f t="shared" ref="S1069" si="775">SUM(O1069:R1069)</f>
        <v>21</v>
      </c>
      <c r="T1069" s="26"/>
      <c r="U1069" s="47">
        <v>6</v>
      </c>
      <c r="V1069" s="27"/>
      <c r="W1069" s="34"/>
      <c r="X1069" s="9">
        <f t="shared" ref="X1069" si="776">SUM(T1069:W1069)</f>
        <v>6</v>
      </c>
      <c r="Y1069" s="11">
        <f t="shared" ref="Y1069" si="777">S1069+X1069</f>
        <v>27</v>
      </c>
      <c r="Z1069" s="126">
        <v>45234</v>
      </c>
    </row>
    <row r="1070" spans="1:26" x14ac:dyDescent="0.15">
      <c r="A1070" s="13" t="s">
        <v>6</v>
      </c>
      <c r="B1070" s="26"/>
      <c r="C1070" s="47"/>
      <c r="D1070" s="27"/>
      <c r="E1070" s="50"/>
      <c r="F1070" s="9">
        <f>SUM(B1070:E1070)</f>
        <v>0</v>
      </c>
      <c r="G1070" s="47"/>
      <c r="H1070" s="47"/>
      <c r="I1070" s="27">
        <v>3</v>
      </c>
      <c r="J1070" s="50"/>
      <c r="K1070" s="9">
        <f>SUM(G1070:J1070)</f>
        <v>3</v>
      </c>
      <c r="L1070" s="11">
        <f t="shared" si="774"/>
        <v>3</v>
      </c>
      <c r="M1070" s="99">
        <v>45220</v>
      </c>
      <c r="N1070" s="13" t="s">
        <v>6</v>
      </c>
      <c r="O1070" s="26"/>
      <c r="P1070" s="47"/>
      <c r="Q1070" s="27"/>
      <c r="R1070" s="34"/>
      <c r="S1070" s="77">
        <f>SUM(O1070:R1070)</f>
        <v>0</v>
      </c>
      <c r="T1070" s="26"/>
      <c r="U1070" s="47"/>
      <c r="V1070" s="27"/>
      <c r="W1070" s="34"/>
      <c r="X1070" s="9">
        <f>SUM(T1070:W1070)</f>
        <v>0</v>
      </c>
      <c r="Y1070" s="11">
        <f t="shared" ref="Y1070:Y1100" si="778">S1070+X1070</f>
        <v>0</v>
      </c>
    </row>
    <row r="1071" spans="1:26" x14ac:dyDescent="0.15">
      <c r="A1071" s="13" t="s">
        <v>7</v>
      </c>
      <c r="B1071" s="26"/>
      <c r="C1071" s="47"/>
      <c r="D1071" s="27"/>
      <c r="E1071" s="50">
        <v>3</v>
      </c>
      <c r="F1071" s="9">
        <f>SUM(B1071:E1071)</f>
        <v>3</v>
      </c>
      <c r="G1071" s="47"/>
      <c r="H1071" s="47"/>
      <c r="I1071" s="27"/>
      <c r="J1071" s="50"/>
      <c r="K1071" s="9">
        <f>SUM(G1071:J1071)</f>
        <v>0</v>
      </c>
      <c r="L1071" s="11">
        <f t="shared" si="774"/>
        <v>3</v>
      </c>
      <c r="M1071" s="99">
        <v>45226</v>
      </c>
      <c r="N1071" s="13" t="s">
        <v>7</v>
      </c>
      <c r="O1071" s="26">
        <v>550</v>
      </c>
      <c r="P1071" s="47">
        <v>600</v>
      </c>
      <c r="Q1071" s="27">
        <v>500</v>
      </c>
      <c r="R1071" s="34">
        <v>350</v>
      </c>
      <c r="S1071" s="77">
        <f>SUM(O1071:R1071)</f>
        <v>2000</v>
      </c>
      <c r="T1071" s="47">
        <v>250</v>
      </c>
      <c r="U1071" s="47">
        <v>300</v>
      </c>
      <c r="V1071" s="27">
        <v>300</v>
      </c>
      <c r="W1071" s="50">
        <v>150</v>
      </c>
      <c r="X1071" s="9">
        <f>SUM(T1071:W1071)</f>
        <v>1000</v>
      </c>
      <c r="Y1071" s="11">
        <f t="shared" si="778"/>
        <v>3000</v>
      </c>
      <c r="Z1071" s="99" t="s">
        <v>896</v>
      </c>
    </row>
    <row r="1072" spans="1:26" ht="14.25" thickBot="1" x14ac:dyDescent="0.2">
      <c r="A1072" s="13" t="s">
        <v>49</v>
      </c>
      <c r="B1072" s="26">
        <v>10</v>
      </c>
      <c r="C1072" s="47">
        <v>6</v>
      </c>
      <c r="D1072" s="27">
        <v>3</v>
      </c>
      <c r="E1072" s="50">
        <v>3</v>
      </c>
      <c r="F1072" s="10">
        <f>SUM(B1072:E1072)</f>
        <v>22</v>
      </c>
      <c r="G1072" s="47">
        <v>1</v>
      </c>
      <c r="H1072" s="47">
        <v>3</v>
      </c>
      <c r="I1072" s="27">
        <v>1</v>
      </c>
      <c r="J1072" s="50">
        <v>1</v>
      </c>
      <c r="K1072" s="10">
        <f>SUM(G1072:J1072)</f>
        <v>6</v>
      </c>
      <c r="L1072" s="14">
        <f t="shared" si="774"/>
        <v>28</v>
      </c>
      <c r="M1072" s="126">
        <v>45229</v>
      </c>
      <c r="N1072" s="13" t="s">
        <v>8</v>
      </c>
      <c r="O1072" s="62">
        <v>-140</v>
      </c>
      <c r="P1072" s="63">
        <v>-140</v>
      </c>
      <c r="Q1072" s="64">
        <v>-140</v>
      </c>
      <c r="R1072" s="65">
        <v>-140</v>
      </c>
      <c r="S1072" s="78">
        <f>SUM(O1072:R1072)</f>
        <v>-560</v>
      </c>
      <c r="T1072" s="47"/>
      <c r="U1072" s="47"/>
      <c r="V1072" s="27"/>
      <c r="W1072" s="50"/>
      <c r="X1072" s="10">
        <f>SUM(T1072:W1072)</f>
        <v>0</v>
      </c>
      <c r="Y1072" s="14">
        <f t="shared" si="778"/>
        <v>-560</v>
      </c>
    </row>
    <row r="1073" spans="1:27" ht="14.25" thickBot="1" x14ac:dyDescent="0.2">
      <c r="A1073" s="22" t="s">
        <v>9</v>
      </c>
      <c r="B1073" s="51">
        <f t="shared" ref="B1073:K1073" si="779">SUM(B1068:B1072)</f>
        <v>20</v>
      </c>
      <c r="C1073" s="52">
        <f t="shared" si="779"/>
        <v>15</v>
      </c>
      <c r="D1073" s="53">
        <f t="shared" si="779"/>
        <v>11</v>
      </c>
      <c r="E1073" s="54">
        <f t="shared" si="779"/>
        <v>7</v>
      </c>
      <c r="F1073" s="28">
        <f t="shared" si="779"/>
        <v>49</v>
      </c>
      <c r="G1073" s="51">
        <f t="shared" si="779"/>
        <v>6</v>
      </c>
      <c r="H1073" s="52">
        <f t="shared" si="779"/>
        <v>13</v>
      </c>
      <c r="I1073" s="53">
        <f t="shared" si="779"/>
        <v>5</v>
      </c>
      <c r="J1073" s="54">
        <f t="shared" si="779"/>
        <v>7</v>
      </c>
      <c r="K1073" s="28">
        <f t="shared" si="779"/>
        <v>31</v>
      </c>
      <c r="L1073" s="21">
        <f t="shared" si="774"/>
        <v>80</v>
      </c>
      <c r="N1073" s="17" t="s">
        <v>9</v>
      </c>
      <c r="O1073" s="41">
        <f>SUM(O1068:O1072)</f>
        <v>796</v>
      </c>
      <c r="P1073" s="49">
        <f t="shared" ref="P1073:V1073" si="780">SUM(P1068:P1072)</f>
        <v>916</v>
      </c>
      <c r="Q1073" s="42">
        <f t="shared" si="780"/>
        <v>596</v>
      </c>
      <c r="R1073" s="92">
        <f t="shared" si="780"/>
        <v>393</v>
      </c>
      <c r="S1073" s="93">
        <f t="shared" si="780"/>
        <v>2701</v>
      </c>
      <c r="T1073" s="41">
        <f t="shared" si="780"/>
        <v>555</v>
      </c>
      <c r="U1073" s="49">
        <f t="shared" si="780"/>
        <v>669</v>
      </c>
      <c r="V1073" s="42">
        <f t="shared" si="780"/>
        <v>469</v>
      </c>
      <c r="W1073" s="92">
        <f>SUM(W1068:W1072)</f>
        <v>334</v>
      </c>
      <c r="X1073" s="93">
        <f t="shared" ref="X1073" si="781">SUM(X1068:X1072)</f>
        <v>2027</v>
      </c>
      <c r="Y1073" s="56">
        <f t="shared" si="778"/>
        <v>4728</v>
      </c>
    </row>
    <row r="1074" spans="1:27" x14ac:dyDescent="0.15">
      <c r="A1074" s="12" t="s">
        <v>41</v>
      </c>
      <c r="B1074" s="24">
        <v>1</v>
      </c>
      <c r="C1074" s="46"/>
      <c r="D1074" s="25"/>
      <c r="E1074" s="33"/>
      <c r="F1074" s="35">
        <f>SUM(B1074:E1074)</f>
        <v>1</v>
      </c>
      <c r="G1074" s="24"/>
      <c r="H1074" s="46"/>
      <c r="I1074" s="25"/>
      <c r="J1074" s="33"/>
      <c r="K1074" s="35">
        <f>SUM(G1074:J1074)</f>
        <v>0</v>
      </c>
      <c r="L1074" s="11">
        <f t="shared" si="774"/>
        <v>1</v>
      </c>
      <c r="M1074" s="126">
        <v>45220</v>
      </c>
      <c r="N1074" s="15" t="s">
        <v>870</v>
      </c>
      <c r="O1074" s="66">
        <v>18</v>
      </c>
      <c r="P1074" s="67"/>
      <c r="Q1074" s="68">
        <v>19</v>
      </c>
      <c r="R1074" s="94">
        <v>10</v>
      </c>
      <c r="S1074" s="91">
        <f>SUM(O1074:R1074)</f>
        <v>47</v>
      </c>
      <c r="T1074" s="67">
        <v>6</v>
      </c>
      <c r="U1074" s="67"/>
      <c r="V1074" s="68">
        <v>6</v>
      </c>
      <c r="W1074" s="94"/>
      <c r="X1074" s="91">
        <f>SUM(T1074:W1074)</f>
        <v>12</v>
      </c>
      <c r="Y1074" s="11">
        <f t="shared" si="778"/>
        <v>59</v>
      </c>
      <c r="Z1074" s="99">
        <v>45217</v>
      </c>
    </row>
    <row r="1075" spans="1:27" x14ac:dyDescent="0.15">
      <c r="A1075" s="57" t="s">
        <v>885</v>
      </c>
      <c r="B1075" s="26"/>
      <c r="C1075" s="47"/>
      <c r="D1075" s="27"/>
      <c r="E1075" s="34"/>
      <c r="F1075" s="35">
        <f>SUM(B1075:E1075)</f>
        <v>0</v>
      </c>
      <c r="G1075" s="26"/>
      <c r="H1075" s="47"/>
      <c r="I1075" s="27"/>
      <c r="J1075" s="34">
        <v>1</v>
      </c>
      <c r="K1075" s="35">
        <f>SUM(G1075:J1075)</f>
        <v>1</v>
      </c>
      <c r="L1075" s="11">
        <f t="shared" si="774"/>
        <v>1</v>
      </c>
      <c r="M1075" s="99">
        <v>45224</v>
      </c>
      <c r="N1075" s="15" t="s">
        <v>876</v>
      </c>
      <c r="O1075" s="26">
        <v>23</v>
      </c>
      <c r="P1075" s="47"/>
      <c r="Q1075" s="27">
        <v>13</v>
      </c>
      <c r="R1075" s="34">
        <v>11</v>
      </c>
      <c r="S1075" s="35">
        <f t="shared" ref="S1075:S1076" si="782">SUM(O1075:R1075)</f>
        <v>47</v>
      </c>
      <c r="T1075" s="26">
        <v>2</v>
      </c>
      <c r="U1075" s="47">
        <v>2</v>
      </c>
      <c r="V1075" s="27">
        <v>2</v>
      </c>
      <c r="W1075" s="34">
        <v>5</v>
      </c>
      <c r="X1075" s="35">
        <f t="shared" ref="X1075:X1076" si="783">SUM(T1075:W1075)</f>
        <v>11</v>
      </c>
      <c r="Y1075" s="11">
        <f t="shared" si="778"/>
        <v>58</v>
      </c>
      <c r="Z1075" s="99">
        <v>45218</v>
      </c>
      <c r="AA1075" s="234"/>
    </row>
    <row r="1076" spans="1:27" x14ac:dyDescent="0.15">
      <c r="A1076" s="12" t="s">
        <v>41</v>
      </c>
      <c r="B1076" s="26"/>
      <c r="C1076" s="47">
        <v>1</v>
      </c>
      <c r="D1076" s="27"/>
      <c r="E1076" s="34"/>
      <c r="F1076" s="35">
        <f t="shared" ref="F1076:F1098" si="784">SUM(B1076:E1076)</f>
        <v>1</v>
      </c>
      <c r="G1076" s="26"/>
      <c r="H1076" s="47"/>
      <c r="I1076" s="27"/>
      <c r="J1076" s="34"/>
      <c r="K1076" s="35">
        <f t="shared" ref="K1076:K1098" si="785">SUM(G1076:J1076)</f>
        <v>0</v>
      </c>
      <c r="L1076" s="11">
        <f t="shared" si="774"/>
        <v>1</v>
      </c>
      <c r="M1076" s="126">
        <v>45222</v>
      </c>
      <c r="N1076" s="15" t="s">
        <v>877</v>
      </c>
      <c r="O1076" s="26">
        <v>5</v>
      </c>
      <c r="P1076" s="47">
        <v>16</v>
      </c>
      <c r="Q1076" s="27">
        <v>2</v>
      </c>
      <c r="R1076" s="34">
        <v>7</v>
      </c>
      <c r="S1076" s="35">
        <f t="shared" si="782"/>
        <v>30</v>
      </c>
      <c r="T1076" s="26">
        <v>1</v>
      </c>
      <c r="U1076" s="47">
        <v>2</v>
      </c>
      <c r="V1076" s="27"/>
      <c r="W1076" s="34">
        <v>2</v>
      </c>
      <c r="X1076" s="35">
        <f t="shared" si="783"/>
        <v>5</v>
      </c>
      <c r="Y1076" s="11">
        <f t="shared" si="778"/>
        <v>35</v>
      </c>
      <c r="Z1076" s="99">
        <v>45219</v>
      </c>
    </row>
    <row r="1077" spans="1:27" x14ac:dyDescent="0.15">
      <c r="A1077" s="12" t="s">
        <v>41</v>
      </c>
      <c r="B1077" s="66">
        <v>1</v>
      </c>
      <c r="C1077" s="67">
        <v>1</v>
      </c>
      <c r="D1077" s="68"/>
      <c r="E1077" s="69"/>
      <c r="F1077" s="70">
        <f t="shared" si="784"/>
        <v>2</v>
      </c>
      <c r="G1077" s="66"/>
      <c r="H1077" s="67">
        <v>1</v>
      </c>
      <c r="I1077" s="68">
        <v>1</v>
      </c>
      <c r="J1077" s="69"/>
      <c r="K1077" s="70">
        <f t="shared" si="785"/>
        <v>2</v>
      </c>
      <c r="L1077" s="11">
        <f t="shared" si="774"/>
        <v>4</v>
      </c>
      <c r="M1077" s="126">
        <v>45225</v>
      </c>
      <c r="N1077" s="15" t="s">
        <v>879</v>
      </c>
      <c r="O1077" s="66">
        <v>35</v>
      </c>
      <c r="P1077" s="67">
        <v>31</v>
      </c>
      <c r="Q1077" s="68">
        <v>21</v>
      </c>
      <c r="R1077" s="94">
        <v>12</v>
      </c>
      <c r="S1077" s="91">
        <f>SUM(O1077:R1077)</f>
        <v>99</v>
      </c>
      <c r="T1077" s="67">
        <v>9</v>
      </c>
      <c r="U1077" s="67">
        <v>10</v>
      </c>
      <c r="V1077" s="68">
        <v>8</v>
      </c>
      <c r="W1077" s="94">
        <v>5</v>
      </c>
      <c r="X1077" s="91">
        <f>SUM(T1077:W1077)</f>
        <v>32</v>
      </c>
      <c r="Y1077" s="11">
        <f t="shared" si="778"/>
        <v>131</v>
      </c>
      <c r="Z1077" s="99">
        <v>45222</v>
      </c>
    </row>
    <row r="1078" spans="1:27" x14ac:dyDescent="0.15">
      <c r="A1078" s="57" t="s">
        <v>890</v>
      </c>
      <c r="B1078" s="26"/>
      <c r="C1078" s="47"/>
      <c r="D1078" s="27">
        <v>1</v>
      </c>
      <c r="E1078" s="34"/>
      <c r="F1078" s="35">
        <f t="shared" si="784"/>
        <v>1</v>
      </c>
      <c r="G1078" s="26"/>
      <c r="H1078" s="47"/>
      <c r="I1078" s="27"/>
      <c r="J1078" s="34"/>
      <c r="K1078" s="35">
        <f t="shared" si="785"/>
        <v>0</v>
      </c>
      <c r="L1078" s="11">
        <f t="shared" si="774"/>
        <v>1</v>
      </c>
      <c r="M1078" s="99">
        <v>45232</v>
      </c>
      <c r="N1078" s="79" t="s">
        <v>34</v>
      </c>
      <c r="O1078" s="26"/>
      <c r="P1078" s="47"/>
      <c r="Q1078" s="27"/>
      <c r="R1078" s="34"/>
      <c r="S1078" s="35">
        <f>SUM(O1078:R1078)</f>
        <v>0</v>
      </c>
      <c r="T1078" s="26"/>
      <c r="U1078" s="47"/>
      <c r="V1078" s="27">
        <v>3</v>
      </c>
      <c r="W1078" s="34"/>
      <c r="X1078" s="35">
        <f>SUM(T1078:W1078)</f>
        <v>3</v>
      </c>
      <c r="Y1078" s="11">
        <f t="shared" si="778"/>
        <v>3</v>
      </c>
      <c r="Z1078" s="99">
        <v>45220</v>
      </c>
    </row>
    <row r="1079" spans="1:27" x14ac:dyDescent="0.15">
      <c r="A1079" s="12" t="s">
        <v>41</v>
      </c>
      <c r="B1079" s="26">
        <v>2</v>
      </c>
      <c r="C1079" s="47">
        <v>1</v>
      </c>
      <c r="D1079" s="27"/>
      <c r="E1079" s="34">
        <v>1</v>
      </c>
      <c r="F1079" s="35">
        <f t="shared" si="784"/>
        <v>4</v>
      </c>
      <c r="G1079" s="26"/>
      <c r="H1079" s="47"/>
      <c r="I1079" s="27"/>
      <c r="J1079" s="34"/>
      <c r="K1079" s="35">
        <f t="shared" si="785"/>
        <v>0</v>
      </c>
      <c r="L1079" s="11">
        <f t="shared" si="774"/>
        <v>4</v>
      </c>
      <c r="M1079" s="126">
        <v>45229</v>
      </c>
      <c r="N1079" s="15" t="s">
        <v>886</v>
      </c>
      <c r="O1079" s="26">
        <v>5</v>
      </c>
      <c r="P1079" s="47">
        <v>26</v>
      </c>
      <c r="Q1079" s="27">
        <v>9</v>
      </c>
      <c r="R1079" s="34">
        <v>6</v>
      </c>
      <c r="S1079" s="35">
        <f t="shared" ref="S1079:S1080" si="786">SUM(O1079:R1079)</f>
        <v>46</v>
      </c>
      <c r="T1079" s="26">
        <v>4</v>
      </c>
      <c r="U1079" s="47"/>
      <c r="V1079" s="27"/>
      <c r="W1079" s="34"/>
      <c r="X1079" s="35">
        <f t="shared" ref="X1079:X1080" si="787">SUM(T1079:W1079)</f>
        <v>4</v>
      </c>
      <c r="Y1079" s="11">
        <f t="shared" si="778"/>
        <v>50</v>
      </c>
      <c r="Z1079" s="99">
        <v>45224</v>
      </c>
    </row>
    <row r="1080" spans="1:27" x14ac:dyDescent="0.15">
      <c r="A1080" s="79" t="s">
        <v>894</v>
      </c>
      <c r="B1080" s="26"/>
      <c r="C1080" s="47"/>
      <c r="D1080" s="27"/>
      <c r="E1080" s="34">
        <v>1</v>
      </c>
      <c r="F1080" s="35">
        <f t="shared" si="784"/>
        <v>1</v>
      </c>
      <c r="G1080" s="26"/>
      <c r="H1080" s="47"/>
      <c r="I1080" s="27"/>
      <c r="J1080" s="34"/>
      <c r="K1080" s="35">
        <f t="shared" si="785"/>
        <v>0</v>
      </c>
      <c r="L1080" s="11">
        <f t="shared" si="774"/>
        <v>1</v>
      </c>
      <c r="M1080" s="126">
        <v>45230</v>
      </c>
      <c r="N1080" s="90" t="s">
        <v>898</v>
      </c>
      <c r="O1080" s="26"/>
      <c r="P1080" s="47">
        <v>5</v>
      </c>
      <c r="Q1080" s="27"/>
      <c r="R1080" s="34"/>
      <c r="S1080" s="35">
        <f t="shared" si="786"/>
        <v>5</v>
      </c>
      <c r="T1080" s="26"/>
      <c r="U1080" s="47"/>
      <c r="V1080" s="27"/>
      <c r="W1080" s="34"/>
      <c r="X1080" s="35">
        <f t="shared" si="787"/>
        <v>0</v>
      </c>
      <c r="Y1080" s="11">
        <f t="shared" si="778"/>
        <v>5</v>
      </c>
      <c r="Z1080" s="99">
        <v>45232</v>
      </c>
    </row>
    <row r="1081" spans="1:27" x14ac:dyDescent="0.15">
      <c r="A1081" s="32" t="s">
        <v>897</v>
      </c>
      <c r="B1081" s="26"/>
      <c r="C1081" s="47"/>
      <c r="D1081" s="27"/>
      <c r="E1081" s="34"/>
      <c r="F1081" s="35">
        <f t="shared" si="784"/>
        <v>0</v>
      </c>
      <c r="G1081" s="26"/>
      <c r="H1081" s="47">
        <v>1</v>
      </c>
      <c r="I1081" s="27"/>
      <c r="J1081" s="34"/>
      <c r="K1081" s="35">
        <f t="shared" si="785"/>
        <v>1</v>
      </c>
      <c r="L1081" s="11">
        <f t="shared" si="774"/>
        <v>1</v>
      </c>
      <c r="M1081" s="126">
        <v>45230</v>
      </c>
      <c r="N1081" s="12" t="s">
        <v>887</v>
      </c>
      <c r="O1081" s="26"/>
      <c r="P1081" s="47"/>
      <c r="Q1081" s="27"/>
      <c r="R1081" s="50"/>
      <c r="S1081" s="9">
        <f>SUM(O1081:R1081)</f>
        <v>0</v>
      </c>
      <c r="T1081" s="47"/>
      <c r="U1081" s="47">
        <v>3</v>
      </c>
      <c r="V1081" s="27"/>
      <c r="W1081" s="50"/>
      <c r="X1081" s="9">
        <f>SUM(T1081:W1081)</f>
        <v>3</v>
      </c>
      <c r="Y1081" s="11">
        <f t="shared" si="778"/>
        <v>3</v>
      </c>
      <c r="Z1081" s="99">
        <v>45229</v>
      </c>
      <c r="AA1081" s="58"/>
    </row>
    <row r="1082" spans="1:27" x14ac:dyDescent="0.15">
      <c r="A1082" s="12" t="s">
        <v>41</v>
      </c>
      <c r="B1082" s="26">
        <v>1</v>
      </c>
      <c r="C1082" s="47"/>
      <c r="D1082" s="27"/>
      <c r="E1082" s="34"/>
      <c r="F1082" s="35">
        <f t="shared" si="784"/>
        <v>1</v>
      </c>
      <c r="G1082" s="26"/>
      <c r="H1082" s="47"/>
      <c r="I1082" s="27"/>
      <c r="J1082" s="34"/>
      <c r="K1082" s="35">
        <f t="shared" si="785"/>
        <v>0</v>
      </c>
      <c r="L1082" s="11">
        <f t="shared" si="774"/>
        <v>1</v>
      </c>
      <c r="M1082" s="126">
        <v>45230</v>
      </c>
      <c r="N1082" s="15" t="s">
        <v>888</v>
      </c>
      <c r="O1082" s="26">
        <v>18</v>
      </c>
      <c r="P1082" s="47">
        <v>15</v>
      </c>
      <c r="Q1082" s="27">
        <v>6</v>
      </c>
      <c r="R1082" s="34">
        <v>5</v>
      </c>
      <c r="S1082" s="35">
        <f t="shared" ref="S1082:S1099" si="788">SUM(O1082:R1082)</f>
        <v>44</v>
      </c>
      <c r="T1082" s="26">
        <v>4</v>
      </c>
      <c r="U1082" s="47"/>
      <c r="V1082" s="27">
        <v>6</v>
      </c>
      <c r="W1082" s="34">
        <v>4</v>
      </c>
      <c r="X1082" s="35">
        <f t="shared" ref="X1082:X1099" si="789">SUM(T1082:W1082)</f>
        <v>14</v>
      </c>
      <c r="Y1082" s="11">
        <f t="shared" si="778"/>
        <v>58</v>
      </c>
      <c r="Z1082" s="99">
        <v>45225</v>
      </c>
    </row>
    <row r="1083" spans="1:27" x14ac:dyDescent="0.15">
      <c r="A1083" s="12" t="s">
        <v>41</v>
      </c>
      <c r="B1083" s="26"/>
      <c r="C1083" s="47">
        <v>1</v>
      </c>
      <c r="D1083" s="27"/>
      <c r="E1083" s="34"/>
      <c r="F1083" s="35">
        <f t="shared" si="784"/>
        <v>1</v>
      </c>
      <c r="G1083" s="26"/>
      <c r="H1083" s="47"/>
      <c r="I1083" s="27"/>
      <c r="J1083" s="34"/>
      <c r="K1083" s="35">
        <f t="shared" si="785"/>
        <v>0</v>
      </c>
      <c r="L1083" s="11">
        <f t="shared" si="774"/>
        <v>1</v>
      </c>
      <c r="M1083" s="126">
        <v>45232</v>
      </c>
      <c r="N1083" s="15" t="s">
        <v>889</v>
      </c>
      <c r="O1083" s="26">
        <v>8</v>
      </c>
      <c r="P1083" s="47">
        <v>11</v>
      </c>
      <c r="Q1083" s="27">
        <v>12</v>
      </c>
      <c r="R1083" s="34">
        <v>6</v>
      </c>
      <c r="S1083" s="35">
        <f t="shared" si="788"/>
        <v>37</v>
      </c>
      <c r="T1083" s="26">
        <v>7</v>
      </c>
      <c r="U1083" s="47">
        <v>7</v>
      </c>
      <c r="V1083" s="27">
        <v>2</v>
      </c>
      <c r="W1083" s="34">
        <v>2</v>
      </c>
      <c r="X1083" s="35">
        <f t="shared" si="789"/>
        <v>18</v>
      </c>
      <c r="Y1083" s="11">
        <f t="shared" si="778"/>
        <v>55</v>
      </c>
      <c r="Z1083" s="99">
        <v>45226</v>
      </c>
    </row>
    <row r="1084" spans="1:27" x14ac:dyDescent="0.15">
      <c r="A1084" s="15" t="s">
        <v>284</v>
      </c>
      <c r="B1084" s="26">
        <v>10</v>
      </c>
      <c r="C1084" s="47">
        <v>6</v>
      </c>
      <c r="D1084" s="27">
        <v>5</v>
      </c>
      <c r="E1084" s="34"/>
      <c r="F1084" s="35">
        <f t="shared" si="784"/>
        <v>21</v>
      </c>
      <c r="G1084" s="26"/>
      <c r="H1084" s="47">
        <v>6</v>
      </c>
      <c r="I1084" s="27"/>
      <c r="J1084" s="34"/>
      <c r="K1084" s="35">
        <f t="shared" si="785"/>
        <v>6</v>
      </c>
      <c r="L1084" s="11">
        <f t="shared" si="774"/>
        <v>27</v>
      </c>
      <c r="M1084" s="126">
        <v>45234</v>
      </c>
      <c r="N1084" s="79" t="s">
        <v>34</v>
      </c>
      <c r="O1084" s="26"/>
      <c r="P1084" s="47"/>
      <c r="Q1084" s="27"/>
      <c r="R1084" s="34">
        <v>3</v>
      </c>
      <c r="S1084" s="35">
        <f t="shared" si="788"/>
        <v>3</v>
      </c>
      <c r="T1084" s="26"/>
      <c r="U1084" s="47"/>
      <c r="V1084" s="27"/>
      <c r="W1084" s="34"/>
      <c r="X1084" s="35">
        <f t="shared" si="789"/>
        <v>0</v>
      </c>
      <c r="Y1084" s="11">
        <f t="shared" si="778"/>
        <v>3</v>
      </c>
      <c r="Z1084" s="99">
        <v>45226</v>
      </c>
    </row>
    <row r="1085" spans="1:27" x14ac:dyDescent="0.15">
      <c r="A1085" s="12" t="s">
        <v>41</v>
      </c>
      <c r="B1085" s="26">
        <v>1</v>
      </c>
      <c r="C1085" s="47">
        <v>2</v>
      </c>
      <c r="D1085" s="27">
        <v>1</v>
      </c>
      <c r="E1085" s="34"/>
      <c r="F1085" s="35">
        <f t="shared" si="784"/>
        <v>4</v>
      </c>
      <c r="G1085" s="26">
        <v>1</v>
      </c>
      <c r="H1085" s="47">
        <v>2</v>
      </c>
      <c r="I1085" s="27"/>
      <c r="J1085" s="34">
        <v>1</v>
      </c>
      <c r="K1085" s="35">
        <f t="shared" si="785"/>
        <v>4</v>
      </c>
      <c r="L1085" s="11">
        <f t="shared" si="774"/>
        <v>8</v>
      </c>
      <c r="M1085" s="126">
        <v>45236</v>
      </c>
      <c r="N1085" s="15" t="s">
        <v>891</v>
      </c>
      <c r="O1085" s="26">
        <v>7</v>
      </c>
      <c r="P1085" s="47">
        <v>15</v>
      </c>
      <c r="Q1085" s="27">
        <v>1</v>
      </c>
      <c r="R1085" s="34">
        <v>5</v>
      </c>
      <c r="S1085" s="35">
        <f t="shared" si="788"/>
        <v>28</v>
      </c>
      <c r="T1085" s="26">
        <v>5</v>
      </c>
      <c r="U1085" s="47">
        <v>4</v>
      </c>
      <c r="V1085" s="27">
        <v>3</v>
      </c>
      <c r="W1085" s="34"/>
      <c r="X1085" s="35">
        <f t="shared" si="789"/>
        <v>12</v>
      </c>
      <c r="Y1085" s="11">
        <f t="shared" si="778"/>
        <v>40</v>
      </c>
      <c r="Z1085" s="99">
        <v>45229</v>
      </c>
    </row>
    <row r="1086" spans="1:27" x14ac:dyDescent="0.15">
      <c r="A1086" s="15" t="s">
        <v>906</v>
      </c>
      <c r="B1086" s="26"/>
      <c r="C1086" s="47">
        <v>-3</v>
      </c>
      <c r="D1086" s="27"/>
      <c r="E1086" s="34"/>
      <c r="F1086" s="35">
        <f t="shared" si="784"/>
        <v>-3</v>
      </c>
      <c r="G1086" s="26"/>
      <c r="H1086" s="47">
        <v>-3</v>
      </c>
      <c r="I1086" s="27"/>
      <c r="J1086" s="34"/>
      <c r="K1086" s="35">
        <f t="shared" si="785"/>
        <v>-3</v>
      </c>
      <c r="L1086" s="11">
        <f t="shared" si="774"/>
        <v>-6</v>
      </c>
      <c r="M1086" s="99">
        <v>45237</v>
      </c>
      <c r="N1086" s="15" t="s">
        <v>892</v>
      </c>
      <c r="O1086" s="26">
        <v>11</v>
      </c>
      <c r="P1086" s="47">
        <v>7</v>
      </c>
      <c r="Q1086" s="27">
        <v>10</v>
      </c>
      <c r="R1086" s="34">
        <v>6</v>
      </c>
      <c r="S1086" s="35">
        <f t="shared" si="788"/>
        <v>34</v>
      </c>
      <c r="T1086" s="26">
        <v>2</v>
      </c>
      <c r="U1086" s="47">
        <v>4</v>
      </c>
      <c r="V1086" s="27">
        <v>7</v>
      </c>
      <c r="W1086" s="34">
        <v>4</v>
      </c>
      <c r="X1086" s="35">
        <f t="shared" si="789"/>
        <v>17</v>
      </c>
      <c r="Y1086" s="11">
        <f t="shared" si="778"/>
        <v>51</v>
      </c>
      <c r="Z1086" s="99">
        <v>45230</v>
      </c>
    </row>
    <row r="1087" spans="1:27" x14ac:dyDescent="0.15">
      <c r="A1087" s="12" t="s">
        <v>41</v>
      </c>
      <c r="B1087" s="26"/>
      <c r="C1087" s="47">
        <v>1</v>
      </c>
      <c r="D1087" s="27"/>
      <c r="E1087" s="34"/>
      <c r="F1087" s="35">
        <f t="shared" si="784"/>
        <v>1</v>
      </c>
      <c r="G1087" s="26"/>
      <c r="H1087" s="47"/>
      <c r="I1087" s="27"/>
      <c r="J1087" s="34"/>
      <c r="K1087" s="35">
        <f t="shared" si="785"/>
        <v>0</v>
      </c>
      <c r="L1087" s="11">
        <f t="shared" si="774"/>
        <v>1</v>
      </c>
      <c r="M1087" s="126">
        <v>45239</v>
      </c>
      <c r="N1087" s="15" t="s">
        <v>893</v>
      </c>
      <c r="O1087" s="26">
        <v>8</v>
      </c>
      <c r="P1087" s="47">
        <v>4</v>
      </c>
      <c r="Q1087" s="27">
        <v>7</v>
      </c>
      <c r="R1087" s="34">
        <v>4</v>
      </c>
      <c r="S1087" s="35">
        <f t="shared" si="788"/>
        <v>23</v>
      </c>
      <c r="T1087" s="26">
        <v>7</v>
      </c>
      <c r="U1087" s="47">
        <v>2</v>
      </c>
      <c r="V1087" s="27">
        <v>3</v>
      </c>
      <c r="W1087" s="34">
        <v>3</v>
      </c>
      <c r="X1087" s="35">
        <f t="shared" si="789"/>
        <v>15</v>
      </c>
      <c r="Y1087" s="11">
        <f t="shared" si="778"/>
        <v>38</v>
      </c>
      <c r="Z1087" s="99">
        <v>45231</v>
      </c>
    </row>
    <row r="1088" spans="1:27" x14ac:dyDescent="0.15">
      <c r="A1088" s="12" t="s">
        <v>41</v>
      </c>
      <c r="B1088" s="26">
        <v>2</v>
      </c>
      <c r="C1088" s="47"/>
      <c r="D1088" s="27"/>
      <c r="E1088" s="34"/>
      <c r="F1088" s="35">
        <f t="shared" si="784"/>
        <v>2</v>
      </c>
      <c r="G1088" s="26"/>
      <c r="H1088" s="47"/>
      <c r="I1088" s="27"/>
      <c r="J1088" s="34">
        <v>1</v>
      </c>
      <c r="K1088" s="35">
        <f t="shared" si="785"/>
        <v>1</v>
      </c>
      <c r="L1088" s="11">
        <f t="shared" si="774"/>
        <v>3</v>
      </c>
      <c r="M1088" s="126">
        <v>45243</v>
      </c>
      <c r="N1088" s="12" t="s">
        <v>899</v>
      </c>
      <c r="O1088" s="26">
        <v>2</v>
      </c>
      <c r="P1088" s="47"/>
      <c r="Q1088" s="27"/>
      <c r="R1088" s="34"/>
      <c r="S1088" s="35">
        <f t="shared" si="788"/>
        <v>2</v>
      </c>
      <c r="T1088" s="26"/>
      <c r="U1088" s="47">
        <v>5</v>
      </c>
      <c r="V1088" s="27"/>
      <c r="W1088" s="34"/>
      <c r="X1088" s="35">
        <f t="shared" si="789"/>
        <v>5</v>
      </c>
      <c r="Y1088" s="11">
        <f t="shared" si="778"/>
        <v>7</v>
      </c>
      <c r="Z1088" s="99">
        <v>45237</v>
      </c>
    </row>
    <row r="1089" spans="1:27" x14ac:dyDescent="0.15">
      <c r="A1089" s="13"/>
      <c r="B1089" s="26"/>
      <c r="C1089" s="47"/>
      <c r="D1089" s="27"/>
      <c r="E1089" s="34"/>
      <c r="F1089" s="35">
        <f t="shared" si="784"/>
        <v>0</v>
      </c>
      <c r="G1089" s="26"/>
      <c r="H1089" s="47"/>
      <c r="I1089" s="27"/>
      <c r="J1089" s="34"/>
      <c r="K1089" s="35">
        <f t="shared" si="785"/>
        <v>0</v>
      </c>
      <c r="L1089" s="11">
        <f t="shared" si="774"/>
        <v>0</v>
      </c>
      <c r="N1089" s="12" t="s">
        <v>900</v>
      </c>
      <c r="O1089" s="26"/>
      <c r="P1089" s="47"/>
      <c r="Q1089" s="27"/>
      <c r="R1089" s="34"/>
      <c r="S1089" s="35">
        <f t="shared" si="788"/>
        <v>0</v>
      </c>
      <c r="T1089" s="26"/>
      <c r="U1089" s="47">
        <v>10</v>
      </c>
      <c r="V1089" s="27"/>
      <c r="W1089" s="34"/>
      <c r="X1089" s="35">
        <f t="shared" si="789"/>
        <v>10</v>
      </c>
      <c r="Y1089" s="11">
        <f t="shared" si="778"/>
        <v>10</v>
      </c>
      <c r="Z1089" s="99">
        <v>45240</v>
      </c>
    </row>
    <row r="1090" spans="1:27" x14ac:dyDescent="0.15">
      <c r="A1090" s="15"/>
      <c r="B1090" s="26"/>
      <c r="C1090" s="47"/>
      <c r="D1090" s="27"/>
      <c r="E1090" s="34"/>
      <c r="F1090" s="35">
        <f t="shared" si="784"/>
        <v>0</v>
      </c>
      <c r="G1090" s="26"/>
      <c r="H1090" s="47"/>
      <c r="I1090" s="27"/>
      <c r="J1090" s="34"/>
      <c r="K1090" s="35">
        <f t="shared" si="785"/>
        <v>0</v>
      </c>
      <c r="L1090" s="11">
        <f t="shared" si="774"/>
        <v>0</v>
      </c>
      <c r="N1090" s="15" t="s">
        <v>901</v>
      </c>
      <c r="O1090" s="26">
        <v>6</v>
      </c>
      <c r="P1090" s="47">
        <v>1</v>
      </c>
      <c r="Q1090" s="27">
        <v>5</v>
      </c>
      <c r="R1090" s="34"/>
      <c r="S1090" s="35">
        <f t="shared" si="788"/>
        <v>12</v>
      </c>
      <c r="T1090" s="26">
        <v>5</v>
      </c>
      <c r="U1090" s="47"/>
      <c r="V1090" s="27">
        <v>4</v>
      </c>
      <c r="W1090" s="34"/>
      <c r="X1090" s="35">
        <f t="shared" si="789"/>
        <v>9</v>
      </c>
      <c r="Y1090" s="11">
        <f t="shared" si="778"/>
        <v>21</v>
      </c>
      <c r="Z1090" s="99">
        <v>45232</v>
      </c>
    </row>
    <row r="1091" spans="1:27" x14ac:dyDescent="0.15">
      <c r="A1091" s="15"/>
      <c r="B1091" s="26"/>
      <c r="C1091" s="47"/>
      <c r="D1091" s="27"/>
      <c r="E1091" s="34"/>
      <c r="F1091" s="35">
        <f t="shared" si="784"/>
        <v>0</v>
      </c>
      <c r="G1091" s="26"/>
      <c r="H1091" s="47"/>
      <c r="I1091" s="27"/>
      <c r="J1091" s="34"/>
      <c r="K1091" s="35">
        <f t="shared" si="785"/>
        <v>0</v>
      </c>
      <c r="L1091" s="11">
        <f t="shared" si="774"/>
        <v>0</v>
      </c>
      <c r="N1091" s="90" t="s">
        <v>911</v>
      </c>
      <c r="O1091" s="26"/>
      <c r="P1091" s="47"/>
      <c r="Q1091" s="27"/>
      <c r="R1091" s="34"/>
      <c r="S1091" s="35">
        <f t="shared" si="788"/>
        <v>0</v>
      </c>
      <c r="T1091" s="26"/>
      <c r="U1091" s="47"/>
      <c r="V1091" s="27">
        <v>5</v>
      </c>
      <c r="W1091" s="34">
        <v>5</v>
      </c>
      <c r="X1091" s="35">
        <f t="shared" si="789"/>
        <v>10</v>
      </c>
      <c r="Y1091" s="11">
        <f t="shared" si="778"/>
        <v>10</v>
      </c>
      <c r="Z1091" s="99">
        <v>45239</v>
      </c>
    </row>
    <row r="1092" spans="1:27" x14ac:dyDescent="0.15">
      <c r="A1092" s="13"/>
      <c r="B1092" s="26"/>
      <c r="C1092" s="47"/>
      <c r="D1092" s="27"/>
      <c r="E1092" s="34"/>
      <c r="F1092" s="35">
        <f t="shared" si="784"/>
        <v>0</v>
      </c>
      <c r="G1092" s="26"/>
      <c r="H1092" s="47"/>
      <c r="I1092" s="27"/>
      <c r="J1092" s="34"/>
      <c r="K1092" s="35">
        <f t="shared" si="785"/>
        <v>0</v>
      </c>
      <c r="L1092" s="11">
        <f t="shared" si="774"/>
        <v>0</v>
      </c>
      <c r="N1092" s="15" t="s">
        <v>902</v>
      </c>
      <c r="O1092" s="26">
        <v>2</v>
      </c>
      <c r="P1092" s="47">
        <v>4</v>
      </c>
      <c r="Q1092" s="27">
        <v>1</v>
      </c>
      <c r="R1092" s="34"/>
      <c r="S1092" s="35">
        <f t="shared" si="788"/>
        <v>7</v>
      </c>
      <c r="T1092" s="26"/>
      <c r="U1092" s="47"/>
      <c r="V1092" s="27">
        <v>1</v>
      </c>
      <c r="W1092" s="34"/>
      <c r="X1092" s="35">
        <f t="shared" si="789"/>
        <v>1</v>
      </c>
      <c r="Y1092" s="11">
        <f t="shared" si="778"/>
        <v>8</v>
      </c>
      <c r="Z1092" s="99">
        <v>45236</v>
      </c>
      <c r="AA1092" s="58"/>
    </row>
    <row r="1093" spans="1:27" x14ac:dyDescent="0.15">
      <c r="A1093" s="32"/>
      <c r="B1093" s="26"/>
      <c r="C1093" s="47"/>
      <c r="D1093" s="27"/>
      <c r="E1093" s="34"/>
      <c r="F1093" s="35">
        <f t="shared" si="784"/>
        <v>0</v>
      </c>
      <c r="G1093" s="26"/>
      <c r="H1093" s="47"/>
      <c r="I1093" s="27"/>
      <c r="J1093" s="34"/>
      <c r="K1093" s="35">
        <f t="shared" si="785"/>
        <v>0</v>
      </c>
      <c r="L1093" s="11">
        <f t="shared" si="774"/>
        <v>0</v>
      </c>
      <c r="N1093" s="12" t="s">
        <v>903</v>
      </c>
      <c r="O1093" s="26">
        <v>10</v>
      </c>
      <c r="P1093" s="47">
        <v>10</v>
      </c>
      <c r="Q1093" s="27"/>
      <c r="R1093" s="34"/>
      <c r="S1093" s="35">
        <f t="shared" si="788"/>
        <v>20</v>
      </c>
      <c r="T1093" s="26"/>
      <c r="U1093" s="47"/>
      <c r="V1093" s="27"/>
      <c r="W1093" s="34"/>
      <c r="X1093" s="35">
        <f t="shared" si="789"/>
        <v>0</v>
      </c>
      <c r="Y1093" s="11">
        <f t="shared" si="778"/>
        <v>20</v>
      </c>
      <c r="Z1093" s="99">
        <v>45245</v>
      </c>
    </row>
    <row r="1094" spans="1:27" x14ac:dyDescent="0.15">
      <c r="A1094" s="32"/>
      <c r="B1094" s="26"/>
      <c r="C1094" s="47"/>
      <c r="D1094" s="27"/>
      <c r="E1094" s="34"/>
      <c r="F1094" s="35">
        <f t="shared" si="784"/>
        <v>0</v>
      </c>
      <c r="G1094" s="26"/>
      <c r="H1094" s="47"/>
      <c r="I1094" s="27"/>
      <c r="J1094" s="34"/>
      <c r="K1094" s="35">
        <f t="shared" si="785"/>
        <v>0</v>
      </c>
      <c r="L1094" s="11">
        <f t="shared" si="774"/>
        <v>0</v>
      </c>
      <c r="N1094" s="15" t="s">
        <v>904</v>
      </c>
      <c r="O1094" s="66">
        <v>35</v>
      </c>
      <c r="P1094" s="67">
        <v>34</v>
      </c>
      <c r="Q1094" s="68">
        <v>22</v>
      </c>
      <c r="R1094" s="69">
        <v>12</v>
      </c>
      <c r="S1094" s="217">
        <f t="shared" si="788"/>
        <v>103</v>
      </c>
      <c r="T1094" s="66">
        <v>11</v>
      </c>
      <c r="U1094" s="67">
        <v>10</v>
      </c>
      <c r="V1094" s="68">
        <v>9</v>
      </c>
      <c r="W1094" s="69">
        <v>5</v>
      </c>
      <c r="X1094" s="217">
        <f t="shared" si="789"/>
        <v>35</v>
      </c>
      <c r="Y1094" s="11">
        <f t="shared" si="778"/>
        <v>138</v>
      </c>
      <c r="Z1094" s="99">
        <v>45237</v>
      </c>
      <c r="AA1094" s="58"/>
    </row>
    <row r="1095" spans="1:27" x14ac:dyDescent="0.15">
      <c r="A1095" s="12"/>
      <c r="B1095" s="26"/>
      <c r="C1095" s="47"/>
      <c r="D1095" s="27"/>
      <c r="E1095" s="34"/>
      <c r="F1095" s="35">
        <f t="shared" si="784"/>
        <v>0</v>
      </c>
      <c r="G1095" s="26"/>
      <c r="H1095" s="47"/>
      <c r="I1095" s="27"/>
      <c r="J1095" s="34"/>
      <c r="K1095" s="35">
        <f t="shared" si="785"/>
        <v>0</v>
      </c>
      <c r="L1095" s="11">
        <f t="shared" si="774"/>
        <v>0</v>
      </c>
      <c r="N1095" s="57" t="s">
        <v>908</v>
      </c>
      <c r="O1095" s="66"/>
      <c r="P1095" s="67">
        <v>3</v>
      </c>
      <c r="Q1095" s="68"/>
      <c r="R1095" s="69"/>
      <c r="S1095" s="70">
        <f t="shared" si="788"/>
        <v>3</v>
      </c>
      <c r="T1095" s="66"/>
      <c r="U1095" s="67">
        <v>3</v>
      </c>
      <c r="V1095" s="68"/>
      <c r="W1095" s="69"/>
      <c r="X1095" s="70">
        <f t="shared" si="789"/>
        <v>3</v>
      </c>
      <c r="Y1095" s="11">
        <f t="shared" si="778"/>
        <v>6</v>
      </c>
      <c r="Z1095" s="126">
        <v>45237</v>
      </c>
    </row>
    <row r="1096" spans="1:27" x14ac:dyDescent="0.15">
      <c r="A1096" s="79"/>
      <c r="B1096" s="26"/>
      <c r="C1096" s="47"/>
      <c r="D1096" s="27"/>
      <c r="E1096" s="34"/>
      <c r="F1096" s="35">
        <f t="shared" si="784"/>
        <v>0</v>
      </c>
      <c r="G1096" s="26"/>
      <c r="H1096" s="47"/>
      <c r="I1096" s="27"/>
      <c r="J1096" s="34"/>
      <c r="K1096" s="35">
        <f t="shared" si="785"/>
        <v>0</v>
      </c>
      <c r="L1096" s="11">
        <f t="shared" si="774"/>
        <v>0</v>
      </c>
      <c r="N1096" s="57" t="s">
        <v>811</v>
      </c>
      <c r="O1096" s="66"/>
      <c r="P1096" s="67"/>
      <c r="Q1096" s="68"/>
      <c r="R1096" s="69"/>
      <c r="S1096" s="70">
        <f t="shared" si="788"/>
        <v>0</v>
      </c>
      <c r="T1096" s="66"/>
      <c r="U1096" s="67"/>
      <c r="V1096" s="68"/>
      <c r="W1096" s="69"/>
      <c r="X1096" s="70">
        <f t="shared" si="789"/>
        <v>0</v>
      </c>
      <c r="Y1096" s="11">
        <f t="shared" si="778"/>
        <v>0</v>
      </c>
      <c r="Z1096" s="101" t="s">
        <v>812</v>
      </c>
    </row>
    <row r="1097" spans="1:27" x14ac:dyDescent="0.15">
      <c r="A1097" s="57"/>
      <c r="B1097" s="26"/>
      <c r="C1097" s="47"/>
      <c r="D1097" s="27"/>
      <c r="E1097" s="34"/>
      <c r="F1097" s="35">
        <f t="shared" si="784"/>
        <v>0</v>
      </c>
      <c r="G1097" s="26"/>
      <c r="H1097" s="47"/>
      <c r="I1097" s="27"/>
      <c r="J1097" s="34"/>
      <c r="K1097" s="35">
        <f t="shared" si="785"/>
        <v>0</v>
      </c>
      <c r="L1097" s="11">
        <f t="shared" si="774"/>
        <v>0</v>
      </c>
      <c r="N1097" s="153" t="s">
        <v>857</v>
      </c>
      <c r="O1097" s="154"/>
      <c r="P1097" s="155"/>
      <c r="Q1097" s="156"/>
      <c r="R1097" s="157"/>
      <c r="S1097" s="158">
        <f t="shared" si="788"/>
        <v>0</v>
      </c>
      <c r="T1097" s="154"/>
      <c r="U1097" s="155"/>
      <c r="V1097" s="156"/>
      <c r="W1097" s="157"/>
      <c r="X1097" s="158">
        <f t="shared" si="789"/>
        <v>0</v>
      </c>
      <c r="Y1097" s="159">
        <f t="shared" si="778"/>
        <v>0</v>
      </c>
      <c r="Z1097" s="160" t="s">
        <v>858</v>
      </c>
    </row>
    <row r="1098" spans="1:27" ht="14.25" thickBot="1" x14ac:dyDescent="0.2">
      <c r="A1098" s="90"/>
      <c r="B1098" s="62"/>
      <c r="C1098" s="63"/>
      <c r="D1098" s="64"/>
      <c r="E1098" s="65"/>
      <c r="F1098" s="35">
        <f t="shared" si="784"/>
        <v>0</v>
      </c>
      <c r="G1098" s="62"/>
      <c r="H1098" s="63"/>
      <c r="I1098" s="64"/>
      <c r="J1098" s="65"/>
      <c r="K1098" s="35">
        <f t="shared" si="785"/>
        <v>0</v>
      </c>
      <c r="L1098" s="14">
        <f t="shared" si="774"/>
        <v>0</v>
      </c>
      <c r="N1098" s="188" t="s">
        <v>849</v>
      </c>
      <c r="O1098" s="189"/>
      <c r="P1098" s="190"/>
      <c r="Q1098" s="191"/>
      <c r="R1098" s="192"/>
      <c r="S1098" s="193">
        <f t="shared" ref="S1098" si="790">SUM(O1098:R1098)</f>
        <v>0</v>
      </c>
      <c r="T1098" s="189"/>
      <c r="U1098" s="190"/>
      <c r="V1098" s="191"/>
      <c r="W1098" s="192"/>
      <c r="X1098" s="193">
        <f t="shared" ref="X1098" si="791">SUM(T1098:W1098)</f>
        <v>0</v>
      </c>
      <c r="Y1098" s="194">
        <f t="shared" ref="Y1098" si="792">S1098+X1098</f>
        <v>0</v>
      </c>
      <c r="Z1098" s="160" t="s">
        <v>850</v>
      </c>
    </row>
    <row r="1099" spans="1:27" ht="14.25" thickBot="1" x14ac:dyDescent="0.2">
      <c r="A1099" s="17" t="s">
        <v>10</v>
      </c>
      <c r="B1099" s="38">
        <f>SUM(B1074:B1098)</f>
        <v>18</v>
      </c>
      <c r="C1099" s="48">
        <f>SUM(C1074:C1098)</f>
        <v>10</v>
      </c>
      <c r="D1099" s="39">
        <f>SUM(D1074:D1098)</f>
        <v>7</v>
      </c>
      <c r="E1099" s="40">
        <f>SUM(E1074:E1098)</f>
        <v>2</v>
      </c>
      <c r="F1099" s="36">
        <f>SUM(B1099:E1099)</f>
        <v>37</v>
      </c>
      <c r="G1099" s="38">
        <f>SUM(G1074:G1098)</f>
        <v>1</v>
      </c>
      <c r="H1099" s="48">
        <f>SUM(H1074:H1098)</f>
        <v>7</v>
      </c>
      <c r="I1099" s="39">
        <f>SUM(I1074:I1098)</f>
        <v>1</v>
      </c>
      <c r="J1099" s="40">
        <f>SUM(J1074:J1098)</f>
        <v>3</v>
      </c>
      <c r="K1099" s="36">
        <f>SUM(G1099:J1099)</f>
        <v>12</v>
      </c>
      <c r="L1099" s="37">
        <f t="shared" si="774"/>
        <v>49</v>
      </c>
      <c r="N1099" s="133" t="s">
        <v>10</v>
      </c>
      <c r="O1099" s="38">
        <f>SUM(O1074:O1098)</f>
        <v>193</v>
      </c>
      <c r="P1099" s="48">
        <f>SUM(P1074:P1098)</f>
        <v>182</v>
      </c>
      <c r="Q1099" s="39">
        <f>SUM(Q1074:Q1098)</f>
        <v>128</v>
      </c>
      <c r="R1099" s="40">
        <f>SUM(R1074:R1098)</f>
        <v>87</v>
      </c>
      <c r="S1099" s="118">
        <f t="shared" si="788"/>
        <v>590</v>
      </c>
      <c r="T1099" s="38">
        <f>SUM(T1074:T1098)</f>
        <v>63</v>
      </c>
      <c r="U1099" s="48">
        <f>SUM(U1074:U1098)</f>
        <v>62</v>
      </c>
      <c r="V1099" s="39">
        <f>SUM(V1074:V1098)</f>
        <v>59</v>
      </c>
      <c r="W1099" s="40">
        <f>SUM(W1074:W1098)</f>
        <v>35</v>
      </c>
      <c r="X1099" s="118">
        <f t="shared" si="789"/>
        <v>219</v>
      </c>
      <c r="Y1099" s="119">
        <f t="shared" si="778"/>
        <v>809</v>
      </c>
    </row>
    <row r="1100" spans="1:27" ht="14.25" thickBot="1" x14ac:dyDescent="0.2">
      <c r="A1100" s="22" t="s">
        <v>11</v>
      </c>
      <c r="B1100" s="41">
        <f>B1073-B1099</f>
        <v>2</v>
      </c>
      <c r="C1100" s="49">
        <f>C1073-C1099</f>
        <v>5</v>
      </c>
      <c r="D1100" s="42">
        <f t="shared" ref="D1100:K1100" si="793">D1073-D1099</f>
        <v>4</v>
      </c>
      <c r="E1100" s="43">
        <f t="shared" si="793"/>
        <v>5</v>
      </c>
      <c r="F1100" s="61">
        <f t="shared" si="793"/>
        <v>12</v>
      </c>
      <c r="G1100" s="41">
        <f t="shared" si="793"/>
        <v>5</v>
      </c>
      <c r="H1100" s="49">
        <f t="shared" si="793"/>
        <v>6</v>
      </c>
      <c r="I1100" s="42">
        <f t="shared" si="793"/>
        <v>4</v>
      </c>
      <c r="J1100" s="43">
        <f t="shared" si="793"/>
        <v>4</v>
      </c>
      <c r="K1100" s="61">
        <f t="shared" si="793"/>
        <v>19</v>
      </c>
      <c r="L1100" s="21">
        <f t="shared" si="774"/>
        <v>31</v>
      </c>
      <c r="N1100" s="17" t="s">
        <v>11</v>
      </c>
      <c r="O1100" s="41">
        <f>O1073-O1099</f>
        <v>603</v>
      </c>
      <c r="P1100" s="49">
        <f t="shared" ref="P1100:Q1100" si="794">P1073-P1099</f>
        <v>734</v>
      </c>
      <c r="Q1100" s="42">
        <f t="shared" si="794"/>
        <v>468</v>
      </c>
      <c r="R1100" s="43">
        <f>R1073-R1099</f>
        <v>306</v>
      </c>
      <c r="S1100" s="61">
        <f t="shared" ref="S1100:X1100" si="795">S1073-S1099</f>
        <v>2111</v>
      </c>
      <c r="T1100" s="41">
        <f t="shared" si="795"/>
        <v>492</v>
      </c>
      <c r="U1100" s="49">
        <f t="shared" si="795"/>
        <v>607</v>
      </c>
      <c r="V1100" s="42">
        <f t="shared" si="795"/>
        <v>410</v>
      </c>
      <c r="W1100" s="43">
        <f t="shared" si="795"/>
        <v>299</v>
      </c>
      <c r="X1100" s="61">
        <f t="shared" si="795"/>
        <v>1808</v>
      </c>
      <c r="Y1100" s="21">
        <f t="shared" si="778"/>
        <v>3919</v>
      </c>
    </row>
    <row r="1103" spans="1:27" ht="19.5" thickBot="1" x14ac:dyDescent="0.25">
      <c r="A1103" s="2" t="s">
        <v>106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105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7" ht="14.25" thickBot="1" x14ac:dyDescent="0.2">
      <c r="A1104" s="5" t="s">
        <v>0</v>
      </c>
      <c r="B1104" s="342" t="s">
        <v>18</v>
      </c>
      <c r="C1104" s="350"/>
      <c r="D1104" s="350"/>
      <c r="E1104" s="350"/>
      <c r="F1104" s="351"/>
      <c r="G1104" s="345" t="s">
        <v>12</v>
      </c>
      <c r="H1104" s="352"/>
      <c r="I1104" s="352"/>
      <c r="J1104" s="352"/>
      <c r="K1104" s="353"/>
      <c r="L1104" s="354" t="s">
        <v>1</v>
      </c>
      <c r="N1104" s="5" t="s">
        <v>0</v>
      </c>
      <c r="O1104" s="342" t="s">
        <v>18</v>
      </c>
      <c r="P1104" s="350"/>
      <c r="Q1104" s="350"/>
      <c r="R1104" s="350"/>
      <c r="S1104" s="351"/>
      <c r="T1104" s="345" t="s">
        <v>12</v>
      </c>
      <c r="U1104" s="352"/>
      <c r="V1104" s="352"/>
      <c r="W1104" s="352"/>
      <c r="X1104" s="353"/>
      <c r="Y1104" s="354" t="s">
        <v>1</v>
      </c>
    </row>
    <row r="1105" spans="1:26" ht="14.25" thickBot="1" x14ac:dyDescent="0.2">
      <c r="A1105" s="5" t="s">
        <v>2</v>
      </c>
      <c r="B1105" s="3" t="s">
        <v>13</v>
      </c>
      <c r="C1105" s="44" t="s">
        <v>14</v>
      </c>
      <c r="D1105" s="4" t="s">
        <v>15</v>
      </c>
      <c r="E1105" s="23" t="s">
        <v>16</v>
      </c>
      <c r="F1105" s="31" t="s">
        <v>3</v>
      </c>
      <c r="G1105" s="3" t="s">
        <v>13</v>
      </c>
      <c r="H1105" s="44" t="s">
        <v>14</v>
      </c>
      <c r="I1105" s="4" t="s">
        <v>15</v>
      </c>
      <c r="J1105" s="23" t="s">
        <v>16</v>
      </c>
      <c r="K1105" s="31" t="s">
        <v>3</v>
      </c>
      <c r="L1105" s="355"/>
      <c r="N1105" s="5" t="s">
        <v>2</v>
      </c>
      <c r="O1105" s="3" t="s">
        <v>13</v>
      </c>
      <c r="P1105" s="44" t="s">
        <v>14</v>
      </c>
      <c r="Q1105" s="4" t="s">
        <v>15</v>
      </c>
      <c r="R1105" s="23" t="s">
        <v>16</v>
      </c>
      <c r="S1105" s="31" t="s">
        <v>3</v>
      </c>
      <c r="T1105" s="3" t="s">
        <v>13</v>
      </c>
      <c r="U1105" s="44" t="s">
        <v>14</v>
      </c>
      <c r="V1105" s="4" t="s">
        <v>15</v>
      </c>
      <c r="W1105" s="23" t="s">
        <v>16</v>
      </c>
      <c r="X1105" s="31" t="s">
        <v>3</v>
      </c>
      <c r="Y1105" s="355"/>
    </row>
    <row r="1106" spans="1:26" x14ac:dyDescent="0.15">
      <c r="A1106" s="71" t="s">
        <v>17</v>
      </c>
      <c r="B1106" s="72">
        <f>B1100</f>
        <v>2</v>
      </c>
      <c r="C1106" s="73">
        <f t="shared" ref="C1106:L1106" si="796">C1100</f>
        <v>5</v>
      </c>
      <c r="D1106" s="73">
        <f t="shared" si="796"/>
        <v>4</v>
      </c>
      <c r="E1106" s="74">
        <f t="shared" si="796"/>
        <v>5</v>
      </c>
      <c r="F1106" s="76">
        <f t="shared" si="796"/>
        <v>12</v>
      </c>
      <c r="G1106" s="72">
        <f t="shared" si="796"/>
        <v>5</v>
      </c>
      <c r="H1106" s="73">
        <f t="shared" si="796"/>
        <v>6</v>
      </c>
      <c r="I1106" s="73">
        <f t="shared" si="796"/>
        <v>4</v>
      </c>
      <c r="J1106" s="74">
        <f t="shared" si="796"/>
        <v>4</v>
      </c>
      <c r="K1106" s="75">
        <f t="shared" si="796"/>
        <v>19</v>
      </c>
      <c r="L1106" s="16">
        <f t="shared" si="796"/>
        <v>31</v>
      </c>
      <c r="N1106" s="71" t="s">
        <v>17</v>
      </c>
      <c r="O1106" s="72">
        <f>O1100</f>
        <v>603</v>
      </c>
      <c r="P1106" s="73">
        <f t="shared" ref="P1106:Y1106" si="797">P1100</f>
        <v>734</v>
      </c>
      <c r="Q1106" s="73">
        <f t="shared" si="797"/>
        <v>468</v>
      </c>
      <c r="R1106" s="74">
        <f t="shared" si="797"/>
        <v>306</v>
      </c>
      <c r="S1106" s="76">
        <f t="shared" si="797"/>
        <v>2111</v>
      </c>
      <c r="T1106" s="72">
        <f t="shared" si="797"/>
        <v>492</v>
      </c>
      <c r="U1106" s="73">
        <f t="shared" si="797"/>
        <v>607</v>
      </c>
      <c r="V1106" s="73">
        <f t="shared" si="797"/>
        <v>410</v>
      </c>
      <c r="W1106" s="74">
        <f t="shared" si="797"/>
        <v>299</v>
      </c>
      <c r="X1106" s="75">
        <f t="shared" si="797"/>
        <v>1808</v>
      </c>
      <c r="Y1106" s="16">
        <f t="shared" si="797"/>
        <v>3919</v>
      </c>
    </row>
    <row r="1107" spans="1:26" x14ac:dyDescent="0.15">
      <c r="A1107" s="13" t="s">
        <v>49</v>
      </c>
      <c r="B1107" s="26">
        <v>10</v>
      </c>
      <c r="C1107" s="47">
        <v>14</v>
      </c>
      <c r="D1107" s="27">
        <v>3</v>
      </c>
      <c r="E1107" s="50">
        <v>6</v>
      </c>
      <c r="F1107" s="9">
        <f>SUM(B1107:E1107)</f>
        <v>33</v>
      </c>
      <c r="G1107" s="47"/>
      <c r="H1107" s="47">
        <v>2</v>
      </c>
      <c r="I1107" s="27"/>
      <c r="J1107" s="50"/>
      <c r="K1107" s="9">
        <f>SUM(G1107:J1107)</f>
        <v>2</v>
      </c>
      <c r="L1107" s="11">
        <f t="shared" ref="L1107:L1138" si="798">F1107+K1107</f>
        <v>35</v>
      </c>
      <c r="M1107" s="126">
        <v>45240</v>
      </c>
      <c r="N1107" s="13" t="s">
        <v>5</v>
      </c>
      <c r="O1107" s="26">
        <v>6</v>
      </c>
      <c r="P1107" s="47">
        <v>14</v>
      </c>
      <c r="Q1107" s="27"/>
      <c r="R1107" s="34">
        <v>6</v>
      </c>
      <c r="S1107" s="77">
        <f t="shared" ref="S1107" si="799">SUM(O1107:R1107)</f>
        <v>26</v>
      </c>
      <c r="T1107" s="26"/>
      <c r="U1107" s="47">
        <v>2</v>
      </c>
      <c r="V1107" s="27"/>
      <c r="W1107" s="34"/>
      <c r="X1107" s="9">
        <f t="shared" ref="X1107" si="800">SUM(T1107:W1107)</f>
        <v>2</v>
      </c>
      <c r="Y1107" s="11">
        <f t="shared" ref="Y1107" si="801">S1107+X1107</f>
        <v>28</v>
      </c>
      <c r="Z1107" s="126">
        <v>45248</v>
      </c>
    </row>
    <row r="1108" spans="1:26" x14ac:dyDescent="0.15">
      <c r="A1108" s="13" t="s">
        <v>6</v>
      </c>
      <c r="B1108" s="26"/>
      <c r="C1108" s="47">
        <v>3</v>
      </c>
      <c r="D1108" s="27"/>
      <c r="E1108" s="50"/>
      <c r="F1108" s="9">
        <f>SUM(B1108:E1108)</f>
        <v>3</v>
      </c>
      <c r="G1108" s="47"/>
      <c r="H1108" s="47"/>
      <c r="I1108" s="27"/>
      <c r="J1108" s="50"/>
      <c r="K1108" s="9">
        <f>SUM(G1108:J1108)</f>
        <v>0</v>
      </c>
      <c r="L1108" s="11">
        <f t="shared" si="798"/>
        <v>3</v>
      </c>
      <c r="M1108" s="99">
        <v>45251</v>
      </c>
      <c r="N1108" s="13" t="s">
        <v>6</v>
      </c>
      <c r="O1108" s="26"/>
      <c r="P1108" s="47"/>
      <c r="Q1108" s="27"/>
      <c r="R1108" s="34"/>
      <c r="S1108" s="77">
        <f>SUM(O1108:R1108)</f>
        <v>0</v>
      </c>
      <c r="T1108" s="26"/>
      <c r="U1108" s="47"/>
      <c r="V1108" s="27"/>
      <c r="W1108" s="34"/>
      <c r="X1108" s="9">
        <f>SUM(T1108:W1108)</f>
        <v>0</v>
      </c>
      <c r="Y1108" s="11">
        <f t="shared" ref="Y1108:Y1138" si="802">S1108+X1108</f>
        <v>0</v>
      </c>
    </row>
    <row r="1109" spans="1:26" x14ac:dyDescent="0.15">
      <c r="A1109" s="13" t="s">
        <v>7</v>
      </c>
      <c r="B1109" s="26"/>
      <c r="C1109" s="47"/>
      <c r="D1109" s="27"/>
      <c r="E1109" s="50"/>
      <c r="F1109" s="9">
        <f>SUM(B1109:E1109)</f>
        <v>0</v>
      </c>
      <c r="G1109" s="47">
        <v>3</v>
      </c>
      <c r="H1109" s="47">
        <v>3</v>
      </c>
      <c r="I1109" s="27">
        <v>3</v>
      </c>
      <c r="J1109" s="50">
        <v>3</v>
      </c>
      <c r="K1109" s="9">
        <f>SUM(G1109:J1109)</f>
        <v>12</v>
      </c>
      <c r="L1109" s="11">
        <f t="shared" si="798"/>
        <v>12</v>
      </c>
      <c r="M1109" s="99">
        <v>45257</v>
      </c>
      <c r="N1109" s="13" t="s">
        <v>7</v>
      </c>
      <c r="O1109" s="26"/>
      <c r="P1109" s="47"/>
      <c r="Q1109" s="27"/>
      <c r="R1109" s="34"/>
      <c r="S1109" s="77">
        <f t="shared" ref="S1109:S1110" si="803">SUM(O1109:R1109)</f>
        <v>0</v>
      </c>
      <c r="T1109" s="26"/>
      <c r="U1109" s="47"/>
      <c r="V1109" s="27"/>
      <c r="W1109" s="34"/>
      <c r="X1109" s="9">
        <f t="shared" ref="X1109:X1110" si="804">SUM(T1109:W1109)</f>
        <v>0</v>
      </c>
      <c r="Y1109" s="11">
        <f t="shared" ref="Y1109:Y1110" si="805">S1109+X1109</f>
        <v>0</v>
      </c>
    </row>
    <row r="1110" spans="1:26" ht="14.25" thickBot="1" x14ac:dyDescent="0.2">
      <c r="A1110" s="13" t="s">
        <v>936</v>
      </c>
      <c r="B1110" s="26"/>
      <c r="C1110" s="47">
        <v>2</v>
      </c>
      <c r="D1110" s="27">
        <v>4</v>
      </c>
      <c r="E1110" s="50"/>
      <c r="F1110" s="10">
        <f>SUM(B1110:E1110)</f>
        <v>6</v>
      </c>
      <c r="G1110" s="47">
        <v>6</v>
      </c>
      <c r="H1110" s="47">
        <v>2</v>
      </c>
      <c r="I1110" s="27">
        <v>2</v>
      </c>
      <c r="J1110" s="50">
        <v>4</v>
      </c>
      <c r="K1110" s="10">
        <f>SUM(G1110:J1110)</f>
        <v>14</v>
      </c>
      <c r="L1110" s="14">
        <f t="shared" si="798"/>
        <v>20</v>
      </c>
      <c r="M1110" s="126">
        <v>45257</v>
      </c>
      <c r="N1110" s="13" t="s">
        <v>8</v>
      </c>
      <c r="O1110" s="26"/>
      <c r="P1110" s="47"/>
      <c r="Q1110" s="27"/>
      <c r="R1110" s="34"/>
      <c r="S1110" s="77">
        <f t="shared" si="803"/>
        <v>0</v>
      </c>
      <c r="T1110" s="26"/>
      <c r="U1110" s="47"/>
      <c r="V1110" s="27"/>
      <c r="W1110" s="34"/>
      <c r="X1110" s="9">
        <f t="shared" si="804"/>
        <v>0</v>
      </c>
      <c r="Y1110" s="11">
        <f t="shared" si="805"/>
        <v>0</v>
      </c>
    </row>
    <row r="1111" spans="1:26" ht="14.25" thickBot="1" x14ac:dyDescent="0.2">
      <c r="A1111" s="22" t="s">
        <v>9</v>
      </c>
      <c r="B1111" s="51">
        <f t="shared" ref="B1111:K1111" si="806">SUM(B1106:B1110)</f>
        <v>12</v>
      </c>
      <c r="C1111" s="52">
        <f t="shared" si="806"/>
        <v>24</v>
      </c>
      <c r="D1111" s="53">
        <f t="shared" si="806"/>
        <v>11</v>
      </c>
      <c r="E1111" s="54">
        <f t="shared" si="806"/>
        <v>11</v>
      </c>
      <c r="F1111" s="28">
        <f t="shared" si="806"/>
        <v>54</v>
      </c>
      <c r="G1111" s="51">
        <f t="shared" si="806"/>
        <v>14</v>
      </c>
      <c r="H1111" s="52">
        <f t="shared" si="806"/>
        <v>13</v>
      </c>
      <c r="I1111" s="53">
        <f t="shared" si="806"/>
        <v>9</v>
      </c>
      <c r="J1111" s="54">
        <f t="shared" si="806"/>
        <v>11</v>
      </c>
      <c r="K1111" s="28">
        <f t="shared" si="806"/>
        <v>47</v>
      </c>
      <c r="L1111" s="21">
        <f t="shared" si="798"/>
        <v>101</v>
      </c>
      <c r="N1111" s="17" t="s">
        <v>9</v>
      </c>
      <c r="O1111" s="41">
        <f>SUM(O1106:O1110)</f>
        <v>609</v>
      </c>
      <c r="P1111" s="49">
        <f t="shared" ref="P1111:V1111" si="807">SUM(P1106:P1110)</f>
        <v>748</v>
      </c>
      <c r="Q1111" s="42">
        <f t="shared" si="807"/>
        <v>468</v>
      </c>
      <c r="R1111" s="92">
        <f t="shared" si="807"/>
        <v>312</v>
      </c>
      <c r="S1111" s="93">
        <f t="shared" si="807"/>
        <v>2137</v>
      </c>
      <c r="T1111" s="41">
        <f t="shared" si="807"/>
        <v>492</v>
      </c>
      <c r="U1111" s="49">
        <f t="shared" si="807"/>
        <v>609</v>
      </c>
      <c r="V1111" s="42">
        <f t="shared" si="807"/>
        <v>410</v>
      </c>
      <c r="W1111" s="92">
        <f>SUM(W1106:W1110)</f>
        <v>299</v>
      </c>
      <c r="X1111" s="93">
        <f t="shared" ref="X1111" si="808">SUM(X1106:X1110)</f>
        <v>1810</v>
      </c>
      <c r="Y1111" s="56">
        <f t="shared" si="802"/>
        <v>3947</v>
      </c>
    </row>
    <row r="1112" spans="1:26" x14ac:dyDescent="0.15">
      <c r="A1112" s="57" t="s">
        <v>915</v>
      </c>
      <c r="B1112" s="24">
        <v>1</v>
      </c>
      <c r="C1112" s="46"/>
      <c r="D1112" s="25">
        <v>1</v>
      </c>
      <c r="E1112" s="33"/>
      <c r="F1112" s="35">
        <f>SUM(B1112:E1112)</f>
        <v>2</v>
      </c>
      <c r="G1112" s="24"/>
      <c r="H1112" s="46"/>
      <c r="I1112" s="25"/>
      <c r="J1112" s="33"/>
      <c r="K1112" s="35">
        <f>SUM(G1112:J1112)</f>
        <v>0</v>
      </c>
      <c r="L1112" s="11">
        <f t="shared" si="798"/>
        <v>2</v>
      </c>
      <c r="M1112" s="99">
        <v>45245</v>
      </c>
      <c r="N1112" s="57" t="s">
        <v>905</v>
      </c>
      <c r="O1112" s="66"/>
      <c r="P1112" s="67"/>
      <c r="Q1112" s="68"/>
      <c r="R1112" s="94"/>
      <c r="S1112" s="91">
        <f>SUM(O1112:R1112)</f>
        <v>0</v>
      </c>
      <c r="T1112" s="67"/>
      <c r="U1112" s="67"/>
      <c r="V1112" s="68"/>
      <c r="W1112" s="94">
        <v>1</v>
      </c>
      <c r="X1112" s="91">
        <f>SUM(T1112:W1112)</f>
        <v>1</v>
      </c>
      <c r="Y1112" s="11">
        <f t="shared" si="802"/>
        <v>1</v>
      </c>
      <c r="Z1112" s="99">
        <v>45238</v>
      </c>
    </row>
    <row r="1113" spans="1:26" x14ac:dyDescent="0.15">
      <c r="A1113" s="12" t="s">
        <v>41</v>
      </c>
      <c r="B1113" s="26"/>
      <c r="C1113" s="47">
        <v>1</v>
      </c>
      <c r="D1113" s="27"/>
      <c r="E1113" s="34"/>
      <c r="F1113" s="35">
        <f>SUM(B1113:E1113)</f>
        <v>1</v>
      </c>
      <c r="G1113" s="26"/>
      <c r="H1113" s="47"/>
      <c r="I1113" s="27"/>
      <c r="J1113" s="34"/>
      <c r="K1113" s="35">
        <f>SUM(G1113:J1113)</f>
        <v>0</v>
      </c>
      <c r="L1113" s="11">
        <f t="shared" si="798"/>
        <v>1</v>
      </c>
      <c r="M1113" s="99">
        <v>45245</v>
      </c>
      <c r="N1113" s="15" t="s">
        <v>907</v>
      </c>
      <c r="O1113" s="26">
        <v>3</v>
      </c>
      <c r="P1113" s="47"/>
      <c r="Q1113" s="27"/>
      <c r="R1113" s="34"/>
      <c r="S1113" s="35">
        <f t="shared" ref="S1113:S1114" si="809">SUM(O1113:R1113)</f>
        <v>3</v>
      </c>
      <c r="T1113" s="26">
        <v>1</v>
      </c>
      <c r="U1113" s="47"/>
      <c r="V1113" s="27"/>
      <c r="W1113" s="34"/>
      <c r="X1113" s="35">
        <f t="shared" ref="X1113:X1114" si="810">SUM(T1113:W1113)</f>
        <v>1</v>
      </c>
      <c r="Y1113" s="11">
        <f t="shared" si="802"/>
        <v>4</v>
      </c>
      <c r="Z1113" s="99">
        <v>45238</v>
      </c>
    </row>
    <row r="1114" spans="1:26" x14ac:dyDescent="0.15">
      <c r="A1114" s="13" t="s">
        <v>926</v>
      </c>
      <c r="B1114" s="26">
        <v>6</v>
      </c>
      <c r="C1114" s="47">
        <v>14</v>
      </c>
      <c r="D1114" s="27"/>
      <c r="E1114" s="34">
        <v>6</v>
      </c>
      <c r="F1114" s="35">
        <f t="shared" ref="F1114:F1136" si="811">SUM(B1114:E1114)</f>
        <v>26</v>
      </c>
      <c r="G1114" s="26"/>
      <c r="H1114" s="47">
        <v>2</v>
      </c>
      <c r="I1114" s="27"/>
      <c r="J1114" s="34"/>
      <c r="K1114" s="35">
        <f t="shared" ref="K1114:K1136" si="812">SUM(G1114:J1114)</f>
        <v>2</v>
      </c>
      <c r="L1114" s="11">
        <f t="shared" si="798"/>
        <v>28</v>
      </c>
      <c r="M1114" s="126">
        <v>45248</v>
      </c>
      <c r="N1114" s="15" t="s">
        <v>909</v>
      </c>
      <c r="O1114" s="26">
        <v>16</v>
      </c>
      <c r="P1114" s="47">
        <v>25</v>
      </c>
      <c r="Q1114" s="27">
        <v>9</v>
      </c>
      <c r="R1114" s="34"/>
      <c r="S1114" s="35">
        <f t="shared" si="809"/>
        <v>50</v>
      </c>
      <c r="T1114" s="26">
        <v>12</v>
      </c>
      <c r="U1114" s="47">
        <v>4</v>
      </c>
      <c r="V1114" s="27">
        <v>2</v>
      </c>
      <c r="W1114" s="34"/>
      <c r="X1114" s="35">
        <f t="shared" si="810"/>
        <v>18</v>
      </c>
      <c r="Y1114" s="11">
        <f t="shared" si="802"/>
        <v>68</v>
      </c>
      <c r="Z1114" s="99">
        <v>45239</v>
      </c>
    </row>
    <row r="1115" spans="1:26" x14ac:dyDescent="0.15">
      <c r="A1115" s="12" t="s">
        <v>41</v>
      </c>
      <c r="B1115" s="66"/>
      <c r="C1115" s="67">
        <v>1</v>
      </c>
      <c r="D1115" s="68"/>
      <c r="E1115" s="69"/>
      <c r="F1115" s="70">
        <f t="shared" si="811"/>
        <v>1</v>
      </c>
      <c r="G1115" s="66">
        <v>1</v>
      </c>
      <c r="H1115" s="67">
        <v>2</v>
      </c>
      <c r="I1115" s="68"/>
      <c r="J1115" s="69"/>
      <c r="K1115" s="70">
        <f t="shared" si="812"/>
        <v>3</v>
      </c>
      <c r="L1115" s="11">
        <f t="shared" si="798"/>
        <v>4</v>
      </c>
      <c r="M1115" s="126">
        <v>45250</v>
      </c>
      <c r="N1115" s="15" t="s">
        <v>910</v>
      </c>
      <c r="O1115" s="66">
        <v>5</v>
      </c>
      <c r="P1115" s="67">
        <v>9</v>
      </c>
      <c r="Q1115" s="68">
        <v>3</v>
      </c>
      <c r="R1115" s="94"/>
      <c r="S1115" s="91">
        <f>SUM(O1115:R1115)</f>
        <v>17</v>
      </c>
      <c r="T1115" s="67">
        <v>4</v>
      </c>
      <c r="U1115" s="67">
        <v>10</v>
      </c>
      <c r="V1115" s="68"/>
      <c r="W1115" s="94"/>
      <c r="X1115" s="91">
        <f>SUM(T1115:W1115)</f>
        <v>14</v>
      </c>
      <c r="Y1115" s="11">
        <f t="shared" si="802"/>
        <v>31</v>
      </c>
      <c r="Z1115" s="99">
        <v>45240</v>
      </c>
    </row>
    <row r="1116" spans="1:26" x14ac:dyDescent="0.15">
      <c r="A1116" s="12" t="s">
        <v>41</v>
      </c>
      <c r="B1116" s="26"/>
      <c r="C1116" s="47">
        <v>1</v>
      </c>
      <c r="D1116" s="27"/>
      <c r="E1116" s="34"/>
      <c r="F1116" s="35">
        <f t="shared" si="811"/>
        <v>1</v>
      </c>
      <c r="G1116" s="26"/>
      <c r="H1116" s="47"/>
      <c r="I1116" s="27"/>
      <c r="J1116" s="34"/>
      <c r="K1116" s="35">
        <f t="shared" si="812"/>
        <v>0</v>
      </c>
      <c r="L1116" s="11">
        <f t="shared" si="798"/>
        <v>1</v>
      </c>
      <c r="M1116" s="126">
        <v>45252</v>
      </c>
      <c r="N1116" s="90" t="s">
        <v>913</v>
      </c>
      <c r="O1116" s="26"/>
      <c r="P1116" s="47"/>
      <c r="Q1116" s="27"/>
      <c r="R1116" s="34"/>
      <c r="S1116" s="35">
        <f t="shared" ref="S1116:S1118" si="813">SUM(O1116:R1116)</f>
        <v>0</v>
      </c>
      <c r="T1116" s="26"/>
      <c r="U1116" s="47">
        <v>5</v>
      </c>
      <c r="V1116" s="27"/>
      <c r="W1116" s="34"/>
      <c r="X1116" s="35">
        <f t="shared" ref="X1116:X1118" si="814">SUM(T1116:W1116)</f>
        <v>5</v>
      </c>
      <c r="Y1116" s="11">
        <f t="shared" si="802"/>
        <v>5</v>
      </c>
      <c r="Z1116" s="99">
        <v>45244</v>
      </c>
    </row>
    <row r="1117" spans="1:26" x14ac:dyDescent="0.15">
      <c r="A1117" s="12" t="s">
        <v>41</v>
      </c>
      <c r="B1117" s="26"/>
      <c r="C1117" s="47"/>
      <c r="D1117" s="27"/>
      <c r="E1117" s="34"/>
      <c r="F1117" s="35">
        <f t="shared" si="811"/>
        <v>0</v>
      </c>
      <c r="G1117" s="26">
        <v>1</v>
      </c>
      <c r="H1117" s="47"/>
      <c r="I1117" s="27"/>
      <c r="J1117" s="34">
        <v>1</v>
      </c>
      <c r="K1117" s="35">
        <f t="shared" si="812"/>
        <v>2</v>
      </c>
      <c r="L1117" s="11">
        <f t="shared" si="798"/>
        <v>2</v>
      </c>
      <c r="M1117" s="126">
        <v>45254</v>
      </c>
      <c r="N1117" s="15" t="s">
        <v>912</v>
      </c>
      <c r="O1117" s="26">
        <v>8</v>
      </c>
      <c r="P1117" s="47">
        <v>14</v>
      </c>
      <c r="Q1117" s="27">
        <v>7</v>
      </c>
      <c r="R1117" s="34"/>
      <c r="S1117" s="35">
        <f t="shared" si="813"/>
        <v>29</v>
      </c>
      <c r="T1117" s="26"/>
      <c r="U1117" s="47">
        <v>2</v>
      </c>
      <c r="V1117" s="27">
        <v>3</v>
      </c>
      <c r="W1117" s="34"/>
      <c r="X1117" s="35">
        <f t="shared" si="814"/>
        <v>5</v>
      </c>
      <c r="Y1117" s="11">
        <f t="shared" si="802"/>
        <v>34</v>
      </c>
      <c r="Z1117" s="99">
        <v>45243</v>
      </c>
    </row>
    <row r="1118" spans="1:26" x14ac:dyDescent="0.15">
      <c r="A1118" s="79" t="s">
        <v>935</v>
      </c>
      <c r="B1118" s="26">
        <v>1</v>
      </c>
      <c r="C1118" s="47"/>
      <c r="D1118" s="27"/>
      <c r="E1118" s="34"/>
      <c r="F1118" s="35">
        <f t="shared" si="811"/>
        <v>1</v>
      </c>
      <c r="G1118" s="26"/>
      <c r="H1118" s="47"/>
      <c r="I1118" s="27"/>
      <c r="J1118" s="34"/>
      <c r="K1118" s="35">
        <f t="shared" si="812"/>
        <v>0</v>
      </c>
      <c r="L1118" s="11">
        <f t="shared" si="798"/>
        <v>1</v>
      </c>
      <c r="M1118" s="126">
        <v>45257</v>
      </c>
      <c r="N1118" s="15" t="s">
        <v>914</v>
      </c>
      <c r="O1118" s="26">
        <v>14</v>
      </c>
      <c r="P1118" s="47">
        <v>13</v>
      </c>
      <c r="Q1118" s="27">
        <v>7</v>
      </c>
      <c r="R1118" s="34">
        <v>2</v>
      </c>
      <c r="S1118" s="35">
        <f t="shared" si="813"/>
        <v>36</v>
      </c>
      <c r="T1118" s="26">
        <v>2</v>
      </c>
      <c r="U1118" s="47">
        <v>5</v>
      </c>
      <c r="V1118" s="27">
        <v>3</v>
      </c>
      <c r="W1118" s="34">
        <v>3</v>
      </c>
      <c r="X1118" s="35">
        <f t="shared" si="814"/>
        <v>13</v>
      </c>
      <c r="Y1118" s="11">
        <f t="shared" si="802"/>
        <v>49</v>
      </c>
      <c r="Z1118" s="99">
        <v>45244</v>
      </c>
    </row>
    <row r="1119" spans="1:26" x14ac:dyDescent="0.15">
      <c r="A1119" s="12" t="s">
        <v>41</v>
      </c>
      <c r="B1119" s="26"/>
      <c r="C1119" s="47"/>
      <c r="D1119" s="27"/>
      <c r="E1119" s="34"/>
      <c r="F1119" s="35">
        <f t="shared" si="811"/>
        <v>0</v>
      </c>
      <c r="G1119" s="26">
        <v>3</v>
      </c>
      <c r="H1119" s="47">
        <v>2</v>
      </c>
      <c r="I1119" s="27"/>
      <c r="J1119" s="34"/>
      <c r="K1119" s="35">
        <f t="shared" si="812"/>
        <v>5</v>
      </c>
      <c r="L1119" s="11">
        <f t="shared" si="798"/>
        <v>5</v>
      </c>
      <c r="M1119" s="126">
        <v>45257</v>
      </c>
      <c r="N1119" s="12" t="s">
        <v>917</v>
      </c>
      <c r="O1119" s="26"/>
      <c r="P1119" s="47"/>
      <c r="Q1119" s="27"/>
      <c r="R1119" s="50"/>
      <c r="S1119" s="9">
        <f>SUM(O1119:R1119)</f>
        <v>0</v>
      </c>
      <c r="T1119" s="47"/>
      <c r="U1119" s="47"/>
      <c r="V1119" s="27">
        <v>6</v>
      </c>
      <c r="W1119" s="50"/>
      <c r="X1119" s="9">
        <f>SUM(T1119:W1119)</f>
        <v>6</v>
      </c>
      <c r="Y1119" s="11">
        <f t="shared" si="802"/>
        <v>6</v>
      </c>
      <c r="Z1119" s="99">
        <v>45247</v>
      </c>
    </row>
    <row r="1120" spans="1:26" x14ac:dyDescent="0.15">
      <c r="A1120" s="12" t="s">
        <v>41</v>
      </c>
      <c r="B1120" s="26">
        <v>1</v>
      </c>
      <c r="C1120" s="47"/>
      <c r="D1120" s="27"/>
      <c r="E1120" s="34"/>
      <c r="F1120" s="35">
        <f t="shared" si="811"/>
        <v>1</v>
      </c>
      <c r="G1120" s="26">
        <v>2</v>
      </c>
      <c r="H1120" s="47"/>
      <c r="I1120" s="27"/>
      <c r="J1120" s="34"/>
      <c r="K1120" s="35">
        <f t="shared" si="812"/>
        <v>2</v>
      </c>
      <c r="L1120" s="11">
        <f t="shared" si="798"/>
        <v>3</v>
      </c>
      <c r="M1120" s="126">
        <v>45258</v>
      </c>
      <c r="N1120" s="15" t="s">
        <v>918</v>
      </c>
      <c r="O1120" s="26">
        <v>12</v>
      </c>
      <c r="P1120" s="47">
        <v>6</v>
      </c>
      <c r="Q1120" s="27">
        <v>8</v>
      </c>
      <c r="R1120" s="34">
        <v>5</v>
      </c>
      <c r="S1120" s="35">
        <f t="shared" ref="S1120:S1137" si="815">SUM(O1120:R1120)</f>
        <v>31</v>
      </c>
      <c r="T1120" s="26"/>
      <c r="U1120" s="47">
        <v>2</v>
      </c>
      <c r="V1120" s="27">
        <v>2</v>
      </c>
      <c r="W1120" s="34">
        <v>4</v>
      </c>
      <c r="X1120" s="35">
        <f t="shared" ref="X1120:X1137" si="816">SUM(T1120:W1120)</f>
        <v>8</v>
      </c>
      <c r="Y1120" s="11">
        <f t="shared" si="802"/>
        <v>39</v>
      </c>
      <c r="Z1120" s="99">
        <v>45245</v>
      </c>
    </row>
    <row r="1121" spans="1:27" x14ac:dyDescent="0.15">
      <c r="A1121" s="32"/>
      <c r="B1121" s="26"/>
      <c r="C1121" s="47"/>
      <c r="D1121" s="27"/>
      <c r="E1121" s="34"/>
      <c r="F1121" s="35">
        <f t="shared" si="811"/>
        <v>0</v>
      </c>
      <c r="G1121" s="26"/>
      <c r="H1121" s="47"/>
      <c r="I1121" s="27"/>
      <c r="J1121" s="34"/>
      <c r="K1121" s="35">
        <f t="shared" si="812"/>
        <v>0</v>
      </c>
      <c r="L1121" s="11">
        <f t="shared" si="798"/>
        <v>0</v>
      </c>
      <c r="N1121" s="90" t="s">
        <v>925</v>
      </c>
      <c r="O1121" s="26"/>
      <c r="P1121" s="47"/>
      <c r="Q1121" s="27"/>
      <c r="R1121" s="34"/>
      <c r="S1121" s="35">
        <f t="shared" si="815"/>
        <v>0</v>
      </c>
      <c r="T1121" s="26"/>
      <c r="U1121" s="47"/>
      <c r="V1121" s="27"/>
      <c r="W1121" s="34">
        <v>5</v>
      </c>
      <c r="X1121" s="35">
        <f t="shared" si="816"/>
        <v>5</v>
      </c>
      <c r="Y1121" s="11">
        <f t="shared" si="802"/>
        <v>5</v>
      </c>
      <c r="Z1121" s="99">
        <v>45251</v>
      </c>
    </row>
    <row r="1122" spans="1:27" x14ac:dyDescent="0.15">
      <c r="A1122" s="15"/>
      <c r="B1122" s="26"/>
      <c r="C1122" s="47"/>
      <c r="D1122" s="27"/>
      <c r="E1122" s="34"/>
      <c r="F1122" s="35">
        <f t="shared" si="811"/>
        <v>0</v>
      </c>
      <c r="G1122" s="26"/>
      <c r="H1122" s="47"/>
      <c r="I1122" s="27"/>
      <c r="J1122" s="34"/>
      <c r="K1122" s="35">
        <f t="shared" si="812"/>
        <v>0</v>
      </c>
      <c r="L1122" s="11">
        <f t="shared" si="798"/>
        <v>0</v>
      </c>
      <c r="N1122" s="15" t="s">
        <v>919</v>
      </c>
      <c r="O1122" s="26">
        <v>1</v>
      </c>
      <c r="P1122" s="47"/>
      <c r="Q1122" s="27">
        <v>4</v>
      </c>
      <c r="R1122" s="34">
        <v>4</v>
      </c>
      <c r="S1122" s="35">
        <f t="shared" si="815"/>
        <v>9</v>
      </c>
      <c r="T1122" s="26">
        <v>1</v>
      </c>
      <c r="U1122" s="47"/>
      <c r="V1122" s="27">
        <v>1</v>
      </c>
      <c r="W1122" s="34">
        <v>1</v>
      </c>
      <c r="X1122" s="35">
        <f t="shared" si="816"/>
        <v>3</v>
      </c>
      <c r="Y1122" s="11">
        <f t="shared" si="802"/>
        <v>12</v>
      </c>
      <c r="Z1122" s="99">
        <v>45247</v>
      </c>
    </row>
    <row r="1123" spans="1:27" x14ac:dyDescent="0.15">
      <c r="A1123" s="13"/>
      <c r="B1123" s="26"/>
      <c r="C1123" s="47"/>
      <c r="D1123" s="27"/>
      <c r="E1123" s="34"/>
      <c r="F1123" s="35">
        <f t="shared" si="811"/>
        <v>0</v>
      </c>
      <c r="G1123" s="26"/>
      <c r="H1123" s="47"/>
      <c r="I1123" s="27"/>
      <c r="J1123" s="34"/>
      <c r="K1123" s="35">
        <f t="shared" si="812"/>
        <v>0</v>
      </c>
      <c r="L1123" s="11">
        <f t="shared" si="798"/>
        <v>0</v>
      </c>
      <c r="N1123" s="15" t="s">
        <v>921</v>
      </c>
      <c r="O1123" s="26">
        <v>10</v>
      </c>
      <c r="P1123" s="47">
        <v>7</v>
      </c>
      <c r="Q1123" s="27">
        <v>2</v>
      </c>
      <c r="R1123" s="34"/>
      <c r="S1123" s="35">
        <f t="shared" si="815"/>
        <v>19</v>
      </c>
      <c r="T1123" s="26">
        <v>4</v>
      </c>
      <c r="U1123" s="47">
        <v>3</v>
      </c>
      <c r="V1123" s="27">
        <v>1</v>
      </c>
      <c r="W1123" s="34"/>
      <c r="X1123" s="35">
        <f t="shared" si="816"/>
        <v>8</v>
      </c>
      <c r="Y1123" s="11">
        <f t="shared" si="802"/>
        <v>27</v>
      </c>
      <c r="Z1123" s="99">
        <v>45250</v>
      </c>
    </row>
    <row r="1124" spans="1:27" x14ac:dyDescent="0.15">
      <c r="A1124" s="15"/>
      <c r="B1124" s="26"/>
      <c r="C1124" s="47"/>
      <c r="D1124" s="27"/>
      <c r="E1124" s="34"/>
      <c r="F1124" s="35">
        <f t="shared" si="811"/>
        <v>0</v>
      </c>
      <c r="G1124" s="26"/>
      <c r="H1124" s="47"/>
      <c r="I1124" s="27"/>
      <c r="J1124" s="34"/>
      <c r="K1124" s="35">
        <f t="shared" si="812"/>
        <v>0</v>
      </c>
      <c r="L1124" s="11">
        <f t="shared" si="798"/>
        <v>0</v>
      </c>
      <c r="N1124" s="15" t="s">
        <v>924</v>
      </c>
      <c r="O1124" s="26">
        <v>4</v>
      </c>
      <c r="P1124" s="47">
        <v>7</v>
      </c>
      <c r="Q1124" s="27">
        <v>6</v>
      </c>
      <c r="R1124" s="34">
        <v>4</v>
      </c>
      <c r="S1124" s="35">
        <f t="shared" si="815"/>
        <v>21</v>
      </c>
      <c r="T1124" s="26">
        <v>1</v>
      </c>
      <c r="U1124" s="47">
        <v>2</v>
      </c>
      <c r="V1124" s="27">
        <v>2</v>
      </c>
      <c r="W1124" s="34">
        <v>1</v>
      </c>
      <c r="X1124" s="35">
        <f t="shared" si="816"/>
        <v>6</v>
      </c>
      <c r="Y1124" s="11">
        <f t="shared" si="802"/>
        <v>27</v>
      </c>
      <c r="Z1124" s="99">
        <v>45250</v>
      </c>
    </row>
    <row r="1125" spans="1:27" x14ac:dyDescent="0.15">
      <c r="A1125" s="13"/>
      <c r="B1125" s="26"/>
      <c r="C1125" s="47"/>
      <c r="D1125" s="27"/>
      <c r="E1125" s="34"/>
      <c r="F1125" s="35">
        <f t="shared" si="811"/>
        <v>0</v>
      </c>
      <c r="G1125" s="26"/>
      <c r="H1125" s="47"/>
      <c r="I1125" s="27"/>
      <c r="J1125" s="34"/>
      <c r="K1125" s="35">
        <f t="shared" si="812"/>
        <v>0</v>
      </c>
      <c r="L1125" s="11">
        <f t="shared" si="798"/>
        <v>0</v>
      </c>
      <c r="N1125" s="15" t="s">
        <v>927</v>
      </c>
      <c r="O1125" s="26">
        <v>2</v>
      </c>
      <c r="P1125" s="47"/>
      <c r="Q1125" s="27"/>
      <c r="R1125" s="34">
        <v>2</v>
      </c>
      <c r="S1125" s="35">
        <f t="shared" si="815"/>
        <v>4</v>
      </c>
      <c r="T1125" s="26">
        <v>2</v>
      </c>
      <c r="U1125" s="47"/>
      <c r="V1125" s="27"/>
      <c r="W1125" s="34"/>
      <c r="X1125" s="35">
        <f t="shared" si="816"/>
        <v>2</v>
      </c>
      <c r="Y1125" s="11">
        <f t="shared" si="802"/>
        <v>6</v>
      </c>
      <c r="Z1125" s="99">
        <v>45252</v>
      </c>
    </row>
    <row r="1126" spans="1:27" x14ac:dyDescent="0.15">
      <c r="A1126" s="15"/>
      <c r="B1126" s="26"/>
      <c r="C1126" s="47"/>
      <c r="D1126" s="27"/>
      <c r="E1126" s="34"/>
      <c r="F1126" s="35">
        <f t="shared" si="811"/>
        <v>0</v>
      </c>
      <c r="G1126" s="26"/>
      <c r="H1126" s="47"/>
      <c r="I1126" s="27"/>
      <c r="J1126" s="34"/>
      <c r="K1126" s="35">
        <f t="shared" si="812"/>
        <v>0</v>
      </c>
      <c r="L1126" s="11">
        <f t="shared" si="798"/>
        <v>0</v>
      </c>
      <c r="N1126" s="57" t="s">
        <v>928</v>
      </c>
      <c r="O1126" s="26"/>
      <c r="P1126" s="47">
        <v>3</v>
      </c>
      <c r="Q1126" s="27"/>
      <c r="R1126" s="34"/>
      <c r="S1126" s="35">
        <f>SUM(O1126:R1126)</f>
        <v>3</v>
      </c>
      <c r="T1126" s="26"/>
      <c r="U1126" s="47"/>
      <c r="V1126" s="27"/>
      <c r="W1126" s="34"/>
      <c r="X1126" s="35">
        <f>SUM(T1126:W1126)</f>
        <v>0</v>
      </c>
      <c r="Y1126" s="11">
        <f t="shared" si="802"/>
        <v>3</v>
      </c>
      <c r="Z1126" s="99">
        <v>45251</v>
      </c>
    </row>
    <row r="1127" spans="1:27" x14ac:dyDescent="0.15">
      <c r="A1127" s="13"/>
      <c r="B1127" s="26"/>
      <c r="C1127" s="47"/>
      <c r="D1127" s="27"/>
      <c r="E1127" s="34"/>
      <c r="F1127" s="35">
        <f t="shared" si="811"/>
        <v>0</v>
      </c>
      <c r="G1127" s="26"/>
      <c r="H1127" s="47"/>
      <c r="I1127" s="27"/>
      <c r="J1127" s="34"/>
      <c r="K1127" s="35">
        <f t="shared" si="812"/>
        <v>0</v>
      </c>
      <c r="L1127" s="11">
        <f t="shared" si="798"/>
        <v>0</v>
      </c>
      <c r="N1127" s="15" t="s">
        <v>929</v>
      </c>
      <c r="O1127" s="26"/>
      <c r="P1127" s="47">
        <v>4</v>
      </c>
      <c r="Q1127" s="27">
        <v>4</v>
      </c>
      <c r="R1127" s="34">
        <v>1</v>
      </c>
      <c r="S1127" s="35">
        <f t="shared" si="815"/>
        <v>9</v>
      </c>
      <c r="T1127" s="26">
        <v>2</v>
      </c>
      <c r="U1127" s="47"/>
      <c r="V1127" s="27"/>
      <c r="W1127" s="34"/>
      <c r="X1127" s="35">
        <f t="shared" si="816"/>
        <v>2</v>
      </c>
      <c r="Y1127" s="11">
        <f t="shared" si="802"/>
        <v>11</v>
      </c>
      <c r="Z1127" s="99">
        <v>45254</v>
      </c>
    </row>
    <row r="1128" spans="1:27" x14ac:dyDescent="0.15">
      <c r="A1128" s="15"/>
      <c r="B1128" s="26"/>
      <c r="C1128" s="47"/>
      <c r="D1128" s="27"/>
      <c r="E1128" s="34"/>
      <c r="F1128" s="35">
        <f t="shared" si="811"/>
        <v>0</v>
      </c>
      <c r="G1128" s="26"/>
      <c r="H1128" s="47"/>
      <c r="I1128" s="27"/>
      <c r="J1128" s="34"/>
      <c r="K1128" s="35">
        <f t="shared" si="812"/>
        <v>0</v>
      </c>
      <c r="L1128" s="11">
        <f t="shared" si="798"/>
        <v>0</v>
      </c>
      <c r="N1128" s="15" t="s">
        <v>932</v>
      </c>
      <c r="O1128" s="26">
        <v>5</v>
      </c>
      <c r="P1128" s="47">
        <v>5</v>
      </c>
      <c r="Q1128" s="27">
        <v>2</v>
      </c>
      <c r="R1128" s="34">
        <v>2</v>
      </c>
      <c r="S1128" s="35">
        <f t="shared" si="815"/>
        <v>14</v>
      </c>
      <c r="T1128" s="26">
        <v>3</v>
      </c>
      <c r="U1128" s="47">
        <v>1</v>
      </c>
      <c r="V1128" s="27"/>
      <c r="W1128" s="34"/>
      <c r="X1128" s="35">
        <f t="shared" si="816"/>
        <v>4</v>
      </c>
      <c r="Y1128" s="11">
        <f t="shared" si="802"/>
        <v>18</v>
      </c>
      <c r="Z1128" s="99">
        <v>45254</v>
      </c>
    </row>
    <row r="1129" spans="1:27" x14ac:dyDescent="0.15">
      <c r="A1129" s="15"/>
      <c r="B1129" s="26"/>
      <c r="C1129" s="47"/>
      <c r="D1129" s="27"/>
      <c r="E1129" s="34"/>
      <c r="F1129" s="35">
        <f t="shared" si="811"/>
        <v>0</v>
      </c>
      <c r="G1129" s="26"/>
      <c r="H1129" s="47"/>
      <c r="I1129" s="27"/>
      <c r="J1129" s="34"/>
      <c r="K1129" s="35">
        <f t="shared" si="812"/>
        <v>0</v>
      </c>
      <c r="L1129" s="11">
        <f t="shared" si="798"/>
        <v>0</v>
      </c>
      <c r="N1129" s="15" t="s">
        <v>933</v>
      </c>
      <c r="O1129" s="26">
        <v>3</v>
      </c>
      <c r="P1129" s="47">
        <v>5</v>
      </c>
      <c r="Q1129" s="27">
        <v>2</v>
      </c>
      <c r="R1129" s="34">
        <v>3</v>
      </c>
      <c r="S1129" s="35">
        <f t="shared" si="815"/>
        <v>13</v>
      </c>
      <c r="T1129" s="26"/>
      <c r="U1129" s="47"/>
      <c r="V1129" s="27">
        <v>2</v>
      </c>
      <c r="W1129" s="34">
        <v>2</v>
      </c>
      <c r="X1129" s="35">
        <f t="shared" si="816"/>
        <v>4</v>
      </c>
      <c r="Y1129" s="11">
        <f t="shared" si="802"/>
        <v>17</v>
      </c>
      <c r="Z1129" s="99">
        <v>45257</v>
      </c>
      <c r="AA1129" s="58"/>
    </row>
    <row r="1130" spans="1:27" x14ac:dyDescent="0.15">
      <c r="A1130" s="13"/>
      <c r="B1130" s="26"/>
      <c r="C1130" s="47"/>
      <c r="D1130" s="27"/>
      <c r="E1130" s="34"/>
      <c r="F1130" s="35">
        <f t="shared" si="811"/>
        <v>0</v>
      </c>
      <c r="G1130" s="26"/>
      <c r="H1130" s="47"/>
      <c r="I1130" s="27"/>
      <c r="J1130" s="34"/>
      <c r="K1130" s="35">
        <f t="shared" si="812"/>
        <v>0</v>
      </c>
      <c r="L1130" s="11">
        <f t="shared" si="798"/>
        <v>0</v>
      </c>
      <c r="N1130" s="57" t="s">
        <v>34</v>
      </c>
      <c r="O1130" s="26"/>
      <c r="P1130" s="47"/>
      <c r="Q1130" s="27"/>
      <c r="R1130" s="34"/>
      <c r="S1130" s="35">
        <f>SUM(O1130:R1130)</f>
        <v>0</v>
      </c>
      <c r="T1130" s="26">
        <v>3</v>
      </c>
      <c r="U1130" s="47">
        <v>3</v>
      </c>
      <c r="V1130" s="27">
        <v>3</v>
      </c>
      <c r="W1130" s="34">
        <v>3</v>
      </c>
      <c r="X1130" s="35">
        <f>SUM(T1130:W1130)</f>
        <v>12</v>
      </c>
      <c r="Y1130" s="11">
        <f t="shared" si="802"/>
        <v>12</v>
      </c>
      <c r="Z1130" s="99">
        <v>45257</v>
      </c>
    </row>
    <row r="1131" spans="1:27" x14ac:dyDescent="0.15">
      <c r="A1131" s="32"/>
      <c r="B1131" s="26"/>
      <c r="C1131" s="47"/>
      <c r="D1131" s="27"/>
      <c r="E1131" s="34"/>
      <c r="F1131" s="35">
        <f t="shared" si="811"/>
        <v>0</v>
      </c>
      <c r="G1131" s="26"/>
      <c r="H1131" s="47"/>
      <c r="I1131" s="27"/>
      <c r="J1131" s="34"/>
      <c r="K1131" s="35">
        <f t="shared" si="812"/>
        <v>0</v>
      </c>
      <c r="L1131" s="11">
        <f t="shared" si="798"/>
        <v>0</v>
      </c>
      <c r="N1131" s="15" t="s">
        <v>934</v>
      </c>
      <c r="O1131" s="66">
        <v>10</v>
      </c>
      <c r="P1131" s="67">
        <v>8</v>
      </c>
      <c r="Q1131" s="68">
        <v>4</v>
      </c>
      <c r="R1131" s="94">
        <v>6</v>
      </c>
      <c r="S1131" s="91">
        <f>SUM(O1131:R1131)</f>
        <v>28</v>
      </c>
      <c r="T1131" s="67"/>
      <c r="U1131" s="67">
        <v>2</v>
      </c>
      <c r="V1131" s="68"/>
      <c r="W1131" s="94">
        <v>2</v>
      </c>
      <c r="X1131" s="91">
        <f>SUM(T1131:W1131)</f>
        <v>4</v>
      </c>
      <c r="Y1131" s="11">
        <f t="shared" si="802"/>
        <v>32</v>
      </c>
      <c r="Z1131" s="99">
        <v>45259</v>
      </c>
    </row>
    <row r="1132" spans="1:27" x14ac:dyDescent="0.15">
      <c r="A1132" s="32"/>
      <c r="B1132" s="26"/>
      <c r="C1132" s="47"/>
      <c r="D1132" s="27"/>
      <c r="E1132" s="34"/>
      <c r="F1132" s="35">
        <f t="shared" si="811"/>
        <v>0</v>
      </c>
      <c r="G1132" s="26"/>
      <c r="H1132" s="47"/>
      <c r="I1132" s="27"/>
      <c r="J1132" s="34"/>
      <c r="K1132" s="35">
        <f t="shared" si="812"/>
        <v>0</v>
      </c>
      <c r="L1132" s="11">
        <f t="shared" si="798"/>
        <v>0</v>
      </c>
      <c r="N1132" s="57" t="s">
        <v>872</v>
      </c>
      <c r="O1132" s="66"/>
      <c r="P1132" s="67"/>
      <c r="Q1132" s="68"/>
      <c r="R1132" s="69"/>
      <c r="S1132" s="70">
        <f t="shared" ref="S1132:S1133" si="817">SUM(O1132:R1132)</f>
        <v>0</v>
      </c>
      <c r="T1132" s="66"/>
      <c r="U1132" s="67"/>
      <c r="V1132" s="68"/>
      <c r="W1132" s="69"/>
      <c r="X1132" s="70">
        <f t="shared" ref="X1132:X1133" si="818">SUM(T1132:W1132)</f>
        <v>0</v>
      </c>
      <c r="Y1132" s="11">
        <f t="shared" ref="Y1132:Y1133" si="819">S1132+X1132</f>
        <v>0</v>
      </c>
      <c r="Z1132" s="101" t="s">
        <v>873</v>
      </c>
    </row>
    <row r="1133" spans="1:27" x14ac:dyDescent="0.15">
      <c r="A1133" s="12"/>
      <c r="B1133" s="26"/>
      <c r="C1133" s="47"/>
      <c r="D1133" s="27"/>
      <c r="E1133" s="34"/>
      <c r="F1133" s="35">
        <f t="shared" si="811"/>
        <v>0</v>
      </c>
      <c r="G1133" s="26"/>
      <c r="H1133" s="47"/>
      <c r="I1133" s="27"/>
      <c r="J1133" s="34"/>
      <c r="K1133" s="35">
        <f t="shared" si="812"/>
        <v>0</v>
      </c>
      <c r="L1133" s="11">
        <f t="shared" si="798"/>
        <v>0</v>
      </c>
      <c r="N1133" s="57" t="s">
        <v>871</v>
      </c>
      <c r="O1133" s="66"/>
      <c r="P1133" s="67"/>
      <c r="Q1133" s="68"/>
      <c r="R1133" s="69"/>
      <c r="S1133" s="70">
        <f t="shared" si="817"/>
        <v>0</v>
      </c>
      <c r="T1133" s="66"/>
      <c r="U1133" s="67"/>
      <c r="V1133" s="68"/>
      <c r="W1133" s="69"/>
      <c r="X1133" s="70">
        <f t="shared" si="818"/>
        <v>0</v>
      </c>
      <c r="Y1133" s="11">
        <f t="shared" si="819"/>
        <v>0</v>
      </c>
      <c r="Z1133" s="101" t="s">
        <v>346</v>
      </c>
    </row>
    <row r="1134" spans="1:27" x14ac:dyDescent="0.15">
      <c r="A1134" s="79"/>
      <c r="B1134" s="26"/>
      <c r="C1134" s="47"/>
      <c r="D1134" s="27"/>
      <c r="E1134" s="34"/>
      <c r="F1134" s="35">
        <f t="shared" si="811"/>
        <v>0</v>
      </c>
      <c r="G1134" s="26"/>
      <c r="H1134" s="47"/>
      <c r="I1134" s="27"/>
      <c r="J1134" s="34"/>
      <c r="K1134" s="35">
        <f t="shared" si="812"/>
        <v>0</v>
      </c>
      <c r="L1134" s="11">
        <f t="shared" si="798"/>
        <v>0</v>
      </c>
      <c r="N1134" s="153" t="s">
        <v>882</v>
      </c>
      <c r="O1134" s="154"/>
      <c r="P1134" s="155"/>
      <c r="Q1134" s="156"/>
      <c r="R1134" s="157"/>
      <c r="S1134" s="158">
        <f t="shared" si="815"/>
        <v>0</v>
      </c>
      <c r="T1134" s="154"/>
      <c r="U1134" s="155"/>
      <c r="V1134" s="156"/>
      <c r="W1134" s="157"/>
      <c r="X1134" s="158">
        <f t="shared" si="816"/>
        <v>0</v>
      </c>
      <c r="Y1134" s="159">
        <f t="shared" si="802"/>
        <v>0</v>
      </c>
      <c r="Z1134" s="205" t="s">
        <v>873</v>
      </c>
    </row>
    <row r="1135" spans="1:27" x14ac:dyDescent="0.15">
      <c r="A1135" s="57"/>
      <c r="B1135" s="26"/>
      <c r="C1135" s="47"/>
      <c r="D1135" s="27"/>
      <c r="E1135" s="34"/>
      <c r="F1135" s="35">
        <f t="shared" si="811"/>
        <v>0</v>
      </c>
      <c r="G1135" s="26"/>
      <c r="H1135" s="47"/>
      <c r="I1135" s="27"/>
      <c r="J1135" s="34"/>
      <c r="K1135" s="35">
        <f t="shared" si="812"/>
        <v>0</v>
      </c>
      <c r="L1135" s="11">
        <f t="shared" si="798"/>
        <v>0</v>
      </c>
      <c r="N1135" s="57" t="s">
        <v>883</v>
      </c>
      <c r="O1135" s="66"/>
      <c r="P1135" s="67"/>
      <c r="Q1135" s="68"/>
      <c r="R1135" s="69"/>
      <c r="S1135" s="70">
        <f t="shared" si="815"/>
        <v>0</v>
      </c>
      <c r="T1135" s="66"/>
      <c r="U1135" s="67"/>
      <c r="V1135" s="68"/>
      <c r="W1135" s="69"/>
      <c r="X1135" s="70">
        <f t="shared" si="816"/>
        <v>0</v>
      </c>
      <c r="Y1135" s="11">
        <f t="shared" si="802"/>
        <v>0</v>
      </c>
      <c r="Z1135" s="101" t="s">
        <v>884</v>
      </c>
    </row>
    <row r="1136" spans="1:27" ht="14.25" thickBot="1" x14ac:dyDescent="0.2">
      <c r="A1136" s="90"/>
      <c r="B1136" s="62"/>
      <c r="C1136" s="63"/>
      <c r="D1136" s="64"/>
      <c r="E1136" s="65"/>
      <c r="F1136" s="35">
        <f t="shared" si="811"/>
        <v>0</v>
      </c>
      <c r="G1136" s="62"/>
      <c r="H1136" s="63"/>
      <c r="I1136" s="64"/>
      <c r="J1136" s="65"/>
      <c r="K1136" s="35">
        <f t="shared" si="812"/>
        <v>0</v>
      </c>
      <c r="L1136" s="14">
        <f t="shared" si="798"/>
        <v>0</v>
      </c>
      <c r="N1136" s="135" t="s">
        <v>19</v>
      </c>
      <c r="O1136" s="62"/>
      <c r="P1136" s="63"/>
      <c r="Q1136" s="64"/>
      <c r="R1136" s="65"/>
      <c r="S1136" s="120">
        <f t="shared" ref="S1136" si="820">SUM(O1136:R1136)</f>
        <v>0</v>
      </c>
      <c r="T1136" s="62"/>
      <c r="U1136" s="63"/>
      <c r="V1136" s="64"/>
      <c r="W1136" s="65"/>
      <c r="X1136" s="120">
        <f t="shared" ref="X1136" si="821">SUM(T1136:W1136)</f>
        <v>0</v>
      </c>
      <c r="Y1136" s="121">
        <f t="shared" ref="Y1136" si="822">S1136+X1136</f>
        <v>0</v>
      </c>
      <c r="Z1136" s="101" t="s">
        <v>20</v>
      </c>
    </row>
    <row r="1137" spans="1:26" ht="14.25" thickBot="1" x14ac:dyDescent="0.2">
      <c r="A1137" s="17" t="s">
        <v>10</v>
      </c>
      <c r="B1137" s="38">
        <f>SUM(B1112:B1136)</f>
        <v>9</v>
      </c>
      <c r="C1137" s="48">
        <f>SUM(C1112:C1136)</f>
        <v>17</v>
      </c>
      <c r="D1137" s="39">
        <f>SUM(D1112:D1136)</f>
        <v>1</v>
      </c>
      <c r="E1137" s="40">
        <f>SUM(E1112:E1136)</f>
        <v>6</v>
      </c>
      <c r="F1137" s="36">
        <f>SUM(B1137:E1137)</f>
        <v>33</v>
      </c>
      <c r="G1137" s="38">
        <f>SUM(G1112:G1136)</f>
        <v>7</v>
      </c>
      <c r="H1137" s="48">
        <f>SUM(H1112:H1136)</f>
        <v>6</v>
      </c>
      <c r="I1137" s="39">
        <f>SUM(I1112:I1136)</f>
        <v>0</v>
      </c>
      <c r="J1137" s="40">
        <f>SUM(J1112:J1136)</f>
        <v>1</v>
      </c>
      <c r="K1137" s="36">
        <f>SUM(G1137:J1137)</f>
        <v>14</v>
      </c>
      <c r="L1137" s="37">
        <f t="shared" si="798"/>
        <v>47</v>
      </c>
      <c r="N1137" s="133" t="s">
        <v>10</v>
      </c>
      <c r="O1137" s="38">
        <f>SUM(O1112:O1136)</f>
        <v>93</v>
      </c>
      <c r="P1137" s="48">
        <f>SUM(P1112:P1136)</f>
        <v>106</v>
      </c>
      <c r="Q1137" s="39">
        <f>SUM(Q1112:Q1136)</f>
        <v>58</v>
      </c>
      <c r="R1137" s="40">
        <f>SUM(R1112:R1136)</f>
        <v>29</v>
      </c>
      <c r="S1137" s="118">
        <f t="shared" si="815"/>
        <v>286</v>
      </c>
      <c r="T1137" s="38">
        <f>SUM(T1112:T1136)</f>
        <v>35</v>
      </c>
      <c r="U1137" s="48">
        <f>SUM(U1112:U1136)</f>
        <v>39</v>
      </c>
      <c r="V1137" s="39">
        <f>SUM(V1112:V1136)</f>
        <v>25</v>
      </c>
      <c r="W1137" s="40">
        <f>SUM(W1112:W1136)</f>
        <v>22</v>
      </c>
      <c r="X1137" s="118">
        <f t="shared" si="816"/>
        <v>121</v>
      </c>
      <c r="Y1137" s="119">
        <f t="shared" si="802"/>
        <v>407</v>
      </c>
    </row>
    <row r="1138" spans="1:26" ht="14.25" thickBot="1" x14ac:dyDescent="0.2">
      <c r="A1138" s="22" t="s">
        <v>11</v>
      </c>
      <c r="B1138" s="41">
        <f>B1111-B1137</f>
        <v>3</v>
      </c>
      <c r="C1138" s="49">
        <f>C1111-C1137</f>
        <v>7</v>
      </c>
      <c r="D1138" s="42">
        <f t="shared" ref="D1138:J1138" si="823">D1111-D1137</f>
        <v>10</v>
      </c>
      <c r="E1138" s="43">
        <f t="shared" si="823"/>
        <v>5</v>
      </c>
      <c r="F1138" s="61">
        <f t="shared" si="823"/>
        <v>21</v>
      </c>
      <c r="G1138" s="41">
        <f t="shared" si="823"/>
        <v>7</v>
      </c>
      <c r="H1138" s="49">
        <f t="shared" si="823"/>
        <v>7</v>
      </c>
      <c r="I1138" s="42">
        <f t="shared" si="823"/>
        <v>9</v>
      </c>
      <c r="J1138" s="43">
        <f t="shared" si="823"/>
        <v>10</v>
      </c>
      <c r="K1138" s="61">
        <f>K1111-K1137</f>
        <v>33</v>
      </c>
      <c r="L1138" s="21">
        <f t="shared" si="798"/>
        <v>54</v>
      </c>
      <c r="N1138" s="17" t="s">
        <v>11</v>
      </c>
      <c r="O1138" s="41">
        <f>O1111-O1137</f>
        <v>516</v>
      </c>
      <c r="P1138" s="49">
        <f t="shared" ref="P1138:Q1138" si="824">P1111-P1137</f>
        <v>642</v>
      </c>
      <c r="Q1138" s="42">
        <f t="shared" si="824"/>
        <v>410</v>
      </c>
      <c r="R1138" s="43">
        <f>R1111-R1137</f>
        <v>283</v>
      </c>
      <c r="S1138" s="61">
        <f t="shared" ref="S1138:X1138" si="825">S1111-S1137</f>
        <v>1851</v>
      </c>
      <c r="T1138" s="41">
        <f t="shared" si="825"/>
        <v>457</v>
      </c>
      <c r="U1138" s="49">
        <f t="shared" si="825"/>
        <v>570</v>
      </c>
      <c r="V1138" s="42">
        <f t="shared" si="825"/>
        <v>385</v>
      </c>
      <c r="W1138" s="43">
        <f t="shared" si="825"/>
        <v>277</v>
      </c>
      <c r="X1138" s="61">
        <f t="shared" si="825"/>
        <v>1689</v>
      </c>
      <c r="Y1138" s="21">
        <f t="shared" si="802"/>
        <v>3540</v>
      </c>
    </row>
    <row r="1141" spans="1:26" ht="19.5" thickBot="1" x14ac:dyDescent="0.25">
      <c r="A1141" s="2" t="s">
        <v>106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105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6" ht="14.25" thickBot="1" x14ac:dyDescent="0.2">
      <c r="A1142" s="5" t="s">
        <v>0</v>
      </c>
      <c r="B1142" s="342" t="s">
        <v>18</v>
      </c>
      <c r="C1142" s="350"/>
      <c r="D1142" s="350"/>
      <c r="E1142" s="350"/>
      <c r="F1142" s="351"/>
      <c r="G1142" s="345" t="s">
        <v>12</v>
      </c>
      <c r="H1142" s="352"/>
      <c r="I1142" s="352"/>
      <c r="J1142" s="352"/>
      <c r="K1142" s="353"/>
      <c r="L1142" s="354" t="s">
        <v>1</v>
      </c>
      <c r="N1142" s="5" t="s">
        <v>0</v>
      </c>
      <c r="O1142" s="342" t="s">
        <v>18</v>
      </c>
      <c r="P1142" s="350"/>
      <c r="Q1142" s="350"/>
      <c r="R1142" s="350"/>
      <c r="S1142" s="351"/>
      <c r="T1142" s="345" t="s">
        <v>12</v>
      </c>
      <c r="U1142" s="352"/>
      <c r="V1142" s="352"/>
      <c r="W1142" s="352"/>
      <c r="X1142" s="353"/>
      <c r="Y1142" s="354" t="s">
        <v>1</v>
      </c>
    </row>
    <row r="1143" spans="1:26" ht="14.25" thickBot="1" x14ac:dyDescent="0.2">
      <c r="A1143" s="5" t="s">
        <v>2</v>
      </c>
      <c r="B1143" s="3" t="s">
        <v>13</v>
      </c>
      <c r="C1143" s="44" t="s">
        <v>14</v>
      </c>
      <c r="D1143" s="4" t="s">
        <v>15</v>
      </c>
      <c r="E1143" s="23" t="s">
        <v>16</v>
      </c>
      <c r="F1143" s="31" t="s">
        <v>3</v>
      </c>
      <c r="G1143" s="3" t="s">
        <v>13</v>
      </c>
      <c r="H1143" s="44" t="s">
        <v>14</v>
      </c>
      <c r="I1143" s="4" t="s">
        <v>15</v>
      </c>
      <c r="J1143" s="23" t="s">
        <v>16</v>
      </c>
      <c r="K1143" s="31" t="s">
        <v>3</v>
      </c>
      <c r="L1143" s="355"/>
      <c r="N1143" s="5" t="s">
        <v>2</v>
      </c>
      <c r="O1143" s="3" t="s">
        <v>13</v>
      </c>
      <c r="P1143" s="44" t="s">
        <v>14</v>
      </c>
      <c r="Q1143" s="4" t="s">
        <v>15</v>
      </c>
      <c r="R1143" s="23" t="s">
        <v>16</v>
      </c>
      <c r="S1143" s="31" t="s">
        <v>3</v>
      </c>
      <c r="T1143" s="3" t="s">
        <v>13</v>
      </c>
      <c r="U1143" s="44" t="s">
        <v>14</v>
      </c>
      <c r="V1143" s="4" t="s">
        <v>15</v>
      </c>
      <c r="W1143" s="23" t="s">
        <v>16</v>
      </c>
      <c r="X1143" s="31" t="s">
        <v>3</v>
      </c>
      <c r="Y1143" s="355"/>
    </row>
    <row r="1144" spans="1:26" x14ac:dyDescent="0.15">
      <c r="A1144" s="71" t="s">
        <v>17</v>
      </c>
      <c r="B1144" s="72">
        <f>B1138</f>
        <v>3</v>
      </c>
      <c r="C1144" s="73">
        <f t="shared" ref="C1144:L1144" si="826">C1138</f>
        <v>7</v>
      </c>
      <c r="D1144" s="73">
        <f t="shared" si="826"/>
        <v>10</v>
      </c>
      <c r="E1144" s="74">
        <f t="shared" si="826"/>
        <v>5</v>
      </c>
      <c r="F1144" s="76">
        <f t="shared" si="826"/>
        <v>21</v>
      </c>
      <c r="G1144" s="72">
        <f t="shared" si="826"/>
        <v>7</v>
      </c>
      <c r="H1144" s="73">
        <f t="shared" si="826"/>
        <v>7</v>
      </c>
      <c r="I1144" s="73">
        <f t="shared" si="826"/>
        <v>9</v>
      </c>
      <c r="J1144" s="74">
        <f t="shared" si="826"/>
        <v>10</v>
      </c>
      <c r="K1144" s="75">
        <f t="shared" si="826"/>
        <v>33</v>
      </c>
      <c r="L1144" s="16">
        <f t="shared" si="826"/>
        <v>54</v>
      </c>
      <c r="N1144" s="71" t="s">
        <v>17</v>
      </c>
      <c r="O1144" s="72">
        <f>O1138</f>
        <v>516</v>
      </c>
      <c r="P1144" s="73">
        <f t="shared" ref="P1144:Y1144" si="827">P1138</f>
        <v>642</v>
      </c>
      <c r="Q1144" s="73">
        <f t="shared" si="827"/>
        <v>410</v>
      </c>
      <c r="R1144" s="74">
        <f t="shared" si="827"/>
        <v>283</v>
      </c>
      <c r="S1144" s="76">
        <f t="shared" si="827"/>
        <v>1851</v>
      </c>
      <c r="T1144" s="72">
        <f t="shared" si="827"/>
        <v>457</v>
      </c>
      <c r="U1144" s="73">
        <f t="shared" si="827"/>
        <v>570</v>
      </c>
      <c r="V1144" s="73">
        <f t="shared" si="827"/>
        <v>385</v>
      </c>
      <c r="W1144" s="74">
        <f t="shared" si="827"/>
        <v>277</v>
      </c>
      <c r="X1144" s="75">
        <f t="shared" si="827"/>
        <v>1689</v>
      </c>
      <c r="Y1144" s="16">
        <f t="shared" si="827"/>
        <v>3540</v>
      </c>
    </row>
    <row r="1145" spans="1:26" x14ac:dyDescent="0.15">
      <c r="A1145" s="13" t="s">
        <v>5</v>
      </c>
      <c r="B1145" s="26">
        <v>3</v>
      </c>
      <c r="C1145" s="47"/>
      <c r="D1145" s="27"/>
      <c r="E1145" s="50"/>
      <c r="F1145" s="9">
        <f>SUM(B1145:E1145)</f>
        <v>3</v>
      </c>
      <c r="G1145" s="47"/>
      <c r="H1145" s="47"/>
      <c r="I1145" s="27"/>
      <c r="J1145" s="50"/>
      <c r="K1145" s="9">
        <f>SUM(G1145:J1145)</f>
        <v>0</v>
      </c>
      <c r="L1145" s="11">
        <f t="shared" ref="L1145:L1176" si="828">F1145+K1145</f>
        <v>3</v>
      </c>
      <c r="M1145" s="99">
        <v>45260</v>
      </c>
      <c r="N1145" s="13" t="s">
        <v>34</v>
      </c>
      <c r="O1145" s="26">
        <v>8</v>
      </c>
      <c r="P1145" s="47">
        <v>11</v>
      </c>
      <c r="Q1145" s="27">
        <v>10</v>
      </c>
      <c r="R1145" s="34"/>
      <c r="S1145" s="77">
        <f>SUM(O1145:R1145)</f>
        <v>29</v>
      </c>
      <c r="T1145" s="26">
        <v>6</v>
      </c>
      <c r="U1145" s="47">
        <v>5</v>
      </c>
      <c r="V1145" s="27"/>
      <c r="W1145" s="34">
        <v>4</v>
      </c>
      <c r="X1145" s="9">
        <f>SUM(T1145:W1145)</f>
        <v>15</v>
      </c>
      <c r="Y1145" s="11">
        <f t="shared" ref="Y1145:Y1150" si="829">S1145+X1145</f>
        <v>44</v>
      </c>
      <c r="Z1145" s="126">
        <v>45262</v>
      </c>
    </row>
    <row r="1146" spans="1:26" x14ac:dyDescent="0.15">
      <c r="A1146" s="13" t="s">
        <v>49</v>
      </c>
      <c r="B1146" s="26">
        <v>8</v>
      </c>
      <c r="C1146" s="47">
        <v>9</v>
      </c>
      <c r="D1146" s="27">
        <v>6</v>
      </c>
      <c r="E1146" s="50">
        <v>3</v>
      </c>
      <c r="F1146" s="9">
        <f>SUM(B1146:E1146)</f>
        <v>26</v>
      </c>
      <c r="G1146" s="47">
        <f>7+1</f>
        <v>8</v>
      </c>
      <c r="H1146" s="47">
        <v>3</v>
      </c>
      <c r="I1146" s="27">
        <v>1</v>
      </c>
      <c r="J1146" s="50">
        <v>1</v>
      </c>
      <c r="K1146" s="9">
        <f>SUM(G1146:J1146)</f>
        <v>13</v>
      </c>
      <c r="L1146" s="11">
        <f t="shared" si="828"/>
        <v>39</v>
      </c>
      <c r="M1146" s="126">
        <v>45260</v>
      </c>
      <c r="N1146" s="13" t="s">
        <v>34</v>
      </c>
      <c r="O1146" s="26"/>
      <c r="P1146" s="47">
        <v>7</v>
      </c>
      <c r="Q1146" s="27">
        <v>4</v>
      </c>
      <c r="R1146" s="34">
        <v>5</v>
      </c>
      <c r="S1146" s="77">
        <f t="shared" ref="S1146" si="830">SUM(O1146:R1146)</f>
        <v>16</v>
      </c>
      <c r="T1146" s="26"/>
      <c r="U1146" s="47"/>
      <c r="V1146" s="27">
        <v>5</v>
      </c>
      <c r="W1146" s="34"/>
      <c r="X1146" s="9">
        <f t="shared" ref="X1146" si="831">SUM(T1146:W1146)</f>
        <v>5</v>
      </c>
      <c r="Y1146" s="11">
        <f t="shared" si="829"/>
        <v>21</v>
      </c>
      <c r="Z1146" s="126">
        <v>45276</v>
      </c>
    </row>
    <row r="1147" spans="1:26" x14ac:dyDescent="0.15">
      <c r="A1147" s="13" t="s">
        <v>7</v>
      </c>
      <c r="B1147" s="26"/>
      <c r="C1147" s="47"/>
      <c r="D1147" s="27"/>
      <c r="E1147" s="50"/>
      <c r="F1147" s="9">
        <f>SUM(B1147:E1147)</f>
        <v>0</v>
      </c>
      <c r="G1147" s="47"/>
      <c r="H1147" s="47">
        <v>3</v>
      </c>
      <c r="I1147" s="27"/>
      <c r="J1147" s="50"/>
      <c r="K1147" s="9">
        <f>SUM(G1147:J1147)</f>
        <v>3</v>
      </c>
      <c r="L1147" s="108">
        <f t="shared" ref="L1147" si="832">F1147+K1147</f>
        <v>3</v>
      </c>
      <c r="M1147" s="99">
        <v>45271</v>
      </c>
      <c r="N1147" s="13" t="s">
        <v>7</v>
      </c>
      <c r="O1147" s="26"/>
      <c r="P1147" s="47"/>
      <c r="Q1147" s="27"/>
      <c r="R1147" s="34"/>
      <c r="S1147" s="77">
        <f t="shared" ref="S1147:S1148" si="833">SUM(O1147:R1147)</f>
        <v>0</v>
      </c>
      <c r="T1147" s="26"/>
      <c r="U1147" s="47"/>
      <c r="V1147" s="27"/>
      <c r="W1147" s="34"/>
      <c r="X1147" s="9">
        <f t="shared" ref="X1147:X1148" si="834">SUM(T1147:W1147)</f>
        <v>0</v>
      </c>
      <c r="Y1147" s="11">
        <f t="shared" si="829"/>
        <v>0</v>
      </c>
    </row>
    <row r="1148" spans="1:26" ht="14.25" thickBot="1" x14ac:dyDescent="0.2">
      <c r="A1148" s="79" t="s">
        <v>49</v>
      </c>
      <c r="B1148" s="66">
        <v>3</v>
      </c>
      <c r="C1148" s="67">
        <v>9</v>
      </c>
      <c r="D1148" s="68">
        <v>5</v>
      </c>
      <c r="E1148" s="94">
        <v>2</v>
      </c>
      <c r="F1148" s="118">
        <f>SUM(B1148:E1148)</f>
        <v>19</v>
      </c>
      <c r="G1148" s="67">
        <v>2</v>
      </c>
      <c r="H1148" s="67">
        <v>1</v>
      </c>
      <c r="I1148" s="68"/>
      <c r="J1148" s="94"/>
      <c r="K1148" s="118">
        <f>SUM(G1148:J1148)</f>
        <v>3</v>
      </c>
      <c r="L1148" s="14">
        <f t="shared" si="828"/>
        <v>22</v>
      </c>
      <c r="M1148" s="99">
        <v>45274</v>
      </c>
      <c r="N1148" s="13" t="s">
        <v>8</v>
      </c>
      <c r="O1148" s="26"/>
      <c r="P1148" s="47"/>
      <c r="Q1148" s="27"/>
      <c r="R1148" s="34"/>
      <c r="S1148" s="77">
        <f t="shared" si="833"/>
        <v>0</v>
      </c>
      <c r="T1148" s="26"/>
      <c r="U1148" s="47"/>
      <c r="V1148" s="27"/>
      <c r="W1148" s="34"/>
      <c r="X1148" s="9">
        <f t="shared" si="834"/>
        <v>0</v>
      </c>
      <c r="Y1148" s="11">
        <f t="shared" si="829"/>
        <v>0</v>
      </c>
    </row>
    <row r="1149" spans="1:26" ht="14.25" thickBot="1" x14ac:dyDescent="0.2">
      <c r="A1149" s="22" t="s">
        <v>9</v>
      </c>
      <c r="B1149" s="51">
        <f t="shared" ref="B1149:K1149" si="835">SUM(B1144:B1148)</f>
        <v>17</v>
      </c>
      <c r="C1149" s="52">
        <f t="shared" si="835"/>
        <v>25</v>
      </c>
      <c r="D1149" s="53">
        <f t="shared" si="835"/>
        <v>21</v>
      </c>
      <c r="E1149" s="54">
        <f t="shared" si="835"/>
        <v>10</v>
      </c>
      <c r="F1149" s="28">
        <f t="shared" si="835"/>
        <v>69</v>
      </c>
      <c r="G1149" s="51">
        <f t="shared" si="835"/>
        <v>17</v>
      </c>
      <c r="H1149" s="52">
        <f t="shared" si="835"/>
        <v>14</v>
      </c>
      <c r="I1149" s="53">
        <f t="shared" si="835"/>
        <v>10</v>
      </c>
      <c r="J1149" s="54">
        <f t="shared" si="835"/>
        <v>11</v>
      </c>
      <c r="K1149" s="28">
        <f t="shared" si="835"/>
        <v>52</v>
      </c>
      <c r="L1149" s="21">
        <f t="shared" si="828"/>
        <v>121</v>
      </c>
      <c r="N1149" s="17" t="s">
        <v>9</v>
      </c>
      <c r="O1149" s="41">
        <f>SUM(O1144:O1148)</f>
        <v>524</v>
      </c>
      <c r="P1149" s="49">
        <f t="shared" ref="P1149:V1149" si="836">SUM(P1144:P1148)</f>
        <v>660</v>
      </c>
      <c r="Q1149" s="42">
        <f t="shared" si="836"/>
        <v>424</v>
      </c>
      <c r="R1149" s="92">
        <f t="shared" si="836"/>
        <v>288</v>
      </c>
      <c r="S1149" s="93">
        <f t="shared" si="836"/>
        <v>1896</v>
      </c>
      <c r="T1149" s="41">
        <f t="shared" si="836"/>
        <v>463</v>
      </c>
      <c r="U1149" s="49">
        <f t="shared" si="836"/>
        <v>575</v>
      </c>
      <c r="V1149" s="42">
        <f t="shared" si="836"/>
        <v>390</v>
      </c>
      <c r="W1149" s="92">
        <f>SUM(W1144:W1148)</f>
        <v>281</v>
      </c>
      <c r="X1149" s="93">
        <f t="shared" ref="X1149" si="837">SUM(X1144:X1148)</f>
        <v>1709</v>
      </c>
      <c r="Y1149" s="56">
        <f t="shared" si="829"/>
        <v>3605</v>
      </c>
    </row>
    <row r="1150" spans="1:26" x14ac:dyDescent="0.15">
      <c r="A1150" s="79" t="s">
        <v>940</v>
      </c>
      <c r="B1150" s="24">
        <v>8</v>
      </c>
      <c r="C1150" s="46">
        <v>11</v>
      </c>
      <c r="D1150" s="25">
        <v>10</v>
      </c>
      <c r="E1150" s="33"/>
      <c r="F1150" s="35">
        <f>SUM(B1150:E1150)</f>
        <v>29</v>
      </c>
      <c r="G1150" s="24">
        <v>6</v>
      </c>
      <c r="H1150" s="46">
        <v>5</v>
      </c>
      <c r="I1150" s="25"/>
      <c r="J1150" s="33">
        <v>4</v>
      </c>
      <c r="K1150" s="35">
        <f>SUM(G1150:J1150)</f>
        <v>15</v>
      </c>
      <c r="L1150" s="11">
        <f t="shared" si="828"/>
        <v>44</v>
      </c>
      <c r="M1150" s="126">
        <v>45262</v>
      </c>
      <c r="N1150" s="15" t="s">
        <v>937</v>
      </c>
      <c r="O1150" s="26">
        <v>3</v>
      </c>
      <c r="P1150" s="47">
        <v>2</v>
      </c>
      <c r="Q1150" s="27">
        <v>2</v>
      </c>
      <c r="R1150" s="34">
        <v>1</v>
      </c>
      <c r="S1150" s="35">
        <f t="shared" ref="S1150" si="838">SUM(O1150:R1150)</f>
        <v>8</v>
      </c>
      <c r="T1150" s="26"/>
      <c r="U1150" s="47">
        <v>4</v>
      </c>
      <c r="V1150" s="27">
        <v>1</v>
      </c>
      <c r="W1150" s="34">
        <v>1</v>
      </c>
      <c r="X1150" s="35">
        <f t="shared" ref="X1150" si="839">SUM(T1150:W1150)</f>
        <v>6</v>
      </c>
      <c r="Y1150" s="11">
        <f t="shared" si="829"/>
        <v>14</v>
      </c>
      <c r="Z1150" s="99">
        <v>45260</v>
      </c>
    </row>
    <row r="1151" spans="1:26" x14ac:dyDescent="0.15">
      <c r="A1151" s="79" t="s">
        <v>944</v>
      </c>
      <c r="B1151" s="26">
        <v>1</v>
      </c>
      <c r="C1151" s="47"/>
      <c r="D1151" s="27"/>
      <c r="E1151" s="34"/>
      <c r="F1151" s="35">
        <f>SUM(B1151:E1151)</f>
        <v>1</v>
      </c>
      <c r="G1151" s="26">
        <v>1</v>
      </c>
      <c r="H1151" s="47"/>
      <c r="I1151" s="27"/>
      <c r="J1151" s="34"/>
      <c r="K1151" s="35">
        <f>SUM(G1151:J1151)</f>
        <v>1</v>
      </c>
      <c r="L1151" s="11">
        <f t="shared" si="828"/>
        <v>2</v>
      </c>
      <c r="M1151" s="126">
        <v>45267</v>
      </c>
      <c r="N1151" s="15" t="s">
        <v>938</v>
      </c>
      <c r="O1151" s="26"/>
      <c r="P1151" s="47">
        <v>1</v>
      </c>
      <c r="Q1151" s="27">
        <v>1</v>
      </c>
      <c r="R1151" s="34">
        <v>2</v>
      </c>
      <c r="S1151" s="35">
        <f t="shared" ref="S1151:S1152" si="840">SUM(O1151:R1151)</f>
        <v>4</v>
      </c>
      <c r="T1151" s="26"/>
      <c r="U1151" s="47"/>
      <c r="V1151" s="27">
        <v>1</v>
      </c>
      <c r="W1151" s="34"/>
      <c r="X1151" s="35">
        <f t="shared" ref="X1151:X1152" si="841">SUM(T1151:W1151)</f>
        <v>1</v>
      </c>
      <c r="Y1151" s="11">
        <f t="shared" ref="Y1151:Y1176" si="842">S1151+X1151</f>
        <v>5</v>
      </c>
      <c r="Z1151" s="99">
        <v>45261</v>
      </c>
    </row>
    <row r="1152" spans="1:26" x14ac:dyDescent="0.15">
      <c r="A1152" s="12" t="s">
        <v>41</v>
      </c>
      <c r="B1152" s="26"/>
      <c r="C1152" s="47">
        <v>1</v>
      </c>
      <c r="D1152" s="27">
        <v>1</v>
      </c>
      <c r="E1152" s="34"/>
      <c r="F1152" s="35">
        <f t="shared" ref="F1152:F1174" si="843">SUM(B1152:E1152)</f>
        <v>2</v>
      </c>
      <c r="G1152" s="26"/>
      <c r="H1152" s="47"/>
      <c r="I1152" s="27"/>
      <c r="J1152" s="34"/>
      <c r="K1152" s="35">
        <f t="shared" ref="K1152:K1174" si="844">SUM(G1152:J1152)</f>
        <v>0</v>
      </c>
      <c r="L1152" s="11">
        <f t="shared" si="828"/>
        <v>2</v>
      </c>
      <c r="M1152" s="126">
        <v>45265</v>
      </c>
      <c r="N1152" s="90" t="s">
        <v>942</v>
      </c>
      <c r="O1152" s="26"/>
      <c r="P1152" s="47"/>
      <c r="Q1152" s="27">
        <v>7</v>
      </c>
      <c r="R1152" s="34"/>
      <c r="S1152" s="35">
        <f t="shared" si="840"/>
        <v>7</v>
      </c>
      <c r="T1152" s="26"/>
      <c r="U1152" s="47"/>
      <c r="V1152" s="27"/>
      <c r="W1152" s="34"/>
      <c r="X1152" s="35">
        <f t="shared" si="841"/>
        <v>0</v>
      </c>
      <c r="Y1152" s="11">
        <f t="shared" si="842"/>
        <v>7</v>
      </c>
      <c r="Z1152" s="99">
        <v>45266</v>
      </c>
    </row>
    <row r="1153" spans="1:29" x14ac:dyDescent="0.15">
      <c r="A1153" s="12" t="s">
        <v>41</v>
      </c>
      <c r="B1153" s="66"/>
      <c r="C1153" s="67"/>
      <c r="D1153" s="68"/>
      <c r="E1153" s="69"/>
      <c r="F1153" s="70">
        <f t="shared" si="843"/>
        <v>0</v>
      </c>
      <c r="G1153" s="66">
        <v>1</v>
      </c>
      <c r="H1153" s="67">
        <v>2</v>
      </c>
      <c r="I1153" s="68"/>
      <c r="J1153" s="69"/>
      <c r="K1153" s="70">
        <f t="shared" si="844"/>
        <v>3</v>
      </c>
      <c r="L1153" s="11">
        <f t="shared" si="828"/>
        <v>3</v>
      </c>
      <c r="M1153" s="126">
        <v>45266</v>
      </c>
      <c r="N1153" s="57" t="s">
        <v>34</v>
      </c>
      <c r="O1153" s="66">
        <v>3</v>
      </c>
      <c r="P1153" s="67"/>
      <c r="Q1153" s="68"/>
      <c r="R1153" s="94"/>
      <c r="S1153" s="91">
        <f>SUM(O1153:R1153)</f>
        <v>3</v>
      </c>
      <c r="T1153" s="67"/>
      <c r="U1153" s="67"/>
      <c r="V1153" s="68"/>
      <c r="W1153" s="94"/>
      <c r="X1153" s="91">
        <f>SUM(T1153:W1153)</f>
        <v>0</v>
      </c>
      <c r="Y1153" s="11">
        <f t="shared" si="842"/>
        <v>3</v>
      </c>
      <c r="Z1153" s="99">
        <v>45260</v>
      </c>
    </row>
    <row r="1154" spans="1:29" x14ac:dyDescent="0.15">
      <c r="A1154" s="12" t="s">
        <v>41</v>
      </c>
      <c r="B1154" s="26"/>
      <c r="C1154" s="47"/>
      <c r="D1154" s="27"/>
      <c r="E1154" s="34"/>
      <c r="F1154" s="35">
        <f t="shared" si="843"/>
        <v>0</v>
      </c>
      <c r="G1154" s="26"/>
      <c r="H1154" s="47"/>
      <c r="I1154" s="27">
        <v>1</v>
      </c>
      <c r="J1154" s="34"/>
      <c r="K1154" s="35">
        <f t="shared" si="844"/>
        <v>1</v>
      </c>
      <c r="L1154" s="11">
        <f t="shared" si="828"/>
        <v>1</v>
      </c>
      <c r="M1154" s="126">
        <v>45267</v>
      </c>
      <c r="N1154" s="15" t="s">
        <v>939</v>
      </c>
      <c r="O1154" s="26">
        <v>3</v>
      </c>
      <c r="P1154" s="47">
        <v>2</v>
      </c>
      <c r="Q1154" s="27">
        <v>2</v>
      </c>
      <c r="R1154" s="34">
        <v>1</v>
      </c>
      <c r="S1154" s="35">
        <f t="shared" ref="S1154:S1156" si="845">SUM(O1154:R1154)</f>
        <v>8</v>
      </c>
      <c r="T1154" s="26">
        <v>2</v>
      </c>
      <c r="U1154" s="47">
        <v>2</v>
      </c>
      <c r="V1154" s="27">
        <v>1</v>
      </c>
      <c r="W1154" s="34"/>
      <c r="X1154" s="35">
        <f t="shared" ref="X1154:X1156" si="846">SUM(T1154:W1154)</f>
        <v>5</v>
      </c>
      <c r="Y1154" s="11">
        <f t="shared" si="842"/>
        <v>13</v>
      </c>
      <c r="Z1154" s="99">
        <v>45264</v>
      </c>
    </row>
    <row r="1155" spans="1:29" x14ac:dyDescent="0.15">
      <c r="A1155" s="12" t="s">
        <v>41</v>
      </c>
      <c r="B1155" s="26">
        <v>1</v>
      </c>
      <c r="C1155" s="47">
        <v>1</v>
      </c>
      <c r="D1155" s="27"/>
      <c r="E1155" s="34"/>
      <c r="F1155" s="35">
        <f t="shared" si="843"/>
        <v>2</v>
      </c>
      <c r="G1155" s="26">
        <v>1</v>
      </c>
      <c r="H1155" s="47"/>
      <c r="I1155" s="27"/>
      <c r="J1155" s="34">
        <v>1</v>
      </c>
      <c r="K1155" s="35">
        <f t="shared" si="844"/>
        <v>2</v>
      </c>
      <c r="L1155" s="11">
        <f t="shared" si="828"/>
        <v>4</v>
      </c>
      <c r="M1155" s="99">
        <v>45271</v>
      </c>
      <c r="N1155" s="15" t="s">
        <v>941</v>
      </c>
      <c r="O1155" s="26">
        <v>3</v>
      </c>
      <c r="P1155" s="47">
        <v>4</v>
      </c>
      <c r="Q1155" s="27">
        <v>2</v>
      </c>
      <c r="R1155" s="34">
        <v>1</v>
      </c>
      <c r="S1155" s="35">
        <f t="shared" si="845"/>
        <v>10</v>
      </c>
      <c r="T1155" s="26">
        <v>2</v>
      </c>
      <c r="U1155" s="47">
        <v>2</v>
      </c>
      <c r="V1155" s="27">
        <v>1</v>
      </c>
      <c r="W1155" s="34"/>
      <c r="X1155" s="35">
        <f t="shared" si="846"/>
        <v>5</v>
      </c>
      <c r="Y1155" s="11">
        <f t="shared" si="842"/>
        <v>15</v>
      </c>
      <c r="Z1155" s="99">
        <v>45266</v>
      </c>
    </row>
    <row r="1156" spans="1:29" x14ac:dyDescent="0.15">
      <c r="A1156" s="15" t="s">
        <v>953</v>
      </c>
      <c r="B1156" s="26"/>
      <c r="C1156" s="47"/>
      <c r="D1156" s="27"/>
      <c r="E1156" s="34"/>
      <c r="F1156" s="35">
        <f t="shared" si="843"/>
        <v>0</v>
      </c>
      <c r="G1156" s="26"/>
      <c r="H1156" s="47"/>
      <c r="I1156" s="27"/>
      <c r="J1156" s="34">
        <v>1</v>
      </c>
      <c r="K1156" s="35">
        <f t="shared" si="844"/>
        <v>1</v>
      </c>
      <c r="L1156" s="11">
        <f t="shared" si="828"/>
        <v>1</v>
      </c>
      <c r="M1156" s="99">
        <v>45275</v>
      </c>
      <c r="N1156" s="15" t="s">
        <v>943</v>
      </c>
      <c r="O1156" s="26"/>
      <c r="P1156" s="47">
        <v>4</v>
      </c>
      <c r="Q1156" s="27"/>
      <c r="R1156" s="34">
        <v>3</v>
      </c>
      <c r="S1156" s="35">
        <f t="shared" si="845"/>
        <v>7</v>
      </c>
      <c r="T1156" s="26"/>
      <c r="U1156" s="47"/>
      <c r="V1156" s="27">
        <v>3</v>
      </c>
      <c r="W1156" s="34">
        <v>1</v>
      </c>
      <c r="X1156" s="35">
        <f t="shared" si="846"/>
        <v>4</v>
      </c>
      <c r="Y1156" s="11">
        <f t="shared" si="842"/>
        <v>11</v>
      </c>
      <c r="Z1156" s="99">
        <v>45267</v>
      </c>
    </row>
    <row r="1157" spans="1:29" x14ac:dyDescent="0.15">
      <c r="A1157" s="32" t="s">
        <v>955</v>
      </c>
      <c r="B1157" s="26"/>
      <c r="C1157" s="47"/>
      <c r="D1157" s="27">
        <v>-1</v>
      </c>
      <c r="E1157" s="34"/>
      <c r="F1157" s="35">
        <f t="shared" si="843"/>
        <v>-1</v>
      </c>
      <c r="G1157" s="26"/>
      <c r="H1157" s="47">
        <v>-1</v>
      </c>
      <c r="I1157" s="27">
        <v>-1</v>
      </c>
      <c r="J1157" s="34">
        <v>-1</v>
      </c>
      <c r="K1157" s="35">
        <f t="shared" si="844"/>
        <v>-3</v>
      </c>
      <c r="L1157" s="11">
        <f t="shared" si="828"/>
        <v>-4</v>
      </c>
      <c r="M1157" s="126">
        <v>45273</v>
      </c>
      <c r="N1157" s="15" t="s">
        <v>945</v>
      </c>
      <c r="O1157" s="26"/>
      <c r="P1157" s="47">
        <v>1</v>
      </c>
      <c r="Q1157" s="27"/>
      <c r="R1157" s="50">
        <v>1</v>
      </c>
      <c r="S1157" s="9">
        <f>SUM(O1157:R1157)</f>
        <v>2</v>
      </c>
      <c r="T1157" s="47"/>
      <c r="U1157" s="47"/>
      <c r="V1157" s="27">
        <v>1</v>
      </c>
      <c r="W1157" s="50"/>
      <c r="X1157" s="9">
        <f>SUM(T1157:W1157)</f>
        <v>1</v>
      </c>
      <c r="Y1157" s="11">
        <f t="shared" si="842"/>
        <v>3</v>
      </c>
      <c r="Z1157" s="99">
        <v>45268</v>
      </c>
      <c r="AA1157" s="58"/>
    </row>
    <row r="1158" spans="1:29" x14ac:dyDescent="0.15">
      <c r="A1158" s="32" t="s">
        <v>957</v>
      </c>
      <c r="B1158" s="26"/>
      <c r="C1158" s="47">
        <v>-1</v>
      </c>
      <c r="D1158" s="27"/>
      <c r="E1158" s="34"/>
      <c r="F1158" s="35">
        <f t="shared" ref="F1158:F1159" si="847">SUM(B1158:E1158)</f>
        <v>-1</v>
      </c>
      <c r="G1158" s="26">
        <v>-1</v>
      </c>
      <c r="H1158" s="47">
        <v>-1</v>
      </c>
      <c r="I1158" s="27"/>
      <c r="J1158" s="34"/>
      <c r="K1158" s="35">
        <f t="shared" ref="K1158:K1159" si="848">SUM(G1158:J1158)</f>
        <v>-2</v>
      </c>
      <c r="L1158" s="11">
        <f t="shared" ref="L1158:L1159" si="849">F1158+K1158</f>
        <v>-3</v>
      </c>
      <c r="M1158" s="126">
        <v>45274</v>
      </c>
      <c r="N1158" s="15" t="s">
        <v>947</v>
      </c>
      <c r="O1158" s="26">
        <v>6</v>
      </c>
      <c r="P1158" s="47">
        <v>1</v>
      </c>
      <c r="Q1158" s="27">
        <v>3</v>
      </c>
      <c r="R1158" s="34"/>
      <c r="S1158" s="35">
        <f t="shared" ref="S1158" si="850">SUM(O1158:R1158)</f>
        <v>10</v>
      </c>
      <c r="T1158" s="26"/>
      <c r="U1158" s="47">
        <v>2</v>
      </c>
      <c r="V1158" s="27">
        <v>1</v>
      </c>
      <c r="W1158" s="34"/>
      <c r="X1158" s="35">
        <f t="shared" ref="X1158" si="851">SUM(T1158:W1158)</f>
        <v>3</v>
      </c>
      <c r="Y1158" s="11">
        <f t="shared" ref="Y1158" si="852">S1158+X1158</f>
        <v>13</v>
      </c>
      <c r="Z1158" s="99">
        <v>45268</v>
      </c>
      <c r="AA1158" s="58"/>
    </row>
    <row r="1159" spans="1:29" x14ac:dyDescent="0.15">
      <c r="A1159" s="12" t="s">
        <v>41</v>
      </c>
      <c r="B1159" s="26"/>
      <c r="C1159" s="47"/>
      <c r="D1159" s="27"/>
      <c r="E1159" s="34"/>
      <c r="F1159" s="35">
        <f t="shared" si="847"/>
        <v>0</v>
      </c>
      <c r="G1159" s="26"/>
      <c r="H1159" s="47"/>
      <c r="I1159" s="27">
        <v>1</v>
      </c>
      <c r="J1159" s="34"/>
      <c r="K1159" s="35">
        <f t="shared" si="848"/>
        <v>1</v>
      </c>
      <c r="L1159" s="11">
        <f t="shared" si="849"/>
        <v>1</v>
      </c>
      <c r="M1159" s="126">
        <v>45275</v>
      </c>
      <c r="N1159" s="15" t="s">
        <v>948</v>
      </c>
      <c r="O1159" s="26"/>
      <c r="P1159" s="47">
        <v>2</v>
      </c>
      <c r="Q1159" s="27">
        <v>2</v>
      </c>
      <c r="R1159" s="34"/>
      <c r="S1159" s="35">
        <f t="shared" ref="S1159:S1175" si="853">SUM(O1159:R1159)</f>
        <v>4</v>
      </c>
      <c r="T1159" s="26">
        <v>1</v>
      </c>
      <c r="U1159" s="47">
        <v>1</v>
      </c>
      <c r="V1159" s="27"/>
      <c r="W1159" s="34"/>
      <c r="X1159" s="35">
        <f t="shared" ref="X1159:X1175" si="854">SUM(T1159:W1159)</f>
        <v>2</v>
      </c>
      <c r="Y1159" s="11">
        <f t="shared" si="842"/>
        <v>6</v>
      </c>
      <c r="Z1159" s="99">
        <v>45271</v>
      </c>
      <c r="AA1159" s="58"/>
    </row>
    <row r="1160" spans="1:29" x14ac:dyDescent="0.15">
      <c r="A1160" s="79" t="s">
        <v>304</v>
      </c>
      <c r="B1160" s="26"/>
      <c r="C1160" s="47">
        <v>7</v>
      </c>
      <c r="D1160" s="27">
        <v>4</v>
      </c>
      <c r="E1160" s="34">
        <v>5</v>
      </c>
      <c r="F1160" s="35">
        <f t="shared" si="843"/>
        <v>16</v>
      </c>
      <c r="G1160" s="26"/>
      <c r="H1160" s="47"/>
      <c r="I1160" s="27">
        <v>5</v>
      </c>
      <c r="J1160" s="34"/>
      <c r="K1160" s="35">
        <f t="shared" si="844"/>
        <v>5</v>
      </c>
      <c r="L1160" s="11">
        <f t="shared" si="828"/>
        <v>21</v>
      </c>
      <c r="M1160" s="126">
        <v>45276</v>
      </c>
      <c r="N1160" s="57" t="s">
        <v>34</v>
      </c>
      <c r="O1160" s="26"/>
      <c r="P1160" s="47"/>
      <c r="Q1160" s="27"/>
      <c r="R1160" s="34"/>
      <c r="S1160" s="35">
        <f>SUM(O1160:R1160)</f>
        <v>0</v>
      </c>
      <c r="T1160" s="26"/>
      <c r="U1160" s="47">
        <v>3</v>
      </c>
      <c r="V1160" s="27"/>
      <c r="W1160" s="34"/>
      <c r="X1160" s="35">
        <f>SUM(T1160:W1160)</f>
        <v>3</v>
      </c>
      <c r="Y1160" s="11">
        <f t="shared" si="842"/>
        <v>3</v>
      </c>
      <c r="Z1160" s="99">
        <v>45271</v>
      </c>
      <c r="AA1160" s="58"/>
    </row>
    <row r="1161" spans="1:29" x14ac:dyDescent="0.15">
      <c r="A1161" s="12" t="s">
        <v>41</v>
      </c>
      <c r="B1161" s="26">
        <v>1</v>
      </c>
      <c r="C1161" s="47">
        <v>1</v>
      </c>
      <c r="D1161" s="27"/>
      <c r="E1161" s="34"/>
      <c r="F1161" s="35">
        <f t="shared" si="843"/>
        <v>2</v>
      </c>
      <c r="G1161" s="26">
        <v>1</v>
      </c>
      <c r="H1161" s="47">
        <v>1</v>
      </c>
      <c r="I1161" s="27"/>
      <c r="J1161" s="34"/>
      <c r="K1161" s="35">
        <f t="shared" si="844"/>
        <v>2</v>
      </c>
      <c r="L1161" s="11">
        <f t="shared" si="828"/>
        <v>4</v>
      </c>
      <c r="M1161" s="126">
        <v>45276</v>
      </c>
      <c r="N1161" s="15" t="s">
        <v>949</v>
      </c>
      <c r="O1161" s="26"/>
      <c r="P1161" s="47">
        <v>1</v>
      </c>
      <c r="Q1161" s="27">
        <v>2</v>
      </c>
      <c r="R1161" s="34">
        <v>2</v>
      </c>
      <c r="S1161" s="35">
        <f t="shared" si="853"/>
        <v>5</v>
      </c>
      <c r="T1161" s="26"/>
      <c r="U1161" s="47">
        <v>5</v>
      </c>
      <c r="V1161" s="27">
        <v>2</v>
      </c>
      <c r="W1161" s="34"/>
      <c r="X1161" s="35">
        <f t="shared" si="854"/>
        <v>7</v>
      </c>
      <c r="Y1161" s="11">
        <f t="shared" si="842"/>
        <v>12</v>
      </c>
      <c r="Z1161" s="99">
        <v>45273</v>
      </c>
    </row>
    <row r="1162" spans="1:29" x14ac:dyDescent="0.15">
      <c r="A1162" s="12" t="s">
        <v>41</v>
      </c>
      <c r="B1162" s="26"/>
      <c r="C1162" s="47"/>
      <c r="D1162" s="27"/>
      <c r="E1162" s="34"/>
      <c r="F1162" s="35">
        <f t="shared" si="843"/>
        <v>0</v>
      </c>
      <c r="G1162" s="26">
        <v>1</v>
      </c>
      <c r="H1162" s="47"/>
      <c r="I1162" s="27"/>
      <c r="J1162" s="34"/>
      <c r="K1162" s="35">
        <f t="shared" si="844"/>
        <v>1</v>
      </c>
      <c r="L1162" s="11">
        <f t="shared" si="828"/>
        <v>1</v>
      </c>
      <c r="M1162" s="126">
        <v>45278</v>
      </c>
      <c r="N1162" s="15" t="s">
        <v>950</v>
      </c>
      <c r="O1162" s="26">
        <v>1</v>
      </c>
      <c r="P1162" s="47">
        <v>2</v>
      </c>
      <c r="Q1162" s="27">
        <v>1</v>
      </c>
      <c r="R1162" s="34">
        <v>1</v>
      </c>
      <c r="S1162" s="35">
        <f t="shared" si="853"/>
        <v>5</v>
      </c>
      <c r="T1162" s="26">
        <v>2</v>
      </c>
      <c r="U1162" s="47"/>
      <c r="V1162" s="27">
        <v>3</v>
      </c>
      <c r="W1162" s="34"/>
      <c r="X1162" s="35">
        <f t="shared" si="854"/>
        <v>5</v>
      </c>
      <c r="Y1162" s="11">
        <f t="shared" si="842"/>
        <v>10</v>
      </c>
      <c r="Z1162" s="99">
        <v>45274</v>
      </c>
    </row>
    <row r="1163" spans="1:29" x14ac:dyDescent="0.15">
      <c r="A1163" s="12" t="s">
        <v>41</v>
      </c>
      <c r="B1163" s="26"/>
      <c r="C1163" s="47">
        <v>1</v>
      </c>
      <c r="D1163" s="27"/>
      <c r="E1163" s="34"/>
      <c r="F1163" s="35">
        <f t="shared" si="843"/>
        <v>1</v>
      </c>
      <c r="G1163" s="26"/>
      <c r="H1163" s="47"/>
      <c r="I1163" s="27"/>
      <c r="J1163" s="34"/>
      <c r="K1163" s="35">
        <f t="shared" si="844"/>
        <v>0</v>
      </c>
      <c r="L1163" s="11">
        <f t="shared" si="828"/>
        <v>1</v>
      </c>
      <c r="M1163" s="126">
        <v>45279</v>
      </c>
      <c r="N1163" s="15" t="s">
        <v>954</v>
      </c>
      <c r="O1163" s="26"/>
      <c r="P1163" s="47">
        <v>6</v>
      </c>
      <c r="Q1163" s="27">
        <v>2</v>
      </c>
      <c r="R1163" s="34">
        <v>5</v>
      </c>
      <c r="S1163" s="35">
        <f t="shared" si="853"/>
        <v>13</v>
      </c>
      <c r="T1163" s="26"/>
      <c r="U1163" s="47"/>
      <c r="V1163" s="27">
        <v>2</v>
      </c>
      <c r="W1163" s="34">
        <v>3</v>
      </c>
      <c r="X1163" s="35">
        <f t="shared" si="854"/>
        <v>5</v>
      </c>
      <c r="Y1163" s="11">
        <f t="shared" si="842"/>
        <v>18</v>
      </c>
      <c r="Z1163" s="99">
        <v>45275</v>
      </c>
    </row>
    <row r="1164" spans="1:29" x14ac:dyDescent="0.15">
      <c r="A1164" s="12" t="s">
        <v>41</v>
      </c>
      <c r="B1164" s="26"/>
      <c r="C1164" s="47"/>
      <c r="D1164" s="27">
        <v>1</v>
      </c>
      <c r="E1164" s="34"/>
      <c r="F1164" s="35">
        <f t="shared" si="843"/>
        <v>1</v>
      </c>
      <c r="G1164" s="26"/>
      <c r="H1164" s="47"/>
      <c r="I1164" s="27"/>
      <c r="J1164" s="34"/>
      <c r="K1164" s="35">
        <f t="shared" si="844"/>
        <v>0</v>
      </c>
      <c r="L1164" s="11">
        <f t="shared" si="828"/>
        <v>1</v>
      </c>
      <c r="M1164" s="126">
        <v>45282</v>
      </c>
      <c r="N1164" s="90" t="s">
        <v>964</v>
      </c>
      <c r="O1164" s="26">
        <v>5</v>
      </c>
      <c r="P1164" s="47"/>
      <c r="Q1164" s="27"/>
      <c r="R1164" s="34"/>
      <c r="S1164" s="35">
        <f t="shared" si="853"/>
        <v>5</v>
      </c>
      <c r="T1164" s="26"/>
      <c r="U1164" s="47"/>
      <c r="V1164" s="27"/>
      <c r="W1164" s="34"/>
      <c r="X1164" s="35">
        <f t="shared" si="854"/>
        <v>0</v>
      </c>
      <c r="Y1164" s="11">
        <f t="shared" si="842"/>
        <v>5</v>
      </c>
      <c r="Z1164" s="99">
        <v>45279</v>
      </c>
    </row>
    <row r="1165" spans="1:29" x14ac:dyDescent="0.15">
      <c r="A1165" s="13" t="s">
        <v>49</v>
      </c>
      <c r="B1165" s="26">
        <v>-2</v>
      </c>
      <c r="C1165" s="47"/>
      <c r="D1165" s="27">
        <v>-1</v>
      </c>
      <c r="E1165" s="50"/>
      <c r="F1165" s="9">
        <f>SUM(B1165:E1165)</f>
        <v>-3</v>
      </c>
      <c r="G1165" s="47"/>
      <c r="H1165" s="47"/>
      <c r="I1165" s="27"/>
      <c r="J1165" s="50"/>
      <c r="K1165" s="9">
        <f>SUM(G1165:J1165)</f>
        <v>0</v>
      </c>
      <c r="L1165" s="11">
        <f t="shared" si="828"/>
        <v>-3</v>
      </c>
      <c r="M1165" s="126">
        <v>45286</v>
      </c>
      <c r="N1165" s="15" t="s">
        <v>956</v>
      </c>
      <c r="O1165" s="26"/>
      <c r="P1165" s="47">
        <v>5</v>
      </c>
      <c r="Q1165" s="27">
        <v>4</v>
      </c>
      <c r="R1165" s="34">
        <v>1</v>
      </c>
      <c r="S1165" s="35">
        <f t="shared" si="853"/>
        <v>10</v>
      </c>
      <c r="T1165" s="26">
        <v>1</v>
      </c>
      <c r="U1165" s="47">
        <v>1</v>
      </c>
      <c r="V1165" s="27">
        <v>2</v>
      </c>
      <c r="W1165" s="34"/>
      <c r="X1165" s="35">
        <f t="shared" si="854"/>
        <v>4</v>
      </c>
      <c r="Y1165" s="11">
        <f t="shared" si="842"/>
        <v>14</v>
      </c>
      <c r="Z1165" s="99">
        <v>45275</v>
      </c>
    </row>
    <row r="1166" spans="1:29" x14ac:dyDescent="0.15">
      <c r="A1166" s="15"/>
      <c r="B1166" s="26"/>
      <c r="C1166" s="47"/>
      <c r="D1166" s="27"/>
      <c r="E1166" s="34"/>
      <c r="F1166" s="35">
        <f t="shared" si="843"/>
        <v>0</v>
      </c>
      <c r="G1166" s="26"/>
      <c r="H1166" s="47"/>
      <c r="I1166" s="27"/>
      <c r="J1166" s="34"/>
      <c r="K1166" s="35">
        <f t="shared" si="844"/>
        <v>0</v>
      </c>
      <c r="L1166" s="11">
        <f t="shared" si="828"/>
        <v>0</v>
      </c>
      <c r="N1166" s="15" t="s">
        <v>958</v>
      </c>
      <c r="O1166" s="26"/>
      <c r="P1166" s="47">
        <v>8</v>
      </c>
      <c r="Q1166" s="27"/>
      <c r="R1166" s="34">
        <v>1</v>
      </c>
      <c r="S1166" s="35">
        <f t="shared" si="853"/>
        <v>9</v>
      </c>
      <c r="T1166" s="26"/>
      <c r="U1166" s="47">
        <v>1</v>
      </c>
      <c r="V1166" s="27"/>
      <c r="W1166" s="34"/>
      <c r="X1166" s="35">
        <f t="shared" si="854"/>
        <v>1</v>
      </c>
      <c r="Y1166" s="11">
        <f t="shared" si="842"/>
        <v>10</v>
      </c>
      <c r="Z1166" s="99">
        <v>45278</v>
      </c>
      <c r="AA1166" s="58"/>
      <c r="AB1166" s="58"/>
      <c r="AC1166" s="58"/>
    </row>
    <row r="1167" spans="1:29" x14ac:dyDescent="0.15">
      <c r="A1167" s="15"/>
      <c r="B1167" s="26"/>
      <c r="C1167" s="47"/>
      <c r="D1167" s="27"/>
      <c r="E1167" s="34"/>
      <c r="F1167" s="35">
        <f t="shared" si="843"/>
        <v>0</v>
      </c>
      <c r="G1167" s="26"/>
      <c r="H1167" s="47"/>
      <c r="I1167" s="27"/>
      <c r="J1167" s="34"/>
      <c r="K1167" s="35">
        <f t="shared" si="844"/>
        <v>0</v>
      </c>
      <c r="L1167" s="11">
        <f t="shared" si="828"/>
        <v>0</v>
      </c>
      <c r="N1167" s="15" t="s">
        <v>961</v>
      </c>
      <c r="O1167" s="26">
        <v>1</v>
      </c>
      <c r="P1167" s="47">
        <v>11</v>
      </c>
      <c r="Q1167" s="27"/>
      <c r="R1167" s="34">
        <v>2</v>
      </c>
      <c r="S1167" s="35">
        <f t="shared" si="853"/>
        <v>14</v>
      </c>
      <c r="T1167" s="26">
        <v>6</v>
      </c>
      <c r="U1167" s="47">
        <v>4</v>
      </c>
      <c r="V1167" s="27"/>
      <c r="W1167" s="34"/>
      <c r="X1167" s="35">
        <f t="shared" si="854"/>
        <v>10</v>
      </c>
      <c r="Y1167" s="11">
        <f t="shared" si="842"/>
        <v>24</v>
      </c>
      <c r="Z1167" s="99">
        <v>45280</v>
      </c>
      <c r="AA1167" s="58"/>
      <c r="AB1167" s="58"/>
      <c r="AC1167" s="58"/>
    </row>
    <row r="1168" spans="1:29" x14ac:dyDescent="0.15">
      <c r="A1168" s="13"/>
      <c r="B1168" s="26"/>
      <c r="C1168" s="47"/>
      <c r="D1168" s="27"/>
      <c r="E1168" s="34"/>
      <c r="F1168" s="35">
        <f t="shared" si="843"/>
        <v>0</v>
      </c>
      <c r="G1168" s="26"/>
      <c r="H1168" s="47"/>
      <c r="I1168" s="27"/>
      <c r="J1168" s="34"/>
      <c r="K1168" s="35">
        <f t="shared" si="844"/>
        <v>0</v>
      </c>
      <c r="L1168" s="11">
        <f t="shared" si="828"/>
        <v>0</v>
      </c>
      <c r="N1168" s="15" t="s">
        <v>965</v>
      </c>
      <c r="O1168" s="26">
        <v>3</v>
      </c>
      <c r="P1168" s="47"/>
      <c r="Q1168" s="27"/>
      <c r="R1168" s="34"/>
      <c r="S1168" s="35">
        <f t="shared" si="853"/>
        <v>3</v>
      </c>
      <c r="T1168" s="26">
        <v>2</v>
      </c>
      <c r="U1168" s="47">
        <v>2</v>
      </c>
      <c r="V1168" s="27"/>
      <c r="W1168" s="34">
        <v>2</v>
      </c>
      <c r="X1168" s="35">
        <f t="shared" si="854"/>
        <v>6</v>
      </c>
      <c r="Y1168" s="11">
        <f t="shared" si="842"/>
        <v>9</v>
      </c>
      <c r="Z1168" s="99">
        <v>45281</v>
      </c>
      <c r="AA1168" s="58"/>
      <c r="AB1168" s="58"/>
      <c r="AC1168" s="58"/>
    </row>
    <row r="1169" spans="1:26" x14ac:dyDescent="0.15">
      <c r="A1169" s="32"/>
      <c r="B1169" s="26"/>
      <c r="C1169" s="47"/>
      <c r="D1169" s="27"/>
      <c r="E1169" s="34"/>
      <c r="F1169" s="35">
        <f t="shared" si="843"/>
        <v>0</v>
      </c>
      <c r="G1169" s="26"/>
      <c r="H1169" s="47"/>
      <c r="I1169" s="27"/>
      <c r="J1169" s="34"/>
      <c r="K1169" s="35">
        <f t="shared" si="844"/>
        <v>0</v>
      </c>
      <c r="L1169" s="11">
        <f t="shared" si="828"/>
        <v>0</v>
      </c>
      <c r="N1169" s="15" t="s">
        <v>966</v>
      </c>
      <c r="O1169" s="26">
        <v>2</v>
      </c>
      <c r="P1169" s="47">
        <v>2</v>
      </c>
      <c r="Q1169" s="27">
        <v>1</v>
      </c>
      <c r="R1169" s="34">
        <v>1</v>
      </c>
      <c r="S1169" s="35">
        <f t="shared" si="853"/>
        <v>6</v>
      </c>
      <c r="T1169" s="26">
        <v>1</v>
      </c>
      <c r="U1169" s="47">
        <v>2</v>
      </c>
      <c r="V1169" s="27"/>
      <c r="W1169" s="34"/>
      <c r="X1169" s="35">
        <f t="shared" si="854"/>
        <v>3</v>
      </c>
      <c r="Y1169" s="11">
        <f t="shared" si="842"/>
        <v>9</v>
      </c>
      <c r="Z1169" s="99">
        <v>45282</v>
      </c>
    </row>
    <row r="1170" spans="1:26" x14ac:dyDescent="0.15">
      <c r="A1170" s="32"/>
      <c r="B1170" s="26"/>
      <c r="C1170" s="47"/>
      <c r="D1170" s="27"/>
      <c r="E1170" s="34"/>
      <c r="F1170" s="35">
        <f t="shared" si="843"/>
        <v>0</v>
      </c>
      <c r="G1170" s="26"/>
      <c r="H1170" s="47"/>
      <c r="I1170" s="27"/>
      <c r="J1170" s="34"/>
      <c r="K1170" s="35">
        <f t="shared" si="844"/>
        <v>0</v>
      </c>
      <c r="L1170" s="11">
        <f t="shared" si="828"/>
        <v>0</v>
      </c>
      <c r="N1170" s="15" t="s">
        <v>967</v>
      </c>
      <c r="O1170" s="66">
        <v>2</v>
      </c>
      <c r="P1170" s="67">
        <v>4</v>
      </c>
      <c r="Q1170" s="68">
        <v>2</v>
      </c>
      <c r="R1170" s="69">
        <v>1</v>
      </c>
      <c r="S1170" s="217">
        <f t="shared" si="853"/>
        <v>9</v>
      </c>
      <c r="T1170" s="66"/>
      <c r="U1170" s="67"/>
      <c r="V1170" s="68"/>
      <c r="W1170" s="69"/>
      <c r="X1170" s="217">
        <f t="shared" si="854"/>
        <v>0</v>
      </c>
      <c r="Y1170" s="11">
        <f t="shared" si="842"/>
        <v>9</v>
      </c>
      <c r="Z1170" s="99">
        <v>45282</v>
      </c>
    </row>
    <row r="1171" spans="1:26" x14ac:dyDescent="0.15">
      <c r="A1171" s="12"/>
      <c r="B1171" s="26"/>
      <c r="C1171" s="47"/>
      <c r="D1171" s="27"/>
      <c r="E1171" s="34"/>
      <c r="F1171" s="35">
        <f t="shared" si="843"/>
        <v>0</v>
      </c>
      <c r="G1171" s="26"/>
      <c r="H1171" s="47"/>
      <c r="I1171" s="27"/>
      <c r="J1171" s="34"/>
      <c r="K1171" s="35">
        <f t="shared" si="844"/>
        <v>0</v>
      </c>
      <c r="L1171" s="11">
        <f t="shared" si="828"/>
        <v>0</v>
      </c>
      <c r="N1171" s="57"/>
      <c r="O1171" s="66"/>
      <c r="P1171" s="67"/>
      <c r="Q1171" s="68"/>
      <c r="R1171" s="69"/>
      <c r="S1171" s="217">
        <f t="shared" ref="S1171" si="855">SUM(O1171:R1171)</f>
        <v>0</v>
      </c>
      <c r="T1171" s="66"/>
      <c r="U1171" s="67"/>
      <c r="V1171" s="68"/>
      <c r="W1171" s="69"/>
      <c r="X1171" s="217">
        <f t="shared" ref="X1171" si="856">SUM(T1171:W1171)</f>
        <v>0</v>
      </c>
      <c r="Y1171" s="11">
        <f t="shared" ref="Y1171" si="857">S1171+X1171</f>
        <v>0</v>
      </c>
    </row>
    <row r="1172" spans="1:26" x14ac:dyDescent="0.15">
      <c r="A1172" s="79"/>
      <c r="B1172" s="26"/>
      <c r="C1172" s="47"/>
      <c r="D1172" s="27"/>
      <c r="E1172" s="34"/>
      <c r="F1172" s="35">
        <f t="shared" si="843"/>
        <v>0</v>
      </c>
      <c r="G1172" s="26"/>
      <c r="H1172" s="47"/>
      <c r="I1172" s="27"/>
      <c r="J1172" s="34"/>
      <c r="K1172" s="35">
        <f t="shared" si="844"/>
        <v>0</v>
      </c>
      <c r="L1172" s="11">
        <f t="shared" si="828"/>
        <v>0</v>
      </c>
      <c r="N1172" s="57" t="s">
        <v>920</v>
      </c>
      <c r="O1172" s="66"/>
      <c r="P1172" s="67"/>
      <c r="Q1172" s="68"/>
      <c r="R1172" s="69"/>
      <c r="S1172" s="70">
        <f t="shared" si="853"/>
        <v>0</v>
      </c>
      <c r="T1172" s="66"/>
      <c r="U1172" s="67"/>
      <c r="V1172" s="68"/>
      <c r="W1172" s="69"/>
      <c r="X1172" s="70">
        <f t="shared" si="854"/>
        <v>0</v>
      </c>
      <c r="Y1172" s="11">
        <f t="shared" si="842"/>
        <v>0</v>
      </c>
      <c r="Z1172" s="101" t="s">
        <v>28</v>
      </c>
    </row>
    <row r="1173" spans="1:26" x14ac:dyDescent="0.15">
      <c r="A1173" s="57"/>
      <c r="B1173" s="26"/>
      <c r="C1173" s="47"/>
      <c r="D1173" s="27"/>
      <c r="E1173" s="34"/>
      <c r="F1173" s="35">
        <f t="shared" si="843"/>
        <v>0</v>
      </c>
      <c r="G1173" s="26"/>
      <c r="H1173" s="47"/>
      <c r="I1173" s="27"/>
      <c r="J1173" s="34"/>
      <c r="K1173" s="35">
        <f t="shared" si="844"/>
        <v>0</v>
      </c>
      <c r="L1173" s="11">
        <f t="shared" si="828"/>
        <v>0</v>
      </c>
      <c r="N1173" s="12" t="s">
        <v>916</v>
      </c>
      <c r="O1173" s="26"/>
      <c r="P1173" s="47"/>
      <c r="Q1173" s="27"/>
      <c r="R1173" s="34"/>
      <c r="S1173" s="35">
        <f t="shared" si="853"/>
        <v>0</v>
      </c>
      <c r="T1173" s="26"/>
      <c r="U1173" s="47"/>
      <c r="V1173" s="27"/>
      <c r="W1173" s="34"/>
      <c r="X1173" s="35">
        <f t="shared" si="854"/>
        <v>0</v>
      </c>
      <c r="Y1173" s="108">
        <f t="shared" si="842"/>
        <v>0</v>
      </c>
      <c r="Z1173" s="101" t="s">
        <v>396</v>
      </c>
    </row>
    <row r="1174" spans="1:26" ht="14.25" thickBot="1" x14ac:dyDescent="0.2">
      <c r="A1174" s="90"/>
      <c r="B1174" s="62"/>
      <c r="C1174" s="63"/>
      <c r="D1174" s="64"/>
      <c r="E1174" s="65"/>
      <c r="F1174" s="35">
        <f t="shared" si="843"/>
        <v>0</v>
      </c>
      <c r="G1174" s="62"/>
      <c r="H1174" s="63"/>
      <c r="I1174" s="64"/>
      <c r="J1174" s="65"/>
      <c r="K1174" s="35">
        <f t="shared" si="844"/>
        <v>0</v>
      </c>
      <c r="L1174" s="14">
        <f t="shared" si="828"/>
        <v>0</v>
      </c>
      <c r="N1174" s="135" t="s">
        <v>930</v>
      </c>
      <c r="O1174" s="62"/>
      <c r="P1174" s="63"/>
      <c r="Q1174" s="64"/>
      <c r="R1174" s="65"/>
      <c r="S1174" s="120">
        <f t="shared" ref="S1174" si="858">SUM(O1174:R1174)</f>
        <v>0</v>
      </c>
      <c r="T1174" s="62"/>
      <c r="U1174" s="63"/>
      <c r="V1174" s="64"/>
      <c r="W1174" s="65"/>
      <c r="X1174" s="120">
        <f t="shared" ref="X1174" si="859">SUM(T1174:W1174)</f>
        <v>0</v>
      </c>
      <c r="Y1174" s="121">
        <f t="shared" ref="Y1174" si="860">S1174+X1174</f>
        <v>0</v>
      </c>
      <c r="Z1174" s="101" t="s">
        <v>931</v>
      </c>
    </row>
    <row r="1175" spans="1:26" ht="14.25" thickBot="1" x14ac:dyDescent="0.2">
      <c r="A1175" s="17" t="s">
        <v>10</v>
      </c>
      <c r="B1175" s="38">
        <f>SUM(B1150:B1174)</f>
        <v>9</v>
      </c>
      <c r="C1175" s="48">
        <f>SUM(C1150:C1174)</f>
        <v>21</v>
      </c>
      <c r="D1175" s="39">
        <f>SUM(D1150:D1174)</f>
        <v>14</v>
      </c>
      <c r="E1175" s="40">
        <f>SUM(E1150:E1174)</f>
        <v>5</v>
      </c>
      <c r="F1175" s="36">
        <f>SUM(B1175:E1175)</f>
        <v>49</v>
      </c>
      <c r="G1175" s="38">
        <f>SUM(G1150:G1174)</f>
        <v>10</v>
      </c>
      <c r="H1175" s="48">
        <f>SUM(H1150:H1174)</f>
        <v>6</v>
      </c>
      <c r="I1175" s="39">
        <f>SUM(I1150:I1174)</f>
        <v>6</v>
      </c>
      <c r="J1175" s="40">
        <f>SUM(J1150:J1174)</f>
        <v>5</v>
      </c>
      <c r="K1175" s="36">
        <f>SUM(G1175:J1175)</f>
        <v>27</v>
      </c>
      <c r="L1175" s="37">
        <f t="shared" si="828"/>
        <v>76</v>
      </c>
      <c r="N1175" s="133" t="s">
        <v>10</v>
      </c>
      <c r="O1175" s="38">
        <f>SUM(O1150:O1174)</f>
        <v>32</v>
      </c>
      <c r="P1175" s="48">
        <f>SUM(P1150:P1174)</f>
        <v>56</v>
      </c>
      <c r="Q1175" s="39">
        <f>SUM(Q1150:Q1174)</f>
        <v>31</v>
      </c>
      <c r="R1175" s="40">
        <f>SUM(R1150:R1174)</f>
        <v>23</v>
      </c>
      <c r="S1175" s="118">
        <f t="shared" si="853"/>
        <v>142</v>
      </c>
      <c r="T1175" s="38">
        <f>SUM(T1150:T1174)</f>
        <v>17</v>
      </c>
      <c r="U1175" s="48">
        <f>SUM(U1150:U1174)</f>
        <v>29</v>
      </c>
      <c r="V1175" s="39">
        <f>SUM(V1150:V1174)</f>
        <v>18</v>
      </c>
      <c r="W1175" s="40">
        <f>SUM(W1150:W1174)</f>
        <v>7</v>
      </c>
      <c r="X1175" s="118">
        <f t="shared" si="854"/>
        <v>71</v>
      </c>
      <c r="Y1175" s="119">
        <f t="shared" si="842"/>
        <v>213</v>
      </c>
    </row>
    <row r="1176" spans="1:26" ht="14.25" thickBot="1" x14ac:dyDescent="0.2">
      <c r="A1176" s="22" t="s">
        <v>11</v>
      </c>
      <c r="B1176" s="41">
        <f>B1149-B1175</f>
        <v>8</v>
      </c>
      <c r="C1176" s="49">
        <f>C1149-C1175</f>
        <v>4</v>
      </c>
      <c r="D1176" s="42">
        <f t="shared" ref="D1176:K1176" si="861">D1149-D1175</f>
        <v>7</v>
      </c>
      <c r="E1176" s="43">
        <f t="shared" si="861"/>
        <v>5</v>
      </c>
      <c r="F1176" s="61">
        <f t="shared" si="861"/>
        <v>20</v>
      </c>
      <c r="G1176" s="41">
        <f t="shared" si="861"/>
        <v>7</v>
      </c>
      <c r="H1176" s="49">
        <f t="shared" si="861"/>
        <v>8</v>
      </c>
      <c r="I1176" s="42">
        <f t="shared" si="861"/>
        <v>4</v>
      </c>
      <c r="J1176" s="43">
        <f t="shared" si="861"/>
        <v>6</v>
      </c>
      <c r="K1176" s="61">
        <f t="shared" si="861"/>
        <v>25</v>
      </c>
      <c r="L1176" s="21">
        <f t="shared" si="828"/>
        <v>45</v>
      </c>
      <c r="N1176" s="17" t="s">
        <v>11</v>
      </c>
      <c r="O1176" s="41">
        <f>O1149-O1175</f>
        <v>492</v>
      </c>
      <c r="P1176" s="49">
        <f t="shared" ref="P1176:Q1176" si="862">P1149-P1175</f>
        <v>604</v>
      </c>
      <c r="Q1176" s="42">
        <f t="shared" si="862"/>
        <v>393</v>
      </c>
      <c r="R1176" s="43">
        <f>R1149-R1175</f>
        <v>265</v>
      </c>
      <c r="S1176" s="61">
        <f t="shared" ref="S1176:X1176" si="863">S1149-S1175</f>
        <v>1754</v>
      </c>
      <c r="T1176" s="41">
        <f t="shared" si="863"/>
        <v>446</v>
      </c>
      <c r="U1176" s="49">
        <f t="shared" si="863"/>
        <v>546</v>
      </c>
      <c r="V1176" s="42">
        <f t="shared" si="863"/>
        <v>372</v>
      </c>
      <c r="W1176" s="43">
        <f t="shared" si="863"/>
        <v>274</v>
      </c>
      <c r="X1176" s="61">
        <f t="shared" si="863"/>
        <v>1638</v>
      </c>
      <c r="Y1176" s="21">
        <f t="shared" si="842"/>
        <v>3392</v>
      </c>
    </row>
    <row r="1179" spans="1:26" ht="19.5" thickBot="1" x14ac:dyDescent="0.25">
      <c r="A1179" s="2" t="s">
        <v>106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105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6" ht="14.25" thickBot="1" x14ac:dyDescent="0.2">
      <c r="A1180" s="5" t="s">
        <v>0</v>
      </c>
      <c r="B1180" s="342" t="s">
        <v>18</v>
      </c>
      <c r="C1180" s="350"/>
      <c r="D1180" s="350"/>
      <c r="E1180" s="350"/>
      <c r="F1180" s="351"/>
      <c r="G1180" s="345" t="s">
        <v>12</v>
      </c>
      <c r="H1180" s="352"/>
      <c r="I1180" s="352"/>
      <c r="J1180" s="352"/>
      <c r="K1180" s="353"/>
      <c r="L1180" s="354" t="s">
        <v>1</v>
      </c>
      <c r="N1180" s="5" t="s">
        <v>0</v>
      </c>
      <c r="O1180" s="342" t="s">
        <v>18</v>
      </c>
      <c r="P1180" s="350"/>
      <c r="Q1180" s="350"/>
      <c r="R1180" s="350"/>
      <c r="S1180" s="351"/>
      <c r="T1180" s="345" t="s">
        <v>12</v>
      </c>
      <c r="U1180" s="352"/>
      <c r="V1180" s="352"/>
      <c r="W1180" s="352"/>
      <c r="X1180" s="353"/>
      <c r="Y1180" s="354" t="s">
        <v>1</v>
      </c>
    </row>
    <row r="1181" spans="1:26" ht="14.25" thickBot="1" x14ac:dyDescent="0.2">
      <c r="A1181" s="5" t="s">
        <v>2</v>
      </c>
      <c r="B1181" s="3" t="s">
        <v>13</v>
      </c>
      <c r="C1181" s="44" t="s">
        <v>14</v>
      </c>
      <c r="D1181" s="4" t="s">
        <v>15</v>
      </c>
      <c r="E1181" s="23" t="s">
        <v>16</v>
      </c>
      <c r="F1181" s="31" t="s">
        <v>3</v>
      </c>
      <c r="G1181" s="3" t="s">
        <v>13</v>
      </c>
      <c r="H1181" s="44" t="s">
        <v>14</v>
      </c>
      <c r="I1181" s="4" t="s">
        <v>15</v>
      </c>
      <c r="J1181" s="23" t="s">
        <v>16</v>
      </c>
      <c r="K1181" s="31" t="s">
        <v>3</v>
      </c>
      <c r="L1181" s="355"/>
      <c r="N1181" s="5" t="s">
        <v>2</v>
      </c>
      <c r="O1181" s="3" t="s">
        <v>13</v>
      </c>
      <c r="P1181" s="44" t="s">
        <v>14</v>
      </c>
      <c r="Q1181" s="4" t="s">
        <v>15</v>
      </c>
      <c r="R1181" s="23" t="s">
        <v>16</v>
      </c>
      <c r="S1181" s="31" t="s">
        <v>3</v>
      </c>
      <c r="T1181" s="3" t="s">
        <v>13</v>
      </c>
      <c r="U1181" s="44" t="s">
        <v>14</v>
      </c>
      <c r="V1181" s="4" t="s">
        <v>15</v>
      </c>
      <c r="W1181" s="23" t="s">
        <v>16</v>
      </c>
      <c r="X1181" s="31" t="s">
        <v>3</v>
      </c>
      <c r="Y1181" s="355"/>
    </row>
    <row r="1182" spans="1:26" x14ac:dyDescent="0.15">
      <c r="A1182" s="71" t="s">
        <v>17</v>
      </c>
      <c r="B1182" s="72">
        <f>B1176</f>
        <v>8</v>
      </c>
      <c r="C1182" s="73">
        <f t="shared" ref="C1182:L1182" si="864">C1176</f>
        <v>4</v>
      </c>
      <c r="D1182" s="73">
        <f t="shared" si="864"/>
        <v>7</v>
      </c>
      <c r="E1182" s="74">
        <f t="shared" si="864"/>
        <v>5</v>
      </c>
      <c r="F1182" s="76">
        <f t="shared" si="864"/>
        <v>20</v>
      </c>
      <c r="G1182" s="72">
        <f t="shared" si="864"/>
        <v>7</v>
      </c>
      <c r="H1182" s="73">
        <f t="shared" si="864"/>
        <v>8</v>
      </c>
      <c r="I1182" s="73">
        <f t="shared" si="864"/>
        <v>4</v>
      </c>
      <c r="J1182" s="74">
        <f t="shared" si="864"/>
        <v>6</v>
      </c>
      <c r="K1182" s="75">
        <f t="shared" si="864"/>
        <v>25</v>
      </c>
      <c r="L1182" s="16">
        <f t="shared" si="864"/>
        <v>45</v>
      </c>
      <c r="N1182" s="71" t="s">
        <v>17</v>
      </c>
      <c r="O1182" s="72">
        <f>O1176</f>
        <v>492</v>
      </c>
      <c r="P1182" s="73">
        <f t="shared" ref="P1182:Y1182" si="865">P1176</f>
        <v>604</v>
      </c>
      <c r="Q1182" s="73">
        <f t="shared" si="865"/>
        <v>393</v>
      </c>
      <c r="R1182" s="74">
        <f t="shared" si="865"/>
        <v>265</v>
      </c>
      <c r="S1182" s="76">
        <f t="shared" si="865"/>
        <v>1754</v>
      </c>
      <c r="T1182" s="72">
        <f t="shared" si="865"/>
        <v>446</v>
      </c>
      <c r="U1182" s="73">
        <f t="shared" si="865"/>
        <v>546</v>
      </c>
      <c r="V1182" s="73">
        <f t="shared" si="865"/>
        <v>372</v>
      </c>
      <c r="W1182" s="74">
        <f t="shared" si="865"/>
        <v>274</v>
      </c>
      <c r="X1182" s="75">
        <f t="shared" si="865"/>
        <v>1638</v>
      </c>
      <c r="Y1182" s="16">
        <f t="shared" si="865"/>
        <v>3392</v>
      </c>
    </row>
    <row r="1183" spans="1:26" x14ac:dyDescent="0.15">
      <c r="A1183" s="13" t="s">
        <v>5</v>
      </c>
      <c r="B1183" s="26"/>
      <c r="C1183" s="47">
        <v>3</v>
      </c>
      <c r="D1183" s="27"/>
      <c r="E1183" s="50">
        <v>3</v>
      </c>
      <c r="F1183" s="9">
        <f>SUM(B1183:E1183)</f>
        <v>6</v>
      </c>
      <c r="G1183" s="47">
        <v>3</v>
      </c>
      <c r="H1183" s="47"/>
      <c r="I1183" s="27">
        <v>3</v>
      </c>
      <c r="J1183" s="50">
        <v>3</v>
      </c>
      <c r="K1183" s="9">
        <f>SUM(G1183:J1183)</f>
        <v>9</v>
      </c>
      <c r="L1183" s="11">
        <f t="shared" ref="L1183" si="866">F1183+K1183</f>
        <v>15</v>
      </c>
      <c r="M1183" s="99">
        <v>45288</v>
      </c>
      <c r="N1183" s="13" t="s">
        <v>5</v>
      </c>
      <c r="O1183" s="26"/>
      <c r="P1183" s="47"/>
      <c r="Q1183" s="27"/>
      <c r="R1183" s="34"/>
      <c r="S1183" s="77">
        <f>SUM(O1183:R1183)</f>
        <v>0</v>
      </c>
      <c r="T1183" s="26"/>
      <c r="U1183" s="47"/>
      <c r="V1183" s="27"/>
      <c r="W1183" s="34"/>
      <c r="X1183" s="9">
        <f>SUM(T1183:W1183)</f>
        <v>0</v>
      </c>
      <c r="Y1183" s="11">
        <f t="shared" ref="Y1183:Y1187" si="867">S1183+X1183</f>
        <v>0</v>
      </c>
    </row>
    <row r="1184" spans="1:26" x14ac:dyDescent="0.15">
      <c r="A1184" s="79" t="s">
        <v>49</v>
      </c>
      <c r="B1184" s="26"/>
      <c r="C1184" s="47">
        <v>5</v>
      </c>
      <c r="D1184" s="27">
        <v>6</v>
      </c>
      <c r="E1184" s="50">
        <v>3</v>
      </c>
      <c r="F1184" s="9">
        <f>SUM(B1184:E1184)</f>
        <v>14</v>
      </c>
      <c r="G1184" s="47"/>
      <c r="H1184" s="47"/>
      <c r="I1184" s="27"/>
      <c r="J1184" s="50"/>
      <c r="K1184" s="9">
        <f>SUM(G1184:J1184)</f>
        <v>0</v>
      </c>
      <c r="L1184" s="108">
        <f t="shared" ref="L1184:L1186" si="868">F1184+K1184</f>
        <v>14</v>
      </c>
      <c r="M1184" s="99">
        <v>45306</v>
      </c>
      <c r="N1184" s="13" t="s">
        <v>6</v>
      </c>
      <c r="O1184" s="26"/>
      <c r="P1184" s="47"/>
      <c r="Q1184" s="27"/>
      <c r="R1184" s="34"/>
      <c r="S1184" s="77">
        <f>SUM(O1184:R1184)</f>
        <v>0</v>
      </c>
      <c r="T1184" s="26"/>
      <c r="U1184" s="47"/>
      <c r="V1184" s="27"/>
      <c r="W1184" s="34"/>
      <c r="X1184" s="9">
        <f>SUM(T1184:W1184)</f>
        <v>0</v>
      </c>
      <c r="Y1184" s="11">
        <f t="shared" si="867"/>
        <v>0</v>
      </c>
    </row>
    <row r="1185" spans="1:27" x14ac:dyDescent="0.15">
      <c r="A1185" s="13" t="s">
        <v>7</v>
      </c>
      <c r="B1185" s="26"/>
      <c r="C1185" s="47"/>
      <c r="D1185" s="27"/>
      <c r="E1185" s="50"/>
      <c r="F1185" s="9">
        <f>SUM(B1185:E1185)</f>
        <v>0</v>
      </c>
      <c r="G1185" s="47">
        <v>5</v>
      </c>
      <c r="H1185" s="47"/>
      <c r="I1185" s="27"/>
      <c r="J1185" s="50"/>
      <c r="K1185" s="9">
        <f>SUM(G1185:J1185)</f>
        <v>5</v>
      </c>
      <c r="L1185" s="108">
        <f t="shared" si="868"/>
        <v>5</v>
      </c>
      <c r="M1185" s="99">
        <v>45311</v>
      </c>
      <c r="N1185" s="13" t="s">
        <v>7</v>
      </c>
      <c r="O1185" s="26"/>
      <c r="P1185" s="47"/>
      <c r="Q1185" s="27"/>
      <c r="R1185" s="34"/>
      <c r="S1185" s="77">
        <f t="shared" ref="S1185:S1186" si="869">SUM(O1185:R1185)</f>
        <v>0</v>
      </c>
      <c r="T1185" s="26"/>
      <c r="U1185" s="47"/>
      <c r="V1185" s="27"/>
      <c r="W1185" s="34"/>
      <c r="X1185" s="9">
        <f t="shared" ref="X1185:X1186" si="870">SUM(T1185:W1185)</f>
        <v>0</v>
      </c>
      <c r="Y1185" s="11">
        <f t="shared" si="867"/>
        <v>0</v>
      </c>
    </row>
    <row r="1186" spans="1:27" ht="14.25" thickBot="1" x14ac:dyDescent="0.2">
      <c r="A1186" s="222" t="s">
        <v>8</v>
      </c>
      <c r="B1186" s="223"/>
      <c r="C1186" s="224">
        <v>3</v>
      </c>
      <c r="D1186" s="225"/>
      <c r="E1186" s="226"/>
      <c r="F1186" s="227">
        <f>SUM(B1186:E1186)</f>
        <v>3</v>
      </c>
      <c r="G1186" s="223"/>
      <c r="H1186" s="224">
        <v>3</v>
      </c>
      <c r="I1186" s="225"/>
      <c r="J1186" s="226"/>
      <c r="K1186" s="227">
        <f>SUM(G1186:J1186)</f>
        <v>3</v>
      </c>
      <c r="L1186" s="14">
        <f t="shared" si="868"/>
        <v>6</v>
      </c>
      <c r="M1186" s="99">
        <v>45315</v>
      </c>
      <c r="N1186" s="13" t="s">
        <v>8</v>
      </c>
      <c r="O1186" s="26"/>
      <c r="P1186" s="47"/>
      <c r="Q1186" s="27"/>
      <c r="R1186" s="34"/>
      <c r="S1186" s="77">
        <f t="shared" si="869"/>
        <v>0</v>
      </c>
      <c r="T1186" s="26"/>
      <c r="U1186" s="47"/>
      <c r="V1186" s="27"/>
      <c r="W1186" s="34"/>
      <c r="X1186" s="9">
        <f t="shared" si="870"/>
        <v>0</v>
      </c>
      <c r="Y1186" s="11">
        <f t="shared" si="867"/>
        <v>0</v>
      </c>
    </row>
    <row r="1187" spans="1:27" ht="14.25" thickBot="1" x14ac:dyDescent="0.2">
      <c r="A1187" s="22" t="s">
        <v>9</v>
      </c>
      <c r="B1187" s="41">
        <f t="shared" ref="B1187:K1187" si="871">SUM(B1182:B1186)</f>
        <v>8</v>
      </c>
      <c r="C1187" s="49">
        <f t="shared" si="871"/>
        <v>15</v>
      </c>
      <c r="D1187" s="42">
        <f t="shared" si="871"/>
        <v>13</v>
      </c>
      <c r="E1187" s="92">
        <f t="shared" si="871"/>
        <v>11</v>
      </c>
      <c r="F1187" s="132">
        <f t="shared" si="871"/>
        <v>43</v>
      </c>
      <c r="G1187" s="41">
        <f t="shared" si="871"/>
        <v>15</v>
      </c>
      <c r="H1187" s="49">
        <f t="shared" si="871"/>
        <v>11</v>
      </c>
      <c r="I1187" s="42">
        <f t="shared" si="871"/>
        <v>7</v>
      </c>
      <c r="J1187" s="92">
        <f t="shared" si="871"/>
        <v>9</v>
      </c>
      <c r="K1187" s="132">
        <f t="shared" si="871"/>
        <v>42</v>
      </c>
      <c r="L1187" s="21">
        <f t="shared" ref="L1187:L1214" si="872">F1187+K1187</f>
        <v>85</v>
      </c>
      <c r="N1187" s="17" t="s">
        <v>9</v>
      </c>
      <c r="O1187" s="41">
        <f>SUM(O1182:O1186)</f>
        <v>492</v>
      </c>
      <c r="P1187" s="49">
        <f t="shared" ref="P1187:V1187" si="873">SUM(P1182:P1186)</f>
        <v>604</v>
      </c>
      <c r="Q1187" s="42">
        <f t="shared" si="873"/>
        <v>393</v>
      </c>
      <c r="R1187" s="92">
        <f t="shared" si="873"/>
        <v>265</v>
      </c>
      <c r="S1187" s="93">
        <f t="shared" si="873"/>
        <v>1754</v>
      </c>
      <c r="T1187" s="41">
        <f t="shared" si="873"/>
        <v>446</v>
      </c>
      <c r="U1187" s="49">
        <f t="shared" si="873"/>
        <v>546</v>
      </c>
      <c r="V1187" s="42">
        <f t="shared" si="873"/>
        <v>372</v>
      </c>
      <c r="W1187" s="92">
        <f>SUM(W1182:W1186)</f>
        <v>274</v>
      </c>
      <c r="X1187" s="93">
        <f t="shared" ref="X1187" si="874">SUM(X1182:X1186)</f>
        <v>1638</v>
      </c>
      <c r="Y1187" s="56">
        <f t="shared" si="867"/>
        <v>3392</v>
      </c>
    </row>
    <row r="1188" spans="1:27" x14ac:dyDescent="0.15">
      <c r="A1188" s="12" t="s">
        <v>41</v>
      </c>
      <c r="B1188" s="24">
        <v>1</v>
      </c>
      <c r="C1188" s="46"/>
      <c r="D1188" s="25"/>
      <c r="E1188" s="33"/>
      <c r="F1188" s="35">
        <f>SUM(B1188:E1188)</f>
        <v>1</v>
      </c>
      <c r="G1188" s="24">
        <v>2</v>
      </c>
      <c r="H1188" s="46">
        <v>1</v>
      </c>
      <c r="I1188" s="25"/>
      <c r="J1188" s="33"/>
      <c r="K1188" s="35">
        <f>SUM(G1188:J1188)</f>
        <v>3</v>
      </c>
      <c r="L1188" s="11">
        <f t="shared" si="872"/>
        <v>4</v>
      </c>
      <c r="M1188" s="126">
        <v>45285</v>
      </c>
      <c r="N1188" s="12" t="s">
        <v>968</v>
      </c>
      <c r="O1188" s="66">
        <v>30</v>
      </c>
      <c r="P1188" s="67">
        <v>20</v>
      </c>
      <c r="Q1188" s="68">
        <v>20</v>
      </c>
      <c r="R1188" s="94"/>
      <c r="S1188" s="91">
        <f>SUM(O1188:R1188)</f>
        <v>70</v>
      </c>
      <c r="T1188" s="67">
        <v>20</v>
      </c>
      <c r="U1188" s="67">
        <v>40</v>
      </c>
      <c r="V1188" s="68">
        <v>20</v>
      </c>
      <c r="W1188" s="94"/>
      <c r="X1188" s="91">
        <f>SUM(T1188:W1188)</f>
        <v>80</v>
      </c>
      <c r="Y1188" s="11">
        <f t="shared" ref="Y1188:Y1214" si="875">S1188+X1188</f>
        <v>150</v>
      </c>
      <c r="Z1188" s="99">
        <v>45283</v>
      </c>
    </row>
    <row r="1189" spans="1:27" x14ac:dyDescent="0.15">
      <c r="A1189" s="12" t="s">
        <v>41</v>
      </c>
      <c r="B1189" s="26"/>
      <c r="C1189" s="47"/>
      <c r="D1189" s="27"/>
      <c r="E1189" s="34">
        <v>1</v>
      </c>
      <c r="F1189" s="35">
        <f>SUM(B1189:E1189)</f>
        <v>1</v>
      </c>
      <c r="G1189" s="26"/>
      <c r="H1189" s="47"/>
      <c r="I1189" s="27"/>
      <c r="J1189" s="34"/>
      <c r="K1189" s="35">
        <f>SUM(G1189:J1189)</f>
        <v>0</v>
      </c>
      <c r="L1189" s="11">
        <f t="shared" si="872"/>
        <v>1</v>
      </c>
      <c r="M1189" s="126">
        <v>45286</v>
      </c>
      <c r="N1189" s="15" t="s">
        <v>969</v>
      </c>
      <c r="O1189" s="26">
        <v>1</v>
      </c>
      <c r="P1189" s="47">
        <v>3</v>
      </c>
      <c r="Q1189" s="27">
        <v>1</v>
      </c>
      <c r="R1189" s="34"/>
      <c r="S1189" s="35">
        <f t="shared" ref="S1189:S1190" si="876">SUM(O1189:R1189)</f>
        <v>5</v>
      </c>
      <c r="T1189" s="26"/>
      <c r="U1189" s="47"/>
      <c r="V1189" s="27"/>
      <c r="W1189" s="34"/>
      <c r="X1189" s="35">
        <f t="shared" ref="X1189:X1190" si="877">SUM(T1189:W1189)</f>
        <v>0</v>
      </c>
      <c r="Y1189" s="11">
        <f t="shared" si="875"/>
        <v>5</v>
      </c>
      <c r="Z1189" s="99">
        <v>45285</v>
      </c>
    </row>
    <row r="1190" spans="1:27" x14ac:dyDescent="0.15">
      <c r="A1190" s="15" t="s">
        <v>1006</v>
      </c>
      <c r="B1190" s="26"/>
      <c r="C1190" s="47"/>
      <c r="D1190" s="27"/>
      <c r="E1190" s="34">
        <v>-2</v>
      </c>
      <c r="F1190" s="35">
        <f t="shared" ref="F1190:F1212" si="878">SUM(B1190:E1190)</f>
        <v>-2</v>
      </c>
      <c r="G1190" s="26"/>
      <c r="H1190" s="47"/>
      <c r="I1190" s="27">
        <v>-2</v>
      </c>
      <c r="J1190" s="34">
        <v>-2</v>
      </c>
      <c r="K1190" s="35">
        <f t="shared" ref="K1190:K1212" si="879">SUM(G1190:J1190)</f>
        <v>-4</v>
      </c>
      <c r="L1190" s="11">
        <f t="shared" si="872"/>
        <v>-6</v>
      </c>
      <c r="M1190" s="99">
        <v>45653</v>
      </c>
      <c r="N1190" s="15" t="s">
        <v>970</v>
      </c>
      <c r="O1190" s="26">
        <v>3</v>
      </c>
      <c r="P1190" s="47"/>
      <c r="Q1190" s="27">
        <v>1</v>
      </c>
      <c r="R1190" s="34">
        <v>3</v>
      </c>
      <c r="S1190" s="35">
        <f t="shared" si="876"/>
        <v>7</v>
      </c>
      <c r="T1190" s="26">
        <v>4</v>
      </c>
      <c r="U1190" s="47">
        <v>1</v>
      </c>
      <c r="V1190" s="27"/>
      <c r="W1190" s="34"/>
      <c r="X1190" s="35">
        <f t="shared" si="877"/>
        <v>5</v>
      </c>
      <c r="Y1190" s="11">
        <f t="shared" si="875"/>
        <v>12</v>
      </c>
      <c r="Z1190" s="99">
        <v>45287</v>
      </c>
      <c r="AA1190" s="58"/>
    </row>
    <row r="1191" spans="1:27" x14ac:dyDescent="0.15">
      <c r="A1191" s="15" t="s">
        <v>977</v>
      </c>
      <c r="B1191" s="26"/>
      <c r="C1191" s="47"/>
      <c r="D1191" s="27"/>
      <c r="E1191" s="34"/>
      <c r="F1191" s="35">
        <f t="shared" ref="F1191:F1206" si="880">SUM(B1191:E1191)</f>
        <v>0</v>
      </c>
      <c r="G1191" s="26"/>
      <c r="H1191" s="47"/>
      <c r="I1191" s="27"/>
      <c r="J1191" s="34">
        <v>1</v>
      </c>
      <c r="K1191" s="35">
        <f t="shared" ref="K1191:K1206" si="881">SUM(G1191:J1191)</f>
        <v>1</v>
      </c>
      <c r="L1191" s="11">
        <f t="shared" ref="L1191:L1206" si="882">F1191+K1191</f>
        <v>1</v>
      </c>
      <c r="M1191" s="99">
        <v>44931</v>
      </c>
      <c r="N1191" s="12" t="s">
        <v>972</v>
      </c>
      <c r="O1191" s="66"/>
      <c r="P1191" s="67"/>
      <c r="Q1191" s="68">
        <v>5</v>
      </c>
      <c r="R1191" s="94"/>
      <c r="S1191" s="91">
        <f>SUM(O1191:R1191)</f>
        <v>5</v>
      </c>
      <c r="T1191" s="67"/>
      <c r="U1191" s="67"/>
      <c r="V1191" s="68">
        <v>40</v>
      </c>
      <c r="W1191" s="94"/>
      <c r="X1191" s="91">
        <f>SUM(T1191:W1191)</f>
        <v>40</v>
      </c>
      <c r="Y1191" s="11">
        <f t="shared" si="875"/>
        <v>45</v>
      </c>
      <c r="Z1191" s="99">
        <v>45286</v>
      </c>
    </row>
    <row r="1192" spans="1:27" x14ac:dyDescent="0.15">
      <c r="A1192" s="32" t="s">
        <v>574</v>
      </c>
      <c r="B1192" s="66"/>
      <c r="C1192" s="67">
        <v>1</v>
      </c>
      <c r="D1192" s="68"/>
      <c r="E1192" s="69"/>
      <c r="F1192" s="70">
        <f t="shared" si="880"/>
        <v>1</v>
      </c>
      <c r="G1192" s="66"/>
      <c r="H1192" s="67">
        <v>1</v>
      </c>
      <c r="I1192" s="68"/>
      <c r="J1192" s="69"/>
      <c r="K1192" s="70">
        <f t="shared" si="881"/>
        <v>1</v>
      </c>
      <c r="L1192" s="11">
        <f t="shared" si="882"/>
        <v>2</v>
      </c>
      <c r="M1192" s="99">
        <v>45300</v>
      </c>
      <c r="N1192" s="15" t="s">
        <v>975</v>
      </c>
      <c r="O1192" s="26">
        <v>1</v>
      </c>
      <c r="P1192" s="47"/>
      <c r="Q1192" s="27">
        <v>2</v>
      </c>
      <c r="R1192" s="34"/>
      <c r="S1192" s="35">
        <f t="shared" ref="S1192:S1194" si="883">SUM(O1192:R1192)</f>
        <v>3</v>
      </c>
      <c r="T1192" s="26"/>
      <c r="U1192" s="47"/>
      <c r="V1192" s="27">
        <v>1</v>
      </c>
      <c r="W1192" s="34">
        <v>1</v>
      </c>
      <c r="X1192" s="35">
        <f t="shared" ref="X1192:X1194" si="884">SUM(T1192:W1192)</f>
        <v>2</v>
      </c>
      <c r="Y1192" s="11">
        <f t="shared" si="875"/>
        <v>5</v>
      </c>
      <c r="Z1192" s="99">
        <v>45288</v>
      </c>
    </row>
    <row r="1193" spans="1:27" x14ac:dyDescent="0.15">
      <c r="A1193" s="12" t="s">
        <v>41</v>
      </c>
      <c r="B1193" s="26"/>
      <c r="C1193" s="47"/>
      <c r="D1193" s="27"/>
      <c r="E1193" s="34"/>
      <c r="F1193" s="35">
        <f t="shared" si="880"/>
        <v>0</v>
      </c>
      <c r="G1193" s="26">
        <v>2</v>
      </c>
      <c r="H1193" s="47"/>
      <c r="I1193" s="27"/>
      <c r="J1193" s="34"/>
      <c r="K1193" s="35">
        <f t="shared" si="881"/>
        <v>2</v>
      </c>
      <c r="L1193" s="11">
        <f t="shared" si="882"/>
        <v>2</v>
      </c>
      <c r="M1193" s="126">
        <v>45296</v>
      </c>
      <c r="N1193" s="57" t="s">
        <v>34</v>
      </c>
      <c r="O1193" s="26"/>
      <c r="P1193" s="47">
        <v>3</v>
      </c>
      <c r="Q1193" s="27"/>
      <c r="R1193" s="34">
        <v>3</v>
      </c>
      <c r="S1193" s="35">
        <f>SUM(O1193:R1193)</f>
        <v>6</v>
      </c>
      <c r="T1193" s="26">
        <v>3</v>
      </c>
      <c r="U1193" s="47"/>
      <c r="V1193" s="27">
        <v>3</v>
      </c>
      <c r="W1193" s="34">
        <v>3</v>
      </c>
      <c r="X1193" s="35">
        <f>SUM(T1193:W1193)</f>
        <v>9</v>
      </c>
      <c r="Y1193" s="11">
        <f t="shared" si="875"/>
        <v>15</v>
      </c>
      <c r="Z1193" s="99">
        <v>45288</v>
      </c>
    </row>
    <row r="1194" spans="1:27" x14ac:dyDescent="0.15">
      <c r="A1194" s="12" t="s">
        <v>686</v>
      </c>
      <c r="B1194" s="26"/>
      <c r="C1194" s="47"/>
      <c r="D1194" s="27"/>
      <c r="E1194" s="34"/>
      <c r="F1194" s="35">
        <f t="shared" si="880"/>
        <v>0</v>
      </c>
      <c r="G1194" s="26"/>
      <c r="H1194" s="47">
        <v>-1</v>
      </c>
      <c r="I1194" s="27"/>
      <c r="J1194" s="34"/>
      <c r="K1194" s="35">
        <f t="shared" si="881"/>
        <v>-1</v>
      </c>
      <c r="L1194" s="11">
        <f t="shared" si="882"/>
        <v>-1</v>
      </c>
      <c r="M1194" s="99">
        <v>45297</v>
      </c>
      <c r="N1194" s="15" t="s">
        <v>976</v>
      </c>
      <c r="O1194" s="26">
        <v>2</v>
      </c>
      <c r="P1194" s="47"/>
      <c r="Q1194" s="27">
        <v>3</v>
      </c>
      <c r="R1194" s="34">
        <v>2</v>
      </c>
      <c r="S1194" s="35">
        <f t="shared" si="883"/>
        <v>7</v>
      </c>
      <c r="T1194" s="26">
        <v>2</v>
      </c>
      <c r="U1194" s="47">
        <v>2</v>
      </c>
      <c r="V1194" s="27">
        <v>1</v>
      </c>
      <c r="W1194" s="34"/>
      <c r="X1194" s="35">
        <f t="shared" si="884"/>
        <v>5</v>
      </c>
      <c r="Y1194" s="11">
        <f t="shared" si="875"/>
        <v>12</v>
      </c>
      <c r="Z1194" s="99">
        <v>45288</v>
      </c>
    </row>
    <row r="1195" spans="1:27" x14ac:dyDescent="0.15">
      <c r="A1195" s="13" t="s">
        <v>978</v>
      </c>
      <c r="B1195" s="26"/>
      <c r="C1195" s="47">
        <v>1</v>
      </c>
      <c r="D1195" s="27"/>
      <c r="E1195" s="34">
        <v>1</v>
      </c>
      <c r="F1195" s="35">
        <f t="shared" si="880"/>
        <v>2</v>
      </c>
      <c r="G1195" s="26">
        <v>1</v>
      </c>
      <c r="H1195" s="47"/>
      <c r="I1195" s="27">
        <v>1</v>
      </c>
      <c r="J1195" s="34"/>
      <c r="K1195" s="35">
        <f t="shared" si="881"/>
        <v>2</v>
      </c>
      <c r="L1195" s="11">
        <f t="shared" si="882"/>
        <v>4</v>
      </c>
      <c r="M1195" s="99">
        <v>45301</v>
      </c>
      <c r="N1195" s="15" t="s">
        <v>983</v>
      </c>
      <c r="O1195" s="26"/>
      <c r="P1195" s="47">
        <v>3</v>
      </c>
      <c r="Q1195" s="27">
        <v>3</v>
      </c>
      <c r="R1195" s="50">
        <v>1</v>
      </c>
      <c r="S1195" s="9">
        <f>SUM(O1195:R1195)</f>
        <v>7</v>
      </c>
      <c r="T1195" s="47"/>
      <c r="U1195" s="47"/>
      <c r="V1195" s="27"/>
      <c r="W1195" s="50"/>
      <c r="X1195" s="9">
        <f>SUM(T1195:W1195)</f>
        <v>0</v>
      </c>
      <c r="Y1195" s="11">
        <f t="shared" si="875"/>
        <v>7</v>
      </c>
      <c r="Z1195" s="99">
        <v>45303</v>
      </c>
      <c r="AA1195" s="58"/>
    </row>
    <row r="1196" spans="1:27" x14ac:dyDescent="0.15">
      <c r="A1196" s="15" t="s">
        <v>984</v>
      </c>
      <c r="B1196" s="26"/>
      <c r="C1196" s="47"/>
      <c r="D1196" s="27"/>
      <c r="E1196" s="34">
        <v>1</v>
      </c>
      <c r="F1196" s="35">
        <f t="shared" si="880"/>
        <v>1</v>
      </c>
      <c r="G1196" s="26"/>
      <c r="H1196" s="47"/>
      <c r="I1196" s="27"/>
      <c r="J1196" s="34"/>
      <c r="K1196" s="35">
        <f t="shared" si="881"/>
        <v>0</v>
      </c>
      <c r="L1196" s="11">
        <f t="shared" si="882"/>
        <v>1</v>
      </c>
      <c r="M1196" s="99">
        <v>45303</v>
      </c>
      <c r="N1196" s="90" t="s">
        <v>989</v>
      </c>
      <c r="O1196" s="26"/>
      <c r="P1196" s="47"/>
      <c r="Q1196" s="27"/>
      <c r="R1196" s="34"/>
      <c r="S1196" s="35">
        <f t="shared" ref="S1196:S1213" si="885">SUM(O1196:R1196)</f>
        <v>0</v>
      </c>
      <c r="T1196" s="26"/>
      <c r="U1196" s="47">
        <v>5</v>
      </c>
      <c r="V1196" s="27"/>
      <c r="W1196" s="34"/>
      <c r="X1196" s="35">
        <f t="shared" ref="X1196:X1213" si="886">SUM(T1196:W1196)</f>
        <v>5</v>
      </c>
      <c r="Y1196" s="11">
        <f t="shared" si="875"/>
        <v>5</v>
      </c>
      <c r="Z1196" s="99">
        <v>45309</v>
      </c>
    </row>
    <row r="1197" spans="1:27" x14ac:dyDescent="0.15">
      <c r="A1197" s="15" t="s">
        <v>986</v>
      </c>
      <c r="B1197" s="26"/>
      <c r="C1197" s="47"/>
      <c r="D1197" s="27"/>
      <c r="E1197" s="34">
        <v>1</v>
      </c>
      <c r="F1197" s="35">
        <f t="shared" si="880"/>
        <v>1</v>
      </c>
      <c r="G1197" s="26">
        <v>1</v>
      </c>
      <c r="H1197" s="47"/>
      <c r="I1197" s="27"/>
      <c r="J1197" s="34"/>
      <c r="K1197" s="35">
        <f t="shared" si="881"/>
        <v>1</v>
      </c>
      <c r="L1197" s="11">
        <f t="shared" si="882"/>
        <v>2</v>
      </c>
      <c r="M1197" s="99">
        <v>45306</v>
      </c>
      <c r="N1197" s="15" t="s">
        <v>987</v>
      </c>
      <c r="O1197" s="26">
        <v>12</v>
      </c>
      <c r="P1197" s="47">
        <v>4</v>
      </c>
      <c r="Q1197" s="27">
        <v>2</v>
      </c>
      <c r="R1197" s="34">
        <v>3</v>
      </c>
      <c r="S1197" s="35">
        <f t="shared" si="885"/>
        <v>21</v>
      </c>
      <c r="T1197" s="26">
        <v>1</v>
      </c>
      <c r="U1197" s="47"/>
      <c r="V1197" s="27"/>
      <c r="W1197" s="34"/>
      <c r="X1197" s="35">
        <f t="shared" si="886"/>
        <v>1</v>
      </c>
      <c r="Y1197" s="11">
        <f t="shared" si="875"/>
        <v>22</v>
      </c>
      <c r="Z1197" s="99">
        <v>45308</v>
      </c>
    </row>
    <row r="1198" spans="1:27" x14ac:dyDescent="0.15">
      <c r="A1198" s="15" t="s">
        <v>988</v>
      </c>
      <c r="B1198" s="26"/>
      <c r="C1198" s="47">
        <v>1</v>
      </c>
      <c r="D1198" s="27"/>
      <c r="E1198" s="34"/>
      <c r="F1198" s="35">
        <f t="shared" si="880"/>
        <v>1</v>
      </c>
      <c r="G1198" s="26"/>
      <c r="H1198" s="47">
        <v>1</v>
      </c>
      <c r="I1198" s="27"/>
      <c r="J1198" s="34"/>
      <c r="K1198" s="35">
        <f t="shared" si="881"/>
        <v>1</v>
      </c>
      <c r="L1198" s="11">
        <f t="shared" si="882"/>
        <v>2</v>
      </c>
      <c r="M1198" s="99">
        <v>45309</v>
      </c>
      <c r="N1198" s="57" t="s">
        <v>34</v>
      </c>
      <c r="O1198" s="26"/>
      <c r="P1198" s="47"/>
      <c r="Q1198" s="27"/>
      <c r="R1198" s="34"/>
      <c r="S1198" s="35">
        <f t="shared" si="885"/>
        <v>0</v>
      </c>
      <c r="T1198" s="26">
        <v>5</v>
      </c>
      <c r="U1198" s="47"/>
      <c r="V1198" s="27"/>
      <c r="W1198" s="34"/>
      <c r="X1198" s="35">
        <f t="shared" si="886"/>
        <v>5</v>
      </c>
      <c r="Y1198" s="11">
        <f t="shared" si="875"/>
        <v>5</v>
      </c>
      <c r="Z1198" s="99">
        <v>45311</v>
      </c>
    </row>
    <row r="1199" spans="1:27" x14ac:dyDescent="0.15">
      <c r="A1199" s="12" t="s">
        <v>41</v>
      </c>
      <c r="B1199" s="26"/>
      <c r="C1199" s="47"/>
      <c r="D1199" s="27"/>
      <c r="E1199" s="34"/>
      <c r="F1199" s="35">
        <f t="shared" si="880"/>
        <v>0</v>
      </c>
      <c r="G1199" s="26"/>
      <c r="H1199" s="47">
        <v>2</v>
      </c>
      <c r="I1199" s="27"/>
      <c r="J1199" s="34"/>
      <c r="K1199" s="35">
        <f t="shared" si="881"/>
        <v>2</v>
      </c>
      <c r="L1199" s="11">
        <f t="shared" si="882"/>
        <v>2</v>
      </c>
      <c r="M1199" s="99">
        <v>45307</v>
      </c>
      <c r="N1199" s="57" t="s">
        <v>34</v>
      </c>
      <c r="O1199" s="26"/>
      <c r="P1199" s="47">
        <v>3</v>
      </c>
      <c r="Q1199" s="27"/>
      <c r="R1199" s="34"/>
      <c r="S1199" s="35">
        <f>SUM(O1199:R1199)</f>
        <v>3</v>
      </c>
      <c r="T1199" s="26"/>
      <c r="U1199" s="47">
        <v>3</v>
      </c>
      <c r="V1199" s="27"/>
      <c r="W1199" s="34"/>
      <c r="X1199" s="35">
        <f>SUM(T1199:W1199)</f>
        <v>3</v>
      </c>
      <c r="Y1199" s="11">
        <f t="shared" si="875"/>
        <v>6</v>
      </c>
      <c r="Z1199" s="99">
        <v>45315</v>
      </c>
    </row>
    <row r="1200" spans="1:27" ht="14.25" thickBot="1" x14ac:dyDescent="0.2">
      <c r="A1200" s="15" t="s">
        <v>992</v>
      </c>
      <c r="B1200" s="26"/>
      <c r="C1200" s="47">
        <v>1</v>
      </c>
      <c r="D1200" s="27"/>
      <c r="E1200" s="34"/>
      <c r="F1200" s="35">
        <f t="shared" si="880"/>
        <v>1</v>
      </c>
      <c r="G1200" s="26"/>
      <c r="H1200" s="47"/>
      <c r="I1200" s="27"/>
      <c r="J1200" s="34"/>
      <c r="K1200" s="35">
        <f t="shared" si="881"/>
        <v>0</v>
      </c>
      <c r="L1200" s="11">
        <f t="shared" si="882"/>
        <v>1</v>
      </c>
      <c r="M1200" s="99">
        <v>45310</v>
      </c>
      <c r="N1200" s="57" t="s">
        <v>34</v>
      </c>
      <c r="O1200" s="26"/>
      <c r="P1200" s="47">
        <v>3</v>
      </c>
      <c r="Q1200" s="27"/>
      <c r="R1200" s="34"/>
      <c r="S1200" s="35">
        <f>SUM(O1200:R1200)</f>
        <v>3</v>
      </c>
      <c r="T1200" s="26"/>
      <c r="U1200" s="47">
        <v>3</v>
      </c>
      <c r="V1200" s="27"/>
      <c r="W1200" s="34"/>
      <c r="X1200" s="35">
        <f>SUM(T1200:W1200)</f>
        <v>3</v>
      </c>
      <c r="Y1200" s="11">
        <f t="shared" si="875"/>
        <v>6</v>
      </c>
      <c r="Z1200" s="99">
        <v>45320</v>
      </c>
    </row>
    <row r="1201" spans="1:26" x14ac:dyDescent="0.15">
      <c r="A1201" s="12" t="s">
        <v>41</v>
      </c>
      <c r="B1201" s="26"/>
      <c r="C1201" s="47"/>
      <c r="D1201" s="27"/>
      <c r="E1201" s="34"/>
      <c r="F1201" s="35">
        <f t="shared" si="880"/>
        <v>0</v>
      </c>
      <c r="G1201" s="26">
        <v>2</v>
      </c>
      <c r="H1201" s="47"/>
      <c r="I1201" s="27"/>
      <c r="J1201" s="34"/>
      <c r="K1201" s="35">
        <f t="shared" si="881"/>
        <v>2</v>
      </c>
      <c r="L1201" s="11">
        <f t="shared" si="882"/>
        <v>2</v>
      </c>
      <c r="M1201" s="99">
        <v>45308</v>
      </c>
      <c r="N1201" s="15" t="s">
        <v>1013</v>
      </c>
      <c r="O1201" s="66">
        <v>4</v>
      </c>
      <c r="P1201" s="67">
        <v>1</v>
      </c>
      <c r="Q1201" s="68">
        <v>1</v>
      </c>
      <c r="R1201" s="94"/>
      <c r="S1201" s="80">
        <f>SUM(O1201:R1201)</f>
        <v>6</v>
      </c>
      <c r="T1201" s="67">
        <v>1</v>
      </c>
      <c r="U1201" s="67"/>
      <c r="V1201" s="68"/>
      <c r="W1201" s="94"/>
      <c r="X1201" s="80">
        <f>SUM(T1201:W1201)</f>
        <v>1</v>
      </c>
      <c r="Y1201" s="11">
        <f t="shared" si="875"/>
        <v>7</v>
      </c>
      <c r="Z1201" s="99">
        <v>45323</v>
      </c>
    </row>
    <row r="1202" spans="1:26" x14ac:dyDescent="0.15">
      <c r="A1202" s="15" t="s">
        <v>993</v>
      </c>
      <c r="B1202" s="26"/>
      <c r="C1202" s="47">
        <v>3</v>
      </c>
      <c r="D1202" s="27"/>
      <c r="E1202" s="34"/>
      <c r="F1202" s="35">
        <f t="shared" si="880"/>
        <v>3</v>
      </c>
      <c r="G1202" s="26"/>
      <c r="H1202" s="47"/>
      <c r="I1202" s="27"/>
      <c r="J1202" s="34"/>
      <c r="K1202" s="35">
        <f t="shared" si="881"/>
        <v>0</v>
      </c>
      <c r="L1202" s="11">
        <f t="shared" si="882"/>
        <v>3</v>
      </c>
      <c r="M1202" s="99">
        <v>45310</v>
      </c>
      <c r="N1202" s="15" t="s">
        <v>1016</v>
      </c>
      <c r="O1202" s="26">
        <v>3</v>
      </c>
      <c r="P1202" s="47">
        <v>5</v>
      </c>
      <c r="Q1202" s="27">
        <v>1</v>
      </c>
      <c r="R1202" s="50">
        <v>2</v>
      </c>
      <c r="S1202" s="9">
        <f t="shared" ref="S1202" si="887">SUM(O1202:R1202)</f>
        <v>11</v>
      </c>
      <c r="T1202" s="26">
        <v>2</v>
      </c>
      <c r="U1202" s="47">
        <v>2</v>
      </c>
      <c r="V1202" s="27">
        <v>1</v>
      </c>
      <c r="W1202" s="50">
        <v>1</v>
      </c>
      <c r="X1202" s="9">
        <f t="shared" ref="X1202" si="888">SUM(T1202:W1202)</f>
        <v>6</v>
      </c>
      <c r="Y1202" s="11">
        <f t="shared" si="875"/>
        <v>17</v>
      </c>
      <c r="Z1202" s="99">
        <v>45324</v>
      </c>
    </row>
    <row r="1203" spans="1:26" x14ac:dyDescent="0.15">
      <c r="A1203" s="15" t="s">
        <v>994</v>
      </c>
      <c r="B1203" s="26"/>
      <c r="C1203" s="47"/>
      <c r="D1203" s="27"/>
      <c r="E1203" s="34"/>
      <c r="F1203" s="35">
        <f t="shared" si="880"/>
        <v>0</v>
      </c>
      <c r="G1203" s="26">
        <v>1</v>
      </c>
      <c r="H1203" s="47">
        <v>1</v>
      </c>
      <c r="I1203" s="27">
        <v>1</v>
      </c>
      <c r="J1203" s="34"/>
      <c r="K1203" s="35">
        <f t="shared" si="881"/>
        <v>3</v>
      </c>
      <c r="L1203" s="11">
        <f t="shared" si="882"/>
        <v>3</v>
      </c>
      <c r="M1203" s="99">
        <v>45313</v>
      </c>
      <c r="N1203" s="12"/>
      <c r="O1203" s="26"/>
      <c r="P1203" s="47"/>
      <c r="Q1203" s="27"/>
      <c r="R1203" s="34"/>
      <c r="S1203" s="35">
        <f t="shared" si="885"/>
        <v>0</v>
      </c>
      <c r="T1203" s="26"/>
      <c r="U1203" s="47"/>
      <c r="V1203" s="27"/>
      <c r="W1203" s="34"/>
      <c r="X1203" s="35">
        <f t="shared" si="886"/>
        <v>0</v>
      </c>
      <c r="Y1203" s="11">
        <f t="shared" si="875"/>
        <v>0</v>
      </c>
      <c r="Z1203" s="101"/>
    </row>
    <row r="1204" spans="1:26" x14ac:dyDescent="0.15">
      <c r="A1204" s="12" t="s">
        <v>41</v>
      </c>
      <c r="B1204" s="26"/>
      <c r="C1204" s="47"/>
      <c r="D1204" s="27">
        <v>1</v>
      </c>
      <c r="E1204" s="34"/>
      <c r="F1204" s="35">
        <f t="shared" si="880"/>
        <v>1</v>
      </c>
      <c r="G1204" s="26"/>
      <c r="H1204" s="47"/>
      <c r="I1204" s="27"/>
      <c r="J1204" s="34"/>
      <c r="K1204" s="35">
        <f t="shared" si="881"/>
        <v>0</v>
      </c>
      <c r="L1204" s="11">
        <f t="shared" si="882"/>
        <v>1</v>
      </c>
      <c r="M1204" s="99">
        <v>45311</v>
      </c>
      <c r="N1204" s="57"/>
      <c r="O1204" s="26"/>
      <c r="P1204" s="47"/>
      <c r="Q1204" s="27"/>
      <c r="R1204" s="34"/>
      <c r="S1204" s="35">
        <f t="shared" si="885"/>
        <v>0</v>
      </c>
      <c r="T1204" s="26"/>
      <c r="U1204" s="47"/>
      <c r="V1204" s="27"/>
      <c r="W1204" s="34"/>
      <c r="X1204" s="35">
        <f t="shared" si="886"/>
        <v>0</v>
      </c>
      <c r="Y1204" s="11">
        <f t="shared" si="875"/>
        <v>0</v>
      </c>
      <c r="Z1204" s="101"/>
    </row>
    <row r="1205" spans="1:26" x14ac:dyDescent="0.15">
      <c r="A1205" s="15" t="s">
        <v>1000</v>
      </c>
      <c r="B1205" s="26"/>
      <c r="C1205" s="47"/>
      <c r="D1205" s="27"/>
      <c r="E1205" s="34"/>
      <c r="F1205" s="35">
        <f t="shared" si="880"/>
        <v>0</v>
      </c>
      <c r="G1205" s="26"/>
      <c r="H1205" s="47">
        <v>1</v>
      </c>
      <c r="I1205" s="27"/>
      <c r="J1205" s="34"/>
      <c r="K1205" s="35">
        <f t="shared" si="881"/>
        <v>1</v>
      </c>
      <c r="L1205" s="11">
        <f t="shared" si="882"/>
        <v>1</v>
      </c>
      <c r="M1205" s="99">
        <v>45315</v>
      </c>
      <c r="N1205" s="57"/>
      <c r="O1205" s="26"/>
      <c r="P1205" s="47"/>
      <c r="Q1205" s="27"/>
      <c r="R1205" s="34"/>
      <c r="S1205" s="35">
        <f t="shared" si="885"/>
        <v>0</v>
      </c>
      <c r="T1205" s="26"/>
      <c r="U1205" s="47"/>
      <c r="V1205" s="27"/>
      <c r="W1205" s="34"/>
      <c r="X1205" s="35">
        <f t="shared" si="886"/>
        <v>0</v>
      </c>
      <c r="Y1205" s="11">
        <f t="shared" si="875"/>
        <v>0</v>
      </c>
      <c r="Z1205" s="101"/>
    </row>
    <row r="1206" spans="1:26" x14ac:dyDescent="0.15">
      <c r="A1206" s="15" t="s">
        <v>1005</v>
      </c>
      <c r="B1206" s="26"/>
      <c r="C1206" s="47">
        <v>3</v>
      </c>
      <c r="D1206" s="27"/>
      <c r="E1206" s="34"/>
      <c r="F1206" s="35">
        <f t="shared" si="880"/>
        <v>3</v>
      </c>
      <c r="G1206" s="26">
        <v>1</v>
      </c>
      <c r="H1206" s="47"/>
      <c r="I1206" s="27">
        <v>1</v>
      </c>
      <c r="J1206" s="34"/>
      <c r="K1206" s="35">
        <f t="shared" si="881"/>
        <v>2</v>
      </c>
      <c r="L1206" s="11">
        <f t="shared" si="882"/>
        <v>5</v>
      </c>
      <c r="M1206" s="99">
        <v>45316</v>
      </c>
      <c r="N1206" s="12"/>
      <c r="O1206" s="26"/>
      <c r="P1206" s="47"/>
      <c r="Q1206" s="27"/>
      <c r="R1206" s="34"/>
      <c r="S1206" s="35">
        <f t="shared" si="885"/>
        <v>0</v>
      </c>
      <c r="T1206" s="26"/>
      <c r="U1206" s="47"/>
      <c r="V1206" s="27"/>
      <c r="W1206" s="34"/>
      <c r="X1206" s="35">
        <f t="shared" si="886"/>
        <v>0</v>
      </c>
      <c r="Y1206" s="11">
        <f t="shared" si="875"/>
        <v>0</v>
      </c>
      <c r="Z1206" s="101"/>
    </row>
    <row r="1207" spans="1:26" x14ac:dyDescent="0.15">
      <c r="A1207" s="15" t="s">
        <v>1007</v>
      </c>
      <c r="B1207" s="26">
        <v>2</v>
      </c>
      <c r="C1207" s="47"/>
      <c r="D1207" s="27"/>
      <c r="E1207" s="34"/>
      <c r="F1207" s="35">
        <f t="shared" si="878"/>
        <v>2</v>
      </c>
      <c r="G1207" s="26"/>
      <c r="H1207" s="47"/>
      <c r="I1207" s="27"/>
      <c r="J1207" s="34"/>
      <c r="K1207" s="35">
        <f t="shared" si="879"/>
        <v>0</v>
      </c>
      <c r="L1207" s="11">
        <f t="shared" si="872"/>
        <v>2</v>
      </c>
      <c r="M1207" s="99">
        <v>45317</v>
      </c>
      <c r="N1207" s="12"/>
      <c r="O1207" s="26"/>
      <c r="P1207" s="47"/>
      <c r="Q1207" s="27"/>
      <c r="R1207" s="34"/>
      <c r="S1207" s="35">
        <f t="shared" ref="S1207:S1209" si="889">SUM(O1207:R1207)</f>
        <v>0</v>
      </c>
      <c r="T1207" s="26"/>
      <c r="U1207" s="47"/>
      <c r="V1207" s="27"/>
      <c r="W1207" s="34"/>
      <c r="X1207" s="35">
        <f t="shared" ref="X1207:X1209" si="890">SUM(T1207:W1207)</f>
        <v>0</v>
      </c>
      <c r="Y1207" s="11">
        <f t="shared" ref="Y1207:Y1209" si="891">S1207+X1207</f>
        <v>0</v>
      </c>
    </row>
    <row r="1208" spans="1:26" x14ac:dyDescent="0.15">
      <c r="A1208" s="15" t="s">
        <v>1008</v>
      </c>
      <c r="B1208" s="26">
        <v>1</v>
      </c>
      <c r="C1208" s="47"/>
      <c r="D1208" s="27">
        <v>3</v>
      </c>
      <c r="E1208" s="34">
        <v>1</v>
      </c>
      <c r="F1208" s="35">
        <f t="shared" si="878"/>
        <v>5</v>
      </c>
      <c r="G1208" s="26"/>
      <c r="H1208" s="47"/>
      <c r="I1208" s="27"/>
      <c r="J1208" s="34"/>
      <c r="K1208" s="35">
        <f t="shared" si="879"/>
        <v>0</v>
      </c>
      <c r="L1208" s="11">
        <f t="shared" si="872"/>
        <v>5</v>
      </c>
      <c r="M1208" s="99">
        <v>45317</v>
      </c>
      <c r="N1208" s="12"/>
      <c r="O1208" s="26"/>
      <c r="P1208" s="47"/>
      <c r="Q1208" s="27"/>
      <c r="R1208" s="34"/>
      <c r="S1208" s="35">
        <f t="shared" si="889"/>
        <v>0</v>
      </c>
      <c r="T1208" s="26"/>
      <c r="U1208" s="47"/>
      <c r="V1208" s="27"/>
      <c r="W1208" s="34"/>
      <c r="X1208" s="35">
        <f t="shared" si="890"/>
        <v>0</v>
      </c>
      <c r="Y1208" s="11">
        <f t="shared" si="891"/>
        <v>0</v>
      </c>
    </row>
    <row r="1209" spans="1:26" x14ac:dyDescent="0.15">
      <c r="A1209" s="12" t="s">
        <v>41</v>
      </c>
      <c r="B1209" s="26"/>
      <c r="C1209" s="47"/>
      <c r="D1209" s="27"/>
      <c r="E1209" s="34"/>
      <c r="F1209" s="35">
        <f t="shared" si="878"/>
        <v>0</v>
      </c>
      <c r="G1209" s="26"/>
      <c r="H1209" s="47">
        <v>1</v>
      </c>
      <c r="I1209" s="27"/>
      <c r="J1209" s="34"/>
      <c r="K1209" s="35">
        <f t="shared" si="879"/>
        <v>1</v>
      </c>
      <c r="L1209" s="11">
        <f t="shared" si="872"/>
        <v>1</v>
      </c>
      <c r="M1209" s="126">
        <v>45316</v>
      </c>
      <c r="N1209" s="12"/>
      <c r="O1209" s="26"/>
      <c r="P1209" s="47"/>
      <c r="Q1209" s="27"/>
      <c r="R1209" s="34"/>
      <c r="S1209" s="35">
        <f t="shared" si="889"/>
        <v>0</v>
      </c>
      <c r="T1209" s="26"/>
      <c r="U1209" s="47"/>
      <c r="V1209" s="27"/>
      <c r="W1209" s="34"/>
      <c r="X1209" s="35">
        <f t="shared" si="890"/>
        <v>0</v>
      </c>
      <c r="Y1209" s="11">
        <f t="shared" si="891"/>
        <v>0</v>
      </c>
    </row>
    <row r="1210" spans="1:26" x14ac:dyDescent="0.15">
      <c r="A1210" s="12" t="s">
        <v>41</v>
      </c>
      <c r="B1210" s="26"/>
      <c r="C1210" s="47"/>
      <c r="D1210" s="27"/>
      <c r="E1210" s="34"/>
      <c r="F1210" s="35">
        <f t="shared" si="878"/>
        <v>0</v>
      </c>
      <c r="G1210" s="26"/>
      <c r="H1210" s="47">
        <v>1</v>
      </c>
      <c r="I1210" s="27"/>
      <c r="J1210" s="34"/>
      <c r="K1210" s="35">
        <f t="shared" si="879"/>
        <v>1</v>
      </c>
      <c r="L1210" s="11">
        <f t="shared" si="872"/>
        <v>1</v>
      </c>
      <c r="M1210" s="126">
        <v>45317</v>
      </c>
      <c r="N1210" s="12" t="s">
        <v>875</v>
      </c>
      <c r="O1210" s="26"/>
      <c r="P1210" s="47"/>
      <c r="Q1210" s="27"/>
      <c r="R1210" s="219"/>
      <c r="S1210" s="35">
        <f t="shared" ref="S1210:S1211" si="892">SUM(O1210:R1210)</f>
        <v>0</v>
      </c>
      <c r="T1210" s="26"/>
      <c r="U1210" s="47"/>
      <c r="V1210" s="27"/>
      <c r="W1210" s="219"/>
      <c r="X1210" s="35">
        <f t="shared" ref="X1210:X1211" si="893">SUM(T1210:W1210)</f>
        <v>0</v>
      </c>
      <c r="Y1210" s="108">
        <f t="shared" ref="Y1210:Y1211" si="894">S1210+X1210</f>
        <v>0</v>
      </c>
      <c r="Z1210" s="101" t="s">
        <v>874</v>
      </c>
    </row>
    <row r="1211" spans="1:26" x14ac:dyDescent="0.15">
      <c r="A1211" s="57" t="s">
        <v>1030</v>
      </c>
      <c r="B1211" s="26"/>
      <c r="C1211" s="47">
        <v>-3</v>
      </c>
      <c r="D1211" s="27"/>
      <c r="E1211" s="34"/>
      <c r="F1211" s="35">
        <f>SUM(B1211:E1211)</f>
        <v>-3</v>
      </c>
      <c r="G1211" s="26"/>
      <c r="H1211" s="47">
        <v>-3</v>
      </c>
      <c r="I1211" s="27"/>
      <c r="J1211" s="34"/>
      <c r="K1211" s="35">
        <f>SUM(G1211:J1211)</f>
        <v>-3</v>
      </c>
      <c r="L1211" s="11">
        <f t="shared" si="872"/>
        <v>-6</v>
      </c>
      <c r="M1211" s="126">
        <v>45320</v>
      </c>
      <c r="N1211" s="12" t="s">
        <v>951</v>
      </c>
      <c r="O1211" s="26"/>
      <c r="P1211" s="47"/>
      <c r="Q1211" s="27"/>
      <c r="R1211" s="34"/>
      <c r="S1211" s="35">
        <f t="shared" si="892"/>
        <v>0</v>
      </c>
      <c r="T1211" s="26"/>
      <c r="U1211" s="47"/>
      <c r="V1211" s="27"/>
      <c r="W1211" s="34"/>
      <c r="X1211" s="35">
        <f t="shared" si="893"/>
        <v>0</v>
      </c>
      <c r="Y1211" s="108">
        <f t="shared" si="894"/>
        <v>0</v>
      </c>
      <c r="Z1211" s="101" t="s">
        <v>952</v>
      </c>
    </row>
    <row r="1212" spans="1:26" ht="14.25" thickBot="1" x14ac:dyDescent="0.2">
      <c r="A1212" s="90"/>
      <c r="B1212" s="62"/>
      <c r="C1212" s="63"/>
      <c r="D1212" s="64"/>
      <c r="E1212" s="65"/>
      <c r="F1212" s="35">
        <f t="shared" si="878"/>
        <v>0</v>
      </c>
      <c r="G1212" s="62"/>
      <c r="H1212" s="63"/>
      <c r="I1212" s="64"/>
      <c r="J1212" s="65"/>
      <c r="K1212" s="35">
        <f t="shared" si="879"/>
        <v>0</v>
      </c>
      <c r="L1212" s="14">
        <f t="shared" si="872"/>
        <v>0</v>
      </c>
      <c r="N1212" s="220" t="s">
        <v>973</v>
      </c>
      <c r="O1212" s="109"/>
      <c r="P1212" s="110"/>
      <c r="Q1212" s="111"/>
      <c r="R1212" s="112"/>
      <c r="S1212" s="134">
        <f t="shared" ref="S1212" si="895">SUM(O1212:R1212)</f>
        <v>0</v>
      </c>
      <c r="T1212" s="109"/>
      <c r="U1212" s="110"/>
      <c r="V1212" s="111"/>
      <c r="W1212" s="112"/>
      <c r="X1212" s="134">
        <f t="shared" ref="X1212" si="896">SUM(T1212:W1212)</f>
        <v>0</v>
      </c>
      <c r="Y1212" s="119">
        <f t="shared" ref="Y1212" si="897">S1212+X1212</f>
        <v>0</v>
      </c>
      <c r="Z1212" s="101" t="s">
        <v>974</v>
      </c>
    </row>
    <row r="1213" spans="1:26" ht="14.25" thickBot="1" x14ac:dyDescent="0.2">
      <c r="A1213" s="17" t="s">
        <v>10</v>
      </c>
      <c r="B1213" s="38">
        <f>SUM(B1188:B1212)</f>
        <v>4</v>
      </c>
      <c r="C1213" s="48">
        <f>SUM(C1188:C1212)</f>
        <v>7</v>
      </c>
      <c r="D1213" s="39">
        <f>SUM(D1188:D1212)</f>
        <v>4</v>
      </c>
      <c r="E1213" s="40">
        <f>SUM(E1188:E1212)</f>
        <v>3</v>
      </c>
      <c r="F1213" s="36">
        <f>SUM(B1213:E1213)</f>
        <v>18</v>
      </c>
      <c r="G1213" s="38">
        <f>SUM(G1188:G1212)</f>
        <v>10</v>
      </c>
      <c r="H1213" s="48">
        <f>SUM(H1188:H1212)</f>
        <v>5</v>
      </c>
      <c r="I1213" s="39">
        <f>SUM(I1188:I1212)</f>
        <v>1</v>
      </c>
      <c r="J1213" s="40">
        <f>SUM(J1188:J1212)</f>
        <v>-1</v>
      </c>
      <c r="K1213" s="36">
        <f>SUM(G1213:J1213)</f>
        <v>15</v>
      </c>
      <c r="L1213" s="37">
        <f t="shared" si="872"/>
        <v>33</v>
      </c>
      <c r="N1213" s="133" t="s">
        <v>10</v>
      </c>
      <c r="O1213" s="38">
        <f>SUM(O1188:O1212)</f>
        <v>56</v>
      </c>
      <c r="P1213" s="48">
        <f>SUM(P1188:P1212)</f>
        <v>45</v>
      </c>
      <c r="Q1213" s="39">
        <f>SUM(Q1188:Q1212)</f>
        <v>39</v>
      </c>
      <c r="R1213" s="40">
        <f>SUM(R1188:R1212)</f>
        <v>14</v>
      </c>
      <c r="S1213" s="118">
        <f t="shared" si="885"/>
        <v>154</v>
      </c>
      <c r="T1213" s="38">
        <f>SUM(T1188:T1212)</f>
        <v>38</v>
      </c>
      <c r="U1213" s="48">
        <f>SUM(U1188:U1212)</f>
        <v>56</v>
      </c>
      <c r="V1213" s="39">
        <f>SUM(V1188:V1212)</f>
        <v>66</v>
      </c>
      <c r="W1213" s="40">
        <f>SUM(W1188:W1212)</f>
        <v>5</v>
      </c>
      <c r="X1213" s="118">
        <f t="shared" si="886"/>
        <v>165</v>
      </c>
      <c r="Y1213" s="119">
        <f t="shared" si="875"/>
        <v>319</v>
      </c>
    </row>
    <row r="1214" spans="1:26" ht="14.25" thickBot="1" x14ac:dyDescent="0.2">
      <c r="A1214" s="22" t="s">
        <v>11</v>
      </c>
      <c r="B1214" s="41">
        <f>B1187-B1213</f>
        <v>4</v>
      </c>
      <c r="C1214" s="49">
        <f>C1187-C1213</f>
        <v>8</v>
      </c>
      <c r="D1214" s="42">
        <f t="shared" ref="D1214:K1214" si="898">D1187-D1213</f>
        <v>9</v>
      </c>
      <c r="E1214" s="43">
        <f t="shared" si="898"/>
        <v>8</v>
      </c>
      <c r="F1214" s="61">
        <f t="shared" si="898"/>
        <v>25</v>
      </c>
      <c r="G1214" s="41">
        <f t="shared" si="898"/>
        <v>5</v>
      </c>
      <c r="H1214" s="49">
        <f t="shared" si="898"/>
        <v>6</v>
      </c>
      <c r="I1214" s="42">
        <f t="shared" si="898"/>
        <v>6</v>
      </c>
      <c r="J1214" s="43">
        <f t="shared" si="898"/>
        <v>10</v>
      </c>
      <c r="K1214" s="61">
        <f t="shared" si="898"/>
        <v>27</v>
      </c>
      <c r="L1214" s="21">
        <f t="shared" si="872"/>
        <v>52</v>
      </c>
      <c r="N1214" s="17" t="s">
        <v>11</v>
      </c>
      <c r="O1214" s="41">
        <f>O1187-O1213</f>
        <v>436</v>
      </c>
      <c r="P1214" s="49">
        <f t="shared" ref="P1214:Q1214" si="899">P1187-P1213</f>
        <v>559</v>
      </c>
      <c r="Q1214" s="42">
        <f t="shared" si="899"/>
        <v>354</v>
      </c>
      <c r="R1214" s="43">
        <f>R1187-R1213</f>
        <v>251</v>
      </c>
      <c r="S1214" s="61">
        <f t="shared" ref="S1214:X1214" si="900">S1187-S1213</f>
        <v>1600</v>
      </c>
      <c r="T1214" s="41">
        <f t="shared" si="900"/>
        <v>408</v>
      </c>
      <c r="U1214" s="49">
        <f t="shared" si="900"/>
        <v>490</v>
      </c>
      <c r="V1214" s="42">
        <f t="shared" si="900"/>
        <v>306</v>
      </c>
      <c r="W1214" s="43">
        <f t="shared" si="900"/>
        <v>269</v>
      </c>
      <c r="X1214" s="61">
        <f t="shared" si="900"/>
        <v>1473</v>
      </c>
      <c r="Y1214" s="21">
        <f t="shared" si="875"/>
        <v>3073</v>
      </c>
    </row>
    <row r="1217" spans="1:27" ht="19.5" thickBot="1" x14ac:dyDescent="0.25">
      <c r="A1217" s="2" t="s">
        <v>106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105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7" ht="14.25" thickBot="1" x14ac:dyDescent="0.2">
      <c r="A1218" s="5" t="s">
        <v>0</v>
      </c>
      <c r="B1218" s="342" t="s">
        <v>18</v>
      </c>
      <c r="C1218" s="350"/>
      <c r="D1218" s="350"/>
      <c r="E1218" s="350"/>
      <c r="F1218" s="351"/>
      <c r="G1218" s="345" t="s">
        <v>12</v>
      </c>
      <c r="H1218" s="352"/>
      <c r="I1218" s="352"/>
      <c r="J1218" s="352"/>
      <c r="K1218" s="353"/>
      <c r="L1218" s="354" t="s">
        <v>1</v>
      </c>
      <c r="N1218" s="5" t="s">
        <v>0</v>
      </c>
      <c r="O1218" s="342" t="s">
        <v>18</v>
      </c>
      <c r="P1218" s="350"/>
      <c r="Q1218" s="350"/>
      <c r="R1218" s="350"/>
      <c r="S1218" s="351"/>
      <c r="T1218" s="345" t="s">
        <v>12</v>
      </c>
      <c r="U1218" s="352"/>
      <c r="V1218" s="352"/>
      <c r="W1218" s="352"/>
      <c r="X1218" s="353"/>
      <c r="Y1218" s="354" t="s">
        <v>1</v>
      </c>
    </row>
    <row r="1219" spans="1:27" ht="14.25" thickBot="1" x14ac:dyDescent="0.2">
      <c r="A1219" s="5" t="s">
        <v>2</v>
      </c>
      <c r="B1219" s="3" t="s">
        <v>13</v>
      </c>
      <c r="C1219" s="44" t="s">
        <v>14</v>
      </c>
      <c r="D1219" s="4" t="s">
        <v>15</v>
      </c>
      <c r="E1219" s="23" t="s">
        <v>16</v>
      </c>
      <c r="F1219" s="31" t="s">
        <v>3</v>
      </c>
      <c r="G1219" s="3" t="s">
        <v>13</v>
      </c>
      <c r="H1219" s="44" t="s">
        <v>14</v>
      </c>
      <c r="I1219" s="4" t="s">
        <v>15</v>
      </c>
      <c r="J1219" s="23" t="s">
        <v>16</v>
      </c>
      <c r="K1219" s="31" t="s">
        <v>3</v>
      </c>
      <c r="L1219" s="355"/>
      <c r="N1219" s="5" t="s">
        <v>2</v>
      </c>
      <c r="O1219" s="3" t="s">
        <v>13</v>
      </c>
      <c r="P1219" s="44" t="s">
        <v>14</v>
      </c>
      <c r="Q1219" s="4" t="s">
        <v>15</v>
      </c>
      <c r="R1219" s="23" t="s">
        <v>16</v>
      </c>
      <c r="S1219" s="31" t="s">
        <v>3</v>
      </c>
      <c r="T1219" s="3" t="s">
        <v>13</v>
      </c>
      <c r="U1219" s="44" t="s">
        <v>14</v>
      </c>
      <c r="V1219" s="4" t="s">
        <v>15</v>
      </c>
      <c r="W1219" s="23" t="s">
        <v>16</v>
      </c>
      <c r="X1219" s="31" t="s">
        <v>3</v>
      </c>
      <c r="Y1219" s="355"/>
    </row>
    <row r="1220" spans="1:27" x14ac:dyDescent="0.15">
      <c r="A1220" s="71" t="s">
        <v>17</v>
      </c>
      <c r="B1220" s="72">
        <f>B1214</f>
        <v>4</v>
      </c>
      <c r="C1220" s="73">
        <f t="shared" ref="C1220:L1220" si="901">C1214</f>
        <v>8</v>
      </c>
      <c r="D1220" s="73">
        <f t="shared" si="901"/>
        <v>9</v>
      </c>
      <c r="E1220" s="74">
        <f t="shared" si="901"/>
        <v>8</v>
      </c>
      <c r="F1220" s="76">
        <f t="shared" si="901"/>
        <v>25</v>
      </c>
      <c r="G1220" s="72">
        <f t="shared" si="901"/>
        <v>5</v>
      </c>
      <c r="H1220" s="73">
        <f t="shared" si="901"/>
        <v>6</v>
      </c>
      <c r="I1220" s="73">
        <f t="shared" si="901"/>
        <v>6</v>
      </c>
      <c r="J1220" s="74">
        <f t="shared" si="901"/>
        <v>10</v>
      </c>
      <c r="K1220" s="75">
        <f t="shared" si="901"/>
        <v>27</v>
      </c>
      <c r="L1220" s="16">
        <f t="shared" si="901"/>
        <v>52</v>
      </c>
      <c r="N1220" s="71" t="s">
        <v>17</v>
      </c>
      <c r="O1220" s="72">
        <f>O1214</f>
        <v>436</v>
      </c>
      <c r="P1220" s="73">
        <f t="shared" ref="P1220:Y1220" si="902">P1214</f>
        <v>559</v>
      </c>
      <c r="Q1220" s="73">
        <f t="shared" si="902"/>
        <v>354</v>
      </c>
      <c r="R1220" s="74">
        <f t="shared" si="902"/>
        <v>251</v>
      </c>
      <c r="S1220" s="76">
        <f t="shared" si="902"/>
        <v>1600</v>
      </c>
      <c r="T1220" s="72">
        <f t="shared" si="902"/>
        <v>408</v>
      </c>
      <c r="U1220" s="73">
        <f t="shared" si="902"/>
        <v>490</v>
      </c>
      <c r="V1220" s="73">
        <f t="shared" si="902"/>
        <v>306</v>
      </c>
      <c r="W1220" s="74">
        <f t="shared" si="902"/>
        <v>269</v>
      </c>
      <c r="X1220" s="75">
        <f t="shared" si="902"/>
        <v>1473</v>
      </c>
      <c r="Y1220" s="16">
        <f t="shared" si="902"/>
        <v>3073</v>
      </c>
    </row>
    <row r="1221" spans="1:27" x14ac:dyDescent="0.15">
      <c r="A1221" s="79" t="s">
        <v>999</v>
      </c>
      <c r="B1221" s="26">
        <v>1</v>
      </c>
      <c r="C1221" s="47"/>
      <c r="D1221" s="27"/>
      <c r="E1221" s="34"/>
      <c r="F1221" s="35">
        <f>SUM(B1221:E1221)</f>
        <v>1</v>
      </c>
      <c r="G1221" s="26">
        <v>1</v>
      </c>
      <c r="H1221" s="47"/>
      <c r="I1221" s="27"/>
      <c r="J1221" s="34"/>
      <c r="K1221" s="35">
        <f>SUM(G1221:J1221)</f>
        <v>1</v>
      </c>
      <c r="L1221" s="11">
        <f t="shared" ref="L1221:L1224" si="903">F1221+K1221</f>
        <v>2</v>
      </c>
      <c r="M1221" s="126">
        <v>45311</v>
      </c>
      <c r="N1221" s="13" t="s">
        <v>350</v>
      </c>
      <c r="O1221" s="26"/>
      <c r="P1221" s="47">
        <v>6</v>
      </c>
      <c r="Q1221" s="27"/>
      <c r="R1221" s="34">
        <v>10</v>
      </c>
      <c r="S1221" s="35">
        <f t="shared" ref="S1221" si="904">SUM(O1221:R1221)</f>
        <v>16</v>
      </c>
      <c r="T1221" s="26"/>
      <c r="U1221" s="47">
        <v>12</v>
      </c>
      <c r="V1221" s="27"/>
      <c r="W1221" s="34"/>
      <c r="X1221" s="35">
        <f t="shared" ref="X1221" si="905">SUM(T1221:W1221)</f>
        <v>12</v>
      </c>
      <c r="Y1221" s="11">
        <f t="shared" ref="Y1221" si="906">S1221+X1221</f>
        <v>28</v>
      </c>
      <c r="Z1221" s="99">
        <v>45339</v>
      </c>
    </row>
    <row r="1222" spans="1:27" x14ac:dyDescent="0.15">
      <c r="A1222" s="13" t="s">
        <v>1031</v>
      </c>
      <c r="B1222" s="26"/>
      <c r="C1222" s="47">
        <v>1</v>
      </c>
      <c r="D1222" s="27">
        <v>1</v>
      </c>
      <c r="E1222" s="50"/>
      <c r="F1222" s="9">
        <f>SUM(B1222:E1222)</f>
        <v>2</v>
      </c>
      <c r="G1222" s="47"/>
      <c r="H1222" s="47"/>
      <c r="I1222" s="27"/>
      <c r="J1222" s="50"/>
      <c r="K1222" s="9">
        <f>SUM(G1222:J1222)</f>
        <v>0</v>
      </c>
      <c r="L1222" s="11">
        <f t="shared" si="903"/>
        <v>2</v>
      </c>
      <c r="M1222" s="99">
        <v>45320</v>
      </c>
      <c r="N1222" s="13" t="s">
        <v>6</v>
      </c>
      <c r="O1222" s="26"/>
      <c r="P1222" s="47"/>
      <c r="Q1222" s="27"/>
      <c r="R1222" s="34"/>
      <c r="S1222" s="77">
        <f>SUM(O1222:R1222)</f>
        <v>0</v>
      </c>
      <c r="T1222" s="26"/>
      <c r="U1222" s="47"/>
      <c r="V1222" s="27"/>
      <c r="W1222" s="34"/>
      <c r="X1222" s="9">
        <f>SUM(T1222:W1222)</f>
        <v>0</v>
      </c>
      <c r="Y1222" s="11">
        <f t="shared" ref="Y1222:Y1250" si="907">S1222+X1222</f>
        <v>0</v>
      </c>
    </row>
    <row r="1223" spans="1:27" x14ac:dyDescent="0.15">
      <c r="A1223" s="13" t="s">
        <v>1032</v>
      </c>
      <c r="B1223" s="26">
        <v>1</v>
      </c>
      <c r="C1223" s="47"/>
      <c r="D1223" s="27"/>
      <c r="E1223" s="50"/>
      <c r="F1223" s="9">
        <f t="shared" ref="F1223" si="908">SUM(B1223:E1223)</f>
        <v>1</v>
      </c>
      <c r="G1223" s="47">
        <v>1</v>
      </c>
      <c r="H1223" s="47"/>
      <c r="I1223" s="27"/>
      <c r="J1223" s="50"/>
      <c r="K1223" s="9">
        <f t="shared" ref="K1223" si="909">SUM(G1223:J1223)</f>
        <v>1</v>
      </c>
      <c r="L1223" s="11">
        <f t="shared" si="903"/>
        <v>2</v>
      </c>
      <c r="M1223" s="99">
        <v>45325</v>
      </c>
      <c r="N1223" s="13" t="s">
        <v>7</v>
      </c>
      <c r="O1223" s="26"/>
      <c r="P1223" s="47"/>
      <c r="Q1223" s="27"/>
      <c r="R1223" s="34"/>
      <c r="S1223" s="77">
        <f t="shared" ref="S1223:S1224" si="910">SUM(O1223:R1223)</f>
        <v>0</v>
      </c>
      <c r="T1223" s="26"/>
      <c r="U1223" s="47"/>
      <c r="V1223" s="27"/>
      <c r="W1223" s="34"/>
      <c r="X1223" s="9">
        <f t="shared" ref="X1223:X1224" si="911">SUM(T1223:W1223)</f>
        <v>0</v>
      </c>
      <c r="Y1223" s="11">
        <f t="shared" si="907"/>
        <v>0</v>
      </c>
    </row>
    <row r="1224" spans="1:27" ht="14.25" thickBot="1" x14ac:dyDescent="0.2">
      <c r="A1224" s="250" t="s">
        <v>1033</v>
      </c>
      <c r="B1224" s="62">
        <v>5</v>
      </c>
      <c r="C1224" s="63">
        <v>12</v>
      </c>
      <c r="D1224" s="64">
        <v>3</v>
      </c>
      <c r="E1224" s="65">
        <v>12</v>
      </c>
      <c r="F1224" s="120">
        <f>SUM(B1224:E1224)</f>
        <v>32</v>
      </c>
      <c r="G1224" s="62">
        <v>4</v>
      </c>
      <c r="H1224" s="63">
        <v>13</v>
      </c>
      <c r="I1224" s="64">
        <v>1</v>
      </c>
      <c r="J1224" s="65">
        <v>2</v>
      </c>
      <c r="K1224" s="120">
        <f>SUM(G1224:J1224)</f>
        <v>20</v>
      </c>
      <c r="L1224" s="121">
        <f t="shared" si="903"/>
        <v>52</v>
      </c>
      <c r="M1224" s="126">
        <v>45330</v>
      </c>
      <c r="N1224" s="13" t="s">
        <v>8</v>
      </c>
      <c r="O1224" s="26"/>
      <c r="P1224" s="47"/>
      <c r="Q1224" s="27"/>
      <c r="R1224" s="34"/>
      <c r="S1224" s="77">
        <f t="shared" si="910"/>
        <v>0</v>
      </c>
      <c r="T1224" s="26"/>
      <c r="U1224" s="47"/>
      <c r="V1224" s="27"/>
      <c r="W1224" s="34"/>
      <c r="X1224" s="9">
        <f t="shared" si="911"/>
        <v>0</v>
      </c>
      <c r="Y1224" s="11">
        <f t="shared" si="907"/>
        <v>0</v>
      </c>
    </row>
    <row r="1225" spans="1:27" ht="14.25" thickBot="1" x14ac:dyDescent="0.2">
      <c r="A1225" s="245" t="s">
        <v>9</v>
      </c>
      <c r="B1225" s="246">
        <f t="shared" ref="B1225:K1225" si="912">SUM(B1220:B1224)</f>
        <v>11</v>
      </c>
      <c r="C1225" s="247">
        <f t="shared" si="912"/>
        <v>21</v>
      </c>
      <c r="D1225" s="248">
        <f t="shared" si="912"/>
        <v>13</v>
      </c>
      <c r="E1225" s="249">
        <f t="shared" si="912"/>
        <v>20</v>
      </c>
      <c r="F1225" s="28">
        <f t="shared" si="912"/>
        <v>61</v>
      </c>
      <c r="G1225" s="246">
        <f t="shared" si="912"/>
        <v>11</v>
      </c>
      <c r="H1225" s="247">
        <f t="shared" si="912"/>
        <v>19</v>
      </c>
      <c r="I1225" s="248">
        <f t="shared" si="912"/>
        <v>7</v>
      </c>
      <c r="J1225" s="249">
        <f t="shared" si="912"/>
        <v>12</v>
      </c>
      <c r="K1225" s="28">
        <f t="shared" si="912"/>
        <v>49</v>
      </c>
      <c r="L1225" s="137">
        <f t="shared" ref="L1225:L1252" si="913">F1225+K1225</f>
        <v>110</v>
      </c>
      <c r="N1225" s="17" t="s">
        <v>9</v>
      </c>
      <c r="O1225" s="41">
        <f>SUM(O1220:O1224)</f>
        <v>436</v>
      </c>
      <c r="P1225" s="49">
        <f t="shared" ref="P1225:V1225" si="914">SUM(P1220:P1224)</f>
        <v>565</v>
      </c>
      <c r="Q1225" s="42">
        <f t="shared" si="914"/>
        <v>354</v>
      </c>
      <c r="R1225" s="92">
        <f t="shared" si="914"/>
        <v>261</v>
      </c>
      <c r="S1225" s="93">
        <f t="shared" si="914"/>
        <v>1616</v>
      </c>
      <c r="T1225" s="41">
        <f t="shared" si="914"/>
        <v>408</v>
      </c>
      <c r="U1225" s="49">
        <f t="shared" si="914"/>
        <v>502</v>
      </c>
      <c r="V1225" s="42">
        <f t="shared" si="914"/>
        <v>306</v>
      </c>
      <c r="W1225" s="92">
        <f>SUM(W1220:W1224)</f>
        <v>269</v>
      </c>
      <c r="X1225" s="93">
        <f t="shared" ref="X1225" si="915">SUM(X1220:X1224)</f>
        <v>1485</v>
      </c>
      <c r="Y1225" s="56">
        <f t="shared" si="907"/>
        <v>3101</v>
      </c>
    </row>
    <row r="1226" spans="1:27" x14ac:dyDescent="0.15">
      <c r="A1226" s="15" t="s">
        <v>1009</v>
      </c>
      <c r="B1226" s="24">
        <v>1</v>
      </c>
      <c r="C1226" s="46">
        <v>1</v>
      </c>
      <c r="D1226" s="25">
        <v>2</v>
      </c>
      <c r="E1226" s="33"/>
      <c r="F1226" s="35">
        <f>SUM(B1226:E1226)</f>
        <v>4</v>
      </c>
      <c r="G1226" s="24">
        <v>2</v>
      </c>
      <c r="H1226" s="46">
        <v>1</v>
      </c>
      <c r="I1226" s="25">
        <v>1</v>
      </c>
      <c r="J1226" s="33"/>
      <c r="K1226" s="35">
        <f>SUM(G1226:J1226)</f>
        <v>4</v>
      </c>
      <c r="L1226" s="11">
        <f t="shared" si="913"/>
        <v>8</v>
      </c>
      <c r="M1226" s="99">
        <v>45322</v>
      </c>
      <c r="N1226" s="15" t="s">
        <v>1019</v>
      </c>
      <c r="O1226" s="26">
        <v>37</v>
      </c>
      <c r="P1226" s="47">
        <v>36</v>
      </c>
      <c r="Q1226" s="27">
        <v>21</v>
      </c>
      <c r="R1226" s="50">
        <v>12</v>
      </c>
      <c r="S1226" s="9">
        <f t="shared" ref="S1226" si="916">SUM(O1226:R1226)</f>
        <v>106</v>
      </c>
      <c r="T1226" s="26">
        <v>13</v>
      </c>
      <c r="U1226" s="47">
        <v>12</v>
      </c>
      <c r="V1226" s="27">
        <v>10</v>
      </c>
      <c r="W1226" s="50">
        <v>5</v>
      </c>
      <c r="X1226" s="9">
        <f t="shared" ref="X1226" si="917">SUM(T1226:W1226)</f>
        <v>40</v>
      </c>
      <c r="Y1226" s="11">
        <f t="shared" si="907"/>
        <v>146</v>
      </c>
      <c r="Z1226" s="99">
        <v>45327</v>
      </c>
      <c r="AA1226" s="58"/>
    </row>
    <row r="1227" spans="1:27" x14ac:dyDescent="0.15">
      <c r="A1227" s="15" t="s">
        <v>1015</v>
      </c>
      <c r="B1227" s="26"/>
      <c r="C1227" s="47"/>
      <c r="D1227" s="27"/>
      <c r="E1227" s="34"/>
      <c r="F1227" s="35">
        <f>SUM(B1227:E1227)</f>
        <v>0</v>
      </c>
      <c r="G1227" s="26"/>
      <c r="H1227" s="47">
        <v>1</v>
      </c>
      <c r="I1227" s="27"/>
      <c r="J1227" s="34"/>
      <c r="K1227" s="35">
        <f>SUM(G1227:J1227)</f>
        <v>1</v>
      </c>
      <c r="L1227" s="11">
        <f t="shared" si="913"/>
        <v>1</v>
      </c>
      <c r="M1227" s="99">
        <v>45324</v>
      </c>
      <c r="N1227" s="57" t="s">
        <v>1020</v>
      </c>
      <c r="O1227" s="66">
        <v>8</v>
      </c>
      <c r="P1227" s="67">
        <v>8</v>
      </c>
      <c r="Q1227" s="68">
        <v>8</v>
      </c>
      <c r="R1227" s="94">
        <v>8</v>
      </c>
      <c r="S1227" s="91">
        <f>SUM(O1227:R1227)</f>
        <v>32</v>
      </c>
      <c r="T1227" s="67">
        <v>8</v>
      </c>
      <c r="U1227" s="67">
        <v>8</v>
      </c>
      <c r="V1227" s="68">
        <v>8</v>
      </c>
      <c r="W1227" s="94">
        <v>8</v>
      </c>
      <c r="X1227" s="91">
        <f>SUM(T1227:W1227)</f>
        <v>32</v>
      </c>
      <c r="Y1227" s="11">
        <f t="shared" si="907"/>
        <v>64</v>
      </c>
      <c r="Z1227" s="99">
        <v>45327</v>
      </c>
      <c r="AA1227" s="58"/>
    </row>
    <row r="1228" spans="1:27" x14ac:dyDescent="0.15">
      <c r="A1228" s="12" t="s">
        <v>41</v>
      </c>
      <c r="B1228" s="26"/>
      <c r="C1228" s="47"/>
      <c r="D1228" s="27"/>
      <c r="E1228" s="34"/>
      <c r="F1228" s="35">
        <f t="shared" ref="F1228:F1250" si="918">SUM(B1228:E1228)</f>
        <v>0</v>
      </c>
      <c r="G1228" s="26">
        <v>2</v>
      </c>
      <c r="H1228" s="47"/>
      <c r="I1228" s="27">
        <v>1</v>
      </c>
      <c r="J1228" s="34"/>
      <c r="K1228" s="35">
        <f t="shared" ref="K1228:K1250" si="919">SUM(G1228:J1228)</f>
        <v>3</v>
      </c>
      <c r="L1228" s="11">
        <f t="shared" si="913"/>
        <v>3</v>
      </c>
      <c r="M1228" s="126">
        <v>45324</v>
      </c>
      <c r="N1228" s="12" t="s">
        <v>1021</v>
      </c>
      <c r="O1228" s="26">
        <v>30</v>
      </c>
      <c r="P1228" s="47">
        <v>30</v>
      </c>
      <c r="Q1228" s="27">
        <v>20</v>
      </c>
      <c r="R1228" s="50">
        <v>20</v>
      </c>
      <c r="S1228" s="9">
        <f t="shared" ref="S1228:S1230" si="920">SUM(O1228:R1228)</f>
        <v>100</v>
      </c>
      <c r="T1228" s="26">
        <v>20</v>
      </c>
      <c r="U1228" s="47">
        <v>20</v>
      </c>
      <c r="V1228" s="27">
        <v>20</v>
      </c>
      <c r="W1228" s="50">
        <v>20</v>
      </c>
      <c r="X1228" s="9">
        <f t="shared" ref="X1228:X1230" si="921">SUM(T1228:W1228)</f>
        <v>80</v>
      </c>
      <c r="Y1228" s="11">
        <f t="shared" si="907"/>
        <v>180</v>
      </c>
      <c r="Z1228" s="99">
        <v>45330</v>
      </c>
      <c r="AA1228" s="58"/>
    </row>
    <row r="1229" spans="1:27" x14ac:dyDescent="0.15">
      <c r="A1229" s="32" t="s">
        <v>1025</v>
      </c>
      <c r="B1229" s="66"/>
      <c r="C1229" s="67"/>
      <c r="D1229" s="68"/>
      <c r="E1229" s="69"/>
      <c r="F1229" s="70">
        <f t="shared" si="918"/>
        <v>0</v>
      </c>
      <c r="G1229" s="66">
        <v>-3</v>
      </c>
      <c r="H1229" s="67"/>
      <c r="I1229" s="68"/>
      <c r="J1229" s="69"/>
      <c r="K1229" s="70">
        <f t="shared" si="919"/>
        <v>-3</v>
      </c>
      <c r="L1229" s="11">
        <f t="shared" si="913"/>
        <v>-3</v>
      </c>
      <c r="M1229" s="99">
        <v>45329</v>
      </c>
      <c r="N1229" s="12" t="s">
        <v>1022</v>
      </c>
      <c r="O1229" s="26">
        <v>1</v>
      </c>
      <c r="P1229" s="47">
        <v>1</v>
      </c>
      <c r="Q1229" s="27">
        <v>1</v>
      </c>
      <c r="R1229" s="50">
        <v>1</v>
      </c>
      <c r="S1229" s="9">
        <f t="shared" si="920"/>
        <v>4</v>
      </c>
      <c r="T1229" s="26">
        <v>1</v>
      </c>
      <c r="U1229" s="47">
        <v>1</v>
      </c>
      <c r="V1229" s="27">
        <v>1</v>
      </c>
      <c r="W1229" s="50">
        <v>1</v>
      </c>
      <c r="X1229" s="9">
        <f t="shared" si="921"/>
        <v>4</v>
      </c>
      <c r="Y1229" s="11">
        <f t="shared" si="907"/>
        <v>8</v>
      </c>
      <c r="Z1229" s="99">
        <v>45331</v>
      </c>
    </row>
    <row r="1230" spans="1:27" x14ac:dyDescent="0.15">
      <c r="A1230" s="12" t="s">
        <v>41</v>
      </c>
      <c r="B1230" s="26"/>
      <c r="C1230" s="47"/>
      <c r="D1230" s="27"/>
      <c r="E1230" s="34"/>
      <c r="F1230" s="35">
        <f t="shared" si="918"/>
        <v>0</v>
      </c>
      <c r="G1230" s="26"/>
      <c r="H1230" s="47"/>
      <c r="I1230" s="27">
        <v>1</v>
      </c>
      <c r="J1230" s="34"/>
      <c r="K1230" s="35">
        <f t="shared" si="919"/>
        <v>1</v>
      </c>
      <c r="L1230" s="11">
        <f t="shared" si="913"/>
        <v>1</v>
      </c>
      <c r="M1230" s="126">
        <v>45328</v>
      </c>
      <c r="N1230" s="12" t="s">
        <v>1023</v>
      </c>
      <c r="O1230" s="26">
        <v>2</v>
      </c>
      <c r="P1230" s="47">
        <v>2</v>
      </c>
      <c r="Q1230" s="27">
        <v>2</v>
      </c>
      <c r="R1230" s="50">
        <v>2</v>
      </c>
      <c r="S1230" s="9">
        <f t="shared" si="920"/>
        <v>8</v>
      </c>
      <c r="T1230" s="26">
        <v>2</v>
      </c>
      <c r="U1230" s="47">
        <v>2</v>
      </c>
      <c r="V1230" s="27">
        <v>2</v>
      </c>
      <c r="W1230" s="50"/>
      <c r="X1230" s="9">
        <f t="shared" si="921"/>
        <v>6</v>
      </c>
      <c r="Y1230" s="11">
        <f t="shared" si="907"/>
        <v>14</v>
      </c>
      <c r="Z1230" s="99">
        <v>45331</v>
      </c>
    </row>
    <row r="1231" spans="1:27" x14ac:dyDescent="0.15">
      <c r="A1231" s="32" t="s">
        <v>62</v>
      </c>
      <c r="B1231" s="26"/>
      <c r="C1231" s="47"/>
      <c r="D1231" s="27"/>
      <c r="E1231" s="34"/>
      <c r="F1231" s="35">
        <f t="shared" si="918"/>
        <v>0</v>
      </c>
      <c r="G1231" s="26"/>
      <c r="H1231" s="47"/>
      <c r="I1231" s="27">
        <v>-3</v>
      </c>
      <c r="J1231" s="34"/>
      <c r="K1231" s="35">
        <f t="shared" si="919"/>
        <v>-3</v>
      </c>
      <c r="L1231" s="11">
        <f t="shared" si="913"/>
        <v>-3</v>
      </c>
      <c r="M1231" s="99">
        <v>45330</v>
      </c>
      <c r="N1231" s="15" t="s">
        <v>1024</v>
      </c>
      <c r="O1231" s="26">
        <v>13</v>
      </c>
      <c r="P1231" s="47">
        <v>8</v>
      </c>
      <c r="Q1231" s="27">
        <v>1</v>
      </c>
      <c r="R1231" s="50">
        <v>14</v>
      </c>
      <c r="S1231" s="9">
        <f>SUM(O1231:R1231)</f>
        <v>36</v>
      </c>
      <c r="T1231" s="47">
        <v>6</v>
      </c>
      <c r="U1231" s="47"/>
      <c r="V1231" s="27"/>
      <c r="W1231" s="50"/>
      <c r="X1231" s="9">
        <f>SUM(T1231:W1231)</f>
        <v>6</v>
      </c>
      <c r="Y1231" s="11">
        <f t="shared" si="907"/>
        <v>42</v>
      </c>
      <c r="Z1231" s="99">
        <v>45330</v>
      </c>
    </row>
    <row r="1232" spans="1:27" x14ac:dyDescent="0.15">
      <c r="A1232" s="12" t="s">
        <v>41</v>
      </c>
      <c r="B1232" s="26"/>
      <c r="C1232" s="47"/>
      <c r="D1232" s="27"/>
      <c r="E1232" s="34"/>
      <c r="F1232" s="35">
        <f t="shared" si="918"/>
        <v>0</v>
      </c>
      <c r="G1232" s="26"/>
      <c r="H1232" s="47">
        <v>1</v>
      </c>
      <c r="I1232" s="27"/>
      <c r="J1232" s="34"/>
      <c r="K1232" s="35">
        <f t="shared" si="919"/>
        <v>1</v>
      </c>
      <c r="L1232" s="11">
        <f t="shared" si="913"/>
        <v>1</v>
      </c>
      <c r="M1232" s="126">
        <v>45330</v>
      </c>
      <c r="N1232" s="57" t="s">
        <v>34</v>
      </c>
      <c r="O1232" s="26"/>
      <c r="P1232" s="47"/>
      <c r="Q1232" s="27"/>
      <c r="R1232" s="50"/>
      <c r="S1232" s="9">
        <f t="shared" ref="S1232:S1250" si="922">SUM(O1232:R1232)</f>
        <v>0</v>
      </c>
      <c r="T1232" s="26">
        <v>3</v>
      </c>
      <c r="U1232" s="47"/>
      <c r="V1232" s="27"/>
      <c r="W1232" s="50"/>
      <c r="X1232" s="9">
        <f t="shared" ref="X1232:X1250" si="923">SUM(T1232:W1232)</f>
        <v>3</v>
      </c>
      <c r="Y1232" s="11">
        <f t="shared" si="907"/>
        <v>3</v>
      </c>
      <c r="Z1232" s="99">
        <v>45329</v>
      </c>
    </row>
    <row r="1233" spans="1:28" x14ac:dyDescent="0.15">
      <c r="A1233" s="32" t="s">
        <v>1037</v>
      </c>
      <c r="B1233" s="26"/>
      <c r="C1233" s="47"/>
      <c r="D1233" s="27"/>
      <c r="E1233" s="34"/>
      <c r="F1233" s="35">
        <f t="shared" si="918"/>
        <v>0</v>
      </c>
      <c r="G1233" s="26"/>
      <c r="H1233" s="47">
        <v>-1</v>
      </c>
      <c r="I1233" s="27"/>
      <c r="J1233" s="34"/>
      <c r="K1233" s="35">
        <f t="shared" si="919"/>
        <v>-1</v>
      </c>
      <c r="L1233" s="11">
        <f t="shared" si="913"/>
        <v>-1</v>
      </c>
      <c r="M1233" s="126">
        <v>45331</v>
      </c>
      <c r="N1233" s="15" t="s">
        <v>1026</v>
      </c>
      <c r="O1233" s="26">
        <v>28</v>
      </c>
      <c r="P1233" s="47">
        <v>5</v>
      </c>
      <c r="Q1233" s="27">
        <v>12</v>
      </c>
      <c r="R1233" s="50">
        <v>11</v>
      </c>
      <c r="S1233" s="9">
        <f t="shared" si="922"/>
        <v>56</v>
      </c>
      <c r="T1233" s="26"/>
      <c r="U1233" s="47"/>
      <c r="V1233" s="27"/>
      <c r="W1233" s="50">
        <v>3</v>
      </c>
      <c r="X1233" s="9">
        <f t="shared" si="923"/>
        <v>3</v>
      </c>
      <c r="Y1233" s="11">
        <f t="shared" si="907"/>
        <v>59</v>
      </c>
      <c r="Z1233" s="99">
        <v>45331</v>
      </c>
      <c r="AA1233" s="58"/>
    </row>
    <row r="1234" spans="1:28" x14ac:dyDescent="0.15">
      <c r="A1234" s="12" t="s">
        <v>41</v>
      </c>
      <c r="B1234" s="26"/>
      <c r="C1234" s="47"/>
      <c r="D1234" s="27"/>
      <c r="E1234" s="34"/>
      <c r="F1234" s="35">
        <f t="shared" si="918"/>
        <v>0</v>
      </c>
      <c r="G1234" s="26">
        <v>1</v>
      </c>
      <c r="H1234" s="47"/>
      <c r="I1234" s="27"/>
      <c r="J1234" s="34">
        <v>1</v>
      </c>
      <c r="K1234" s="35">
        <f t="shared" si="919"/>
        <v>2</v>
      </c>
      <c r="L1234" s="11">
        <f t="shared" si="913"/>
        <v>2</v>
      </c>
      <c r="M1234" s="126">
        <v>45335</v>
      </c>
      <c r="N1234" s="57" t="s">
        <v>34</v>
      </c>
      <c r="O1234" s="26"/>
      <c r="P1234" s="47"/>
      <c r="Q1234" s="27"/>
      <c r="R1234" s="50"/>
      <c r="S1234" s="9">
        <f t="shared" si="922"/>
        <v>0</v>
      </c>
      <c r="T1234" s="26"/>
      <c r="U1234" s="47"/>
      <c r="V1234" s="27">
        <v>3</v>
      </c>
      <c r="W1234" s="50"/>
      <c r="X1234" s="9">
        <f t="shared" si="923"/>
        <v>3</v>
      </c>
      <c r="Y1234" s="11">
        <f t="shared" si="907"/>
        <v>3</v>
      </c>
      <c r="Z1234" s="99">
        <v>45330</v>
      </c>
    </row>
    <row r="1235" spans="1:28" x14ac:dyDescent="0.15">
      <c r="A1235" s="15" t="s">
        <v>1040</v>
      </c>
      <c r="B1235" s="26">
        <v>9</v>
      </c>
      <c r="C1235" s="47">
        <v>12</v>
      </c>
      <c r="D1235" s="27">
        <v>4</v>
      </c>
      <c r="E1235" s="34">
        <v>2</v>
      </c>
      <c r="F1235" s="35">
        <f t="shared" si="918"/>
        <v>27</v>
      </c>
      <c r="G1235" s="26">
        <v>5</v>
      </c>
      <c r="H1235" s="47"/>
      <c r="I1235" s="27">
        <v>1</v>
      </c>
      <c r="J1235" s="34">
        <v>2</v>
      </c>
      <c r="K1235" s="35">
        <f t="shared" si="919"/>
        <v>8</v>
      </c>
      <c r="L1235" s="11">
        <f t="shared" si="913"/>
        <v>35</v>
      </c>
      <c r="M1235" s="99">
        <v>45338</v>
      </c>
      <c r="N1235" s="15" t="s">
        <v>1029</v>
      </c>
      <c r="O1235" s="26">
        <v>1</v>
      </c>
      <c r="P1235" s="47">
        <v>14</v>
      </c>
      <c r="Q1235" s="27">
        <v>3</v>
      </c>
      <c r="R1235" s="50">
        <v>1</v>
      </c>
      <c r="S1235" s="9">
        <f t="shared" si="922"/>
        <v>19</v>
      </c>
      <c r="T1235" s="26">
        <v>2</v>
      </c>
      <c r="U1235" s="47">
        <v>2</v>
      </c>
      <c r="V1235" s="27"/>
      <c r="W1235" s="50">
        <v>1</v>
      </c>
      <c r="X1235" s="9">
        <f t="shared" si="923"/>
        <v>5</v>
      </c>
      <c r="Y1235" s="11">
        <f t="shared" si="907"/>
        <v>24</v>
      </c>
      <c r="Z1235" s="99">
        <v>45331</v>
      </c>
    </row>
    <row r="1236" spans="1:28" x14ac:dyDescent="0.15">
      <c r="A1236" s="15" t="s">
        <v>1043</v>
      </c>
      <c r="B1236" s="26"/>
      <c r="C1236" s="47"/>
      <c r="D1236" s="27">
        <v>5</v>
      </c>
      <c r="E1236" s="34">
        <v>3</v>
      </c>
      <c r="F1236" s="35">
        <f t="shared" si="918"/>
        <v>8</v>
      </c>
      <c r="G1236" s="26"/>
      <c r="H1236" s="47">
        <v>1</v>
      </c>
      <c r="I1236" s="27">
        <v>2</v>
      </c>
      <c r="J1236" s="34">
        <v>2</v>
      </c>
      <c r="K1236" s="35">
        <f t="shared" si="919"/>
        <v>5</v>
      </c>
      <c r="L1236" s="11">
        <f t="shared" si="913"/>
        <v>13</v>
      </c>
      <c r="M1236" s="99">
        <v>45338</v>
      </c>
      <c r="N1236" s="15" t="s">
        <v>1035</v>
      </c>
      <c r="O1236" s="26"/>
      <c r="P1236" s="47">
        <v>18</v>
      </c>
      <c r="Q1236" s="27">
        <v>8</v>
      </c>
      <c r="R1236" s="50">
        <v>3</v>
      </c>
      <c r="S1236" s="9">
        <f t="shared" si="922"/>
        <v>29</v>
      </c>
      <c r="T1236" s="26"/>
      <c r="U1236" s="47">
        <v>11</v>
      </c>
      <c r="V1236" s="27"/>
      <c r="W1236" s="50"/>
      <c r="X1236" s="9">
        <f t="shared" si="923"/>
        <v>11</v>
      </c>
      <c r="Y1236" s="11">
        <f t="shared" si="907"/>
        <v>40</v>
      </c>
      <c r="Z1236" s="99">
        <v>45335</v>
      </c>
    </row>
    <row r="1237" spans="1:28" x14ac:dyDescent="0.15">
      <c r="A1237" s="13" t="s">
        <v>1049</v>
      </c>
      <c r="B1237" s="26"/>
      <c r="C1237" s="47">
        <v>6</v>
      </c>
      <c r="D1237" s="27"/>
      <c r="E1237" s="34">
        <v>10</v>
      </c>
      <c r="F1237" s="35">
        <f t="shared" si="918"/>
        <v>16</v>
      </c>
      <c r="G1237" s="26"/>
      <c r="H1237" s="47">
        <v>12</v>
      </c>
      <c r="I1237" s="27"/>
      <c r="J1237" s="34"/>
      <c r="K1237" s="35">
        <f t="shared" si="919"/>
        <v>12</v>
      </c>
      <c r="L1237" s="11">
        <f t="shared" si="913"/>
        <v>28</v>
      </c>
      <c r="M1237" s="99">
        <v>45339</v>
      </c>
      <c r="N1237" s="15" t="s">
        <v>1038</v>
      </c>
      <c r="O1237" s="26">
        <v>5</v>
      </c>
      <c r="P1237" s="47">
        <v>19</v>
      </c>
      <c r="Q1237" s="27">
        <v>4</v>
      </c>
      <c r="R1237" s="50">
        <v>8</v>
      </c>
      <c r="S1237" s="9">
        <f t="shared" si="922"/>
        <v>36</v>
      </c>
      <c r="T1237" s="26"/>
      <c r="U1237" s="47">
        <v>3</v>
      </c>
      <c r="V1237" s="27">
        <v>4</v>
      </c>
      <c r="W1237" s="50">
        <v>6</v>
      </c>
      <c r="X1237" s="9">
        <f t="shared" si="923"/>
        <v>13</v>
      </c>
      <c r="Y1237" s="11">
        <f t="shared" si="907"/>
        <v>49</v>
      </c>
      <c r="Z1237" s="99">
        <v>45337</v>
      </c>
    </row>
    <row r="1238" spans="1:28" x14ac:dyDescent="0.15">
      <c r="A1238" s="12" t="s">
        <v>1058</v>
      </c>
      <c r="B1238" s="26"/>
      <c r="C1238" s="47"/>
      <c r="D1238" s="27"/>
      <c r="E1238" s="34"/>
      <c r="F1238" s="35">
        <f t="shared" si="918"/>
        <v>0</v>
      </c>
      <c r="G1238" s="26"/>
      <c r="H1238" s="47">
        <v>1</v>
      </c>
      <c r="I1238" s="27"/>
      <c r="J1238" s="34"/>
      <c r="K1238" s="35">
        <f t="shared" si="919"/>
        <v>1</v>
      </c>
      <c r="L1238" s="11">
        <f t="shared" si="913"/>
        <v>1</v>
      </c>
      <c r="M1238" s="126">
        <v>45343</v>
      </c>
      <c r="N1238" s="57" t="s">
        <v>1039</v>
      </c>
      <c r="O1238" s="26"/>
      <c r="P1238" s="47">
        <v>8</v>
      </c>
      <c r="Q1238" s="27">
        <v>6</v>
      </c>
      <c r="R1238" s="50"/>
      <c r="S1238" s="9">
        <f t="shared" si="922"/>
        <v>14</v>
      </c>
      <c r="T1238" s="26"/>
      <c r="U1238" s="47"/>
      <c r="V1238" s="27"/>
      <c r="W1238" s="50"/>
      <c r="X1238" s="9">
        <f t="shared" si="923"/>
        <v>0</v>
      </c>
      <c r="Y1238" s="11">
        <f t="shared" si="907"/>
        <v>14</v>
      </c>
      <c r="Z1238" s="99">
        <v>45338</v>
      </c>
    </row>
    <row r="1239" spans="1:28" x14ac:dyDescent="0.15">
      <c r="A1239" s="15"/>
      <c r="B1239" s="26"/>
      <c r="C1239" s="47"/>
      <c r="D1239" s="27"/>
      <c r="E1239" s="34"/>
      <c r="F1239" s="35">
        <f t="shared" ref="F1239" si="924">SUM(B1239:E1239)</f>
        <v>0</v>
      </c>
      <c r="G1239" s="26"/>
      <c r="H1239" s="47"/>
      <c r="I1239" s="27"/>
      <c r="J1239" s="34"/>
      <c r="K1239" s="35">
        <f t="shared" ref="K1239" si="925">SUM(G1239:J1239)</f>
        <v>0</v>
      </c>
      <c r="L1239" s="11">
        <f t="shared" ref="L1239" si="926">F1239+K1239</f>
        <v>0</v>
      </c>
      <c r="N1239" s="12" t="s">
        <v>1041</v>
      </c>
      <c r="O1239" s="26"/>
      <c r="P1239" s="47">
        <v>3</v>
      </c>
      <c r="Q1239" s="27"/>
      <c r="R1239" s="50"/>
      <c r="S1239" s="9">
        <f t="shared" si="922"/>
        <v>3</v>
      </c>
      <c r="T1239" s="26"/>
      <c r="U1239" s="47">
        <v>3</v>
      </c>
      <c r="V1239" s="27"/>
      <c r="W1239" s="50"/>
      <c r="X1239" s="9">
        <f t="shared" si="923"/>
        <v>3</v>
      </c>
      <c r="Y1239" s="11">
        <f t="shared" si="907"/>
        <v>6</v>
      </c>
      <c r="Z1239" s="99">
        <v>45341</v>
      </c>
    </row>
    <row r="1240" spans="1:28" x14ac:dyDescent="0.15">
      <c r="A1240" s="15"/>
      <c r="B1240" s="26"/>
      <c r="C1240" s="47"/>
      <c r="D1240" s="27"/>
      <c r="E1240" s="34"/>
      <c r="F1240" s="35">
        <f t="shared" si="918"/>
        <v>0</v>
      </c>
      <c r="G1240" s="26"/>
      <c r="H1240" s="47"/>
      <c r="I1240" s="27"/>
      <c r="J1240" s="34"/>
      <c r="K1240" s="35">
        <f t="shared" si="919"/>
        <v>0</v>
      </c>
      <c r="L1240" s="11">
        <f t="shared" si="913"/>
        <v>0</v>
      </c>
      <c r="N1240" s="12" t="s">
        <v>1042</v>
      </c>
      <c r="O1240" s="26"/>
      <c r="P1240" s="47">
        <v>10</v>
      </c>
      <c r="Q1240" s="27"/>
      <c r="R1240" s="50"/>
      <c r="S1240" s="9">
        <f t="shared" si="922"/>
        <v>10</v>
      </c>
      <c r="T1240" s="26"/>
      <c r="U1240" s="47">
        <v>6</v>
      </c>
      <c r="V1240" s="27"/>
      <c r="W1240" s="50"/>
      <c r="X1240" s="9">
        <f t="shared" si="923"/>
        <v>6</v>
      </c>
      <c r="Y1240" s="11">
        <f t="shared" si="907"/>
        <v>16</v>
      </c>
      <c r="Z1240" s="99">
        <v>45341</v>
      </c>
      <c r="AA1240" s="58"/>
      <c r="AB1240" s="58"/>
    </row>
    <row r="1241" spans="1:28" x14ac:dyDescent="0.15">
      <c r="A1241" s="13"/>
      <c r="B1241" s="26"/>
      <c r="C1241" s="47"/>
      <c r="D1241" s="27"/>
      <c r="E1241" s="34"/>
      <c r="F1241" s="35">
        <f t="shared" si="918"/>
        <v>0</v>
      </c>
      <c r="G1241" s="26"/>
      <c r="H1241" s="47"/>
      <c r="I1241" s="27"/>
      <c r="J1241" s="34"/>
      <c r="K1241" s="35">
        <f t="shared" si="919"/>
        <v>0</v>
      </c>
      <c r="L1241" s="11">
        <f t="shared" si="913"/>
        <v>0</v>
      </c>
      <c r="N1241" s="90" t="s">
        <v>1054</v>
      </c>
      <c r="O1241" s="26"/>
      <c r="P1241" s="47"/>
      <c r="Q1241" s="27"/>
      <c r="R1241" s="50"/>
      <c r="S1241" s="9">
        <f t="shared" si="922"/>
        <v>0</v>
      </c>
      <c r="T1241" s="26"/>
      <c r="U1241" s="47">
        <v>5</v>
      </c>
      <c r="V1241" s="27"/>
      <c r="W1241" s="50"/>
      <c r="X1241" s="9">
        <f t="shared" si="923"/>
        <v>5</v>
      </c>
      <c r="Y1241" s="11">
        <f t="shared" si="907"/>
        <v>5</v>
      </c>
      <c r="Z1241" s="99">
        <v>45343</v>
      </c>
    </row>
    <row r="1242" spans="1:28" x14ac:dyDescent="0.15">
      <c r="A1242" s="15"/>
      <c r="B1242" s="26"/>
      <c r="C1242" s="47"/>
      <c r="D1242" s="27"/>
      <c r="E1242" s="34"/>
      <c r="F1242" s="35">
        <f t="shared" si="918"/>
        <v>0</v>
      </c>
      <c r="G1242" s="26"/>
      <c r="H1242" s="47"/>
      <c r="I1242" s="27"/>
      <c r="J1242" s="34"/>
      <c r="K1242" s="35">
        <f t="shared" si="919"/>
        <v>0</v>
      </c>
      <c r="L1242" s="11">
        <f t="shared" si="913"/>
        <v>0</v>
      </c>
      <c r="N1242" s="12" t="s">
        <v>1044</v>
      </c>
      <c r="O1242" s="66">
        <v>3</v>
      </c>
      <c r="P1242" s="67"/>
      <c r="Q1242" s="68"/>
      <c r="R1242" s="94"/>
      <c r="S1242" s="91">
        <f>SUM(O1242:R1242)</f>
        <v>3</v>
      </c>
      <c r="T1242" s="67">
        <v>3</v>
      </c>
      <c r="U1242" s="67"/>
      <c r="V1242" s="68"/>
      <c r="W1242" s="94"/>
      <c r="X1242" s="91">
        <f>SUM(T1242:W1242)</f>
        <v>3</v>
      </c>
      <c r="Y1242" s="11">
        <f t="shared" si="907"/>
        <v>6</v>
      </c>
      <c r="Z1242" s="99">
        <v>45341</v>
      </c>
    </row>
    <row r="1243" spans="1:28" x14ac:dyDescent="0.15">
      <c r="A1243" s="15"/>
      <c r="B1243" s="26"/>
      <c r="C1243" s="47"/>
      <c r="D1243" s="27"/>
      <c r="E1243" s="34"/>
      <c r="F1243" s="35">
        <f t="shared" si="918"/>
        <v>0</v>
      </c>
      <c r="G1243" s="26"/>
      <c r="H1243" s="47"/>
      <c r="I1243" s="27"/>
      <c r="J1243" s="34"/>
      <c r="K1243" s="35">
        <f t="shared" si="919"/>
        <v>0</v>
      </c>
      <c r="L1243" s="11">
        <f t="shared" si="913"/>
        <v>0</v>
      </c>
      <c r="N1243" s="12"/>
      <c r="O1243" s="26"/>
      <c r="P1243" s="47"/>
      <c r="Q1243" s="27"/>
      <c r="R1243" s="50"/>
      <c r="S1243" s="9">
        <f t="shared" si="922"/>
        <v>0</v>
      </c>
      <c r="T1243" s="26"/>
      <c r="U1243" s="47"/>
      <c r="V1243" s="27"/>
      <c r="W1243" s="50"/>
      <c r="X1243" s="9">
        <f t="shared" si="923"/>
        <v>0</v>
      </c>
      <c r="Y1243" s="11">
        <f t="shared" si="907"/>
        <v>0</v>
      </c>
    </row>
    <row r="1244" spans="1:28" x14ac:dyDescent="0.15">
      <c r="A1244" s="13"/>
      <c r="B1244" s="26"/>
      <c r="C1244" s="47"/>
      <c r="D1244" s="27"/>
      <c r="E1244" s="34"/>
      <c r="F1244" s="35">
        <f t="shared" si="918"/>
        <v>0</v>
      </c>
      <c r="G1244" s="26"/>
      <c r="H1244" s="47"/>
      <c r="I1244" s="27"/>
      <c r="J1244" s="34"/>
      <c r="K1244" s="35">
        <f t="shared" si="919"/>
        <v>0</v>
      </c>
      <c r="L1244" s="11">
        <f t="shared" si="913"/>
        <v>0</v>
      </c>
      <c r="N1244" s="173" t="s">
        <v>995</v>
      </c>
      <c r="O1244" s="154"/>
      <c r="P1244" s="155"/>
      <c r="Q1244" s="156"/>
      <c r="R1244" s="251"/>
      <c r="S1244" s="252">
        <f t="shared" si="922"/>
        <v>0</v>
      </c>
      <c r="T1244" s="154"/>
      <c r="U1244" s="155"/>
      <c r="V1244" s="156"/>
      <c r="W1244" s="251"/>
      <c r="X1244" s="252">
        <f t="shared" si="923"/>
        <v>0</v>
      </c>
      <c r="Y1244" s="179">
        <f t="shared" si="907"/>
        <v>0</v>
      </c>
      <c r="Z1244" s="160" t="s">
        <v>996</v>
      </c>
    </row>
    <row r="1245" spans="1:28" x14ac:dyDescent="0.15">
      <c r="A1245" s="32"/>
      <c r="B1245" s="26"/>
      <c r="C1245" s="47"/>
      <c r="D1245" s="27"/>
      <c r="E1245" s="34"/>
      <c r="F1245" s="35">
        <f t="shared" si="918"/>
        <v>0</v>
      </c>
      <c r="G1245" s="26"/>
      <c r="H1245" s="47"/>
      <c r="I1245" s="27"/>
      <c r="J1245" s="34"/>
      <c r="K1245" s="35">
        <f t="shared" si="919"/>
        <v>0</v>
      </c>
      <c r="L1245" s="11">
        <f t="shared" si="913"/>
        <v>0</v>
      </c>
      <c r="N1245" s="57" t="s">
        <v>990</v>
      </c>
      <c r="O1245" s="66"/>
      <c r="P1245" s="67"/>
      <c r="Q1245" s="68"/>
      <c r="R1245" s="94"/>
      <c r="S1245" s="91">
        <f t="shared" si="922"/>
        <v>0</v>
      </c>
      <c r="T1245" s="66"/>
      <c r="U1245" s="67"/>
      <c r="V1245" s="68"/>
      <c r="W1245" s="94"/>
      <c r="X1245" s="91">
        <f t="shared" si="923"/>
        <v>0</v>
      </c>
      <c r="Y1245" s="11">
        <f t="shared" si="907"/>
        <v>0</v>
      </c>
      <c r="Z1245" s="101" t="s">
        <v>991</v>
      </c>
    </row>
    <row r="1246" spans="1:28" x14ac:dyDescent="0.15">
      <c r="A1246" s="32"/>
      <c r="B1246" s="26"/>
      <c r="C1246" s="47"/>
      <c r="D1246" s="27"/>
      <c r="E1246" s="34"/>
      <c r="F1246" s="35">
        <f t="shared" si="918"/>
        <v>0</v>
      </c>
      <c r="G1246" s="26"/>
      <c r="H1246" s="47"/>
      <c r="I1246" s="27"/>
      <c r="J1246" s="34"/>
      <c r="K1246" s="35">
        <f t="shared" si="919"/>
        <v>0</v>
      </c>
      <c r="L1246" s="11">
        <f t="shared" si="913"/>
        <v>0</v>
      </c>
      <c r="N1246" s="57" t="s">
        <v>985</v>
      </c>
      <c r="O1246" s="66"/>
      <c r="P1246" s="67"/>
      <c r="Q1246" s="68"/>
      <c r="R1246" s="94"/>
      <c r="S1246" s="91">
        <f t="shared" si="922"/>
        <v>0</v>
      </c>
      <c r="T1246" s="66"/>
      <c r="U1246" s="67"/>
      <c r="V1246" s="68"/>
      <c r="W1246" s="94"/>
      <c r="X1246" s="91">
        <f t="shared" si="923"/>
        <v>0</v>
      </c>
      <c r="Y1246" s="11">
        <f t="shared" si="907"/>
        <v>0</v>
      </c>
      <c r="Z1246" s="101" t="s">
        <v>462</v>
      </c>
    </row>
    <row r="1247" spans="1:28" x14ac:dyDescent="0.15">
      <c r="A1247" s="12"/>
      <c r="B1247" s="26"/>
      <c r="C1247" s="47"/>
      <c r="D1247" s="27"/>
      <c r="E1247" s="34"/>
      <c r="F1247" s="35">
        <f t="shared" si="918"/>
        <v>0</v>
      </c>
      <c r="G1247" s="26"/>
      <c r="H1247" s="47"/>
      <c r="I1247" s="27"/>
      <c r="J1247" s="34"/>
      <c r="K1247" s="35">
        <f t="shared" si="919"/>
        <v>0</v>
      </c>
      <c r="L1247" s="11">
        <f t="shared" si="913"/>
        <v>0</v>
      </c>
      <c r="N1247" s="57" t="s">
        <v>959</v>
      </c>
      <c r="O1247" s="66"/>
      <c r="P1247" s="67"/>
      <c r="Q1247" s="68"/>
      <c r="R1247" s="94"/>
      <c r="S1247" s="91">
        <f t="shared" si="922"/>
        <v>0</v>
      </c>
      <c r="T1247" s="66"/>
      <c r="U1247" s="67"/>
      <c r="V1247" s="68"/>
      <c r="W1247" s="94"/>
      <c r="X1247" s="91">
        <f t="shared" si="923"/>
        <v>0</v>
      </c>
      <c r="Y1247" s="11">
        <f t="shared" si="907"/>
        <v>0</v>
      </c>
      <c r="Z1247" s="101" t="s">
        <v>960</v>
      </c>
    </row>
    <row r="1248" spans="1:28" x14ac:dyDescent="0.15">
      <c r="A1248" s="79"/>
      <c r="B1248" s="26"/>
      <c r="C1248" s="47"/>
      <c r="D1248" s="27"/>
      <c r="E1248" s="34"/>
      <c r="F1248" s="35">
        <f t="shared" si="918"/>
        <v>0</v>
      </c>
      <c r="G1248" s="26"/>
      <c r="H1248" s="47"/>
      <c r="I1248" s="27"/>
      <c r="J1248" s="34"/>
      <c r="K1248" s="35">
        <f t="shared" si="919"/>
        <v>0</v>
      </c>
      <c r="L1248" s="11">
        <f t="shared" si="913"/>
        <v>0</v>
      </c>
      <c r="N1248" s="57" t="s">
        <v>1003</v>
      </c>
      <c r="O1248" s="253"/>
      <c r="P1248" s="27"/>
      <c r="Q1248" s="27"/>
      <c r="R1248" s="254"/>
      <c r="S1248" s="91">
        <f t="shared" si="922"/>
        <v>0</v>
      </c>
      <c r="T1248" s="253"/>
      <c r="U1248" s="27"/>
      <c r="V1248" s="27"/>
      <c r="W1248" s="254"/>
      <c r="X1248" s="91">
        <f t="shared" si="923"/>
        <v>0</v>
      </c>
      <c r="Y1248" s="11">
        <f t="shared" si="907"/>
        <v>0</v>
      </c>
      <c r="Z1248" s="101" t="s">
        <v>1004</v>
      </c>
    </row>
    <row r="1249" spans="1:26" x14ac:dyDescent="0.15">
      <c r="A1249" s="57"/>
      <c r="B1249" s="26"/>
      <c r="C1249" s="47"/>
      <c r="D1249" s="27"/>
      <c r="E1249" s="34"/>
      <c r="F1249" s="35">
        <f t="shared" si="918"/>
        <v>0</v>
      </c>
      <c r="G1249" s="26"/>
      <c r="H1249" s="47"/>
      <c r="I1249" s="27"/>
      <c r="J1249" s="34"/>
      <c r="K1249" s="35">
        <f t="shared" si="919"/>
        <v>0</v>
      </c>
      <c r="L1249" s="11">
        <f t="shared" si="913"/>
        <v>0</v>
      </c>
      <c r="N1249" s="173" t="s">
        <v>963</v>
      </c>
      <c r="O1249" s="174"/>
      <c r="P1249" s="175"/>
      <c r="Q1249" s="176"/>
      <c r="R1249" s="259"/>
      <c r="S1249" s="260">
        <f t="shared" si="922"/>
        <v>0</v>
      </c>
      <c r="T1249" s="174"/>
      <c r="U1249" s="175"/>
      <c r="V1249" s="176"/>
      <c r="W1249" s="259"/>
      <c r="X1249" s="260">
        <f t="shared" si="923"/>
        <v>0</v>
      </c>
      <c r="Y1249" s="179">
        <f t="shared" si="907"/>
        <v>0</v>
      </c>
      <c r="Z1249" s="101"/>
    </row>
    <row r="1250" spans="1:26" ht="14.25" thickBot="1" x14ac:dyDescent="0.2">
      <c r="A1250" s="90" t="s">
        <v>1099</v>
      </c>
      <c r="B1250" s="62"/>
      <c r="C1250" s="63">
        <v>1</v>
      </c>
      <c r="D1250" s="64"/>
      <c r="E1250" s="65"/>
      <c r="F1250" s="35">
        <f t="shared" si="918"/>
        <v>1</v>
      </c>
      <c r="G1250" s="62"/>
      <c r="H1250" s="63"/>
      <c r="I1250" s="64"/>
      <c r="J1250" s="65">
        <v>1</v>
      </c>
      <c r="K1250" s="35">
        <f t="shared" si="919"/>
        <v>1</v>
      </c>
      <c r="L1250" s="14">
        <f t="shared" si="913"/>
        <v>2</v>
      </c>
      <c r="N1250" s="135" t="s">
        <v>971</v>
      </c>
      <c r="O1250" s="62"/>
      <c r="P1250" s="63"/>
      <c r="Q1250" s="64"/>
      <c r="R1250" s="261"/>
      <c r="S1250" s="262">
        <f t="shared" si="922"/>
        <v>0</v>
      </c>
      <c r="T1250" s="62"/>
      <c r="U1250" s="63"/>
      <c r="V1250" s="64"/>
      <c r="W1250" s="261"/>
      <c r="X1250" s="262">
        <f t="shared" si="923"/>
        <v>0</v>
      </c>
      <c r="Y1250" s="121">
        <f t="shared" si="907"/>
        <v>0</v>
      </c>
      <c r="Z1250" s="101" t="s">
        <v>962</v>
      </c>
    </row>
    <row r="1251" spans="1:26" ht="14.25" thickBot="1" x14ac:dyDescent="0.2">
      <c r="A1251" s="17" t="s">
        <v>10</v>
      </c>
      <c r="B1251" s="38">
        <f>SUM(B1226:B1250)</f>
        <v>10</v>
      </c>
      <c r="C1251" s="48">
        <f>SUM(C1226:C1250)</f>
        <v>20</v>
      </c>
      <c r="D1251" s="39">
        <f>SUM(D1226:D1250)</f>
        <v>11</v>
      </c>
      <c r="E1251" s="40">
        <f>SUM(E1226:E1250)</f>
        <v>15</v>
      </c>
      <c r="F1251" s="36">
        <f>SUM(B1251:E1251)</f>
        <v>56</v>
      </c>
      <c r="G1251" s="38">
        <f>SUM(G1226:G1250)</f>
        <v>7</v>
      </c>
      <c r="H1251" s="48">
        <f>SUM(H1226:H1250)</f>
        <v>16</v>
      </c>
      <c r="I1251" s="39">
        <f>SUM(I1226:I1250)</f>
        <v>3</v>
      </c>
      <c r="J1251" s="40">
        <f>SUM(J1226:J1250)</f>
        <v>6</v>
      </c>
      <c r="K1251" s="36">
        <f>SUM(G1251:J1251)</f>
        <v>32</v>
      </c>
      <c r="L1251" s="37">
        <f t="shared" si="913"/>
        <v>88</v>
      </c>
      <c r="N1251" s="17" t="s">
        <v>10</v>
      </c>
      <c r="O1251" s="240">
        <f>SUM(O1226:O1250)</f>
        <v>128</v>
      </c>
      <c r="P1251" s="241">
        <f>SUM(P1226:P1250)</f>
        <v>162</v>
      </c>
      <c r="Q1251" s="242">
        <f>SUM(Q1226:Q1250)</f>
        <v>86</v>
      </c>
      <c r="R1251" s="243">
        <f>SUM(R1226:R1250)</f>
        <v>80</v>
      </c>
      <c r="S1251" s="36">
        <f t="shared" ref="S1251" si="927">SUM(O1251:R1251)</f>
        <v>456</v>
      </c>
      <c r="T1251" s="240">
        <f>SUM(T1226:T1250)</f>
        <v>58</v>
      </c>
      <c r="U1251" s="241">
        <f>SUM(U1226:U1250)</f>
        <v>73</v>
      </c>
      <c r="V1251" s="242">
        <f>SUM(V1226:V1250)</f>
        <v>48</v>
      </c>
      <c r="W1251" s="243">
        <f>SUM(W1226:W1250)</f>
        <v>44</v>
      </c>
      <c r="X1251" s="36">
        <f t="shared" ref="X1251" si="928">SUM(T1251:W1251)</f>
        <v>223</v>
      </c>
      <c r="Y1251" s="37">
        <f t="shared" ref="Y1251:Y1252" si="929">S1251+X1251</f>
        <v>679</v>
      </c>
    </row>
    <row r="1252" spans="1:26" ht="14.25" thickBot="1" x14ac:dyDescent="0.2">
      <c r="A1252" s="22" t="s">
        <v>11</v>
      </c>
      <c r="B1252" s="41">
        <f>B1225-B1251</f>
        <v>1</v>
      </c>
      <c r="C1252" s="49">
        <f>C1225-C1251</f>
        <v>1</v>
      </c>
      <c r="D1252" s="42">
        <f t="shared" ref="D1252:K1252" si="930">D1225-D1251</f>
        <v>2</v>
      </c>
      <c r="E1252" s="43">
        <f t="shared" si="930"/>
        <v>5</v>
      </c>
      <c r="F1252" s="61">
        <f t="shared" si="930"/>
        <v>5</v>
      </c>
      <c r="G1252" s="41">
        <f t="shared" si="930"/>
        <v>4</v>
      </c>
      <c r="H1252" s="49">
        <f t="shared" si="930"/>
        <v>3</v>
      </c>
      <c r="I1252" s="42">
        <f t="shared" si="930"/>
        <v>4</v>
      </c>
      <c r="J1252" s="43">
        <f t="shared" si="930"/>
        <v>6</v>
      </c>
      <c r="K1252" s="61">
        <f t="shared" si="930"/>
        <v>17</v>
      </c>
      <c r="L1252" s="21">
        <f t="shared" si="913"/>
        <v>22</v>
      </c>
      <c r="N1252" s="17" t="s">
        <v>11</v>
      </c>
      <c r="O1252" s="41">
        <f>O1225-O1251</f>
        <v>308</v>
      </c>
      <c r="P1252" s="49">
        <f t="shared" ref="P1252:Q1252" si="931">P1225-P1251</f>
        <v>403</v>
      </c>
      <c r="Q1252" s="42">
        <f t="shared" si="931"/>
        <v>268</v>
      </c>
      <c r="R1252" s="43">
        <f>R1225-R1251</f>
        <v>181</v>
      </c>
      <c r="S1252" s="61">
        <f t="shared" ref="S1252:X1252" si="932">S1225-S1251</f>
        <v>1160</v>
      </c>
      <c r="T1252" s="41">
        <f t="shared" si="932"/>
        <v>350</v>
      </c>
      <c r="U1252" s="49">
        <f t="shared" si="932"/>
        <v>429</v>
      </c>
      <c r="V1252" s="42">
        <f t="shared" si="932"/>
        <v>258</v>
      </c>
      <c r="W1252" s="43">
        <f t="shared" si="932"/>
        <v>225</v>
      </c>
      <c r="X1252" s="61">
        <f t="shared" si="932"/>
        <v>1262</v>
      </c>
      <c r="Y1252" s="21">
        <f t="shared" si="929"/>
        <v>2422</v>
      </c>
    </row>
    <row r="1253" spans="1:26" x14ac:dyDescent="0.15">
      <c r="N1253" s="244" t="s">
        <v>1001</v>
      </c>
      <c r="O1253" s="127">
        <v>142</v>
      </c>
      <c r="P1253" s="127">
        <v>207</v>
      </c>
      <c r="Q1253" s="127">
        <v>134</v>
      </c>
      <c r="R1253" s="127">
        <v>80</v>
      </c>
      <c r="S1253" s="58">
        <f>SUM(O1253:R1253)</f>
        <v>563</v>
      </c>
      <c r="T1253" s="127">
        <v>90</v>
      </c>
      <c r="U1253" s="127">
        <v>90</v>
      </c>
      <c r="V1253" s="127">
        <v>70</v>
      </c>
      <c r="W1253" s="127">
        <v>80</v>
      </c>
      <c r="X1253" s="58">
        <f>SUM(T1253:W1253)</f>
        <v>330</v>
      </c>
    </row>
    <row r="1254" spans="1:26" x14ac:dyDescent="0.15">
      <c r="N1254" s="244" t="s">
        <v>1002</v>
      </c>
      <c r="O1254" s="127">
        <v>0</v>
      </c>
      <c r="P1254" s="127">
        <v>33</v>
      </c>
      <c r="Q1254" s="127">
        <v>13</v>
      </c>
      <c r="R1254" s="127">
        <v>4</v>
      </c>
      <c r="S1254" s="58">
        <f>SUM(O1254:R1254)</f>
        <v>50</v>
      </c>
      <c r="T1254" s="127">
        <v>12</v>
      </c>
      <c r="U1254" s="127">
        <v>18</v>
      </c>
      <c r="V1254" s="127">
        <v>19</v>
      </c>
      <c r="W1254" s="127">
        <v>21</v>
      </c>
      <c r="X1254" s="58">
        <f>SUM(T1254:W1254)</f>
        <v>70</v>
      </c>
    </row>
    <row r="1255" spans="1:26" ht="19.5" thickBot="1" x14ac:dyDescent="0.25">
      <c r="A1255" s="2" t="s">
        <v>106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105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6" ht="14.25" thickBot="1" x14ac:dyDescent="0.2">
      <c r="A1256" s="5" t="s">
        <v>0</v>
      </c>
      <c r="B1256" s="342" t="s">
        <v>18</v>
      </c>
      <c r="C1256" s="350"/>
      <c r="D1256" s="350"/>
      <c r="E1256" s="350"/>
      <c r="F1256" s="351"/>
      <c r="G1256" s="345" t="s">
        <v>12</v>
      </c>
      <c r="H1256" s="352"/>
      <c r="I1256" s="352"/>
      <c r="J1256" s="352"/>
      <c r="K1256" s="353"/>
      <c r="L1256" s="354" t="s">
        <v>1</v>
      </c>
      <c r="N1256" s="5" t="s">
        <v>0</v>
      </c>
      <c r="O1256" s="342" t="s">
        <v>18</v>
      </c>
      <c r="P1256" s="350"/>
      <c r="Q1256" s="350"/>
      <c r="R1256" s="350"/>
      <c r="S1256" s="351"/>
      <c r="T1256" s="345" t="s">
        <v>12</v>
      </c>
      <c r="U1256" s="352"/>
      <c r="V1256" s="352"/>
      <c r="W1256" s="352"/>
      <c r="X1256" s="353"/>
      <c r="Y1256" s="354" t="s">
        <v>1</v>
      </c>
    </row>
    <row r="1257" spans="1:26" ht="14.25" thickBot="1" x14ac:dyDescent="0.2">
      <c r="A1257" s="5" t="s">
        <v>2</v>
      </c>
      <c r="B1257" s="3" t="s">
        <v>13</v>
      </c>
      <c r="C1257" s="44" t="s">
        <v>14</v>
      </c>
      <c r="D1257" s="4" t="s">
        <v>15</v>
      </c>
      <c r="E1257" s="23" t="s">
        <v>16</v>
      </c>
      <c r="F1257" s="31" t="s">
        <v>3</v>
      </c>
      <c r="G1257" s="3" t="s">
        <v>13</v>
      </c>
      <c r="H1257" s="44" t="s">
        <v>14</v>
      </c>
      <c r="I1257" s="4" t="s">
        <v>15</v>
      </c>
      <c r="J1257" s="23" t="s">
        <v>16</v>
      </c>
      <c r="K1257" s="31" t="s">
        <v>3</v>
      </c>
      <c r="L1257" s="355"/>
      <c r="N1257" s="5" t="s">
        <v>2</v>
      </c>
      <c r="O1257" s="3" t="s">
        <v>13</v>
      </c>
      <c r="P1257" s="44" t="s">
        <v>14</v>
      </c>
      <c r="Q1257" s="4" t="s">
        <v>15</v>
      </c>
      <c r="R1257" s="23" t="s">
        <v>16</v>
      </c>
      <c r="S1257" s="31" t="s">
        <v>3</v>
      </c>
      <c r="T1257" s="3" t="s">
        <v>13</v>
      </c>
      <c r="U1257" s="44" t="s">
        <v>14</v>
      </c>
      <c r="V1257" s="4" t="s">
        <v>15</v>
      </c>
      <c r="W1257" s="23" t="s">
        <v>16</v>
      </c>
      <c r="X1257" s="31" t="s">
        <v>3</v>
      </c>
      <c r="Y1257" s="355"/>
    </row>
    <row r="1258" spans="1:26" x14ac:dyDescent="0.15">
      <c r="A1258" s="71" t="s">
        <v>17</v>
      </c>
      <c r="B1258" s="72">
        <f>B1252</f>
        <v>1</v>
      </c>
      <c r="C1258" s="73">
        <f t="shared" ref="C1258:L1258" si="933">C1252</f>
        <v>1</v>
      </c>
      <c r="D1258" s="73">
        <f t="shared" si="933"/>
        <v>2</v>
      </c>
      <c r="E1258" s="74">
        <f t="shared" si="933"/>
        <v>5</v>
      </c>
      <c r="F1258" s="76">
        <f t="shared" si="933"/>
        <v>5</v>
      </c>
      <c r="G1258" s="72">
        <f t="shared" si="933"/>
        <v>4</v>
      </c>
      <c r="H1258" s="73">
        <f t="shared" si="933"/>
        <v>3</v>
      </c>
      <c r="I1258" s="73">
        <f t="shared" si="933"/>
        <v>4</v>
      </c>
      <c r="J1258" s="74">
        <f t="shared" si="933"/>
        <v>6</v>
      </c>
      <c r="K1258" s="75">
        <f t="shared" si="933"/>
        <v>17</v>
      </c>
      <c r="L1258" s="16">
        <f t="shared" si="933"/>
        <v>22</v>
      </c>
      <c r="N1258" s="71" t="s">
        <v>17</v>
      </c>
      <c r="O1258" s="72">
        <f>O1252</f>
        <v>308</v>
      </c>
      <c r="P1258" s="73">
        <f t="shared" ref="P1258:Y1258" si="934">P1252</f>
        <v>403</v>
      </c>
      <c r="Q1258" s="73">
        <f t="shared" si="934"/>
        <v>268</v>
      </c>
      <c r="R1258" s="74">
        <f t="shared" si="934"/>
        <v>181</v>
      </c>
      <c r="S1258" s="76">
        <f t="shared" si="934"/>
        <v>1160</v>
      </c>
      <c r="T1258" s="72">
        <f t="shared" si="934"/>
        <v>350</v>
      </c>
      <c r="U1258" s="73">
        <f t="shared" si="934"/>
        <v>429</v>
      </c>
      <c r="V1258" s="73">
        <f t="shared" si="934"/>
        <v>258</v>
      </c>
      <c r="W1258" s="74">
        <f t="shared" si="934"/>
        <v>225</v>
      </c>
      <c r="X1258" s="75">
        <f t="shared" si="934"/>
        <v>1262</v>
      </c>
      <c r="Y1258" s="16">
        <f t="shared" si="934"/>
        <v>2422</v>
      </c>
    </row>
    <row r="1259" spans="1:26" x14ac:dyDescent="0.15">
      <c r="A1259" s="13" t="s">
        <v>5</v>
      </c>
      <c r="B1259" s="26">
        <v>5</v>
      </c>
      <c r="C1259" s="47"/>
      <c r="D1259" s="27">
        <v>5</v>
      </c>
      <c r="E1259" s="50"/>
      <c r="F1259" s="9">
        <f>SUM(B1259:E1259)</f>
        <v>10</v>
      </c>
      <c r="G1259" s="47"/>
      <c r="H1259" s="47"/>
      <c r="I1259" s="27"/>
      <c r="J1259" s="34"/>
      <c r="K1259" s="9">
        <f>SUM(G1259:J1259)</f>
        <v>0</v>
      </c>
      <c r="L1259" s="11">
        <f t="shared" ref="L1259:L1261" si="935">F1259+K1259</f>
        <v>10</v>
      </c>
      <c r="M1259" s="99">
        <v>45339</v>
      </c>
      <c r="N1259" s="13" t="s">
        <v>350</v>
      </c>
      <c r="O1259" s="26"/>
      <c r="P1259" s="47">
        <v>4</v>
      </c>
      <c r="Q1259" s="27">
        <v>4</v>
      </c>
      <c r="R1259" s="34">
        <v>4</v>
      </c>
      <c r="S1259" s="77">
        <f t="shared" ref="S1259" si="936">SUM(O1259:R1259)</f>
        <v>12</v>
      </c>
      <c r="T1259" s="26">
        <v>3</v>
      </c>
      <c r="U1259" s="47"/>
      <c r="V1259" s="27">
        <v>2</v>
      </c>
      <c r="W1259" s="34">
        <v>3</v>
      </c>
      <c r="X1259" s="9">
        <f t="shared" ref="X1259" si="937">SUM(T1259:W1259)</f>
        <v>8</v>
      </c>
      <c r="Y1259" s="11">
        <f t="shared" ref="Y1259" si="938">S1259+X1259</f>
        <v>20</v>
      </c>
      <c r="Z1259" s="126">
        <v>45353</v>
      </c>
    </row>
    <row r="1260" spans="1:26" x14ac:dyDescent="0.15">
      <c r="A1260" s="79" t="s">
        <v>1052</v>
      </c>
      <c r="B1260" s="66"/>
      <c r="C1260" s="67"/>
      <c r="D1260" s="68"/>
      <c r="E1260" s="69"/>
      <c r="F1260" s="70">
        <f>SUM(B1260:E1260)</f>
        <v>0</v>
      </c>
      <c r="G1260" s="66"/>
      <c r="H1260" s="67">
        <v>1</v>
      </c>
      <c r="I1260" s="68"/>
      <c r="J1260" s="69"/>
      <c r="K1260" s="35">
        <f>SUM(G1260:J1260)</f>
        <v>1</v>
      </c>
      <c r="L1260" s="11">
        <f t="shared" si="935"/>
        <v>1</v>
      </c>
      <c r="M1260" s="126">
        <v>45339</v>
      </c>
      <c r="N1260" s="13" t="s">
        <v>6</v>
      </c>
      <c r="O1260" s="26"/>
      <c r="P1260" s="47"/>
      <c r="Q1260" s="27"/>
      <c r="R1260" s="34"/>
      <c r="S1260" s="77">
        <f>SUM(O1260:R1260)</f>
        <v>0</v>
      </c>
      <c r="T1260" s="26"/>
      <c r="U1260" s="47"/>
      <c r="V1260" s="27"/>
      <c r="W1260" s="34"/>
      <c r="X1260" s="9">
        <f>SUM(T1260:W1260)</f>
        <v>0</v>
      </c>
      <c r="Y1260" s="11">
        <f t="shared" ref="Y1260:Y1285" si="939">S1260+X1260</f>
        <v>0</v>
      </c>
    </row>
    <row r="1261" spans="1:26" x14ac:dyDescent="0.15">
      <c r="A1261" s="13" t="s">
        <v>7</v>
      </c>
      <c r="B1261" s="26"/>
      <c r="C1261" s="47">
        <v>3</v>
      </c>
      <c r="D1261" s="27"/>
      <c r="E1261" s="50">
        <v>5</v>
      </c>
      <c r="F1261" s="9">
        <f>SUM(B1261:E1261)</f>
        <v>8</v>
      </c>
      <c r="G1261" s="47"/>
      <c r="H1261" s="47"/>
      <c r="I1261" s="27">
        <v>5</v>
      </c>
      <c r="J1261" s="50"/>
      <c r="K1261" s="9">
        <f>SUM(G1261:J1261)</f>
        <v>5</v>
      </c>
      <c r="L1261" s="108">
        <f t="shared" si="935"/>
        <v>13</v>
      </c>
      <c r="M1261" s="99">
        <v>45342</v>
      </c>
      <c r="N1261" s="13" t="s">
        <v>7</v>
      </c>
      <c r="O1261" s="26"/>
      <c r="P1261" s="47"/>
      <c r="Q1261" s="27"/>
      <c r="R1261" s="34"/>
      <c r="S1261" s="77">
        <f t="shared" ref="S1261:S1262" si="940">SUM(O1261:R1261)</f>
        <v>0</v>
      </c>
      <c r="T1261" s="26"/>
      <c r="U1261" s="47"/>
      <c r="V1261" s="27"/>
      <c r="W1261" s="34"/>
      <c r="X1261" s="9">
        <f t="shared" ref="X1261:X1262" si="941">SUM(T1261:W1261)</f>
        <v>0</v>
      </c>
      <c r="Y1261" s="11">
        <f t="shared" si="939"/>
        <v>0</v>
      </c>
    </row>
    <row r="1262" spans="1:26" ht="14.25" thickBot="1" x14ac:dyDescent="0.2">
      <c r="A1262" s="79" t="s">
        <v>8</v>
      </c>
      <c r="B1262" s="66">
        <v>5</v>
      </c>
      <c r="C1262" s="67">
        <v>3</v>
      </c>
      <c r="D1262" s="68">
        <v>3</v>
      </c>
      <c r="E1262" s="94"/>
      <c r="F1262" s="118">
        <f>SUM(B1262:E1262)</f>
        <v>11</v>
      </c>
      <c r="G1262" s="67"/>
      <c r="H1262" s="67">
        <v>3</v>
      </c>
      <c r="I1262" s="68"/>
      <c r="J1262" s="94"/>
      <c r="K1262" s="118">
        <f>SUM(G1262:J1262)</f>
        <v>3</v>
      </c>
      <c r="L1262" s="14">
        <f t="shared" ref="L1262:L1290" si="942">F1262+K1262</f>
        <v>14</v>
      </c>
      <c r="M1262" s="99">
        <v>45349</v>
      </c>
      <c r="N1262" s="13" t="s">
        <v>8</v>
      </c>
      <c r="O1262" s="26"/>
      <c r="P1262" s="47"/>
      <c r="Q1262" s="27"/>
      <c r="R1262" s="34"/>
      <c r="S1262" s="77">
        <f t="shared" si="940"/>
        <v>0</v>
      </c>
      <c r="T1262" s="26"/>
      <c r="U1262" s="47"/>
      <c r="V1262" s="27"/>
      <c r="W1262" s="34"/>
      <c r="X1262" s="9">
        <f t="shared" si="941"/>
        <v>0</v>
      </c>
      <c r="Y1262" s="11">
        <f t="shared" si="939"/>
        <v>0</v>
      </c>
    </row>
    <row r="1263" spans="1:26" ht="14.25" thickBot="1" x14ac:dyDescent="0.2">
      <c r="A1263" s="22" t="s">
        <v>9</v>
      </c>
      <c r="B1263" s="51">
        <f t="shared" ref="B1263:K1263" si="943">SUM(B1258:B1262)</f>
        <v>11</v>
      </c>
      <c r="C1263" s="52">
        <f t="shared" si="943"/>
        <v>7</v>
      </c>
      <c r="D1263" s="53">
        <f t="shared" si="943"/>
        <v>10</v>
      </c>
      <c r="E1263" s="54">
        <f t="shared" si="943"/>
        <v>10</v>
      </c>
      <c r="F1263" s="28">
        <f t="shared" si="943"/>
        <v>34</v>
      </c>
      <c r="G1263" s="51">
        <f t="shared" si="943"/>
        <v>4</v>
      </c>
      <c r="H1263" s="52">
        <f t="shared" si="943"/>
        <v>7</v>
      </c>
      <c r="I1263" s="53">
        <f t="shared" si="943"/>
        <v>9</v>
      </c>
      <c r="J1263" s="54">
        <f t="shared" si="943"/>
        <v>6</v>
      </c>
      <c r="K1263" s="28">
        <f t="shared" si="943"/>
        <v>26</v>
      </c>
      <c r="L1263" s="21">
        <f t="shared" si="942"/>
        <v>60</v>
      </c>
      <c r="N1263" s="17" t="s">
        <v>9</v>
      </c>
      <c r="O1263" s="41">
        <f>SUM(O1258:O1262)</f>
        <v>308</v>
      </c>
      <c r="P1263" s="49">
        <f t="shared" ref="P1263:V1263" si="944">SUM(P1258:P1262)</f>
        <v>407</v>
      </c>
      <c r="Q1263" s="42">
        <f t="shared" si="944"/>
        <v>272</v>
      </c>
      <c r="R1263" s="92">
        <f t="shared" si="944"/>
        <v>185</v>
      </c>
      <c r="S1263" s="93">
        <f t="shared" si="944"/>
        <v>1172</v>
      </c>
      <c r="T1263" s="41">
        <f t="shared" si="944"/>
        <v>353</v>
      </c>
      <c r="U1263" s="49">
        <f t="shared" si="944"/>
        <v>429</v>
      </c>
      <c r="V1263" s="42">
        <f t="shared" si="944"/>
        <v>260</v>
      </c>
      <c r="W1263" s="92">
        <f>SUM(W1258:W1262)</f>
        <v>228</v>
      </c>
      <c r="X1263" s="93">
        <f t="shared" ref="X1263" si="945">SUM(X1258:X1262)</f>
        <v>1270</v>
      </c>
      <c r="Y1263" s="56">
        <f t="shared" si="939"/>
        <v>2442</v>
      </c>
    </row>
    <row r="1264" spans="1:26" x14ac:dyDescent="0.15">
      <c r="A1264" s="256" t="s">
        <v>194</v>
      </c>
      <c r="B1264" s="24"/>
      <c r="C1264" s="46">
        <v>-3</v>
      </c>
      <c r="D1264" s="25"/>
      <c r="E1264" s="33"/>
      <c r="F1264" s="257">
        <f>SUM(B1264:E1264)</f>
        <v>-3</v>
      </c>
      <c r="G1264" s="24"/>
      <c r="H1264" s="46"/>
      <c r="I1264" s="25"/>
      <c r="J1264" s="33"/>
      <c r="K1264" s="257">
        <f>SUM(G1264:J1264)</f>
        <v>0</v>
      </c>
      <c r="L1264" s="258">
        <f t="shared" si="942"/>
        <v>-3</v>
      </c>
      <c r="M1264" s="99">
        <v>45338</v>
      </c>
      <c r="N1264" s="12" t="s">
        <v>1045</v>
      </c>
      <c r="O1264" s="26">
        <v>16</v>
      </c>
      <c r="P1264" s="47"/>
      <c r="Q1264" s="27"/>
      <c r="R1264" s="34"/>
      <c r="S1264" s="35">
        <f t="shared" ref="S1264:S1265" si="946">SUM(O1264:R1264)</f>
        <v>16</v>
      </c>
      <c r="T1264" s="26"/>
      <c r="U1264" s="47"/>
      <c r="V1264" s="27"/>
      <c r="W1264" s="34"/>
      <c r="X1264" s="35">
        <f t="shared" ref="X1264:X1265" si="947">SUM(T1264:W1264)</f>
        <v>0</v>
      </c>
      <c r="Y1264" s="11">
        <f t="shared" si="939"/>
        <v>16</v>
      </c>
      <c r="Z1264" s="99">
        <v>45341</v>
      </c>
    </row>
    <row r="1265" spans="1:28" x14ac:dyDescent="0.15">
      <c r="A1265" s="255" t="s">
        <v>1055</v>
      </c>
      <c r="B1265" s="66">
        <v>1</v>
      </c>
      <c r="C1265" s="67">
        <v>2</v>
      </c>
      <c r="D1265" s="68">
        <v>1</v>
      </c>
      <c r="E1265" s="69">
        <v>5</v>
      </c>
      <c r="F1265" s="70">
        <f>SUM(B1265:E1265)</f>
        <v>9</v>
      </c>
      <c r="G1265" s="66"/>
      <c r="H1265" s="67">
        <v>1</v>
      </c>
      <c r="I1265" s="68">
        <v>3</v>
      </c>
      <c r="J1265" s="69"/>
      <c r="K1265" s="70">
        <f>SUM(G1265:J1265)</f>
        <v>4</v>
      </c>
      <c r="L1265" s="11">
        <f t="shared" ref="L1265:L1271" si="948">F1265+K1265</f>
        <v>13</v>
      </c>
      <c r="M1265" s="99">
        <v>45344</v>
      </c>
      <c r="N1265" s="15" t="s">
        <v>1046</v>
      </c>
      <c r="O1265" s="26">
        <v>4</v>
      </c>
      <c r="P1265" s="47"/>
      <c r="Q1265" s="27">
        <v>3</v>
      </c>
      <c r="R1265" s="34">
        <v>2</v>
      </c>
      <c r="S1265" s="35">
        <f t="shared" si="946"/>
        <v>9</v>
      </c>
      <c r="T1265" s="26"/>
      <c r="U1265" s="47">
        <v>4</v>
      </c>
      <c r="V1265" s="27">
        <v>1</v>
      </c>
      <c r="W1265" s="34">
        <v>1</v>
      </c>
      <c r="X1265" s="35">
        <f t="shared" si="947"/>
        <v>6</v>
      </c>
      <c r="Y1265" s="11">
        <f t="shared" si="939"/>
        <v>15</v>
      </c>
      <c r="Z1265" s="99">
        <v>45341</v>
      </c>
    </row>
    <row r="1266" spans="1:28" x14ac:dyDescent="0.15">
      <c r="A1266" s="15" t="s">
        <v>1062</v>
      </c>
      <c r="B1266" s="26"/>
      <c r="C1266" s="47"/>
      <c r="D1266" s="27">
        <v>1</v>
      </c>
      <c r="E1266" s="34"/>
      <c r="F1266" s="35">
        <f>SUM(B1266:E1266)</f>
        <v>1</v>
      </c>
      <c r="G1266" s="26"/>
      <c r="H1266" s="47"/>
      <c r="I1266" s="27"/>
      <c r="J1266" s="34"/>
      <c r="K1266" s="35">
        <f>SUM(G1266:J1266)</f>
        <v>0</v>
      </c>
      <c r="L1266" s="11">
        <f t="shared" si="948"/>
        <v>1</v>
      </c>
      <c r="M1266" s="99">
        <v>45346</v>
      </c>
      <c r="N1266" s="57" t="s">
        <v>34</v>
      </c>
      <c r="O1266" s="66">
        <v>5</v>
      </c>
      <c r="P1266" s="67"/>
      <c r="Q1266" s="68">
        <v>5</v>
      </c>
      <c r="R1266" s="94"/>
      <c r="S1266" s="91">
        <f>SUM(O1266:R1266)</f>
        <v>10</v>
      </c>
      <c r="T1266" s="67"/>
      <c r="U1266" s="67"/>
      <c r="V1266" s="68"/>
      <c r="W1266" s="94"/>
      <c r="X1266" s="91">
        <f>SUM(T1266:W1266)</f>
        <v>0</v>
      </c>
      <c r="Y1266" s="11">
        <f t="shared" si="939"/>
        <v>10</v>
      </c>
      <c r="Z1266" s="99">
        <v>45339</v>
      </c>
    </row>
    <row r="1267" spans="1:28" x14ac:dyDescent="0.15">
      <c r="A1267" s="15" t="s">
        <v>1059</v>
      </c>
      <c r="B1267" s="26">
        <v>3</v>
      </c>
      <c r="C1267" s="47"/>
      <c r="D1267" s="27">
        <v>2</v>
      </c>
      <c r="E1267" s="34">
        <v>4</v>
      </c>
      <c r="F1267" s="35">
        <f>SUM(B1267:E1267)</f>
        <v>9</v>
      </c>
      <c r="G1267" s="26"/>
      <c r="H1267" s="47"/>
      <c r="I1267" s="27">
        <v>1</v>
      </c>
      <c r="J1267" s="34"/>
      <c r="K1267" s="35">
        <f>SUM(G1267:J1267)</f>
        <v>1</v>
      </c>
      <c r="L1267" s="11">
        <f t="shared" si="948"/>
        <v>10</v>
      </c>
      <c r="M1267" s="99">
        <v>45348</v>
      </c>
      <c r="N1267" s="57" t="s">
        <v>1047</v>
      </c>
      <c r="O1267" s="26"/>
      <c r="P1267" s="47"/>
      <c r="Q1267" s="27"/>
      <c r="R1267" s="34"/>
      <c r="S1267" s="35">
        <f t="shared" ref="S1267:S1269" si="949">SUM(O1267:R1267)</f>
        <v>0</v>
      </c>
      <c r="T1267" s="26"/>
      <c r="U1267" s="47">
        <v>4</v>
      </c>
      <c r="V1267" s="27"/>
      <c r="W1267" s="34"/>
      <c r="X1267" s="35">
        <f t="shared" ref="X1267:X1269" si="950">SUM(T1267:W1267)</f>
        <v>4</v>
      </c>
      <c r="Y1267" s="11">
        <f t="shared" si="939"/>
        <v>4</v>
      </c>
      <c r="Z1267" s="99">
        <v>45342</v>
      </c>
    </row>
    <row r="1268" spans="1:28" x14ac:dyDescent="0.15">
      <c r="A1268" s="13" t="s">
        <v>62</v>
      </c>
      <c r="B1268" s="26">
        <v>-5</v>
      </c>
      <c r="C1268" s="47"/>
      <c r="D1268" s="27"/>
      <c r="E1268" s="34">
        <v>-5</v>
      </c>
      <c r="F1268" s="35">
        <f t="shared" ref="F1268:F1271" si="951">SUM(B1268:E1268)</f>
        <v>-10</v>
      </c>
      <c r="G1268" s="26"/>
      <c r="H1268" s="47">
        <v>-3</v>
      </c>
      <c r="I1268" s="27"/>
      <c r="J1268" s="34"/>
      <c r="K1268" s="35">
        <f t="shared" ref="K1268:K1271" si="952">SUM(G1268:J1268)</f>
        <v>-3</v>
      </c>
      <c r="L1268" s="11">
        <f t="shared" si="948"/>
        <v>-13</v>
      </c>
      <c r="M1268" s="99">
        <v>45348</v>
      </c>
      <c r="N1268" s="12" t="s">
        <v>1050</v>
      </c>
      <c r="O1268" s="26"/>
      <c r="P1268" s="47">
        <v>10</v>
      </c>
      <c r="Q1268" s="27">
        <v>10</v>
      </c>
      <c r="R1268" s="34">
        <v>2</v>
      </c>
      <c r="S1268" s="35">
        <f t="shared" si="949"/>
        <v>22</v>
      </c>
      <c r="T1268" s="26"/>
      <c r="U1268" s="47"/>
      <c r="V1268" s="27"/>
      <c r="W1268" s="34"/>
      <c r="X1268" s="35">
        <f t="shared" si="950"/>
        <v>0</v>
      </c>
      <c r="Y1268" s="11">
        <f t="shared" si="939"/>
        <v>22</v>
      </c>
      <c r="Z1268" s="99">
        <v>45342</v>
      </c>
    </row>
    <row r="1269" spans="1:28" x14ac:dyDescent="0.15">
      <c r="A1269" s="12" t="s">
        <v>41</v>
      </c>
      <c r="B1269" s="26"/>
      <c r="C1269" s="47"/>
      <c r="D1269" s="27">
        <v>1</v>
      </c>
      <c r="E1269" s="34"/>
      <c r="F1269" s="35">
        <f t="shared" si="951"/>
        <v>1</v>
      </c>
      <c r="G1269" s="26"/>
      <c r="H1269" s="47"/>
      <c r="I1269" s="27"/>
      <c r="J1269" s="34"/>
      <c r="K1269" s="35">
        <f t="shared" si="952"/>
        <v>0</v>
      </c>
      <c r="L1269" s="11">
        <f t="shared" si="948"/>
        <v>1</v>
      </c>
      <c r="M1269" s="126">
        <v>45348</v>
      </c>
      <c r="N1269" s="15" t="s">
        <v>1053</v>
      </c>
      <c r="O1269" s="26">
        <v>17</v>
      </c>
      <c r="P1269" s="47">
        <v>10</v>
      </c>
      <c r="Q1269" s="27">
        <v>7</v>
      </c>
      <c r="R1269" s="34"/>
      <c r="S1269" s="35">
        <f t="shared" si="949"/>
        <v>34</v>
      </c>
      <c r="T1269" s="26">
        <v>7</v>
      </c>
      <c r="U1269" s="47">
        <v>5</v>
      </c>
      <c r="V1269" s="27">
        <v>1</v>
      </c>
      <c r="W1269" s="34">
        <v>1</v>
      </c>
      <c r="X1269" s="35">
        <f t="shared" si="950"/>
        <v>14</v>
      </c>
      <c r="Y1269" s="11">
        <f t="shared" si="939"/>
        <v>48</v>
      </c>
      <c r="Z1269" s="99">
        <v>45343</v>
      </c>
      <c r="AA1269" s="58"/>
    </row>
    <row r="1270" spans="1:28" x14ac:dyDescent="0.15">
      <c r="A1270" s="32" t="s">
        <v>1066</v>
      </c>
      <c r="B1270" s="26">
        <v>-6</v>
      </c>
      <c r="C1270" s="47">
        <v>-14</v>
      </c>
      <c r="D1270" s="27">
        <v>-4</v>
      </c>
      <c r="E1270" s="34">
        <v>-4</v>
      </c>
      <c r="F1270" s="35">
        <f t="shared" si="951"/>
        <v>-28</v>
      </c>
      <c r="G1270" s="26">
        <v>-3</v>
      </c>
      <c r="H1270" s="47"/>
      <c r="I1270" s="27">
        <v>-2</v>
      </c>
      <c r="J1270" s="34">
        <v>-3</v>
      </c>
      <c r="K1270" s="35">
        <f t="shared" si="952"/>
        <v>-8</v>
      </c>
      <c r="L1270" s="11">
        <f t="shared" si="948"/>
        <v>-36</v>
      </c>
      <c r="M1270" s="126">
        <v>45349</v>
      </c>
      <c r="N1270" s="57" t="s">
        <v>34</v>
      </c>
      <c r="O1270" s="26"/>
      <c r="P1270" s="47">
        <v>3</v>
      </c>
      <c r="Q1270" s="27"/>
      <c r="R1270" s="50">
        <v>5</v>
      </c>
      <c r="S1270" s="9">
        <f>SUM(O1270:R1270)</f>
        <v>8</v>
      </c>
      <c r="T1270" s="47"/>
      <c r="U1270" s="47"/>
      <c r="V1270" s="27">
        <v>5</v>
      </c>
      <c r="W1270" s="50"/>
      <c r="X1270" s="9">
        <f>SUM(T1270:W1270)</f>
        <v>5</v>
      </c>
      <c r="Y1270" s="11">
        <f t="shared" si="939"/>
        <v>13</v>
      </c>
      <c r="Z1270" s="99">
        <v>45342</v>
      </c>
    </row>
    <row r="1271" spans="1:28" x14ac:dyDescent="0.15">
      <c r="A1271" s="57" t="s">
        <v>1063</v>
      </c>
      <c r="B1271" s="26">
        <v>10</v>
      </c>
      <c r="C1271" s="47">
        <v>10</v>
      </c>
      <c r="D1271" s="27"/>
      <c r="E1271" s="34"/>
      <c r="F1271" s="35">
        <f t="shared" si="951"/>
        <v>20</v>
      </c>
      <c r="G1271" s="26"/>
      <c r="H1271" s="47"/>
      <c r="I1271" s="27"/>
      <c r="J1271" s="34"/>
      <c r="K1271" s="35">
        <f t="shared" si="952"/>
        <v>0</v>
      </c>
      <c r="L1271" s="11">
        <f t="shared" si="948"/>
        <v>20</v>
      </c>
      <c r="M1271" s="99">
        <v>45351</v>
      </c>
      <c r="N1271" s="12" t="s">
        <v>1056</v>
      </c>
      <c r="O1271" s="26">
        <v>70</v>
      </c>
      <c r="P1271" s="47">
        <v>50</v>
      </c>
      <c r="Q1271" s="27">
        <v>20</v>
      </c>
      <c r="R1271" s="34">
        <v>35</v>
      </c>
      <c r="S1271" s="35">
        <f t="shared" ref="S1271:S1282" si="953">SUM(O1271:R1271)</f>
        <v>175</v>
      </c>
      <c r="T1271" s="26"/>
      <c r="U1271" s="47">
        <v>20</v>
      </c>
      <c r="V1271" s="27">
        <v>20</v>
      </c>
      <c r="W1271" s="34"/>
      <c r="X1271" s="35">
        <f t="shared" ref="X1271:X1282" si="954">SUM(T1271:W1271)</f>
        <v>40</v>
      </c>
      <c r="Y1271" s="11">
        <f t="shared" si="939"/>
        <v>215</v>
      </c>
      <c r="Z1271" s="99">
        <v>45344</v>
      </c>
    </row>
    <row r="1272" spans="1:28" x14ac:dyDescent="0.15">
      <c r="A1272" s="12" t="s">
        <v>41</v>
      </c>
      <c r="B1272" s="26"/>
      <c r="C1272" s="47"/>
      <c r="D1272" s="27"/>
      <c r="E1272" s="34"/>
      <c r="F1272" s="35">
        <f t="shared" ref="F1272:F1288" si="955">SUM(B1272:E1272)</f>
        <v>0</v>
      </c>
      <c r="G1272" s="26"/>
      <c r="H1272" s="47"/>
      <c r="I1272" s="27"/>
      <c r="J1272" s="34">
        <v>2</v>
      </c>
      <c r="K1272" s="35">
        <f t="shared" ref="K1272:K1288" si="956">SUM(G1272:J1272)</f>
        <v>2</v>
      </c>
      <c r="L1272" s="11">
        <f t="shared" si="942"/>
        <v>2</v>
      </c>
      <c r="M1272" s="126">
        <v>45351</v>
      </c>
      <c r="N1272" s="15" t="s">
        <v>1057</v>
      </c>
      <c r="O1272" s="26"/>
      <c r="P1272" s="47">
        <v>4</v>
      </c>
      <c r="Q1272" s="27"/>
      <c r="R1272" s="34">
        <v>1</v>
      </c>
      <c r="S1272" s="35">
        <f t="shared" si="953"/>
        <v>5</v>
      </c>
      <c r="T1272" s="26"/>
      <c r="U1272" s="47"/>
      <c r="V1272" s="27"/>
      <c r="W1272" s="34"/>
      <c r="X1272" s="35">
        <f t="shared" si="954"/>
        <v>0</v>
      </c>
      <c r="Y1272" s="11">
        <f t="shared" si="939"/>
        <v>5</v>
      </c>
      <c r="Z1272" s="99">
        <v>45344</v>
      </c>
    </row>
    <row r="1273" spans="1:28" x14ac:dyDescent="0.15">
      <c r="A1273" s="32" t="s">
        <v>284</v>
      </c>
      <c r="B1273" s="26"/>
      <c r="C1273" s="47">
        <v>4</v>
      </c>
      <c r="D1273" s="27">
        <v>4</v>
      </c>
      <c r="E1273" s="34">
        <v>4</v>
      </c>
      <c r="F1273" s="35">
        <f t="shared" si="955"/>
        <v>12</v>
      </c>
      <c r="G1273" s="26">
        <v>3</v>
      </c>
      <c r="H1273" s="47"/>
      <c r="I1273" s="27">
        <v>2</v>
      </c>
      <c r="J1273" s="34">
        <v>3</v>
      </c>
      <c r="K1273" s="35">
        <f t="shared" si="956"/>
        <v>8</v>
      </c>
      <c r="L1273" s="11">
        <f t="shared" si="942"/>
        <v>20</v>
      </c>
      <c r="M1273" s="126">
        <v>45353</v>
      </c>
      <c r="N1273" s="12" t="s">
        <v>1060</v>
      </c>
      <c r="O1273" s="26">
        <v>15</v>
      </c>
      <c r="P1273" s="47">
        <v>25</v>
      </c>
      <c r="Q1273" s="27">
        <v>10</v>
      </c>
      <c r="R1273" s="34">
        <v>15</v>
      </c>
      <c r="S1273" s="35">
        <f t="shared" si="953"/>
        <v>65</v>
      </c>
      <c r="T1273" s="26">
        <v>30</v>
      </c>
      <c r="U1273" s="47">
        <v>20</v>
      </c>
      <c r="V1273" s="27">
        <v>5</v>
      </c>
      <c r="W1273" s="34">
        <v>15</v>
      </c>
      <c r="X1273" s="35">
        <f t="shared" si="954"/>
        <v>70</v>
      </c>
      <c r="Y1273" s="11">
        <f t="shared" si="939"/>
        <v>135</v>
      </c>
      <c r="Z1273" s="99">
        <v>45345</v>
      </c>
    </row>
    <row r="1274" spans="1:28" x14ac:dyDescent="0.15">
      <c r="A1274" s="12" t="s">
        <v>41</v>
      </c>
      <c r="B1274" s="26"/>
      <c r="C1274" s="47"/>
      <c r="D1274" s="27"/>
      <c r="E1274" s="34"/>
      <c r="F1274" s="35">
        <f t="shared" si="955"/>
        <v>0</v>
      </c>
      <c r="G1274" s="26"/>
      <c r="H1274" s="47">
        <v>1</v>
      </c>
      <c r="I1274" s="27"/>
      <c r="J1274" s="34"/>
      <c r="K1274" s="35">
        <f t="shared" si="956"/>
        <v>1</v>
      </c>
      <c r="L1274" s="11">
        <f t="shared" si="942"/>
        <v>1</v>
      </c>
      <c r="M1274" s="126">
        <v>45355</v>
      </c>
      <c r="N1274" s="57" t="s">
        <v>34</v>
      </c>
      <c r="O1274" s="26">
        <v>5</v>
      </c>
      <c r="P1274" s="47"/>
      <c r="Q1274" s="27"/>
      <c r="R1274" s="34">
        <v>5</v>
      </c>
      <c r="S1274" s="35">
        <f t="shared" si="953"/>
        <v>10</v>
      </c>
      <c r="T1274" s="26"/>
      <c r="U1274" s="47">
        <v>3</v>
      </c>
      <c r="V1274" s="27"/>
      <c r="W1274" s="34"/>
      <c r="X1274" s="35">
        <f t="shared" si="954"/>
        <v>3</v>
      </c>
      <c r="Y1274" s="11">
        <f t="shared" si="939"/>
        <v>13</v>
      </c>
      <c r="Z1274" s="99">
        <v>45348</v>
      </c>
    </row>
    <row r="1275" spans="1:28" x14ac:dyDescent="0.15">
      <c r="A1275" s="13" t="s">
        <v>1072</v>
      </c>
      <c r="B1275" s="26">
        <v>-2</v>
      </c>
      <c r="C1275" s="47"/>
      <c r="D1275" s="27">
        <v>4</v>
      </c>
      <c r="E1275" s="34"/>
      <c r="F1275" s="35">
        <f t="shared" si="955"/>
        <v>2</v>
      </c>
      <c r="G1275" s="26">
        <v>-2</v>
      </c>
      <c r="H1275" s="47"/>
      <c r="I1275" s="27"/>
      <c r="J1275" s="34"/>
      <c r="K1275" s="35">
        <f t="shared" si="956"/>
        <v>-2</v>
      </c>
      <c r="L1275" s="11">
        <f t="shared" si="942"/>
        <v>0</v>
      </c>
      <c r="M1275" s="126">
        <v>45355</v>
      </c>
      <c r="N1275" s="15" t="s">
        <v>1061</v>
      </c>
      <c r="O1275" s="26">
        <v>8</v>
      </c>
      <c r="P1275" s="47">
        <v>5</v>
      </c>
      <c r="Q1275" s="27">
        <v>10</v>
      </c>
      <c r="R1275" s="34">
        <v>2</v>
      </c>
      <c r="S1275" s="35">
        <f t="shared" si="953"/>
        <v>25</v>
      </c>
      <c r="T1275" s="26">
        <v>5</v>
      </c>
      <c r="U1275" s="47"/>
      <c r="V1275" s="27"/>
      <c r="W1275" s="34">
        <v>2</v>
      </c>
      <c r="X1275" s="35">
        <f t="shared" si="954"/>
        <v>7</v>
      </c>
      <c r="Y1275" s="11">
        <f t="shared" si="939"/>
        <v>32</v>
      </c>
      <c r="Z1275" s="99">
        <v>45350</v>
      </c>
    </row>
    <row r="1276" spans="1:28" x14ac:dyDescent="0.15">
      <c r="A1276" s="13" t="s">
        <v>1072</v>
      </c>
      <c r="B1276" s="26"/>
      <c r="C1276" s="47"/>
      <c r="D1276" s="27"/>
      <c r="E1276" s="34">
        <v>2</v>
      </c>
      <c r="F1276" s="35">
        <f t="shared" si="955"/>
        <v>2</v>
      </c>
      <c r="G1276" s="26"/>
      <c r="H1276" s="47">
        <v>-4</v>
      </c>
      <c r="I1276" s="27"/>
      <c r="J1276" s="34">
        <v>2</v>
      </c>
      <c r="K1276" s="35">
        <f t="shared" si="956"/>
        <v>-2</v>
      </c>
      <c r="L1276" s="11">
        <f t="shared" si="942"/>
        <v>0</v>
      </c>
      <c r="M1276" s="99">
        <v>45356</v>
      </c>
      <c r="N1276" s="57" t="s">
        <v>34</v>
      </c>
      <c r="O1276" s="26">
        <v>5</v>
      </c>
      <c r="P1276" s="47">
        <v>3</v>
      </c>
      <c r="Q1276" s="27">
        <v>3</v>
      </c>
      <c r="R1276" s="34"/>
      <c r="S1276" s="35">
        <f t="shared" si="953"/>
        <v>11</v>
      </c>
      <c r="T1276" s="26"/>
      <c r="U1276" s="47">
        <v>3</v>
      </c>
      <c r="V1276" s="27"/>
      <c r="W1276" s="34"/>
      <c r="X1276" s="35">
        <f t="shared" si="954"/>
        <v>3</v>
      </c>
      <c r="Y1276" s="11">
        <f t="shared" si="939"/>
        <v>14</v>
      </c>
      <c r="Z1276" s="99">
        <v>45349</v>
      </c>
    </row>
    <row r="1277" spans="1:28" x14ac:dyDescent="0.15">
      <c r="A1277" s="13" t="s">
        <v>1074</v>
      </c>
      <c r="B1277" s="26"/>
      <c r="C1277" s="47">
        <v>-2</v>
      </c>
      <c r="D1277" s="27"/>
      <c r="E1277" s="34"/>
      <c r="F1277" s="35">
        <f t="shared" si="955"/>
        <v>-2</v>
      </c>
      <c r="G1277" s="26"/>
      <c r="H1277" s="47"/>
      <c r="I1277" s="27"/>
      <c r="J1277" s="34"/>
      <c r="K1277" s="35">
        <f t="shared" si="956"/>
        <v>0</v>
      </c>
      <c r="L1277" s="11">
        <f t="shared" si="942"/>
        <v>-2</v>
      </c>
      <c r="M1277" s="99">
        <v>45356</v>
      </c>
      <c r="N1277" s="15" t="s">
        <v>1064</v>
      </c>
      <c r="O1277" s="26">
        <v>2</v>
      </c>
      <c r="P1277" s="47">
        <v>10</v>
      </c>
      <c r="Q1277" s="27">
        <v>3</v>
      </c>
      <c r="R1277" s="34">
        <v>2</v>
      </c>
      <c r="S1277" s="35">
        <f t="shared" si="953"/>
        <v>17</v>
      </c>
      <c r="T1277" s="26">
        <v>1</v>
      </c>
      <c r="U1277" s="47">
        <v>6</v>
      </c>
      <c r="V1277" s="27"/>
      <c r="W1277" s="34">
        <v>3</v>
      </c>
      <c r="X1277" s="35">
        <f t="shared" si="954"/>
        <v>10</v>
      </c>
      <c r="Y1277" s="11">
        <f t="shared" si="939"/>
        <v>27</v>
      </c>
      <c r="Z1277" s="99">
        <v>45351</v>
      </c>
    </row>
    <row r="1278" spans="1:28" x14ac:dyDescent="0.15">
      <c r="A1278" s="12" t="s">
        <v>41</v>
      </c>
      <c r="B1278" s="26"/>
      <c r="C1278" s="47"/>
      <c r="D1278" s="27"/>
      <c r="E1278" s="34">
        <v>1</v>
      </c>
      <c r="F1278" s="35">
        <f t="shared" si="955"/>
        <v>1</v>
      </c>
      <c r="G1278" s="26">
        <v>1</v>
      </c>
      <c r="H1278" s="47"/>
      <c r="I1278" s="27">
        <v>1</v>
      </c>
      <c r="J1278" s="34">
        <v>1</v>
      </c>
      <c r="K1278" s="35">
        <f t="shared" si="956"/>
        <v>3</v>
      </c>
      <c r="L1278" s="11">
        <f t="shared" si="942"/>
        <v>4</v>
      </c>
      <c r="M1278" s="99">
        <v>45356</v>
      </c>
      <c r="N1278" s="57" t="s">
        <v>1065</v>
      </c>
      <c r="O1278" s="26"/>
      <c r="P1278" s="47"/>
      <c r="Q1278" s="27">
        <v>10</v>
      </c>
      <c r="R1278" s="34"/>
      <c r="S1278" s="35">
        <f t="shared" si="953"/>
        <v>10</v>
      </c>
      <c r="T1278" s="26"/>
      <c r="U1278" s="47"/>
      <c r="V1278" s="27">
        <v>6</v>
      </c>
      <c r="W1278" s="34"/>
      <c r="X1278" s="35">
        <f t="shared" si="954"/>
        <v>6</v>
      </c>
      <c r="Y1278" s="11">
        <f t="shared" si="939"/>
        <v>16</v>
      </c>
      <c r="Z1278" s="99">
        <v>45351</v>
      </c>
    </row>
    <row r="1279" spans="1:28" x14ac:dyDescent="0.15">
      <c r="A1279" s="13" t="s">
        <v>1075</v>
      </c>
      <c r="B1279" s="26"/>
      <c r="C1279" s="47"/>
      <c r="D1279" s="27">
        <v>-5</v>
      </c>
      <c r="E1279" s="34"/>
      <c r="F1279" s="35">
        <f t="shared" si="955"/>
        <v>-5</v>
      </c>
      <c r="G1279" s="26"/>
      <c r="H1279" s="47"/>
      <c r="I1279" s="27"/>
      <c r="J1279" s="34">
        <v>-5</v>
      </c>
      <c r="K1279" s="35">
        <f t="shared" si="956"/>
        <v>-5</v>
      </c>
      <c r="L1279" s="11">
        <f t="shared" si="942"/>
        <v>-10</v>
      </c>
      <c r="M1279" s="99">
        <v>45357</v>
      </c>
      <c r="N1279" s="90" t="s">
        <v>1070</v>
      </c>
      <c r="O1279" s="26"/>
      <c r="P1279" s="47"/>
      <c r="Q1279" s="27"/>
      <c r="R1279" s="34"/>
      <c r="S1279" s="35">
        <f t="shared" si="953"/>
        <v>0</v>
      </c>
      <c r="T1279" s="26"/>
      <c r="U1279" s="47"/>
      <c r="V1279" s="27">
        <v>6</v>
      </c>
      <c r="W1279" s="34">
        <v>6</v>
      </c>
      <c r="X1279" s="35">
        <f t="shared" si="954"/>
        <v>12</v>
      </c>
      <c r="Y1279" s="11">
        <f t="shared" si="939"/>
        <v>12</v>
      </c>
      <c r="Z1279" s="99">
        <v>45356</v>
      </c>
    </row>
    <row r="1280" spans="1:28" x14ac:dyDescent="0.15">
      <c r="A1280" s="12" t="s">
        <v>41</v>
      </c>
      <c r="B1280" s="26"/>
      <c r="C1280" s="47">
        <v>2</v>
      </c>
      <c r="D1280" s="27"/>
      <c r="E1280" s="34">
        <v>1</v>
      </c>
      <c r="F1280" s="35">
        <f t="shared" si="955"/>
        <v>3</v>
      </c>
      <c r="G1280" s="26"/>
      <c r="H1280" s="47"/>
      <c r="I1280" s="27"/>
      <c r="J1280" s="34"/>
      <c r="K1280" s="35">
        <f t="shared" si="956"/>
        <v>0</v>
      </c>
      <c r="L1280" s="11">
        <f t="shared" si="942"/>
        <v>3</v>
      </c>
      <c r="M1280" s="99">
        <v>45357</v>
      </c>
      <c r="N1280" s="15" t="s">
        <v>1067</v>
      </c>
      <c r="O1280" s="26">
        <v>4</v>
      </c>
      <c r="P1280" s="47">
        <v>6</v>
      </c>
      <c r="Q1280" s="27">
        <v>5</v>
      </c>
      <c r="R1280" s="34">
        <v>3</v>
      </c>
      <c r="S1280" s="35">
        <f t="shared" si="953"/>
        <v>18</v>
      </c>
      <c r="T1280" s="26">
        <v>1</v>
      </c>
      <c r="U1280" s="47"/>
      <c r="V1280" s="27"/>
      <c r="W1280" s="34">
        <v>2</v>
      </c>
      <c r="X1280" s="35">
        <f t="shared" si="954"/>
        <v>3</v>
      </c>
      <c r="Y1280" s="11">
        <f t="shared" si="939"/>
        <v>21</v>
      </c>
      <c r="Z1280" s="99">
        <v>45352</v>
      </c>
      <c r="AA1280" s="58"/>
      <c r="AB1280" s="58"/>
    </row>
    <row r="1281" spans="1:27" x14ac:dyDescent="0.15">
      <c r="A1281" s="13" t="s">
        <v>62</v>
      </c>
      <c r="B1281" s="26"/>
      <c r="C1281" s="47"/>
      <c r="D1281" s="27"/>
      <c r="E1281" s="34">
        <v>-5</v>
      </c>
      <c r="F1281" s="35">
        <f t="shared" si="955"/>
        <v>-5</v>
      </c>
      <c r="G1281" s="26"/>
      <c r="H1281" s="47"/>
      <c r="I1281" s="27"/>
      <c r="J1281" s="34"/>
      <c r="K1281" s="35">
        <f t="shared" si="956"/>
        <v>0</v>
      </c>
      <c r="L1281" s="11">
        <f t="shared" si="942"/>
        <v>-5</v>
      </c>
      <c r="M1281" s="99">
        <v>45358</v>
      </c>
      <c r="N1281" s="15" t="s">
        <v>1068</v>
      </c>
      <c r="O1281" s="26">
        <v>5</v>
      </c>
      <c r="P1281" s="47">
        <v>8</v>
      </c>
      <c r="Q1281" s="27">
        <v>2</v>
      </c>
      <c r="R1281" s="34">
        <v>1</v>
      </c>
      <c r="S1281" s="35">
        <f t="shared" si="953"/>
        <v>16</v>
      </c>
      <c r="T1281" s="26"/>
      <c r="U1281" s="47">
        <v>2</v>
      </c>
      <c r="V1281" s="27">
        <v>3</v>
      </c>
      <c r="W1281" s="34">
        <v>1</v>
      </c>
      <c r="X1281" s="35">
        <f t="shared" si="954"/>
        <v>6</v>
      </c>
      <c r="Y1281" s="11">
        <f t="shared" si="939"/>
        <v>22</v>
      </c>
      <c r="Z1281" s="99">
        <v>45352</v>
      </c>
    </row>
    <row r="1282" spans="1:27" x14ac:dyDescent="0.15">
      <c r="A1282" s="13" t="s">
        <v>1102</v>
      </c>
      <c r="B1282" s="26"/>
      <c r="C1282" s="47"/>
      <c r="D1282" s="27">
        <v>-1</v>
      </c>
      <c r="E1282" s="34"/>
      <c r="F1282" s="35">
        <f t="shared" si="955"/>
        <v>-1</v>
      </c>
      <c r="G1282" s="26">
        <v>-1</v>
      </c>
      <c r="H1282" s="47">
        <v>-1</v>
      </c>
      <c r="I1282" s="27">
        <v>-1</v>
      </c>
      <c r="J1282" s="34"/>
      <c r="K1282" s="35">
        <f t="shared" si="956"/>
        <v>-3</v>
      </c>
      <c r="L1282" s="11">
        <f t="shared" si="942"/>
        <v>-4</v>
      </c>
      <c r="M1282" s="101"/>
      <c r="N1282" s="15" t="s">
        <v>1069</v>
      </c>
      <c r="O1282" s="26"/>
      <c r="P1282" s="47">
        <v>4</v>
      </c>
      <c r="Q1282" s="27">
        <v>1</v>
      </c>
      <c r="R1282" s="34">
        <v>2</v>
      </c>
      <c r="S1282" s="35">
        <f t="shared" si="953"/>
        <v>7</v>
      </c>
      <c r="T1282" s="26"/>
      <c r="U1282" s="47">
        <v>1</v>
      </c>
      <c r="V1282" s="27"/>
      <c r="W1282" s="34">
        <v>1</v>
      </c>
      <c r="X1282" s="35">
        <f t="shared" si="954"/>
        <v>2</v>
      </c>
      <c r="Y1282" s="11">
        <f t="shared" si="939"/>
        <v>9</v>
      </c>
      <c r="Z1282" s="99">
        <v>45355</v>
      </c>
    </row>
    <row r="1283" spans="1:27" x14ac:dyDescent="0.15">
      <c r="A1283" s="32"/>
      <c r="B1283" s="26"/>
      <c r="C1283" s="47"/>
      <c r="D1283" s="27"/>
      <c r="E1283" s="34"/>
      <c r="F1283" s="35">
        <f t="shared" si="955"/>
        <v>0</v>
      </c>
      <c r="G1283" s="26"/>
      <c r="H1283" s="47"/>
      <c r="I1283" s="27"/>
      <c r="J1283" s="34"/>
      <c r="K1283" s="35">
        <f t="shared" si="956"/>
        <v>0</v>
      </c>
      <c r="L1283" s="11">
        <f t="shared" si="942"/>
        <v>0</v>
      </c>
      <c r="M1283" s="101"/>
      <c r="N1283" s="15" t="s">
        <v>1071</v>
      </c>
      <c r="O1283" s="66">
        <v>3</v>
      </c>
      <c r="P1283" s="67">
        <v>6</v>
      </c>
      <c r="Q1283" s="68">
        <v>4</v>
      </c>
      <c r="R1283" s="94">
        <v>3</v>
      </c>
      <c r="S1283" s="91">
        <f>SUM(O1283:R1283)</f>
        <v>16</v>
      </c>
      <c r="T1283" s="67">
        <v>4</v>
      </c>
      <c r="U1283" s="67">
        <v>3</v>
      </c>
      <c r="V1283" s="68"/>
      <c r="W1283" s="94">
        <v>1</v>
      </c>
      <c r="X1283" s="91">
        <f>SUM(T1283:W1283)</f>
        <v>8</v>
      </c>
      <c r="Y1283" s="11">
        <f t="shared" si="939"/>
        <v>24</v>
      </c>
      <c r="Z1283" s="99">
        <v>45357</v>
      </c>
      <c r="AA1283" s="58"/>
    </row>
    <row r="1284" spans="1:27" x14ac:dyDescent="0.15">
      <c r="A1284" s="32"/>
      <c r="B1284" s="26"/>
      <c r="C1284" s="47"/>
      <c r="D1284" s="27"/>
      <c r="E1284" s="34"/>
      <c r="F1284" s="35">
        <f t="shared" si="955"/>
        <v>0</v>
      </c>
      <c r="G1284" s="26"/>
      <c r="H1284" s="47"/>
      <c r="I1284" s="27"/>
      <c r="J1284" s="34"/>
      <c r="K1284" s="35">
        <f t="shared" si="956"/>
        <v>0</v>
      </c>
      <c r="L1284" s="11">
        <f t="shared" si="942"/>
        <v>0</v>
      </c>
      <c r="N1284" s="15" t="s">
        <v>1073</v>
      </c>
      <c r="O1284" s="26">
        <v>2</v>
      </c>
      <c r="P1284" s="47">
        <v>4</v>
      </c>
      <c r="Q1284" s="27">
        <v>3</v>
      </c>
      <c r="R1284" s="34">
        <v>1</v>
      </c>
      <c r="S1284" s="35">
        <f t="shared" ref="S1284:S1285" si="957">SUM(O1284:R1284)</f>
        <v>10</v>
      </c>
      <c r="T1284" s="26"/>
      <c r="U1284" s="47">
        <v>1</v>
      </c>
      <c r="V1284" s="27"/>
      <c r="W1284" s="34"/>
      <c r="X1284" s="35">
        <f t="shared" ref="X1284:X1285" si="958">SUM(T1284:W1284)</f>
        <v>1</v>
      </c>
      <c r="Y1284" s="11">
        <f t="shared" si="939"/>
        <v>11</v>
      </c>
      <c r="Z1284" s="99">
        <v>45358</v>
      </c>
    </row>
    <row r="1285" spans="1:27" x14ac:dyDescent="0.15">
      <c r="A1285" s="12"/>
      <c r="B1285" s="26"/>
      <c r="C1285" s="47"/>
      <c r="D1285" s="27"/>
      <c r="E1285" s="34"/>
      <c r="F1285" s="35">
        <f t="shared" si="955"/>
        <v>0</v>
      </c>
      <c r="G1285" s="26"/>
      <c r="H1285" s="47"/>
      <c r="I1285" s="27"/>
      <c r="J1285" s="34"/>
      <c r="K1285" s="35">
        <f t="shared" si="956"/>
        <v>0</v>
      </c>
      <c r="L1285" s="11">
        <f t="shared" si="942"/>
        <v>0</v>
      </c>
      <c r="N1285" s="57" t="s">
        <v>34</v>
      </c>
      <c r="O1285" s="26"/>
      <c r="P1285" s="47"/>
      <c r="Q1285" s="27">
        <v>5</v>
      </c>
      <c r="R1285" s="34"/>
      <c r="S1285" s="35">
        <f t="shared" si="957"/>
        <v>5</v>
      </c>
      <c r="T1285" s="26"/>
      <c r="U1285" s="47"/>
      <c r="V1285" s="27"/>
      <c r="W1285" s="34">
        <v>5</v>
      </c>
      <c r="X1285" s="35">
        <f t="shared" si="958"/>
        <v>5</v>
      </c>
      <c r="Y1285" s="11">
        <f t="shared" si="939"/>
        <v>10</v>
      </c>
      <c r="Z1285" s="99">
        <v>45357</v>
      </c>
    </row>
    <row r="1286" spans="1:27" x14ac:dyDescent="0.15">
      <c r="A1286" s="79"/>
      <c r="B1286" s="26"/>
      <c r="C1286" s="47"/>
      <c r="D1286" s="27"/>
      <c r="E1286" s="34"/>
      <c r="F1286" s="35">
        <f t="shared" si="955"/>
        <v>0</v>
      </c>
      <c r="G1286" s="26"/>
      <c r="H1286" s="47"/>
      <c r="I1286" s="27"/>
      <c r="J1286" s="34"/>
      <c r="K1286" s="35">
        <f t="shared" si="956"/>
        <v>0</v>
      </c>
      <c r="L1286" s="11">
        <f t="shared" si="942"/>
        <v>0</v>
      </c>
      <c r="N1286" s="57"/>
      <c r="O1286" s="26"/>
      <c r="P1286" s="47"/>
      <c r="Q1286" s="27"/>
      <c r="R1286" s="34"/>
      <c r="S1286" s="35">
        <f t="shared" ref="S1286" si="959">SUM(O1286:R1286)</f>
        <v>0</v>
      </c>
      <c r="T1286" s="26"/>
      <c r="U1286" s="47"/>
      <c r="V1286" s="27"/>
      <c r="W1286" s="34"/>
      <c r="X1286" s="35">
        <f t="shared" ref="X1286" si="960">SUM(T1286:W1286)</f>
        <v>0</v>
      </c>
      <c r="Y1286" s="11">
        <f t="shared" ref="Y1286" si="961">S1286+X1286</f>
        <v>0</v>
      </c>
    </row>
    <row r="1287" spans="1:27" x14ac:dyDescent="0.15">
      <c r="A1287" s="57"/>
      <c r="B1287" s="26"/>
      <c r="C1287" s="47"/>
      <c r="D1287" s="27"/>
      <c r="E1287" s="34"/>
      <c r="F1287" s="35">
        <f t="shared" si="955"/>
        <v>0</v>
      </c>
      <c r="G1287" s="26"/>
      <c r="H1287" s="47"/>
      <c r="I1287" s="27"/>
      <c r="J1287" s="34"/>
      <c r="K1287" s="35">
        <f t="shared" si="956"/>
        <v>0</v>
      </c>
      <c r="L1287" s="11">
        <f t="shared" si="942"/>
        <v>0</v>
      </c>
      <c r="N1287" s="12" t="s">
        <v>923</v>
      </c>
      <c r="O1287" s="26"/>
      <c r="P1287" s="47"/>
      <c r="Q1287" s="27"/>
      <c r="R1287" s="50"/>
      <c r="S1287" s="9">
        <f t="shared" ref="S1287:S1289" si="962">SUM(O1287:R1287)</f>
        <v>0</v>
      </c>
      <c r="T1287" s="26"/>
      <c r="U1287" s="47"/>
      <c r="V1287" s="27"/>
      <c r="W1287" s="50"/>
      <c r="X1287" s="9">
        <f t="shared" ref="X1287:X1289" si="963">SUM(T1287:W1287)</f>
        <v>0</v>
      </c>
      <c r="Y1287" s="108">
        <f t="shared" ref="Y1287:Y1290" si="964">S1287+X1287</f>
        <v>0</v>
      </c>
      <c r="Z1287" s="101" t="s">
        <v>922</v>
      </c>
    </row>
    <row r="1288" spans="1:27" ht="14.25" thickBot="1" x14ac:dyDescent="0.2">
      <c r="A1288" s="90"/>
      <c r="B1288" s="62"/>
      <c r="C1288" s="63"/>
      <c r="D1288" s="64"/>
      <c r="E1288" s="65"/>
      <c r="F1288" s="35">
        <f t="shared" si="955"/>
        <v>0</v>
      </c>
      <c r="G1288" s="62"/>
      <c r="H1288" s="63"/>
      <c r="I1288" s="64"/>
      <c r="J1288" s="65"/>
      <c r="K1288" s="35">
        <f t="shared" si="956"/>
        <v>0</v>
      </c>
      <c r="L1288" s="14">
        <f t="shared" si="942"/>
        <v>0</v>
      </c>
      <c r="N1288" s="135" t="s">
        <v>1014</v>
      </c>
      <c r="O1288" s="62"/>
      <c r="P1288" s="63"/>
      <c r="Q1288" s="64"/>
      <c r="R1288" s="261"/>
      <c r="S1288" s="10">
        <f t="shared" ref="S1288" si="965">SUM(O1288:R1288)</f>
        <v>0</v>
      </c>
      <c r="T1288" s="62"/>
      <c r="U1288" s="63"/>
      <c r="V1288" s="64"/>
      <c r="W1288" s="261"/>
      <c r="X1288" s="10">
        <f t="shared" ref="X1288" si="966">SUM(T1288:W1288)</f>
        <v>0</v>
      </c>
      <c r="Y1288" s="121">
        <f t="shared" ref="Y1288" si="967">S1288+X1288</f>
        <v>0</v>
      </c>
      <c r="Z1288" s="101" t="s">
        <v>487</v>
      </c>
    </row>
    <row r="1289" spans="1:27" ht="14.25" thickBot="1" x14ac:dyDescent="0.2">
      <c r="A1289" s="17" t="s">
        <v>10</v>
      </c>
      <c r="B1289" s="38">
        <f>SUM(B1264:B1288)</f>
        <v>1</v>
      </c>
      <c r="C1289" s="48">
        <f>SUM(C1264:C1288)</f>
        <v>-1</v>
      </c>
      <c r="D1289" s="39">
        <f>SUM(D1264:D1288)</f>
        <v>3</v>
      </c>
      <c r="E1289" s="40">
        <f>SUM(E1264:E1288)</f>
        <v>3</v>
      </c>
      <c r="F1289" s="36">
        <f>SUM(B1289:E1289)</f>
        <v>6</v>
      </c>
      <c r="G1289" s="38">
        <f>SUM(G1264:G1288)</f>
        <v>-2</v>
      </c>
      <c r="H1289" s="48">
        <f>SUM(H1264:H1288)</f>
        <v>-6</v>
      </c>
      <c r="I1289" s="39">
        <f>SUM(I1264:I1288)</f>
        <v>4</v>
      </c>
      <c r="J1289" s="40">
        <f>SUM(J1264:J1288)</f>
        <v>0</v>
      </c>
      <c r="K1289" s="36">
        <f>SUM(G1289:J1289)</f>
        <v>-4</v>
      </c>
      <c r="L1289" s="37">
        <f t="shared" si="942"/>
        <v>2</v>
      </c>
      <c r="N1289" s="133" t="s">
        <v>10</v>
      </c>
      <c r="O1289" s="38">
        <f>SUM(O1264:O1288)</f>
        <v>161</v>
      </c>
      <c r="P1289" s="48">
        <f>SUM(P1264:P1288)</f>
        <v>148</v>
      </c>
      <c r="Q1289" s="39">
        <f>SUM(Q1264:Q1288)</f>
        <v>101</v>
      </c>
      <c r="R1289" s="40">
        <f>SUM(R1264:R1288)</f>
        <v>79</v>
      </c>
      <c r="S1289" s="118">
        <f t="shared" si="962"/>
        <v>489</v>
      </c>
      <c r="T1289" s="38">
        <f>SUM(T1264:T1288)</f>
        <v>48</v>
      </c>
      <c r="U1289" s="48">
        <f>SUM(U1264:U1288)</f>
        <v>72</v>
      </c>
      <c r="V1289" s="39">
        <f>SUM(V1264:V1288)</f>
        <v>47</v>
      </c>
      <c r="W1289" s="40">
        <f>SUM(W1264:W1288)</f>
        <v>38</v>
      </c>
      <c r="X1289" s="118">
        <f t="shared" si="963"/>
        <v>205</v>
      </c>
      <c r="Y1289" s="119">
        <f t="shared" si="964"/>
        <v>694</v>
      </c>
    </row>
    <row r="1290" spans="1:27" ht="14.25" thickBot="1" x14ac:dyDescent="0.2">
      <c r="A1290" s="22" t="s">
        <v>11</v>
      </c>
      <c r="B1290" s="41">
        <f>B1263-B1289</f>
        <v>10</v>
      </c>
      <c r="C1290" s="49">
        <f>C1263-C1289</f>
        <v>8</v>
      </c>
      <c r="D1290" s="42">
        <f t="shared" ref="D1290:K1290" si="968">D1263-D1289</f>
        <v>7</v>
      </c>
      <c r="E1290" s="43">
        <f t="shared" si="968"/>
        <v>7</v>
      </c>
      <c r="F1290" s="61">
        <f t="shared" si="968"/>
        <v>28</v>
      </c>
      <c r="G1290" s="41">
        <f t="shared" si="968"/>
        <v>6</v>
      </c>
      <c r="H1290" s="49">
        <f t="shared" si="968"/>
        <v>13</v>
      </c>
      <c r="I1290" s="42">
        <f t="shared" si="968"/>
        <v>5</v>
      </c>
      <c r="J1290" s="43">
        <f t="shared" si="968"/>
        <v>6</v>
      </c>
      <c r="K1290" s="61">
        <f t="shared" si="968"/>
        <v>30</v>
      </c>
      <c r="L1290" s="21">
        <f t="shared" si="942"/>
        <v>58</v>
      </c>
      <c r="N1290" s="17" t="s">
        <v>11</v>
      </c>
      <c r="O1290" s="41">
        <f>O1263-O1289</f>
        <v>147</v>
      </c>
      <c r="P1290" s="49">
        <f t="shared" ref="P1290:Q1290" si="969">P1263-P1289</f>
        <v>259</v>
      </c>
      <c r="Q1290" s="42">
        <f t="shared" si="969"/>
        <v>171</v>
      </c>
      <c r="R1290" s="43">
        <f>R1263-R1289</f>
        <v>106</v>
      </c>
      <c r="S1290" s="61">
        <f t="shared" ref="S1290:X1290" si="970">S1263-S1289</f>
        <v>683</v>
      </c>
      <c r="T1290" s="41">
        <f t="shared" si="970"/>
        <v>305</v>
      </c>
      <c r="U1290" s="49">
        <f t="shared" si="970"/>
        <v>357</v>
      </c>
      <c r="V1290" s="42">
        <f t="shared" si="970"/>
        <v>213</v>
      </c>
      <c r="W1290" s="43">
        <f t="shared" si="970"/>
        <v>190</v>
      </c>
      <c r="X1290" s="61">
        <f t="shared" si="970"/>
        <v>1065</v>
      </c>
      <c r="Y1290" s="21">
        <f t="shared" si="964"/>
        <v>1748</v>
      </c>
    </row>
    <row r="1291" spans="1:27" x14ac:dyDescent="0.15">
      <c r="N1291" s="200">
        <v>45296</v>
      </c>
      <c r="O1291" s="218">
        <f>O1251+O1213+O1175+O1137+O1099+O1061+O1023+O985+O947+O911</f>
        <v>3649</v>
      </c>
      <c r="P1291" s="218">
        <f t="shared" ref="P1291:Y1291" si="971">P1251+P1213+P1175+P1137+P1099+P1061+P1023+P985+P947+P911</f>
        <v>4375</v>
      </c>
      <c r="Q1291" s="218">
        <f t="shared" si="971"/>
        <v>2691</v>
      </c>
      <c r="R1291" s="218">
        <f t="shared" si="971"/>
        <v>1562</v>
      </c>
      <c r="S1291" s="218">
        <f t="shared" si="971"/>
        <v>12277</v>
      </c>
      <c r="T1291" s="218">
        <f t="shared" si="971"/>
        <v>1830</v>
      </c>
      <c r="U1291" s="218">
        <f t="shared" si="971"/>
        <v>2187</v>
      </c>
      <c r="V1291" s="218">
        <f t="shared" si="971"/>
        <v>1483</v>
      </c>
      <c r="W1291" s="218">
        <f t="shared" si="971"/>
        <v>1008</v>
      </c>
      <c r="X1291" s="218">
        <f t="shared" si="971"/>
        <v>6508</v>
      </c>
      <c r="Y1291" s="218">
        <f t="shared" si="971"/>
        <v>18785</v>
      </c>
    </row>
    <row r="1292" spans="1:27" x14ac:dyDescent="0.15">
      <c r="O1292" s="211">
        <f>O1291/$S$1291*100</f>
        <v>29.722244848089925</v>
      </c>
      <c r="P1292" s="211">
        <f t="shared" ref="P1292:S1292" si="972">P1291/$S$1291*100</f>
        <v>35.635741630691534</v>
      </c>
      <c r="Q1292" s="211">
        <f t="shared" si="972"/>
        <v>21.919035595015067</v>
      </c>
      <c r="R1292" s="211">
        <f t="shared" si="972"/>
        <v>12.722977926203468</v>
      </c>
      <c r="S1292" s="211">
        <f t="shared" si="972"/>
        <v>100</v>
      </c>
      <c r="T1292" s="211">
        <f>T1291/$X$1291*100</f>
        <v>28.119237861094039</v>
      </c>
      <c r="U1292" s="211">
        <f t="shared" ref="U1292:X1292" si="973">U1291/$X$1291*100</f>
        <v>33.604794099569766</v>
      </c>
      <c r="V1292" s="211">
        <f t="shared" si="973"/>
        <v>22.787338660110635</v>
      </c>
      <c r="W1292" s="211">
        <f t="shared" si="973"/>
        <v>15.488629379225568</v>
      </c>
      <c r="X1292" s="211">
        <f t="shared" si="973"/>
        <v>100</v>
      </c>
    </row>
    <row r="1293" spans="1:27" ht="19.5" thickBot="1" x14ac:dyDescent="0.25">
      <c r="A1293" s="2" t="s">
        <v>106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105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7" ht="14.25" thickBot="1" x14ac:dyDescent="0.2">
      <c r="A1294" s="5" t="s">
        <v>0</v>
      </c>
      <c r="B1294" s="342" t="s">
        <v>18</v>
      </c>
      <c r="C1294" s="350"/>
      <c r="D1294" s="350"/>
      <c r="E1294" s="350"/>
      <c r="F1294" s="351"/>
      <c r="G1294" s="345" t="s">
        <v>12</v>
      </c>
      <c r="H1294" s="352"/>
      <c r="I1294" s="352"/>
      <c r="J1294" s="352"/>
      <c r="K1294" s="353"/>
      <c r="L1294" s="354" t="s">
        <v>1</v>
      </c>
      <c r="N1294" s="5" t="s">
        <v>0</v>
      </c>
      <c r="O1294" s="342" t="s">
        <v>18</v>
      </c>
      <c r="P1294" s="350"/>
      <c r="Q1294" s="350"/>
      <c r="R1294" s="350"/>
      <c r="S1294" s="351"/>
      <c r="T1294" s="345" t="s">
        <v>12</v>
      </c>
      <c r="U1294" s="352"/>
      <c r="V1294" s="352"/>
      <c r="W1294" s="352"/>
      <c r="X1294" s="353"/>
      <c r="Y1294" s="354" t="s">
        <v>1</v>
      </c>
    </row>
    <row r="1295" spans="1:27" ht="14.25" thickBot="1" x14ac:dyDescent="0.2">
      <c r="A1295" s="5" t="s">
        <v>2</v>
      </c>
      <c r="B1295" s="3" t="s">
        <v>13</v>
      </c>
      <c r="C1295" s="44" t="s">
        <v>14</v>
      </c>
      <c r="D1295" s="4" t="s">
        <v>15</v>
      </c>
      <c r="E1295" s="23" t="s">
        <v>16</v>
      </c>
      <c r="F1295" s="31" t="s">
        <v>3</v>
      </c>
      <c r="G1295" s="3" t="s">
        <v>13</v>
      </c>
      <c r="H1295" s="44" t="s">
        <v>14</v>
      </c>
      <c r="I1295" s="4" t="s">
        <v>15</v>
      </c>
      <c r="J1295" s="23" t="s">
        <v>16</v>
      </c>
      <c r="K1295" s="31" t="s">
        <v>3</v>
      </c>
      <c r="L1295" s="355"/>
      <c r="N1295" s="5" t="s">
        <v>2</v>
      </c>
      <c r="O1295" s="3" t="s">
        <v>13</v>
      </c>
      <c r="P1295" s="44" t="s">
        <v>14</v>
      </c>
      <c r="Q1295" s="4" t="s">
        <v>15</v>
      </c>
      <c r="R1295" s="23" t="s">
        <v>16</v>
      </c>
      <c r="S1295" s="31" t="s">
        <v>3</v>
      </c>
      <c r="T1295" s="3" t="s">
        <v>13</v>
      </c>
      <c r="U1295" s="44" t="s">
        <v>14</v>
      </c>
      <c r="V1295" s="4" t="s">
        <v>15</v>
      </c>
      <c r="W1295" s="23" t="s">
        <v>16</v>
      </c>
      <c r="X1295" s="31" t="s">
        <v>3</v>
      </c>
      <c r="Y1295" s="355"/>
    </row>
    <row r="1296" spans="1:27" x14ac:dyDescent="0.15">
      <c r="A1296" s="71" t="s">
        <v>17</v>
      </c>
      <c r="B1296" s="72">
        <f>B1290</f>
        <v>10</v>
      </c>
      <c r="C1296" s="73">
        <f t="shared" ref="C1296:L1296" si="974">C1290</f>
        <v>8</v>
      </c>
      <c r="D1296" s="73">
        <f t="shared" si="974"/>
        <v>7</v>
      </c>
      <c r="E1296" s="74">
        <f t="shared" si="974"/>
        <v>7</v>
      </c>
      <c r="F1296" s="76">
        <f t="shared" si="974"/>
        <v>28</v>
      </c>
      <c r="G1296" s="72">
        <f t="shared" si="974"/>
        <v>6</v>
      </c>
      <c r="H1296" s="73">
        <f t="shared" si="974"/>
        <v>13</v>
      </c>
      <c r="I1296" s="73">
        <f t="shared" si="974"/>
        <v>5</v>
      </c>
      <c r="J1296" s="74">
        <f t="shared" si="974"/>
        <v>6</v>
      </c>
      <c r="K1296" s="75">
        <f t="shared" si="974"/>
        <v>30</v>
      </c>
      <c r="L1296" s="16">
        <f t="shared" si="974"/>
        <v>58</v>
      </c>
      <c r="N1296" s="71" t="s">
        <v>17</v>
      </c>
      <c r="O1296" s="72">
        <f>O1290</f>
        <v>147</v>
      </c>
      <c r="P1296" s="73">
        <f t="shared" ref="P1296:Y1296" si="975">P1290</f>
        <v>259</v>
      </c>
      <c r="Q1296" s="73">
        <f t="shared" si="975"/>
        <v>171</v>
      </c>
      <c r="R1296" s="74">
        <f t="shared" si="975"/>
        <v>106</v>
      </c>
      <c r="S1296" s="76">
        <f t="shared" si="975"/>
        <v>683</v>
      </c>
      <c r="T1296" s="72">
        <f t="shared" si="975"/>
        <v>305</v>
      </c>
      <c r="U1296" s="73">
        <f t="shared" si="975"/>
        <v>357</v>
      </c>
      <c r="V1296" s="73">
        <f t="shared" si="975"/>
        <v>213</v>
      </c>
      <c r="W1296" s="74">
        <f t="shared" si="975"/>
        <v>190</v>
      </c>
      <c r="X1296" s="75">
        <f t="shared" si="975"/>
        <v>1065</v>
      </c>
      <c r="Y1296" s="16">
        <f t="shared" si="975"/>
        <v>1748</v>
      </c>
    </row>
    <row r="1297" spans="1:28" x14ac:dyDescent="0.15">
      <c r="A1297" s="13" t="s">
        <v>49</v>
      </c>
      <c r="B1297" s="26">
        <v>5</v>
      </c>
      <c r="C1297" s="47">
        <v>4</v>
      </c>
      <c r="D1297" s="27">
        <v>3</v>
      </c>
      <c r="E1297" s="50">
        <v>2</v>
      </c>
      <c r="F1297" s="9">
        <f>SUM(B1297:E1297)</f>
        <v>14</v>
      </c>
      <c r="G1297" s="47"/>
      <c r="H1297" s="47"/>
      <c r="I1297" s="27"/>
      <c r="J1297" s="50"/>
      <c r="K1297" s="9">
        <f>SUM(G1297:J1297)</f>
        <v>0</v>
      </c>
      <c r="L1297" s="11">
        <f t="shared" ref="L1297:L1328" si="976">F1297+K1297</f>
        <v>14</v>
      </c>
      <c r="M1297" s="99">
        <v>45359</v>
      </c>
      <c r="N1297" s="13" t="s">
        <v>5</v>
      </c>
      <c r="O1297" s="26">
        <v>6</v>
      </c>
      <c r="P1297" s="47"/>
      <c r="Q1297" s="27"/>
      <c r="R1297" s="34"/>
      <c r="S1297" s="77">
        <f t="shared" ref="S1297" si="977">SUM(O1297:R1297)</f>
        <v>6</v>
      </c>
      <c r="T1297" s="26"/>
      <c r="U1297" s="47">
        <v>8</v>
      </c>
      <c r="V1297" s="27"/>
      <c r="W1297" s="34"/>
      <c r="X1297" s="9">
        <f t="shared" ref="X1297" si="978">SUM(T1297:W1297)</f>
        <v>8</v>
      </c>
      <c r="Y1297" s="11">
        <f t="shared" ref="Y1297" si="979">S1297+X1297</f>
        <v>14</v>
      </c>
      <c r="Z1297" s="126">
        <v>45367</v>
      </c>
    </row>
    <row r="1298" spans="1:28" x14ac:dyDescent="0.15">
      <c r="A1298" s="13" t="s">
        <v>6</v>
      </c>
      <c r="B1298" s="26"/>
      <c r="C1298" s="47"/>
      <c r="D1298" s="27"/>
      <c r="E1298" s="50"/>
      <c r="F1298" s="9">
        <f>SUM(B1298:E1298)</f>
        <v>0</v>
      </c>
      <c r="G1298" s="47"/>
      <c r="H1298" s="47"/>
      <c r="I1298" s="27">
        <v>3</v>
      </c>
      <c r="J1298" s="50"/>
      <c r="K1298" s="9">
        <f>SUM(G1298:J1298)</f>
        <v>3</v>
      </c>
      <c r="L1298" s="11">
        <f t="shared" si="976"/>
        <v>3</v>
      </c>
      <c r="M1298" s="99">
        <v>45362</v>
      </c>
      <c r="N1298" s="13" t="s">
        <v>350</v>
      </c>
      <c r="O1298" s="26">
        <v>3</v>
      </c>
      <c r="P1298" s="47">
        <v>4</v>
      </c>
      <c r="Q1298" s="27">
        <v>6</v>
      </c>
      <c r="R1298" s="34"/>
      <c r="S1298" s="77">
        <f t="shared" ref="S1298" si="980">SUM(O1298:R1298)</f>
        <v>13</v>
      </c>
      <c r="T1298" s="26"/>
      <c r="U1298" s="47">
        <v>3</v>
      </c>
      <c r="V1298" s="27"/>
      <c r="W1298" s="34"/>
      <c r="X1298" s="9">
        <f t="shared" ref="X1298" si="981">SUM(T1298:W1298)</f>
        <v>3</v>
      </c>
      <c r="Y1298" s="11">
        <f t="shared" ref="Y1298" si="982">S1298+X1298</f>
        <v>16</v>
      </c>
      <c r="Z1298" s="126">
        <v>45381</v>
      </c>
    </row>
    <row r="1299" spans="1:28" x14ac:dyDescent="0.15">
      <c r="A1299" s="13" t="s">
        <v>7</v>
      </c>
      <c r="B1299" s="26"/>
      <c r="C1299" s="47"/>
      <c r="D1299" s="27"/>
      <c r="E1299" s="50">
        <v>3</v>
      </c>
      <c r="F1299" s="9">
        <f>SUM(B1299:E1299)</f>
        <v>3</v>
      </c>
      <c r="G1299" s="47">
        <v>3</v>
      </c>
      <c r="H1299" s="47"/>
      <c r="I1299" s="27">
        <v>3</v>
      </c>
      <c r="J1299" s="50"/>
      <c r="K1299" s="9">
        <f>SUM(G1299:J1299)</f>
        <v>6</v>
      </c>
      <c r="L1299" s="11">
        <f t="shared" si="976"/>
        <v>9</v>
      </c>
      <c r="M1299" s="99">
        <v>45367</v>
      </c>
      <c r="N1299" s="13" t="s">
        <v>7</v>
      </c>
      <c r="O1299" s="26"/>
      <c r="P1299" s="47"/>
      <c r="Q1299" s="27"/>
      <c r="R1299" s="34"/>
      <c r="S1299" s="77">
        <f t="shared" ref="S1299" si="983">SUM(O1299:R1299)</f>
        <v>0</v>
      </c>
      <c r="T1299" s="26"/>
      <c r="U1299" s="47"/>
      <c r="V1299" s="27"/>
      <c r="W1299" s="34"/>
      <c r="X1299" s="9">
        <f t="shared" ref="X1299" si="984">SUM(T1299:W1299)</f>
        <v>0</v>
      </c>
      <c r="Y1299" s="11">
        <f t="shared" ref="Y1299:Y1301" si="985">S1299+X1299</f>
        <v>0</v>
      </c>
    </row>
    <row r="1300" spans="1:28" ht="14.25" thickBot="1" x14ac:dyDescent="0.2">
      <c r="A1300" s="13" t="s">
        <v>8</v>
      </c>
      <c r="B1300" s="26">
        <v>5</v>
      </c>
      <c r="C1300" s="47">
        <v>5</v>
      </c>
      <c r="D1300" s="27">
        <v>5</v>
      </c>
      <c r="E1300" s="50"/>
      <c r="F1300" s="10">
        <f>SUM(B1300:E1300)</f>
        <v>15</v>
      </c>
      <c r="G1300" s="47"/>
      <c r="H1300" s="47"/>
      <c r="I1300" s="27"/>
      <c r="J1300" s="50"/>
      <c r="K1300" s="10">
        <f>SUM(G1300:J1300)</f>
        <v>0</v>
      </c>
      <c r="L1300" s="14">
        <f t="shared" si="976"/>
        <v>15</v>
      </c>
      <c r="M1300" s="99">
        <v>45372</v>
      </c>
      <c r="N1300" s="13" t="s">
        <v>8</v>
      </c>
      <c r="O1300" s="26"/>
      <c r="P1300" s="47"/>
      <c r="Q1300" s="27"/>
      <c r="R1300" s="34"/>
      <c r="S1300" s="77">
        <f t="shared" ref="S1300" si="986">SUM(O1300:R1300)</f>
        <v>0</v>
      </c>
      <c r="T1300" s="26"/>
      <c r="U1300" s="47"/>
      <c r="V1300" s="27"/>
      <c r="W1300" s="34"/>
      <c r="X1300" s="9">
        <f t="shared" ref="X1300" si="987">SUM(T1300:W1300)</f>
        <v>0</v>
      </c>
      <c r="Y1300" s="11">
        <f t="shared" ref="Y1300" si="988">S1300+X1300</f>
        <v>0</v>
      </c>
    </row>
    <row r="1301" spans="1:28" ht="14.25" thickBot="1" x14ac:dyDescent="0.2">
      <c r="A1301" s="22" t="s">
        <v>9</v>
      </c>
      <c r="B1301" s="51">
        <f t="shared" ref="B1301:K1301" si="989">SUM(B1296:B1300)</f>
        <v>20</v>
      </c>
      <c r="C1301" s="52">
        <f t="shared" si="989"/>
        <v>17</v>
      </c>
      <c r="D1301" s="53">
        <f t="shared" si="989"/>
        <v>15</v>
      </c>
      <c r="E1301" s="54">
        <f t="shared" si="989"/>
        <v>12</v>
      </c>
      <c r="F1301" s="28">
        <f t="shared" si="989"/>
        <v>60</v>
      </c>
      <c r="G1301" s="51">
        <f t="shared" si="989"/>
        <v>9</v>
      </c>
      <c r="H1301" s="52">
        <f t="shared" si="989"/>
        <v>13</v>
      </c>
      <c r="I1301" s="53">
        <f t="shared" si="989"/>
        <v>11</v>
      </c>
      <c r="J1301" s="54">
        <f t="shared" si="989"/>
        <v>6</v>
      </c>
      <c r="K1301" s="28">
        <f t="shared" si="989"/>
        <v>39</v>
      </c>
      <c r="L1301" s="21">
        <f t="shared" si="976"/>
        <v>99</v>
      </c>
      <c r="N1301" s="17" t="s">
        <v>9</v>
      </c>
      <c r="O1301" s="41">
        <f>SUM(O1296:O1300)</f>
        <v>156</v>
      </c>
      <c r="P1301" s="49">
        <f t="shared" ref="P1301:V1301" si="990">SUM(P1296:P1300)</f>
        <v>263</v>
      </c>
      <c r="Q1301" s="42">
        <f t="shared" si="990"/>
        <v>177</v>
      </c>
      <c r="R1301" s="92">
        <f t="shared" si="990"/>
        <v>106</v>
      </c>
      <c r="S1301" s="93">
        <f t="shared" si="990"/>
        <v>702</v>
      </c>
      <c r="T1301" s="41">
        <f t="shared" si="990"/>
        <v>305</v>
      </c>
      <c r="U1301" s="49">
        <f t="shared" si="990"/>
        <v>368</v>
      </c>
      <c r="V1301" s="42">
        <f t="shared" si="990"/>
        <v>213</v>
      </c>
      <c r="W1301" s="92">
        <f>SUM(W1296:W1300)</f>
        <v>190</v>
      </c>
      <c r="X1301" s="93">
        <f t="shared" ref="X1301" si="991">SUM(X1296:X1300)</f>
        <v>1076</v>
      </c>
      <c r="Y1301" s="56">
        <f t="shared" si="985"/>
        <v>1778</v>
      </c>
    </row>
    <row r="1302" spans="1:28" x14ac:dyDescent="0.15">
      <c r="A1302" s="15" t="s">
        <v>1073</v>
      </c>
      <c r="B1302" s="24">
        <v>2</v>
      </c>
      <c r="C1302" s="46">
        <v>2</v>
      </c>
      <c r="D1302" s="25"/>
      <c r="E1302" s="33"/>
      <c r="F1302" s="35">
        <f>SUM(B1302:E1302)</f>
        <v>4</v>
      </c>
      <c r="G1302" s="24">
        <v>1</v>
      </c>
      <c r="H1302" s="46"/>
      <c r="I1302" s="25"/>
      <c r="J1302" s="33"/>
      <c r="K1302" s="35">
        <f>SUM(G1302:J1302)</f>
        <v>1</v>
      </c>
      <c r="L1302" s="11">
        <f t="shared" si="976"/>
        <v>5</v>
      </c>
      <c r="M1302" s="99">
        <v>45359</v>
      </c>
      <c r="N1302" s="57" t="s">
        <v>34</v>
      </c>
      <c r="O1302" s="66"/>
      <c r="P1302" s="67"/>
      <c r="Q1302" s="68"/>
      <c r="R1302" s="94">
        <v>5</v>
      </c>
      <c r="S1302" s="91">
        <f t="shared" ref="S1302:S1305" si="992">SUM(O1302:R1302)</f>
        <v>5</v>
      </c>
      <c r="T1302" s="67"/>
      <c r="U1302" s="67"/>
      <c r="V1302" s="68"/>
      <c r="W1302" s="94"/>
      <c r="X1302" s="91">
        <f t="shared" ref="X1302:X1305" si="993">SUM(T1302:W1302)</f>
        <v>0</v>
      </c>
      <c r="Y1302" s="11">
        <f t="shared" ref="Y1302:Y1319" si="994">S1302+X1302</f>
        <v>5</v>
      </c>
      <c r="Z1302" s="99">
        <v>45358</v>
      </c>
    </row>
    <row r="1303" spans="1:28" x14ac:dyDescent="0.15">
      <c r="A1303" s="12" t="s">
        <v>1076</v>
      </c>
      <c r="B1303" s="26"/>
      <c r="C1303" s="47"/>
      <c r="D1303" s="27">
        <v>2</v>
      </c>
      <c r="E1303" s="34"/>
      <c r="F1303" s="35">
        <f>SUM(B1303:E1303)</f>
        <v>2</v>
      </c>
      <c r="G1303" s="26"/>
      <c r="H1303" s="47"/>
      <c r="I1303" s="27"/>
      <c r="J1303" s="34"/>
      <c r="K1303" s="35">
        <f>SUM(G1303:J1303)</f>
        <v>0</v>
      </c>
      <c r="L1303" s="11">
        <f t="shared" si="976"/>
        <v>2</v>
      </c>
      <c r="M1303" s="99">
        <v>45359</v>
      </c>
      <c r="N1303" s="15" t="s">
        <v>1081</v>
      </c>
      <c r="O1303" s="26">
        <v>1</v>
      </c>
      <c r="P1303" s="47"/>
      <c r="Q1303" s="27">
        <v>6</v>
      </c>
      <c r="R1303" s="34">
        <v>5</v>
      </c>
      <c r="S1303" s="35">
        <f t="shared" si="992"/>
        <v>12</v>
      </c>
      <c r="T1303" s="26">
        <v>3</v>
      </c>
      <c r="U1303" s="47">
        <v>1</v>
      </c>
      <c r="V1303" s="27"/>
      <c r="W1303" s="34"/>
      <c r="X1303" s="35">
        <f t="shared" si="993"/>
        <v>4</v>
      </c>
      <c r="Y1303" s="11">
        <f t="shared" si="994"/>
        <v>16</v>
      </c>
      <c r="Z1303" s="99">
        <v>45359</v>
      </c>
    </row>
    <row r="1304" spans="1:28" x14ac:dyDescent="0.15">
      <c r="A1304" s="12" t="s">
        <v>1083</v>
      </c>
      <c r="B1304" s="26"/>
      <c r="C1304" s="47"/>
      <c r="D1304" s="27">
        <v>1</v>
      </c>
      <c r="E1304" s="34"/>
      <c r="F1304" s="35">
        <f t="shared" ref="F1304:F1326" si="995">SUM(B1304:E1304)</f>
        <v>1</v>
      </c>
      <c r="G1304" s="26"/>
      <c r="H1304" s="47"/>
      <c r="I1304" s="27"/>
      <c r="J1304" s="34"/>
      <c r="K1304" s="35">
        <f t="shared" ref="K1304:K1326" si="996">SUM(G1304:J1304)</f>
        <v>0</v>
      </c>
      <c r="L1304" s="11">
        <f t="shared" si="976"/>
        <v>1</v>
      </c>
      <c r="M1304" s="99">
        <v>45362</v>
      </c>
      <c r="N1304" s="15" t="s">
        <v>1082</v>
      </c>
      <c r="O1304" s="26">
        <v>1</v>
      </c>
      <c r="P1304" s="47"/>
      <c r="Q1304" s="27">
        <v>5</v>
      </c>
      <c r="R1304" s="34">
        <v>2</v>
      </c>
      <c r="S1304" s="35">
        <f t="shared" si="992"/>
        <v>8</v>
      </c>
      <c r="T1304" s="26"/>
      <c r="U1304" s="47"/>
      <c r="V1304" s="27"/>
      <c r="W1304" s="34"/>
      <c r="X1304" s="35">
        <f t="shared" si="993"/>
        <v>0</v>
      </c>
      <c r="Y1304" s="11">
        <f t="shared" si="994"/>
        <v>8</v>
      </c>
      <c r="Z1304" s="99">
        <v>45362</v>
      </c>
    </row>
    <row r="1305" spans="1:28" x14ac:dyDescent="0.15">
      <c r="A1305" s="32" t="s">
        <v>1084</v>
      </c>
      <c r="B1305" s="66"/>
      <c r="C1305" s="67"/>
      <c r="D1305" s="68"/>
      <c r="E1305" s="69"/>
      <c r="F1305" s="70">
        <f t="shared" si="995"/>
        <v>0</v>
      </c>
      <c r="G1305" s="66"/>
      <c r="H1305" s="67"/>
      <c r="I1305" s="68">
        <v>2</v>
      </c>
      <c r="J1305" s="69"/>
      <c r="K1305" s="70">
        <f t="shared" si="996"/>
        <v>2</v>
      </c>
      <c r="L1305" s="11">
        <f t="shared" si="976"/>
        <v>2</v>
      </c>
      <c r="M1305" s="99">
        <v>45359</v>
      </c>
      <c r="N1305" s="90" t="s">
        <v>1090</v>
      </c>
      <c r="O1305" s="26"/>
      <c r="P1305" s="47"/>
      <c r="Q1305" s="27"/>
      <c r="R1305" s="34"/>
      <c r="S1305" s="35">
        <f t="shared" si="992"/>
        <v>0</v>
      </c>
      <c r="T1305" s="26"/>
      <c r="U1305" s="47">
        <v>2</v>
      </c>
      <c r="V1305" s="27">
        <v>10</v>
      </c>
      <c r="W1305" s="34"/>
      <c r="X1305" s="35">
        <f t="shared" si="993"/>
        <v>12</v>
      </c>
      <c r="Y1305" s="11">
        <f t="shared" si="994"/>
        <v>12</v>
      </c>
      <c r="Z1305" s="99">
        <v>45364</v>
      </c>
    </row>
    <row r="1306" spans="1:28" x14ac:dyDescent="0.15">
      <c r="A1306" s="13" t="s">
        <v>1086</v>
      </c>
      <c r="B1306" s="26"/>
      <c r="C1306" s="47"/>
      <c r="D1306" s="27"/>
      <c r="E1306" s="34">
        <v>2</v>
      </c>
      <c r="F1306" s="35">
        <f t="shared" si="995"/>
        <v>2</v>
      </c>
      <c r="G1306" s="26"/>
      <c r="H1306" s="47">
        <v>-2</v>
      </c>
      <c r="I1306" s="27"/>
      <c r="J1306" s="34"/>
      <c r="K1306" s="35">
        <f t="shared" si="996"/>
        <v>-2</v>
      </c>
      <c r="L1306" s="11">
        <f t="shared" si="976"/>
        <v>0</v>
      </c>
      <c r="M1306" s="126">
        <v>45359</v>
      </c>
      <c r="N1306" s="57" t="s">
        <v>34</v>
      </c>
      <c r="O1306" s="26"/>
      <c r="P1306" s="47"/>
      <c r="Q1306" s="27"/>
      <c r="R1306" s="50"/>
      <c r="S1306" s="9">
        <f>SUM(O1306:R1306)</f>
        <v>0</v>
      </c>
      <c r="T1306" s="47"/>
      <c r="U1306" s="47"/>
      <c r="V1306" s="27">
        <v>3</v>
      </c>
      <c r="W1306" s="50"/>
      <c r="X1306" s="9">
        <f>SUM(T1306:W1306)</f>
        <v>3</v>
      </c>
      <c r="Y1306" s="11">
        <f t="shared" si="994"/>
        <v>3</v>
      </c>
      <c r="Z1306" s="99">
        <v>45362</v>
      </c>
    </row>
    <row r="1307" spans="1:28" x14ac:dyDescent="0.15">
      <c r="A1307" s="32" t="s">
        <v>41</v>
      </c>
      <c r="B1307" s="26"/>
      <c r="C1307" s="47">
        <v>1</v>
      </c>
      <c r="D1307" s="27"/>
      <c r="E1307" s="34"/>
      <c r="F1307" s="35">
        <f t="shared" si="995"/>
        <v>1</v>
      </c>
      <c r="G1307" s="26"/>
      <c r="H1307" s="47"/>
      <c r="I1307" s="27"/>
      <c r="J1307" s="34"/>
      <c r="K1307" s="35">
        <f t="shared" si="996"/>
        <v>0</v>
      </c>
      <c r="L1307" s="11">
        <f t="shared" si="976"/>
        <v>1</v>
      </c>
      <c r="M1307" s="126">
        <v>45362</v>
      </c>
      <c r="N1307" s="15" t="s">
        <v>1087</v>
      </c>
      <c r="O1307" s="26">
        <v>1</v>
      </c>
      <c r="P1307" s="47"/>
      <c r="Q1307" s="27">
        <v>3</v>
      </c>
      <c r="R1307" s="34">
        <v>1</v>
      </c>
      <c r="S1307" s="35">
        <f t="shared" ref="S1307:S1310" si="997">SUM(O1307:R1307)</f>
        <v>5</v>
      </c>
      <c r="T1307" s="26"/>
      <c r="U1307" s="47"/>
      <c r="V1307" s="27">
        <v>2</v>
      </c>
      <c r="W1307" s="34">
        <v>1</v>
      </c>
      <c r="X1307" s="35">
        <f t="shared" ref="X1307:X1310" si="998">SUM(T1307:W1307)</f>
        <v>3</v>
      </c>
      <c r="Y1307" s="11">
        <f t="shared" si="994"/>
        <v>8</v>
      </c>
      <c r="Z1307" s="99">
        <v>45364</v>
      </c>
    </row>
    <row r="1308" spans="1:28" x14ac:dyDescent="0.15">
      <c r="A1308" s="32" t="s">
        <v>1088</v>
      </c>
      <c r="B1308" s="26"/>
      <c r="C1308" s="47"/>
      <c r="D1308" s="27"/>
      <c r="E1308" s="34"/>
      <c r="F1308" s="35">
        <f t="shared" si="995"/>
        <v>0</v>
      </c>
      <c r="G1308" s="26"/>
      <c r="H1308" s="47">
        <v>1</v>
      </c>
      <c r="I1308" s="27"/>
      <c r="J1308" s="34">
        <v>-1</v>
      </c>
      <c r="K1308" s="35">
        <f t="shared" si="996"/>
        <v>0</v>
      </c>
      <c r="L1308" s="11">
        <f t="shared" si="976"/>
        <v>0</v>
      </c>
      <c r="M1308" s="126">
        <v>45362</v>
      </c>
      <c r="N1308" s="15" t="s">
        <v>1089</v>
      </c>
      <c r="O1308" s="26">
        <v>3</v>
      </c>
      <c r="P1308" s="47"/>
      <c r="Q1308" s="27"/>
      <c r="R1308" s="34"/>
      <c r="S1308" s="35">
        <f t="shared" si="997"/>
        <v>3</v>
      </c>
      <c r="T1308" s="26">
        <v>1</v>
      </c>
      <c r="U1308" s="47">
        <v>1</v>
      </c>
      <c r="V1308" s="27"/>
      <c r="W1308" s="34"/>
      <c r="X1308" s="35">
        <f t="shared" si="998"/>
        <v>2</v>
      </c>
      <c r="Y1308" s="11">
        <f t="shared" si="994"/>
        <v>5</v>
      </c>
      <c r="Z1308" s="99">
        <v>45365</v>
      </c>
    </row>
    <row r="1309" spans="1:28" x14ac:dyDescent="0.15">
      <c r="A1309" s="32" t="s">
        <v>41</v>
      </c>
      <c r="B1309" s="26">
        <v>1</v>
      </c>
      <c r="C1309" s="47"/>
      <c r="D1309" s="27"/>
      <c r="E1309" s="34"/>
      <c r="F1309" s="35">
        <f t="shared" si="995"/>
        <v>1</v>
      </c>
      <c r="G1309" s="26"/>
      <c r="H1309" s="47"/>
      <c r="I1309" s="27"/>
      <c r="J1309" s="34"/>
      <c r="K1309" s="35">
        <f t="shared" si="996"/>
        <v>0</v>
      </c>
      <c r="L1309" s="11">
        <f t="shared" si="976"/>
        <v>1</v>
      </c>
      <c r="M1309" s="126">
        <v>45363</v>
      </c>
      <c r="N1309" s="12" t="s">
        <v>1095</v>
      </c>
      <c r="O1309" s="26"/>
      <c r="P1309" s="47">
        <v>25</v>
      </c>
      <c r="Q1309" s="27">
        <v>10</v>
      </c>
      <c r="R1309" s="34">
        <v>20</v>
      </c>
      <c r="S1309" s="35">
        <f t="shared" si="997"/>
        <v>55</v>
      </c>
      <c r="T1309" s="26">
        <v>5</v>
      </c>
      <c r="U1309" s="47"/>
      <c r="V1309" s="27"/>
      <c r="W1309" s="34">
        <v>15</v>
      </c>
      <c r="X1309" s="35">
        <f t="shared" si="998"/>
        <v>20</v>
      </c>
      <c r="Y1309" s="11">
        <f t="shared" si="994"/>
        <v>75</v>
      </c>
      <c r="Z1309" s="99">
        <v>45369</v>
      </c>
      <c r="AA1309" s="58"/>
      <c r="AB1309" s="58"/>
    </row>
    <row r="1310" spans="1:28" x14ac:dyDescent="0.15">
      <c r="A1310" s="15" t="s">
        <v>1091</v>
      </c>
      <c r="B1310" s="26"/>
      <c r="C1310" s="47">
        <v>1</v>
      </c>
      <c r="D1310" s="27"/>
      <c r="E1310" s="34">
        <v>6</v>
      </c>
      <c r="F1310" s="35">
        <f t="shared" si="995"/>
        <v>7</v>
      </c>
      <c r="G1310" s="26">
        <v>2</v>
      </c>
      <c r="H1310" s="47"/>
      <c r="I1310" s="27">
        <v>1</v>
      </c>
      <c r="J1310" s="34">
        <v>1</v>
      </c>
      <c r="K1310" s="35">
        <f t="shared" si="996"/>
        <v>4</v>
      </c>
      <c r="L1310" s="11">
        <f t="shared" si="976"/>
        <v>11</v>
      </c>
      <c r="M1310" s="99">
        <v>45366</v>
      </c>
      <c r="N1310" s="15" t="s">
        <v>1098</v>
      </c>
      <c r="O1310" s="26"/>
      <c r="P1310" s="47"/>
      <c r="Q1310" s="27">
        <v>4</v>
      </c>
      <c r="R1310" s="34">
        <v>5</v>
      </c>
      <c r="S1310" s="35">
        <f t="shared" si="997"/>
        <v>9</v>
      </c>
      <c r="T1310" s="26">
        <v>1</v>
      </c>
      <c r="U1310" s="47"/>
      <c r="V1310" s="27"/>
      <c r="W1310" s="34">
        <v>1</v>
      </c>
      <c r="X1310" s="35">
        <f t="shared" si="998"/>
        <v>2</v>
      </c>
      <c r="Y1310" s="11">
        <f t="shared" si="994"/>
        <v>11</v>
      </c>
      <c r="Z1310" s="99">
        <v>45369</v>
      </c>
    </row>
    <row r="1311" spans="1:28" x14ac:dyDescent="0.15">
      <c r="A1311" s="13" t="s">
        <v>1072</v>
      </c>
      <c r="B1311" s="26"/>
      <c r="C1311" s="47">
        <v>2</v>
      </c>
      <c r="D1311" s="27"/>
      <c r="E1311" s="34">
        <v>-1</v>
      </c>
      <c r="F1311" s="35">
        <f t="shared" si="995"/>
        <v>1</v>
      </c>
      <c r="G1311" s="26"/>
      <c r="H1311" s="47"/>
      <c r="I1311" s="27"/>
      <c r="J1311" s="34">
        <v>-1</v>
      </c>
      <c r="K1311" s="35">
        <f t="shared" si="996"/>
        <v>-1</v>
      </c>
      <c r="L1311" s="11">
        <f t="shared" si="976"/>
        <v>0</v>
      </c>
      <c r="M1311" s="99">
        <v>45364</v>
      </c>
      <c r="N1311" s="57" t="s">
        <v>34</v>
      </c>
      <c r="O1311" s="26"/>
      <c r="P1311" s="47"/>
      <c r="Q1311" s="27"/>
      <c r="R1311" s="34">
        <v>3</v>
      </c>
      <c r="S1311" s="35">
        <f>SUM(O1311:R1311)</f>
        <v>3</v>
      </c>
      <c r="T1311" s="26">
        <v>3</v>
      </c>
      <c r="U1311" s="47"/>
      <c r="V1311" s="27">
        <v>3</v>
      </c>
      <c r="W1311" s="34"/>
      <c r="X1311" s="35">
        <f>SUM(T1311:W1311)</f>
        <v>6</v>
      </c>
      <c r="Y1311" s="11">
        <f t="shared" si="994"/>
        <v>9</v>
      </c>
      <c r="Z1311" s="99">
        <v>45367</v>
      </c>
    </row>
    <row r="1312" spans="1:28" x14ac:dyDescent="0.15">
      <c r="A1312" s="15" t="s">
        <v>1092</v>
      </c>
      <c r="B1312" s="26">
        <v>1</v>
      </c>
      <c r="C1312" s="47">
        <v>1</v>
      </c>
      <c r="D1312" s="27">
        <v>2</v>
      </c>
      <c r="E1312" s="34"/>
      <c r="F1312" s="35">
        <f t="shared" si="995"/>
        <v>4</v>
      </c>
      <c r="G1312" s="26"/>
      <c r="H1312" s="47"/>
      <c r="I1312" s="27">
        <v>2</v>
      </c>
      <c r="J1312" s="34"/>
      <c r="K1312" s="35">
        <f t="shared" si="996"/>
        <v>2</v>
      </c>
      <c r="L1312" s="11">
        <f t="shared" si="976"/>
        <v>6</v>
      </c>
      <c r="M1312" s="99">
        <v>45366</v>
      </c>
      <c r="N1312" s="15" t="s">
        <v>1100</v>
      </c>
      <c r="O1312" s="26"/>
      <c r="P1312" s="47">
        <v>3</v>
      </c>
      <c r="Q1312" s="27"/>
      <c r="R1312" s="34"/>
      <c r="S1312" s="35">
        <f t="shared" ref="S1312:S1319" si="999">SUM(O1312:R1312)</f>
        <v>3</v>
      </c>
      <c r="T1312" s="26"/>
      <c r="U1312" s="47">
        <v>1</v>
      </c>
      <c r="V1312" s="27"/>
      <c r="W1312" s="34"/>
      <c r="X1312" s="35">
        <f t="shared" ref="X1312:X1319" si="1000">SUM(T1312:W1312)</f>
        <v>1</v>
      </c>
      <c r="Y1312" s="11">
        <f t="shared" si="994"/>
        <v>4</v>
      </c>
      <c r="Z1312" s="99">
        <v>45370</v>
      </c>
      <c r="AA1312" s="58"/>
    </row>
    <row r="1313" spans="1:27" x14ac:dyDescent="0.15">
      <c r="A1313" s="13" t="s">
        <v>284</v>
      </c>
      <c r="B1313" s="26">
        <v>6</v>
      </c>
      <c r="C1313" s="47"/>
      <c r="D1313" s="27"/>
      <c r="E1313" s="34"/>
      <c r="F1313" s="35">
        <f t="shared" si="995"/>
        <v>6</v>
      </c>
      <c r="G1313" s="26"/>
      <c r="H1313" s="47">
        <v>8</v>
      </c>
      <c r="I1313" s="27"/>
      <c r="J1313" s="34"/>
      <c r="K1313" s="35">
        <f t="shared" si="996"/>
        <v>8</v>
      </c>
      <c r="L1313" s="11">
        <f t="shared" si="976"/>
        <v>14</v>
      </c>
      <c r="M1313" s="126">
        <v>45367</v>
      </c>
      <c r="N1313" s="57" t="s">
        <v>34</v>
      </c>
      <c r="O1313" s="26">
        <v>5</v>
      </c>
      <c r="P1313" s="47">
        <v>5</v>
      </c>
      <c r="Q1313" s="27">
        <v>5</v>
      </c>
      <c r="R1313" s="34"/>
      <c r="S1313" s="35">
        <f t="shared" si="999"/>
        <v>15</v>
      </c>
      <c r="T1313" s="26"/>
      <c r="U1313" s="47"/>
      <c r="V1313" s="27"/>
      <c r="W1313" s="34"/>
      <c r="X1313" s="35">
        <f t="shared" si="1000"/>
        <v>0</v>
      </c>
      <c r="Y1313" s="11">
        <f t="shared" si="994"/>
        <v>15</v>
      </c>
      <c r="Z1313" s="99">
        <v>45372</v>
      </c>
      <c r="AA1313" s="58"/>
    </row>
    <row r="1314" spans="1:27" x14ac:dyDescent="0.15">
      <c r="A1314" s="32" t="s">
        <v>41</v>
      </c>
      <c r="B1314" s="26"/>
      <c r="C1314" s="47"/>
      <c r="D1314" s="27">
        <v>1</v>
      </c>
      <c r="E1314" s="34"/>
      <c r="F1314" s="35">
        <f t="shared" si="995"/>
        <v>1</v>
      </c>
      <c r="G1314" s="26"/>
      <c r="H1314" s="47"/>
      <c r="I1314" s="27"/>
      <c r="J1314" s="34"/>
      <c r="K1314" s="35">
        <f t="shared" si="996"/>
        <v>0</v>
      </c>
      <c r="L1314" s="11">
        <f t="shared" si="976"/>
        <v>1</v>
      </c>
      <c r="M1314" s="126">
        <v>45369</v>
      </c>
      <c r="N1314" s="90" t="s">
        <v>1134</v>
      </c>
      <c r="O1314" s="26">
        <v>5</v>
      </c>
      <c r="P1314" s="47"/>
      <c r="Q1314" s="27"/>
      <c r="R1314" s="34">
        <v>10</v>
      </c>
      <c r="S1314" s="35">
        <f t="shared" si="999"/>
        <v>15</v>
      </c>
      <c r="T1314" s="26"/>
      <c r="U1314" s="47"/>
      <c r="V1314" s="27"/>
      <c r="W1314" s="34">
        <v>10</v>
      </c>
      <c r="X1314" s="35">
        <f t="shared" si="1000"/>
        <v>10</v>
      </c>
      <c r="Y1314" s="11">
        <f t="shared" si="994"/>
        <v>25</v>
      </c>
      <c r="Z1314" s="99">
        <v>45377</v>
      </c>
    </row>
    <row r="1315" spans="1:27" x14ac:dyDescent="0.15">
      <c r="A1315" s="15" t="s">
        <v>194</v>
      </c>
      <c r="B1315" s="26"/>
      <c r="C1315" s="47"/>
      <c r="D1315" s="27"/>
      <c r="E1315" s="34"/>
      <c r="F1315" s="35">
        <f t="shared" si="995"/>
        <v>0</v>
      </c>
      <c r="G1315" s="26"/>
      <c r="H1315" s="47"/>
      <c r="I1315" s="27">
        <v>-2</v>
      </c>
      <c r="J1315" s="34"/>
      <c r="K1315" s="35">
        <f t="shared" si="996"/>
        <v>-2</v>
      </c>
      <c r="L1315" s="11">
        <f t="shared" si="976"/>
        <v>-2</v>
      </c>
      <c r="M1315" s="99">
        <v>45369</v>
      </c>
      <c r="N1315" s="15" t="s">
        <v>1103</v>
      </c>
      <c r="O1315" s="26">
        <v>1</v>
      </c>
      <c r="P1315" s="47">
        <v>6</v>
      </c>
      <c r="Q1315" s="27"/>
      <c r="R1315" s="34"/>
      <c r="S1315" s="35">
        <f t="shared" si="999"/>
        <v>7</v>
      </c>
      <c r="T1315" s="26"/>
      <c r="U1315" s="47"/>
      <c r="V1315" s="27"/>
      <c r="W1315" s="34"/>
      <c r="X1315" s="35">
        <f t="shared" si="1000"/>
        <v>0</v>
      </c>
      <c r="Y1315" s="11">
        <f t="shared" si="994"/>
        <v>7</v>
      </c>
      <c r="Z1315" s="99">
        <v>45373</v>
      </c>
    </row>
    <row r="1316" spans="1:27" x14ac:dyDescent="0.15">
      <c r="A1316" s="15" t="s">
        <v>1101</v>
      </c>
      <c r="B1316" s="26">
        <v>1</v>
      </c>
      <c r="C1316" s="47">
        <v>3</v>
      </c>
      <c r="D1316" s="27"/>
      <c r="E1316" s="34"/>
      <c r="F1316" s="35">
        <f t="shared" ref="F1316" si="1001">SUM(B1316:E1316)</f>
        <v>4</v>
      </c>
      <c r="G1316" s="26"/>
      <c r="H1316" s="47"/>
      <c r="I1316" s="27"/>
      <c r="J1316" s="34"/>
      <c r="K1316" s="35">
        <f t="shared" ref="K1316" si="1002">SUM(G1316:J1316)</f>
        <v>0</v>
      </c>
      <c r="L1316" s="11">
        <f t="shared" ref="L1316" si="1003">F1316+K1316</f>
        <v>4</v>
      </c>
      <c r="M1316" s="99">
        <v>45372</v>
      </c>
      <c r="N1316" s="12" t="s">
        <v>1104</v>
      </c>
      <c r="O1316" s="26">
        <v>15</v>
      </c>
      <c r="P1316" s="47">
        <v>50</v>
      </c>
      <c r="Q1316" s="27">
        <v>10</v>
      </c>
      <c r="R1316" s="34">
        <v>25</v>
      </c>
      <c r="S1316" s="35">
        <f t="shared" si="999"/>
        <v>100</v>
      </c>
      <c r="T1316" s="26"/>
      <c r="U1316" s="47"/>
      <c r="V1316" s="27"/>
      <c r="W1316" s="34">
        <v>10</v>
      </c>
      <c r="X1316" s="35">
        <f t="shared" si="1000"/>
        <v>10</v>
      </c>
      <c r="Y1316" s="11">
        <f t="shared" si="994"/>
        <v>110</v>
      </c>
      <c r="Z1316" s="99">
        <v>45373</v>
      </c>
      <c r="AA1316" s="58"/>
    </row>
    <row r="1317" spans="1:27" x14ac:dyDescent="0.15">
      <c r="A1317" s="32" t="s">
        <v>41</v>
      </c>
      <c r="B1317" s="26"/>
      <c r="C1317" s="47"/>
      <c r="D1317" s="27">
        <v>1</v>
      </c>
      <c r="E1317" s="34"/>
      <c r="F1317" s="35">
        <f t="shared" si="995"/>
        <v>1</v>
      </c>
      <c r="G1317" s="26"/>
      <c r="H1317" s="47"/>
      <c r="I1317" s="27"/>
      <c r="J1317" s="34"/>
      <c r="K1317" s="35">
        <f t="shared" si="996"/>
        <v>0</v>
      </c>
      <c r="L1317" s="11">
        <f t="shared" si="976"/>
        <v>1</v>
      </c>
      <c r="M1317" s="126">
        <v>45372</v>
      </c>
      <c r="N1317" s="15" t="s">
        <v>1103</v>
      </c>
      <c r="O1317" s="26">
        <v>2</v>
      </c>
      <c r="P1317" s="47">
        <v>6</v>
      </c>
      <c r="Q1317" s="27">
        <v>1</v>
      </c>
      <c r="R1317" s="34">
        <v>1</v>
      </c>
      <c r="S1317" s="35">
        <f t="shared" si="999"/>
        <v>10</v>
      </c>
      <c r="T1317" s="26">
        <v>1</v>
      </c>
      <c r="U1317" s="47">
        <v>2</v>
      </c>
      <c r="V1317" s="27"/>
      <c r="W1317" s="34"/>
      <c r="X1317" s="35">
        <f t="shared" si="1000"/>
        <v>3</v>
      </c>
      <c r="Y1317" s="11">
        <f t="shared" si="994"/>
        <v>13</v>
      </c>
      <c r="Z1317" s="99">
        <v>45376</v>
      </c>
      <c r="AA1317" s="58"/>
    </row>
    <row r="1318" spans="1:27" x14ac:dyDescent="0.15">
      <c r="A1318" s="12" t="s">
        <v>1105</v>
      </c>
      <c r="B1318" s="26">
        <v>5</v>
      </c>
      <c r="C1318" s="47"/>
      <c r="D1318" s="27"/>
      <c r="E1318" s="34"/>
      <c r="F1318" s="35">
        <f t="shared" si="995"/>
        <v>5</v>
      </c>
      <c r="G1318" s="26"/>
      <c r="H1318" s="47"/>
      <c r="I1318" s="27"/>
      <c r="J1318" s="34"/>
      <c r="K1318" s="35">
        <f t="shared" si="996"/>
        <v>0</v>
      </c>
      <c r="L1318" s="11">
        <f t="shared" si="976"/>
        <v>5</v>
      </c>
      <c r="M1318" s="99">
        <v>45374</v>
      </c>
      <c r="N1318" s="15" t="s">
        <v>1106</v>
      </c>
      <c r="O1318" s="26">
        <v>5</v>
      </c>
      <c r="P1318" s="47">
        <v>4</v>
      </c>
      <c r="Q1318" s="27">
        <v>2</v>
      </c>
      <c r="R1318" s="34">
        <v>1</v>
      </c>
      <c r="S1318" s="35">
        <f t="shared" si="999"/>
        <v>12</v>
      </c>
      <c r="T1318" s="26">
        <v>1</v>
      </c>
      <c r="U1318" s="47">
        <v>1</v>
      </c>
      <c r="V1318" s="27"/>
      <c r="W1318" s="34"/>
      <c r="X1318" s="35">
        <f t="shared" si="1000"/>
        <v>2</v>
      </c>
      <c r="Y1318" s="11">
        <f t="shared" si="994"/>
        <v>14</v>
      </c>
      <c r="Z1318" s="99">
        <v>45378</v>
      </c>
      <c r="AA1318" s="58"/>
    </row>
    <row r="1319" spans="1:27" x14ac:dyDescent="0.15">
      <c r="A1319" s="32" t="s">
        <v>41</v>
      </c>
      <c r="B1319" s="26">
        <v>1</v>
      </c>
      <c r="C1319" s="47"/>
      <c r="D1319" s="27"/>
      <c r="E1319" s="34"/>
      <c r="F1319" s="35">
        <f t="shared" si="995"/>
        <v>1</v>
      </c>
      <c r="G1319" s="26"/>
      <c r="H1319" s="47"/>
      <c r="I1319" s="27"/>
      <c r="J1319" s="34"/>
      <c r="K1319" s="35">
        <f t="shared" si="996"/>
        <v>0</v>
      </c>
      <c r="L1319" s="11">
        <f t="shared" si="976"/>
        <v>1</v>
      </c>
      <c r="M1319" s="99">
        <v>45373</v>
      </c>
      <c r="N1319" s="57" t="s">
        <v>34</v>
      </c>
      <c r="O1319" s="26">
        <v>5</v>
      </c>
      <c r="P1319" s="47"/>
      <c r="Q1319" s="27"/>
      <c r="R1319" s="34"/>
      <c r="S1319" s="35">
        <f t="shared" si="999"/>
        <v>5</v>
      </c>
      <c r="T1319" s="26"/>
      <c r="U1319" s="47"/>
      <c r="V1319" s="27"/>
      <c r="W1319" s="34"/>
      <c r="X1319" s="35">
        <f t="shared" si="1000"/>
        <v>0</v>
      </c>
      <c r="Y1319" s="11">
        <f t="shared" si="994"/>
        <v>5</v>
      </c>
      <c r="Z1319" s="99">
        <v>45377</v>
      </c>
      <c r="AA1319" s="58"/>
    </row>
    <row r="1320" spans="1:27" x14ac:dyDescent="0.15">
      <c r="A1320" s="32" t="s">
        <v>41</v>
      </c>
      <c r="B1320" s="26"/>
      <c r="C1320" s="47">
        <v>1</v>
      </c>
      <c r="D1320" s="27"/>
      <c r="E1320" s="34"/>
      <c r="F1320" s="35">
        <f t="shared" si="995"/>
        <v>1</v>
      </c>
      <c r="G1320" s="26"/>
      <c r="H1320" s="47"/>
      <c r="I1320" s="27"/>
      <c r="J1320" s="34"/>
      <c r="K1320" s="35">
        <f t="shared" si="996"/>
        <v>0</v>
      </c>
      <c r="L1320" s="11">
        <f t="shared" si="976"/>
        <v>1</v>
      </c>
      <c r="M1320" s="99">
        <v>45376</v>
      </c>
      <c r="N1320" s="15" t="s">
        <v>1109</v>
      </c>
      <c r="O1320" s="66"/>
      <c r="P1320" s="67"/>
      <c r="Q1320" s="68">
        <v>8</v>
      </c>
      <c r="R1320" s="94">
        <v>2</v>
      </c>
      <c r="S1320" s="91">
        <f>SUM(O1320:R1320)</f>
        <v>10</v>
      </c>
      <c r="T1320" s="67"/>
      <c r="U1320" s="67">
        <v>2</v>
      </c>
      <c r="V1320" s="68">
        <v>1</v>
      </c>
      <c r="W1320" s="94"/>
      <c r="X1320" s="91">
        <f>SUM(T1320:W1320)</f>
        <v>3</v>
      </c>
      <c r="Y1320" s="11"/>
      <c r="Z1320" s="99">
        <v>45379</v>
      </c>
      <c r="AA1320" s="58"/>
    </row>
    <row r="1321" spans="1:27" x14ac:dyDescent="0.15">
      <c r="A1321" s="13" t="s">
        <v>1072</v>
      </c>
      <c r="B1321" s="26">
        <v>2</v>
      </c>
      <c r="C1321" s="47"/>
      <c r="D1321" s="27"/>
      <c r="E1321" s="34"/>
      <c r="F1321" s="35">
        <f t="shared" si="995"/>
        <v>2</v>
      </c>
      <c r="G1321" s="26">
        <v>-2</v>
      </c>
      <c r="H1321" s="47"/>
      <c r="I1321" s="27"/>
      <c r="J1321" s="34"/>
      <c r="K1321" s="35">
        <f t="shared" si="996"/>
        <v>-2</v>
      </c>
      <c r="L1321" s="11">
        <f t="shared" si="976"/>
        <v>0</v>
      </c>
      <c r="M1321" s="99">
        <v>45378</v>
      </c>
      <c r="N1321" s="15"/>
      <c r="O1321" s="26"/>
      <c r="P1321" s="47"/>
      <c r="Q1321" s="27"/>
      <c r="R1321" s="34"/>
      <c r="S1321" s="35">
        <f t="shared" ref="S1321:S1327" si="1004">SUM(O1321:R1321)</f>
        <v>0</v>
      </c>
      <c r="T1321" s="26"/>
      <c r="U1321" s="47"/>
      <c r="V1321" s="27"/>
      <c r="W1321" s="34"/>
      <c r="X1321" s="35">
        <f t="shared" ref="X1321:X1327" si="1005">SUM(T1321:W1321)</f>
        <v>0</v>
      </c>
      <c r="Y1321" s="11">
        <f t="shared" ref="Y1321:Y1328" si="1006">S1321+X1321</f>
        <v>0</v>
      </c>
      <c r="Z1321" s="99"/>
      <c r="AA1321" s="58"/>
    </row>
    <row r="1322" spans="1:27" x14ac:dyDescent="0.15">
      <c r="A1322" s="32" t="s">
        <v>1108</v>
      </c>
      <c r="B1322" s="26">
        <v>-5</v>
      </c>
      <c r="C1322" s="47"/>
      <c r="D1322" s="27"/>
      <c r="E1322" s="34"/>
      <c r="F1322" s="35">
        <f t="shared" si="995"/>
        <v>-5</v>
      </c>
      <c r="G1322" s="26"/>
      <c r="H1322" s="47"/>
      <c r="I1322" s="27"/>
      <c r="J1322" s="34"/>
      <c r="K1322" s="35">
        <f t="shared" si="996"/>
        <v>0</v>
      </c>
      <c r="L1322" s="11">
        <f t="shared" si="976"/>
        <v>-5</v>
      </c>
      <c r="M1322" s="99">
        <v>45377</v>
      </c>
      <c r="N1322" s="57" t="s">
        <v>998</v>
      </c>
      <c r="O1322" s="66"/>
      <c r="P1322" s="67"/>
      <c r="Q1322" s="68"/>
      <c r="R1322" s="69"/>
      <c r="S1322" s="70">
        <f t="shared" si="1004"/>
        <v>0</v>
      </c>
      <c r="T1322" s="66"/>
      <c r="U1322" s="67"/>
      <c r="V1322" s="68"/>
      <c r="W1322" s="69"/>
      <c r="X1322" s="70">
        <f t="shared" si="1005"/>
        <v>0</v>
      </c>
      <c r="Y1322" s="11">
        <f t="shared" si="1006"/>
        <v>0</v>
      </c>
      <c r="Z1322" s="101" t="s">
        <v>997</v>
      </c>
    </row>
    <row r="1323" spans="1:27" x14ac:dyDescent="0.15">
      <c r="A1323" s="15" t="s">
        <v>1112</v>
      </c>
      <c r="B1323" s="26"/>
      <c r="C1323" s="47">
        <v>3</v>
      </c>
      <c r="D1323" s="27">
        <v>1</v>
      </c>
      <c r="E1323" s="34">
        <v>2</v>
      </c>
      <c r="F1323" s="35">
        <f t="shared" si="995"/>
        <v>6</v>
      </c>
      <c r="G1323" s="26"/>
      <c r="H1323" s="47">
        <v>2</v>
      </c>
      <c r="I1323" s="27"/>
      <c r="J1323" s="34"/>
      <c r="K1323" s="35">
        <f t="shared" si="996"/>
        <v>2</v>
      </c>
      <c r="L1323" s="11">
        <f t="shared" si="976"/>
        <v>8</v>
      </c>
      <c r="M1323" s="99">
        <v>45380</v>
      </c>
      <c r="N1323" s="12" t="s">
        <v>1034</v>
      </c>
      <c r="O1323" s="26"/>
      <c r="P1323" s="47"/>
      <c r="Q1323" s="27"/>
      <c r="R1323" s="34"/>
      <c r="S1323" s="35">
        <f t="shared" si="1004"/>
        <v>0</v>
      </c>
      <c r="T1323" s="26"/>
      <c r="U1323" s="47"/>
      <c r="V1323" s="27"/>
      <c r="W1323" s="34"/>
      <c r="X1323" s="35">
        <f t="shared" si="1005"/>
        <v>0</v>
      </c>
      <c r="Y1323" s="108">
        <f t="shared" si="1006"/>
        <v>0</v>
      </c>
      <c r="Z1323" s="101" t="s">
        <v>501</v>
      </c>
    </row>
    <row r="1324" spans="1:27" x14ac:dyDescent="0.15">
      <c r="A1324" s="79" t="s">
        <v>1113</v>
      </c>
      <c r="B1324" s="26"/>
      <c r="C1324" s="47"/>
      <c r="D1324" s="27">
        <v>-2</v>
      </c>
      <c r="E1324" s="34"/>
      <c r="F1324" s="35">
        <f t="shared" si="995"/>
        <v>-2</v>
      </c>
      <c r="G1324" s="26"/>
      <c r="H1324" s="47"/>
      <c r="I1324" s="27"/>
      <c r="J1324" s="34"/>
      <c r="K1324" s="35">
        <f t="shared" si="996"/>
        <v>0</v>
      </c>
      <c r="L1324" s="11">
        <f t="shared" si="976"/>
        <v>-2</v>
      </c>
      <c r="M1324" s="99">
        <v>45378</v>
      </c>
      <c r="N1324" s="57" t="s">
        <v>1017</v>
      </c>
      <c r="O1324" s="66"/>
      <c r="P1324" s="67"/>
      <c r="Q1324" s="68"/>
      <c r="R1324" s="69"/>
      <c r="S1324" s="217">
        <f t="shared" si="1004"/>
        <v>0</v>
      </c>
      <c r="T1324" s="66"/>
      <c r="U1324" s="67"/>
      <c r="V1324" s="68"/>
      <c r="W1324" s="69"/>
      <c r="X1324" s="217">
        <f t="shared" si="1005"/>
        <v>0</v>
      </c>
      <c r="Y1324" s="11">
        <f t="shared" si="1006"/>
        <v>0</v>
      </c>
      <c r="Z1324" s="101" t="s">
        <v>1018</v>
      </c>
    </row>
    <row r="1325" spans="1:27" x14ac:dyDescent="0.15">
      <c r="A1325" s="32" t="s">
        <v>41</v>
      </c>
      <c r="B1325" s="26"/>
      <c r="C1325" s="47">
        <v>1</v>
      </c>
      <c r="D1325" s="27"/>
      <c r="E1325" s="34"/>
      <c r="F1325" s="35">
        <f t="shared" si="995"/>
        <v>1</v>
      </c>
      <c r="G1325" s="26"/>
      <c r="H1325" s="47"/>
      <c r="I1325" s="27"/>
      <c r="J1325" s="34"/>
      <c r="K1325" s="35">
        <f t="shared" si="996"/>
        <v>0</v>
      </c>
      <c r="L1325" s="11">
        <f t="shared" si="976"/>
        <v>1</v>
      </c>
      <c r="M1325" s="126">
        <v>45378</v>
      </c>
      <c r="N1325" s="153" t="s">
        <v>1048</v>
      </c>
      <c r="O1325" s="174"/>
      <c r="P1325" s="175"/>
      <c r="Q1325" s="176"/>
      <c r="R1325" s="177"/>
      <c r="S1325" s="267">
        <f t="shared" ref="S1325:S1326" si="1007">SUM(O1325:R1325)</f>
        <v>0</v>
      </c>
      <c r="T1325" s="174"/>
      <c r="U1325" s="175"/>
      <c r="V1325" s="176"/>
      <c r="W1325" s="177"/>
      <c r="X1325" s="267">
        <f t="shared" ref="X1325:X1326" si="1008">SUM(T1325:W1325)</f>
        <v>0</v>
      </c>
      <c r="Y1325" s="179">
        <f t="shared" ref="Y1325:Y1326" si="1009">S1325+X1325</f>
        <v>0</v>
      </c>
      <c r="Z1325" s="160"/>
    </row>
    <row r="1326" spans="1:27" ht="14.25" thickBot="1" x14ac:dyDescent="0.2">
      <c r="A1326" s="90"/>
      <c r="B1326" s="62"/>
      <c r="C1326" s="63"/>
      <c r="D1326" s="64"/>
      <c r="E1326" s="65"/>
      <c r="F1326" s="35">
        <f t="shared" si="995"/>
        <v>0</v>
      </c>
      <c r="G1326" s="62"/>
      <c r="H1326" s="63"/>
      <c r="I1326" s="64"/>
      <c r="J1326" s="65"/>
      <c r="K1326" s="35">
        <f t="shared" si="996"/>
        <v>0</v>
      </c>
      <c r="L1326" s="14">
        <f t="shared" si="976"/>
        <v>0</v>
      </c>
      <c r="M1326" s="99"/>
      <c r="N1326" s="220" t="s">
        <v>979</v>
      </c>
      <c r="O1326" s="62"/>
      <c r="P1326" s="63"/>
      <c r="Q1326" s="64"/>
      <c r="R1326" s="65"/>
      <c r="S1326" s="120">
        <f t="shared" si="1007"/>
        <v>0</v>
      </c>
      <c r="T1326" s="62"/>
      <c r="U1326" s="63"/>
      <c r="V1326" s="64"/>
      <c r="W1326" s="65"/>
      <c r="X1326" s="120">
        <f t="shared" si="1008"/>
        <v>0</v>
      </c>
      <c r="Y1326" s="121">
        <f t="shared" si="1009"/>
        <v>0</v>
      </c>
      <c r="Z1326" s="101" t="s">
        <v>980</v>
      </c>
    </row>
    <row r="1327" spans="1:27" ht="14.25" thickBot="1" x14ac:dyDescent="0.2">
      <c r="A1327" s="17" t="s">
        <v>10</v>
      </c>
      <c r="B1327" s="38">
        <f>SUM(B1302:B1326)</f>
        <v>14</v>
      </c>
      <c r="C1327" s="48">
        <f>SUM(C1302:C1326)</f>
        <v>15</v>
      </c>
      <c r="D1327" s="39">
        <f>SUM(D1302:D1326)</f>
        <v>6</v>
      </c>
      <c r="E1327" s="40">
        <f>SUM(E1302:E1326)</f>
        <v>9</v>
      </c>
      <c r="F1327" s="36">
        <f>SUM(B1327:E1327)</f>
        <v>44</v>
      </c>
      <c r="G1327" s="38">
        <f>SUM(G1302:G1326)</f>
        <v>1</v>
      </c>
      <c r="H1327" s="48">
        <f>SUM(H1302:H1326)</f>
        <v>9</v>
      </c>
      <c r="I1327" s="39">
        <f>SUM(I1302:I1326)</f>
        <v>3</v>
      </c>
      <c r="J1327" s="40">
        <f>SUM(J1302:J1326)</f>
        <v>-1</v>
      </c>
      <c r="K1327" s="36">
        <f>SUM(G1327:J1327)</f>
        <v>12</v>
      </c>
      <c r="L1327" s="37">
        <f t="shared" si="976"/>
        <v>56</v>
      </c>
      <c r="N1327" s="133" t="s">
        <v>10</v>
      </c>
      <c r="O1327" s="38">
        <f>SUM(O1302:O1326)</f>
        <v>44</v>
      </c>
      <c r="P1327" s="48">
        <f>SUM(P1302:P1326)</f>
        <v>99</v>
      </c>
      <c r="Q1327" s="39">
        <f>SUM(Q1302:Q1326)</f>
        <v>54</v>
      </c>
      <c r="R1327" s="40">
        <f>SUM(R1302:R1326)</f>
        <v>80</v>
      </c>
      <c r="S1327" s="118">
        <f t="shared" si="1004"/>
        <v>277</v>
      </c>
      <c r="T1327" s="38">
        <f>SUM(T1302:T1326)</f>
        <v>15</v>
      </c>
      <c r="U1327" s="48">
        <f>SUM(U1302:U1326)</f>
        <v>10</v>
      </c>
      <c r="V1327" s="39">
        <f>SUM(V1302:V1326)</f>
        <v>19</v>
      </c>
      <c r="W1327" s="40">
        <f>SUM(W1302:W1326)</f>
        <v>37</v>
      </c>
      <c r="X1327" s="118">
        <f t="shared" si="1005"/>
        <v>81</v>
      </c>
      <c r="Y1327" s="119">
        <f t="shared" si="1006"/>
        <v>358</v>
      </c>
    </row>
    <row r="1328" spans="1:27" ht="14.25" thickBot="1" x14ac:dyDescent="0.2">
      <c r="A1328" s="22" t="s">
        <v>11</v>
      </c>
      <c r="B1328" s="41">
        <f>B1301-B1327</f>
        <v>6</v>
      </c>
      <c r="C1328" s="49">
        <f>C1301-C1327</f>
        <v>2</v>
      </c>
      <c r="D1328" s="42">
        <f t="shared" ref="D1328:K1328" si="1010">D1301-D1327</f>
        <v>9</v>
      </c>
      <c r="E1328" s="43">
        <f t="shared" si="1010"/>
        <v>3</v>
      </c>
      <c r="F1328" s="61">
        <f t="shared" si="1010"/>
        <v>16</v>
      </c>
      <c r="G1328" s="41">
        <f t="shared" si="1010"/>
        <v>8</v>
      </c>
      <c r="H1328" s="49">
        <f t="shared" si="1010"/>
        <v>4</v>
      </c>
      <c r="I1328" s="42">
        <f t="shared" si="1010"/>
        <v>8</v>
      </c>
      <c r="J1328" s="43">
        <f t="shared" si="1010"/>
        <v>7</v>
      </c>
      <c r="K1328" s="61">
        <f t="shared" si="1010"/>
        <v>27</v>
      </c>
      <c r="L1328" s="21">
        <f t="shared" si="976"/>
        <v>43</v>
      </c>
      <c r="N1328" s="17" t="s">
        <v>11</v>
      </c>
      <c r="O1328" s="41">
        <f>O1301-O1327</f>
        <v>112</v>
      </c>
      <c r="P1328" s="49">
        <f t="shared" ref="P1328:Q1328" si="1011">P1301-P1327</f>
        <v>164</v>
      </c>
      <c r="Q1328" s="42">
        <f t="shared" si="1011"/>
        <v>123</v>
      </c>
      <c r="R1328" s="43">
        <f>R1301-R1327</f>
        <v>26</v>
      </c>
      <c r="S1328" s="61">
        <f t="shared" ref="S1328:X1328" si="1012">S1301-S1327</f>
        <v>425</v>
      </c>
      <c r="T1328" s="41">
        <f t="shared" si="1012"/>
        <v>290</v>
      </c>
      <c r="U1328" s="49">
        <f t="shared" si="1012"/>
        <v>358</v>
      </c>
      <c r="V1328" s="42">
        <f t="shared" si="1012"/>
        <v>194</v>
      </c>
      <c r="W1328" s="43">
        <f t="shared" si="1012"/>
        <v>153</v>
      </c>
      <c r="X1328" s="61">
        <f t="shared" si="1012"/>
        <v>995</v>
      </c>
      <c r="Y1328" s="21">
        <f t="shared" si="1006"/>
        <v>1420</v>
      </c>
    </row>
    <row r="1329" spans="1:28" x14ac:dyDescent="0.15">
      <c r="M1329"/>
      <c r="N1329" s="266"/>
      <c r="O1329" s="263"/>
      <c r="P1329" s="263"/>
      <c r="Q1329" s="263"/>
      <c r="R1329" s="263"/>
      <c r="S1329" s="263"/>
      <c r="T1329" s="263"/>
      <c r="U1329" s="263"/>
      <c r="V1329" s="263"/>
      <c r="W1329" s="263"/>
      <c r="X1329" s="263"/>
    </row>
    <row r="1330" spans="1:28" x14ac:dyDescent="0.15">
      <c r="M1330"/>
      <c r="N1330" s="265" t="s">
        <v>1124</v>
      </c>
      <c r="O1330" s="263">
        <v>34</v>
      </c>
      <c r="P1330" s="263">
        <v>5</v>
      </c>
      <c r="Q1330" s="263">
        <v>0</v>
      </c>
      <c r="R1330" s="263">
        <v>22</v>
      </c>
      <c r="S1330" s="263">
        <f>SUM(O1330:R1330)</f>
        <v>61</v>
      </c>
      <c r="T1330" s="263">
        <v>19</v>
      </c>
      <c r="U1330" s="263">
        <v>24</v>
      </c>
      <c r="V1330" s="263">
        <v>16</v>
      </c>
      <c r="W1330" s="263">
        <v>9</v>
      </c>
      <c r="X1330" s="263">
        <f>SUM(T1330:W1330)</f>
        <v>68</v>
      </c>
      <c r="Y1330" s="264"/>
    </row>
    <row r="1331" spans="1:28" ht="19.5" thickBot="1" x14ac:dyDescent="0.25">
      <c r="A1331" s="2" t="s">
        <v>106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1036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8" ht="14.25" thickBot="1" x14ac:dyDescent="0.2">
      <c r="A1332" s="5" t="s">
        <v>0</v>
      </c>
      <c r="B1332" s="342" t="s">
        <v>18</v>
      </c>
      <c r="C1332" s="350"/>
      <c r="D1332" s="350"/>
      <c r="E1332" s="350"/>
      <c r="F1332" s="351"/>
      <c r="G1332" s="345" t="s">
        <v>12</v>
      </c>
      <c r="H1332" s="352"/>
      <c r="I1332" s="352"/>
      <c r="J1332" s="352"/>
      <c r="K1332" s="353"/>
      <c r="L1332" s="354" t="s">
        <v>1</v>
      </c>
      <c r="N1332" s="5" t="s">
        <v>0</v>
      </c>
      <c r="O1332" s="342" t="s">
        <v>18</v>
      </c>
      <c r="P1332" s="343"/>
      <c r="Q1332" s="343"/>
      <c r="R1332" s="343"/>
      <c r="S1332" s="344"/>
      <c r="T1332" s="345" t="s">
        <v>12</v>
      </c>
      <c r="U1332" s="346"/>
      <c r="V1332" s="346"/>
      <c r="W1332" s="346"/>
      <c r="X1332" s="347"/>
      <c r="Y1332" s="348" t="s">
        <v>1</v>
      </c>
    </row>
    <row r="1333" spans="1:28" ht="14.25" thickBot="1" x14ac:dyDescent="0.2">
      <c r="A1333" s="5" t="s">
        <v>2</v>
      </c>
      <c r="B1333" s="3" t="s">
        <v>13</v>
      </c>
      <c r="C1333" s="44" t="s">
        <v>14</v>
      </c>
      <c r="D1333" s="4" t="s">
        <v>15</v>
      </c>
      <c r="E1333" s="23" t="s">
        <v>16</v>
      </c>
      <c r="F1333" s="31" t="s">
        <v>3</v>
      </c>
      <c r="G1333" s="3" t="s">
        <v>13</v>
      </c>
      <c r="H1333" s="44" t="s">
        <v>14</v>
      </c>
      <c r="I1333" s="4" t="s">
        <v>15</v>
      </c>
      <c r="J1333" s="23" t="s">
        <v>16</v>
      </c>
      <c r="K1333" s="31" t="s">
        <v>3</v>
      </c>
      <c r="L1333" s="355"/>
      <c r="N1333" s="5" t="s">
        <v>2</v>
      </c>
      <c r="O1333" s="3" t="s">
        <v>13</v>
      </c>
      <c r="P1333" s="44" t="s">
        <v>14</v>
      </c>
      <c r="Q1333" s="4" t="s">
        <v>15</v>
      </c>
      <c r="R1333" s="23" t="s">
        <v>16</v>
      </c>
      <c r="S1333" s="31" t="s">
        <v>3</v>
      </c>
      <c r="T1333" s="3" t="s">
        <v>13</v>
      </c>
      <c r="U1333" s="44" t="s">
        <v>14</v>
      </c>
      <c r="V1333" s="4" t="s">
        <v>15</v>
      </c>
      <c r="W1333" s="23" t="s">
        <v>16</v>
      </c>
      <c r="X1333" s="31" t="s">
        <v>3</v>
      </c>
      <c r="Y1333" s="349"/>
    </row>
    <row r="1334" spans="1:28" x14ac:dyDescent="0.15">
      <c r="A1334" s="71" t="s">
        <v>17</v>
      </c>
      <c r="B1334" s="72">
        <f>B1328</f>
        <v>6</v>
      </c>
      <c r="C1334" s="73">
        <f t="shared" ref="C1334:L1334" si="1013">C1328</f>
        <v>2</v>
      </c>
      <c r="D1334" s="73">
        <f t="shared" si="1013"/>
        <v>9</v>
      </c>
      <c r="E1334" s="74">
        <f t="shared" si="1013"/>
        <v>3</v>
      </c>
      <c r="F1334" s="76">
        <f t="shared" si="1013"/>
        <v>16</v>
      </c>
      <c r="G1334" s="72">
        <f t="shared" si="1013"/>
        <v>8</v>
      </c>
      <c r="H1334" s="73">
        <f t="shared" si="1013"/>
        <v>4</v>
      </c>
      <c r="I1334" s="73">
        <f t="shared" si="1013"/>
        <v>8</v>
      </c>
      <c r="J1334" s="74">
        <f t="shared" si="1013"/>
        <v>7</v>
      </c>
      <c r="K1334" s="75">
        <f t="shared" si="1013"/>
        <v>27</v>
      </c>
      <c r="L1334" s="16">
        <f t="shared" si="1013"/>
        <v>43</v>
      </c>
      <c r="N1334" s="71" t="s">
        <v>17</v>
      </c>
      <c r="O1334" s="72">
        <f>O1328</f>
        <v>112</v>
      </c>
      <c r="P1334" s="73">
        <f t="shared" ref="P1334:Y1334" si="1014">P1328</f>
        <v>164</v>
      </c>
      <c r="Q1334" s="73">
        <f t="shared" si="1014"/>
        <v>123</v>
      </c>
      <c r="R1334" s="74">
        <f t="shared" si="1014"/>
        <v>26</v>
      </c>
      <c r="S1334" s="76">
        <f t="shared" si="1014"/>
        <v>425</v>
      </c>
      <c r="T1334" s="72">
        <f t="shared" si="1014"/>
        <v>290</v>
      </c>
      <c r="U1334" s="73">
        <f t="shared" si="1014"/>
        <v>358</v>
      </c>
      <c r="V1334" s="73">
        <f t="shared" si="1014"/>
        <v>194</v>
      </c>
      <c r="W1334" s="74">
        <f t="shared" si="1014"/>
        <v>153</v>
      </c>
      <c r="X1334" s="75">
        <f t="shared" si="1014"/>
        <v>995</v>
      </c>
      <c r="Y1334" s="16">
        <f t="shared" si="1014"/>
        <v>1420</v>
      </c>
    </row>
    <row r="1335" spans="1:28" x14ac:dyDescent="0.15">
      <c r="A1335" s="13" t="s">
        <v>5</v>
      </c>
      <c r="B1335" s="26"/>
      <c r="C1335" s="47">
        <f>3+3</f>
        <v>6</v>
      </c>
      <c r="D1335" s="27"/>
      <c r="E1335" s="50"/>
      <c r="F1335" s="9">
        <f>SUM(B1335:E1335)</f>
        <v>6</v>
      </c>
      <c r="G1335" s="47"/>
      <c r="H1335" s="47">
        <v>3</v>
      </c>
      <c r="I1335" s="27"/>
      <c r="J1335" s="50"/>
      <c r="K1335" s="9">
        <f>SUM(G1335:J1335)</f>
        <v>3</v>
      </c>
      <c r="L1335" s="11">
        <f t="shared" ref="L1335:L1366" si="1015">F1335+K1335</f>
        <v>9</v>
      </c>
      <c r="M1335" s="99">
        <v>45379</v>
      </c>
      <c r="N1335" s="13" t="s">
        <v>166</v>
      </c>
      <c r="O1335" s="26">
        <v>10</v>
      </c>
      <c r="P1335" s="47">
        <v>25</v>
      </c>
      <c r="Q1335" s="27">
        <v>5</v>
      </c>
      <c r="R1335" s="34">
        <v>18</v>
      </c>
      <c r="S1335" s="77">
        <f t="shared" ref="S1335" si="1016">SUM(O1335:R1335)</f>
        <v>58</v>
      </c>
      <c r="T1335" s="26">
        <v>14</v>
      </c>
      <c r="U1335" s="47">
        <v>20</v>
      </c>
      <c r="V1335" s="27">
        <v>35</v>
      </c>
      <c r="W1335" s="34">
        <v>14</v>
      </c>
      <c r="X1335" s="9">
        <f t="shared" ref="X1335" si="1017">SUM(T1335:W1335)</f>
        <v>83</v>
      </c>
      <c r="Y1335" s="11">
        <f t="shared" ref="Y1335:Y1336" si="1018">S1335+X1335</f>
        <v>141</v>
      </c>
      <c r="Z1335" s="99">
        <v>45398</v>
      </c>
    </row>
    <row r="1336" spans="1:28" x14ac:dyDescent="0.15">
      <c r="A1336" s="13" t="s">
        <v>49</v>
      </c>
      <c r="B1336" s="26">
        <v>3</v>
      </c>
      <c r="C1336" s="47">
        <v>4</v>
      </c>
      <c r="D1336" s="27">
        <v>6</v>
      </c>
      <c r="E1336" s="50"/>
      <c r="F1336" s="9">
        <f>SUM(B1336:E1336)</f>
        <v>13</v>
      </c>
      <c r="G1336" s="47"/>
      <c r="H1336" s="47">
        <v>3</v>
      </c>
      <c r="I1336" s="27"/>
      <c r="J1336" s="50"/>
      <c r="K1336" s="9">
        <f>SUM(G1336:J1336)</f>
        <v>3</v>
      </c>
      <c r="L1336" s="108">
        <f t="shared" si="1015"/>
        <v>16</v>
      </c>
      <c r="M1336" s="99">
        <v>45379</v>
      </c>
      <c r="N1336" s="13" t="s">
        <v>6</v>
      </c>
      <c r="O1336" s="26">
        <v>140</v>
      </c>
      <c r="P1336" s="47">
        <v>70</v>
      </c>
      <c r="Q1336" s="27">
        <v>70</v>
      </c>
      <c r="R1336" s="34">
        <v>70</v>
      </c>
      <c r="S1336" s="77">
        <f>SUM(O1336:R1336)</f>
        <v>350</v>
      </c>
      <c r="T1336" s="26"/>
      <c r="U1336" s="47"/>
      <c r="V1336" s="27"/>
      <c r="W1336" s="34"/>
      <c r="X1336" s="9">
        <f>SUM(T1336:W1336)</f>
        <v>0</v>
      </c>
      <c r="Y1336" s="11">
        <f t="shared" si="1018"/>
        <v>350</v>
      </c>
      <c r="Z1336" s="99" t="s">
        <v>1258</v>
      </c>
      <c r="AA1336" s="58"/>
    </row>
    <row r="1337" spans="1:28" x14ac:dyDescent="0.15">
      <c r="A1337" s="79" t="s">
        <v>1127</v>
      </c>
      <c r="B1337" s="26">
        <v>1</v>
      </c>
      <c r="C1337" s="47"/>
      <c r="D1337" s="27"/>
      <c r="E1337" s="34"/>
      <c r="F1337" s="35">
        <f t="shared" ref="F1337" si="1019">SUM(B1337:E1337)</f>
        <v>1</v>
      </c>
      <c r="G1337" s="26"/>
      <c r="H1337" s="47"/>
      <c r="I1337" s="27"/>
      <c r="J1337" s="34"/>
      <c r="K1337" s="35">
        <f t="shared" ref="K1337" si="1020">SUM(G1337:J1337)</f>
        <v>0</v>
      </c>
      <c r="L1337" s="11">
        <f t="shared" ref="L1337:L1338" si="1021">F1337+K1337</f>
        <v>1</v>
      </c>
      <c r="M1337" s="126">
        <v>45388</v>
      </c>
      <c r="N1337" s="13" t="s">
        <v>7</v>
      </c>
      <c r="O1337" s="26"/>
      <c r="P1337" s="47"/>
      <c r="Q1337" s="27"/>
      <c r="R1337" s="34"/>
      <c r="S1337" s="77">
        <f t="shared" ref="S1337" si="1022">SUM(O1337:R1337)</f>
        <v>0</v>
      </c>
      <c r="T1337" s="26"/>
      <c r="U1337" s="47"/>
      <c r="V1337" s="27"/>
      <c r="W1337" s="34"/>
      <c r="X1337" s="9">
        <f t="shared" ref="X1337" si="1023">SUM(T1337:W1337)</f>
        <v>0</v>
      </c>
      <c r="Y1337" s="11">
        <f t="shared" ref="Y1337:Y1356" si="1024">S1337+X1337</f>
        <v>0</v>
      </c>
      <c r="Z1337" s="101"/>
      <c r="AA1337" s="58"/>
    </row>
    <row r="1338" spans="1:28" ht="14.25" thickBot="1" x14ac:dyDescent="0.2">
      <c r="A1338" s="13" t="s">
        <v>8</v>
      </c>
      <c r="B1338" s="26"/>
      <c r="C1338" s="47"/>
      <c r="D1338" s="27"/>
      <c r="E1338" s="50"/>
      <c r="F1338" s="10">
        <f>SUM(B1338:E1338)</f>
        <v>0</v>
      </c>
      <c r="G1338" s="47"/>
      <c r="H1338" s="47"/>
      <c r="I1338" s="27"/>
      <c r="J1338" s="50"/>
      <c r="K1338" s="10">
        <f>SUM(G1338:J1338)</f>
        <v>0</v>
      </c>
      <c r="L1338" s="14">
        <f t="shared" si="1021"/>
        <v>0</v>
      </c>
      <c r="N1338" s="13" t="s">
        <v>8</v>
      </c>
      <c r="O1338" s="26"/>
      <c r="P1338" s="47"/>
      <c r="Q1338" s="27"/>
      <c r="R1338" s="34"/>
      <c r="S1338" s="77">
        <f t="shared" ref="S1338" si="1025">SUM(O1338:R1338)</f>
        <v>0</v>
      </c>
      <c r="T1338" s="26"/>
      <c r="U1338" s="47"/>
      <c r="V1338" s="27"/>
      <c r="W1338" s="34"/>
      <c r="X1338" s="9">
        <f t="shared" ref="X1338" si="1026">SUM(T1338:W1338)</f>
        <v>0</v>
      </c>
      <c r="Y1338" s="11">
        <f t="shared" ref="Y1338" si="1027">S1338+X1338</f>
        <v>0</v>
      </c>
    </row>
    <row r="1339" spans="1:28" ht="14.25" thickBot="1" x14ac:dyDescent="0.2">
      <c r="A1339" s="22" t="s">
        <v>9</v>
      </c>
      <c r="B1339" s="41">
        <f t="shared" ref="B1339:K1339" si="1028">SUM(B1334:B1338)</f>
        <v>10</v>
      </c>
      <c r="C1339" s="49">
        <f t="shared" si="1028"/>
        <v>12</v>
      </c>
      <c r="D1339" s="42">
        <f t="shared" si="1028"/>
        <v>15</v>
      </c>
      <c r="E1339" s="92">
        <f t="shared" si="1028"/>
        <v>3</v>
      </c>
      <c r="F1339" s="132">
        <f t="shared" si="1028"/>
        <v>36</v>
      </c>
      <c r="G1339" s="41">
        <f t="shared" si="1028"/>
        <v>8</v>
      </c>
      <c r="H1339" s="49">
        <f t="shared" si="1028"/>
        <v>10</v>
      </c>
      <c r="I1339" s="42">
        <f t="shared" si="1028"/>
        <v>8</v>
      </c>
      <c r="J1339" s="92">
        <f t="shared" si="1028"/>
        <v>7</v>
      </c>
      <c r="K1339" s="132">
        <f t="shared" si="1028"/>
        <v>33</v>
      </c>
      <c r="L1339" s="21">
        <f t="shared" si="1015"/>
        <v>69</v>
      </c>
      <c r="N1339" s="17" t="s">
        <v>9</v>
      </c>
      <c r="O1339" s="41">
        <f>SUM(O1334:O1338)</f>
        <v>262</v>
      </c>
      <c r="P1339" s="49">
        <f t="shared" ref="P1339:V1339" si="1029">SUM(P1334:P1338)</f>
        <v>259</v>
      </c>
      <c r="Q1339" s="42">
        <f t="shared" si="1029"/>
        <v>198</v>
      </c>
      <c r="R1339" s="92">
        <f t="shared" si="1029"/>
        <v>114</v>
      </c>
      <c r="S1339" s="93">
        <f t="shared" si="1029"/>
        <v>833</v>
      </c>
      <c r="T1339" s="41">
        <f t="shared" si="1029"/>
        <v>304</v>
      </c>
      <c r="U1339" s="49">
        <f t="shared" si="1029"/>
        <v>378</v>
      </c>
      <c r="V1339" s="42">
        <f t="shared" si="1029"/>
        <v>229</v>
      </c>
      <c r="W1339" s="92">
        <f>SUM(W1334:W1338)</f>
        <v>167</v>
      </c>
      <c r="X1339" s="93">
        <f t="shared" ref="X1339" si="1030">SUM(X1334:X1338)</f>
        <v>1078</v>
      </c>
      <c r="Y1339" s="56">
        <f t="shared" si="1024"/>
        <v>1911</v>
      </c>
    </row>
    <row r="1340" spans="1:28" x14ac:dyDescent="0.15">
      <c r="A1340" s="15" t="s">
        <v>1114</v>
      </c>
      <c r="B1340" s="24"/>
      <c r="C1340" s="46">
        <v>1</v>
      </c>
      <c r="D1340" s="25"/>
      <c r="E1340" s="33"/>
      <c r="F1340" s="35">
        <f>SUM(B1340:E1340)</f>
        <v>1</v>
      </c>
      <c r="G1340" s="24"/>
      <c r="H1340" s="46">
        <v>1</v>
      </c>
      <c r="I1340" s="25"/>
      <c r="J1340" s="33"/>
      <c r="K1340" s="35">
        <f>SUM(G1340:J1340)</f>
        <v>1</v>
      </c>
      <c r="L1340" s="11">
        <f t="shared" si="1015"/>
        <v>2</v>
      </c>
      <c r="M1340" s="99">
        <v>45380</v>
      </c>
      <c r="N1340" s="57" t="s">
        <v>34</v>
      </c>
      <c r="O1340" s="26"/>
      <c r="P1340" s="47">
        <v>3</v>
      </c>
      <c r="Q1340" s="27"/>
      <c r="R1340" s="34"/>
      <c r="S1340" s="35">
        <f>SUM(O1340:R1340)</f>
        <v>3</v>
      </c>
      <c r="T1340" s="26"/>
      <c r="U1340" s="47"/>
      <c r="V1340" s="27"/>
      <c r="W1340" s="34"/>
      <c r="X1340" s="35">
        <f>SUM(T1340:W1340)</f>
        <v>0</v>
      </c>
      <c r="Y1340" s="11">
        <f t="shared" si="1024"/>
        <v>3</v>
      </c>
      <c r="Z1340" s="99">
        <v>45379</v>
      </c>
      <c r="AA1340" s="58"/>
      <c r="AB1340" s="58"/>
    </row>
    <row r="1341" spans="1:28" x14ac:dyDescent="0.15">
      <c r="A1341" s="15" t="s">
        <v>1115</v>
      </c>
      <c r="B1341" s="26">
        <v>1</v>
      </c>
      <c r="C1341" s="47"/>
      <c r="D1341" s="27"/>
      <c r="E1341" s="34">
        <v>1</v>
      </c>
      <c r="F1341" s="35">
        <f>SUM(B1341:E1341)</f>
        <v>2</v>
      </c>
      <c r="G1341" s="26"/>
      <c r="H1341" s="47"/>
      <c r="I1341" s="27"/>
      <c r="J1341" s="34"/>
      <c r="K1341" s="35">
        <f>SUM(G1341:J1341)</f>
        <v>0</v>
      </c>
      <c r="L1341" s="11">
        <f t="shared" si="1015"/>
        <v>2</v>
      </c>
      <c r="M1341" s="99">
        <v>45383</v>
      </c>
      <c r="N1341" s="57" t="s">
        <v>34</v>
      </c>
      <c r="O1341" s="26"/>
      <c r="P1341" s="47">
        <v>3</v>
      </c>
      <c r="Q1341" s="27"/>
      <c r="R1341" s="34"/>
      <c r="S1341" s="35">
        <f>SUM(O1341:R1341)</f>
        <v>3</v>
      </c>
      <c r="T1341" s="26"/>
      <c r="U1341" s="47">
        <v>3</v>
      </c>
      <c r="V1341" s="27"/>
      <c r="W1341" s="34"/>
      <c r="X1341" s="35">
        <f>SUM(T1341:W1341)</f>
        <v>3</v>
      </c>
      <c r="Y1341" s="11">
        <f t="shared" si="1024"/>
        <v>6</v>
      </c>
      <c r="Z1341" s="99">
        <v>45386</v>
      </c>
      <c r="AA1341" s="58"/>
      <c r="AB1341" s="58"/>
    </row>
    <row r="1342" spans="1:28" x14ac:dyDescent="0.15">
      <c r="A1342" s="32" t="s">
        <v>41</v>
      </c>
      <c r="B1342" s="26"/>
      <c r="C1342" s="47"/>
      <c r="D1342" s="27"/>
      <c r="E1342" s="34"/>
      <c r="F1342" s="35">
        <f t="shared" ref="F1342:F1363" si="1031">SUM(B1342:E1342)</f>
        <v>0</v>
      </c>
      <c r="G1342" s="26">
        <v>1</v>
      </c>
      <c r="H1342" s="47"/>
      <c r="I1342" s="27"/>
      <c r="J1342" s="34"/>
      <c r="K1342" s="35">
        <f t="shared" ref="K1342:K1363" si="1032">SUM(G1342:J1342)</f>
        <v>1</v>
      </c>
      <c r="L1342" s="11">
        <f t="shared" si="1015"/>
        <v>1</v>
      </c>
      <c r="M1342" s="126">
        <v>45380</v>
      </c>
      <c r="N1342" s="12" t="s">
        <v>1122</v>
      </c>
      <c r="O1342" s="66">
        <v>8</v>
      </c>
      <c r="P1342" s="67">
        <v>6</v>
      </c>
      <c r="Q1342" s="68">
        <v>4</v>
      </c>
      <c r="R1342" s="94">
        <v>2</v>
      </c>
      <c r="S1342" s="91">
        <f>SUM(O1342:R1342)</f>
        <v>20</v>
      </c>
      <c r="T1342" s="67"/>
      <c r="U1342" s="67"/>
      <c r="V1342" s="68"/>
      <c r="W1342" s="94"/>
      <c r="X1342" s="91">
        <f>SUM(T1342:W1342)</f>
        <v>0</v>
      </c>
      <c r="Y1342" s="11">
        <f t="shared" si="1024"/>
        <v>20</v>
      </c>
      <c r="Z1342" s="99">
        <v>45390</v>
      </c>
      <c r="AA1342" s="58"/>
      <c r="AB1342" s="58"/>
    </row>
    <row r="1343" spans="1:28" x14ac:dyDescent="0.15">
      <c r="A1343" s="32" t="s">
        <v>1116</v>
      </c>
      <c r="B1343" s="66">
        <v>3</v>
      </c>
      <c r="C1343" s="67">
        <v>4</v>
      </c>
      <c r="D1343" s="68">
        <v>6</v>
      </c>
      <c r="E1343" s="69"/>
      <c r="F1343" s="70">
        <f t="shared" si="1031"/>
        <v>13</v>
      </c>
      <c r="G1343" s="66"/>
      <c r="H1343" s="67">
        <v>3</v>
      </c>
      <c r="I1343" s="68"/>
      <c r="J1343" s="69"/>
      <c r="K1343" s="70">
        <f t="shared" si="1032"/>
        <v>3</v>
      </c>
      <c r="L1343" s="11">
        <f t="shared" si="1015"/>
        <v>16</v>
      </c>
      <c r="M1343" s="99">
        <v>45381</v>
      </c>
      <c r="N1343" s="12" t="s">
        <v>1123</v>
      </c>
      <c r="O1343" s="26"/>
      <c r="P1343" s="47">
        <v>1</v>
      </c>
      <c r="Q1343" s="27"/>
      <c r="R1343" s="34"/>
      <c r="S1343" s="35">
        <f t="shared" ref="S1343:S1345" si="1033">SUM(O1343:R1343)</f>
        <v>1</v>
      </c>
      <c r="T1343" s="26"/>
      <c r="U1343" s="47">
        <v>1</v>
      </c>
      <c r="V1343" s="27"/>
      <c r="W1343" s="34"/>
      <c r="X1343" s="35">
        <f t="shared" ref="X1343:X1345" si="1034">SUM(T1343:W1343)</f>
        <v>1</v>
      </c>
      <c r="Y1343" s="11">
        <f t="shared" si="1024"/>
        <v>2</v>
      </c>
      <c r="Z1343" s="99">
        <v>45390</v>
      </c>
      <c r="AA1343" s="58"/>
      <c r="AB1343" s="58"/>
    </row>
    <row r="1344" spans="1:28" x14ac:dyDescent="0.15">
      <c r="A1344" s="15" t="s">
        <v>1117</v>
      </c>
      <c r="B1344" s="26"/>
      <c r="C1344" s="47"/>
      <c r="D1344" s="27">
        <v>1</v>
      </c>
      <c r="E1344" s="34"/>
      <c r="F1344" s="35">
        <f t="shared" si="1031"/>
        <v>1</v>
      </c>
      <c r="G1344" s="26">
        <v>1</v>
      </c>
      <c r="H1344" s="47"/>
      <c r="I1344" s="27"/>
      <c r="J1344" s="34">
        <v>1</v>
      </c>
      <c r="K1344" s="35">
        <f t="shared" si="1032"/>
        <v>2</v>
      </c>
      <c r="L1344" s="11">
        <f t="shared" si="1015"/>
        <v>3</v>
      </c>
      <c r="M1344" s="99">
        <v>45385</v>
      </c>
      <c r="N1344" s="15" t="s">
        <v>1128</v>
      </c>
      <c r="O1344" s="26"/>
      <c r="P1344" s="47"/>
      <c r="Q1344" s="27">
        <v>2</v>
      </c>
      <c r="R1344" s="34">
        <v>1</v>
      </c>
      <c r="S1344" s="35">
        <f t="shared" si="1033"/>
        <v>3</v>
      </c>
      <c r="T1344" s="26"/>
      <c r="U1344" s="47"/>
      <c r="V1344" s="27"/>
      <c r="W1344" s="34">
        <v>1</v>
      </c>
      <c r="X1344" s="35">
        <f t="shared" si="1034"/>
        <v>1</v>
      </c>
      <c r="Y1344" s="11">
        <f t="shared" si="1024"/>
        <v>4</v>
      </c>
      <c r="Z1344" s="99">
        <v>45392</v>
      </c>
    </row>
    <row r="1345" spans="1:27" x14ac:dyDescent="0.15">
      <c r="A1345" s="32" t="s">
        <v>41</v>
      </c>
      <c r="B1345" s="26"/>
      <c r="C1345" s="47"/>
      <c r="D1345" s="27"/>
      <c r="E1345" s="34"/>
      <c r="F1345" s="35">
        <f t="shared" si="1031"/>
        <v>0</v>
      </c>
      <c r="G1345" s="26"/>
      <c r="H1345" s="47">
        <v>1</v>
      </c>
      <c r="I1345" s="27"/>
      <c r="J1345" s="34">
        <v>1</v>
      </c>
      <c r="K1345" s="35">
        <f t="shared" si="1032"/>
        <v>2</v>
      </c>
      <c r="L1345" s="11">
        <f t="shared" si="1015"/>
        <v>2</v>
      </c>
      <c r="M1345" s="99">
        <v>45383</v>
      </c>
      <c r="N1345" s="57" t="s">
        <v>34</v>
      </c>
      <c r="O1345" s="26"/>
      <c r="P1345" s="47">
        <v>3</v>
      </c>
      <c r="Q1345" s="27"/>
      <c r="R1345" s="34"/>
      <c r="S1345" s="35">
        <f t="shared" si="1033"/>
        <v>3</v>
      </c>
      <c r="T1345" s="26"/>
      <c r="U1345" s="47"/>
      <c r="V1345" s="27"/>
      <c r="W1345" s="34"/>
      <c r="X1345" s="35">
        <f t="shared" si="1034"/>
        <v>0</v>
      </c>
      <c r="Y1345" s="11">
        <f t="shared" si="1024"/>
        <v>3</v>
      </c>
      <c r="Z1345" s="99">
        <v>45391</v>
      </c>
      <c r="AA1345" s="58"/>
    </row>
    <row r="1346" spans="1:27" x14ac:dyDescent="0.15">
      <c r="A1346" s="13" t="s">
        <v>1072</v>
      </c>
      <c r="B1346" s="26">
        <v>-1</v>
      </c>
      <c r="C1346" s="47">
        <v>2</v>
      </c>
      <c r="D1346" s="27"/>
      <c r="E1346" s="34"/>
      <c r="F1346" s="35">
        <f t="shared" si="1031"/>
        <v>1</v>
      </c>
      <c r="G1346" s="26">
        <v>-1</v>
      </c>
      <c r="H1346" s="47"/>
      <c r="I1346" s="27"/>
      <c r="J1346" s="34"/>
      <c r="K1346" s="35">
        <f t="shared" si="1032"/>
        <v>-1</v>
      </c>
      <c r="L1346" s="11">
        <f t="shared" si="1015"/>
        <v>0</v>
      </c>
      <c r="M1346" s="99">
        <v>45383</v>
      </c>
      <c r="N1346" s="15" t="s">
        <v>1130</v>
      </c>
      <c r="O1346" s="26"/>
      <c r="P1346" s="47"/>
      <c r="Q1346" s="27"/>
      <c r="R1346" s="50">
        <v>3</v>
      </c>
      <c r="S1346" s="9">
        <f>SUM(O1346:R1346)</f>
        <v>3</v>
      </c>
      <c r="T1346" s="47">
        <v>2</v>
      </c>
      <c r="U1346" s="47"/>
      <c r="V1346" s="27">
        <v>1</v>
      </c>
      <c r="W1346" s="50"/>
      <c r="X1346" s="9">
        <f>SUM(T1346:W1346)</f>
        <v>3</v>
      </c>
      <c r="Y1346" s="11">
        <f t="shared" si="1024"/>
        <v>6</v>
      </c>
      <c r="Z1346" s="99">
        <v>45393</v>
      </c>
    </row>
    <row r="1347" spans="1:27" x14ac:dyDescent="0.15">
      <c r="A1347" s="15" t="s">
        <v>1118</v>
      </c>
      <c r="B1347" s="26"/>
      <c r="C1347" s="47"/>
      <c r="D1347" s="27">
        <v>1</v>
      </c>
      <c r="E1347" s="34"/>
      <c r="F1347" s="35">
        <f t="shared" si="1031"/>
        <v>1</v>
      </c>
      <c r="G1347" s="26"/>
      <c r="H1347" s="47"/>
      <c r="I1347" s="27">
        <v>1</v>
      </c>
      <c r="J1347" s="34"/>
      <c r="K1347" s="35">
        <f t="shared" si="1032"/>
        <v>1</v>
      </c>
      <c r="L1347" s="11">
        <f t="shared" si="1015"/>
        <v>2</v>
      </c>
      <c r="M1347" s="99">
        <v>45386</v>
      </c>
      <c r="N1347" s="90" t="s">
        <v>1140</v>
      </c>
      <c r="O1347" s="26">
        <v>10</v>
      </c>
      <c r="P1347" s="47">
        <v>10</v>
      </c>
      <c r="Q1347" s="27"/>
      <c r="R1347" s="34"/>
      <c r="S1347" s="35">
        <f t="shared" ref="S1347:S1352" si="1035">SUM(O1347:R1347)</f>
        <v>20</v>
      </c>
      <c r="T1347" s="26">
        <v>5</v>
      </c>
      <c r="U1347" s="47">
        <v>5</v>
      </c>
      <c r="V1347" s="27"/>
      <c r="W1347" s="34"/>
      <c r="X1347" s="35">
        <f t="shared" ref="X1347:X1352" si="1036">SUM(T1347:W1347)</f>
        <v>10</v>
      </c>
      <c r="Y1347" s="11">
        <f t="shared" si="1024"/>
        <v>30</v>
      </c>
      <c r="Z1347" s="99">
        <v>45399</v>
      </c>
    </row>
    <row r="1348" spans="1:27" x14ac:dyDescent="0.15">
      <c r="A1348" s="15" t="s">
        <v>1121</v>
      </c>
      <c r="B1348" s="26"/>
      <c r="C1348" s="47"/>
      <c r="D1348" s="27"/>
      <c r="E1348" s="34"/>
      <c r="F1348" s="35">
        <f t="shared" si="1031"/>
        <v>0</v>
      </c>
      <c r="G1348" s="26"/>
      <c r="H1348" s="47"/>
      <c r="I1348" s="27">
        <v>1</v>
      </c>
      <c r="J1348" s="34"/>
      <c r="K1348" s="35">
        <f t="shared" si="1032"/>
        <v>1</v>
      </c>
      <c r="L1348" s="11">
        <f t="shared" si="1015"/>
        <v>1</v>
      </c>
      <c r="M1348" s="99">
        <v>45387</v>
      </c>
      <c r="N1348" s="15" t="s">
        <v>1136</v>
      </c>
      <c r="O1348" s="26">
        <v>4</v>
      </c>
      <c r="P1348" s="47"/>
      <c r="Q1348" s="27">
        <v>2</v>
      </c>
      <c r="R1348" s="34">
        <v>1</v>
      </c>
      <c r="S1348" s="35">
        <f t="shared" si="1035"/>
        <v>7</v>
      </c>
      <c r="T1348" s="26"/>
      <c r="U1348" s="47"/>
      <c r="V1348" s="27"/>
      <c r="W1348" s="34">
        <v>1</v>
      </c>
      <c r="X1348" s="35">
        <f t="shared" si="1036"/>
        <v>1</v>
      </c>
      <c r="Y1348" s="11">
        <f t="shared" si="1024"/>
        <v>8</v>
      </c>
      <c r="Z1348" s="99">
        <v>45397</v>
      </c>
    </row>
    <row r="1349" spans="1:27" x14ac:dyDescent="0.15">
      <c r="A1349" s="15" t="s">
        <v>1125</v>
      </c>
      <c r="B1349" s="26"/>
      <c r="C1349" s="47"/>
      <c r="D1349" s="27">
        <v>2</v>
      </c>
      <c r="E1349" s="34"/>
      <c r="F1349" s="35">
        <f t="shared" si="1031"/>
        <v>2</v>
      </c>
      <c r="G1349" s="26"/>
      <c r="H1349" s="47"/>
      <c r="I1349" s="27">
        <v>1</v>
      </c>
      <c r="J1349" s="34"/>
      <c r="K1349" s="35">
        <f t="shared" si="1032"/>
        <v>1</v>
      </c>
      <c r="L1349" s="11">
        <f t="shared" si="1015"/>
        <v>3</v>
      </c>
      <c r="M1349" s="99">
        <v>45387</v>
      </c>
      <c r="N1349" s="57" t="s">
        <v>34</v>
      </c>
      <c r="O1349" s="26"/>
      <c r="P1349" s="47"/>
      <c r="Q1349" s="27"/>
      <c r="R1349" s="34"/>
      <c r="S1349" s="35">
        <f t="shared" si="1035"/>
        <v>0</v>
      </c>
      <c r="T1349" s="26"/>
      <c r="U1349" s="47"/>
      <c r="V1349" s="27"/>
      <c r="W1349" s="34">
        <v>5</v>
      </c>
      <c r="X1349" s="35">
        <f t="shared" si="1036"/>
        <v>5</v>
      </c>
      <c r="Y1349" s="11">
        <f t="shared" si="1024"/>
        <v>5</v>
      </c>
      <c r="Z1349" s="99">
        <v>45398</v>
      </c>
    </row>
    <row r="1350" spans="1:27" x14ac:dyDescent="0.15">
      <c r="A1350" s="15" t="s">
        <v>1126</v>
      </c>
      <c r="B1350" s="26">
        <v>1</v>
      </c>
      <c r="C1350" s="47">
        <v>2</v>
      </c>
      <c r="D1350" s="27"/>
      <c r="E1350" s="34"/>
      <c r="F1350" s="35">
        <f t="shared" si="1031"/>
        <v>3</v>
      </c>
      <c r="G1350" s="26">
        <v>1</v>
      </c>
      <c r="H1350" s="47"/>
      <c r="I1350" s="27"/>
      <c r="J1350" s="34"/>
      <c r="K1350" s="35">
        <f t="shared" si="1032"/>
        <v>1</v>
      </c>
      <c r="L1350" s="11">
        <f t="shared" si="1015"/>
        <v>4</v>
      </c>
      <c r="M1350" s="99">
        <v>45390</v>
      </c>
      <c r="N1350" s="32" t="s">
        <v>1142</v>
      </c>
      <c r="O1350" s="26"/>
      <c r="P1350" s="47"/>
      <c r="Q1350" s="27">
        <v>5</v>
      </c>
      <c r="R1350" s="34"/>
      <c r="S1350" s="35">
        <f t="shared" si="1035"/>
        <v>5</v>
      </c>
      <c r="T1350" s="26"/>
      <c r="U1350" s="47"/>
      <c r="V1350" s="27"/>
      <c r="W1350" s="34">
        <v>1</v>
      </c>
      <c r="X1350" s="35">
        <f t="shared" si="1036"/>
        <v>1</v>
      </c>
      <c r="Y1350" s="11">
        <f t="shared" si="1024"/>
        <v>6</v>
      </c>
      <c r="Z1350" s="99">
        <v>45401</v>
      </c>
    </row>
    <row r="1351" spans="1:27" x14ac:dyDescent="0.15">
      <c r="A1351" s="32" t="s">
        <v>41</v>
      </c>
      <c r="B1351" s="26"/>
      <c r="C1351" s="47"/>
      <c r="D1351" s="27">
        <v>1</v>
      </c>
      <c r="E1351" s="34"/>
      <c r="F1351" s="35">
        <f t="shared" si="1031"/>
        <v>1</v>
      </c>
      <c r="G1351" s="26"/>
      <c r="H1351" s="47"/>
      <c r="I1351" s="27"/>
      <c r="J1351" s="34"/>
      <c r="K1351" s="35">
        <f t="shared" si="1032"/>
        <v>0</v>
      </c>
      <c r="L1351" s="11">
        <f t="shared" si="1015"/>
        <v>1</v>
      </c>
      <c r="M1351" s="126">
        <v>45388</v>
      </c>
      <c r="N1351" s="57" t="s">
        <v>1148</v>
      </c>
      <c r="O1351" s="26">
        <v>20</v>
      </c>
      <c r="P1351" s="47">
        <v>20</v>
      </c>
      <c r="Q1351" s="27">
        <v>20</v>
      </c>
      <c r="R1351" s="34">
        <v>10</v>
      </c>
      <c r="S1351" s="35">
        <f t="shared" si="1035"/>
        <v>70</v>
      </c>
      <c r="T1351" s="26">
        <v>20</v>
      </c>
      <c r="U1351" s="47">
        <v>20</v>
      </c>
      <c r="V1351" s="27">
        <v>20</v>
      </c>
      <c r="W1351" s="34">
        <v>10</v>
      </c>
      <c r="X1351" s="35">
        <f t="shared" si="1036"/>
        <v>70</v>
      </c>
      <c r="Y1351" s="11">
        <f t="shared" si="1024"/>
        <v>140</v>
      </c>
      <c r="Z1351" s="99">
        <v>45406</v>
      </c>
      <c r="AA1351" s="58"/>
    </row>
    <row r="1352" spans="1:27" x14ac:dyDescent="0.15">
      <c r="A1352" s="32" t="s">
        <v>41</v>
      </c>
      <c r="B1352" s="26"/>
      <c r="C1352" s="47"/>
      <c r="D1352" s="27"/>
      <c r="E1352" s="34"/>
      <c r="F1352" s="35">
        <f t="shared" si="1031"/>
        <v>0</v>
      </c>
      <c r="G1352" s="26"/>
      <c r="H1352" s="47"/>
      <c r="I1352" s="27"/>
      <c r="J1352" s="34">
        <v>1</v>
      </c>
      <c r="K1352" s="35">
        <f t="shared" si="1032"/>
        <v>1</v>
      </c>
      <c r="L1352" s="11">
        <f t="shared" si="1015"/>
        <v>1</v>
      </c>
      <c r="M1352" s="126">
        <v>45390</v>
      </c>
      <c r="N1352" s="32" t="s">
        <v>1149</v>
      </c>
      <c r="O1352" s="26">
        <v>2</v>
      </c>
      <c r="P1352" s="47">
        <v>12</v>
      </c>
      <c r="Q1352" s="27">
        <v>1</v>
      </c>
      <c r="R1352" s="34"/>
      <c r="S1352" s="35">
        <f t="shared" si="1035"/>
        <v>15</v>
      </c>
      <c r="T1352" s="26">
        <v>1</v>
      </c>
      <c r="U1352" s="47"/>
      <c r="V1352" s="27"/>
      <c r="W1352" s="34">
        <v>1</v>
      </c>
      <c r="X1352" s="35">
        <f t="shared" si="1036"/>
        <v>2</v>
      </c>
      <c r="Y1352" s="11">
        <f t="shared" si="1024"/>
        <v>17</v>
      </c>
      <c r="Z1352" s="99">
        <v>45406</v>
      </c>
      <c r="AA1352" s="58"/>
    </row>
    <row r="1353" spans="1:27" x14ac:dyDescent="0.15">
      <c r="A1353" s="13" t="s">
        <v>1129</v>
      </c>
      <c r="B1353" s="26"/>
      <c r="C1353" s="47">
        <v>-3</v>
      </c>
      <c r="D1353" s="27"/>
      <c r="E1353" s="34"/>
      <c r="F1353" s="35">
        <f t="shared" si="1031"/>
        <v>-3</v>
      </c>
      <c r="G1353" s="26"/>
      <c r="H1353" s="47"/>
      <c r="I1353" s="27"/>
      <c r="J1353" s="34"/>
      <c r="K1353" s="35">
        <f t="shared" si="1032"/>
        <v>0</v>
      </c>
      <c r="L1353" s="11">
        <f t="shared" si="1015"/>
        <v>-3</v>
      </c>
      <c r="M1353" s="99">
        <v>45391</v>
      </c>
      <c r="N1353" s="57" t="s">
        <v>34</v>
      </c>
      <c r="O1353" s="26"/>
      <c r="P1353" s="47"/>
      <c r="Q1353" s="27"/>
      <c r="R1353" s="34"/>
      <c r="S1353" s="35">
        <f>SUM(O1353:R1353)</f>
        <v>0</v>
      </c>
      <c r="T1353" s="26">
        <v>3</v>
      </c>
      <c r="U1353" s="47"/>
      <c r="V1353" s="27"/>
      <c r="W1353" s="34"/>
      <c r="X1353" s="35">
        <f>SUM(T1353:W1353)</f>
        <v>3</v>
      </c>
      <c r="Y1353" s="11">
        <f t="shared" si="1024"/>
        <v>3</v>
      </c>
      <c r="Z1353" s="99">
        <v>45412</v>
      </c>
      <c r="AA1353" s="58"/>
    </row>
    <row r="1354" spans="1:27" x14ac:dyDescent="0.15">
      <c r="A1354" s="32" t="s">
        <v>41</v>
      </c>
      <c r="B1354" s="26"/>
      <c r="C1354" s="47"/>
      <c r="D1354" s="27"/>
      <c r="E1354" s="34"/>
      <c r="F1354" s="35">
        <f t="shared" si="1031"/>
        <v>0</v>
      </c>
      <c r="G1354" s="26"/>
      <c r="H1354" s="47"/>
      <c r="I1354" s="27"/>
      <c r="J1354" s="34">
        <v>1</v>
      </c>
      <c r="K1354" s="35">
        <f t="shared" si="1032"/>
        <v>1</v>
      </c>
      <c r="L1354" s="11">
        <f t="shared" si="1015"/>
        <v>1</v>
      </c>
      <c r="M1354" s="99">
        <v>45391</v>
      </c>
      <c r="N1354" s="57" t="s">
        <v>34</v>
      </c>
      <c r="O1354" s="26"/>
      <c r="P1354" s="47">
        <v>3</v>
      </c>
      <c r="Q1354" s="27">
        <v>5</v>
      </c>
      <c r="R1354" s="34"/>
      <c r="S1354" s="35">
        <f t="shared" ref="S1354" si="1037">SUM(O1354:R1354)</f>
        <v>8</v>
      </c>
      <c r="T1354" s="26"/>
      <c r="U1354" s="47">
        <v>3</v>
      </c>
      <c r="V1354" s="27"/>
      <c r="W1354" s="34"/>
      <c r="X1354" s="35">
        <f t="shared" ref="X1354" si="1038">SUM(T1354:W1354)</f>
        <v>3</v>
      </c>
      <c r="Y1354" s="11">
        <f t="shared" si="1024"/>
        <v>11</v>
      </c>
      <c r="Z1354" s="99">
        <v>45413</v>
      </c>
    </row>
    <row r="1355" spans="1:27" x14ac:dyDescent="0.15">
      <c r="A1355" s="15" t="s">
        <v>1131</v>
      </c>
      <c r="B1355" s="26">
        <v>2</v>
      </c>
      <c r="C1355" s="47"/>
      <c r="D1355" s="27"/>
      <c r="E1355" s="34"/>
      <c r="F1355" s="35">
        <f t="shared" si="1031"/>
        <v>2</v>
      </c>
      <c r="G1355" s="26"/>
      <c r="H1355" s="47">
        <v>1</v>
      </c>
      <c r="I1355" s="27"/>
      <c r="J1355" s="34"/>
      <c r="K1355" s="35">
        <f t="shared" si="1032"/>
        <v>1</v>
      </c>
      <c r="L1355" s="11">
        <f t="shared" si="1015"/>
        <v>3</v>
      </c>
      <c r="M1355" s="99">
        <v>45394</v>
      </c>
      <c r="N1355" s="32" t="s">
        <v>1161</v>
      </c>
      <c r="O1355" s="66"/>
      <c r="P1355" s="67"/>
      <c r="Q1355" s="68">
        <v>2</v>
      </c>
      <c r="R1355" s="94">
        <v>1</v>
      </c>
      <c r="S1355" s="91">
        <f>SUM(O1355:R1355)</f>
        <v>3</v>
      </c>
      <c r="T1355" s="67"/>
      <c r="U1355" s="67"/>
      <c r="V1355" s="68">
        <v>1</v>
      </c>
      <c r="W1355" s="94"/>
      <c r="X1355" s="91">
        <f>SUM(T1355:W1355)</f>
        <v>1</v>
      </c>
      <c r="Y1355" s="11">
        <f t="shared" si="1024"/>
        <v>4</v>
      </c>
      <c r="Z1355" s="99">
        <v>45414</v>
      </c>
    </row>
    <row r="1356" spans="1:27" x14ac:dyDescent="0.15">
      <c r="A1356" s="32" t="s">
        <v>41</v>
      </c>
      <c r="B1356" s="26"/>
      <c r="C1356" s="47"/>
      <c r="D1356" s="27"/>
      <c r="E1356" s="34"/>
      <c r="F1356" s="35">
        <f t="shared" si="1031"/>
        <v>0</v>
      </c>
      <c r="G1356" s="26">
        <v>2</v>
      </c>
      <c r="H1356" s="47"/>
      <c r="I1356" s="27"/>
      <c r="J1356" s="34"/>
      <c r="K1356" s="35">
        <f t="shared" si="1032"/>
        <v>2</v>
      </c>
      <c r="L1356" s="11">
        <f t="shared" si="1015"/>
        <v>2</v>
      </c>
      <c r="M1356" s="126">
        <v>45392</v>
      </c>
      <c r="N1356" s="57" t="s">
        <v>1162</v>
      </c>
      <c r="O1356" s="26">
        <v>2</v>
      </c>
      <c r="P1356" s="47">
        <v>6</v>
      </c>
      <c r="Q1356" s="27">
        <v>2</v>
      </c>
      <c r="R1356" s="34">
        <v>6</v>
      </c>
      <c r="S1356" s="35">
        <f t="shared" ref="S1356:S1357" si="1039">SUM(O1356:R1356)</f>
        <v>16</v>
      </c>
      <c r="T1356" s="26">
        <v>10</v>
      </c>
      <c r="U1356" s="47">
        <v>4</v>
      </c>
      <c r="V1356" s="27"/>
      <c r="W1356" s="34">
        <v>2</v>
      </c>
      <c r="X1356" s="35">
        <f t="shared" ref="X1356:X1357" si="1040">SUM(T1356:W1356)</f>
        <v>16</v>
      </c>
      <c r="Y1356" s="11">
        <f t="shared" si="1024"/>
        <v>32</v>
      </c>
      <c r="Z1356" s="99">
        <v>45420</v>
      </c>
    </row>
    <row r="1357" spans="1:27" x14ac:dyDescent="0.15">
      <c r="A1357" s="15" t="s">
        <v>1135</v>
      </c>
      <c r="B1357" s="26"/>
      <c r="C1357" s="47"/>
      <c r="D1357" s="27"/>
      <c r="E1357" s="34"/>
      <c r="F1357" s="35">
        <f t="shared" si="1031"/>
        <v>0</v>
      </c>
      <c r="G1357" s="26"/>
      <c r="H1357" s="47"/>
      <c r="I1357" s="27"/>
      <c r="J1357" s="34">
        <v>1</v>
      </c>
      <c r="K1357" s="35">
        <f t="shared" si="1032"/>
        <v>1</v>
      </c>
      <c r="L1357" s="11">
        <f t="shared" si="1015"/>
        <v>1</v>
      </c>
      <c r="M1357" s="99">
        <v>45394</v>
      </c>
      <c r="N1357" s="57" t="s">
        <v>34</v>
      </c>
      <c r="O1357" s="26"/>
      <c r="P1357" s="47"/>
      <c r="Q1357" s="27"/>
      <c r="R1357" s="34"/>
      <c r="S1357" s="35">
        <f t="shared" si="1039"/>
        <v>0</v>
      </c>
      <c r="T1357" s="26"/>
      <c r="U1357" s="47">
        <v>3</v>
      </c>
      <c r="V1357" s="27"/>
      <c r="W1357" s="34"/>
      <c r="X1357" s="35">
        <f t="shared" si="1040"/>
        <v>3</v>
      </c>
      <c r="Y1357" s="11">
        <f t="shared" ref="Y1357:Y1358" si="1041">S1357+X1357</f>
        <v>3</v>
      </c>
      <c r="Z1357" s="99">
        <v>45419</v>
      </c>
    </row>
    <row r="1358" spans="1:27" x14ac:dyDescent="0.15">
      <c r="A1358" s="13" t="s">
        <v>1137</v>
      </c>
      <c r="B1358" s="26">
        <v>-1</v>
      </c>
      <c r="C1358" s="47">
        <v>-2</v>
      </c>
      <c r="D1358" s="27">
        <v>-1</v>
      </c>
      <c r="E1358" s="34"/>
      <c r="F1358" s="35">
        <f t="shared" si="1031"/>
        <v>-4</v>
      </c>
      <c r="G1358" s="26"/>
      <c r="H1358" s="47"/>
      <c r="I1358" s="27"/>
      <c r="J1358" s="34"/>
      <c r="K1358" s="35">
        <f t="shared" si="1032"/>
        <v>0</v>
      </c>
      <c r="L1358" s="11">
        <f t="shared" si="1015"/>
        <v>-4</v>
      </c>
      <c r="M1358" s="99">
        <v>45394</v>
      </c>
      <c r="N1358" s="32" t="s">
        <v>1164</v>
      </c>
      <c r="O1358" s="66">
        <v>3</v>
      </c>
      <c r="P1358" s="67">
        <v>3</v>
      </c>
      <c r="Q1358" s="68">
        <v>1</v>
      </c>
      <c r="R1358" s="94">
        <v>2</v>
      </c>
      <c r="S1358" s="91">
        <f>SUM(O1358:R1358)</f>
        <v>9</v>
      </c>
      <c r="T1358" s="67">
        <v>2</v>
      </c>
      <c r="U1358" s="67">
        <v>3</v>
      </c>
      <c r="V1358" s="68">
        <v>1</v>
      </c>
      <c r="W1358" s="94">
        <v>1</v>
      </c>
      <c r="X1358" s="91">
        <f>SUM(T1358:W1358)</f>
        <v>7</v>
      </c>
      <c r="Y1358" s="11">
        <f t="shared" si="1041"/>
        <v>16</v>
      </c>
      <c r="Z1358" s="99">
        <v>45421</v>
      </c>
    </row>
    <row r="1359" spans="1:27" x14ac:dyDescent="0.15">
      <c r="A1359" s="32" t="s">
        <v>1138</v>
      </c>
      <c r="B1359" s="26"/>
      <c r="C1359" s="47">
        <v>1</v>
      </c>
      <c r="D1359" s="27"/>
      <c r="E1359" s="34">
        <v>1</v>
      </c>
      <c r="F1359" s="35">
        <f t="shared" si="1031"/>
        <v>2</v>
      </c>
      <c r="G1359" s="26"/>
      <c r="H1359" s="47"/>
      <c r="I1359" s="27"/>
      <c r="J1359" s="34">
        <v>1</v>
      </c>
      <c r="K1359" s="35">
        <f t="shared" si="1032"/>
        <v>1</v>
      </c>
      <c r="L1359" s="11">
        <f t="shared" si="1015"/>
        <v>3</v>
      </c>
      <c r="M1359" s="99">
        <v>45399</v>
      </c>
      <c r="N1359" s="12"/>
      <c r="O1359" s="26"/>
      <c r="P1359" s="47"/>
      <c r="Q1359" s="27"/>
      <c r="R1359" s="34"/>
      <c r="S1359" s="35">
        <f t="shared" ref="S1359:S1365" si="1042">SUM(O1359:R1359)</f>
        <v>0</v>
      </c>
      <c r="T1359" s="26"/>
      <c r="U1359" s="47"/>
      <c r="V1359" s="27"/>
      <c r="W1359" s="34"/>
      <c r="X1359" s="35">
        <f t="shared" ref="X1359:X1365" si="1043">SUM(T1359:W1359)</f>
        <v>0</v>
      </c>
      <c r="Y1359" s="11">
        <f t="shared" ref="Y1359:Y1366" si="1044">S1359+X1359</f>
        <v>0</v>
      </c>
    </row>
    <row r="1360" spans="1:27" x14ac:dyDescent="0.15">
      <c r="A1360" s="32" t="s">
        <v>41</v>
      </c>
      <c r="B1360" s="26"/>
      <c r="C1360" s="47">
        <f>1+2</f>
        <v>3</v>
      </c>
      <c r="D1360" s="27"/>
      <c r="E1360" s="34"/>
      <c r="F1360" s="35">
        <f t="shared" si="1031"/>
        <v>3</v>
      </c>
      <c r="G1360" s="26"/>
      <c r="H1360" s="47"/>
      <c r="I1360" s="27">
        <v>1</v>
      </c>
      <c r="J1360" s="34"/>
      <c r="K1360" s="35">
        <f t="shared" si="1032"/>
        <v>1</v>
      </c>
      <c r="L1360" s="11">
        <f t="shared" si="1015"/>
        <v>4</v>
      </c>
      <c r="M1360" s="126">
        <v>45397</v>
      </c>
      <c r="N1360" s="12" t="s">
        <v>1107</v>
      </c>
      <c r="O1360" s="26"/>
      <c r="P1360" s="47"/>
      <c r="Q1360" s="27"/>
      <c r="R1360" s="50"/>
      <c r="S1360" s="9">
        <f t="shared" ref="S1360:S1364" si="1045">SUM(O1360:R1360)</f>
        <v>0</v>
      </c>
      <c r="T1360" s="26"/>
      <c r="U1360" s="47"/>
      <c r="V1360" s="27"/>
      <c r="W1360" s="50"/>
      <c r="X1360" s="9">
        <f t="shared" ref="X1360:X1364" si="1046">SUM(T1360:W1360)</f>
        <v>0</v>
      </c>
      <c r="Y1360" s="108">
        <f t="shared" ref="Y1360:Y1364" si="1047">S1360+X1360</f>
        <v>0</v>
      </c>
      <c r="Z1360" s="101" t="s">
        <v>528</v>
      </c>
    </row>
    <row r="1361" spans="1:27" x14ac:dyDescent="0.15">
      <c r="A1361" s="12" t="s">
        <v>1139</v>
      </c>
      <c r="B1361" s="26"/>
      <c r="C1361" s="47"/>
      <c r="D1361" s="27"/>
      <c r="E1361" s="34"/>
      <c r="F1361" s="35">
        <f t="shared" si="1031"/>
        <v>0</v>
      </c>
      <c r="G1361" s="26"/>
      <c r="H1361" s="47"/>
      <c r="I1361" s="27"/>
      <c r="J1361" s="34">
        <v>-5</v>
      </c>
      <c r="K1361" s="35">
        <f t="shared" si="1032"/>
        <v>-5</v>
      </c>
      <c r="L1361" s="11">
        <f t="shared" si="1015"/>
        <v>-5</v>
      </c>
      <c r="M1361" s="99">
        <v>45398</v>
      </c>
      <c r="N1361" s="57" t="s">
        <v>981</v>
      </c>
      <c r="O1361" s="66"/>
      <c r="P1361" s="67"/>
      <c r="Q1361" s="68"/>
      <c r="R1361" s="69"/>
      <c r="S1361" s="70">
        <f t="shared" si="1045"/>
        <v>0</v>
      </c>
      <c r="T1361" s="66"/>
      <c r="U1361" s="67"/>
      <c r="V1361" s="68"/>
      <c r="W1361" s="69"/>
      <c r="X1361" s="70">
        <f t="shared" si="1046"/>
        <v>0</v>
      </c>
      <c r="Y1361" s="11">
        <f t="shared" si="1047"/>
        <v>0</v>
      </c>
      <c r="Z1361" s="101" t="s">
        <v>946</v>
      </c>
    </row>
    <row r="1362" spans="1:27" x14ac:dyDescent="0.15">
      <c r="A1362" s="32" t="s">
        <v>1141</v>
      </c>
      <c r="B1362" s="26">
        <v>1</v>
      </c>
      <c r="C1362" s="47">
        <v>2</v>
      </c>
      <c r="D1362" s="27"/>
      <c r="E1362" s="34">
        <v>1</v>
      </c>
      <c r="F1362" s="35">
        <f t="shared" si="1031"/>
        <v>4</v>
      </c>
      <c r="G1362" s="26"/>
      <c r="H1362" s="47"/>
      <c r="I1362" s="27"/>
      <c r="J1362" s="34"/>
      <c r="K1362" s="35">
        <f t="shared" si="1032"/>
        <v>0</v>
      </c>
      <c r="L1362" s="11">
        <f t="shared" si="1015"/>
        <v>4</v>
      </c>
      <c r="M1362" s="99">
        <v>45400</v>
      </c>
      <c r="N1362" s="12" t="s">
        <v>1085</v>
      </c>
      <c r="O1362" s="26"/>
      <c r="P1362" s="47"/>
      <c r="Q1362" s="27"/>
      <c r="R1362" s="50"/>
      <c r="S1362" s="9">
        <f t="shared" si="1045"/>
        <v>0</v>
      </c>
      <c r="T1362" s="26"/>
      <c r="U1362" s="47"/>
      <c r="V1362" s="27"/>
      <c r="W1362" s="50"/>
      <c r="X1362" s="9">
        <f t="shared" si="1046"/>
        <v>0</v>
      </c>
      <c r="Y1362" s="108">
        <f t="shared" si="1047"/>
        <v>0</v>
      </c>
      <c r="Z1362" s="101" t="s">
        <v>540</v>
      </c>
    </row>
    <row r="1363" spans="1:27" x14ac:dyDescent="0.15">
      <c r="A1363" s="32" t="s">
        <v>41</v>
      </c>
      <c r="B1363" s="26">
        <v>1</v>
      </c>
      <c r="C1363" s="47">
        <v>1</v>
      </c>
      <c r="D1363" s="27"/>
      <c r="E1363" s="34"/>
      <c r="F1363" s="35">
        <f t="shared" si="1031"/>
        <v>2</v>
      </c>
      <c r="G1363" s="26">
        <v>3</v>
      </c>
      <c r="H1363" s="47"/>
      <c r="I1363" s="27"/>
      <c r="J1363" s="34"/>
      <c r="K1363" s="35">
        <f t="shared" si="1032"/>
        <v>3</v>
      </c>
      <c r="L1363" s="11">
        <f t="shared" si="1015"/>
        <v>5</v>
      </c>
      <c r="M1363" s="126">
        <v>45400</v>
      </c>
      <c r="N1363" s="12" t="s">
        <v>1027</v>
      </c>
      <c r="O1363" s="26"/>
      <c r="P1363" s="47"/>
      <c r="Q1363" s="27"/>
      <c r="R1363" s="50"/>
      <c r="S1363" s="9">
        <f t="shared" si="1045"/>
        <v>0</v>
      </c>
      <c r="T1363" s="26"/>
      <c r="U1363" s="47"/>
      <c r="V1363" s="27"/>
      <c r="W1363" s="50"/>
      <c r="X1363" s="9">
        <f t="shared" si="1046"/>
        <v>0</v>
      </c>
      <c r="Y1363" s="108">
        <f t="shared" si="1047"/>
        <v>0</v>
      </c>
      <c r="Z1363" s="101" t="s">
        <v>1028</v>
      </c>
    </row>
    <row r="1364" spans="1:27" ht="14.25" thickBot="1" x14ac:dyDescent="0.2">
      <c r="A1364" s="268"/>
      <c r="B1364" s="223"/>
      <c r="C1364" s="224"/>
      <c r="D1364" s="225"/>
      <c r="E1364" s="226"/>
      <c r="F1364" s="227">
        <f t="shared" ref="F1364" si="1048">SUM(B1364:E1364)</f>
        <v>0</v>
      </c>
      <c r="G1364" s="223"/>
      <c r="H1364" s="224"/>
      <c r="I1364" s="225"/>
      <c r="J1364" s="226"/>
      <c r="K1364" s="227">
        <f t="shared" ref="K1364" si="1049">SUM(G1364:J1364)</f>
        <v>0</v>
      </c>
      <c r="L1364" s="14">
        <f t="shared" ref="L1364" si="1050">F1364+K1364</f>
        <v>0</v>
      </c>
      <c r="N1364" s="135" t="s">
        <v>1093</v>
      </c>
      <c r="O1364" s="62">
        <f>20-20</f>
        <v>0</v>
      </c>
      <c r="P1364" s="63">
        <f>20-20</f>
        <v>0</v>
      </c>
      <c r="Q1364" s="64">
        <f>20-20</f>
        <v>0</v>
      </c>
      <c r="R1364" s="65">
        <f>10-10</f>
        <v>0</v>
      </c>
      <c r="S1364" s="120">
        <f t="shared" si="1045"/>
        <v>0</v>
      </c>
      <c r="T1364" s="62">
        <f>15-15</f>
        <v>0</v>
      </c>
      <c r="U1364" s="63">
        <f>20-20</f>
        <v>0</v>
      </c>
      <c r="V1364" s="64">
        <f>10-10</f>
        <v>0</v>
      </c>
      <c r="W1364" s="65">
        <f>10-10</f>
        <v>0</v>
      </c>
      <c r="X1364" s="120">
        <f t="shared" si="1046"/>
        <v>0</v>
      </c>
      <c r="Y1364" s="121">
        <f t="shared" si="1047"/>
        <v>0</v>
      </c>
      <c r="Z1364" s="101" t="s">
        <v>1094</v>
      </c>
    </row>
    <row r="1365" spans="1:27" ht="14.25" thickBot="1" x14ac:dyDescent="0.2">
      <c r="A1365" s="17" t="s">
        <v>10</v>
      </c>
      <c r="B1365" s="228">
        <f>SUM(B1340:B1364)</f>
        <v>7</v>
      </c>
      <c r="C1365" s="229">
        <f>SUM(C1340:C1364)</f>
        <v>11</v>
      </c>
      <c r="D1365" s="230">
        <f>SUM(D1340:D1364)</f>
        <v>10</v>
      </c>
      <c r="E1365" s="231">
        <f>SUM(E1340:E1364)</f>
        <v>3</v>
      </c>
      <c r="F1365" s="36">
        <f>SUM(B1365:E1365)</f>
        <v>31</v>
      </c>
      <c r="G1365" s="228">
        <f>SUM(G1340:G1364)</f>
        <v>7</v>
      </c>
      <c r="H1365" s="229">
        <f>SUM(H1340:H1364)</f>
        <v>6</v>
      </c>
      <c r="I1365" s="230">
        <f>SUM(I1340:I1364)</f>
        <v>4</v>
      </c>
      <c r="J1365" s="231">
        <f>SUM(J1340:J1364)</f>
        <v>1</v>
      </c>
      <c r="K1365" s="36">
        <f>SUM(G1365:J1365)</f>
        <v>18</v>
      </c>
      <c r="L1365" s="37">
        <f t="shared" si="1015"/>
        <v>49</v>
      </c>
      <c r="N1365" s="133" t="s">
        <v>10</v>
      </c>
      <c r="O1365" s="38">
        <f>SUM(O1340:O1364)</f>
        <v>49</v>
      </c>
      <c r="P1365" s="48">
        <f>SUM(P1340:P1364)</f>
        <v>70</v>
      </c>
      <c r="Q1365" s="39">
        <f>SUM(Q1340:Q1364)</f>
        <v>44</v>
      </c>
      <c r="R1365" s="40">
        <f>SUM(R1340:R1364)</f>
        <v>26</v>
      </c>
      <c r="S1365" s="118">
        <f t="shared" si="1042"/>
        <v>189</v>
      </c>
      <c r="T1365" s="38">
        <f>SUM(T1340:T1364)</f>
        <v>43</v>
      </c>
      <c r="U1365" s="48">
        <f>SUM(U1340:U1364)</f>
        <v>42</v>
      </c>
      <c r="V1365" s="39">
        <f>SUM(V1340:V1364)</f>
        <v>23</v>
      </c>
      <c r="W1365" s="40">
        <f>SUM(W1340:W1364)</f>
        <v>22</v>
      </c>
      <c r="X1365" s="118">
        <f t="shared" si="1043"/>
        <v>130</v>
      </c>
      <c r="Y1365" s="119">
        <f t="shared" si="1044"/>
        <v>319</v>
      </c>
    </row>
    <row r="1366" spans="1:27" ht="14.25" thickBot="1" x14ac:dyDescent="0.2">
      <c r="A1366" s="22" t="s">
        <v>11</v>
      </c>
      <c r="B1366" s="41">
        <f>B1339-B1365</f>
        <v>3</v>
      </c>
      <c r="C1366" s="49">
        <f>C1339-C1365</f>
        <v>1</v>
      </c>
      <c r="D1366" s="42">
        <f t="shared" ref="D1366:K1366" si="1051">D1339-D1365</f>
        <v>5</v>
      </c>
      <c r="E1366" s="43">
        <f t="shared" si="1051"/>
        <v>0</v>
      </c>
      <c r="F1366" s="61">
        <f t="shared" si="1051"/>
        <v>5</v>
      </c>
      <c r="G1366" s="41">
        <f t="shared" si="1051"/>
        <v>1</v>
      </c>
      <c r="H1366" s="49">
        <f t="shared" si="1051"/>
        <v>4</v>
      </c>
      <c r="I1366" s="42">
        <f t="shared" si="1051"/>
        <v>4</v>
      </c>
      <c r="J1366" s="43">
        <f t="shared" si="1051"/>
        <v>6</v>
      </c>
      <c r="K1366" s="61">
        <f t="shared" si="1051"/>
        <v>15</v>
      </c>
      <c r="L1366" s="21">
        <f t="shared" si="1015"/>
        <v>20</v>
      </c>
      <c r="N1366" s="17" t="s">
        <v>11</v>
      </c>
      <c r="O1366" s="41">
        <f>O1339-O1365</f>
        <v>213</v>
      </c>
      <c r="P1366" s="49">
        <f t="shared" ref="P1366:Q1366" si="1052">P1339-P1365</f>
        <v>189</v>
      </c>
      <c r="Q1366" s="42">
        <f t="shared" si="1052"/>
        <v>154</v>
      </c>
      <c r="R1366" s="43">
        <f>R1339-R1365</f>
        <v>88</v>
      </c>
      <c r="S1366" s="61">
        <f t="shared" ref="S1366:X1366" si="1053">S1339-S1365</f>
        <v>644</v>
      </c>
      <c r="T1366" s="41">
        <f t="shared" si="1053"/>
        <v>261</v>
      </c>
      <c r="U1366" s="49">
        <f t="shared" si="1053"/>
        <v>336</v>
      </c>
      <c r="V1366" s="42">
        <f t="shared" si="1053"/>
        <v>206</v>
      </c>
      <c r="W1366" s="43">
        <f t="shared" si="1053"/>
        <v>145</v>
      </c>
      <c r="X1366" s="61">
        <f t="shared" si="1053"/>
        <v>948</v>
      </c>
      <c r="Y1366" s="21">
        <f t="shared" si="1044"/>
        <v>1592</v>
      </c>
    </row>
    <row r="1367" spans="1:27" x14ac:dyDescent="0.15">
      <c r="O1367" s="125">
        <f>O1366/$S$1366*100</f>
        <v>33.074534161490682</v>
      </c>
      <c r="P1367" s="125">
        <f t="shared" ref="P1367:S1367" si="1054">P1366/$S$1366*100</f>
        <v>29.347826086956523</v>
      </c>
      <c r="Q1367" s="125">
        <f t="shared" si="1054"/>
        <v>23.913043478260871</v>
      </c>
      <c r="R1367" s="125">
        <f t="shared" si="1054"/>
        <v>13.664596273291925</v>
      </c>
      <c r="S1367" s="125">
        <f t="shared" si="1054"/>
        <v>100</v>
      </c>
      <c r="T1367" s="125">
        <f>T1366/$X$1366*100</f>
        <v>27.531645569620256</v>
      </c>
      <c r="U1367" s="125">
        <f t="shared" ref="U1367:X1367" si="1055">U1366/$X$1366*100</f>
        <v>35.443037974683541</v>
      </c>
      <c r="V1367" s="125">
        <f t="shared" si="1055"/>
        <v>21.729957805907173</v>
      </c>
      <c r="W1367" s="125">
        <f t="shared" si="1055"/>
        <v>15.295358649789028</v>
      </c>
      <c r="X1367" s="125">
        <f t="shared" si="1055"/>
        <v>100</v>
      </c>
    </row>
    <row r="1368" spans="1:27" x14ac:dyDescent="0.15">
      <c r="O1368" s="211">
        <v>29.7</v>
      </c>
      <c r="P1368" s="211">
        <v>35.799999999999997</v>
      </c>
      <c r="Q1368" s="211">
        <v>21.9</v>
      </c>
      <c r="R1368" s="211">
        <v>12.6</v>
      </c>
      <c r="S1368" s="211">
        <v>100</v>
      </c>
      <c r="T1368" s="215">
        <v>28.3</v>
      </c>
      <c r="U1368" s="215">
        <v>33.6</v>
      </c>
      <c r="V1368" s="215">
        <v>22.4</v>
      </c>
      <c r="W1368" s="215">
        <v>15.7</v>
      </c>
      <c r="X1368" s="211">
        <v>100</v>
      </c>
    </row>
    <row r="1369" spans="1:27" ht="19.5" thickBot="1" x14ac:dyDescent="0.25">
      <c r="A1369" s="2" t="s">
        <v>106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1036</v>
      </c>
      <c r="O1369" s="2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7" ht="14.25" thickBot="1" x14ac:dyDescent="0.2">
      <c r="A1370" s="5" t="s">
        <v>0</v>
      </c>
      <c r="B1370" s="342" t="s">
        <v>18</v>
      </c>
      <c r="C1370" s="350"/>
      <c r="D1370" s="350"/>
      <c r="E1370" s="350"/>
      <c r="F1370" s="351"/>
      <c r="G1370" s="345" t="s">
        <v>12</v>
      </c>
      <c r="H1370" s="352"/>
      <c r="I1370" s="352"/>
      <c r="J1370" s="352"/>
      <c r="K1370" s="353"/>
      <c r="L1370" s="354" t="s">
        <v>1</v>
      </c>
      <c r="N1370" s="5" t="s">
        <v>0</v>
      </c>
      <c r="O1370" s="342" t="s">
        <v>18</v>
      </c>
      <c r="P1370" s="343"/>
      <c r="Q1370" s="343"/>
      <c r="R1370" s="343"/>
      <c r="S1370" s="344"/>
      <c r="T1370" s="345" t="s">
        <v>12</v>
      </c>
      <c r="U1370" s="346"/>
      <c r="V1370" s="346"/>
      <c r="W1370" s="346"/>
      <c r="X1370" s="347"/>
      <c r="Y1370" s="348" t="s">
        <v>1</v>
      </c>
    </row>
    <row r="1371" spans="1:27" ht="14.25" thickBot="1" x14ac:dyDescent="0.2">
      <c r="A1371" s="5" t="s">
        <v>2</v>
      </c>
      <c r="B1371" s="3" t="s">
        <v>13</v>
      </c>
      <c r="C1371" s="44" t="s">
        <v>14</v>
      </c>
      <c r="D1371" s="4" t="s">
        <v>15</v>
      </c>
      <c r="E1371" s="23" t="s">
        <v>16</v>
      </c>
      <c r="F1371" s="31" t="s">
        <v>3</v>
      </c>
      <c r="G1371" s="3" t="s">
        <v>13</v>
      </c>
      <c r="H1371" s="44" t="s">
        <v>14</v>
      </c>
      <c r="I1371" s="4" t="s">
        <v>15</v>
      </c>
      <c r="J1371" s="23" t="s">
        <v>16</v>
      </c>
      <c r="K1371" s="31" t="s">
        <v>3</v>
      </c>
      <c r="L1371" s="355"/>
      <c r="N1371" s="5" t="s">
        <v>2</v>
      </c>
      <c r="O1371" s="3" t="s">
        <v>13</v>
      </c>
      <c r="P1371" s="44" t="s">
        <v>14</v>
      </c>
      <c r="Q1371" s="4" t="s">
        <v>15</v>
      </c>
      <c r="R1371" s="23" t="s">
        <v>16</v>
      </c>
      <c r="S1371" s="31" t="s">
        <v>3</v>
      </c>
      <c r="T1371" s="3" t="s">
        <v>13</v>
      </c>
      <c r="U1371" s="44" t="s">
        <v>14</v>
      </c>
      <c r="V1371" s="4" t="s">
        <v>15</v>
      </c>
      <c r="W1371" s="23" t="s">
        <v>16</v>
      </c>
      <c r="X1371" s="31" t="s">
        <v>3</v>
      </c>
      <c r="Y1371" s="349"/>
    </row>
    <row r="1372" spans="1:27" x14ac:dyDescent="0.15">
      <c r="A1372" s="71" t="s">
        <v>17</v>
      </c>
      <c r="B1372" s="72">
        <f>B1366</f>
        <v>3</v>
      </c>
      <c r="C1372" s="73">
        <f t="shared" ref="C1372:L1372" si="1056">C1366</f>
        <v>1</v>
      </c>
      <c r="D1372" s="73">
        <f t="shared" si="1056"/>
        <v>5</v>
      </c>
      <c r="E1372" s="74">
        <f t="shared" si="1056"/>
        <v>0</v>
      </c>
      <c r="F1372" s="76">
        <f t="shared" si="1056"/>
        <v>5</v>
      </c>
      <c r="G1372" s="72">
        <f t="shared" si="1056"/>
        <v>1</v>
      </c>
      <c r="H1372" s="73">
        <f t="shared" si="1056"/>
        <v>4</v>
      </c>
      <c r="I1372" s="73">
        <f t="shared" si="1056"/>
        <v>4</v>
      </c>
      <c r="J1372" s="74">
        <f t="shared" si="1056"/>
        <v>6</v>
      </c>
      <c r="K1372" s="75">
        <f t="shared" si="1056"/>
        <v>15</v>
      </c>
      <c r="L1372" s="16">
        <f t="shared" si="1056"/>
        <v>20</v>
      </c>
      <c r="N1372" s="71" t="s">
        <v>17</v>
      </c>
      <c r="O1372" s="72">
        <f>O1366</f>
        <v>213</v>
      </c>
      <c r="P1372" s="73">
        <f t="shared" ref="P1372:Y1372" si="1057">P1366</f>
        <v>189</v>
      </c>
      <c r="Q1372" s="73">
        <f t="shared" si="1057"/>
        <v>154</v>
      </c>
      <c r="R1372" s="74">
        <f t="shared" si="1057"/>
        <v>88</v>
      </c>
      <c r="S1372" s="76">
        <f t="shared" si="1057"/>
        <v>644</v>
      </c>
      <c r="T1372" s="72">
        <f t="shared" si="1057"/>
        <v>261</v>
      </c>
      <c r="U1372" s="73">
        <f t="shared" si="1057"/>
        <v>336</v>
      </c>
      <c r="V1372" s="73">
        <f t="shared" si="1057"/>
        <v>206</v>
      </c>
      <c r="W1372" s="74">
        <f t="shared" si="1057"/>
        <v>145</v>
      </c>
      <c r="X1372" s="75">
        <f t="shared" si="1057"/>
        <v>948</v>
      </c>
      <c r="Y1372" s="16">
        <f t="shared" si="1057"/>
        <v>1592</v>
      </c>
    </row>
    <row r="1373" spans="1:27" x14ac:dyDescent="0.15">
      <c r="A1373" s="79" t="s">
        <v>620</v>
      </c>
      <c r="B1373" s="66">
        <v>5</v>
      </c>
      <c r="C1373" s="67">
        <f>10-1</f>
        <v>9</v>
      </c>
      <c r="D1373" s="68">
        <f>4-1</f>
        <v>3</v>
      </c>
      <c r="E1373" s="94">
        <v>2</v>
      </c>
      <c r="F1373" s="91">
        <f>SUM(B1373:E1373)</f>
        <v>19</v>
      </c>
      <c r="G1373" s="67">
        <f>2-1</f>
        <v>1</v>
      </c>
      <c r="H1373" s="67">
        <v>4</v>
      </c>
      <c r="I1373" s="68">
        <v>1</v>
      </c>
      <c r="J1373" s="94"/>
      <c r="K1373" s="91">
        <f>SUM(G1373:J1373)</f>
        <v>6</v>
      </c>
      <c r="L1373" s="11">
        <f t="shared" ref="L1373" si="1058">F1373+K1373</f>
        <v>25</v>
      </c>
      <c r="M1373" s="99">
        <v>45400</v>
      </c>
      <c r="N1373" s="13" t="s">
        <v>5</v>
      </c>
      <c r="O1373" s="26"/>
      <c r="P1373" s="47"/>
      <c r="Q1373" s="27"/>
      <c r="R1373" s="34"/>
      <c r="S1373" s="77">
        <f>SUM(O1373:R1373)</f>
        <v>0</v>
      </c>
      <c r="T1373" s="26"/>
      <c r="U1373" s="47"/>
      <c r="V1373" s="27"/>
      <c r="W1373" s="34"/>
      <c r="X1373" s="9">
        <f>SUM(T1373:W1373)</f>
        <v>0</v>
      </c>
      <c r="Y1373" s="11">
        <f t="shared" ref="Y1373:Y1377" si="1059">S1373+X1373</f>
        <v>0</v>
      </c>
    </row>
    <row r="1374" spans="1:27" x14ac:dyDescent="0.15">
      <c r="A1374" s="13" t="s">
        <v>1145</v>
      </c>
      <c r="B1374" s="26">
        <v>2</v>
      </c>
      <c r="C1374" s="47">
        <v>4</v>
      </c>
      <c r="D1374" s="27">
        <v>5</v>
      </c>
      <c r="E1374" s="50">
        <v>3</v>
      </c>
      <c r="F1374" s="9">
        <f>SUM(B1374:E1374)</f>
        <v>14</v>
      </c>
      <c r="G1374" s="47">
        <v>2</v>
      </c>
      <c r="H1374" s="47">
        <v>3</v>
      </c>
      <c r="I1374" s="27">
        <v>1</v>
      </c>
      <c r="J1374" s="50">
        <v>2</v>
      </c>
      <c r="K1374" s="9">
        <f>SUM(G1374:J1374)</f>
        <v>8</v>
      </c>
      <c r="L1374" s="11">
        <f t="shared" ref="L1374:L1404" si="1060">F1374+K1374</f>
        <v>22</v>
      </c>
      <c r="M1374" s="99">
        <v>45400</v>
      </c>
      <c r="N1374" s="13" t="s">
        <v>6</v>
      </c>
      <c r="O1374" s="26"/>
      <c r="P1374" s="47"/>
      <c r="Q1374" s="27"/>
      <c r="R1374" s="34"/>
      <c r="S1374" s="77">
        <f t="shared" ref="S1374:S1375" si="1061">SUM(O1374:R1374)</f>
        <v>0</v>
      </c>
      <c r="T1374" s="26"/>
      <c r="U1374" s="47"/>
      <c r="V1374" s="27"/>
      <c r="W1374" s="34"/>
      <c r="X1374" s="9">
        <f t="shared" ref="X1374:X1375" si="1062">SUM(T1374:W1374)</f>
        <v>0</v>
      </c>
      <c r="Y1374" s="11">
        <f t="shared" ref="Y1374:Y1375" si="1063">S1374+X1374</f>
        <v>0</v>
      </c>
      <c r="AA1374" s="234"/>
    </row>
    <row r="1375" spans="1:27" x14ac:dyDescent="0.15">
      <c r="A1375" s="13" t="s">
        <v>49</v>
      </c>
      <c r="B1375" s="26">
        <v>3</v>
      </c>
      <c r="C1375" s="47"/>
      <c r="D1375" s="27"/>
      <c r="E1375" s="50">
        <v>1</v>
      </c>
      <c r="F1375" s="9">
        <f>SUM(B1375:E1375)</f>
        <v>4</v>
      </c>
      <c r="G1375" s="47"/>
      <c r="H1375" s="47"/>
      <c r="I1375" s="27">
        <v>1</v>
      </c>
      <c r="J1375" s="50">
        <v>1</v>
      </c>
      <c r="K1375" s="9">
        <f>SUM(G1375:J1375)</f>
        <v>2</v>
      </c>
      <c r="L1375" s="11">
        <f t="shared" si="1060"/>
        <v>6</v>
      </c>
      <c r="M1375" s="99">
        <v>45407</v>
      </c>
      <c r="N1375" s="13" t="s">
        <v>7</v>
      </c>
      <c r="O1375" s="26"/>
      <c r="P1375" s="47"/>
      <c r="Q1375" s="27"/>
      <c r="R1375" s="34"/>
      <c r="S1375" s="77">
        <f t="shared" si="1061"/>
        <v>0</v>
      </c>
      <c r="T1375" s="26"/>
      <c r="U1375" s="47"/>
      <c r="V1375" s="27"/>
      <c r="W1375" s="34"/>
      <c r="X1375" s="9">
        <f t="shared" si="1062"/>
        <v>0</v>
      </c>
      <c r="Y1375" s="11">
        <f t="shared" si="1063"/>
        <v>0</v>
      </c>
      <c r="AA1375" s="234"/>
    </row>
    <row r="1376" spans="1:27" ht="14.25" thickBot="1" x14ac:dyDescent="0.2">
      <c r="A1376" s="13" t="s">
        <v>8</v>
      </c>
      <c r="B1376" s="26"/>
      <c r="C1376" s="47"/>
      <c r="D1376" s="27"/>
      <c r="E1376" s="50"/>
      <c r="F1376" s="10">
        <f>SUM(B1376:E1376)</f>
        <v>0</v>
      </c>
      <c r="G1376" s="47">
        <v>3</v>
      </c>
      <c r="H1376" s="47"/>
      <c r="I1376" s="27"/>
      <c r="J1376" s="50"/>
      <c r="K1376" s="10">
        <f>SUM(G1376:J1376)</f>
        <v>3</v>
      </c>
      <c r="L1376" s="14">
        <f t="shared" si="1060"/>
        <v>3</v>
      </c>
      <c r="M1376" s="99">
        <v>45412</v>
      </c>
      <c r="N1376" s="13" t="s">
        <v>8</v>
      </c>
      <c r="O1376" s="26"/>
      <c r="P1376" s="47"/>
      <c r="Q1376" s="27"/>
      <c r="R1376" s="34"/>
      <c r="S1376" s="77">
        <f t="shared" ref="S1376" si="1064">SUM(O1376:R1376)</f>
        <v>0</v>
      </c>
      <c r="T1376" s="26"/>
      <c r="U1376" s="47"/>
      <c r="V1376" s="27"/>
      <c r="W1376" s="34"/>
      <c r="X1376" s="9">
        <f t="shared" ref="X1376" si="1065">SUM(T1376:W1376)</f>
        <v>0</v>
      </c>
      <c r="Y1376" s="11">
        <f t="shared" ref="Y1376" si="1066">S1376+X1376</f>
        <v>0</v>
      </c>
    </row>
    <row r="1377" spans="1:31" ht="14.25" thickBot="1" x14ac:dyDescent="0.2">
      <c r="A1377" s="22" t="s">
        <v>9</v>
      </c>
      <c r="B1377" s="51">
        <f t="shared" ref="B1377:K1377" si="1067">SUM(B1372:B1376)</f>
        <v>13</v>
      </c>
      <c r="C1377" s="52">
        <f t="shared" si="1067"/>
        <v>14</v>
      </c>
      <c r="D1377" s="53">
        <f t="shared" si="1067"/>
        <v>13</v>
      </c>
      <c r="E1377" s="54">
        <f t="shared" si="1067"/>
        <v>6</v>
      </c>
      <c r="F1377" s="28">
        <f t="shared" si="1067"/>
        <v>42</v>
      </c>
      <c r="G1377" s="51">
        <f t="shared" si="1067"/>
        <v>7</v>
      </c>
      <c r="H1377" s="52">
        <f t="shared" si="1067"/>
        <v>11</v>
      </c>
      <c r="I1377" s="53">
        <f t="shared" si="1067"/>
        <v>7</v>
      </c>
      <c r="J1377" s="54">
        <f t="shared" si="1067"/>
        <v>9</v>
      </c>
      <c r="K1377" s="28">
        <f t="shared" si="1067"/>
        <v>34</v>
      </c>
      <c r="L1377" s="21">
        <f t="shared" si="1060"/>
        <v>76</v>
      </c>
      <c r="N1377" s="17" t="s">
        <v>9</v>
      </c>
      <c r="O1377" s="41">
        <f>SUM(O1372:O1376)</f>
        <v>213</v>
      </c>
      <c r="P1377" s="49">
        <f t="shared" ref="P1377:V1377" si="1068">SUM(P1372:P1376)</f>
        <v>189</v>
      </c>
      <c r="Q1377" s="42">
        <f t="shared" si="1068"/>
        <v>154</v>
      </c>
      <c r="R1377" s="92">
        <f t="shared" si="1068"/>
        <v>88</v>
      </c>
      <c r="S1377" s="93">
        <f t="shared" si="1068"/>
        <v>644</v>
      </c>
      <c r="T1377" s="41">
        <f t="shared" si="1068"/>
        <v>261</v>
      </c>
      <c r="U1377" s="49">
        <f t="shared" si="1068"/>
        <v>336</v>
      </c>
      <c r="V1377" s="42">
        <f t="shared" si="1068"/>
        <v>206</v>
      </c>
      <c r="W1377" s="92">
        <f>SUM(W1372:W1376)</f>
        <v>145</v>
      </c>
      <c r="X1377" s="93">
        <f t="shared" ref="X1377" si="1069">SUM(X1372:X1376)</f>
        <v>948</v>
      </c>
      <c r="Y1377" s="56">
        <f t="shared" si="1059"/>
        <v>1592</v>
      </c>
    </row>
    <row r="1378" spans="1:31" x14ac:dyDescent="0.15">
      <c r="A1378" s="32" t="s">
        <v>1141</v>
      </c>
      <c r="B1378" s="24"/>
      <c r="C1378" s="46"/>
      <c r="D1378" s="25"/>
      <c r="E1378" s="33">
        <v>2</v>
      </c>
      <c r="F1378" s="35">
        <f>SUM(B1378:E1378)</f>
        <v>2</v>
      </c>
      <c r="G1378" s="24"/>
      <c r="H1378" s="46"/>
      <c r="I1378" s="25"/>
      <c r="J1378" s="33">
        <v>1</v>
      </c>
      <c r="K1378" s="35">
        <f>SUM(G1378:J1378)</f>
        <v>1</v>
      </c>
      <c r="L1378" s="11">
        <f t="shared" si="1060"/>
        <v>3</v>
      </c>
      <c r="M1378" s="99">
        <v>45401</v>
      </c>
      <c r="N1378" s="269" t="s">
        <v>1166</v>
      </c>
      <c r="O1378" s="26"/>
      <c r="P1378" s="47"/>
      <c r="Q1378" s="27"/>
      <c r="R1378" s="34">
        <v>10</v>
      </c>
      <c r="S1378" s="35">
        <f t="shared" ref="S1378:S1380" si="1070">SUM(O1378:R1378)</f>
        <v>10</v>
      </c>
      <c r="T1378" s="26">
        <v>5</v>
      </c>
      <c r="U1378" s="47">
        <v>5</v>
      </c>
      <c r="V1378" s="27"/>
      <c r="W1378" s="34">
        <v>5</v>
      </c>
      <c r="X1378" s="35">
        <f t="shared" ref="X1378:X1380" si="1071">SUM(T1378:W1378)</f>
        <v>15</v>
      </c>
      <c r="Y1378" s="11">
        <f t="shared" ref="Y1378:Y1395" si="1072">S1378+X1378</f>
        <v>25</v>
      </c>
      <c r="Z1378" s="99">
        <v>45421</v>
      </c>
      <c r="AA1378" s="58"/>
      <c r="AB1378" s="58"/>
      <c r="AC1378" s="58"/>
      <c r="AD1378" s="58"/>
      <c r="AE1378" s="58"/>
    </row>
    <row r="1379" spans="1:31" x14ac:dyDescent="0.15">
      <c r="A1379" s="32" t="s">
        <v>1146</v>
      </c>
      <c r="B1379" s="26"/>
      <c r="C1379" s="47">
        <v>5</v>
      </c>
      <c r="D1379" s="27"/>
      <c r="E1379" s="34"/>
      <c r="F1379" s="35">
        <f>SUM(B1379:E1379)</f>
        <v>5</v>
      </c>
      <c r="G1379" s="26"/>
      <c r="H1379" s="47">
        <v>1</v>
      </c>
      <c r="I1379" s="27"/>
      <c r="J1379" s="34"/>
      <c r="K1379" s="35">
        <f>SUM(G1379:J1379)</f>
        <v>1</v>
      </c>
      <c r="L1379" s="11">
        <f t="shared" si="1060"/>
        <v>6</v>
      </c>
      <c r="M1379" s="99">
        <v>45404</v>
      </c>
      <c r="N1379" s="12" t="s">
        <v>1165</v>
      </c>
      <c r="O1379" s="26">
        <v>5</v>
      </c>
      <c r="P1379" s="47">
        <v>5</v>
      </c>
      <c r="Q1379" s="27">
        <v>5</v>
      </c>
      <c r="R1379" s="34">
        <v>5</v>
      </c>
      <c r="S1379" s="35">
        <f t="shared" si="1070"/>
        <v>20</v>
      </c>
      <c r="T1379" s="26">
        <v>5</v>
      </c>
      <c r="U1379" s="47">
        <v>5</v>
      </c>
      <c r="V1379" s="27">
        <v>5</v>
      </c>
      <c r="W1379" s="34">
        <v>5</v>
      </c>
      <c r="X1379" s="35">
        <f t="shared" si="1071"/>
        <v>20</v>
      </c>
      <c r="Y1379" s="11">
        <f t="shared" si="1072"/>
        <v>40</v>
      </c>
      <c r="Z1379" s="99">
        <v>45422</v>
      </c>
      <c r="AA1379" s="58"/>
      <c r="AB1379" s="58"/>
      <c r="AC1379" s="58"/>
      <c r="AD1379" s="58"/>
      <c r="AE1379" s="58"/>
    </row>
    <row r="1380" spans="1:31" x14ac:dyDescent="0.15">
      <c r="A1380" s="13" t="s">
        <v>1147</v>
      </c>
      <c r="B1380" s="26">
        <v>-2</v>
      </c>
      <c r="C1380" s="47"/>
      <c r="D1380" s="27">
        <v>2</v>
      </c>
      <c r="E1380" s="34"/>
      <c r="F1380" s="35">
        <f t="shared" ref="F1380:F1402" si="1073">SUM(B1380:E1380)</f>
        <v>0</v>
      </c>
      <c r="G1380" s="26"/>
      <c r="H1380" s="47"/>
      <c r="I1380" s="27"/>
      <c r="J1380" s="34"/>
      <c r="K1380" s="35">
        <f t="shared" ref="K1380:K1402" si="1074">SUM(G1380:J1380)</f>
        <v>0</v>
      </c>
      <c r="L1380" s="11">
        <f t="shared" si="1060"/>
        <v>0</v>
      </c>
      <c r="M1380" s="99">
        <v>45401</v>
      </c>
      <c r="N1380" s="90" t="s">
        <v>1177</v>
      </c>
      <c r="O1380" s="26">
        <v>5</v>
      </c>
      <c r="P1380" s="47">
        <v>5</v>
      </c>
      <c r="Q1380" s="27"/>
      <c r="R1380" s="34"/>
      <c r="S1380" s="35">
        <f t="shared" si="1070"/>
        <v>10</v>
      </c>
      <c r="T1380" s="26"/>
      <c r="U1380" s="47"/>
      <c r="V1380" s="27"/>
      <c r="W1380" s="34"/>
      <c r="X1380" s="35">
        <f t="shared" si="1071"/>
        <v>0</v>
      </c>
      <c r="Y1380" s="11">
        <f t="shared" si="1072"/>
        <v>10</v>
      </c>
      <c r="Z1380" s="99">
        <v>45427</v>
      </c>
      <c r="AA1380" s="58"/>
      <c r="AB1380" s="58"/>
      <c r="AC1380" s="58"/>
      <c r="AD1380" s="58"/>
      <c r="AE1380" s="58"/>
    </row>
    <row r="1381" spans="1:31" x14ac:dyDescent="0.15">
      <c r="A1381" s="32" t="s">
        <v>41</v>
      </c>
      <c r="B1381" s="66"/>
      <c r="C1381" s="67">
        <v>1</v>
      </c>
      <c r="D1381" s="68"/>
      <c r="E1381" s="69"/>
      <c r="F1381" s="70">
        <f t="shared" si="1073"/>
        <v>1</v>
      </c>
      <c r="G1381" s="66"/>
      <c r="H1381" s="67">
        <v>1</v>
      </c>
      <c r="I1381" s="68"/>
      <c r="J1381" s="69"/>
      <c r="K1381" s="70">
        <f t="shared" si="1074"/>
        <v>1</v>
      </c>
      <c r="L1381" s="11">
        <f t="shared" si="1060"/>
        <v>2</v>
      </c>
      <c r="M1381" s="126">
        <v>45401</v>
      </c>
      <c r="N1381" s="255" t="s">
        <v>1169</v>
      </c>
      <c r="O1381" s="26"/>
      <c r="P1381" s="47">
        <v>2</v>
      </c>
      <c r="Q1381" s="27">
        <v>1</v>
      </c>
      <c r="R1381" s="50">
        <v>1</v>
      </c>
      <c r="S1381" s="9">
        <f>SUM(O1381:R1381)</f>
        <v>4</v>
      </c>
      <c r="T1381" s="47"/>
      <c r="U1381" s="47">
        <v>2</v>
      </c>
      <c r="V1381" s="27"/>
      <c r="W1381" s="50"/>
      <c r="X1381" s="9">
        <f>SUM(T1381:W1381)</f>
        <v>2</v>
      </c>
      <c r="Y1381" s="11">
        <f t="shared" si="1072"/>
        <v>6</v>
      </c>
      <c r="Z1381" s="99">
        <v>45425</v>
      </c>
      <c r="AA1381" s="58"/>
      <c r="AB1381" s="58"/>
      <c r="AC1381" s="58"/>
      <c r="AD1381" s="58"/>
      <c r="AE1381" s="58"/>
    </row>
    <row r="1382" spans="1:31" x14ac:dyDescent="0.15">
      <c r="A1382" s="32" t="s">
        <v>41</v>
      </c>
      <c r="B1382" s="26"/>
      <c r="C1382" s="47"/>
      <c r="D1382" s="27"/>
      <c r="E1382" s="34"/>
      <c r="F1382" s="35">
        <f t="shared" si="1073"/>
        <v>0</v>
      </c>
      <c r="G1382" s="26"/>
      <c r="H1382" s="47">
        <v>1</v>
      </c>
      <c r="I1382" s="27"/>
      <c r="J1382" s="34"/>
      <c r="K1382" s="35">
        <f t="shared" si="1074"/>
        <v>1</v>
      </c>
      <c r="L1382" s="11">
        <f t="shared" si="1060"/>
        <v>1</v>
      </c>
      <c r="M1382" s="126">
        <v>45402</v>
      </c>
      <c r="N1382" s="12" t="s">
        <v>1170</v>
      </c>
      <c r="O1382" s="26"/>
      <c r="P1382" s="47">
        <v>3</v>
      </c>
      <c r="Q1382" s="27">
        <v>10</v>
      </c>
      <c r="R1382" s="34"/>
      <c r="S1382" s="35">
        <f t="shared" ref="S1382:S1389" si="1075">SUM(O1382:R1382)</f>
        <v>13</v>
      </c>
      <c r="T1382" s="26"/>
      <c r="U1382" s="47"/>
      <c r="V1382" s="27"/>
      <c r="W1382" s="34"/>
      <c r="X1382" s="35">
        <f t="shared" ref="X1382:X1389" si="1076">SUM(T1382:W1382)</f>
        <v>0</v>
      </c>
      <c r="Y1382" s="11">
        <f t="shared" si="1072"/>
        <v>13</v>
      </c>
      <c r="Z1382" s="99">
        <v>45429</v>
      </c>
      <c r="AA1382" s="58"/>
      <c r="AB1382" s="58"/>
      <c r="AC1382" s="58"/>
      <c r="AD1382" s="58"/>
      <c r="AE1382" s="58"/>
    </row>
    <row r="1383" spans="1:31" x14ac:dyDescent="0.15">
      <c r="A1383" s="32" t="s">
        <v>41</v>
      </c>
      <c r="B1383" s="26"/>
      <c r="C1383" s="47">
        <v>1</v>
      </c>
      <c r="D1383" s="27">
        <v>1</v>
      </c>
      <c r="E1383" s="34"/>
      <c r="F1383" s="35">
        <f t="shared" si="1073"/>
        <v>2</v>
      </c>
      <c r="G1383" s="26"/>
      <c r="H1383" s="47"/>
      <c r="I1383" s="27"/>
      <c r="J1383" s="34">
        <v>1</v>
      </c>
      <c r="K1383" s="35">
        <f t="shared" si="1074"/>
        <v>1</v>
      </c>
      <c r="L1383" s="11">
        <f t="shared" si="1060"/>
        <v>3</v>
      </c>
      <c r="M1383" s="126">
        <v>45404</v>
      </c>
      <c r="N1383" s="12" t="s">
        <v>1171</v>
      </c>
      <c r="O1383" s="26">
        <v>15</v>
      </c>
      <c r="P1383" s="47">
        <v>20</v>
      </c>
      <c r="Q1383" s="27">
        <v>20</v>
      </c>
      <c r="R1383" s="34">
        <v>20</v>
      </c>
      <c r="S1383" s="35">
        <f t="shared" si="1075"/>
        <v>75</v>
      </c>
      <c r="T1383" s="26">
        <v>15</v>
      </c>
      <c r="U1383" s="47">
        <v>20</v>
      </c>
      <c r="V1383" s="27">
        <v>20</v>
      </c>
      <c r="W1383" s="34">
        <v>20</v>
      </c>
      <c r="X1383" s="35">
        <f t="shared" si="1076"/>
        <v>75</v>
      </c>
      <c r="Y1383" s="11">
        <f t="shared" si="1072"/>
        <v>150</v>
      </c>
      <c r="Z1383" s="99">
        <v>45429</v>
      </c>
    </row>
    <row r="1384" spans="1:31" x14ac:dyDescent="0.15">
      <c r="A1384" s="32" t="s">
        <v>1150</v>
      </c>
      <c r="B1384" s="26"/>
      <c r="C1384" s="47"/>
      <c r="D1384" s="27">
        <v>1</v>
      </c>
      <c r="E1384" s="34">
        <v>1</v>
      </c>
      <c r="F1384" s="35">
        <f t="shared" si="1073"/>
        <v>2</v>
      </c>
      <c r="G1384" s="26"/>
      <c r="H1384" s="47">
        <v>2</v>
      </c>
      <c r="I1384" s="27"/>
      <c r="J1384" s="34"/>
      <c r="K1384" s="35">
        <f t="shared" si="1074"/>
        <v>2</v>
      </c>
      <c r="L1384" s="11">
        <f t="shared" si="1060"/>
        <v>4</v>
      </c>
      <c r="M1384" s="99">
        <v>45407</v>
      </c>
      <c r="N1384" s="57" t="s">
        <v>34</v>
      </c>
      <c r="O1384" s="26"/>
      <c r="P1384" s="47"/>
      <c r="Q1384" s="27"/>
      <c r="R1384" s="34"/>
      <c r="S1384" s="35">
        <f t="shared" si="1075"/>
        <v>0</v>
      </c>
      <c r="T1384" s="26">
        <v>3</v>
      </c>
      <c r="U1384" s="47">
        <v>3</v>
      </c>
      <c r="V1384" s="27"/>
      <c r="W1384" s="34"/>
      <c r="X1384" s="35">
        <f t="shared" si="1076"/>
        <v>6</v>
      </c>
      <c r="Y1384" s="11">
        <f t="shared" si="1072"/>
        <v>6</v>
      </c>
      <c r="Z1384" s="99">
        <v>45423</v>
      </c>
      <c r="AA1384" s="58"/>
    </row>
    <row r="1385" spans="1:31" x14ac:dyDescent="0.15">
      <c r="A1385" s="32" t="s">
        <v>1151</v>
      </c>
      <c r="B1385" s="26"/>
      <c r="C1385" s="47"/>
      <c r="D1385" s="27">
        <v>1</v>
      </c>
      <c r="E1385" s="34">
        <v>1</v>
      </c>
      <c r="F1385" s="35">
        <f t="shared" si="1073"/>
        <v>2</v>
      </c>
      <c r="G1385" s="26">
        <v>1</v>
      </c>
      <c r="H1385" s="47"/>
      <c r="I1385" s="27"/>
      <c r="J1385" s="34">
        <v>1</v>
      </c>
      <c r="K1385" s="35">
        <f t="shared" si="1074"/>
        <v>2</v>
      </c>
      <c r="L1385" s="11">
        <f t="shared" si="1060"/>
        <v>4</v>
      </c>
      <c r="M1385" s="99">
        <v>45407</v>
      </c>
      <c r="N1385" s="255" t="s">
        <v>1180</v>
      </c>
      <c r="O1385" s="26">
        <v>2</v>
      </c>
      <c r="P1385" s="47">
        <v>8</v>
      </c>
      <c r="Q1385" s="27">
        <v>1</v>
      </c>
      <c r="R1385" s="34"/>
      <c r="S1385" s="35">
        <f t="shared" si="1075"/>
        <v>11</v>
      </c>
      <c r="T1385" s="26"/>
      <c r="U1385" s="47"/>
      <c r="V1385" s="27"/>
      <c r="W1385" s="34"/>
      <c r="X1385" s="35">
        <f t="shared" si="1076"/>
        <v>0</v>
      </c>
      <c r="Y1385" s="11">
        <f t="shared" si="1072"/>
        <v>11</v>
      </c>
      <c r="Z1385" s="99">
        <v>45428</v>
      </c>
      <c r="AA1385" s="58"/>
    </row>
    <row r="1386" spans="1:31" x14ac:dyDescent="0.15">
      <c r="A1386" s="32" t="s">
        <v>1153</v>
      </c>
      <c r="B1386" s="26"/>
      <c r="C1386" s="47"/>
      <c r="D1386" s="27"/>
      <c r="E1386" s="34"/>
      <c r="F1386" s="35">
        <f t="shared" si="1073"/>
        <v>0</v>
      </c>
      <c r="G1386" s="26"/>
      <c r="H1386" s="47"/>
      <c r="I1386" s="27">
        <v>1</v>
      </c>
      <c r="J1386" s="34">
        <v>1</v>
      </c>
      <c r="K1386" s="35">
        <f t="shared" si="1074"/>
        <v>2</v>
      </c>
      <c r="L1386" s="11">
        <f t="shared" si="1060"/>
        <v>2</v>
      </c>
      <c r="M1386" s="99">
        <v>45408</v>
      </c>
      <c r="N1386" s="57" t="s">
        <v>34</v>
      </c>
      <c r="O1386" s="26">
        <v>3</v>
      </c>
      <c r="P1386" s="47"/>
      <c r="Q1386" s="27"/>
      <c r="R1386" s="34"/>
      <c r="S1386" s="35">
        <f t="shared" si="1075"/>
        <v>3</v>
      </c>
      <c r="T1386" s="26"/>
      <c r="U1386" s="47"/>
      <c r="V1386" s="27"/>
      <c r="W1386" s="34">
        <v>3</v>
      </c>
      <c r="X1386" s="35">
        <f t="shared" si="1076"/>
        <v>3</v>
      </c>
      <c r="Y1386" s="11">
        <f t="shared" si="1072"/>
        <v>6</v>
      </c>
      <c r="Z1386" s="99">
        <v>45427</v>
      </c>
    </row>
    <row r="1387" spans="1:31" x14ac:dyDescent="0.15">
      <c r="A1387" s="32" t="s">
        <v>41</v>
      </c>
      <c r="B1387" s="26">
        <v>2</v>
      </c>
      <c r="C1387" s="47"/>
      <c r="D1387" s="27"/>
      <c r="E1387" s="34"/>
      <c r="F1387" s="35">
        <f t="shared" si="1073"/>
        <v>2</v>
      </c>
      <c r="G1387" s="26"/>
      <c r="H1387" s="47"/>
      <c r="I1387" s="27"/>
      <c r="J1387" s="34"/>
      <c r="K1387" s="35">
        <f t="shared" si="1074"/>
        <v>0</v>
      </c>
      <c r="L1387" s="11">
        <f t="shared" si="1060"/>
        <v>2</v>
      </c>
      <c r="M1387" s="99">
        <v>45407</v>
      </c>
      <c r="N1387" s="255" t="s">
        <v>1181</v>
      </c>
      <c r="O1387" s="26"/>
      <c r="P1387" s="47"/>
      <c r="Q1387" s="27">
        <v>7</v>
      </c>
      <c r="R1387" s="34">
        <v>1</v>
      </c>
      <c r="S1387" s="35">
        <f t="shared" si="1075"/>
        <v>8</v>
      </c>
      <c r="T1387" s="26"/>
      <c r="U1387" s="47"/>
      <c r="V1387" s="27"/>
      <c r="W1387" s="34"/>
      <c r="X1387" s="35">
        <f t="shared" si="1076"/>
        <v>0</v>
      </c>
      <c r="Y1387" s="11">
        <f t="shared" si="1072"/>
        <v>8</v>
      </c>
      <c r="Z1387" s="99">
        <v>45429</v>
      </c>
    </row>
    <row r="1388" spans="1:31" x14ac:dyDescent="0.15">
      <c r="A1388" s="32" t="s">
        <v>1154</v>
      </c>
      <c r="B1388" s="26">
        <v>1</v>
      </c>
      <c r="C1388" s="47"/>
      <c r="D1388" s="27">
        <v>3</v>
      </c>
      <c r="E1388" s="34">
        <v>1</v>
      </c>
      <c r="F1388" s="35">
        <f t="shared" si="1073"/>
        <v>5</v>
      </c>
      <c r="G1388" s="26"/>
      <c r="H1388" s="47">
        <v>2</v>
      </c>
      <c r="I1388" s="27"/>
      <c r="J1388" s="34"/>
      <c r="K1388" s="35">
        <f t="shared" si="1074"/>
        <v>2</v>
      </c>
      <c r="L1388" s="11">
        <f t="shared" si="1060"/>
        <v>7</v>
      </c>
      <c r="M1388" s="99">
        <v>45412</v>
      </c>
      <c r="N1388" s="90" t="s">
        <v>1187</v>
      </c>
      <c r="O1388" s="26"/>
      <c r="P1388" s="47">
        <v>10</v>
      </c>
      <c r="Q1388" s="27">
        <v>5</v>
      </c>
      <c r="R1388" s="34"/>
      <c r="S1388" s="35">
        <f t="shared" si="1075"/>
        <v>15</v>
      </c>
      <c r="T1388" s="26"/>
      <c r="U1388" s="47"/>
      <c r="V1388" s="27"/>
      <c r="W1388" s="34">
        <v>6</v>
      </c>
      <c r="X1388" s="35">
        <f t="shared" si="1076"/>
        <v>6</v>
      </c>
      <c r="Y1388" s="11">
        <f t="shared" si="1072"/>
        <v>21</v>
      </c>
      <c r="Z1388" s="99">
        <v>45433</v>
      </c>
    </row>
    <row r="1389" spans="1:31" x14ac:dyDescent="0.15">
      <c r="A1389" s="32" t="s">
        <v>41</v>
      </c>
      <c r="B1389" s="26"/>
      <c r="C1389" s="47">
        <v>1</v>
      </c>
      <c r="D1389" s="27"/>
      <c r="E1389" s="34"/>
      <c r="F1389" s="35">
        <f t="shared" si="1073"/>
        <v>1</v>
      </c>
      <c r="G1389" s="26">
        <v>1</v>
      </c>
      <c r="H1389" s="47"/>
      <c r="I1389" s="27"/>
      <c r="J1389" s="34"/>
      <c r="K1389" s="35">
        <f t="shared" si="1074"/>
        <v>1</v>
      </c>
      <c r="L1389" s="11">
        <f t="shared" si="1060"/>
        <v>2</v>
      </c>
      <c r="M1389" s="126">
        <v>45408</v>
      </c>
      <c r="N1389" s="255" t="s">
        <v>1182</v>
      </c>
      <c r="O1389" s="26">
        <v>1</v>
      </c>
      <c r="P1389" s="47"/>
      <c r="Q1389" s="27">
        <v>1</v>
      </c>
      <c r="R1389" s="34"/>
      <c r="S1389" s="35">
        <f t="shared" si="1075"/>
        <v>2</v>
      </c>
      <c r="T1389" s="26"/>
      <c r="U1389" s="47"/>
      <c r="V1389" s="27"/>
      <c r="W1389" s="34"/>
      <c r="X1389" s="35">
        <f t="shared" si="1076"/>
        <v>0</v>
      </c>
      <c r="Y1389" s="11">
        <f t="shared" si="1072"/>
        <v>2</v>
      </c>
      <c r="Z1389" s="99">
        <v>45429</v>
      </c>
      <c r="AA1389" s="58"/>
    </row>
    <row r="1390" spans="1:31" x14ac:dyDescent="0.15">
      <c r="A1390" s="32" t="s">
        <v>1157</v>
      </c>
      <c r="B1390" s="26">
        <v>4</v>
      </c>
      <c r="C1390" s="47">
        <v>3</v>
      </c>
      <c r="D1390" s="27">
        <v>5</v>
      </c>
      <c r="E1390" s="34">
        <v>1</v>
      </c>
      <c r="F1390" s="35">
        <f t="shared" si="1073"/>
        <v>13</v>
      </c>
      <c r="G1390" s="26">
        <v>1</v>
      </c>
      <c r="H1390" s="47">
        <v>1</v>
      </c>
      <c r="I1390" s="27">
        <v>1</v>
      </c>
      <c r="J1390" s="34"/>
      <c r="K1390" s="35">
        <f t="shared" si="1074"/>
        <v>3</v>
      </c>
      <c r="L1390" s="11">
        <f t="shared" si="1060"/>
        <v>16</v>
      </c>
      <c r="M1390" s="99">
        <v>45413</v>
      </c>
      <c r="N1390" s="57" t="s">
        <v>34</v>
      </c>
      <c r="O1390" s="26">
        <v>3</v>
      </c>
      <c r="P1390" s="47"/>
      <c r="Q1390" s="27"/>
      <c r="R1390" s="34"/>
      <c r="S1390" s="35">
        <f>SUM(O1390:R1390)</f>
        <v>3</v>
      </c>
      <c r="T1390" s="26"/>
      <c r="U1390" s="47"/>
      <c r="V1390" s="27"/>
      <c r="W1390" s="34"/>
      <c r="X1390" s="35">
        <f>SUM(T1390:W1390)</f>
        <v>0</v>
      </c>
      <c r="Y1390" s="11">
        <f t="shared" si="1072"/>
        <v>3</v>
      </c>
      <c r="Z1390" s="99">
        <v>45429</v>
      </c>
    </row>
    <row r="1391" spans="1:31" x14ac:dyDescent="0.15">
      <c r="A1391" s="32" t="s">
        <v>41</v>
      </c>
      <c r="B1391" s="26">
        <v>1</v>
      </c>
      <c r="C1391" s="47"/>
      <c r="D1391" s="27"/>
      <c r="E1391" s="34"/>
      <c r="F1391" s="35">
        <f t="shared" si="1073"/>
        <v>1</v>
      </c>
      <c r="G1391" s="26"/>
      <c r="H1391" s="47"/>
      <c r="I1391" s="27"/>
      <c r="J1391" s="34">
        <v>1</v>
      </c>
      <c r="K1391" s="35">
        <f t="shared" si="1074"/>
        <v>1</v>
      </c>
      <c r="L1391" s="11">
        <f t="shared" si="1060"/>
        <v>2</v>
      </c>
      <c r="M1391" s="99">
        <v>45412</v>
      </c>
      <c r="N1391" s="255" t="s">
        <v>1184</v>
      </c>
      <c r="O1391" s="26">
        <v>20</v>
      </c>
      <c r="P1391" s="47">
        <v>20</v>
      </c>
      <c r="Q1391" s="27">
        <v>20</v>
      </c>
      <c r="R1391" s="34">
        <v>0</v>
      </c>
      <c r="S1391" s="35">
        <f t="shared" ref="S1391:S1395" si="1077">SUM(O1391:R1391)</f>
        <v>60</v>
      </c>
      <c r="T1391" s="26">
        <v>17</v>
      </c>
      <c r="U1391" s="47">
        <v>18</v>
      </c>
      <c r="V1391" s="27">
        <v>12</v>
      </c>
      <c r="W1391" s="34">
        <v>8</v>
      </c>
      <c r="X1391" s="35">
        <f t="shared" ref="X1391:X1395" si="1078">SUM(T1391:W1391)</f>
        <v>55</v>
      </c>
      <c r="Y1391" s="11">
        <f t="shared" si="1072"/>
        <v>115</v>
      </c>
      <c r="Z1391" s="99">
        <v>45432</v>
      </c>
    </row>
    <row r="1392" spans="1:31" x14ac:dyDescent="0.15">
      <c r="A1392" s="15" t="s">
        <v>1158</v>
      </c>
      <c r="B1392" s="26"/>
      <c r="C1392" s="47">
        <v>-3</v>
      </c>
      <c r="D1392" s="27">
        <v>-5</v>
      </c>
      <c r="E1392" s="34"/>
      <c r="F1392" s="35">
        <f t="shared" si="1073"/>
        <v>-8</v>
      </c>
      <c r="G1392" s="26"/>
      <c r="H1392" s="47">
        <v>-3</v>
      </c>
      <c r="I1392" s="27"/>
      <c r="J1392" s="34"/>
      <c r="K1392" s="35">
        <f t="shared" si="1074"/>
        <v>-3</v>
      </c>
      <c r="L1392" s="11">
        <f t="shared" si="1060"/>
        <v>-11</v>
      </c>
      <c r="M1392" s="99">
        <v>45413</v>
      </c>
      <c r="N1392" s="12" t="s">
        <v>1193</v>
      </c>
      <c r="O1392" s="26"/>
      <c r="P1392" s="47">
        <v>25</v>
      </c>
      <c r="Q1392" s="27">
        <v>5</v>
      </c>
      <c r="R1392" s="34"/>
      <c r="S1392" s="35">
        <f t="shared" si="1077"/>
        <v>30</v>
      </c>
      <c r="T1392" s="26"/>
      <c r="U1392" s="47"/>
      <c r="V1392" s="27"/>
      <c r="W1392" s="34">
        <v>5</v>
      </c>
      <c r="X1392" s="35">
        <f t="shared" si="1078"/>
        <v>5</v>
      </c>
      <c r="Y1392" s="11">
        <f t="shared" si="1072"/>
        <v>35</v>
      </c>
      <c r="Z1392" s="99">
        <v>45435</v>
      </c>
    </row>
    <row r="1393" spans="1:28" x14ac:dyDescent="0.15">
      <c r="A1393" s="32" t="s">
        <v>41</v>
      </c>
      <c r="B1393" s="26"/>
      <c r="C1393" s="47"/>
      <c r="D1393" s="27"/>
      <c r="E1393" s="34"/>
      <c r="F1393" s="35">
        <f t="shared" si="1073"/>
        <v>0</v>
      </c>
      <c r="G1393" s="26"/>
      <c r="H1393" s="47">
        <v>3</v>
      </c>
      <c r="I1393" s="27"/>
      <c r="J1393" s="34"/>
      <c r="K1393" s="35">
        <f t="shared" si="1074"/>
        <v>3</v>
      </c>
      <c r="L1393" s="11">
        <f t="shared" si="1060"/>
        <v>3</v>
      </c>
      <c r="M1393" s="99">
        <v>45414</v>
      </c>
      <c r="N1393" s="12" t="s">
        <v>1196</v>
      </c>
      <c r="O1393" s="26"/>
      <c r="P1393" s="47">
        <v>40</v>
      </c>
      <c r="Q1393" s="27"/>
      <c r="R1393" s="34"/>
      <c r="S1393" s="35">
        <f t="shared" si="1077"/>
        <v>40</v>
      </c>
      <c r="T1393" s="26"/>
      <c r="U1393" s="47"/>
      <c r="V1393" s="27"/>
      <c r="W1393" s="34"/>
      <c r="X1393" s="35">
        <f t="shared" si="1078"/>
        <v>0</v>
      </c>
      <c r="Y1393" s="11">
        <f t="shared" si="1072"/>
        <v>40</v>
      </c>
      <c r="Z1393" s="99">
        <v>45435</v>
      </c>
      <c r="AA1393" s="58"/>
    </row>
    <row r="1394" spans="1:28" x14ac:dyDescent="0.15">
      <c r="A1394" s="15" t="s">
        <v>1163</v>
      </c>
      <c r="B1394" s="26"/>
      <c r="C1394" s="47"/>
      <c r="D1394" s="27"/>
      <c r="E1394" s="34"/>
      <c r="F1394" s="35">
        <f t="shared" si="1073"/>
        <v>0</v>
      </c>
      <c r="G1394" s="26"/>
      <c r="H1394" s="47">
        <v>-3</v>
      </c>
      <c r="I1394" s="27"/>
      <c r="J1394" s="34"/>
      <c r="K1394" s="35">
        <f t="shared" si="1074"/>
        <v>-3</v>
      </c>
      <c r="L1394" s="11">
        <f t="shared" si="1060"/>
        <v>-3</v>
      </c>
      <c r="M1394" s="99">
        <v>45419</v>
      </c>
      <c r="N1394" s="12" t="s">
        <v>1197</v>
      </c>
      <c r="O1394" s="26">
        <v>25</v>
      </c>
      <c r="P1394" s="47">
        <v>50</v>
      </c>
      <c r="Q1394" s="27">
        <v>60</v>
      </c>
      <c r="R1394" s="34">
        <v>50</v>
      </c>
      <c r="S1394" s="35">
        <f t="shared" si="1077"/>
        <v>185</v>
      </c>
      <c r="T1394" s="26">
        <v>35</v>
      </c>
      <c r="U1394" s="47">
        <v>10</v>
      </c>
      <c r="V1394" s="27">
        <v>10</v>
      </c>
      <c r="W1394" s="34">
        <v>45</v>
      </c>
      <c r="X1394" s="35">
        <f t="shared" si="1078"/>
        <v>100</v>
      </c>
      <c r="Y1394" s="11">
        <f t="shared" si="1072"/>
        <v>285</v>
      </c>
      <c r="Z1394" s="99">
        <v>45436</v>
      </c>
      <c r="AA1394" s="58"/>
    </row>
    <row r="1395" spans="1:28" x14ac:dyDescent="0.15">
      <c r="A1395" s="32" t="s">
        <v>41</v>
      </c>
      <c r="B1395" s="26">
        <v>1</v>
      </c>
      <c r="C1395" s="47"/>
      <c r="D1395" s="27"/>
      <c r="E1395" s="34"/>
      <c r="F1395" s="35">
        <f t="shared" si="1073"/>
        <v>1</v>
      </c>
      <c r="G1395" s="26">
        <v>1</v>
      </c>
      <c r="H1395" s="47"/>
      <c r="I1395" s="27"/>
      <c r="J1395" s="34">
        <v>1</v>
      </c>
      <c r="K1395" s="35">
        <f t="shared" si="1074"/>
        <v>2</v>
      </c>
      <c r="L1395" s="11">
        <f t="shared" si="1060"/>
        <v>3</v>
      </c>
      <c r="M1395" s="99">
        <v>45419</v>
      </c>
      <c r="N1395" s="255" t="s">
        <v>1195</v>
      </c>
      <c r="O1395" s="32">
        <v>59</v>
      </c>
      <c r="P1395" s="27"/>
      <c r="Q1395" s="27"/>
      <c r="R1395" s="34"/>
      <c r="S1395" s="35">
        <f t="shared" si="1077"/>
        <v>59</v>
      </c>
      <c r="T1395" s="26"/>
      <c r="U1395" s="47"/>
      <c r="V1395" s="27">
        <v>5</v>
      </c>
      <c r="W1395" s="34"/>
      <c r="X1395" s="35">
        <f t="shared" si="1078"/>
        <v>5</v>
      </c>
      <c r="Y1395" s="11">
        <f t="shared" si="1072"/>
        <v>64</v>
      </c>
      <c r="Z1395" s="99">
        <v>45436</v>
      </c>
      <c r="AA1395" s="58"/>
      <c r="AB1395" s="58"/>
    </row>
    <row r="1396" spans="1:28" x14ac:dyDescent="0.15">
      <c r="A1396" s="32" t="s">
        <v>41</v>
      </c>
      <c r="B1396" s="26">
        <v>1</v>
      </c>
      <c r="C1396" s="47"/>
      <c r="D1396" s="27"/>
      <c r="E1396" s="34"/>
      <c r="F1396" s="35">
        <f t="shared" si="1073"/>
        <v>1</v>
      </c>
      <c r="G1396" s="26"/>
      <c r="H1396" s="47"/>
      <c r="I1396" s="27"/>
      <c r="J1396" s="34"/>
      <c r="K1396" s="35">
        <f t="shared" si="1074"/>
        <v>0</v>
      </c>
      <c r="L1396" s="11">
        <f t="shared" si="1060"/>
        <v>1</v>
      </c>
      <c r="M1396" s="99">
        <v>45420</v>
      </c>
      <c r="N1396" s="255" t="s">
        <v>1195</v>
      </c>
      <c r="O1396" s="32">
        <v>12</v>
      </c>
      <c r="P1396" s="27"/>
      <c r="Q1396" s="27">
        <v>14</v>
      </c>
      <c r="R1396" s="34"/>
      <c r="S1396" s="35">
        <f t="shared" ref="S1396:S1397" si="1079">SUM(O1396:R1396)</f>
        <v>26</v>
      </c>
      <c r="T1396" s="26"/>
      <c r="U1396" s="47"/>
      <c r="V1396" s="27"/>
      <c r="W1396" s="34"/>
      <c r="X1396" s="35">
        <f t="shared" ref="X1396:X1397" si="1080">SUM(T1396:W1396)</f>
        <v>0</v>
      </c>
      <c r="Y1396" s="11">
        <f t="shared" ref="Y1396:Y1397" si="1081">S1396+X1396</f>
        <v>26</v>
      </c>
      <c r="Z1396" s="99">
        <v>45436</v>
      </c>
      <c r="AA1396" s="58"/>
    </row>
    <row r="1397" spans="1:28" x14ac:dyDescent="0.15">
      <c r="A1397" s="32" t="s">
        <v>1167</v>
      </c>
      <c r="B1397" s="26"/>
      <c r="C1397" s="47">
        <v>2</v>
      </c>
      <c r="D1397" s="27"/>
      <c r="E1397" s="34"/>
      <c r="F1397" s="35">
        <f t="shared" si="1073"/>
        <v>2</v>
      </c>
      <c r="G1397" s="26"/>
      <c r="H1397" s="47">
        <v>3</v>
      </c>
      <c r="I1397" s="27"/>
      <c r="J1397" s="34"/>
      <c r="K1397" s="35">
        <f t="shared" si="1074"/>
        <v>3</v>
      </c>
      <c r="L1397" s="11">
        <f t="shared" si="1060"/>
        <v>5</v>
      </c>
      <c r="M1397" s="99">
        <v>45422</v>
      </c>
      <c r="N1397" s="57"/>
      <c r="O1397" s="26"/>
      <c r="P1397" s="47"/>
      <c r="Q1397" s="27"/>
      <c r="R1397" s="34"/>
      <c r="S1397" s="35">
        <f t="shared" si="1079"/>
        <v>0</v>
      </c>
      <c r="T1397" s="26"/>
      <c r="U1397" s="47"/>
      <c r="V1397" s="27"/>
      <c r="W1397" s="34"/>
      <c r="X1397" s="35">
        <f t="shared" si="1080"/>
        <v>0</v>
      </c>
      <c r="Y1397" s="11">
        <f t="shared" si="1081"/>
        <v>0</v>
      </c>
      <c r="Z1397" s="101"/>
      <c r="AA1397" s="58"/>
    </row>
    <row r="1398" spans="1:28" x14ac:dyDescent="0.15">
      <c r="A1398" s="32" t="s">
        <v>1168</v>
      </c>
      <c r="B1398" s="26"/>
      <c r="C1398" s="47">
        <v>-1</v>
      </c>
      <c r="D1398" s="27">
        <v>-1</v>
      </c>
      <c r="E1398" s="34">
        <v>-1</v>
      </c>
      <c r="F1398" s="35">
        <f t="shared" si="1073"/>
        <v>-3</v>
      </c>
      <c r="G1398" s="26"/>
      <c r="H1398" s="47"/>
      <c r="I1398" s="27"/>
      <c r="J1398" s="34">
        <v>-1</v>
      </c>
      <c r="K1398" s="35">
        <f t="shared" si="1074"/>
        <v>-1</v>
      </c>
      <c r="L1398" s="11">
        <f t="shared" si="1060"/>
        <v>-4</v>
      </c>
      <c r="M1398" s="99">
        <v>45421</v>
      </c>
      <c r="N1398" s="57" t="s">
        <v>1096</v>
      </c>
      <c r="O1398" s="66"/>
      <c r="P1398" s="67"/>
      <c r="Q1398" s="68"/>
      <c r="R1398" s="69"/>
      <c r="S1398" s="70">
        <f t="shared" ref="S1398:S1400" si="1082">SUM(O1398:R1398)</f>
        <v>0</v>
      </c>
      <c r="T1398" s="66"/>
      <c r="U1398" s="67"/>
      <c r="V1398" s="68"/>
      <c r="W1398" s="69"/>
      <c r="X1398" s="70">
        <f t="shared" ref="X1398:X1400" si="1083">SUM(T1398:W1398)</f>
        <v>0</v>
      </c>
      <c r="Y1398" s="11">
        <f t="shared" ref="Y1398:Y1400" si="1084">S1398+X1398</f>
        <v>0</v>
      </c>
      <c r="Z1398" s="101" t="s">
        <v>1097</v>
      </c>
      <c r="AA1398" s="58"/>
    </row>
    <row r="1399" spans="1:28" x14ac:dyDescent="0.15">
      <c r="A1399" s="12" t="s">
        <v>1172</v>
      </c>
      <c r="B1399" s="26"/>
      <c r="C1399" s="47"/>
      <c r="D1399" s="27"/>
      <c r="E1399" s="34"/>
      <c r="F1399" s="35">
        <f t="shared" si="1073"/>
        <v>0</v>
      </c>
      <c r="G1399" s="26">
        <v>-3</v>
      </c>
      <c r="H1399" s="47">
        <v>-3</v>
      </c>
      <c r="I1399" s="27"/>
      <c r="J1399" s="34"/>
      <c r="K1399" s="35">
        <f t="shared" si="1074"/>
        <v>-6</v>
      </c>
      <c r="L1399" s="11">
        <f t="shared" si="1060"/>
        <v>-6</v>
      </c>
      <c r="M1399" s="99">
        <v>45423</v>
      </c>
      <c r="N1399" s="57" t="s">
        <v>1079</v>
      </c>
      <c r="O1399" s="66"/>
      <c r="P1399" s="67"/>
      <c r="Q1399" s="68"/>
      <c r="R1399" s="69"/>
      <c r="S1399" s="217">
        <f t="shared" si="1082"/>
        <v>0</v>
      </c>
      <c r="T1399" s="66"/>
      <c r="U1399" s="67"/>
      <c r="V1399" s="68"/>
      <c r="W1399" s="69"/>
      <c r="X1399" s="217">
        <f t="shared" si="1083"/>
        <v>0</v>
      </c>
      <c r="Y1399" s="11">
        <f t="shared" si="1084"/>
        <v>0</v>
      </c>
      <c r="Z1399" s="101" t="s">
        <v>1080</v>
      </c>
    </row>
    <row r="1400" spans="1:28" x14ac:dyDescent="0.15">
      <c r="A1400" s="32" t="s">
        <v>1179</v>
      </c>
      <c r="B1400" s="26">
        <v>2</v>
      </c>
      <c r="C1400" s="47">
        <v>1</v>
      </c>
      <c r="D1400" s="27"/>
      <c r="E1400" s="34">
        <v>1</v>
      </c>
      <c r="F1400" s="35">
        <f t="shared" si="1073"/>
        <v>4</v>
      </c>
      <c r="G1400" s="26"/>
      <c r="H1400" s="47"/>
      <c r="I1400" s="27"/>
      <c r="J1400" s="34">
        <v>1</v>
      </c>
      <c r="K1400" s="35">
        <f t="shared" si="1074"/>
        <v>1</v>
      </c>
      <c r="L1400" s="11">
        <f t="shared" si="1060"/>
        <v>5</v>
      </c>
      <c r="M1400" s="99">
        <v>45427</v>
      </c>
      <c r="N1400" s="57" t="s">
        <v>1078</v>
      </c>
      <c r="O1400" s="66"/>
      <c r="P1400" s="67"/>
      <c r="Q1400" s="68"/>
      <c r="R1400" s="69"/>
      <c r="S1400" s="70">
        <f t="shared" si="1082"/>
        <v>0</v>
      </c>
      <c r="T1400" s="66"/>
      <c r="U1400" s="67"/>
      <c r="V1400" s="68"/>
      <c r="W1400" s="69"/>
      <c r="X1400" s="70">
        <f t="shared" si="1083"/>
        <v>0</v>
      </c>
      <c r="Y1400" s="11">
        <f t="shared" si="1084"/>
        <v>0</v>
      </c>
      <c r="Z1400" s="101" t="s">
        <v>1077</v>
      </c>
    </row>
    <row r="1401" spans="1:28" x14ac:dyDescent="0.15">
      <c r="A1401" s="32" t="s">
        <v>41</v>
      </c>
      <c r="B1401" s="26">
        <v>1</v>
      </c>
      <c r="C1401" s="47"/>
      <c r="D1401" s="27"/>
      <c r="E1401" s="34"/>
      <c r="F1401" s="35">
        <f t="shared" si="1073"/>
        <v>1</v>
      </c>
      <c r="G1401" s="26">
        <v>1</v>
      </c>
      <c r="H1401" s="47"/>
      <c r="I1401" s="27"/>
      <c r="J1401" s="34"/>
      <c r="K1401" s="35">
        <f t="shared" si="1074"/>
        <v>1</v>
      </c>
      <c r="L1401" s="11">
        <f t="shared" si="1060"/>
        <v>2</v>
      </c>
      <c r="M1401" s="126">
        <v>45425</v>
      </c>
      <c r="N1401" s="153" t="s">
        <v>1012</v>
      </c>
      <c r="O1401" s="154"/>
      <c r="P1401" s="155"/>
      <c r="Q1401" s="156"/>
      <c r="R1401" s="157"/>
      <c r="S1401" s="158">
        <f t="shared" ref="S1401:S1403" si="1085">SUM(O1401:R1401)</f>
        <v>0</v>
      </c>
      <c r="T1401" s="154"/>
      <c r="U1401" s="155"/>
      <c r="V1401" s="156"/>
      <c r="W1401" s="157"/>
      <c r="X1401" s="158">
        <f t="shared" ref="X1401:X1403" si="1086">SUM(T1401:W1401)</f>
        <v>0</v>
      </c>
      <c r="Y1401" s="159">
        <f t="shared" ref="Y1401:Y1404" si="1087">S1401+X1401</f>
        <v>0</v>
      </c>
      <c r="Z1401" s="101"/>
    </row>
    <row r="1402" spans="1:28" ht="14.25" thickBot="1" x14ac:dyDescent="0.2">
      <c r="A1402" s="12" t="s">
        <v>62</v>
      </c>
      <c r="B1402" s="62">
        <v>-3</v>
      </c>
      <c r="C1402" s="63"/>
      <c r="D1402" s="64"/>
      <c r="E1402" s="65"/>
      <c r="F1402" s="35">
        <f t="shared" si="1073"/>
        <v>-3</v>
      </c>
      <c r="G1402" s="62"/>
      <c r="H1402" s="63"/>
      <c r="I1402" s="64"/>
      <c r="J1402" s="65">
        <v>-3</v>
      </c>
      <c r="K1402" s="35">
        <f t="shared" si="1074"/>
        <v>-3</v>
      </c>
      <c r="L1402" s="14">
        <f t="shared" si="1060"/>
        <v>-6</v>
      </c>
      <c r="M1402" s="99">
        <v>45427</v>
      </c>
      <c r="N1402" s="220" t="s">
        <v>1010</v>
      </c>
      <c r="O1402" s="62"/>
      <c r="P1402" s="63"/>
      <c r="Q1402" s="64"/>
      <c r="R1402" s="65"/>
      <c r="S1402" s="120">
        <f t="shared" si="1085"/>
        <v>0</v>
      </c>
      <c r="T1402" s="62"/>
      <c r="U1402" s="63"/>
      <c r="V1402" s="64"/>
      <c r="W1402" s="65"/>
      <c r="X1402" s="120">
        <f t="shared" si="1086"/>
        <v>0</v>
      </c>
      <c r="Y1402" s="121">
        <f t="shared" si="1087"/>
        <v>0</v>
      </c>
      <c r="Z1402" s="101" t="s">
        <v>1011</v>
      </c>
    </row>
    <row r="1403" spans="1:28" ht="14.25" thickBot="1" x14ac:dyDescent="0.2">
      <c r="A1403" s="17" t="s">
        <v>10</v>
      </c>
      <c r="B1403" s="38">
        <f>SUM(B1378:B1402)</f>
        <v>8</v>
      </c>
      <c r="C1403" s="48">
        <f>SUM(C1378:C1402)</f>
        <v>10</v>
      </c>
      <c r="D1403" s="39">
        <f>SUM(D1378:D1402)</f>
        <v>7</v>
      </c>
      <c r="E1403" s="40">
        <f>SUM(E1378:E1402)</f>
        <v>6</v>
      </c>
      <c r="F1403" s="36">
        <f>SUM(B1403:E1403)</f>
        <v>31</v>
      </c>
      <c r="G1403" s="38">
        <f>SUM(G1378:G1402)</f>
        <v>2</v>
      </c>
      <c r="H1403" s="48">
        <f>SUM(H1378:H1402)</f>
        <v>5</v>
      </c>
      <c r="I1403" s="39">
        <f>SUM(I1378:I1402)</f>
        <v>2</v>
      </c>
      <c r="J1403" s="40">
        <f>SUM(J1378:J1402)</f>
        <v>3</v>
      </c>
      <c r="K1403" s="36">
        <f>SUM(G1403:J1403)</f>
        <v>12</v>
      </c>
      <c r="L1403" s="37">
        <f t="shared" si="1060"/>
        <v>43</v>
      </c>
      <c r="N1403" s="133" t="s">
        <v>10</v>
      </c>
      <c r="O1403" s="38">
        <f>SUM(O1378:O1402)</f>
        <v>150</v>
      </c>
      <c r="P1403" s="48">
        <f>SUM(P1378:P1402)</f>
        <v>188</v>
      </c>
      <c r="Q1403" s="39">
        <f>SUM(Q1378:Q1402)</f>
        <v>149</v>
      </c>
      <c r="R1403" s="40">
        <f>SUM(R1378:R1402)</f>
        <v>87</v>
      </c>
      <c r="S1403" s="118">
        <f t="shared" si="1085"/>
        <v>574</v>
      </c>
      <c r="T1403" s="38">
        <f>SUM(T1378:T1402)</f>
        <v>80</v>
      </c>
      <c r="U1403" s="48">
        <f>SUM(U1378:U1402)</f>
        <v>63</v>
      </c>
      <c r="V1403" s="39">
        <f>SUM(V1378:V1402)</f>
        <v>52</v>
      </c>
      <c r="W1403" s="40">
        <f>SUM(W1378:W1402)</f>
        <v>97</v>
      </c>
      <c r="X1403" s="118">
        <f t="shared" si="1086"/>
        <v>292</v>
      </c>
      <c r="Y1403" s="119">
        <f t="shared" si="1087"/>
        <v>866</v>
      </c>
    </row>
    <row r="1404" spans="1:28" ht="14.25" thickBot="1" x14ac:dyDescent="0.2">
      <c r="A1404" s="22" t="s">
        <v>11</v>
      </c>
      <c r="B1404" s="41">
        <f>B1377-B1403</f>
        <v>5</v>
      </c>
      <c r="C1404" s="49">
        <f>C1377-C1403</f>
        <v>4</v>
      </c>
      <c r="D1404" s="42">
        <f t="shared" ref="D1404:K1404" si="1088">D1377-D1403</f>
        <v>6</v>
      </c>
      <c r="E1404" s="43">
        <f t="shared" si="1088"/>
        <v>0</v>
      </c>
      <c r="F1404" s="61">
        <f t="shared" si="1088"/>
        <v>11</v>
      </c>
      <c r="G1404" s="41">
        <f t="shared" si="1088"/>
        <v>5</v>
      </c>
      <c r="H1404" s="49">
        <f t="shared" si="1088"/>
        <v>6</v>
      </c>
      <c r="I1404" s="42">
        <f t="shared" si="1088"/>
        <v>5</v>
      </c>
      <c r="J1404" s="43">
        <f t="shared" si="1088"/>
        <v>6</v>
      </c>
      <c r="K1404" s="61">
        <f t="shared" si="1088"/>
        <v>22</v>
      </c>
      <c r="L1404" s="21">
        <f t="shared" si="1060"/>
        <v>33</v>
      </c>
      <c r="N1404" s="17" t="s">
        <v>11</v>
      </c>
      <c r="O1404" s="41">
        <f>O1377-O1403</f>
        <v>63</v>
      </c>
      <c r="P1404" s="49">
        <f t="shared" ref="P1404:Q1404" si="1089">P1377-P1403</f>
        <v>1</v>
      </c>
      <c r="Q1404" s="42">
        <f t="shared" si="1089"/>
        <v>5</v>
      </c>
      <c r="R1404" s="43">
        <f>R1377-R1403</f>
        <v>1</v>
      </c>
      <c r="S1404" s="61">
        <f t="shared" ref="S1404:X1404" si="1090">S1377-S1403</f>
        <v>70</v>
      </c>
      <c r="T1404" s="41">
        <f t="shared" si="1090"/>
        <v>181</v>
      </c>
      <c r="U1404" s="49">
        <f t="shared" si="1090"/>
        <v>273</v>
      </c>
      <c r="V1404" s="42">
        <f t="shared" si="1090"/>
        <v>154</v>
      </c>
      <c r="W1404" s="43">
        <f t="shared" si="1090"/>
        <v>48</v>
      </c>
      <c r="X1404" s="61">
        <f t="shared" si="1090"/>
        <v>656</v>
      </c>
      <c r="Y1404" s="21">
        <f t="shared" si="1087"/>
        <v>726</v>
      </c>
    </row>
    <row r="1407" spans="1:28" ht="19.5" thickBot="1" x14ac:dyDescent="0.25">
      <c r="A1407" s="2" t="s">
        <v>106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1036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8" ht="14.25" thickBot="1" x14ac:dyDescent="0.2">
      <c r="A1408" s="5" t="s">
        <v>0</v>
      </c>
      <c r="B1408" s="342" t="s">
        <v>18</v>
      </c>
      <c r="C1408" s="350"/>
      <c r="D1408" s="350"/>
      <c r="E1408" s="350"/>
      <c r="F1408" s="351"/>
      <c r="G1408" s="345" t="s">
        <v>12</v>
      </c>
      <c r="H1408" s="352"/>
      <c r="I1408" s="352"/>
      <c r="J1408" s="352"/>
      <c r="K1408" s="353"/>
      <c r="L1408" s="354" t="s">
        <v>1</v>
      </c>
      <c r="N1408" s="5" t="s">
        <v>0</v>
      </c>
      <c r="O1408" s="342" t="s">
        <v>18</v>
      </c>
      <c r="P1408" s="343"/>
      <c r="Q1408" s="343"/>
      <c r="R1408" s="343"/>
      <c r="S1408" s="344"/>
      <c r="T1408" s="345" t="s">
        <v>12</v>
      </c>
      <c r="U1408" s="346"/>
      <c r="V1408" s="346"/>
      <c r="W1408" s="346"/>
      <c r="X1408" s="347"/>
      <c r="Y1408" s="348" t="s">
        <v>1</v>
      </c>
    </row>
    <row r="1409" spans="1:28" ht="14.25" thickBot="1" x14ac:dyDescent="0.2">
      <c r="A1409" s="5" t="s">
        <v>2</v>
      </c>
      <c r="B1409" s="3" t="s">
        <v>13</v>
      </c>
      <c r="C1409" s="44" t="s">
        <v>14</v>
      </c>
      <c r="D1409" s="4" t="s">
        <v>15</v>
      </c>
      <c r="E1409" s="23" t="s">
        <v>16</v>
      </c>
      <c r="F1409" s="31" t="s">
        <v>3</v>
      </c>
      <c r="G1409" s="3" t="s">
        <v>13</v>
      </c>
      <c r="H1409" s="44" t="s">
        <v>14</v>
      </c>
      <c r="I1409" s="4" t="s">
        <v>15</v>
      </c>
      <c r="J1409" s="23" t="s">
        <v>16</v>
      </c>
      <c r="K1409" s="31" t="s">
        <v>3</v>
      </c>
      <c r="L1409" s="355"/>
      <c r="N1409" s="5" t="s">
        <v>2</v>
      </c>
      <c r="O1409" s="3" t="s">
        <v>13</v>
      </c>
      <c r="P1409" s="44" t="s">
        <v>14</v>
      </c>
      <c r="Q1409" s="4" t="s">
        <v>15</v>
      </c>
      <c r="R1409" s="23" t="s">
        <v>16</v>
      </c>
      <c r="S1409" s="31" t="s">
        <v>3</v>
      </c>
      <c r="T1409" s="3" t="s">
        <v>13</v>
      </c>
      <c r="U1409" s="44" t="s">
        <v>14</v>
      </c>
      <c r="V1409" s="4" t="s">
        <v>15</v>
      </c>
      <c r="W1409" s="23" t="s">
        <v>16</v>
      </c>
      <c r="X1409" s="31" t="s">
        <v>3</v>
      </c>
      <c r="Y1409" s="349"/>
    </row>
    <row r="1410" spans="1:28" x14ac:dyDescent="0.15">
      <c r="A1410" s="71" t="s">
        <v>17</v>
      </c>
      <c r="B1410" s="72">
        <f>B1404</f>
        <v>5</v>
      </c>
      <c r="C1410" s="73">
        <f t="shared" ref="C1410:L1410" si="1091">C1404</f>
        <v>4</v>
      </c>
      <c r="D1410" s="73">
        <f t="shared" si="1091"/>
        <v>6</v>
      </c>
      <c r="E1410" s="74">
        <f t="shared" si="1091"/>
        <v>0</v>
      </c>
      <c r="F1410" s="76">
        <f t="shared" si="1091"/>
        <v>11</v>
      </c>
      <c r="G1410" s="72">
        <f t="shared" si="1091"/>
        <v>5</v>
      </c>
      <c r="H1410" s="73">
        <f t="shared" si="1091"/>
        <v>6</v>
      </c>
      <c r="I1410" s="73">
        <f t="shared" si="1091"/>
        <v>5</v>
      </c>
      <c r="J1410" s="74">
        <f t="shared" si="1091"/>
        <v>6</v>
      </c>
      <c r="K1410" s="75">
        <f t="shared" si="1091"/>
        <v>22</v>
      </c>
      <c r="L1410" s="16">
        <f t="shared" si="1091"/>
        <v>33</v>
      </c>
      <c r="N1410" s="71" t="s">
        <v>17</v>
      </c>
      <c r="O1410" s="72">
        <f>O1404</f>
        <v>63</v>
      </c>
      <c r="P1410" s="73">
        <f t="shared" ref="P1410:Y1410" si="1092">P1404</f>
        <v>1</v>
      </c>
      <c r="Q1410" s="73">
        <f t="shared" si="1092"/>
        <v>5</v>
      </c>
      <c r="R1410" s="74">
        <f t="shared" si="1092"/>
        <v>1</v>
      </c>
      <c r="S1410" s="76">
        <f t="shared" si="1092"/>
        <v>70</v>
      </c>
      <c r="T1410" s="72">
        <f t="shared" si="1092"/>
        <v>181</v>
      </c>
      <c r="U1410" s="73">
        <f t="shared" si="1092"/>
        <v>273</v>
      </c>
      <c r="V1410" s="73">
        <f t="shared" si="1092"/>
        <v>154</v>
      </c>
      <c r="W1410" s="74">
        <f t="shared" si="1092"/>
        <v>48</v>
      </c>
      <c r="X1410" s="75">
        <f t="shared" si="1092"/>
        <v>656</v>
      </c>
      <c r="Y1410" s="16">
        <f t="shared" si="1092"/>
        <v>726</v>
      </c>
    </row>
    <row r="1411" spans="1:28" x14ac:dyDescent="0.15">
      <c r="A1411" s="13" t="s">
        <v>126</v>
      </c>
      <c r="B1411" s="26"/>
      <c r="C1411" s="47">
        <v>2</v>
      </c>
      <c r="D1411" s="27">
        <v>2</v>
      </c>
      <c r="E1411" s="50"/>
      <c r="F1411" s="9">
        <f>SUM(B1411:E1411)</f>
        <v>4</v>
      </c>
      <c r="G1411" s="47"/>
      <c r="H1411" s="47"/>
      <c r="I1411" s="27"/>
      <c r="J1411" s="50"/>
      <c r="K1411" s="9">
        <f>SUM(G1411:J1411)</f>
        <v>0</v>
      </c>
      <c r="L1411" s="11">
        <f t="shared" ref="L1411:L1442" si="1093">F1411+K1411</f>
        <v>4</v>
      </c>
      <c r="M1411" s="126">
        <v>45428</v>
      </c>
      <c r="N1411" s="13" t="s">
        <v>5</v>
      </c>
      <c r="O1411" s="26">
        <v>-140</v>
      </c>
      <c r="P1411" s="47">
        <v>-70</v>
      </c>
      <c r="Q1411" s="27">
        <v>-70</v>
      </c>
      <c r="R1411" s="34">
        <v>-70</v>
      </c>
      <c r="S1411" s="77">
        <f t="shared" ref="S1411" si="1094">SUM(O1411:R1411)</f>
        <v>-350</v>
      </c>
      <c r="T1411" s="26"/>
      <c r="U1411" s="47"/>
      <c r="V1411" s="27"/>
      <c r="W1411" s="34"/>
      <c r="X1411" s="9">
        <f t="shared" ref="X1411" si="1095">SUM(T1411:W1411)</f>
        <v>0</v>
      </c>
      <c r="Y1411" s="11">
        <f t="shared" ref="Y1411:Y1414" si="1096">S1411+X1411</f>
        <v>-350</v>
      </c>
      <c r="Z1411" s="101"/>
    </row>
    <row r="1412" spans="1:28" x14ac:dyDescent="0.15">
      <c r="A1412" s="13" t="s">
        <v>6</v>
      </c>
      <c r="B1412" s="26">
        <v>3</v>
      </c>
      <c r="C1412" s="47"/>
      <c r="D1412" s="27"/>
      <c r="E1412" s="50"/>
      <c r="F1412" s="9">
        <f>SUM(B1412:E1412)</f>
        <v>3</v>
      </c>
      <c r="G1412" s="47"/>
      <c r="H1412" s="47"/>
      <c r="I1412" s="27"/>
      <c r="J1412" s="50"/>
      <c r="K1412" s="9">
        <f>SUM(G1412:J1412)</f>
        <v>0</v>
      </c>
      <c r="L1412" s="11">
        <f t="shared" si="1093"/>
        <v>3</v>
      </c>
      <c r="M1412" s="99">
        <v>45429</v>
      </c>
      <c r="N1412" s="13" t="s">
        <v>6</v>
      </c>
      <c r="O1412" s="26">
        <v>750</v>
      </c>
      <c r="P1412" s="47">
        <v>900</v>
      </c>
      <c r="Q1412" s="27">
        <v>550</v>
      </c>
      <c r="R1412" s="34">
        <v>300</v>
      </c>
      <c r="S1412" s="77">
        <f>SUM(O1412:R1412)</f>
        <v>2500</v>
      </c>
      <c r="T1412" s="26">
        <v>450</v>
      </c>
      <c r="U1412" s="47">
        <v>500</v>
      </c>
      <c r="V1412" s="27">
        <v>350</v>
      </c>
      <c r="W1412" s="34">
        <v>200</v>
      </c>
      <c r="X1412" s="9">
        <f>SUM(T1412:W1412)</f>
        <v>1500</v>
      </c>
      <c r="Y1412" s="11">
        <f t="shared" si="1096"/>
        <v>4000</v>
      </c>
      <c r="Z1412" s="99" t="s">
        <v>1259</v>
      </c>
    </row>
    <row r="1413" spans="1:28" x14ac:dyDescent="0.15">
      <c r="A1413" s="13" t="s">
        <v>166</v>
      </c>
      <c r="B1413" s="26"/>
      <c r="C1413" s="47"/>
      <c r="D1413" s="27"/>
      <c r="E1413" s="50"/>
      <c r="F1413" s="9">
        <f>SUM(B1413:E1413)</f>
        <v>0</v>
      </c>
      <c r="G1413" s="47"/>
      <c r="H1413" s="47">
        <v>1</v>
      </c>
      <c r="I1413" s="27"/>
      <c r="J1413" s="50"/>
      <c r="K1413" s="9">
        <f>SUM(G1413:J1413)</f>
        <v>1</v>
      </c>
      <c r="L1413" s="11">
        <f t="shared" si="1093"/>
        <v>1</v>
      </c>
      <c r="M1413" s="99">
        <v>45429</v>
      </c>
      <c r="N1413" s="13" t="s">
        <v>7</v>
      </c>
      <c r="O1413" s="26"/>
      <c r="P1413" s="47"/>
      <c r="Q1413" s="27"/>
      <c r="R1413" s="34"/>
      <c r="S1413" s="77">
        <f t="shared" ref="S1413:S1414" si="1097">SUM(O1413:R1413)</f>
        <v>0</v>
      </c>
      <c r="T1413" s="26"/>
      <c r="U1413" s="47"/>
      <c r="V1413" s="27">
        <v>70</v>
      </c>
      <c r="W1413" s="34">
        <v>70</v>
      </c>
      <c r="X1413" s="9">
        <f t="shared" ref="X1413:X1414" si="1098">SUM(T1413:W1413)</f>
        <v>140</v>
      </c>
      <c r="Y1413" s="11">
        <f t="shared" si="1096"/>
        <v>140</v>
      </c>
      <c r="Z1413" s="99" t="s">
        <v>1259</v>
      </c>
    </row>
    <row r="1414" spans="1:28" ht="14.25" thickBot="1" x14ac:dyDescent="0.2">
      <c r="A1414" s="13" t="s">
        <v>8</v>
      </c>
      <c r="B1414" s="26"/>
      <c r="C1414" s="47"/>
      <c r="D1414" s="27"/>
      <c r="E1414" s="50">
        <v>5</v>
      </c>
      <c r="F1414" s="10">
        <f>SUM(B1414:E1414)</f>
        <v>5</v>
      </c>
      <c r="G1414" s="47"/>
      <c r="H1414" s="47"/>
      <c r="I1414" s="27"/>
      <c r="J1414" s="50"/>
      <c r="K1414" s="10">
        <f>SUM(G1414:J1414)</f>
        <v>0</v>
      </c>
      <c r="L1414" s="14">
        <f t="shared" si="1093"/>
        <v>5</v>
      </c>
      <c r="M1414" s="99">
        <v>45442</v>
      </c>
      <c r="N1414" s="13" t="s">
        <v>8</v>
      </c>
      <c r="O1414" s="62"/>
      <c r="P1414" s="63"/>
      <c r="Q1414" s="64"/>
      <c r="R1414" s="65"/>
      <c r="S1414" s="35">
        <f t="shared" si="1097"/>
        <v>0</v>
      </c>
      <c r="T1414" s="62"/>
      <c r="U1414" s="63"/>
      <c r="V1414" s="64"/>
      <c r="W1414" s="65"/>
      <c r="X1414" s="35">
        <f t="shared" si="1098"/>
        <v>0</v>
      </c>
      <c r="Y1414" s="14">
        <f t="shared" si="1096"/>
        <v>0</v>
      </c>
      <c r="Z1414" s="99"/>
    </row>
    <row r="1415" spans="1:28" ht="14.25" thickBot="1" x14ac:dyDescent="0.2">
      <c r="A1415" s="22" t="s">
        <v>9</v>
      </c>
      <c r="B1415" s="51">
        <f t="shared" ref="B1415:K1415" si="1099">SUM(B1410:B1414)</f>
        <v>8</v>
      </c>
      <c r="C1415" s="52">
        <f t="shared" si="1099"/>
        <v>6</v>
      </c>
      <c r="D1415" s="53">
        <f t="shared" si="1099"/>
        <v>8</v>
      </c>
      <c r="E1415" s="54">
        <f t="shared" si="1099"/>
        <v>5</v>
      </c>
      <c r="F1415" s="28">
        <f t="shared" si="1099"/>
        <v>23</v>
      </c>
      <c r="G1415" s="51">
        <f t="shared" si="1099"/>
        <v>5</v>
      </c>
      <c r="H1415" s="52">
        <f t="shared" si="1099"/>
        <v>7</v>
      </c>
      <c r="I1415" s="53">
        <f t="shared" si="1099"/>
        <v>5</v>
      </c>
      <c r="J1415" s="54">
        <f t="shared" si="1099"/>
        <v>6</v>
      </c>
      <c r="K1415" s="28">
        <f t="shared" si="1099"/>
        <v>23</v>
      </c>
      <c r="L1415" s="21">
        <f t="shared" si="1093"/>
        <v>46</v>
      </c>
      <c r="N1415" s="17" t="s">
        <v>9</v>
      </c>
      <c r="O1415" s="41">
        <f>SUM(O1410:O1414)</f>
        <v>673</v>
      </c>
      <c r="P1415" s="49">
        <f t="shared" ref="P1415:V1415" si="1100">SUM(P1410:P1414)</f>
        <v>831</v>
      </c>
      <c r="Q1415" s="42">
        <f t="shared" si="1100"/>
        <v>485</v>
      </c>
      <c r="R1415" s="92">
        <f t="shared" si="1100"/>
        <v>231</v>
      </c>
      <c r="S1415" s="93">
        <f t="shared" si="1100"/>
        <v>2220</v>
      </c>
      <c r="T1415" s="41">
        <f t="shared" si="1100"/>
        <v>631</v>
      </c>
      <c r="U1415" s="49">
        <f t="shared" si="1100"/>
        <v>773</v>
      </c>
      <c r="V1415" s="42">
        <f t="shared" si="1100"/>
        <v>574</v>
      </c>
      <c r="W1415" s="92">
        <f>SUM(W1410:W1414)</f>
        <v>318</v>
      </c>
      <c r="X1415" s="93">
        <f t="shared" ref="X1415" si="1101">SUM(X1410:X1414)</f>
        <v>2296</v>
      </c>
      <c r="Y1415" s="56">
        <f t="shared" ref="Y1415" si="1102">S1415+X1415</f>
        <v>4516</v>
      </c>
    </row>
    <row r="1416" spans="1:28" x14ac:dyDescent="0.15">
      <c r="A1416" s="32" t="s">
        <v>41</v>
      </c>
      <c r="B1416" s="24">
        <v>3</v>
      </c>
      <c r="C1416" s="46"/>
      <c r="D1416" s="25"/>
      <c r="E1416" s="33"/>
      <c r="F1416" s="35">
        <f>SUM(B1416:E1416)</f>
        <v>3</v>
      </c>
      <c r="G1416" s="24"/>
      <c r="H1416" s="46">
        <v>1</v>
      </c>
      <c r="I1416" s="25"/>
      <c r="J1416" s="33"/>
      <c r="K1416" s="35">
        <f>SUM(G1416:J1416)</f>
        <v>1</v>
      </c>
      <c r="L1416" s="11">
        <f t="shared" si="1093"/>
        <v>4</v>
      </c>
      <c r="M1416" s="126">
        <v>45427</v>
      </c>
      <c r="N1416" s="57" t="s">
        <v>1178</v>
      </c>
      <c r="O1416" s="66"/>
      <c r="P1416" s="67"/>
      <c r="Q1416" s="68"/>
      <c r="R1416" s="94">
        <v>10</v>
      </c>
      <c r="S1416" s="91">
        <f>SUM(O1416:R1416)</f>
        <v>10</v>
      </c>
      <c r="T1416" s="67"/>
      <c r="U1416" s="67"/>
      <c r="V1416" s="68"/>
      <c r="W1416" s="94"/>
      <c r="X1416" s="91">
        <f>SUM(T1416:W1416)</f>
        <v>0</v>
      </c>
      <c r="Y1416" s="11">
        <f t="shared" ref="Y1416:Y1442" si="1103">S1416+X1416</f>
        <v>10</v>
      </c>
      <c r="Z1416" s="99">
        <v>45439</v>
      </c>
    </row>
    <row r="1417" spans="1:28" x14ac:dyDescent="0.15">
      <c r="A1417" s="32" t="s">
        <v>1188</v>
      </c>
      <c r="B1417" s="26"/>
      <c r="C1417" s="47"/>
      <c r="D1417" s="27"/>
      <c r="E1417" s="34"/>
      <c r="F1417" s="35">
        <f>SUM(B1417:E1417)</f>
        <v>0</v>
      </c>
      <c r="G1417" s="26"/>
      <c r="H1417" s="47"/>
      <c r="I1417" s="27">
        <v>1</v>
      </c>
      <c r="J1417" s="34"/>
      <c r="K1417" s="35">
        <f>SUM(G1417:J1417)</f>
        <v>1</v>
      </c>
      <c r="L1417" s="11">
        <f t="shared" si="1093"/>
        <v>1</v>
      </c>
      <c r="M1417" s="99">
        <v>45435</v>
      </c>
      <c r="N1417" s="90" t="s">
        <v>1185</v>
      </c>
      <c r="O1417" s="26">
        <f>34-34</f>
        <v>0</v>
      </c>
      <c r="P1417" s="47">
        <f>34+10+19</f>
        <v>63</v>
      </c>
      <c r="Q1417" s="27">
        <f>12-12</f>
        <v>0</v>
      </c>
      <c r="R1417" s="34">
        <f>20+1+7</f>
        <v>28</v>
      </c>
      <c r="S1417" s="35">
        <f t="shared" ref="S1417" si="1104">SUM(O1417:R1417)</f>
        <v>91</v>
      </c>
      <c r="T1417" s="26"/>
      <c r="U1417" s="47"/>
      <c r="V1417" s="27"/>
      <c r="W1417" s="34"/>
      <c r="X1417" s="35">
        <f t="shared" ref="X1417" si="1105">SUM(T1417:W1417)</f>
        <v>0</v>
      </c>
      <c r="Y1417" s="11">
        <f t="shared" ref="Y1417:Y1422" si="1106">S1417+X1417</f>
        <v>91</v>
      </c>
      <c r="Z1417" s="99">
        <v>45437</v>
      </c>
      <c r="AA1417" s="58"/>
      <c r="AB1417" s="58"/>
    </row>
    <row r="1418" spans="1:28" x14ac:dyDescent="0.15">
      <c r="A1418" s="32" t="s">
        <v>41</v>
      </c>
      <c r="B1418" s="26"/>
      <c r="C1418" s="47">
        <v>2</v>
      </c>
      <c r="D1418" s="27"/>
      <c r="E1418" s="34"/>
      <c r="F1418" s="35">
        <f t="shared" ref="F1418:F1439" si="1107">SUM(B1418:E1418)</f>
        <v>2</v>
      </c>
      <c r="G1418" s="26"/>
      <c r="H1418" s="47"/>
      <c r="I1418" s="27"/>
      <c r="J1418" s="34"/>
      <c r="K1418" s="35">
        <f t="shared" ref="K1418:K1439" si="1108">SUM(G1418:J1418)</f>
        <v>0</v>
      </c>
      <c r="L1418" s="11">
        <f t="shared" si="1093"/>
        <v>2</v>
      </c>
      <c r="M1418" s="99">
        <v>45436</v>
      </c>
      <c r="N1418" s="57" t="s">
        <v>1186</v>
      </c>
      <c r="O1418" s="66">
        <v>10</v>
      </c>
      <c r="P1418" s="67">
        <v>4</v>
      </c>
      <c r="Q1418" s="68">
        <v>10</v>
      </c>
      <c r="R1418" s="94"/>
      <c r="S1418" s="91">
        <f>SUM(O1418:R1418)</f>
        <v>24</v>
      </c>
      <c r="T1418" s="67"/>
      <c r="U1418" s="67"/>
      <c r="V1418" s="68">
        <v>4</v>
      </c>
      <c r="W1418" s="94"/>
      <c r="X1418" s="91">
        <f>SUM(T1418:W1418)</f>
        <v>4</v>
      </c>
      <c r="Y1418" s="11">
        <f t="shared" si="1106"/>
        <v>28</v>
      </c>
      <c r="Z1418" s="99">
        <v>45440</v>
      </c>
    </row>
    <row r="1419" spans="1:28" x14ac:dyDescent="0.15">
      <c r="A1419" s="32" t="s">
        <v>60</v>
      </c>
      <c r="B1419" s="66"/>
      <c r="C1419" s="67">
        <v>-3</v>
      </c>
      <c r="D1419" s="68">
        <v>-1</v>
      </c>
      <c r="E1419" s="69"/>
      <c r="F1419" s="70">
        <f t="shared" si="1107"/>
        <v>-4</v>
      </c>
      <c r="G1419" s="66"/>
      <c r="H1419" s="67"/>
      <c r="I1419" s="68"/>
      <c r="J1419" s="69">
        <v>-2</v>
      </c>
      <c r="K1419" s="70">
        <f t="shared" si="1108"/>
        <v>-2</v>
      </c>
      <c r="L1419" s="11">
        <f t="shared" si="1093"/>
        <v>-6</v>
      </c>
      <c r="M1419" s="99">
        <v>45436</v>
      </c>
      <c r="N1419" s="57" t="s">
        <v>1189</v>
      </c>
      <c r="O1419" s="26">
        <v>4</v>
      </c>
      <c r="P1419" s="47">
        <v>12</v>
      </c>
      <c r="Q1419" s="27">
        <v>4</v>
      </c>
      <c r="R1419" s="34"/>
      <c r="S1419" s="35">
        <f t="shared" ref="S1419:S1421" si="1109">SUM(O1419:R1419)</f>
        <v>20</v>
      </c>
      <c r="T1419" s="26"/>
      <c r="U1419" s="47"/>
      <c r="V1419" s="27"/>
      <c r="W1419" s="34"/>
      <c r="X1419" s="35">
        <f t="shared" ref="X1419:X1421" si="1110">SUM(T1419:W1419)</f>
        <v>0</v>
      </c>
      <c r="Y1419" s="11">
        <f t="shared" si="1106"/>
        <v>20</v>
      </c>
      <c r="Z1419" s="99">
        <v>45440</v>
      </c>
    </row>
    <row r="1420" spans="1:28" x14ac:dyDescent="0.15">
      <c r="A1420" s="32" t="s">
        <v>1201</v>
      </c>
      <c r="B1420" s="26"/>
      <c r="C1420" s="47"/>
      <c r="D1420" s="27">
        <v>1</v>
      </c>
      <c r="E1420" s="34"/>
      <c r="F1420" s="35">
        <f t="shared" ref="F1420:F1430" si="1111">SUM(B1420:E1420)</f>
        <v>1</v>
      </c>
      <c r="G1420" s="26"/>
      <c r="H1420" s="47">
        <v>2</v>
      </c>
      <c r="I1420" s="27"/>
      <c r="J1420" s="34"/>
      <c r="K1420" s="35">
        <f t="shared" ref="K1420:K1430" si="1112">SUM(G1420:J1420)</f>
        <v>2</v>
      </c>
      <c r="L1420" s="11">
        <f t="shared" ref="L1420:L1430" si="1113">F1420+K1420</f>
        <v>3</v>
      </c>
      <c r="M1420" s="99">
        <v>45441</v>
      </c>
      <c r="N1420" s="12" t="s">
        <v>1194</v>
      </c>
      <c r="O1420" s="26"/>
      <c r="P1420" s="47">
        <v>90</v>
      </c>
      <c r="Q1420" s="27"/>
      <c r="R1420" s="34">
        <v>20</v>
      </c>
      <c r="S1420" s="35">
        <f t="shared" si="1109"/>
        <v>110</v>
      </c>
      <c r="T1420" s="26"/>
      <c r="U1420" s="47"/>
      <c r="V1420" s="27"/>
      <c r="W1420" s="34"/>
      <c r="X1420" s="35">
        <f t="shared" si="1110"/>
        <v>0</v>
      </c>
      <c r="Y1420" s="11">
        <f t="shared" si="1106"/>
        <v>110</v>
      </c>
      <c r="Z1420" s="99">
        <v>45437</v>
      </c>
      <c r="AA1420" s="58"/>
    </row>
    <row r="1421" spans="1:28" x14ac:dyDescent="0.15">
      <c r="A1421" s="32" t="s">
        <v>41</v>
      </c>
      <c r="B1421" s="26"/>
      <c r="C1421" s="47">
        <v>2</v>
      </c>
      <c r="D1421" s="27">
        <v>1</v>
      </c>
      <c r="E1421" s="34"/>
      <c r="F1421" s="35">
        <f t="shared" si="1111"/>
        <v>3</v>
      </c>
      <c r="G1421" s="26"/>
      <c r="H1421" s="47"/>
      <c r="I1421" s="27"/>
      <c r="J1421" s="34"/>
      <c r="K1421" s="35">
        <f t="shared" si="1112"/>
        <v>0</v>
      </c>
      <c r="L1421" s="11">
        <f t="shared" si="1113"/>
        <v>3</v>
      </c>
      <c r="M1421" s="99">
        <v>45439</v>
      </c>
      <c r="N1421" s="12" t="s">
        <v>1198</v>
      </c>
      <c r="O1421" s="26"/>
      <c r="P1421" s="47">
        <v>30</v>
      </c>
      <c r="Q1421" s="27">
        <v>10</v>
      </c>
      <c r="R1421" s="34">
        <v>10</v>
      </c>
      <c r="S1421" s="35">
        <f t="shared" si="1109"/>
        <v>50</v>
      </c>
      <c r="T1421" s="26"/>
      <c r="U1421" s="47"/>
      <c r="V1421" s="27"/>
      <c r="W1421" s="34">
        <v>5</v>
      </c>
      <c r="X1421" s="35">
        <f t="shared" si="1110"/>
        <v>5</v>
      </c>
      <c r="Y1421" s="11">
        <f t="shared" si="1106"/>
        <v>55</v>
      </c>
      <c r="Z1421" s="99">
        <v>45437</v>
      </c>
    </row>
    <row r="1422" spans="1:28" x14ac:dyDescent="0.15">
      <c r="A1422" s="12" t="s">
        <v>1202</v>
      </c>
      <c r="B1422" s="26">
        <v>4</v>
      </c>
      <c r="C1422" s="47"/>
      <c r="D1422" s="27"/>
      <c r="E1422" s="34"/>
      <c r="F1422" s="35">
        <f t="shared" si="1111"/>
        <v>4</v>
      </c>
      <c r="G1422" s="26"/>
      <c r="H1422" s="47"/>
      <c r="I1422" s="27"/>
      <c r="J1422" s="34"/>
      <c r="K1422" s="35">
        <f t="shared" si="1112"/>
        <v>0</v>
      </c>
      <c r="L1422" s="11">
        <f t="shared" si="1113"/>
        <v>4</v>
      </c>
      <c r="M1422" s="99">
        <v>45440</v>
      </c>
      <c r="N1422" s="32" t="s">
        <v>1199</v>
      </c>
      <c r="O1422" s="26">
        <v>16</v>
      </c>
      <c r="P1422" s="47">
        <v>16</v>
      </c>
      <c r="Q1422" s="27">
        <v>9</v>
      </c>
      <c r="R1422" s="50">
        <v>6</v>
      </c>
      <c r="S1422" s="9">
        <f>SUM(O1422:R1422)</f>
        <v>47</v>
      </c>
      <c r="T1422" s="47">
        <v>5</v>
      </c>
      <c r="U1422" s="47">
        <v>5</v>
      </c>
      <c r="V1422" s="27">
        <v>4</v>
      </c>
      <c r="W1422" s="50">
        <v>2</v>
      </c>
      <c r="X1422" s="9">
        <f>SUM(T1422:W1422)</f>
        <v>16</v>
      </c>
      <c r="Y1422" s="11">
        <f t="shared" si="1106"/>
        <v>63</v>
      </c>
      <c r="Z1422" s="99">
        <v>45439</v>
      </c>
      <c r="AA1422" s="58"/>
    </row>
    <row r="1423" spans="1:28" x14ac:dyDescent="0.15">
      <c r="A1423" s="13" t="s">
        <v>62</v>
      </c>
      <c r="B1423" s="26">
        <v>-5</v>
      </c>
      <c r="C1423" s="47"/>
      <c r="D1423" s="27"/>
      <c r="E1423" s="34"/>
      <c r="F1423" s="35">
        <f t="shared" si="1111"/>
        <v>-5</v>
      </c>
      <c r="G1423" s="26"/>
      <c r="H1423" s="47"/>
      <c r="I1423" s="27"/>
      <c r="J1423" s="34"/>
      <c r="K1423" s="35">
        <f t="shared" si="1112"/>
        <v>0</v>
      </c>
      <c r="L1423" s="11">
        <f t="shared" si="1113"/>
        <v>-5</v>
      </c>
      <c r="M1423" s="99">
        <v>45440</v>
      </c>
      <c r="N1423" s="12" t="s">
        <v>1200</v>
      </c>
      <c r="O1423" s="26">
        <v>20</v>
      </c>
      <c r="P1423" s="47"/>
      <c r="Q1423" s="27"/>
      <c r="R1423" s="34"/>
      <c r="S1423" s="35">
        <f t="shared" ref="S1423:S1436" si="1114">SUM(O1423:R1423)</f>
        <v>20</v>
      </c>
      <c r="T1423" s="26"/>
      <c r="U1423" s="47">
        <v>15</v>
      </c>
      <c r="V1423" s="27">
        <v>5</v>
      </c>
      <c r="W1423" s="34"/>
      <c r="X1423" s="35">
        <f t="shared" ref="X1423:X1436" si="1115">SUM(T1423:W1423)</f>
        <v>20</v>
      </c>
      <c r="Y1423" s="11">
        <f t="shared" ref="Y1423:Y1436" si="1116">S1423+X1423</f>
        <v>40</v>
      </c>
      <c r="Z1423" s="99">
        <v>45440</v>
      </c>
      <c r="AA1423" s="58"/>
    </row>
    <row r="1424" spans="1:28" x14ac:dyDescent="0.15">
      <c r="A1424" s="32" t="s">
        <v>41</v>
      </c>
      <c r="B1424" s="26">
        <v>1</v>
      </c>
      <c r="C1424" s="47"/>
      <c r="D1424" s="27"/>
      <c r="E1424" s="34"/>
      <c r="F1424" s="35">
        <f t="shared" si="1111"/>
        <v>1</v>
      </c>
      <c r="G1424" s="26"/>
      <c r="H1424" s="47"/>
      <c r="I1424" s="27"/>
      <c r="J1424" s="34"/>
      <c r="K1424" s="35">
        <f t="shared" si="1112"/>
        <v>0</v>
      </c>
      <c r="L1424" s="11">
        <f t="shared" si="1113"/>
        <v>1</v>
      </c>
      <c r="M1424" s="99">
        <v>45440</v>
      </c>
      <c r="N1424" s="12" t="s">
        <v>1203</v>
      </c>
      <c r="O1424" s="26">
        <v>3</v>
      </c>
      <c r="P1424" s="47"/>
      <c r="Q1424" s="27">
        <v>3</v>
      </c>
      <c r="R1424" s="34"/>
      <c r="S1424" s="35">
        <f t="shared" si="1114"/>
        <v>6</v>
      </c>
      <c r="T1424" s="26"/>
      <c r="U1424" s="47"/>
      <c r="V1424" s="27"/>
      <c r="W1424" s="34"/>
      <c r="X1424" s="35">
        <f t="shared" si="1115"/>
        <v>0</v>
      </c>
      <c r="Y1424" s="11">
        <f t="shared" si="1116"/>
        <v>6</v>
      </c>
      <c r="Z1424" s="99">
        <v>45441</v>
      </c>
      <c r="AA1424" s="58"/>
    </row>
    <row r="1425" spans="1:28" x14ac:dyDescent="0.15">
      <c r="A1425" s="32" t="s">
        <v>1207</v>
      </c>
      <c r="B1425" s="26">
        <v>1</v>
      </c>
      <c r="C1425" s="47"/>
      <c r="D1425" s="27"/>
      <c r="E1425" s="34"/>
      <c r="F1425" s="35">
        <f t="shared" si="1111"/>
        <v>1</v>
      </c>
      <c r="G1425" s="26"/>
      <c r="H1425" s="47"/>
      <c r="I1425" s="27"/>
      <c r="J1425" s="34"/>
      <c r="K1425" s="35">
        <f t="shared" si="1112"/>
        <v>0</v>
      </c>
      <c r="L1425" s="11">
        <f t="shared" si="1113"/>
        <v>1</v>
      </c>
      <c r="M1425" s="99">
        <v>45443</v>
      </c>
      <c r="N1425" s="12" t="s">
        <v>34</v>
      </c>
      <c r="O1425" s="26">
        <v>5</v>
      </c>
      <c r="P1425" s="47"/>
      <c r="Q1425" s="27"/>
      <c r="R1425" s="34"/>
      <c r="S1425" s="35">
        <f t="shared" si="1114"/>
        <v>5</v>
      </c>
      <c r="T1425" s="26"/>
      <c r="U1425" s="47"/>
      <c r="V1425" s="27"/>
      <c r="W1425" s="34"/>
      <c r="X1425" s="35">
        <f t="shared" si="1115"/>
        <v>0</v>
      </c>
      <c r="Y1425" s="11">
        <f t="shared" si="1116"/>
        <v>5</v>
      </c>
      <c r="Z1425" s="99">
        <v>45440</v>
      </c>
      <c r="AA1425" s="58"/>
    </row>
    <row r="1426" spans="1:28" x14ac:dyDescent="0.15">
      <c r="A1426" s="32" t="s">
        <v>41</v>
      </c>
      <c r="B1426" s="26"/>
      <c r="C1426" s="47">
        <v>1</v>
      </c>
      <c r="D1426" s="27">
        <v>1</v>
      </c>
      <c r="E1426" s="34"/>
      <c r="F1426" s="35">
        <f t="shared" si="1111"/>
        <v>2</v>
      </c>
      <c r="G1426" s="26"/>
      <c r="H1426" s="47"/>
      <c r="I1426" s="27"/>
      <c r="J1426" s="34"/>
      <c r="K1426" s="35">
        <f t="shared" si="1112"/>
        <v>0</v>
      </c>
      <c r="L1426" s="11">
        <f t="shared" si="1113"/>
        <v>2</v>
      </c>
      <c r="M1426" s="99">
        <v>45441</v>
      </c>
      <c r="N1426" s="12" t="s">
        <v>1204</v>
      </c>
      <c r="O1426" s="26"/>
      <c r="P1426" s="47"/>
      <c r="Q1426" s="27"/>
      <c r="R1426" s="34">
        <v>5</v>
      </c>
      <c r="S1426" s="35">
        <f t="shared" si="1114"/>
        <v>5</v>
      </c>
      <c r="T1426" s="26"/>
      <c r="U1426" s="47"/>
      <c r="V1426" s="27"/>
      <c r="W1426" s="34"/>
      <c r="X1426" s="35">
        <f t="shared" si="1115"/>
        <v>0</v>
      </c>
      <c r="Y1426" s="11">
        <f t="shared" si="1116"/>
        <v>5</v>
      </c>
      <c r="Z1426" s="126">
        <v>45440</v>
      </c>
    </row>
    <row r="1427" spans="1:28" x14ac:dyDescent="0.15">
      <c r="A1427" s="32" t="s">
        <v>41</v>
      </c>
      <c r="B1427" s="26"/>
      <c r="C1427" s="47">
        <v>1</v>
      </c>
      <c r="D1427" s="27"/>
      <c r="E1427" s="34">
        <v>1</v>
      </c>
      <c r="F1427" s="35">
        <f t="shared" si="1111"/>
        <v>2</v>
      </c>
      <c r="G1427" s="26"/>
      <c r="H1427" s="47"/>
      <c r="I1427" s="27"/>
      <c r="J1427" s="34"/>
      <c r="K1427" s="35">
        <f t="shared" si="1112"/>
        <v>0</v>
      </c>
      <c r="L1427" s="11">
        <f t="shared" si="1113"/>
        <v>2</v>
      </c>
      <c r="M1427" s="126">
        <v>45442</v>
      </c>
      <c r="N1427" s="32" t="s">
        <v>1205</v>
      </c>
      <c r="O1427" s="26">
        <v>4</v>
      </c>
      <c r="P1427" s="47">
        <v>6</v>
      </c>
      <c r="Q1427" s="27">
        <v>22</v>
      </c>
      <c r="R1427" s="34">
        <v>4</v>
      </c>
      <c r="S1427" s="35">
        <f t="shared" si="1114"/>
        <v>36</v>
      </c>
      <c r="T1427" s="26"/>
      <c r="U1427" s="47">
        <v>9</v>
      </c>
      <c r="V1427" s="27">
        <v>2</v>
      </c>
      <c r="W1427" s="34"/>
      <c r="X1427" s="35">
        <f t="shared" si="1115"/>
        <v>11</v>
      </c>
      <c r="Y1427" s="11">
        <f t="shared" si="1116"/>
        <v>47</v>
      </c>
      <c r="Z1427" s="99">
        <v>45442</v>
      </c>
      <c r="AA1427" s="58"/>
    </row>
    <row r="1428" spans="1:28" x14ac:dyDescent="0.15">
      <c r="A1428" s="32" t="s">
        <v>41</v>
      </c>
      <c r="B1428" s="26">
        <v>2</v>
      </c>
      <c r="C1428" s="47">
        <v>2</v>
      </c>
      <c r="D1428" s="27"/>
      <c r="E1428" s="34">
        <v>2</v>
      </c>
      <c r="F1428" s="35">
        <f t="shared" si="1111"/>
        <v>6</v>
      </c>
      <c r="G1428" s="26">
        <v>1</v>
      </c>
      <c r="H1428" s="47">
        <v>3</v>
      </c>
      <c r="I1428" s="27"/>
      <c r="J1428" s="34"/>
      <c r="K1428" s="35">
        <f t="shared" si="1112"/>
        <v>4</v>
      </c>
      <c r="L1428" s="11">
        <f t="shared" si="1113"/>
        <v>10</v>
      </c>
      <c r="M1428" s="126">
        <v>45446</v>
      </c>
      <c r="N1428" s="12" t="s">
        <v>1202</v>
      </c>
      <c r="O1428" s="26">
        <v>11</v>
      </c>
      <c r="P1428" s="47"/>
      <c r="Q1428" s="27">
        <v>7</v>
      </c>
      <c r="R1428" s="34"/>
      <c r="S1428" s="35">
        <f t="shared" si="1114"/>
        <v>18</v>
      </c>
      <c r="T1428" s="26"/>
      <c r="U1428" s="47"/>
      <c r="V1428" s="27"/>
      <c r="W1428" s="34"/>
      <c r="X1428" s="35">
        <f t="shared" si="1115"/>
        <v>0</v>
      </c>
      <c r="Y1428" s="11">
        <f t="shared" si="1116"/>
        <v>18</v>
      </c>
      <c r="Z1428" s="99">
        <v>45442</v>
      </c>
    </row>
    <row r="1429" spans="1:28" x14ac:dyDescent="0.15">
      <c r="A1429" s="32" t="s">
        <v>41</v>
      </c>
      <c r="B1429" s="26"/>
      <c r="C1429" s="47"/>
      <c r="D1429" s="27"/>
      <c r="E1429" s="34"/>
      <c r="F1429" s="35">
        <f t="shared" si="1111"/>
        <v>0</v>
      </c>
      <c r="G1429" s="26"/>
      <c r="H1429" s="47">
        <v>1</v>
      </c>
      <c r="I1429" s="27"/>
      <c r="J1429" s="34"/>
      <c r="K1429" s="35">
        <f t="shared" si="1112"/>
        <v>1</v>
      </c>
      <c r="L1429" s="11">
        <f t="shared" si="1113"/>
        <v>1</v>
      </c>
      <c r="M1429" s="126">
        <v>45449</v>
      </c>
      <c r="N1429" s="12" t="s">
        <v>1206</v>
      </c>
      <c r="O1429" s="26">
        <v>15</v>
      </c>
      <c r="P1429" s="47">
        <v>15</v>
      </c>
      <c r="Q1429" s="27">
        <v>30</v>
      </c>
      <c r="R1429" s="34">
        <v>25</v>
      </c>
      <c r="S1429" s="35">
        <f t="shared" si="1114"/>
        <v>85</v>
      </c>
      <c r="T1429" s="26"/>
      <c r="U1429" s="47"/>
      <c r="V1429" s="27"/>
      <c r="W1429" s="34"/>
      <c r="X1429" s="35">
        <f t="shared" si="1115"/>
        <v>0</v>
      </c>
      <c r="Y1429" s="11">
        <f t="shared" si="1116"/>
        <v>85</v>
      </c>
      <c r="Z1429" s="99">
        <v>45443</v>
      </c>
      <c r="AA1429" s="58"/>
    </row>
    <row r="1430" spans="1:28" x14ac:dyDescent="0.15">
      <c r="A1430" s="13"/>
      <c r="B1430" s="26"/>
      <c r="C1430" s="47"/>
      <c r="D1430" s="27"/>
      <c r="E1430" s="34"/>
      <c r="F1430" s="35">
        <f t="shared" si="1111"/>
        <v>0</v>
      </c>
      <c r="G1430" s="26"/>
      <c r="H1430" s="47"/>
      <c r="I1430" s="27"/>
      <c r="J1430" s="34"/>
      <c r="K1430" s="35">
        <f t="shared" si="1112"/>
        <v>0</v>
      </c>
      <c r="L1430" s="11">
        <f t="shared" si="1113"/>
        <v>0</v>
      </c>
      <c r="N1430" s="12" t="s">
        <v>34</v>
      </c>
      <c r="O1430" s="26"/>
      <c r="P1430" s="47"/>
      <c r="Q1430" s="27"/>
      <c r="R1430" s="34">
        <v>5</v>
      </c>
      <c r="S1430" s="35">
        <f>SUM(O1430:R1430)</f>
        <v>5</v>
      </c>
      <c r="T1430" s="26"/>
      <c r="U1430" s="47"/>
      <c r="V1430" s="27"/>
      <c r="W1430" s="34"/>
      <c r="X1430" s="35">
        <f>SUM(T1430:W1430)</f>
        <v>0</v>
      </c>
      <c r="Y1430" s="11">
        <f t="shared" si="1116"/>
        <v>5</v>
      </c>
      <c r="Z1430" s="99">
        <v>45442</v>
      </c>
      <c r="AA1430" s="58"/>
    </row>
    <row r="1431" spans="1:28" x14ac:dyDescent="0.15">
      <c r="A1431" s="13"/>
      <c r="B1431" s="26"/>
      <c r="C1431" s="47"/>
      <c r="D1431" s="27"/>
      <c r="E1431" s="34"/>
      <c r="F1431" s="35">
        <f t="shared" si="1107"/>
        <v>0</v>
      </c>
      <c r="G1431" s="26"/>
      <c r="H1431" s="47"/>
      <c r="I1431" s="27"/>
      <c r="J1431" s="34"/>
      <c r="K1431" s="35">
        <f t="shared" si="1108"/>
        <v>0</v>
      </c>
      <c r="L1431" s="11">
        <f t="shared" si="1093"/>
        <v>0</v>
      </c>
      <c r="N1431" s="32" t="s">
        <v>1208</v>
      </c>
      <c r="O1431" s="26">
        <v>22</v>
      </c>
      <c r="P1431" s="47">
        <v>22</v>
      </c>
      <c r="Q1431" s="27">
        <v>11</v>
      </c>
      <c r="R1431" s="34">
        <v>4</v>
      </c>
      <c r="S1431" s="35">
        <f t="shared" si="1114"/>
        <v>59</v>
      </c>
      <c r="T1431" s="26"/>
      <c r="U1431" s="47"/>
      <c r="V1431" s="27">
        <v>2</v>
      </c>
      <c r="W1431" s="34"/>
      <c r="X1431" s="35">
        <f t="shared" si="1115"/>
        <v>2</v>
      </c>
      <c r="Y1431" s="11">
        <f t="shared" si="1116"/>
        <v>61</v>
      </c>
      <c r="Z1431" s="99">
        <v>45443</v>
      </c>
      <c r="AA1431" s="58"/>
    </row>
    <row r="1432" spans="1:28" x14ac:dyDescent="0.15">
      <c r="A1432" s="15"/>
      <c r="B1432" s="26"/>
      <c r="C1432" s="47"/>
      <c r="D1432" s="27"/>
      <c r="E1432" s="34"/>
      <c r="F1432" s="35">
        <f t="shared" si="1107"/>
        <v>0</v>
      </c>
      <c r="G1432" s="26"/>
      <c r="H1432" s="47"/>
      <c r="I1432" s="27"/>
      <c r="J1432" s="34"/>
      <c r="K1432" s="35">
        <f t="shared" si="1108"/>
        <v>0</v>
      </c>
      <c r="L1432" s="11">
        <f t="shared" si="1093"/>
        <v>0</v>
      </c>
      <c r="N1432" s="32" t="s">
        <v>1211</v>
      </c>
      <c r="O1432" s="26">
        <v>6</v>
      </c>
      <c r="P1432" s="47">
        <v>5</v>
      </c>
      <c r="Q1432" s="27">
        <v>2</v>
      </c>
      <c r="R1432" s="34"/>
      <c r="S1432" s="35">
        <f t="shared" si="1114"/>
        <v>13</v>
      </c>
      <c r="T1432" s="26"/>
      <c r="U1432" s="47">
        <v>3</v>
      </c>
      <c r="V1432" s="27">
        <v>3</v>
      </c>
      <c r="W1432" s="34"/>
      <c r="X1432" s="35">
        <f t="shared" si="1115"/>
        <v>6</v>
      </c>
      <c r="Y1432" s="11">
        <f t="shared" si="1116"/>
        <v>19</v>
      </c>
      <c r="Z1432" s="99">
        <v>45443</v>
      </c>
      <c r="AA1432" s="58"/>
    </row>
    <row r="1433" spans="1:28" x14ac:dyDescent="0.15">
      <c r="A1433" s="15"/>
      <c r="B1433" s="26"/>
      <c r="C1433" s="47"/>
      <c r="D1433" s="27"/>
      <c r="E1433" s="34"/>
      <c r="F1433" s="35">
        <f t="shared" si="1107"/>
        <v>0</v>
      </c>
      <c r="G1433" s="26"/>
      <c r="H1433" s="47"/>
      <c r="I1433" s="27"/>
      <c r="J1433" s="34"/>
      <c r="K1433" s="35">
        <f t="shared" si="1108"/>
        <v>0</v>
      </c>
      <c r="L1433" s="11">
        <f t="shared" si="1093"/>
        <v>0</v>
      </c>
      <c r="N1433" s="12" t="s">
        <v>1212</v>
      </c>
      <c r="O1433" s="26">
        <v>10</v>
      </c>
      <c r="P1433" s="47"/>
      <c r="Q1433" s="27">
        <v>15</v>
      </c>
      <c r="R1433" s="34"/>
      <c r="S1433" s="35">
        <f t="shared" si="1114"/>
        <v>25</v>
      </c>
      <c r="T1433" s="26"/>
      <c r="U1433" s="47">
        <v>5</v>
      </c>
      <c r="V1433" s="27"/>
      <c r="W1433" s="34"/>
      <c r="X1433" s="35">
        <f t="shared" si="1115"/>
        <v>5</v>
      </c>
      <c r="Y1433" s="11">
        <f t="shared" si="1116"/>
        <v>30</v>
      </c>
      <c r="Z1433" s="99">
        <v>45444</v>
      </c>
      <c r="AA1433" s="58"/>
    </row>
    <row r="1434" spans="1:28" x14ac:dyDescent="0.15">
      <c r="A1434" s="13"/>
      <c r="B1434" s="26"/>
      <c r="C1434" s="47"/>
      <c r="D1434" s="27"/>
      <c r="E1434" s="34"/>
      <c r="F1434" s="35">
        <f t="shared" si="1107"/>
        <v>0</v>
      </c>
      <c r="G1434" s="26"/>
      <c r="H1434" s="47"/>
      <c r="I1434" s="27"/>
      <c r="J1434" s="34"/>
      <c r="K1434" s="35">
        <f t="shared" si="1108"/>
        <v>0</v>
      </c>
      <c r="L1434" s="11">
        <f t="shared" si="1093"/>
        <v>0</v>
      </c>
      <c r="N1434" s="32" t="s">
        <v>1214</v>
      </c>
      <c r="O1434" s="26"/>
      <c r="P1434" s="47"/>
      <c r="Q1434" s="27">
        <v>1</v>
      </c>
      <c r="R1434" s="34"/>
      <c r="S1434" s="35">
        <f t="shared" si="1114"/>
        <v>1</v>
      </c>
      <c r="T1434" s="26"/>
      <c r="U1434" s="47"/>
      <c r="V1434" s="27"/>
      <c r="W1434" s="34"/>
      <c r="X1434" s="35">
        <f t="shared" si="1115"/>
        <v>0</v>
      </c>
      <c r="Y1434" s="11">
        <f t="shared" si="1116"/>
        <v>1</v>
      </c>
      <c r="Z1434" s="99">
        <v>45446</v>
      </c>
    </row>
    <row r="1435" spans="1:28" x14ac:dyDescent="0.15">
      <c r="A1435" s="32"/>
      <c r="B1435" s="26"/>
      <c r="C1435" s="47"/>
      <c r="D1435" s="27"/>
      <c r="E1435" s="34"/>
      <c r="F1435" s="35">
        <f t="shared" si="1107"/>
        <v>0</v>
      </c>
      <c r="G1435" s="26"/>
      <c r="H1435" s="47"/>
      <c r="I1435" s="27"/>
      <c r="J1435" s="34"/>
      <c r="K1435" s="35">
        <f t="shared" si="1108"/>
        <v>0</v>
      </c>
      <c r="L1435" s="11">
        <f t="shared" si="1093"/>
        <v>0</v>
      </c>
      <c r="N1435" s="12" t="s">
        <v>1217</v>
      </c>
      <c r="O1435" s="26">
        <v>5</v>
      </c>
      <c r="P1435" s="47"/>
      <c r="Q1435" s="27"/>
      <c r="R1435" s="34"/>
      <c r="S1435" s="35">
        <f t="shared" si="1114"/>
        <v>5</v>
      </c>
      <c r="T1435" s="26"/>
      <c r="U1435" s="47"/>
      <c r="V1435" s="27"/>
      <c r="W1435" s="34"/>
      <c r="X1435" s="35">
        <f t="shared" si="1115"/>
        <v>0</v>
      </c>
      <c r="Y1435" s="11">
        <f t="shared" si="1116"/>
        <v>5</v>
      </c>
      <c r="Z1435" s="99">
        <v>45444</v>
      </c>
      <c r="AA1435" s="58"/>
      <c r="AB1435" s="58"/>
    </row>
    <row r="1436" spans="1:28" x14ac:dyDescent="0.15">
      <c r="A1436" s="32"/>
      <c r="B1436" s="26"/>
      <c r="C1436" s="47"/>
      <c r="D1436" s="27"/>
      <c r="E1436" s="34"/>
      <c r="F1436" s="35">
        <f t="shared" si="1107"/>
        <v>0</v>
      </c>
      <c r="G1436" s="26"/>
      <c r="H1436" s="47"/>
      <c r="I1436" s="27"/>
      <c r="J1436" s="34"/>
      <c r="K1436" s="35">
        <f t="shared" si="1108"/>
        <v>0</v>
      </c>
      <c r="L1436" s="11">
        <f t="shared" si="1093"/>
        <v>0</v>
      </c>
      <c r="N1436" s="12" t="s">
        <v>1220</v>
      </c>
      <c r="O1436" s="26">
        <v>15</v>
      </c>
      <c r="P1436" s="47"/>
      <c r="Q1436" s="27"/>
      <c r="R1436" s="34"/>
      <c r="S1436" s="35">
        <f t="shared" si="1114"/>
        <v>15</v>
      </c>
      <c r="T1436" s="26"/>
      <c r="U1436" s="47"/>
      <c r="V1436" s="27"/>
      <c r="W1436" s="34"/>
      <c r="X1436" s="35">
        <f t="shared" si="1115"/>
        <v>0</v>
      </c>
      <c r="Y1436" s="11">
        <f t="shared" si="1116"/>
        <v>15</v>
      </c>
      <c r="Z1436" s="99">
        <v>45446</v>
      </c>
    </row>
    <row r="1437" spans="1:28" x14ac:dyDescent="0.15">
      <c r="A1437" s="12"/>
      <c r="B1437" s="26"/>
      <c r="C1437" s="47"/>
      <c r="D1437" s="27"/>
      <c r="E1437" s="34"/>
      <c r="F1437" s="35">
        <f t="shared" si="1107"/>
        <v>0</v>
      </c>
      <c r="G1437" s="26"/>
      <c r="H1437" s="47"/>
      <c r="I1437" s="27"/>
      <c r="J1437" s="34"/>
      <c r="K1437" s="35">
        <f t="shared" si="1108"/>
        <v>0</v>
      </c>
      <c r="L1437" s="11">
        <f t="shared" si="1093"/>
        <v>0</v>
      </c>
      <c r="N1437" s="12"/>
      <c r="O1437" s="26"/>
      <c r="P1437" s="47"/>
      <c r="Q1437" s="27"/>
      <c r="R1437" s="34"/>
      <c r="S1437" s="35">
        <f t="shared" ref="S1437" si="1117">SUM(O1437:R1437)</f>
        <v>0</v>
      </c>
      <c r="T1437" s="26"/>
      <c r="U1437" s="47"/>
      <c r="V1437" s="27"/>
      <c r="W1437" s="34"/>
      <c r="X1437" s="35">
        <f t="shared" ref="X1437" si="1118">SUM(T1437:W1437)</f>
        <v>0</v>
      </c>
      <c r="Y1437" s="11">
        <f t="shared" ref="Y1437" si="1119">S1437+X1437</f>
        <v>0</v>
      </c>
    </row>
    <row r="1438" spans="1:28" x14ac:dyDescent="0.15">
      <c r="A1438" s="79"/>
      <c r="B1438" s="26"/>
      <c r="C1438" s="47"/>
      <c r="D1438" s="27"/>
      <c r="E1438" s="34"/>
      <c r="F1438" s="35">
        <f t="shared" si="1107"/>
        <v>0</v>
      </c>
      <c r="G1438" s="26"/>
      <c r="H1438" s="47"/>
      <c r="I1438" s="27"/>
      <c r="J1438" s="34"/>
      <c r="K1438" s="35">
        <f t="shared" si="1108"/>
        <v>0</v>
      </c>
      <c r="L1438" s="11">
        <f t="shared" si="1093"/>
        <v>0</v>
      </c>
      <c r="N1438" s="173" t="s">
        <v>1159</v>
      </c>
      <c r="O1438" s="154"/>
      <c r="P1438" s="155"/>
      <c r="Q1438" s="156"/>
      <c r="R1438" s="157"/>
      <c r="S1438" s="158">
        <f t="shared" ref="S1438:S1441" si="1120">SUM(O1438:R1438)</f>
        <v>0</v>
      </c>
      <c r="T1438" s="154"/>
      <c r="U1438" s="155"/>
      <c r="V1438" s="156"/>
      <c r="W1438" s="157"/>
      <c r="X1438" s="158">
        <f t="shared" ref="X1438:X1441" si="1121">SUM(T1438:W1438)</f>
        <v>0</v>
      </c>
      <c r="Y1438" s="179">
        <f t="shared" si="1103"/>
        <v>0</v>
      </c>
      <c r="Z1438" s="160" t="s">
        <v>1160</v>
      </c>
    </row>
    <row r="1439" spans="1:28" x14ac:dyDescent="0.15">
      <c r="A1439" s="57"/>
      <c r="B1439" s="26"/>
      <c r="C1439" s="47"/>
      <c r="D1439" s="27"/>
      <c r="E1439" s="34"/>
      <c r="F1439" s="35">
        <f t="shared" si="1107"/>
        <v>0</v>
      </c>
      <c r="G1439" s="26"/>
      <c r="H1439" s="47"/>
      <c r="I1439" s="27"/>
      <c r="J1439" s="34"/>
      <c r="K1439" s="35">
        <f t="shared" si="1108"/>
        <v>0</v>
      </c>
      <c r="L1439" s="11">
        <f t="shared" si="1093"/>
        <v>0</v>
      </c>
      <c r="N1439" s="173" t="s">
        <v>1176</v>
      </c>
      <c r="O1439" s="154"/>
      <c r="P1439" s="155"/>
      <c r="Q1439" s="156"/>
      <c r="R1439" s="157"/>
      <c r="S1439" s="158">
        <f t="shared" si="1120"/>
        <v>0</v>
      </c>
      <c r="T1439" s="154"/>
      <c r="U1439" s="155"/>
      <c r="V1439" s="156"/>
      <c r="W1439" s="157"/>
      <c r="X1439" s="158">
        <f t="shared" si="1121"/>
        <v>0</v>
      </c>
      <c r="Y1439" s="179">
        <f t="shared" si="1103"/>
        <v>0</v>
      </c>
      <c r="Z1439" s="160" t="s">
        <v>1175</v>
      </c>
    </row>
    <row r="1440" spans="1:28" ht="14.25" thickBot="1" x14ac:dyDescent="0.2">
      <c r="A1440" s="57"/>
      <c r="B1440" s="62"/>
      <c r="C1440" s="63"/>
      <c r="D1440" s="64"/>
      <c r="E1440" s="65"/>
      <c r="F1440" s="120">
        <f t="shared" ref="F1440" si="1122">SUM(B1440:E1440)</f>
        <v>0</v>
      </c>
      <c r="G1440" s="62"/>
      <c r="H1440" s="63"/>
      <c r="I1440" s="64"/>
      <c r="J1440" s="65"/>
      <c r="K1440" s="35">
        <f t="shared" ref="K1440" si="1123">SUM(G1440:J1440)</f>
        <v>0</v>
      </c>
      <c r="L1440" s="11">
        <f t="shared" ref="L1440" si="1124">F1440+K1440</f>
        <v>0</v>
      </c>
      <c r="N1440" s="135" t="s">
        <v>1152</v>
      </c>
      <c r="O1440" s="62"/>
      <c r="P1440" s="63"/>
      <c r="Q1440" s="64"/>
      <c r="R1440" s="65"/>
      <c r="S1440" s="120">
        <f t="shared" si="1120"/>
        <v>0</v>
      </c>
      <c r="T1440" s="62"/>
      <c r="U1440" s="63"/>
      <c r="V1440" s="64"/>
      <c r="W1440" s="65"/>
      <c r="X1440" s="120">
        <f t="shared" si="1121"/>
        <v>0</v>
      </c>
      <c r="Y1440" s="121">
        <f t="shared" si="1103"/>
        <v>0</v>
      </c>
      <c r="Z1440" s="101" t="s">
        <v>592</v>
      </c>
    </row>
    <row r="1441" spans="1:27" ht="14.25" thickBot="1" x14ac:dyDescent="0.2">
      <c r="A1441" s="17" t="s">
        <v>10</v>
      </c>
      <c r="B1441" s="38">
        <f>SUM(B1416:B1440)</f>
        <v>6</v>
      </c>
      <c r="C1441" s="48">
        <f>SUM(C1416:C1440)</f>
        <v>5</v>
      </c>
      <c r="D1441" s="39">
        <f>SUM(D1416:D1440)</f>
        <v>2</v>
      </c>
      <c r="E1441" s="40">
        <f>SUM(E1416:E1440)</f>
        <v>3</v>
      </c>
      <c r="F1441" s="118">
        <f>SUM(B1441:E1441)</f>
        <v>16</v>
      </c>
      <c r="G1441" s="38">
        <f>SUM(G1416:G1440)</f>
        <v>1</v>
      </c>
      <c r="H1441" s="48">
        <f>SUM(H1416:H1440)</f>
        <v>7</v>
      </c>
      <c r="I1441" s="39">
        <f>SUM(I1416:I1440)</f>
        <v>1</v>
      </c>
      <c r="J1441" s="40">
        <f>SUM(J1416:J1440)</f>
        <v>-2</v>
      </c>
      <c r="K1441" s="36">
        <f>SUM(G1441:J1441)</f>
        <v>7</v>
      </c>
      <c r="L1441" s="37">
        <f t="shared" si="1093"/>
        <v>23</v>
      </c>
      <c r="N1441" s="133" t="s">
        <v>10</v>
      </c>
      <c r="O1441" s="38">
        <f>SUM(O1416:O1440)</f>
        <v>146</v>
      </c>
      <c r="P1441" s="48">
        <f>SUM(P1416:P1440)</f>
        <v>263</v>
      </c>
      <c r="Q1441" s="39">
        <f>SUM(Q1416:Q1440)</f>
        <v>124</v>
      </c>
      <c r="R1441" s="40">
        <f>SUM(R1416:R1440)</f>
        <v>117</v>
      </c>
      <c r="S1441" s="118">
        <f t="shared" si="1120"/>
        <v>650</v>
      </c>
      <c r="T1441" s="38">
        <f>SUM(T1416:T1440)</f>
        <v>5</v>
      </c>
      <c r="U1441" s="48">
        <f>SUM(U1416:U1440)</f>
        <v>37</v>
      </c>
      <c r="V1441" s="39">
        <f>SUM(V1416:V1440)</f>
        <v>20</v>
      </c>
      <c r="W1441" s="40">
        <f>SUM(W1416:W1440)</f>
        <v>7</v>
      </c>
      <c r="X1441" s="118">
        <f t="shared" si="1121"/>
        <v>69</v>
      </c>
      <c r="Y1441" s="119">
        <f t="shared" si="1103"/>
        <v>719</v>
      </c>
    </row>
    <row r="1442" spans="1:27" ht="14.25" thickBot="1" x14ac:dyDescent="0.2">
      <c r="A1442" s="22" t="s">
        <v>11</v>
      </c>
      <c r="B1442" s="41">
        <f>B1415-B1441</f>
        <v>2</v>
      </c>
      <c r="C1442" s="49">
        <f>C1415-C1441</f>
        <v>1</v>
      </c>
      <c r="D1442" s="42">
        <f t="shared" ref="D1442:K1442" si="1125">D1415-D1441</f>
        <v>6</v>
      </c>
      <c r="E1442" s="43">
        <f t="shared" si="1125"/>
        <v>2</v>
      </c>
      <c r="F1442" s="61">
        <f t="shared" si="1125"/>
        <v>7</v>
      </c>
      <c r="G1442" s="41">
        <f t="shared" si="1125"/>
        <v>4</v>
      </c>
      <c r="H1442" s="49">
        <f t="shared" si="1125"/>
        <v>0</v>
      </c>
      <c r="I1442" s="42">
        <f t="shared" si="1125"/>
        <v>4</v>
      </c>
      <c r="J1442" s="43">
        <f t="shared" si="1125"/>
        <v>8</v>
      </c>
      <c r="K1442" s="61">
        <f t="shared" si="1125"/>
        <v>16</v>
      </c>
      <c r="L1442" s="21">
        <f t="shared" si="1093"/>
        <v>23</v>
      </c>
      <c r="N1442" s="17" t="s">
        <v>11</v>
      </c>
      <c r="O1442" s="41">
        <f>O1415-O1441</f>
        <v>527</v>
      </c>
      <c r="P1442" s="49">
        <f t="shared" ref="P1442:Q1442" si="1126">P1415-P1441</f>
        <v>568</v>
      </c>
      <c r="Q1442" s="42">
        <f t="shared" si="1126"/>
        <v>361</v>
      </c>
      <c r="R1442" s="43">
        <f>R1415-R1441</f>
        <v>114</v>
      </c>
      <c r="S1442" s="61">
        <f t="shared" ref="S1442:X1442" si="1127">S1415-S1441</f>
        <v>1570</v>
      </c>
      <c r="T1442" s="41">
        <f t="shared" si="1127"/>
        <v>626</v>
      </c>
      <c r="U1442" s="49">
        <f t="shared" si="1127"/>
        <v>736</v>
      </c>
      <c r="V1442" s="42">
        <f t="shared" si="1127"/>
        <v>554</v>
      </c>
      <c r="W1442" s="43">
        <f t="shared" si="1127"/>
        <v>311</v>
      </c>
      <c r="X1442" s="61">
        <f t="shared" si="1127"/>
        <v>2227</v>
      </c>
      <c r="Y1442" s="21">
        <f t="shared" si="1103"/>
        <v>3797</v>
      </c>
    </row>
    <row r="1445" spans="1:27" ht="19.5" thickBot="1" x14ac:dyDescent="0.25">
      <c r="A1445" s="2" t="s">
        <v>106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1036</v>
      </c>
      <c r="O1445" s="2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7" ht="14.25" thickBot="1" x14ac:dyDescent="0.2">
      <c r="A1446" s="5" t="s">
        <v>0</v>
      </c>
      <c r="B1446" s="342" t="s">
        <v>18</v>
      </c>
      <c r="C1446" s="350"/>
      <c r="D1446" s="350"/>
      <c r="E1446" s="350"/>
      <c r="F1446" s="351"/>
      <c r="G1446" s="345" t="s">
        <v>12</v>
      </c>
      <c r="H1446" s="352"/>
      <c r="I1446" s="352"/>
      <c r="J1446" s="352"/>
      <c r="K1446" s="353"/>
      <c r="L1446" s="354" t="s">
        <v>1</v>
      </c>
      <c r="N1446" s="5" t="s">
        <v>0</v>
      </c>
      <c r="O1446" s="342" t="s">
        <v>18</v>
      </c>
      <c r="P1446" s="343"/>
      <c r="Q1446" s="343"/>
      <c r="R1446" s="343"/>
      <c r="S1446" s="344"/>
      <c r="T1446" s="345" t="s">
        <v>12</v>
      </c>
      <c r="U1446" s="346"/>
      <c r="V1446" s="346"/>
      <c r="W1446" s="346"/>
      <c r="X1446" s="347"/>
      <c r="Y1446" s="348" t="s">
        <v>1</v>
      </c>
    </row>
    <row r="1447" spans="1:27" ht="14.25" thickBot="1" x14ac:dyDescent="0.2">
      <c r="A1447" s="5" t="s">
        <v>2</v>
      </c>
      <c r="B1447" s="3" t="s">
        <v>13</v>
      </c>
      <c r="C1447" s="44" t="s">
        <v>14</v>
      </c>
      <c r="D1447" s="4" t="s">
        <v>15</v>
      </c>
      <c r="E1447" s="23" t="s">
        <v>16</v>
      </c>
      <c r="F1447" s="31" t="s">
        <v>3</v>
      </c>
      <c r="G1447" s="3" t="s">
        <v>13</v>
      </c>
      <c r="H1447" s="44" t="s">
        <v>14</v>
      </c>
      <c r="I1447" s="4" t="s">
        <v>15</v>
      </c>
      <c r="J1447" s="23" t="s">
        <v>16</v>
      </c>
      <c r="K1447" s="31" t="s">
        <v>3</v>
      </c>
      <c r="L1447" s="355"/>
      <c r="N1447" s="5" t="s">
        <v>2</v>
      </c>
      <c r="O1447" s="3" t="s">
        <v>13</v>
      </c>
      <c r="P1447" s="44" t="s">
        <v>14</v>
      </c>
      <c r="Q1447" s="4" t="s">
        <v>15</v>
      </c>
      <c r="R1447" s="23" t="s">
        <v>16</v>
      </c>
      <c r="S1447" s="31" t="s">
        <v>3</v>
      </c>
      <c r="T1447" s="3" t="s">
        <v>13</v>
      </c>
      <c r="U1447" s="44" t="s">
        <v>14</v>
      </c>
      <c r="V1447" s="4" t="s">
        <v>15</v>
      </c>
      <c r="W1447" s="23" t="s">
        <v>16</v>
      </c>
      <c r="X1447" s="31" t="s">
        <v>3</v>
      </c>
      <c r="Y1447" s="349"/>
    </row>
    <row r="1448" spans="1:27" x14ac:dyDescent="0.15">
      <c r="A1448" s="71" t="s">
        <v>17</v>
      </c>
      <c r="B1448" s="72">
        <f>B1442</f>
        <v>2</v>
      </c>
      <c r="C1448" s="73">
        <f t="shared" ref="C1448:L1448" si="1128">C1442</f>
        <v>1</v>
      </c>
      <c r="D1448" s="73">
        <f t="shared" si="1128"/>
        <v>6</v>
      </c>
      <c r="E1448" s="74">
        <f t="shared" si="1128"/>
        <v>2</v>
      </c>
      <c r="F1448" s="76">
        <f t="shared" si="1128"/>
        <v>7</v>
      </c>
      <c r="G1448" s="72">
        <f t="shared" si="1128"/>
        <v>4</v>
      </c>
      <c r="H1448" s="73">
        <f t="shared" si="1128"/>
        <v>0</v>
      </c>
      <c r="I1448" s="73">
        <f t="shared" si="1128"/>
        <v>4</v>
      </c>
      <c r="J1448" s="74">
        <f t="shared" si="1128"/>
        <v>8</v>
      </c>
      <c r="K1448" s="75">
        <f t="shared" si="1128"/>
        <v>16</v>
      </c>
      <c r="L1448" s="16">
        <f t="shared" si="1128"/>
        <v>23</v>
      </c>
      <c r="N1448" s="71" t="s">
        <v>17</v>
      </c>
      <c r="O1448" s="72">
        <f>O1442</f>
        <v>527</v>
      </c>
      <c r="P1448" s="73">
        <f t="shared" ref="P1448:Y1448" si="1129">P1442</f>
        <v>568</v>
      </c>
      <c r="Q1448" s="73">
        <f t="shared" si="1129"/>
        <v>361</v>
      </c>
      <c r="R1448" s="74">
        <f t="shared" si="1129"/>
        <v>114</v>
      </c>
      <c r="S1448" s="76">
        <f t="shared" si="1129"/>
        <v>1570</v>
      </c>
      <c r="T1448" s="72">
        <f t="shared" si="1129"/>
        <v>626</v>
      </c>
      <c r="U1448" s="73">
        <f t="shared" si="1129"/>
        <v>736</v>
      </c>
      <c r="V1448" s="73">
        <f t="shared" si="1129"/>
        <v>554</v>
      </c>
      <c r="W1448" s="74">
        <f t="shared" si="1129"/>
        <v>311</v>
      </c>
      <c r="X1448" s="75">
        <f t="shared" si="1129"/>
        <v>2227</v>
      </c>
      <c r="Y1448" s="16">
        <f t="shared" si="1129"/>
        <v>3797</v>
      </c>
    </row>
    <row r="1449" spans="1:27" x14ac:dyDescent="0.15">
      <c r="A1449" s="13" t="s">
        <v>5</v>
      </c>
      <c r="B1449" s="26"/>
      <c r="C1449" s="47">
        <v>10</v>
      </c>
      <c r="D1449" s="27"/>
      <c r="E1449" s="50">
        <v>10</v>
      </c>
      <c r="F1449" s="9">
        <f>SUM(B1449:E1449)</f>
        <v>20</v>
      </c>
      <c r="G1449" s="47"/>
      <c r="H1449" s="47"/>
      <c r="I1449" s="27"/>
      <c r="J1449" s="50"/>
      <c r="K1449" s="9">
        <f>SUM(G1449:J1449)</f>
        <v>0</v>
      </c>
      <c r="L1449" s="11">
        <f t="shared" ref="L1449:L1480" si="1130">F1449+K1449</f>
        <v>20</v>
      </c>
      <c r="M1449" s="99">
        <v>45447</v>
      </c>
      <c r="N1449" s="13" t="s">
        <v>5</v>
      </c>
      <c r="O1449" s="26"/>
      <c r="P1449" s="47"/>
      <c r="Q1449" s="27">
        <v>70</v>
      </c>
      <c r="R1449" s="34">
        <v>150</v>
      </c>
      <c r="S1449" s="77">
        <f t="shared" ref="S1449" si="1131">SUM(O1449:R1449)</f>
        <v>220</v>
      </c>
      <c r="T1449" s="26"/>
      <c r="U1449" s="47"/>
      <c r="V1449" s="27"/>
      <c r="W1449" s="34"/>
      <c r="X1449" s="9">
        <f t="shared" ref="X1449" si="1132">SUM(T1449:W1449)</f>
        <v>0</v>
      </c>
      <c r="Y1449" s="11">
        <f t="shared" ref="Y1449:Y1455" si="1133">S1449+X1449</f>
        <v>220</v>
      </c>
      <c r="Z1449" s="99" t="s">
        <v>1269</v>
      </c>
      <c r="AA1449" s="58"/>
    </row>
    <row r="1450" spans="1:27" x14ac:dyDescent="0.15">
      <c r="A1450" s="13" t="s">
        <v>6</v>
      </c>
      <c r="B1450" s="26">
        <v>5</v>
      </c>
      <c r="C1450" s="47">
        <v>3</v>
      </c>
      <c r="D1450" s="27"/>
      <c r="E1450" s="50"/>
      <c r="F1450" s="9">
        <f>SUM(B1450:E1450)</f>
        <v>8</v>
      </c>
      <c r="G1450" s="47">
        <v>3</v>
      </c>
      <c r="H1450" s="47">
        <v>5</v>
      </c>
      <c r="I1450" s="27"/>
      <c r="J1450" s="50"/>
      <c r="K1450" s="9">
        <f>SUM(G1450:J1450)</f>
        <v>8</v>
      </c>
      <c r="L1450" s="11">
        <f t="shared" si="1130"/>
        <v>16</v>
      </c>
      <c r="M1450" s="99">
        <v>45448</v>
      </c>
      <c r="N1450" s="13" t="s">
        <v>6</v>
      </c>
      <c r="O1450" s="26"/>
      <c r="P1450" s="47"/>
      <c r="Q1450" s="27"/>
      <c r="R1450" s="34"/>
      <c r="S1450" s="77">
        <f>SUM(O1450:R1450)</f>
        <v>0</v>
      </c>
      <c r="T1450" s="26"/>
      <c r="U1450" s="47"/>
      <c r="V1450" s="27"/>
      <c r="W1450" s="34"/>
      <c r="X1450" s="9">
        <f>SUM(T1450:W1450)</f>
        <v>0</v>
      </c>
      <c r="Y1450" s="11">
        <f t="shared" si="1133"/>
        <v>0</v>
      </c>
      <c r="Z1450" s="101" t="s">
        <v>1183</v>
      </c>
      <c r="AA1450" s="58"/>
    </row>
    <row r="1451" spans="1:27" x14ac:dyDescent="0.15">
      <c r="A1451" s="13" t="s">
        <v>1113</v>
      </c>
      <c r="B1451" s="26"/>
      <c r="C1451" s="47"/>
      <c r="D1451" s="27"/>
      <c r="E1451" s="50"/>
      <c r="F1451" s="9">
        <f>SUM(B1451:E1451)</f>
        <v>0</v>
      </c>
      <c r="G1451" s="47"/>
      <c r="H1451" s="47"/>
      <c r="I1451" s="27">
        <v>2</v>
      </c>
      <c r="J1451" s="50"/>
      <c r="K1451" s="9">
        <f>SUM(G1451:J1451)</f>
        <v>2</v>
      </c>
      <c r="L1451" s="11">
        <f t="shared" si="1130"/>
        <v>2</v>
      </c>
      <c r="M1451" s="99">
        <v>45453</v>
      </c>
      <c r="N1451" s="13" t="s">
        <v>7</v>
      </c>
      <c r="O1451" s="26"/>
      <c r="P1451" s="47"/>
      <c r="Q1451" s="27"/>
      <c r="R1451" s="34"/>
      <c r="S1451" s="77">
        <f t="shared" ref="S1451:S1452" si="1134">SUM(O1451:R1451)</f>
        <v>0</v>
      </c>
      <c r="T1451" s="26"/>
      <c r="U1451" s="47"/>
      <c r="V1451" s="27"/>
      <c r="W1451" s="34"/>
      <c r="X1451" s="9">
        <f t="shared" ref="X1451:X1452" si="1135">SUM(T1451:W1451)</f>
        <v>0</v>
      </c>
      <c r="Y1451" s="11">
        <f t="shared" si="1133"/>
        <v>0</v>
      </c>
      <c r="Z1451" s="101"/>
    </row>
    <row r="1452" spans="1:27" ht="14.25" thickBot="1" x14ac:dyDescent="0.2">
      <c r="A1452" s="13" t="s">
        <v>727</v>
      </c>
      <c r="B1452" s="26">
        <v>-2</v>
      </c>
      <c r="C1452" s="47">
        <v>-1</v>
      </c>
      <c r="D1452" s="27">
        <v>1</v>
      </c>
      <c r="E1452" s="50"/>
      <c r="F1452" s="10">
        <f>SUM(B1452:E1452)</f>
        <v>-2</v>
      </c>
      <c r="G1452" s="47"/>
      <c r="H1452" s="47">
        <v>1</v>
      </c>
      <c r="I1452" s="27"/>
      <c r="J1452" s="50"/>
      <c r="K1452" s="10">
        <f>SUM(G1452:J1452)</f>
        <v>1</v>
      </c>
      <c r="L1452" s="14">
        <f t="shared" si="1130"/>
        <v>-1</v>
      </c>
      <c r="M1452" s="99">
        <v>45471</v>
      </c>
      <c r="N1452" s="13" t="s">
        <v>8</v>
      </c>
      <c r="O1452" s="26"/>
      <c r="P1452" s="47"/>
      <c r="Q1452" s="27"/>
      <c r="R1452" s="34"/>
      <c r="S1452" s="77">
        <f t="shared" si="1134"/>
        <v>0</v>
      </c>
      <c r="T1452" s="26"/>
      <c r="U1452" s="47"/>
      <c r="V1452" s="27"/>
      <c r="W1452" s="34"/>
      <c r="X1452" s="9">
        <f t="shared" si="1135"/>
        <v>0</v>
      </c>
      <c r="Y1452" s="11">
        <f t="shared" si="1133"/>
        <v>0</v>
      </c>
      <c r="Z1452" s="101"/>
    </row>
    <row r="1453" spans="1:27" ht="14.25" thickBot="1" x14ac:dyDescent="0.2">
      <c r="A1453" s="22" t="s">
        <v>9</v>
      </c>
      <c r="B1453" s="51">
        <f t="shared" ref="B1453:K1453" si="1136">SUM(B1448:B1452)</f>
        <v>5</v>
      </c>
      <c r="C1453" s="52">
        <f t="shared" si="1136"/>
        <v>13</v>
      </c>
      <c r="D1453" s="53">
        <f t="shared" si="1136"/>
        <v>7</v>
      </c>
      <c r="E1453" s="54">
        <f t="shared" si="1136"/>
        <v>12</v>
      </c>
      <c r="F1453" s="28">
        <f t="shared" si="1136"/>
        <v>33</v>
      </c>
      <c r="G1453" s="51">
        <f t="shared" si="1136"/>
        <v>7</v>
      </c>
      <c r="H1453" s="52">
        <f t="shared" si="1136"/>
        <v>6</v>
      </c>
      <c r="I1453" s="53">
        <f t="shared" si="1136"/>
        <v>6</v>
      </c>
      <c r="J1453" s="54">
        <f t="shared" si="1136"/>
        <v>8</v>
      </c>
      <c r="K1453" s="28">
        <f t="shared" si="1136"/>
        <v>27</v>
      </c>
      <c r="L1453" s="21">
        <f t="shared" si="1130"/>
        <v>60</v>
      </c>
      <c r="N1453" s="17" t="s">
        <v>9</v>
      </c>
      <c r="O1453" s="41">
        <f>SUM(O1448:O1452)</f>
        <v>527</v>
      </c>
      <c r="P1453" s="49">
        <f t="shared" ref="P1453:V1453" si="1137">SUM(P1448:P1452)</f>
        <v>568</v>
      </c>
      <c r="Q1453" s="42">
        <f t="shared" si="1137"/>
        <v>431</v>
      </c>
      <c r="R1453" s="92">
        <f t="shared" si="1137"/>
        <v>264</v>
      </c>
      <c r="S1453" s="93">
        <f t="shared" si="1137"/>
        <v>1790</v>
      </c>
      <c r="T1453" s="41">
        <f t="shared" si="1137"/>
        <v>626</v>
      </c>
      <c r="U1453" s="49">
        <f t="shared" si="1137"/>
        <v>736</v>
      </c>
      <c r="V1453" s="42">
        <f t="shared" si="1137"/>
        <v>554</v>
      </c>
      <c r="W1453" s="92">
        <f>SUM(W1448:W1452)</f>
        <v>311</v>
      </c>
      <c r="X1453" s="93">
        <f t="shared" ref="X1453" si="1138">SUM(X1448:X1452)</f>
        <v>2227</v>
      </c>
      <c r="Y1453" s="56">
        <f t="shared" si="1133"/>
        <v>4017</v>
      </c>
    </row>
    <row r="1454" spans="1:27" x14ac:dyDescent="0.15">
      <c r="A1454" s="57" t="s">
        <v>1223</v>
      </c>
      <c r="B1454" s="24"/>
      <c r="C1454" s="46">
        <v>6</v>
      </c>
      <c r="D1454" s="25"/>
      <c r="E1454" s="33">
        <v>6</v>
      </c>
      <c r="F1454" s="35">
        <f>SUM(B1454:E1454)</f>
        <v>12</v>
      </c>
      <c r="G1454" s="24"/>
      <c r="H1454" s="46"/>
      <c r="I1454" s="25"/>
      <c r="J1454" s="33"/>
      <c r="K1454" s="35">
        <f>SUM(G1454:J1454)</f>
        <v>0</v>
      </c>
      <c r="L1454" s="11">
        <f t="shared" si="1130"/>
        <v>12</v>
      </c>
      <c r="M1454" s="99">
        <v>45448</v>
      </c>
      <c r="N1454" s="57" t="s">
        <v>1213</v>
      </c>
      <c r="O1454" s="26"/>
      <c r="P1454" s="47"/>
      <c r="Q1454" s="27">
        <v>20</v>
      </c>
      <c r="R1454" s="34"/>
      <c r="S1454" s="35">
        <f t="shared" ref="S1454" si="1139">SUM(O1454:R1454)</f>
        <v>20</v>
      </c>
      <c r="T1454" s="26"/>
      <c r="U1454" s="47"/>
      <c r="V1454" s="27">
        <v>20</v>
      </c>
      <c r="W1454" s="34"/>
      <c r="X1454" s="35">
        <f t="shared" ref="X1454" si="1140">SUM(T1454:W1454)</f>
        <v>20</v>
      </c>
      <c r="Y1454" s="11">
        <f t="shared" si="1133"/>
        <v>40</v>
      </c>
      <c r="Z1454" s="99">
        <v>45448</v>
      </c>
    </row>
    <row r="1455" spans="1:27" x14ac:dyDescent="0.15">
      <c r="A1455" s="32" t="s">
        <v>1225</v>
      </c>
      <c r="B1455" s="26">
        <v>1</v>
      </c>
      <c r="C1455" s="47"/>
      <c r="D1455" s="27"/>
      <c r="E1455" s="34"/>
      <c r="F1455" s="35">
        <f>SUM(B1455:E1455)</f>
        <v>1</v>
      </c>
      <c r="G1455" s="26"/>
      <c r="H1455" s="47"/>
      <c r="I1455" s="27"/>
      <c r="J1455" s="34"/>
      <c r="K1455" s="35">
        <f>SUM(G1455:J1455)</f>
        <v>0</v>
      </c>
      <c r="L1455" s="11">
        <f t="shared" si="1130"/>
        <v>1</v>
      </c>
      <c r="M1455" s="99">
        <v>45449</v>
      </c>
      <c r="N1455" s="57" t="s">
        <v>1218</v>
      </c>
      <c r="O1455" s="66">
        <v>8</v>
      </c>
      <c r="P1455" s="67"/>
      <c r="Q1455" s="68"/>
      <c r="R1455" s="94"/>
      <c r="S1455" s="91">
        <f>SUM(O1455:R1455)</f>
        <v>8</v>
      </c>
      <c r="T1455" s="67"/>
      <c r="U1455" s="67"/>
      <c r="V1455" s="68"/>
      <c r="W1455" s="94"/>
      <c r="X1455" s="91">
        <f>SUM(T1455:W1455)</f>
        <v>0</v>
      </c>
      <c r="Y1455" s="11">
        <f t="shared" si="1133"/>
        <v>8</v>
      </c>
      <c r="Z1455" s="99">
        <v>45447</v>
      </c>
      <c r="AA1455" s="58"/>
    </row>
    <row r="1456" spans="1:27" x14ac:dyDescent="0.15">
      <c r="A1456" s="32" t="s">
        <v>41</v>
      </c>
      <c r="B1456" s="26"/>
      <c r="C1456" s="47">
        <v>1</v>
      </c>
      <c r="D1456" s="27">
        <v>1</v>
      </c>
      <c r="E1456" s="34"/>
      <c r="F1456" s="35">
        <f t="shared" ref="F1456:F1478" si="1141">SUM(B1456:E1456)</f>
        <v>2</v>
      </c>
      <c r="G1456" s="26">
        <v>1</v>
      </c>
      <c r="H1456" s="47"/>
      <c r="I1456" s="27"/>
      <c r="J1456" s="34"/>
      <c r="K1456" s="35">
        <f t="shared" ref="K1456:K1478" si="1142">SUM(G1456:J1456)</f>
        <v>1</v>
      </c>
      <c r="L1456" s="11">
        <f t="shared" si="1130"/>
        <v>3</v>
      </c>
      <c r="M1456" s="99">
        <v>45453</v>
      </c>
      <c r="N1456" s="12" t="s">
        <v>1219</v>
      </c>
      <c r="O1456" s="26">
        <v>14</v>
      </c>
      <c r="P1456" s="47">
        <v>18</v>
      </c>
      <c r="Q1456" s="27">
        <v>13</v>
      </c>
      <c r="R1456" s="34">
        <v>13</v>
      </c>
      <c r="S1456" s="35">
        <f t="shared" ref="S1456:S1457" si="1143">SUM(O1456:R1456)</f>
        <v>58</v>
      </c>
      <c r="T1456" s="26">
        <v>3</v>
      </c>
      <c r="U1456" s="47">
        <v>3</v>
      </c>
      <c r="V1456" s="27">
        <v>3</v>
      </c>
      <c r="W1456" s="34">
        <v>3</v>
      </c>
      <c r="X1456" s="35">
        <f t="shared" ref="X1456:X1457" si="1144">SUM(T1456:W1456)</f>
        <v>12</v>
      </c>
      <c r="Y1456" s="11">
        <f t="shared" ref="Y1456:Y1457" si="1145">S1456+X1456</f>
        <v>70</v>
      </c>
      <c r="Z1456" s="99">
        <v>45448</v>
      </c>
      <c r="AA1456" s="58"/>
    </row>
    <row r="1457" spans="1:28" x14ac:dyDescent="0.15">
      <c r="A1457" s="32" t="s">
        <v>41</v>
      </c>
      <c r="B1457" s="66"/>
      <c r="C1457" s="67">
        <v>1</v>
      </c>
      <c r="D1457" s="68"/>
      <c r="E1457" s="69"/>
      <c r="F1457" s="70">
        <f t="shared" si="1141"/>
        <v>1</v>
      </c>
      <c r="G1457" s="66"/>
      <c r="H1457" s="67"/>
      <c r="I1457" s="68">
        <v>1</v>
      </c>
      <c r="J1457" s="69">
        <v>1</v>
      </c>
      <c r="K1457" s="70">
        <f t="shared" si="1142"/>
        <v>2</v>
      </c>
      <c r="L1457" s="11">
        <f t="shared" si="1130"/>
        <v>3</v>
      </c>
      <c r="M1457" s="99">
        <v>45454</v>
      </c>
      <c r="N1457" s="32" t="s">
        <v>1221</v>
      </c>
      <c r="O1457" s="26">
        <v>9</v>
      </c>
      <c r="P1457" s="47">
        <v>8</v>
      </c>
      <c r="Q1457" s="27">
        <v>2</v>
      </c>
      <c r="R1457" s="34">
        <v>6</v>
      </c>
      <c r="S1457" s="35">
        <f t="shared" si="1143"/>
        <v>25</v>
      </c>
      <c r="T1457" s="26"/>
      <c r="U1457" s="47">
        <v>3</v>
      </c>
      <c r="V1457" s="27"/>
      <c r="W1457" s="34"/>
      <c r="X1457" s="35">
        <f t="shared" si="1144"/>
        <v>3</v>
      </c>
      <c r="Y1457" s="11">
        <f t="shared" si="1145"/>
        <v>28</v>
      </c>
      <c r="Z1457" s="99">
        <v>45448</v>
      </c>
      <c r="AA1457" s="58"/>
    </row>
    <row r="1458" spans="1:28" x14ac:dyDescent="0.15">
      <c r="A1458" s="13" t="s">
        <v>1241</v>
      </c>
      <c r="B1458" s="26"/>
      <c r="C1458" s="47">
        <v>-1</v>
      </c>
      <c r="D1458" s="27"/>
      <c r="E1458" s="34"/>
      <c r="F1458" s="35">
        <f t="shared" si="1141"/>
        <v>-1</v>
      </c>
      <c r="G1458" s="26"/>
      <c r="H1458" s="47">
        <v>-1</v>
      </c>
      <c r="I1458" s="27">
        <v>-2</v>
      </c>
      <c r="J1458" s="34"/>
      <c r="K1458" s="35">
        <f t="shared" si="1142"/>
        <v>-3</v>
      </c>
      <c r="L1458" s="11">
        <f t="shared" si="1130"/>
        <v>-4</v>
      </c>
      <c r="M1458" s="99">
        <v>45455</v>
      </c>
      <c r="N1458" s="12" t="s">
        <v>1222</v>
      </c>
      <c r="O1458" s="26">
        <v>12</v>
      </c>
      <c r="P1458" s="47"/>
      <c r="Q1458" s="27"/>
      <c r="R1458" s="34"/>
      <c r="S1458" s="35">
        <f t="shared" ref="S1458:S1460" si="1146">SUM(O1458:R1458)</f>
        <v>12</v>
      </c>
      <c r="T1458" s="26"/>
      <c r="U1458" s="47"/>
      <c r="V1458" s="27"/>
      <c r="W1458" s="34"/>
      <c r="X1458" s="35">
        <f t="shared" ref="X1458:X1460" si="1147">SUM(T1458:W1458)</f>
        <v>0</v>
      </c>
      <c r="Y1458" s="11">
        <f t="shared" ref="Y1458:Y1480" si="1148">S1458+X1458</f>
        <v>12</v>
      </c>
      <c r="Z1458" s="99">
        <v>45448</v>
      </c>
      <c r="AA1458" s="58"/>
    </row>
    <row r="1459" spans="1:28" x14ac:dyDescent="0.15">
      <c r="A1459" s="13" t="s">
        <v>1246</v>
      </c>
      <c r="B1459" s="26">
        <v>-2</v>
      </c>
      <c r="C1459" s="47">
        <v>-2</v>
      </c>
      <c r="D1459" s="27"/>
      <c r="E1459" s="34"/>
      <c r="F1459" s="35">
        <f t="shared" si="1141"/>
        <v>-4</v>
      </c>
      <c r="G1459" s="26"/>
      <c r="H1459" s="47"/>
      <c r="I1459" s="27"/>
      <c r="J1459" s="34"/>
      <c r="K1459" s="35">
        <f t="shared" si="1142"/>
        <v>0</v>
      </c>
      <c r="L1459" s="11">
        <f t="shared" si="1130"/>
        <v>-4</v>
      </c>
      <c r="M1459" s="126">
        <v>45460</v>
      </c>
      <c r="N1459" s="57" t="s">
        <v>34</v>
      </c>
      <c r="O1459" s="26"/>
      <c r="P1459" s="47">
        <v>10</v>
      </c>
      <c r="Q1459" s="27"/>
      <c r="R1459" s="34">
        <v>10</v>
      </c>
      <c r="S1459" s="35">
        <f t="shared" si="1146"/>
        <v>20</v>
      </c>
      <c r="T1459" s="26"/>
      <c r="U1459" s="47"/>
      <c r="V1459" s="27"/>
      <c r="W1459" s="34"/>
      <c r="X1459" s="35">
        <f t="shared" si="1147"/>
        <v>0</v>
      </c>
      <c r="Y1459" s="11">
        <f t="shared" si="1148"/>
        <v>20</v>
      </c>
      <c r="Z1459" s="99">
        <v>45447</v>
      </c>
      <c r="AA1459" s="58"/>
    </row>
    <row r="1460" spans="1:28" x14ac:dyDescent="0.15">
      <c r="A1460" s="79"/>
      <c r="B1460" s="26"/>
      <c r="C1460" s="47"/>
      <c r="D1460" s="27"/>
      <c r="E1460" s="34"/>
      <c r="F1460" s="35">
        <f t="shared" si="1141"/>
        <v>0</v>
      </c>
      <c r="G1460" s="26"/>
      <c r="H1460" s="47"/>
      <c r="I1460" s="27"/>
      <c r="J1460" s="34"/>
      <c r="K1460" s="35">
        <f t="shared" si="1142"/>
        <v>0</v>
      </c>
      <c r="L1460" s="11">
        <f t="shared" si="1130"/>
        <v>0</v>
      </c>
      <c r="N1460" s="57" t="s">
        <v>1224</v>
      </c>
      <c r="O1460" s="26"/>
      <c r="P1460" s="47">
        <v>4</v>
      </c>
      <c r="Q1460" s="27"/>
      <c r="R1460" s="34"/>
      <c r="S1460" s="35">
        <f t="shared" si="1146"/>
        <v>4</v>
      </c>
      <c r="T1460" s="26"/>
      <c r="U1460" s="47"/>
      <c r="V1460" s="27"/>
      <c r="W1460" s="34"/>
      <c r="X1460" s="35">
        <f t="shared" si="1147"/>
        <v>0</v>
      </c>
      <c r="Y1460" s="11">
        <f t="shared" si="1148"/>
        <v>4</v>
      </c>
      <c r="Z1460" s="99">
        <v>45450</v>
      </c>
    </row>
    <row r="1461" spans="1:28" x14ac:dyDescent="0.15">
      <c r="A1461" s="32"/>
      <c r="B1461" s="26"/>
      <c r="C1461" s="47"/>
      <c r="D1461" s="27"/>
      <c r="E1461" s="34"/>
      <c r="F1461" s="35">
        <f t="shared" si="1141"/>
        <v>0</v>
      </c>
      <c r="G1461" s="26"/>
      <c r="H1461" s="47"/>
      <c r="I1461" s="27"/>
      <c r="J1461" s="34"/>
      <c r="K1461" s="35">
        <f t="shared" si="1142"/>
        <v>0</v>
      </c>
      <c r="L1461" s="11">
        <f t="shared" si="1130"/>
        <v>0</v>
      </c>
      <c r="N1461" s="32" t="s">
        <v>1226</v>
      </c>
      <c r="O1461" s="26">
        <v>7</v>
      </c>
      <c r="P1461" s="47">
        <v>4</v>
      </c>
      <c r="Q1461" s="27">
        <v>3</v>
      </c>
      <c r="R1461" s="50">
        <v>6</v>
      </c>
      <c r="S1461" s="9">
        <f>SUM(O1461:R1461)</f>
        <v>20</v>
      </c>
      <c r="T1461" s="47"/>
      <c r="U1461" s="47">
        <v>1</v>
      </c>
      <c r="V1461" s="27">
        <v>3</v>
      </c>
      <c r="W1461" s="50"/>
      <c r="X1461" s="9">
        <f>SUM(T1461:W1461)</f>
        <v>4</v>
      </c>
      <c r="Y1461" s="11">
        <f t="shared" si="1148"/>
        <v>24</v>
      </c>
      <c r="Z1461" s="99">
        <v>45449</v>
      </c>
    </row>
    <row r="1462" spans="1:28" x14ac:dyDescent="0.15">
      <c r="A1462" s="13"/>
      <c r="B1462" s="26"/>
      <c r="C1462" s="47"/>
      <c r="D1462" s="27"/>
      <c r="E1462" s="34"/>
      <c r="F1462" s="35">
        <f t="shared" si="1141"/>
        <v>0</v>
      </c>
      <c r="G1462" s="26"/>
      <c r="H1462" s="47"/>
      <c r="I1462" s="27"/>
      <c r="J1462" s="34"/>
      <c r="K1462" s="35">
        <f t="shared" si="1142"/>
        <v>0</v>
      </c>
      <c r="L1462" s="11">
        <f t="shared" si="1130"/>
        <v>0</v>
      </c>
      <c r="N1462" s="57" t="s">
        <v>34</v>
      </c>
      <c r="O1462" s="26">
        <v>5</v>
      </c>
      <c r="P1462" s="47"/>
      <c r="Q1462" s="27"/>
      <c r="R1462" s="34"/>
      <c r="S1462" s="35">
        <f>SUM(O1462:R1462)</f>
        <v>5</v>
      </c>
      <c r="T1462" s="26"/>
      <c r="U1462" s="47">
        <v>5</v>
      </c>
      <c r="V1462" s="27"/>
      <c r="W1462" s="34"/>
      <c r="X1462" s="35">
        <f>SUM(T1462:W1462)</f>
        <v>5</v>
      </c>
      <c r="Y1462" s="11">
        <f t="shared" si="1148"/>
        <v>10</v>
      </c>
      <c r="Z1462" s="99">
        <v>45448</v>
      </c>
    </row>
    <row r="1463" spans="1:28" x14ac:dyDescent="0.15">
      <c r="A1463" s="32"/>
      <c r="B1463" s="26"/>
      <c r="C1463" s="47"/>
      <c r="D1463" s="27"/>
      <c r="E1463" s="34"/>
      <c r="F1463" s="35">
        <f t="shared" si="1141"/>
        <v>0</v>
      </c>
      <c r="G1463" s="26"/>
      <c r="H1463" s="47"/>
      <c r="I1463" s="27"/>
      <c r="J1463" s="34"/>
      <c r="K1463" s="35">
        <f t="shared" si="1142"/>
        <v>0</v>
      </c>
      <c r="L1463" s="11">
        <f t="shared" si="1130"/>
        <v>0</v>
      </c>
      <c r="N1463" s="57" t="s">
        <v>1227</v>
      </c>
      <c r="O1463" s="26">
        <v>12</v>
      </c>
      <c r="P1463" s="47"/>
      <c r="Q1463" s="27"/>
      <c r="R1463" s="34"/>
      <c r="S1463" s="35">
        <f t="shared" ref="S1463:S1479" si="1149">SUM(O1463:R1463)</f>
        <v>12</v>
      </c>
      <c r="T1463" s="26"/>
      <c r="U1463" s="47"/>
      <c r="V1463" s="27"/>
      <c r="W1463" s="34"/>
      <c r="X1463" s="35">
        <f t="shared" ref="X1463:X1479" si="1150">SUM(T1463:W1463)</f>
        <v>0</v>
      </c>
      <c r="Y1463" s="11">
        <f t="shared" si="1148"/>
        <v>12</v>
      </c>
      <c r="Z1463" s="99">
        <v>45449</v>
      </c>
    </row>
    <row r="1464" spans="1:28" x14ac:dyDescent="0.15">
      <c r="A1464" s="15"/>
      <c r="B1464" s="26"/>
      <c r="C1464" s="47"/>
      <c r="D1464" s="27"/>
      <c r="E1464" s="34"/>
      <c r="F1464" s="35">
        <f t="shared" si="1141"/>
        <v>0</v>
      </c>
      <c r="G1464" s="26"/>
      <c r="H1464" s="47"/>
      <c r="I1464" s="27"/>
      <c r="J1464" s="34"/>
      <c r="K1464" s="35">
        <f t="shared" si="1142"/>
        <v>0</v>
      </c>
      <c r="L1464" s="11">
        <f t="shared" si="1130"/>
        <v>0</v>
      </c>
      <c r="N1464" s="57" t="s">
        <v>1228</v>
      </c>
      <c r="O1464" s="26"/>
      <c r="P1464" s="47">
        <v>3</v>
      </c>
      <c r="Q1464" s="27"/>
      <c r="R1464" s="34"/>
      <c r="S1464" s="35">
        <f t="shared" si="1149"/>
        <v>3</v>
      </c>
      <c r="T1464" s="26"/>
      <c r="U1464" s="47"/>
      <c r="V1464" s="27"/>
      <c r="W1464" s="34"/>
      <c r="X1464" s="35">
        <f t="shared" si="1150"/>
        <v>0</v>
      </c>
      <c r="Y1464" s="11">
        <f t="shared" si="1148"/>
        <v>3</v>
      </c>
      <c r="Z1464" s="99">
        <v>45453</v>
      </c>
    </row>
    <row r="1465" spans="1:28" x14ac:dyDescent="0.15">
      <c r="A1465" s="13"/>
      <c r="B1465" s="26"/>
      <c r="C1465" s="47"/>
      <c r="D1465" s="27"/>
      <c r="E1465" s="34"/>
      <c r="F1465" s="35">
        <f t="shared" si="1141"/>
        <v>0</v>
      </c>
      <c r="G1465" s="26"/>
      <c r="H1465" s="47"/>
      <c r="I1465" s="27"/>
      <c r="J1465" s="34"/>
      <c r="K1465" s="35">
        <f t="shared" si="1142"/>
        <v>0</v>
      </c>
      <c r="L1465" s="11">
        <f t="shared" si="1130"/>
        <v>0</v>
      </c>
      <c r="N1465" s="32" t="s">
        <v>1229</v>
      </c>
      <c r="O1465" s="26">
        <v>5</v>
      </c>
      <c r="P1465" s="47">
        <v>2</v>
      </c>
      <c r="Q1465" s="27">
        <v>11</v>
      </c>
      <c r="R1465" s="34">
        <v>6</v>
      </c>
      <c r="S1465" s="35">
        <f t="shared" si="1149"/>
        <v>24</v>
      </c>
      <c r="T1465" s="26">
        <v>4</v>
      </c>
      <c r="U1465" s="47"/>
      <c r="V1465" s="27">
        <v>2</v>
      </c>
      <c r="W1465" s="34"/>
      <c r="X1465" s="35">
        <f t="shared" si="1150"/>
        <v>6</v>
      </c>
      <c r="Y1465" s="11">
        <f t="shared" si="1148"/>
        <v>30</v>
      </c>
      <c r="Z1465" s="99">
        <v>45450</v>
      </c>
      <c r="AA1465" s="58"/>
      <c r="AB1465" s="58"/>
    </row>
    <row r="1466" spans="1:28" x14ac:dyDescent="0.15">
      <c r="A1466" s="15"/>
      <c r="B1466" s="26"/>
      <c r="C1466" s="47"/>
      <c r="D1466" s="27"/>
      <c r="E1466" s="34"/>
      <c r="F1466" s="35">
        <f t="shared" si="1141"/>
        <v>0</v>
      </c>
      <c r="G1466" s="26"/>
      <c r="H1466" s="47"/>
      <c r="I1466" s="27"/>
      <c r="J1466" s="34"/>
      <c r="K1466" s="35">
        <f t="shared" si="1142"/>
        <v>0</v>
      </c>
      <c r="L1466" s="11">
        <f t="shared" si="1130"/>
        <v>0</v>
      </c>
      <c r="N1466" s="57" t="s">
        <v>1230</v>
      </c>
      <c r="O1466" s="26"/>
      <c r="P1466" s="47">
        <v>3</v>
      </c>
      <c r="Q1466" s="27"/>
      <c r="R1466" s="34"/>
      <c r="S1466" s="35">
        <f t="shared" si="1149"/>
        <v>3</v>
      </c>
      <c r="T1466" s="26"/>
      <c r="U1466" s="47"/>
      <c r="V1466" s="27"/>
      <c r="W1466" s="34"/>
      <c r="X1466" s="35">
        <f t="shared" si="1150"/>
        <v>0</v>
      </c>
      <c r="Y1466" s="11">
        <f t="shared" si="1148"/>
        <v>3</v>
      </c>
      <c r="Z1466" s="99">
        <v>45454</v>
      </c>
      <c r="AA1466" s="58"/>
    </row>
    <row r="1467" spans="1:28" x14ac:dyDescent="0.15">
      <c r="A1467" s="13"/>
      <c r="B1467" s="26"/>
      <c r="C1467" s="47"/>
      <c r="D1467" s="27"/>
      <c r="E1467" s="34"/>
      <c r="F1467" s="35">
        <f t="shared" si="1141"/>
        <v>0</v>
      </c>
      <c r="G1467" s="26"/>
      <c r="H1467" s="47"/>
      <c r="I1467" s="27"/>
      <c r="J1467" s="34"/>
      <c r="K1467" s="35">
        <f t="shared" si="1142"/>
        <v>0</v>
      </c>
      <c r="L1467" s="11">
        <f t="shared" si="1130"/>
        <v>0</v>
      </c>
      <c r="N1467" s="32" t="s">
        <v>1231</v>
      </c>
      <c r="O1467" s="26">
        <v>3</v>
      </c>
      <c r="P1467" s="47">
        <v>2</v>
      </c>
      <c r="Q1467" s="27">
        <v>2</v>
      </c>
      <c r="R1467" s="34">
        <v>2</v>
      </c>
      <c r="S1467" s="35">
        <f t="shared" si="1149"/>
        <v>9</v>
      </c>
      <c r="T1467" s="26"/>
      <c r="U1467" s="47"/>
      <c r="V1467" s="27">
        <v>1</v>
      </c>
      <c r="W1467" s="34">
        <v>1</v>
      </c>
      <c r="X1467" s="35">
        <f t="shared" si="1150"/>
        <v>2</v>
      </c>
      <c r="Y1467" s="11">
        <f t="shared" si="1148"/>
        <v>11</v>
      </c>
      <c r="Z1467" s="99">
        <v>45450</v>
      </c>
    </row>
    <row r="1468" spans="1:28" x14ac:dyDescent="0.15">
      <c r="A1468" s="15"/>
      <c r="B1468" s="26"/>
      <c r="C1468" s="47"/>
      <c r="D1468" s="27"/>
      <c r="E1468" s="34"/>
      <c r="F1468" s="35">
        <f t="shared" si="1141"/>
        <v>0</v>
      </c>
      <c r="G1468" s="26"/>
      <c r="H1468" s="47"/>
      <c r="I1468" s="27"/>
      <c r="J1468" s="34"/>
      <c r="K1468" s="35">
        <f t="shared" si="1142"/>
        <v>0</v>
      </c>
      <c r="L1468" s="11">
        <f t="shared" si="1130"/>
        <v>0</v>
      </c>
      <c r="N1468" s="32" t="s">
        <v>1232</v>
      </c>
      <c r="O1468" s="26">
        <v>3</v>
      </c>
      <c r="P1468" s="47">
        <v>1</v>
      </c>
      <c r="Q1468" s="27">
        <v>1</v>
      </c>
      <c r="R1468" s="34">
        <v>1</v>
      </c>
      <c r="S1468" s="35">
        <f t="shared" si="1149"/>
        <v>6</v>
      </c>
      <c r="T1468" s="26">
        <v>2</v>
      </c>
      <c r="U1468" s="47"/>
      <c r="V1468" s="27"/>
      <c r="W1468" s="34">
        <v>1</v>
      </c>
      <c r="X1468" s="35">
        <f t="shared" si="1150"/>
        <v>3</v>
      </c>
      <c r="Y1468" s="11">
        <f t="shared" si="1148"/>
        <v>9</v>
      </c>
      <c r="Z1468" s="99">
        <v>45453</v>
      </c>
      <c r="AA1468" s="58"/>
    </row>
    <row r="1469" spans="1:28" x14ac:dyDescent="0.15">
      <c r="A1469" s="13"/>
      <c r="B1469" s="26"/>
      <c r="C1469" s="47"/>
      <c r="D1469" s="27"/>
      <c r="E1469" s="34"/>
      <c r="F1469" s="35">
        <f t="shared" si="1141"/>
        <v>0</v>
      </c>
      <c r="G1469" s="26"/>
      <c r="H1469" s="47"/>
      <c r="I1469" s="27"/>
      <c r="J1469" s="34"/>
      <c r="K1469" s="35">
        <f t="shared" si="1142"/>
        <v>0</v>
      </c>
      <c r="L1469" s="11">
        <f t="shared" si="1130"/>
        <v>0</v>
      </c>
      <c r="N1469" s="57" t="s">
        <v>1233</v>
      </c>
      <c r="O1469" s="26"/>
      <c r="P1469" s="47">
        <v>4</v>
      </c>
      <c r="Q1469" s="27">
        <v>4</v>
      </c>
      <c r="R1469" s="34">
        <v>4</v>
      </c>
      <c r="S1469" s="35">
        <f t="shared" si="1149"/>
        <v>12</v>
      </c>
      <c r="T1469" s="26"/>
      <c r="U1469" s="47"/>
      <c r="V1469" s="27">
        <v>4</v>
      </c>
      <c r="W1469" s="34"/>
      <c r="X1469" s="35">
        <f t="shared" si="1150"/>
        <v>4</v>
      </c>
      <c r="Y1469" s="11">
        <f t="shared" si="1148"/>
        <v>16</v>
      </c>
      <c r="Z1469" s="99">
        <v>45454</v>
      </c>
    </row>
    <row r="1470" spans="1:28" x14ac:dyDescent="0.15">
      <c r="A1470" s="15"/>
      <c r="B1470" s="26"/>
      <c r="C1470" s="47"/>
      <c r="D1470" s="27"/>
      <c r="E1470" s="34"/>
      <c r="F1470" s="35">
        <f t="shared" si="1141"/>
        <v>0</v>
      </c>
      <c r="G1470" s="26"/>
      <c r="H1470" s="47"/>
      <c r="I1470" s="27"/>
      <c r="J1470" s="34"/>
      <c r="K1470" s="35">
        <f t="shared" si="1142"/>
        <v>0</v>
      </c>
      <c r="L1470" s="11">
        <f t="shared" si="1130"/>
        <v>0</v>
      </c>
      <c r="N1470" s="32" t="s">
        <v>1234</v>
      </c>
      <c r="O1470" s="26">
        <v>2</v>
      </c>
      <c r="P1470" s="47"/>
      <c r="Q1470" s="27">
        <v>3</v>
      </c>
      <c r="R1470" s="34">
        <v>4</v>
      </c>
      <c r="S1470" s="35">
        <f t="shared" si="1149"/>
        <v>9</v>
      </c>
      <c r="T1470" s="26">
        <v>1</v>
      </c>
      <c r="U1470" s="47">
        <v>1</v>
      </c>
      <c r="V1470" s="27">
        <v>1</v>
      </c>
      <c r="W1470" s="34">
        <v>2</v>
      </c>
      <c r="X1470" s="35">
        <f t="shared" si="1150"/>
        <v>5</v>
      </c>
      <c r="Y1470" s="11">
        <f t="shared" si="1148"/>
        <v>14</v>
      </c>
      <c r="Z1470" s="99">
        <v>45455</v>
      </c>
    </row>
    <row r="1471" spans="1:28" x14ac:dyDescent="0.15">
      <c r="A1471" s="15"/>
      <c r="B1471" s="26"/>
      <c r="C1471" s="47"/>
      <c r="D1471" s="27"/>
      <c r="E1471" s="34"/>
      <c r="F1471" s="35">
        <f t="shared" si="1141"/>
        <v>0</v>
      </c>
      <c r="G1471" s="26"/>
      <c r="H1471" s="47"/>
      <c r="I1471" s="27"/>
      <c r="J1471" s="34"/>
      <c r="K1471" s="35">
        <f t="shared" si="1142"/>
        <v>0</v>
      </c>
      <c r="L1471" s="11">
        <f t="shared" si="1130"/>
        <v>0</v>
      </c>
      <c r="N1471" s="57" t="s">
        <v>1235</v>
      </c>
      <c r="O1471" s="26"/>
      <c r="P1471" s="47"/>
      <c r="Q1471" s="27"/>
      <c r="R1471" s="34"/>
      <c r="S1471" s="35">
        <f t="shared" ref="S1471:S1477" si="1151">SUM(O1471:R1471)</f>
        <v>0</v>
      </c>
      <c r="T1471" s="26"/>
      <c r="U1471" s="47">
        <v>3</v>
      </c>
      <c r="V1471" s="27"/>
      <c r="W1471" s="34"/>
      <c r="X1471" s="35">
        <f t="shared" ref="X1471:X1477" si="1152">SUM(T1471:W1471)</f>
        <v>3</v>
      </c>
      <c r="Y1471" s="11">
        <f t="shared" ref="Y1471:Y1477" si="1153">S1471+X1471</f>
        <v>3</v>
      </c>
      <c r="Z1471" s="99">
        <v>45456</v>
      </c>
    </row>
    <row r="1472" spans="1:28" x14ac:dyDescent="0.15">
      <c r="A1472" s="13"/>
      <c r="B1472" s="26"/>
      <c r="C1472" s="47"/>
      <c r="D1472" s="27"/>
      <c r="E1472" s="34"/>
      <c r="F1472" s="35">
        <f t="shared" si="1141"/>
        <v>0</v>
      </c>
      <c r="G1472" s="26"/>
      <c r="H1472" s="47"/>
      <c r="I1472" s="27"/>
      <c r="J1472" s="34"/>
      <c r="K1472" s="35">
        <f t="shared" si="1142"/>
        <v>0</v>
      </c>
      <c r="L1472" s="11">
        <f t="shared" si="1130"/>
        <v>0</v>
      </c>
      <c r="N1472" s="32" t="s">
        <v>1238</v>
      </c>
      <c r="O1472" s="26">
        <v>4</v>
      </c>
      <c r="P1472" s="47">
        <v>8</v>
      </c>
      <c r="Q1472" s="27">
        <v>7</v>
      </c>
      <c r="R1472" s="34">
        <v>2</v>
      </c>
      <c r="S1472" s="35">
        <f t="shared" ref="S1472" si="1154">SUM(O1472:R1472)</f>
        <v>21</v>
      </c>
      <c r="T1472" s="26">
        <v>1</v>
      </c>
      <c r="U1472" s="47">
        <v>3</v>
      </c>
      <c r="V1472" s="27">
        <v>1</v>
      </c>
      <c r="W1472" s="34">
        <v>2</v>
      </c>
      <c r="X1472" s="35">
        <f t="shared" ref="X1472" si="1155">SUM(T1472:W1472)</f>
        <v>7</v>
      </c>
      <c r="Y1472" s="11">
        <f t="shared" ref="Y1472:Y1473" si="1156">S1472+X1472</f>
        <v>28</v>
      </c>
      <c r="Z1472" s="99">
        <v>45456</v>
      </c>
      <c r="AA1472" s="58"/>
    </row>
    <row r="1473" spans="1:28" x14ac:dyDescent="0.15">
      <c r="A1473" s="32"/>
      <c r="B1473" s="26"/>
      <c r="C1473" s="47"/>
      <c r="D1473" s="27"/>
      <c r="E1473" s="34"/>
      <c r="F1473" s="35">
        <f t="shared" si="1141"/>
        <v>0</v>
      </c>
      <c r="G1473" s="26"/>
      <c r="H1473" s="47"/>
      <c r="I1473" s="27"/>
      <c r="J1473" s="34"/>
      <c r="K1473" s="35">
        <f t="shared" si="1142"/>
        <v>0</v>
      </c>
      <c r="L1473" s="11">
        <f t="shared" si="1130"/>
        <v>0</v>
      </c>
      <c r="N1473" s="57" t="s">
        <v>34</v>
      </c>
      <c r="O1473" s="26"/>
      <c r="P1473" s="47">
        <v>3</v>
      </c>
      <c r="Q1473" s="27"/>
      <c r="R1473" s="34"/>
      <c r="S1473" s="35">
        <f>SUM(O1473:R1473)</f>
        <v>3</v>
      </c>
      <c r="T1473" s="26">
        <v>3</v>
      </c>
      <c r="U1473" s="47"/>
      <c r="V1473" s="27"/>
      <c r="W1473" s="34"/>
      <c r="X1473" s="35">
        <f>SUM(T1473:W1473)</f>
        <v>3</v>
      </c>
      <c r="Y1473" s="11">
        <f t="shared" si="1156"/>
        <v>6</v>
      </c>
      <c r="Z1473" s="99">
        <v>45455</v>
      </c>
      <c r="AA1473" s="58"/>
      <c r="AB1473" s="58"/>
    </row>
    <row r="1474" spans="1:28" x14ac:dyDescent="0.15">
      <c r="A1474" s="32"/>
      <c r="B1474" s="26"/>
      <c r="C1474" s="47"/>
      <c r="D1474" s="27"/>
      <c r="E1474" s="34"/>
      <c r="F1474" s="35">
        <f t="shared" si="1141"/>
        <v>0</v>
      </c>
      <c r="G1474" s="26"/>
      <c r="H1474" s="47"/>
      <c r="I1474" s="27"/>
      <c r="J1474" s="34"/>
      <c r="K1474" s="35">
        <f t="shared" si="1142"/>
        <v>0</v>
      </c>
      <c r="L1474" s="11">
        <f t="shared" si="1130"/>
        <v>0</v>
      </c>
      <c r="N1474" s="57"/>
      <c r="O1474" s="26"/>
      <c r="P1474" s="47"/>
      <c r="Q1474" s="27"/>
      <c r="R1474" s="34"/>
      <c r="S1474" s="35">
        <f t="shared" ref="S1474" si="1157">SUM(O1474:R1474)</f>
        <v>0</v>
      </c>
      <c r="T1474" s="26"/>
      <c r="U1474" s="47"/>
      <c r="V1474" s="27"/>
      <c r="W1474" s="34"/>
      <c r="X1474" s="35">
        <f t="shared" ref="X1474" si="1158">SUM(T1474:W1474)</f>
        <v>0</v>
      </c>
      <c r="Y1474" s="11">
        <f t="shared" ref="Y1474" si="1159">S1474+X1474</f>
        <v>0</v>
      </c>
      <c r="Z1474" s="101"/>
      <c r="AA1474" s="58"/>
      <c r="AB1474" s="58"/>
    </row>
    <row r="1475" spans="1:28" x14ac:dyDescent="0.15">
      <c r="A1475" s="12"/>
      <c r="B1475" s="26"/>
      <c r="C1475" s="47"/>
      <c r="D1475" s="27"/>
      <c r="E1475" s="34"/>
      <c r="F1475" s="35">
        <f t="shared" si="1141"/>
        <v>0</v>
      </c>
      <c r="G1475" s="26"/>
      <c r="H1475" s="47"/>
      <c r="I1475" s="27"/>
      <c r="J1475" s="34"/>
      <c r="K1475" s="35">
        <f t="shared" si="1142"/>
        <v>0</v>
      </c>
      <c r="L1475" s="11">
        <f t="shared" si="1130"/>
        <v>0</v>
      </c>
      <c r="N1475" s="57" t="s">
        <v>1143</v>
      </c>
      <c r="O1475" s="26"/>
      <c r="P1475" s="47"/>
      <c r="Q1475" s="27"/>
      <c r="R1475" s="34"/>
      <c r="S1475" s="35">
        <f t="shared" ref="S1475:S1476" si="1160">SUM(O1475:R1475)</f>
        <v>0</v>
      </c>
      <c r="T1475" s="26"/>
      <c r="U1475" s="47"/>
      <c r="V1475" s="27"/>
      <c r="W1475" s="34"/>
      <c r="X1475" s="35">
        <f t="shared" ref="X1475:X1476" si="1161">SUM(T1475:W1475)</f>
        <v>0</v>
      </c>
      <c r="Y1475" s="11">
        <f t="shared" ref="Y1475:Y1476" si="1162">S1475+X1475</f>
        <v>0</v>
      </c>
      <c r="Z1475" s="101" t="s">
        <v>1144</v>
      </c>
      <c r="AA1475" s="58"/>
    </row>
    <row r="1476" spans="1:28" x14ac:dyDescent="0.15">
      <c r="A1476" s="79"/>
      <c r="B1476" s="26"/>
      <c r="C1476" s="47"/>
      <c r="D1476" s="27"/>
      <c r="E1476" s="34"/>
      <c r="F1476" s="35">
        <f t="shared" si="1141"/>
        <v>0</v>
      </c>
      <c r="G1476" s="26"/>
      <c r="H1476" s="47"/>
      <c r="I1476" s="27"/>
      <c r="J1476" s="34"/>
      <c r="K1476" s="35">
        <f t="shared" si="1142"/>
        <v>0</v>
      </c>
      <c r="L1476" s="11">
        <f t="shared" si="1130"/>
        <v>0</v>
      </c>
      <c r="N1476" s="57" t="s">
        <v>1155</v>
      </c>
      <c r="O1476" s="66"/>
      <c r="P1476" s="67"/>
      <c r="Q1476" s="68"/>
      <c r="R1476" s="69"/>
      <c r="S1476" s="70">
        <f t="shared" si="1160"/>
        <v>0</v>
      </c>
      <c r="T1476" s="66"/>
      <c r="U1476" s="67"/>
      <c r="V1476" s="68"/>
      <c r="W1476" s="69"/>
      <c r="X1476" s="70">
        <f t="shared" si="1161"/>
        <v>0</v>
      </c>
      <c r="Y1476" s="11">
        <f t="shared" si="1162"/>
        <v>0</v>
      </c>
      <c r="Z1476" s="101" t="s">
        <v>1156</v>
      </c>
    </row>
    <row r="1477" spans="1:28" x14ac:dyDescent="0.15">
      <c r="A1477" s="57"/>
      <c r="B1477" s="26"/>
      <c r="C1477" s="47"/>
      <c r="D1477" s="27"/>
      <c r="E1477" s="34"/>
      <c r="F1477" s="35">
        <f t="shared" si="1141"/>
        <v>0</v>
      </c>
      <c r="G1477" s="26"/>
      <c r="H1477" s="47"/>
      <c r="I1477" s="27"/>
      <c r="J1477" s="34"/>
      <c r="K1477" s="35">
        <f t="shared" si="1142"/>
        <v>0</v>
      </c>
      <c r="L1477" s="11">
        <f t="shared" si="1130"/>
        <v>0</v>
      </c>
      <c r="N1477" s="12" t="s">
        <v>1110</v>
      </c>
      <c r="O1477" s="26"/>
      <c r="P1477" s="47"/>
      <c r="Q1477" s="27"/>
      <c r="R1477" s="34"/>
      <c r="S1477" s="35">
        <f t="shared" si="1151"/>
        <v>0</v>
      </c>
      <c r="T1477" s="26"/>
      <c r="U1477" s="47"/>
      <c r="V1477" s="27"/>
      <c r="W1477" s="34"/>
      <c r="X1477" s="35">
        <f t="shared" si="1152"/>
        <v>0</v>
      </c>
      <c r="Y1477" s="11">
        <f t="shared" si="1153"/>
        <v>0</v>
      </c>
      <c r="Z1477" s="101" t="s">
        <v>1111</v>
      </c>
    </row>
    <row r="1478" spans="1:28" ht="14.25" thickBot="1" x14ac:dyDescent="0.2">
      <c r="A1478" s="90"/>
      <c r="B1478" s="62"/>
      <c r="C1478" s="63"/>
      <c r="D1478" s="64"/>
      <c r="E1478" s="65"/>
      <c r="F1478" s="35">
        <f t="shared" si="1141"/>
        <v>0</v>
      </c>
      <c r="G1478" s="62"/>
      <c r="H1478" s="63"/>
      <c r="I1478" s="64"/>
      <c r="J1478" s="65"/>
      <c r="K1478" s="35">
        <f t="shared" si="1142"/>
        <v>0</v>
      </c>
      <c r="L1478" s="14">
        <f t="shared" si="1130"/>
        <v>0</v>
      </c>
      <c r="N1478" s="135" t="s">
        <v>1174</v>
      </c>
      <c r="O1478" s="62"/>
      <c r="P1478" s="63"/>
      <c r="Q1478" s="64"/>
      <c r="R1478" s="261"/>
      <c r="S1478" s="10">
        <f t="shared" ref="S1478" si="1163">SUM(O1478:R1478)</f>
        <v>0</v>
      </c>
      <c r="T1478" s="62"/>
      <c r="U1478" s="63"/>
      <c r="V1478" s="64"/>
      <c r="W1478" s="261"/>
      <c r="X1478" s="10">
        <f t="shared" ref="X1478" si="1164">SUM(T1478:W1478)</f>
        <v>0</v>
      </c>
      <c r="Y1478" s="121">
        <f t="shared" ref="Y1478" si="1165">S1478+X1478</f>
        <v>0</v>
      </c>
      <c r="Z1478" s="101" t="s">
        <v>1173</v>
      </c>
    </row>
    <row r="1479" spans="1:28" ht="14.25" thickBot="1" x14ac:dyDescent="0.2">
      <c r="A1479" s="17" t="s">
        <v>10</v>
      </c>
      <c r="B1479" s="38">
        <f>SUM(B1454:B1478)</f>
        <v>-1</v>
      </c>
      <c r="C1479" s="48">
        <f>SUM(C1454:C1478)</f>
        <v>5</v>
      </c>
      <c r="D1479" s="39">
        <f>SUM(D1454:D1478)</f>
        <v>1</v>
      </c>
      <c r="E1479" s="40">
        <f>SUM(E1454:E1478)</f>
        <v>6</v>
      </c>
      <c r="F1479" s="36">
        <f>SUM(B1479:E1479)</f>
        <v>11</v>
      </c>
      <c r="G1479" s="38">
        <f>SUM(G1454:G1478)</f>
        <v>1</v>
      </c>
      <c r="H1479" s="48">
        <f>SUM(H1454:H1478)</f>
        <v>-1</v>
      </c>
      <c r="I1479" s="39">
        <f>SUM(I1454:I1478)</f>
        <v>-1</v>
      </c>
      <c r="J1479" s="40">
        <f>SUM(J1454:J1478)</f>
        <v>1</v>
      </c>
      <c r="K1479" s="36">
        <f>SUM(G1479:J1479)</f>
        <v>0</v>
      </c>
      <c r="L1479" s="37">
        <f t="shared" si="1130"/>
        <v>11</v>
      </c>
      <c r="N1479" s="133" t="s">
        <v>10</v>
      </c>
      <c r="O1479" s="38">
        <f>SUM(O1454:O1478)</f>
        <v>84</v>
      </c>
      <c r="P1479" s="48">
        <f>SUM(P1454:P1478)</f>
        <v>70</v>
      </c>
      <c r="Q1479" s="39">
        <f>SUM(Q1454:Q1478)</f>
        <v>66</v>
      </c>
      <c r="R1479" s="40">
        <f>SUM(R1454:R1478)</f>
        <v>54</v>
      </c>
      <c r="S1479" s="118">
        <f t="shared" si="1149"/>
        <v>274</v>
      </c>
      <c r="T1479" s="38">
        <f>SUM(T1454:T1478)</f>
        <v>14</v>
      </c>
      <c r="U1479" s="48">
        <f>SUM(U1454:U1478)</f>
        <v>19</v>
      </c>
      <c r="V1479" s="39">
        <f>SUM(V1454:V1478)</f>
        <v>35</v>
      </c>
      <c r="W1479" s="40">
        <f>SUM(W1454:W1478)</f>
        <v>9</v>
      </c>
      <c r="X1479" s="118">
        <f t="shared" si="1150"/>
        <v>77</v>
      </c>
      <c r="Y1479" s="119">
        <f t="shared" si="1148"/>
        <v>351</v>
      </c>
    </row>
    <row r="1480" spans="1:28" ht="14.25" thickBot="1" x14ac:dyDescent="0.2">
      <c r="A1480" s="22" t="s">
        <v>11</v>
      </c>
      <c r="B1480" s="41">
        <f>B1453-B1479</f>
        <v>6</v>
      </c>
      <c r="C1480" s="49">
        <f>C1453-C1479</f>
        <v>8</v>
      </c>
      <c r="D1480" s="42">
        <f t="shared" ref="D1480:K1480" si="1166">D1453-D1479</f>
        <v>6</v>
      </c>
      <c r="E1480" s="43">
        <f t="shared" si="1166"/>
        <v>6</v>
      </c>
      <c r="F1480" s="61">
        <f t="shared" si="1166"/>
        <v>22</v>
      </c>
      <c r="G1480" s="41">
        <f t="shared" si="1166"/>
        <v>6</v>
      </c>
      <c r="H1480" s="49">
        <f t="shared" si="1166"/>
        <v>7</v>
      </c>
      <c r="I1480" s="42">
        <f t="shared" si="1166"/>
        <v>7</v>
      </c>
      <c r="J1480" s="43">
        <f t="shared" si="1166"/>
        <v>7</v>
      </c>
      <c r="K1480" s="61">
        <f t="shared" si="1166"/>
        <v>27</v>
      </c>
      <c r="L1480" s="21">
        <f t="shared" si="1130"/>
        <v>49</v>
      </c>
      <c r="N1480" s="17" t="s">
        <v>11</v>
      </c>
      <c r="O1480" s="41">
        <f>O1453-O1479</f>
        <v>443</v>
      </c>
      <c r="P1480" s="49">
        <f t="shared" ref="P1480:Q1480" si="1167">P1453-P1479</f>
        <v>498</v>
      </c>
      <c r="Q1480" s="42">
        <f t="shared" si="1167"/>
        <v>365</v>
      </c>
      <c r="R1480" s="43">
        <f>R1453-R1479</f>
        <v>210</v>
      </c>
      <c r="S1480" s="61">
        <f t="shared" ref="S1480:X1480" si="1168">S1453-S1479</f>
        <v>1516</v>
      </c>
      <c r="T1480" s="41">
        <f t="shared" si="1168"/>
        <v>612</v>
      </c>
      <c r="U1480" s="49">
        <f t="shared" si="1168"/>
        <v>717</v>
      </c>
      <c r="V1480" s="42">
        <f t="shared" si="1168"/>
        <v>519</v>
      </c>
      <c r="W1480" s="43">
        <f t="shared" si="1168"/>
        <v>302</v>
      </c>
      <c r="X1480" s="61">
        <f t="shared" si="1168"/>
        <v>2150</v>
      </c>
      <c r="Y1480" s="21">
        <f t="shared" si="1148"/>
        <v>3666</v>
      </c>
    </row>
    <row r="1483" spans="1:28" ht="19.5" thickBot="1" x14ac:dyDescent="0.25">
      <c r="A1483" s="2" t="s">
        <v>106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1036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8" ht="14.25" thickBot="1" x14ac:dyDescent="0.2">
      <c r="A1484" s="5" t="s">
        <v>0</v>
      </c>
      <c r="B1484" s="342" t="s">
        <v>18</v>
      </c>
      <c r="C1484" s="350"/>
      <c r="D1484" s="350"/>
      <c r="E1484" s="350"/>
      <c r="F1484" s="351"/>
      <c r="G1484" s="345" t="s">
        <v>12</v>
      </c>
      <c r="H1484" s="352"/>
      <c r="I1484" s="352"/>
      <c r="J1484" s="352"/>
      <c r="K1484" s="353"/>
      <c r="L1484" s="354" t="s">
        <v>1</v>
      </c>
      <c r="N1484" s="5" t="s">
        <v>0</v>
      </c>
      <c r="O1484" s="342" t="s">
        <v>18</v>
      </c>
      <c r="P1484" s="343"/>
      <c r="Q1484" s="343"/>
      <c r="R1484" s="343"/>
      <c r="S1484" s="344"/>
      <c r="T1484" s="345" t="s">
        <v>12</v>
      </c>
      <c r="U1484" s="346"/>
      <c r="V1484" s="346"/>
      <c r="W1484" s="346"/>
      <c r="X1484" s="347"/>
      <c r="Y1484" s="348" t="s">
        <v>1</v>
      </c>
    </row>
    <row r="1485" spans="1:28" ht="14.25" thickBot="1" x14ac:dyDescent="0.2">
      <c r="A1485" s="5" t="s">
        <v>2</v>
      </c>
      <c r="B1485" s="3" t="s">
        <v>13</v>
      </c>
      <c r="C1485" s="44" t="s">
        <v>14</v>
      </c>
      <c r="D1485" s="4" t="s">
        <v>15</v>
      </c>
      <c r="E1485" s="23" t="s">
        <v>16</v>
      </c>
      <c r="F1485" s="31" t="s">
        <v>3</v>
      </c>
      <c r="G1485" s="3" t="s">
        <v>13</v>
      </c>
      <c r="H1485" s="44" t="s">
        <v>14</v>
      </c>
      <c r="I1485" s="4" t="s">
        <v>15</v>
      </c>
      <c r="J1485" s="23" t="s">
        <v>16</v>
      </c>
      <c r="K1485" s="31" t="s">
        <v>3</v>
      </c>
      <c r="L1485" s="355"/>
      <c r="N1485" s="5" t="s">
        <v>2</v>
      </c>
      <c r="O1485" s="3" t="s">
        <v>13</v>
      </c>
      <c r="P1485" s="44" t="s">
        <v>14</v>
      </c>
      <c r="Q1485" s="4" t="s">
        <v>15</v>
      </c>
      <c r="R1485" s="23" t="s">
        <v>16</v>
      </c>
      <c r="S1485" s="31" t="s">
        <v>3</v>
      </c>
      <c r="T1485" s="3" t="s">
        <v>13</v>
      </c>
      <c r="U1485" s="44" t="s">
        <v>14</v>
      </c>
      <c r="V1485" s="4" t="s">
        <v>15</v>
      </c>
      <c r="W1485" s="23" t="s">
        <v>16</v>
      </c>
      <c r="X1485" s="31" t="s">
        <v>3</v>
      </c>
      <c r="Y1485" s="349"/>
    </row>
    <row r="1486" spans="1:28" x14ac:dyDescent="0.15">
      <c r="A1486" s="71" t="s">
        <v>17</v>
      </c>
      <c r="B1486" s="72">
        <f>B1480</f>
        <v>6</v>
      </c>
      <c r="C1486" s="73">
        <f t="shared" ref="C1486:L1486" si="1169">C1480</f>
        <v>8</v>
      </c>
      <c r="D1486" s="73">
        <f t="shared" si="1169"/>
        <v>6</v>
      </c>
      <c r="E1486" s="74">
        <f t="shared" si="1169"/>
        <v>6</v>
      </c>
      <c r="F1486" s="76">
        <f t="shared" si="1169"/>
        <v>22</v>
      </c>
      <c r="G1486" s="72">
        <f t="shared" si="1169"/>
        <v>6</v>
      </c>
      <c r="H1486" s="73">
        <f t="shared" si="1169"/>
        <v>7</v>
      </c>
      <c r="I1486" s="73">
        <f t="shared" si="1169"/>
        <v>7</v>
      </c>
      <c r="J1486" s="74">
        <f t="shared" si="1169"/>
        <v>7</v>
      </c>
      <c r="K1486" s="75">
        <f t="shared" si="1169"/>
        <v>27</v>
      </c>
      <c r="L1486" s="16">
        <f t="shared" si="1169"/>
        <v>49</v>
      </c>
      <c r="N1486" s="71" t="s">
        <v>17</v>
      </c>
      <c r="O1486" s="72">
        <f>O1480</f>
        <v>443</v>
      </c>
      <c r="P1486" s="73">
        <f t="shared" ref="P1486:Y1486" si="1170">P1480</f>
        <v>498</v>
      </c>
      <c r="Q1486" s="73">
        <f t="shared" si="1170"/>
        <v>365</v>
      </c>
      <c r="R1486" s="74">
        <f t="shared" si="1170"/>
        <v>210</v>
      </c>
      <c r="S1486" s="76">
        <f t="shared" si="1170"/>
        <v>1516</v>
      </c>
      <c r="T1486" s="72">
        <f t="shared" si="1170"/>
        <v>612</v>
      </c>
      <c r="U1486" s="73">
        <f t="shared" si="1170"/>
        <v>717</v>
      </c>
      <c r="V1486" s="73">
        <f t="shared" si="1170"/>
        <v>519</v>
      </c>
      <c r="W1486" s="74">
        <f t="shared" si="1170"/>
        <v>302</v>
      </c>
      <c r="X1486" s="75">
        <f t="shared" si="1170"/>
        <v>2150</v>
      </c>
      <c r="Y1486" s="16">
        <f t="shared" si="1170"/>
        <v>3666</v>
      </c>
    </row>
    <row r="1487" spans="1:28" x14ac:dyDescent="0.15">
      <c r="A1487" s="13" t="s">
        <v>49</v>
      </c>
      <c r="B1487" s="26">
        <v>13</v>
      </c>
      <c r="C1487" s="47">
        <v>16</v>
      </c>
      <c r="D1487" s="27">
        <v>4</v>
      </c>
      <c r="E1487" s="50">
        <v>1</v>
      </c>
      <c r="F1487" s="9">
        <f>SUM(B1487:E1487)</f>
        <v>34</v>
      </c>
      <c r="G1487" s="47">
        <v>1</v>
      </c>
      <c r="H1487" s="47">
        <v>4</v>
      </c>
      <c r="I1487" s="27">
        <v>4</v>
      </c>
      <c r="J1487" s="50"/>
      <c r="K1487" s="9">
        <f>SUM(G1487:J1487)</f>
        <v>9</v>
      </c>
      <c r="L1487" s="11">
        <f t="shared" ref="L1487:L1518" si="1171">F1487+K1487</f>
        <v>43</v>
      </c>
      <c r="M1487" s="126">
        <v>45456</v>
      </c>
      <c r="N1487" s="13" t="s">
        <v>5</v>
      </c>
      <c r="O1487" s="26">
        <v>14</v>
      </c>
      <c r="P1487" s="47">
        <v>20</v>
      </c>
      <c r="Q1487" s="27">
        <v>6</v>
      </c>
      <c r="R1487" s="34">
        <v>2</v>
      </c>
      <c r="S1487" s="77">
        <f>SUM(O1487:R1487)</f>
        <v>42</v>
      </c>
      <c r="T1487" s="26"/>
      <c r="U1487" s="47">
        <v>4</v>
      </c>
      <c r="V1487" s="27">
        <v>4</v>
      </c>
      <c r="W1487" s="34"/>
      <c r="X1487" s="9">
        <f>SUM(T1487:W1487)</f>
        <v>8</v>
      </c>
      <c r="Y1487" s="11">
        <f t="shared" ref="Y1487:Y1488" si="1172">S1487+X1487</f>
        <v>50</v>
      </c>
      <c r="Z1487" s="99">
        <v>45458</v>
      </c>
    </row>
    <row r="1488" spans="1:28" x14ac:dyDescent="0.15">
      <c r="A1488" s="13" t="s">
        <v>191</v>
      </c>
      <c r="B1488" s="26">
        <v>1</v>
      </c>
      <c r="C1488" s="47">
        <f>6</f>
        <v>6</v>
      </c>
      <c r="D1488" s="27">
        <f>2+1</f>
        <v>3</v>
      </c>
      <c r="E1488" s="50">
        <v>1</v>
      </c>
      <c r="F1488" s="9">
        <f>SUM(B1488:E1488)</f>
        <v>11</v>
      </c>
      <c r="G1488" s="47"/>
      <c r="H1488" s="47"/>
      <c r="I1488" s="27"/>
      <c r="J1488" s="50"/>
      <c r="K1488" s="9">
        <f>SUM(G1488:J1488)</f>
        <v>0</v>
      </c>
      <c r="L1488" s="11">
        <f t="shared" si="1171"/>
        <v>11</v>
      </c>
      <c r="M1488" s="126">
        <v>45456</v>
      </c>
      <c r="N1488" s="13" t="s">
        <v>6</v>
      </c>
      <c r="O1488" s="26">
        <v>7</v>
      </c>
      <c r="P1488" s="47">
        <v>6</v>
      </c>
      <c r="Q1488" s="27">
        <v>4</v>
      </c>
      <c r="R1488" s="34"/>
      <c r="S1488" s="77">
        <f t="shared" ref="S1488" si="1173">SUM(O1488:R1488)</f>
        <v>17</v>
      </c>
      <c r="T1488" s="26"/>
      <c r="U1488" s="47">
        <v>3</v>
      </c>
      <c r="V1488" s="27">
        <v>3</v>
      </c>
      <c r="W1488" s="34"/>
      <c r="X1488" s="9">
        <f t="shared" ref="X1488" si="1174">SUM(T1488:W1488)</f>
        <v>6</v>
      </c>
      <c r="Y1488" s="11">
        <f t="shared" si="1172"/>
        <v>23</v>
      </c>
      <c r="Z1488" s="99">
        <v>45472</v>
      </c>
    </row>
    <row r="1489" spans="1:28" x14ac:dyDescent="0.15">
      <c r="A1489" s="13" t="s">
        <v>49</v>
      </c>
      <c r="B1489" s="26">
        <v>6</v>
      </c>
      <c r="C1489" s="47">
        <v>2</v>
      </c>
      <c r="D1489" s="27">
        <v>3</v>
      </c>
      <c r="E1489" s="50">
        <v>3</v>
      </c>
      <c r="F1489" s="9">
        <f>SUM(B1489:E1489)</f>
        <v>14</v>
      </c>
      <c r="G1489" s="47"/>
      <c r="H1489" s="47">
        <v>1</v>
      </c>
      <c r="I1489" s="27">
        <v>2</v>
      </c>
      <c r="J1489" s="50">
        <v>1</v>
      </c>
      <c r="K1489" s="9">
        <f>SUM(G1489:J1489)</f>
        <v>4</v>
      </c>
      <c r="L1489" s="11">
        <f t="shared" si="1171"/>
        <v>18</v>
      </c>
      <c r="M1489" s="126">
        <v>45469</v>
      </c>
      <c r="N1489" s="13" t="s">
        <v>7</v>
      </c>
      <c r="O1489" s="26"/>
      <c r="P1489" s="47"/>
      <c r="Q1489" s="27"/>
      <c r="R1489" s="34"/>
      <c r="S1489" s="77">
        <f t="shared" ref="S1489:S1490" si="1175">SUM(O1489:R1489)</f>
        <v>0</v>
      </c>
      <c r="T1489" s="26"/>
      <c r="U1489" s="47"/>
      <c r="V1489" s="27"/>
      <c r="W1489" s="34"/>
      <c r="X1489" s="9">
        <f t="shared" ref="X1489:X1490" si="1176">SUM(T1489:W1489)</f>
        <v>0</v>
      </c>
      <c r="Y1489" s="11">
        <f t="shared" ref="Y1489:Y1491" si="1177">S1489+X1489</f>
        <v>0</v>
      </c>
      <c r="Z1489" s="101"/>
    </row>
    <row r="1490" spans="1:28" ht="14.25" thickBot="1" x14ac:dyDescent="0.2">
      <c r="A1490" s="13" t="s">
        <v>8</v>
      </c>
      <c r="B1490" s="26"/>
      <c r="C1490" s="47"/>
      <c r="D1490" s="27"/>
      <c r="E1490" s="50"/>
      <c r="F1490" s="10">
        <f>SUM(B1490:E1490)</f>
        <v>0</v>
      </c>
      <c r="G1490" s="47"/>
      <c r="H1490" s="47"/>
      <c r="I1490" s="27"/>
      <c r="J1490" s="50"/>
      <c r="K1490" s="10">
        <f>SUM(G1490:J1490)</f>
        <v>0</v>
      </c>
      <c r="L1490" s="14">
        <f t="shared" si="1171"/>
        <v>0</v>
      </c>
      <c r="N1490" s="13" t="s">
        <v>8</v>
      </c>
      <c r="O1490" s="26"/>
      <c r="P1490" s="47"/>
      <c r="Q1490" s="27"/>
      <c r="R1490" s="34"/>
      <c r="S1490" s="77">
        <f t="shared" si="1175"/>
        <v>0</v>
      </c>
      <c r="T1490" s="26"/>
      <c r="U1490" s="47"/>
      <c r="V1490" s="27"/>
      <c r="W1490" s="34"/>
      <c r="X1490" s="9">
        <f t="shared" si="1176"/>
        <v>0</v>
      </c>
      <c r="Y1490" s="11">
        <f t="shared" si="1177"/>
        <v>0</v>
      </c>
      <c r="Z1490" s="101"/>
    </row>
    <row r="1491" spans="1:28" ht="14.25" thickBot="1" x14ac:dyDescent="0.2">
      <c r="A1491" s="22" t="s">
        <v>9</v>
      </c>
      <c r="B1491" s="51">
        <f t="shared" ref="B1491:K1491" si="1178">SUM(B1486:B1490)</f>
        <v>26</v>
      </c>
      <c r="C1491" s="52">
        <f t="shared" si="1178"/>
        <v>32</v>
      </c>
      <c r="D1491" s="53">
        <f t="shared" si="1178"/>
        <v>16</v>
      </c>
      <c r="E1491" s="54">
        <f t="shared" si="1178"/>
        <v>11</v>
      </c>
      <c r="F1491" s="28">
        <f t="shared" si="1178"/>
        <v>81</v>
      </c>
      <c r="G1491" s="51">
        <f t="shared" si="1178"/>
        <v>7</v>
      </c>
      <c r="H1491" s="52">
        <f t="shared" si="1178"/>
        <v>12</v>
      </c>
      <c r="I1491" s="53">
        <f t="shared" si="1178"/>
        <v>13</v>
      </c>
      <c r="J1491" s="54">
        <f t="shared" si="1178"/>
        <v>8</v>
      </c>
      <c r="K1491" s="28">
        <f t="shared" si="1178"/>
        <v>40</v>
      </c>
      <c r="L1491" s="21">
        <f t="shared" si="1171"/>
        <v>121</v>
      </c>
      <c r="N1491" s="17" t="s">
        <v>9</v>
      </c>
      <c r="O1491" s="41">
        <f>SUM(O1486:O1490)</f>
        <v>464</v>
      </c>
      <c r="P1491" s="49">
        <f t="shared" ref="P1491:V1491" si="1179">SUM(P1486:P1490)</f>
        <v>524</v>
      </c>
      <c r="Q1491" s="42">
        <f t="shared" si="1179"/>
        <v>375</v>
      </c>
      <c r="R1491" s="92">
        <f t="shared" si="1179"/>
        <v>212</v>
      </c>
      <c r="S1491" s="93">
        <f t="shared" si="1179"/>
        <v>1575</v>
      </c>
      <c r="T1491" s="41">
        <f t="shared" si="1179"/>
        <v>612</v>
      </c>
      <c r="U1491" s="49">
        <f t="shared" si="1179"/>
        <v>724</v>
      </c>
      <c r="V1491" s="42">
        <f t="shared" si="1179"/>
        <v>526</v>
      </c>
      <c r="W1491" s="92">
        <f>SUM(W1486:W1490)</f>
        <v>302</v>
      </c>
      <c r="X1491" s="93">
        <f t="shared" ref="X1491" si="1180">SUM(X1486:X1490)</f>
        <v>2164</v>
      </c>
      <c r="Y1491" s="56">
        <f t="shared" si="1177"/>
        <v>3739</v>
      </c>
    </row>
    <row r="1492" spans="1:28" x14ac:dyDescent="0.15">
      <c r="A1492" s="79" t="s">
        <v>1244</v>
      </c>
      <c r="B1492" s="24">
        <v>14</v>
      </c>
      <c r="C1492" s="46">
        <v>20</v>
      </c>
      <c r="D1492" s="25">
        <v>6</v>
      </c>
      <c r="E1492" s="33">
        <v>2</v>
      </c>
      <c r="F1492" s="35">
        <f>SUM(B1492:E1492)</f>
        <v>42</v>
      </c>
      <c r="G1492" s="24"/>
      <c r="H1492" s="46">
        <v>4</v>
      </c>
      <c r="I1492" s="25">
        <v>4</v>
      </c>
      <c r="J1492" s="33"/>
      <c r="K1492" s="35">
        <f>SUM(G1492:J1492)</f>
        <v>8</v>
      </c>
      <c r="L1492" s="11">
        <f t="shared" si="1171"/>
        <v>50</v>
      </c>
      <c r="M1492" s="126">
        <v>45458</v>
      </c>
      <c r="N1492" s="57" t="s">
        <v>1239</v>
      </c>
      <c r="O1492" s="66"/>
      <c r="P1492" s="67"/>
      <c r="Q1492" s="68"/>
      <c r="R1492" s="94"/>
      <c r="S1492" s="91">
        <f>SUM(O1492:R1492)</f>
        <v>0</v>
      </c>
      <c r="T1492" s="67"/>
      <c r="U1492" s="67"/>
      <c r="V1492" s="68"/>
      <c r="W1492" s="94">
        <v>8</v>
      </c>
      <c r="X1492" s="91">
        <f>SUM(T1492:W1492)</f>
        <v>8</v>
      </c>
      <c r="Y1492" s="11">
        <f t="shared" ref="Y1492:Y1518" si="1181">S1492+X1492</f>
        <v>8</v>
      </c>
      <c r="Z1492" s="99">
        <v>45460</v>
      </c>
      <c r="AA1492" s="58"/>
    </row>
    <row r="1493" spans="1:28" x14ac:dyDescent="0.15">
      <c r="A1493" s="32" t="s">
        <v>41</v>
      </c>
      <c r="B1493" s="26"/>
      <c r="C1493" s="47">
        <v>1</v>
      </c>
      <c r="D1493" s="27"/>
      <c r="E1493" s="34"/>
      <c r="F1493" s="35">
        <f>SUM(B1493:E1493)</f>
        <v>1</v>
      </c>
      <c r="G1493" s="26"/>
      <c r="H1493" s="47"/>
      <c r="I1493" s="27"/>
      <c r="J1493" s="34"/>
      <c r="K1493" s="35">
        <f>SUM(G1493:J1493)</f>
        <v>0</v>
      </c>
      <c r="L1493" s="11">
        <f t="shared" si="1171"/>
        <v>1</v>
      </c>
      <c r="M1493" s="99">
        <v>45460</v>
      </c>
      <c r="N1493" s="32" t="s">
        <v>1240</v>
      </c>
      <c r="O1493" s="26">
        <v>6</v>
      </c>
      <c r="P1493" s="47">
        <v>3</v>
      </c>
      <c r="Q1493" s="27">
        <v>3</v>
      </c>
      <c r="R1493" s="34">
        <v>1</v>
      </c>
      <c r="S1493" s="35">
        <f t="shared" ref="S1493:S1494" si="1182">SUM(O1493:R1493)</f>
        <v>13</v>
      </c>
      <c r="T1493" s="26">
        <v>1</v>
      </c>
      <c r="U1493" s="47"/>
      <c r="V1493" s="27">
        <v>2</v>
      </c>
      <c r="W1493" s="34">
        <v>2</v>
      </c>
      <c r="X1493" s="35">
        <f t="shared" ref="X1493:X1494" si="1183">SUM(T1493:W1493)</f>
        <v>5</v>
      </c>
      <c r="Y1493" s="11">
        <f t="shared" si="1181"/>
        <v>18</v>
      </c>
      <c r="Z1493" s="99">
        <v>45457</v>
      </c>
      <c r="AA1493" s="58"/>
    </row>
    <row r="1494" spans="1:28" x14ac:dyDescent="0.15">
      <c r="A1494" s="32" t="s">
        <v>1252</v>
      </c>
      <c r="B1494" s="26"/>
      <c r="C1494" s="47"/>
      <c r="D1494" s="27">
        <v>1</v>
      </c>
      <c r="E1494" s="34"/>
      <c r="F1494" s="35">
        <f t="shared" ref="F1494:F1516" si="1184">SUM(B1494:E1494)</f>
        <v>1</v>
      </c>
      <c r="G1494" s="26"/>
      <c r="H1494" s="47"/>
      <c r="I1494" s="27"/>
      <c r="J1494" s="34"/>
      <c r="K1494" s="35">
        <f t="shared" ref="K1494:K1516" si="1185">SUM(G1494:J1494)</f>
        <v>0</v>
      </c>
      <c r="L1494" s="11">
        <f t="shared" si="1171"/>
        <v>1</v>
      </c>
      <c r="M1494" s="99">
        <v>45467</v>
      </c>
      <c r="N1494" s="12" t="s">
        <v>1242</v>
      </c>
      <c r="O1494" s="26"/>
      <c r="P1494" s="47"/>
      <c r="Q1494" s="27">
        <v>5</v>
      </c>
      <c r="R1494" s="34">
        <v>5</v>
      </c>
      <c r="S1494" s="35">
        <f t="shared" si="1182"/>
        <v>10</v>
      </c>
      <c r="T1494" s="26"/>
      <c r="U1494" s="47"/>
      <c r="V1494" s="27"/>
      <c r="W1494" s="34">
        <v>10</v>
      </c>
      <c r="X1494" s="35">
        <f t="shared" si="1183"/>
        <v>10</v>
      </c>
      <c r="Y1494" s="11">
        <f t="shared" si="1181"/>
        <v>20</v>
      </c>
      <c r="Z1494" s="99">
        <v>45461</v>
      </c>
    </row>
    <row r="1495" spans="1:28" x14ac:dyDescent="0.15">
      <c r="A1495" s="32" t="s">
        <v>41</v>
      </c>
      <c r="B1495" s="66"/>
      <c r="C1495" s="67"/>
      <c r="D1495" s="68"/>
      <c r="E1495" s="69"/>
      <c r="F1495" s="70">
        <f t="shared" si="1184"/>
        <v>0</v>
      </c>
      <c r="G1495" s="66"/>
      <c r="H1495" s="67"/>
      <c r="I1495" s="68">
        <v>1</v>
      </c>
      <c r="J1495" s="69"/>
      <c r="K1495" s="70">
        <f t="shared" si="1185"/>
        <v>1</v>
      </c>
      <c r="L1495" s="11">
        <f t="shared" si="1171"/>
        <v>1</v>
      </c>
      <c r="M1495" s="99">
        <v>45464</v>
      </c>
      <c r="N1495" s="32" t="s">
        <v>1240</v>
      </c>
      <c r="O1495" s="66">
        <v>2</v>
      </c>
      <c r="P1495" s="67">
        <v>1</v>
      </c>
      <c r="Q1495" s="68">
        <v>1</v>
      </c>
      <c r="R1495" s="94">
        <v>7</v>
      </c>
      <c r="S1495" s="91">
        <f>SUM(O1495:R1495)</f>
        <v>11</v>
      </c>
      <c r="T1495" s="67">
        <v>1</v>
      </c>
      <c r="U1495" s="67">
        <v>1</v>
      </c>
      <c r="V1495" s="68"/>
      <c r="W1495" s="94">
        <v>2</v>
      </c>
      <c r="X1495" s="91">
        <f>SUM(T1495:W1495)</f>
        <v>4</v>
      </c>
      <c r="Y1495" s="11">
        <f t="shared" si="1181"/>
        <v>15</v>
      </c>
      <c r="Z1495" s="99">
        <v>45457</v>
      </c>
    </row>
    <row r="1496" spans="1:28" x14ac:dyDescent="0.15">
      <c r="A1496" s="32" t="s">
        <v>41</v>
      </c>
      <c r="B1496" s="26"/>
      <c r="C1496" s="47"/>
      <c r="D1496" s="27"/>
      <c r="E1496" s="34">
        <f>1+2</f>
        <v>3</v>
      </c>
      <c r="F1496" s="35">
        <f t="shared" ref="F1496" si="1186">SUM(B1496:E1496)</f>
        <v>3</v>
      </c>
      <c r="G1496" s="26"/>
      <c r="H1496" s="47"/>
      <c r="I1496" s="27"/>
      <c r="J1496" s="34">
        <v>1</v>
      </c>
      <c r="K1496" s="35">
        <f t="shared" ref="K1496" si="1187">SUM(G1496:J1496)</f>
        <v>1</v>
      </c>
      <c r="L1496" s="11">
        <f t="shared" ref="L1496" si="1188">F1496+K1496</f>
        <v>4</v>
      </c>
      <c r="M1496" s="126">
        <v>45467</v>
      </c>
      <c r="N1496" s="32" t="s">
        <v>1243</v>
      </c>
      <c r="O1496" s="26">
        <v>48</v>
      </c>
      <c r="P1496" s="47">
        <v>50</v>
      </c>
      <c r="Q1496" s="27">
        <v>32</v>
      </c>
      <c r="R1496" s="34">
        <v>19</v>
      </c>
      <c r="S1496" s="35">
        <f t="shared" ref="S1496:S1498" si="1189">SUM(O1496:R1496)</f>
        <v>149</v>
      </c>
      <c r="T1496" s="26">
        <v>14</v>
      </c>
      <c r="U1496" s="47">
        <v>17</v>
      </c>
      <c r="V1496" s="27">
        <v>9</v>
      </c>
      <c r="W1496" s="34">
        <v>6</v>
      </c>
      <c r="X1496" s="35">
        <f t="shared" ref="X1496:X1498" si="1190">SUM(T1496:W1496)</f>
        <v>46</v>
      </c>
      <c r="Y1496" s="11">
        <f t="shared" si="1181"/>
        <v>195</v>
      </c>
      <c r="Z1496" s="99">
        <v>45460</v>
      </c>
      <c r="AA1496" s="58"/>
      <c r="AB1496" s="58"/>
    </row>
    <row r="1497" spans="1:28" x14ac:dyDescent="0.15">
      <c r="A1497" s="13" t="s">
        <v>1265</v>
      </c>
      <c r="B1497" s="26"/>
      <c r="C1497" s="47"/>
      <c r="D1497" s="27"/>
      <c r="E1497" s="34">
        <v>-1</v>
      </c>
      <c r="F1497" s="35">
        <f t="shared" si="1184"/>
        <v>-1</v>
      </c>
      <c r="G1497" s="26"/>
      <c r="H1497" s="47"/>
      <c r="I1497" s="27"/>
      <c r="J1497" s="34">
        <v>-1</v>
      </c>
      <c r="K1497" s="35">
        <f t="shared" si="1185"/>
        <v>-1</v>
      </c>
      <c r="L1497" s="11">
        <f t="shared" si="1171"/>
        <v>-2</v>
      </c>
      <c r="M1497" s="126">
        <v>45471</v>
      </c>
      <c r="N1497" s="32" t="s">
        <v>1247</v>
      </c>
      <c r="O1497" s="26"/>
      <c r="P1497" s="47"/>
      <c r="Q1497" s="27">
        <v>3</v>
      </c>
      <c r="R1497" s="34"/>
      <c r="S1497" s="35">
        <f t="shared" si="1189"/>
        <v>3</v>
      </c>
      <c r="T1497" s="26"/>
      <c r="U1497" s="47"/>
      <c r="V1497" s="27">
        <v>5</v>
      </c>
      <c r="W1497" s="34"/>
      <c r="X1497" s="35">
        <f t="shared" si="1190"/>
        <v>5</v>
      </c>
      <c r="Y1497" s="11">
        <f t="shared" si="1181"/>
        <v>8</v>
      </c>
      <c r="Z1497" s="99">
        <v>45463</v>
      </c>
      <c r="AA1497" s="58"/>
      <c r="AB1497" s="58"/>
    </row>
    <row r="1498" spans="1:28" x14ac:dyDescent="0.15">
      <c r="A1498" s="13" t="s">
        <v>1265</v>
      </c>
      <c r="B1498" s="26"/>
      <c r="C1498" s="47"/>
      <c r="D1498" s="27"/>
      <c r="E1498" s="34"/>
      <c r="F1498" s="35">
        <f t="shared" si="1184"/>
        <v>0</v>
      </c>
      <c r="G1498" s="26"/>
      <c r="H1498" s="47"/>
      <c r="I1498" s="27"/>
      <c r="J1498" s="34">
        <v>2</v>
      </c>
      <c r="K1498" s="35">
        <f t="shared" si="1185"/>
        <v>2</v>
      </c>
      <c r="L1498" s="11">
        <f t="shared" si="1171"/>
        <v>2</v>
      </c>
      <c r="M1498" s="126">
        <v>45471</v>
      </c>
      <c r="N1498" s="32" t="s">
        <v>1248</v>
      </c>
      <c r="O1498" s="26"/>
      <c r="P1498" s="47">
        <v>13</v>
      </c>
      <c r="Q1498" s="27">
        <v>14</v>
      </c>
      <c r="R1498" s="34">
        <v>5</v>
      </c>
      <c r="S1498" s="35">
        <f t="shared" si="1189"/>
        <v>32</v>
      </c>
      <c r="T1498" s="26">
        <v>3</v>
      </c>
      <c r="U1498" s="47"/>
      <c r="V1498" s="27">
        <v>5</v>
      </c>
      <c r="W1498" s="34"/>
      <c r="X1498" s="35">
        <f t="shared" si="1190"/>
        <v>8</v>
      </c>
      <c r="Y1498" s="11">
        <f t="shared" si="1181"/>
        <v>40</v>
      </c>
      <c r="Z1498" s="99">
        <v>45464</v>
      </c>
      <c r="AA1498" s="58"/>
      <c r="AB1498" s="58"/>
    </row>
    <row r="1499" spans="1:28" x14ac:dyDescent="0.15">
      <c r="A1499" s="32" t="s">
        <v>41</v>
      </c>
      <c r="B1499" s="26"/>
      <c r="C1499" s="47"/>
      <c r="D1499" s="27"/>
      <c r="E1499" s="34"/>
      <c r="F1499" s="35">
        <f t="shared" si="1184"/>
        <v>0</v>
      </c>
      <c r="G1499" s="26"/>
      <c r="H1499" s="47"/>
      <c r="I1499" s="27"/>
      <c r="J1499" s="34">
        <v>2</v>
      </c>
      <c r="K1499" s="35">
        <f t="shared" si="1185"/>
        <v>2</v>
      </c>
      <c r="L1499" s="11">
        <f t="shared" si="1171"/>
        <v>2</v>
      </c>
      <c r="M1499" s="126">
        <v>45471</v>
      </c>
      <c r="N1499" s="12" t="s">
        <v>1249</v>
      </c>
      <c r="O1499" s="26"/>
      <c r="P1499" s="47"/>
      <c r="Q1499" s="27"/>
      <c r="R1499" s="50"/>
      <c r="S1499" s="9">
        <f>SUM(O1499:R1499)</f>
        <v>0</v>
      </c>
      <c r="T1499" s="47"/>
      <c r="U1499" s="47"/>
      <c r="V1499" s="27"/>
      <c r="W1499" s="50">
        <v>1</v>
      </c>
      <c r="X1499" s="9">
        <f>SUM(T1499:W1499)</f>
        <v>1</v>
      </c>
      <c r="Y1499" s="11">
        <f t="shared" si="1181"/>
        <v>1</v>
      </c>
      <c r="Z1499" s="99">
        <v>45464</v>
      </c>
      <c r="AA1499" s="58"/>
    </row>
    <row r="1500" spans="1:28" x14ac:dyDescent="0.15">
      <c r="A1500" s="79" t="s">
        <v>1244</v>
      </c>
      <c r="B1500" s="26">
        <v>7</v>
      </c>
      <c r="C1500" s="47">
        <v>6</v>
      </c>
      <c r="D1500" s="27">
        <v>4</v>
      </c>
      <c r="E1500" s="34"/>
      <c r="F1500" s="35">
        <f t="shared" si="1184"/>
        <v>17</v>
      </c>
      <c r="G1500" s="26"/>
      <c r="H1500" s="47">
        <v>3</v>
      </c>
      <c r="I1500" s="27">
        <v>3</v>
      </c>
      <c r="J1500" s="34"/>
      <c r="K1500" s="35">
        <f t="shared" si="1185"/>
        <v>6</v>
      </c>
      <c r="L1500" s="11">
        <f t="shared" si="1171"/>
        <v>23</v>
      </c>
      <c r="M1500" s="126">
        <v>45472</v>
      </c>
      <c r="N1500" s="12" t="s">
        <v>1250</v>
      </c>
      <c r="O1500" s="26"/>
      <c r="P1500" s="47"/>
      <c r="Q1500" s="27">
        <v>5</v>
      </c>
      <c r="R1500" s="34">
        <v>10</v>
      </c>
      <c r="S1500" s="35">
        <f t="shared" ref="S1500:S1517" si="1191">SUM(O1500:R1500)</f>
        <v>15</v>
      </c>
      <c r="T1500" s="26"/>
      <c r="U1500" s="47"/>
      <c r="V1500" s="27"/>
      <c r="W1500" s="34">
        <v>10</v>
      </c>
      <c r="X1500" s="35">
        <f t="shared" ref="X1500:X1517" si="1192">SUM(T1500:W1500)</f>
        <v>10</v>
      </c>
      <c r="Y1500" s="11">
        <f t="shared" si="1181"/>
        <v>25</v>
      </c>
      <c r="Z1500" s="99">
        <v>45475</v>
      </c>
    </row>
    <row r="1501" spans="1:28" x14ac:dyDescent="0.15">
      <c r="A1501" s="32" t="s">
        <v>41</v>
      </c>
      <c r="B1501" s="26"/>
      <c r="C1501" s="47">
        <v>1</v>
      </c>
      <c r="D1501" s="27"/>
      <c r="E1501" s="34"/>
      <c r="F1501" s="35">
        <f t="shared" si="1184"/>
        <v>1</v>
      </c>
      <c r="G1501" s="26">
        <v>1</v>
      </c>
      <c r="H1501" s="47"/>
      <c r="I1501" s="27"/>
      <c r="J1501" s="34"/>
      <c r="K1501" s="35">
        <f t="shared" si="1185"/>
        <v>1</v>
      </c>
      <c r="L1501" s="11">
        <f t="shared" si="1171"/>
        <v>2</v>
      </c>
      <c r="M1501" s="126">
        <v>45474</v>
      </c>
      <c r="N1501" s="32" t="s">
        <v>1251</v>
      </c>
      <c r="O1501" s="26">
        <v>17</v>
      </c>
      <c r="P1501" s="47">
        <v>12</v>
      </c>
      <c r="Q1501" s="27">
        <v>7</v>
      </c>
      <c r="R1501" s="34">
        <v>7</v>
      </c>
      <c r="S1501" s="35">
        <f t="shared" si="1191"/>
        <v>43</v>
      </c>
      <c r="T1501" s="26"/>
      <c r="U1501" s="47"/>
      <c r="V1501" s="27"/>
      <c r="W1501" s="34"/>
      <c r="X1501" s="35">
        <f t="shared" si="1192"/>
        <v>0</v>
      </c>
      <c r="Y1501" s="11">
        <f t="shared" si="1181"/>
        <v>43</v>
      </c>
      <c r="Z1501" s="99">
        <v>45464</v>
      </c>
    </row>
    <row r="1502" spans="1:28" x14ac:dyDescent="0.15">
      <c r="A1502" s="32" t="s">
        <v>41</v>
      </c>
      <c r="B1502" s="26"/>
      <c r="C1502" s="47"/>
      <c r="D1502" s="27"/>
      <c r="E1502" s="34"/>
      <c r="F1502" s="35">
        <f t="shared" si="1184"/>
        <v>0</v>
      </c>
      <c r="G1502" s="26"/>
      <c r="H1502" s="47">
        <v>1</v>
      </c>
      <c r="I1502" s="27"/>
      <c r="J1502" s="34"/>
      <c r="K1502" s="35">
        <f t="shared" si="1185"/>
        <v>1</v>
      </c>
      <c r="L1502" s="11">
        <f t="shared" si="1171"/>
        <v>1</v>
      </c>
      <c r="M1502" s="126">
        <v>45476</v>
      </c>
      <c r="N1502" s="12" t="s">
        <v>1254</v>
      </c>
      <c r="O1502" s="26">
        <v>10</v>
      </c>
      <c r="P1502" s="47">
        <v>10</v>
      </c>
      <c r="Q1502" s="27">
        <v>10</v>
      </c>
      <c r="R1502" s="34">
        <v>10</v>
      </c>
      <c r="S1502" s="35">
        <f t="shared" si="1191"/>
        <v>40</v>
      </c>
      <c r="T1502" s="26"/>
      <c r="U1502" s="47"/>
      <c r="V1502" s="27"/>
      <c r="W1502" s="34"/>
      <c r="X1502" s="35">
        <f t="shared" si="1192"/>
        <v>0</v>
      </c>
      <c r="Y1502" s="11">
        <f t="shared" si="1181"/>
        <v>40</v>
      </c>
      <c r="Z1502" s="99">
        <v>45467</v>
      </c>
    </row>
    <row r="1503" spans="1:28" x14ac:dyDescent="0.15">
      <c r="A1503" s="13" t="s">
        <v>1072</v>
      </c>
      <c r="B1503" s="26"/>
      <c r="C1503" s="47"/>
      <c r="D1503" s="27"/>
      <c r="E1503" s="34">
        <v>-1</v>
      </c>
      <c r="F1503" s="35">
        <f t="shared" si="1184"/>
        <v>-1</v>
      </c>
      <c r="G1503" s="26"/>
      <c r="H1503" s="47"/>
      <c r="I1503" s="27">
        <v>2</v>
      </c>
      <c r="J1503" s="34">
        <v>-1</v>
      </c>
      <c r="K1503" s="35">
        <f t="shared" si="1185"/>
        <v>1</v>
      </c>
      <c r="L1503" s="11">
        <f t="shared" si="1171"/>
        <v>0</v>
      </c>
      <c r="M1503" s="126">
        <v>45476</v>
      </c>
      <c r="N1503" s="32" t="s">
        <v>1253</v>
      </c>
      <c r="O1503" s="26">
        <v>8</v>
      </c>
      <c r="P1503" s="47">
        <v>5</v>
      </c>
      <c r="Q1503" s="27">
        <v>2</v>
      </c>
      <c r="R1503" s="34">
        <v>4</v>
      </c>
      <c r="S1503" s="35">
        <f t="shared" si="1191"/>
        <v>19</v>
      </c>
      <c r="T1503" s="26"/>
      <c r="U1503" s="47">
        <v>3</v>
      </c>
      <c r="V1503" s="27"/>
      <c r="W1503" s="34"/>
      <c r="X1503" s="35">
        <f t="shared" si="1192"/>
        <v>3</v>
      </c>
      <c r="Y1503" s="11">
        <f t="shared" si="1181"/>
        <v>22</v>
      </c>
      <c r="Z1503" s="99">
        <v>45467</v>
      </c>
    </row>
    <row r="1504" spans="1:28" x14ac:dyDescent="0.15">
      <c r="A1504" s="32" t="s">
        <v>41</v>
      </c>
      <c r="B1504" s="26"/>
      <c r="C1504" s="47">
        <v>1</v>
      </c>
      <c r="D1504" s="27"/>
      <c r="E1504" s="34"/>
      <c r="F1504" s="35">
        <f t="shared" si="1184"/>
        <v>1</v>
      </c>
      <c r="G1504" s="26"/>
      <c r="H1504" s="47"/>
      <c r="I1504" s="27"/>
      <c r="J1504" s="34"/>
      <c r="K1504" s="35">
        <f t="shared" si="1185"/>
        <v>0</v>
      </c>
      <c r="L1504" s="11">
        <f t="shared" si="1171"/>
        <v>1</v>
      </c>
      <c r="M1504" s="126">
        <v>45478</v>
      </c>
      <c r="N1504" s="12" t="s">
        <v>1255</v>
      </c>
      <c r="O1504" s="26">
        <v>1</v>
      </c>
      <c r="P1504" s="47">
        <v>5</v>
      </c>
      <c r="Q1504" s="27">
        <v>3</v>
      </c>
      <c r="R1504" s="34">
        <v>2</v>
      </c>
      <c r="S1504" s="35">
        <f t="shared" si="1191"/>
        <v>11</v>
      </c>
      <c r="T1504" s="26">
        <v>1</v>
      </c>
      <c r="U1504" s="47">
        <v>5</v>
      </c>
      <c r="V1504" s="27">
        <v>3</v>
      </c>
      <c r="W1504" s="34">
        <v>2</v>
      </c>
      <c r="X1504" s="35">
        <f t="shared" si="1192"/>
        <v>11</v>
      </c>
      <c r="Y1504" s="11">
        <f t="shared" si="1181"/>
        <v>22</v>
      </c>
      <c r="Z1504" s="99">
        <v>45468</v>
      </c>
    </row>
    <row r="1505" spans="1:28" x14ac:dyDescent="0.15">
      <c r="A1505" s="13"/>
      <c r="B1505" s="26"/>
      <c r="C1505" s="47"/>
      <c r="D1505" s="27"/>
      <c r="E1505" s="34"/>
      <c r="F1505" s="35">
        <f t="shared" si="1184"/>
        <v>0</v>
      </c>
      <c r="G1505" s="26"/>
      <c r="H1505" s="47"/>
      <c r="I1505" s="27"/>
      <c r="J1505" s="34"/>
      <c r="K1505" s="35">
        <f t="shared" si="1185"/>
        <v>0</v>
      </c>
      <c r="L1505" s="11">
        <f t="shared" si="1171"/>
        <v>0</v>
      </c>
      <c r="N1505" s="32" t="s">
        <v>1256</v>
      </c>
      <c r="O1505" s="26">
        <v>3</v>
      </c>
      <c r="P1505" s="47">
        <v>20</v>
      </c>
      <c r="Q1505" s="27">
        <v>4</v>
      </c>
      <c r="R1505" s="34"/>
      <c r="S1505" s="35">
        <f t="shared" si="1191"/>
        <v>27</v>
      </c>
      <c r="T1505" s="26"/>
      <c r="U1505" s="47">
        <v>5</v>
      </c>
      <c r="V1505" s="27">
        <v>3</v>
      </c>
      <c r="W1505" s="34">
        <v>1</v>
      </c>
      <c r="X1505" s="35">
        <f t="shared" si="1192"/>
        <v>9</v>
      </c>
      <c r="Y1505" s="11">
        <f t="shared" si="1181"/>
        <v>36</v>
      </c>
      <c r="Z1505" s="99">
        <v>45469</v>
      </c>
    </row>
    <row r="1506" spans="1:28" x14ac:dyDescent="0.15">
      <c r="A1506" s="15"/>
      <c r="B1506" s="26"/>
      <c r="C1506" s="47"/>
      <c r="D1506" s="27"/>
      <c r="E1506" s="34"/>
      <c r="F1506" s="35">
        <f t="shared" si="1184"/>
        <v>0</v>
      </c>
      <c r="G1506" s="26"/>
      <c r="H1506" s="47"/>
      <c r="I1506" s="27"/>
      <c r="J1506" s="34"/>
      <c r="K1506" s="35">
        <f t="shared" si="1185"/>
        <v>0</v>
      </c>
      <c r="L1506" s="11">
        <f t="shared" si="1171"/>
        <v>0</v>
      </c>
      <c r="N1506" s="12" t="s">
        <v>1257</v>
      </c>
      <c r="O1506" s="26"/>
      <c r="P1506" s="47"/>
      <c r="Q1506" s="27"/>
      <c r="R1506" s="34"/>
      <c r="S1506" s="35">
        <f t="shared" si="1191"/>
        <v>0</v>
      </c>
      <c r="T1506" s="26"/>
      <c r="U1506" s="47">
        <v>1</v>
      </c>
      <c r="V1506" s="27"/>
      <c r="W1506" s="34">
        <v>1</v>
      </c>
      <c r="X1506" s="35">
        <f t="shared" si="1192"/>
        <v>2</v>
      </c>
      <c r="Y1506" s="11">
        <f t="shared" si="1181"/>
        <v>2</v>
      </c>
      <c r="Z1506" s="99">
        <v>45469</v>
      </c>
    </row>
    <row r="1507" spans="1:28" x14ac:dyDescent="0.15">
      <c r="A1507" s="13"/>
      <c r="B1507" s="26"/>
      <c r="C1507" s="47"/>
      <c r="D1507" s="27"/>
      <c r="E1507" s="34"/>
      <c r="F1507" s="35">
        <f t="shared" si="1184"/>
        <v>0</v>
      </c>
      <c r="G1507" s="26"/>
      <c r="H1507" s="47"/>
      <c r="I1507" s="27"/>
      <c r="J1507" s="34"/>
      <c r="K1507" s="35">
        <f t="shared" si="1185"/>
        <v>0</v>
      </c>
      <c r="L1507" s="11">
        <f t="shared" si="1171"/>
        <v>0</v>
      </c>
      <c r="N1507" s="32" t="s">
        <v>1260</v>
      </c>
      <c r="O1507" s="26">
        <v>4</v>
      </c>
      <c r="P1507" s="47">
        <v>2</v>
      </c>
      <c r="Q1507" s="27">
        <v>7</v>
      </c>
      <c r="R1507" s="34">
        <v>2</v>
      </c>
      <c r="S1507" s="35">
        <f t="shared" si="1191"/>
        <v>15</v>
      </c>
      <c r="T1507" s="26">
        <v>1</v>
      </c>
      <c r="U1507" s="47"/>
      <c r="V1507" s="27"/>
      <c r="W1507" s="34"/>
      <c r="X1507" s="35">
        <f t="shared" si="1192"/>
        <v>1</v>
      </c>
      <c r="Y1507" s="11">
        <f t="shared" si="1181"/>
        <v>16</v>
      </c>
      <c r="Z1507" s="99">
        <v>45470</v>
      </c>
      <c r="AA1507" s="58"/>
      <c r="AB1507" s="58"/>
    </row>
    <row r="1508" spans="1:28" x14ac:dyDescent="0.15">
      <c r="A1508" s="15"/>
      <c r="B1508" s="26"/>
      <c r="C1508" s="47"/>
      <c r="D1508" s="27"/>
      <c r="E1508" s="34"/>
      <c r="F1508" s="35">
        <f t="shared" si="1184"/>
        <v>0</v>
      </c>
      <c r="G1508" s="26"/>
      <c r="H1508" s="47"/>
      <c r="I1508" s="27"/>
      <c r="J1508" s="34"/>
      <c r="K1508" s="35">
        <f t="shared" si="1185"/>
        <v>0</v>
      </c>
      <c r="L1508" s="11">
        <f t="shared" si="1171"/>
        <v>0</v>
      </c>
      <c r="N1508" s="12" t="s">
        <v>1261</v>
      </c>
      <c r="O1508" s="26"/>
      <c r="P1508" s="47"/>
      <c r="Q1508" s="27">
        <v>5</v>
      </c>
      <c r="R1508" s="34"/>
      <c r="S1508" s="35">
        <f t="shared" si="1191"/>
        <v>5</v>
      </c>
      <c r="T1508" s="26"/>
      <c r="U1508" s="47"/>
      <c r="V1508" s="27"/>
      <c r="W1508" s="34"/>
      <c r="X1508" s="35">
        <f t="shared" si="1192"/>
        <v>0</v>
      </c>
      <c r="Y1508" s="11">
        <f t="shared" si="1181"/>
        <v>5</v>
      </c>
      <c r="Z1508" s="99">
        <v>45475</v>
      </c>
    </row>
    <row r="1509" spans="1:28" x14ac:dyDescent="0.15">
      <c r="A1509" s="15"/>
      <c r="B1509" s="26"/>
      <c r="C1509" s="47"/>
      <c r="D1509" s="27"/>
      <c r="E1509" s="34"/>
      <c r="F1509" s="35">
        <f t="shared" si="1184"/>
        <v>0</v>
      </c>
      <c r="G1509" s="26"/>
      <c r="H1509" s="47"/>
      <c r="I1509" s="27"/>
      <c r="J1509" s="34"/>
      <c r="K1509" s="35">
        <f t="shared" si="1185"/>
        <v>0</v>
      </c>
      <c r="L1509" s="11">
        <f t="shared" si="1171"/>
        <v>0</v>
      </c>
      <c r="N1509" s="32" t="s">
        <v>1262</v>
      </c>
      <c r="O1509" s="26">
        <v>5</v>
      </c>
      <c r="P1509" s="47">
        <v>11</v>
      </c>
      <c r="Q1509" s="27">
        <v>1</v>
      </c>
      <c r="R1509" s="34">
        <v>1</v>
      </c>
      <c r="S1509" s="35">
        <f t="shared" si="1191"/>
        <v>18</v>
      </c>
      <c r="T1509" s="26">
        <v>2</v>
      </c>
      <c r="U1509" s="47">
        <v>4</v>
      </c>
      <c r="V1509" s="27">
        <v>6</v>
      </c>
      <c r="W1509" s="34"/>
      <c r="X1509" s="35">
        <f t="shared" si="1192"/>
        <v>12</v>
      </c>
      <c r="Y1509" s="11">
        <f t="shared" si="1181"/>
        <v>30</v>
      </c>
      <c r="Z1509" s="99">
        <v>45471</v>
      </c>
      <c r="AA1509" s="58"/>
      <c r="AB1509" s="58"/>
    </row>
    <row r="1510" spans="1:28" x14ac:dyDescent="0.15">
      <c r="A1510" s="13"/>
      <c r="B1510" s="26"/>
      <c r="C1510" s="47"/>
      <c r="D1510" s="27"/>
      <c r="E1510" s="34"/>
      <c r="F1510" s="35">
        <f t="shared" si="1184"/>
        <v>0</v>
      </c>
      <c r="G1510" s="26"/>
      <c r="H1510" s="47"/>
      <c r="I1510" s="27"/>
      <c r="J1510" s="34"/>
      <c r="K1510" s="35">
        <f t="shared" si="1185"/>
        <v>0</v>
      </c>
      <c r="L1510" s="11">
        <f t="shared" si="1171"/>
        <v>0</v>
      </c>
      <c r="N1510" s="57" t="s">
        <v>1263</v>
      </c>
      <c r="O1510" s="26">
        <v>10</v>
      </c>
      <c r="P1510" s="47">
        <v>10</v>
      </c>
      <c r="Q1510" s="27"/>
      <c r="R1510" s="34"/>
      <c r="S1510" s="35">
        <f t="shared" si="1191"/>
        <v>20</v>
      </c>
      <c r="T1510" s="26"/>
      <c r="U1510" s="47"/>
      <c r="V1510" s="27"/>
      <c r="W1510" s="34"/>
      <c r="X1510" s="35">
        <f t="shared" si="1192"/>
        <v>0</v>
      </c>
      <c r="Y1510" s="11">
        <f t="shared" si="1181"/>
        <v>20</v>
      </c>
      <c r="Z1510" s="99">
        <v>45471</v>
      </c>
    </row>
    <row r="1511" spans="1:28" x14ac:dyDescent="0.15">
      <c r="A1511" s="32"/>
      <c r="B1511" s="26"/>
      <c r="C1511" s="47"/>
      <c r="D1511" s="27"/>
      <c r="E1511" s="34"/>
      <c r="F1511" s="35">
        <f t="shared" si="1184"/>
        <v>0</v>
      </c>
      <c r="G1511" s="26"/>
      <c r="H1511" s="47"/>
      <c r="I1511" s="27"/>
      <c r="J1511" s="34"/>
      <c r="K1511" s="35">
        <f t="shared" si="1185"/>
        <v>0</v>
      </c>
      <c r="L1511" s="11">
        <f t="shared" si="1171"/>
        <v>0</v>
      </c>
      <c r="N1511" s="32" t="s">
        <v>1264</v>
      </c>
      <c r="O1511" s="26">
        <v>7</v>
      </c>
      <c r="P1511" s="47">
        <v>10</v>
      </c>
      <c r="Q1511" s="27"/>
      <c r="R1511" s="34">
        <v>2</v>
      </c>
      <c r="S1511" s="35">
        <f t="shared" ref="S1511" si="1193">SUM(O1511:R1511)</f>
        <v>19</v>
      </c>
      <c r="T1511" s="26"/>
      <c r="U1511" s="47"/>
      <c r="V1511" s="27"/>
      <c r="W1511" s="34"/>
      <c r="X1511" s="35">
        <f t="shared" ref="X1511" si="1194">SUM(T1511:W1511)</f>
        <v>0</v>
      </c>
      <c r="Y1511" s="11">
        <f t="shared" ref="Y1511" si="1195">S1511+X1511</f>
        <v>19</v>
      </c>
      <c r="Z1511" s="99">
        <v>45471</v>
      </c>
    </row>
    <row r="1512" spans="1:28" x14ac:dyDescent="0.15">
      <c r="A1512" s="32"/>
      <c r="B1512" s="26"/>
      <c r="C1512" s="47"/>
      <c r="D1512" s="27"/>
      <c r="E1512" s="34"/>
      <c r="F1512" s="35">
        <f t="shared" si="1184"/>
        <v>0</v>
      </c>
      <c r="G1512" s="26"/>
      <c r="H1512" s="47"/>
      <c r="I1512" s="27"/>
      <c r="J1512" s="34"/>
      <c r="K1512" s="35">
        <f t="shared" si="1185"/>
        <v>0</v>
      </c>
      <c r="L1512" s="11">
        <f t="shared" si="1171"/>
        <v>0</v>
      </c>
      <c r="N1512" s="57" t="s">
        <v>1266</v>
      </c>
      <c r="O1512" s="26"/>
      <c r="P1512" s="47">
        <v>10</v>
      </c>
      <c r="Q1512" s="27"/>
      <c r="R1512" s="34"/>
      <c r="S1512" s="35">
        <f t="shared" ref="S1512" si="1196">SUM(O1512:R1512)</f>
        <v>10</v>
      </c>
      <c r="T1512" s="26"/>
      <c r="U1512" s="47"/>
      <c r="V1512" s="27"/>
      <c r="W1512" s="34"/>
      <c r="X1512" s="35">
        <f t="shared" ref="X1512" si="1197">SUM(T1512:W1512)</f>
        <v>0</v>
      </c>
      <c r="Y1512" s="11">
        <f t="shared" ref="Y1512" si="1198">S1512+X1512</f>
        <v>10</v>
      </c>
      <c r="Z1512" s="99">
        <v>45475</v>
      </c>
    </row>
    <row r="1513" spans="1:28" x14ac:dyDescent="0.15">
      <c r="A1513" s="12"/>
      <c r="B1513" s="26"/>
      <c r="C1513" s="47"/>
      <c r="D1513" s="27"/>
      <c r="E1513" s="34"/>
      <c r="F1513" s="35">
        <f t="shared" si="1184"/>
        <v>0</v>
      </c>
      <c r="G1513" s="26"/>
      <c r="H1513" s="47"/>
      <c r="I1513" s="27"/>
      <c r="J1513" s="34"/>
      <c r="K1513" s="35">
        <f t="shared" si="1185"/>
        <v>0</v>
      </c>
      <c r="L1513" s="11">
        <f t="shared" si="1171"/>
        <v>0</v>
      </c>
      <c r="N1513" s="57"/>
      <c r="O1513" s="26"/>
      <c r="P1513" s="47"/>
      <c r="Q1513" s="27"/>
      <c r="R1513" s="34"/>
      <c r="S1513" s="35">
        <f t="shared" ref="S1513" si="1199">SUM(O1513:R1513)</f>
        <v>0</v>
      </c>
      <c r="T1513" s="26"/>
      <c r="U1513" s="47"/>
      <c r="V1513" s="27"/>
      <c r="W1513" s="34"/>
      <c r="X1513" s="35">
        <f t="shared" ref="X1513" si="1200">SUM(T1513:W1513)</f>
        <v>0</v>
      </c>
      <c r="Y1513" s="11">
        <f t="shared" ref="Y1513" si="1201">S1513+X1513</f>
        <v>0</v>
      </c>
    </row>
    <row r="1514" spans="1:28" x14ac:dyDescent="0.15">
      <c r="A1514" s="79"/>
      <c r="B1514" s="26"/>
      <c r="C1514" s="47"/>
      <c r="D1514" s="27"/>
      <c r="E1514" s="34"/>
      <c r="F1514" s="35">
        <f t="shared" si="1184"/>
        <v>0</v>
      </c>
      <c r="G1514" s="26"/>
      <c r="H1514" s="47"/>
      <c r="I1514" s="27"/>
      <c r="J1514" s="34"/>
      <c r="K1514" s="35">
        <f t="shared" si="1185"/>
        <v>0</v>
      </c>
      <c r="L1514" s="11">
        <f t="shared" si="1171"/>
        <v>0</v>
      </c>
      <c r="N1514" s="12" t="s">
        <v>1119</v>
      </c>
      <c r="O1514" s="26"/>
      <c r="P1514" s="47"/>
      <c r="Q1514" s="27"/>
      <c r="R1514" s="50"/>
      <c r="S1514" s="9">
        <f t="shared" ref="S1514:S1515" si="1202">SUM(O1514:R1514)</f>
        <v>0</v>
      </c>
      <c r="T1514" s="26"/>
      <c r="U1514" s="47"/>
      <c r="V1514" s="27"/>
      <c r="W1514" s="50"/>
      <c r="X1514" s="9">
        <f t="shared" ref="X1514:X1515" si="1203">SUM(T1514:W1514)</f>
        <v>0</v>
      </c>
      <c r="Y1514" s="108">
        <f t="shared" ref="Y1514:Y1515" si="1204">S1514+X1514</f>
        <v>0</v>
      </c>
      <c r="Z1514" s="101" t="s">
        <v>1120</v>
      </c>
    </row>
    <row r="1515" spans="1:28" x14ac:dyDescent="0.15">
      <c r="A1515" s="57"/>
      <c r="B1515" s="26"/>
      <c r="C1515" s="47"/>
      <c r="D1515" s="27"/>
      <c r="E1515" s="34"/>
      <c r="F1515" s="35">
        <f t="shared" si="1184"/>
        <v>0</v>
      </c>
      <c r="G1515" s="26"/>
      <c r="H1515" s="47"/>
      <c r="I1515" s="27"/>
      <c r="J1515" s="34"/>
      <c r="K1515" s="35">
        <f t="shared" si="1185"/>
        <v>0</v>
      </c>
      <c r="L1515" s="11">
        <f t="shared" si="1171"/>
        <v>0</v>
      </c>
      <c r="N1515" s="173" t="s">
        <v>1216</v>
      </c>
      <c r="O1515" s="154"/>
      <c r="P1515" s="155"/>
      <c r="Q1515" s="156"/>
      <c r="R1515" s="157"/>
      <c r="S1515" s="158">
        <f t="shared" si="1202"/>
        <v>0</v>
      </c>
      <c r="T1515" s="154"/>
      <c r="U1515" s="155"/>
      <c r="V1515" s="156"/>
      <c r="W1515" s="157"/>
      <c r="X1515" s="158">
        <f t="shared" si="1203"/>
        <v>0</v>
      </c>
      <c r="Y1515" s="179">
        <f t="shared" si="1204"/>
        <v>0</v>
      </c>
      <c r="Z1515" s="160" t="s">
        <v>1215</v>
      </c>
    </row>
    <row r="1516" spans="1:28" ht="14.25" thickBot="1" x14ac:dyDescent="0.2">
      <c r="A1516" s="90"/>
      <c r="B1516" s="62"/>
      <c r="C1516" s="63"/>
      <c r="D1516" s="64"/>
      <c r="E1516" s="65"/>
      <c r="F1516" s="35">
        <f t="shared" si="1184"/>
        <v>0</v>
      </c>
      <c r="G1516" s="62"/>
      <c r="H1516" s="63"/>
      <c r="I1516" s="64"/>
      <c r="J1516" s="65"/>
      <c r="K1516" s="35">
        <f t="shared" si="1185"/>
        <v>0</v>
      </c>
      <c r="L1516" s="14">
        <f t="shared" si="1171"/>
        <v>0</v>
      </c>
      <c r="N1516" s="135" t="s">
        <v>1132</v>
      </c>
      <c r="O1516" s="62"/>
      <c r="P1516" s="63"/>
      <c r="Q1516" s="64"/>
      <c r="R1516" s="65"/>
      <c r="S1516" s="120">
        <f t="shared" ref="S1516" si="1205">SUM(O1516:R1516)</f>
        <v>0</v>
      </c>
      <c r="T1516" s="62"/>
      <c r="U1516" s="63"/>
      <c r="V1516" s="64"/>
      <c r="W1516" s="65"/>
      <c r="X1516" s="120">
        <f t="shared" ref="X1516" si="1206">SUM(T1516:W1516)</f>
        <v>0</v>
      </c>
      <c r="Y1516" s="121">
        <f t="shared" ref="Y1516" si="1207">S1516+X1516</f>
        <v>0</v>
      </c>
      <c r="Z1516" s="101" t="s">
        <v>662</v>
      </c>
    </row>
    <row r="1517" spans="1:28" ht="14.25" thickBot="1" x14ac:dyDescent="0.2">
      <c r="A1517" s="17" t="s">
        <v>10</v>
      </c>
      <c r="B1517" s="38">
        <f>SUM(B1492:B1516)</f>
        <v>21</v>
      </c>
      <c r="C1517" s="48">
        <f>SUM(C1492:C1516)</f>
        <v>29</v>
      </c>
      <c r="D1517" s="39">
        <f>SUM(D1492:D1516)</f>
        <v>11</v>
      </c>
      <c r="E1517" s="40">
        <f>SUM(E1492:E1516)</f>
        <v>3</v>
      </c>
      <c r="F1517" s="36">
        <f>SUM(B1517:E1517)</f>
        <v>64</v>
      </c>
      <c r="G1517" s="38">
        <f>SUM(G1492:G1516)</f>
        <v>1</v>
      </c>
      <c r="H1517" s="48">
        <f>SUM(H1492:H1516)</f>
        <v>8</v>
      </c>
      <c r="I1517" s="39">
        <f>SUM(I1492:I1516)</f>
        <v>10</v>
      </c>
      <c r="J1517" s="40">
        <f>SUM(J1492:J1516)</f>
        <v>3</v>
      </c>
      <c r="K1517" s="36">
        <f>SUM(G1517:J1517)</f>
        <v>22</v>
      </c>
      <c r="L1517" s="37">
        <f t="shared" si="1171"/>
        <v>86</v>
      </c>
      <c r="N1517" s="133" t="s">
        <v>10</v>
      </c>
      <c r="O1517" s="38">
        <f>SUM(O1492:O1516)</f>
        <v>121</v>
      </c>
      <c r="P1517" s="48">
        <f>SUM(P1492:P1516)</f>
        <v>162</v>
      </c>
      <c r="Q1517" s="39">
        <f>SUM(Q1492:Q1516)</f>
        <v>102</v>
      </c>
      <c r="R1517" s="40">
        <f>SUM(R1492:R1516)</f>
        <v>75</v>
      </c>
      <c r="S1517" s="118">
        <f t="shared" si="1191"/>
        <v>460</v>
      </c>
      <c r="T1517" s="38">
        <f>SUM(T1492:T1516)</f>
        <v>23</v>
      </c>
      <c r="U1517" s="48">
        <f>SUM(U1492:U1516)</f>
        <v>36</v>
      </c>
      <c r="V1517" s="39">
        <f>SUM(V1492:V1516)</f>
        <v>33</v>
      </c>
      <c r="W1517" s="40">
        <f>SUM(W1492:W1516)</f>
        <v>43</v>
      </c>
      <c r="X1517" s="118">
        <f t="shared" si="1192"/>
        <v>135</v>
      </c>
      <c r="Y1517" s="119">
        <f t="shared" si="1181"/>
        <v>595</v>
      </c>
    </row>
    <row r="1518" spans="1:28" ht="14.25" thickBot="1" x14ac:dyDescent="0.2">
      <c r="A1518" s="22" t="s">
        <v>11</v>
      </c>
      <c r="B1518" s="41">
        <f>B1491-B1517</f>
        <v>5</v>
      </c>
      <c r="C1518" s="49">
        <f>C1491-C1517</f>
        <v>3</v>
      </c>
      <c r="D1518" s="42">
        <f t="shared" ref="D1518:K1518" si="1208">D1491-D1517</f>
        <v>5</v>
      </c>
      <c r="E1518" s="43">
        <f t="shared" si="1208"/>
        <v>8</v>
      </c>
      <c r="F1518" s="61">
        <f t="shared" si="1208"/>
        <v>17</v>
      </c>
      <c r="G1518" s="41">
        <f t="shared" si="1208"/>
        <v>6</v>
      </c>
      <c r="H1518" s="49">
        <f t="shared" si="1208"/>
        <v>4</v>
      </c>
      <c r="I1518" s="42">
        <f t="shared" si="1208"/>
        <v>3</v>
      </c>
      <c r="J1518" s="43">
        <f t="shared" si="1208"/>
        <v>5</v>
      </c>
      <c r="K1518" s="61">
        <f t="shared" si="1208"/>
        <v>18</v>
      </c>
      <c r="L1518" s="21">
        <f t="shared" si="1171"/>
        <v>35</v>
      </c>
      <c r="N1518" s="17" t="s">
        <v>11</v>
      </c>
      <c r="O1518" s="41">
        <f>O1491-O1517</f>
        <v>343</v>
      </c>
      <c r="P1518" s="49">
        <f t="shared" ref="P1518:Q1518" si="1209">P1491-P1517</f>
        <v>362</v>
      </c>
      <c r="Q1518" s="42">
        <f t="shared" si="1209"/>
        <v>273</v>
      </c>
      <c r="R1518" s="43">
        <f>R1491-R1517</f>
        <v>137</v>
      </c>
      <c r="S1518" s="61">
        <f t="shared" ref="S1518:X1518" si="1210">S1491-S1517</f>
        <v>1115</v>
      </c>
      <c r="T1518" s="41">
        <f t="shared" si="1210"/>
        <v>589</v>
      </c>
      <c r="U1518" s="49">
        <f t="shared" si="1210"/>
        <v>688</v>
      </c>
      <c r="V1518" s="42">
        <f t="shared" si="1210"/>
        <v>493</v>
      </c>
      <c r="W1518" s="43">
        <f t="shared" si="1210"/>
        <v>259</v>
      </c>
      <c r="X1518" s="61">
        <f t="shared" si="1210"/>
        <v>2029</v>
      </c>
      <c r="Y1518" s="21">
        <f t="shared" si="1181"/>
        <v>3144</v>
      </c>
    </row>
    <row r="1519" spans="1:28" x14ac:dyDescent="0.15">
      <c r="O1519" s="218">
        <f>O1517+O1479+O1441+O1403+O1365+O1327+O1291</f>
        <v>4243</v>
      </c>
      <c r="P1519" s="218">
        <f t="shared" ref="P1519:Y1519" si="1211">P1517+P1479+P1441+P1403+P1365+P1327+P1291</f>
        <v>5227</v>
      </c>
      <c r="Q1519" s="218">
        <f t="shared" si="1211"/>
        <v>3230</v>
      </c>
      <c r="R1519" s="218">
        <f t="shared" si="1211"/>
        <v>2001</v>
      </c>
      <c r="S1519" s="218">
        <f t="shared" si="1211"/>
        <v>14701</v>
      </c>
      <c r="T1519" s="218">
        <f t="shared" si="1211"/>
        <v>2010</v>
      </c>
      <c r="U1519" s="218">
        <f t="shared" si="1211"/>
        <v>2394</v>
      </c>
      <c r="V1519" s="218">
        <f t="shared" si="1211"/>
        <v>1665</v>
      </c>
      <c r="W1519" s="218">
        <f t="shared" si="1211"/>
        <v>1223</v>
      </c>
      <c r="X1519" s="218">
        <f t="shared" si="1211"/>
        <v>7292</v>
      </c>
      <c r="Y1519" s="218">
        <f t="shared" si="1211"/>
        <v>21993</v>
      </c>
    </row>
    <row r="1520" spans="1:28" x14ac:dyDescent="0.15">
      <c r="O1520" s="211">
        <f>O1519/$S$1519*100</f>
        <v>28.861982178083124</v>
      </c>
      <c r="P1520" s="211">
        <f t="shared" ref="P1520:S1520" si="1212">P1519/$S$1519*100</f>
        <v>35.555404394258893</v>
      </c>
      <c r="Q1520" s="211">
        <f t="shared" si="1212"/>
        <v>21.971294469763961</v>
      </c>
      <c r="R1520" s="211">
        <f t="shared" si="1212"/>
        <v>13.611318957894019</v>
      </c>
      <c r="S1520" s="211">
        <f t="shared" si="1212"/>
        <v>100</v>
      </c>
      <c r="T1520" s="211">
        <f>T1519/$X$1519*100</f>
        <v>27.564454196379597</v>
      </c>
      <c r="U1520" s="211">
        <f t="shared" ref="U1520:X1520" si="1213">U1519/$X$1519*100</f>
        <v>32.830499177180471</v>
      </c>
      <c r="V1520" s="211">
        <f t="shared" si="1213"/>
        <v>22.833241908941307</v>
      </c>
      <c r="W1520" s="211">
        <f t="shared" si="1213"/>
        <v>16.771804717498629</v>
      </c>
      <c r="X1520" s="211">
        <f t="shared" si="1213"/>
        <v>100</v>
      </c>
      <c r="Y1520" s="234"/>
    </row>
    <row r="1521" spans="1:27" ht="19.5" thickBot="1" x14ac:dyDescent="0.25">
      <c r="A1521" s="2" t="s">
        <v>106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1036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342" t="s">
        <v>18</v>
      </c>
      <c r="C1522" s="350"/>
      <c r="D1522" s="350"/>
      <c r="E1522" s="350"/>
      <c r="F1522" s="351"/>
      <c r="G1522" s="345" t="s">
        <v>12</v>
      </c>
      <c r="H1522" s="352"/>
      <c r="I1522" s="352"/>
      <c r="J1522" s="352"/>
      <c r="K1522" s="353"/>
      <c r="L1522" s="354" t="s">
        <v>1</v>
      </c>
      <c r="N1522" s="5" t="s">
        <v>0</v>
      </c>
      <c r="O1522" s="342" t="s">
        <v>18</v>
      </c>
      <c r="P1522" s="343"/>
      <c r="Q1522" s="343"/>
      <c r="R1522" s="343"/>
      <c r="S1522" s="344"/>
      <c r="T1522" s="345" t="s">
        <v>12</v>
      </c>
      <c r="U1522" s="346"/>
      <c r="V1522" s="346"/>
      <c r="W1522" s="346"/>
      <c r="X1522" s="347"/>
      <c r="Y1522" s="348" t="s">
        <v>1</v>
      </c>
    </row>
    <row r="1523" spans="1:27" ht="14.25" thickBot="1" x14ac:dyDescent="0.2">
      <c r="A1523" s="5" t="s">
        <v>2</v>
      </c>
      <c r="B1523" s="3" t="s">
        <v>13</v>
      </c>
      <c r="C1523" s="44" t="s">
        <v>14</v>
      </c>
      <c r="D1523" s="4" t="s">
        <v>15</v>
      </c>
      <c r="E1523" s="23" t="s">
        <v>16</v>
      </c>
      <c r="F1523" s="31" t="s">
        <v>3</v>
      </c>
      <c r="G1523" s="3" t="s">
        <v>13</v>
      </c>
      <c r="H1523" s="44" t="s">
        <v>14</v>
      </c>
      <c r="I1523" s="4" t="s">
        <v>15</v>
      </c>
      <c r="J1523" s="23" t="s">
        <v>16</v>
      </c>
      <c r="K1523" s="31" t="s">
        <v>3</v>
      </c>
      <c r="L1523" s="355"/>
      <c r="N1523" s="5" t="s">
        <v>2</v>
      </c>
      <c r="O1523" s="3" t="s">
        <v>13</v>
      </c>
      <c r="P1523" s="44" t="s">
        <v>14</v>
      </c>
      <c r="Q1523" s="4" t="s">
        <v>15</v>
      </c>
      <c r="R1523" s="23" t="s">
        <v>16</v>
      </c>
      <c r="S1523" s="31" t="s">
        <v>3</v>
      </c>
      <c r="T1523" s="3" t="s">
        <v>13</v>
      </c>
      <c r="U1523" s="44" t="s">
        <v>14</v>
      </c>
      <c r="V1523" s="4" t="s">
        <v>15</v>
      </c>
      <c r="W1523" s="23" t="s">
        <v>16</v>
      </c>
      <c r="X1523" s="31" t="s">
        <v>3</v>
      </c>
      <c r="Y1523" s="349"/>
    </row>
    <row r="1524" spans="1:27" x14ac:dyDescent="0.15">
      <c r="A1524" s="71" t="s">
        <v>17</v>
      </c>
      <c r="B1524" s="72">
        <f>B1518</f>
        <v>5</v>
      </c>
      <c r="C1524" s="73">
        <f t="shared" ref="C1524:L1524" si="1214">C1518</f>
        <v>3</v>
      </c>
      <c r="D1524" s="73">
        <f t="shared" si="1214"/>
        <v>5</v>
      </c>
      <c r="E1524" s="74">
        <f t="shared" si="1214"/>
        <v>8</v>
      </c>
      <c r="F1524" s="76">
        <f t="shared" si="1214"/>
        <v>17</v>
      </c>
      <c r="G1524" s="72">
        <f t="shared" si="1214"/>
        <v>6</v>
      </c>
      <c r="H1524" s="73">
        <f t="shared" si="1214"/>
        <v>4</v>
      </c>
      <c r="I1524" s="73">
        <f t="shared" si="1214"/>
        <v>3</v>
      </c>
      <c r="J1524" s="74">
        <f t="shared" si="1214"/>
        <v>5</v>
      </c>
      <c r="K1524" s="75">
        <f t="shared" si="1214"/>
        <v>18</v>
      </c>
      <c r="L1524" s="16">
        <f t="shared" si="1214"/>
        <v>35</v>
      </c>
      <c r="N1524" s="71" t="s">
        <v>17</v>
      </c>
      <c r="O1524" s="72">
        <f>O1518</f>
        <v>343</v>
      </c>
      <c r="P1524" s="73">
        <f t="shared" ref="P1524:Y1524" si="1215">P1518</f>
        <v>362</v>
      </c>
      <c r="Q1524" s="73">
        <f t="shared" si="1215"/>
        <v>273</v>
      </c>
      <c r="R1524" s="74">
        <f t="shared" si="1215"/>
        <v>137</v>
      </c>
      <c r="S1524" s="76">
        <f t="shared" si="1215"/>
        <v>1115</v>
      </c>
      <c r="T1524" s="72">
        <f t="shared" si="1215"/>
        <v>589</v>
      </c>
      <c r="U1524" s="73">
        <f t="shared" si="1215"/>
        <v>688</v>
      </c>
      <c r="V1524" s="73">
        <f t="shared" si="1215"/>
        <v>493</v>
      </c>
      <c r="W1524" s="74">
        <f t="shared" si="1215"/>
        <v>259</v>
      </c>
      <c r="X1524" s="75">
        <f t="shared" si="1215"/>
        <v>2029</v>
      </c>
      <c r="Y1524" s="16">
        <f t="shared" si="1215"/>
        <v>3144</v>
      </c>
    </row>
    <row r="1525" spans="1:27" x14ac:dyDescent="0.15">
      <c r="A1525" s="13" t="s">
        <v>5</v>
      </c>
      <c r="B1525" s="26"/>
      <c r="C1525" s="47"/>
      <c r="D1525" s="27"/>
      <c r="E1525" s="50"/>
      <c r="F1525" s="9">
        <f>SUM(B1525:E1525)</f>
        <v>0</v>
      </c>
      <c r="G1525" s="47"/>
      <c r="H1525" s="47"/>
      <c r="I1525" s="27">
        <v>8</v>
      </c>
      <c r="J1525" s="50"/>
      <c r="K1525" s="9">
        <f>SUM(G1525:J1525)</f>
        <v>8</v>
      </c>
      <c r="L1525" s="11">
        <f t="shared" ref="L1525:L1556" si="1216">F1525+K1525</f>
        <v>8</v>
      </c>
      <c r="M1525" s="99">
        <v>45478</v>
      </c>
      <c r="N1525" s="13" t="s">
        <v>153</v>
      </c>
      <c r="O1525" s="26">
        <v>6</v>
      </c>
      <c r="P1525" s="47">
        <v>9</v>
      </c>
      <c r="Q1525" s="27">
        <v>4</v>
      </c>
      <c r="R1525" s="34">
        <v>16</v>
      </c>
      <c r="S1525" s="77">
        <f t="shared" ref="S1525:S1527" si="1217">SUM(O1525:R1525)</f>
        <v>35</v>
      </c>
      <c r="T1525" s="26">
        <v>33</v>
      </c>
      <c r="U1525" s="47">
        <v>22</v>
      </c>
      <c r="V1525" s="27">
        <v>14</v>
      </c>
      <c r="W1525" s="34">
        <v>41</v>
      </c>
      <c r="X1525" s="9">
        <f t="shared" ref="X1525:X1527" si="1218">SUM(T1525:W1525)</f>
        <v>110</v>
      </c>
      <c r="Y1525" s="11">
        <f t="shared" ref="Y1525:Y1529" si="1219">S1525+X1525</f>
        <v>145</v>
      </c>
      <c r="Z1525" s="99">
        <v>45478</v>
      </c>
      <c r="AA1525" s="58"/>
    </row>
    <row r="1526" spans="1:27" x14ac:dyDescent="0.15">
      <c r="A1526" s="13" t="s">
        <v>49</v>
      </c>
      <c r="B1526" s="26">
        <f>5-1</f>
        <v>4</v>
      </c>
      <c r="C1526" s="47">
        <f>7-2</f>
        <v>5</v>
      </c>
      <c r="D1526" s="27">
        <f>4-1</f>
        <v>3</v>
      </c>
      <c r="E1526" s="50">
        <f>3-1</f>
        <v>2</v>
      </c>
      <c r="F1526" s="9">
        <f>SUM(B1526:E1526)</f>
        <v>14</v>
      </c>
      <c r="G1526" s="47">
        <v>3</v>
      </c>
      <c r="H1526" s="47">
        <v>3</v>
      </c>
      <c r="I1526" s="27"/>
      <c r="J1526" s="50">
        <v>1</v>
      </c>
      <c r="K1526" s="9">
        <f>SUM(G1526:J1526)</f>
        <v>7</v>
      </c>
      <c r="L1526" s="11">
        <f t="shared" si="1216"/>
        <v>21</v>
      </c>
      <c r="M1526" s="99">
        <v>45477</v>
      </c>
      <c r="N1526" s="13" t="s">
        <v>350</v>
      </c>
      <c r="O1526" s="26">
        <v>4</v>
      </c>
      <c r="P1526" s="47">
        <v>5</v>
      </c>
      <c r="Q1526" s="27">
        <v>3</v>
      </c>
      <c r="R1526" s="34">
        <v>2</v>
      </c>
      <c r="S1526" s="77">
        <f t="shared" si="1217"/>
        <v>14</v>
      </c>
      <c r="T1526" s="26">
        <v>3</v>
      </c>
      <c r="U1526" s="47">
        <v>3</v>
      </c>
      <c r="V1526" s="27">
        <v>0</v>
      </c>
      <c r="W1526" s="34">
        <v>1</v>
      </c>
      <c r="X1526" s="9">
        <f t="shared" si="1218"/>
        <v>7</v>
      </c>
      <c r="Y1526" s="11">
        <f t="shared" si="1219"/>
        <v>21</v>
      </c>
      <c r="Z1526" s="99">
        <v>45479</v>
      </c>
      <c r="AA1526" s="58"/>
    </row>
    <row r="1527" spans="1:27" x14ac:dyDescent="0.15">
      <c r="A1527" s="13" t="s">
        <v>191</v>
      </c>
      <c r="B1527" s="26">
        <v>5</v>
      </c>
      <c r="C1527" s="47">
        <v>13</v>
      </c>
      <c r="D1527" s="27">
        <v>8</v>
      </c>
      <c r="E1527" s="50">
        <v>5</v>
      </c>
      <c r="F1527" s="9">
        <f>SUM(B1527:E1527)</f>
        <v>31</v>
      </c>
      <c r="G1527" s="47">
        <v>2</v>
      </c>
      <c r="H1527" s="47">
        <v>2</v>
      </c>
      <c r="I1527" s="27">
        <v>0</v>
      </c>
      <c r="J1527" s="50">
        <v>5</v>
      </c>
      <c r="K1527" s="9">
        <f>SUM(G1527:J1527)</f>
        <v>9</v>
      </c>
      <c r="L1527" s="11">
        <f t="shared" si="1216"/>
        <v>40</v>
      </c>
      <c r="M1527" s="99">
        <v>45489</v>
      </c>
      <c r="N1527" s="13" t="s">
        <v>350</v>
      </c>
      <c r="O1527" s="26">
        <v>5</v>
      </c>
      <c r="P1527" s="47">
        <v>12</v>
      </c>
      <c r="Q1527" s="27">
        <v>10</v>
      </c>
      <c r="R1527" s="34">
        <v>6</v>
      </c>
      <c r="S1527" s="77">
        <f t="shared" si="1217"/>
        <v>33</v>
      </c>
      <c r="T1527" s="26"/>
      <c r="U1527" s="47"/>
      <c r="V1527" s="27"/>
      <c r="W1527" s="34">
        <v>7</v>
      </c>
      <c r="X1527" s="9">
        <f t="shared" si="1218"/>
        <v>7</v>
      </c>
      <c r="Y1527" s="11">
        <f t="shared" si="1219"/>
        <v>40</v>
      </c>
      <c r="Z1527" s="126">
        <v>45493</v>
      </c>
    </row>
    <row r="1528" spans="1:27" ht="14.25" thickBot="1" x14ac:dyDescent="0.2">
      <c r="A1528" s="13" t="s">
        <v>936</v>
      </c>
      <c r="B1528" s="26"/>
      <c r="C1528" s="47"/>
      <c r="D1528" s="27"/>
      <c r="E1528" s="50"/>
      <c r="F1528" s="10">
        <f>SUM(B1528:E1528)</f>
        <v>0</v>
      </c>
      <c r="G1528" s="47"/>
      <c r="H1528" s="47">
        <v>2</v>
      </c>
      <c r="I1528" s="27"/>
      <c r="J1528" s="50"/>
      <c r="K1528" s="10">
        <f>SUM(G1528:J1528)</f>
        <v>2</v>
      </c>
      <c r="L1528" s="14">
        <f t="shared" si="1216"/>
        <v>2</v>
      </c>
      <c r="M1528" s="99">
        <v>45477</v>
      </c>
      <c r="N1528" s="13" t="s">
        <v>8</v>
      </c>
      <c r="O1528" s="26"/>
      <c r="P1528" s="47"/>
      <c r="Q1528" s="27"/>
      <c r="R1528" s="34"/>
      <c r="S1528" s="77">
        <f t="shared" ref="S1528" si="1220">SUM(O1528:R1528)</f>
        <v>0</v>
      </c>
      <c r="T1528" s="26"/>
      <c r="U1528" s="47"/>
      <c r="V1528" s="27"/>
      <c r="W1528" s="34"/>
      <c r="X1528" s="9">
        <f t="shared" ref="X1528" si="1221">SUM(T1528:W1528)</f>
        <v>0</v>
      </c>
      <c r="Y1528" s="11">
        <f t="shared" si="1219"/>
        <v>0</v>
      </c>
    </row>
    <row r="1529" spans="1:27" ht="14.25" thickBot="1" x14ac:dyDescent="0.2">
      <c r="A1529" s="22" t="s">
        <v>9</v>
      </c>
      <c r="B1529" s="51">
        <f t="shared" ref="B1529:K1529" si="1222">SUM(B1524:B1528)</f>
        <v>14</v>
      </c>
      <c r="C1529" s="52">
        <f t="shared" si="1222"/>
        <v>21</v>
      </c>
      <c r="D1529" s="53">
        <f t="shared" si="1222"/>
        <v>16</v>
      </c>
      <c r="E1529" s="54">
        <f t="shared" si="1222"/>
        <v>15</v>
      </c>
      <c r="F1529" s="28">
        <f t="shared" si="1222"/>
        <v>62</v>
      </c>
      <c r="G1529" s="51">
        <f t="shared" si="1222"/>
        <v>11</v>
      </c>
      <c r="H1529" s="52">
        <f t="shared" si="1222"/>
        <v>11</v>
      </c>
      <c r="I1529" s="53">
        <f t="shared" si="1222"/>
        <v>11</v>
      </c>
      <c r="J1529" s="54">
        <f t="shared" si="1222"/>
        <v>11</v>
      </c>
      <c r="K1529" s="28">
        <f t="shared" si="1222"/>
        <v>44</v>
      </c>
      <c r="L1529" s="21">
        <f t="shared" si="1216"/>
        <v>106</v>
      </c>
      <c r="N1529" s="17" t="s">
        <v>9</v>
      </c>
      <c r="O1529" s="41">
        <f>SUM(O1524:O1528)</f>
        <v>358</v>
      </c>
      <c r="P1529" s="49">
        <f t="shared" ref="P1529:V1529" si="1223">SUM(P1524:P1528)</f>
        <v>388</v>
      </c>
      <c r="Q1529" s="42">
        <f t="shared" si="1223"/>
        <v>290</v>
      </c>
      <c r="R1529" s="92">
        <f t="shared" si="1223"/>
        <v>161</v>
      </c>
      <c r="S1529" s="93">
        <f t="shared" si="1223"/>
        <v>1197</v>
      </c>
      <c r="T1529" s="41">
        <f t="shared" si="1223"/>
        <v>625</v>
      </c>
      <c r="U1529" s="49">
        <f t="shared" si="1223"/>
        <v>713</v>
      </c>
      <c r="V1529" s="42">
        <f t="shared" si="1223"/>
        <v>507</v>
      </c>
      <c r="W1529" s="92">
        <f>SUM(W1524:W1528)</f>
        <v>308</v>
      </c>
      <c r="X1529" s="93">
        <f t="shared" ref="X1529" si="1224">SUM(X1524:X1528)</f>
        <v>2153</v>
      </c>
      <c r="Y1529" s="56">
        <f t="shared" si="1219"/>
        <v>3350</v>
      </c>
    </row>
    <row r="1530" spans="1:27" x14ac:dyDescent="0.15">
      <c r="A1530" s="12" t="s">
        <v>1280</v>
      </c>
      <c r="B1530" s="24"/>
      <c r="C1530" s="46"/>
      <c r="D1530" s="25"/>
      <c r="E1530" s="33"/>
      <c r="F1530" s="35">
        <f>SUM(B1530:E1530)</f>
        <v>0</v>
      </c>
      <c r="G1530" s="24">
        <v>1</v>
      </c>
      <c r="H1530" s="46">
        <v>1</v>
      </c>
      <c r="I1530" s="25">
        <v>3</v>
      </c>
      <c r="J1530" s="33"/>
      <c r="K1530" s="35">
        <f>SUM(G1530:J1530)</f>
        <v>5</v>
      </c>
      <c r="L1530" s="11">
        <f t="shared" si="1216"/>
        <v>5</v>
      </c>
      <c r="M1530" s="99">
        <v>45481</v>
      </c>
      <c r="N1530" s="32" t="s">
        <v>1267</v>
      </c>
      <c r="O1530" s="66"/>
      <c r="P1530" s="67"/>
      <c r="Q1530" s="68"/>
      <c r="R1530" s="94">
        <v>1</v>
      </c>
      <c r="S1530" s="91">
        <f>SUM(O1530:R1530)</f>
        <v>1</v>
      </c>
      <c r="T1530" s="67">
        <v>2</v>
      </c>
      <c r="U1530" s="67"/>
      <c r="V1530" s="68">
        <v>1</v>
      </c>
      <c r="W1530" s="94"/>
      <c r="X1530" s="91">
        <f>SUM(T1530:W1530)</f>
        <v>3</v>
      </c>
      <c r="Y1530" s="11">
        <f t="shared" ref="Y1530:Y1556" si="1225">S1530+X1530</f>
        <v>4</v>
      </c>
      <c r="Z1530" s="99">
        <v>45474</v>
      </c>
    </row>
    <row r="1531" spans="1:27" x14ac:dyDescent="0.15">
      <c r="A1531" s="13" t="s">
        <v>1072</v>
      </c>
      <c r="B1531" s="26"/>
      <c r="C1531" s="47">
        <v>-1</v>
      </c>
      <c r="D1531" s="27"/>
      <c r="E1531" s="34"/>
      <c r="F1531" s="35">
        <f>SUM(B1531:E1531)</f>
        <v>-1</v>
      </c>
      <c r="G1531" s="26"/>
      <c r="H1531" s="47">
        <v>-1</v>
      </c>
      <c r="I1531" s="27">
        <v>2</v>
      </c>
      <c r="J1531" s="34"/>
      <c r="K1531" s="35">
        <f>SUM(G1531:J1531)</f>
        <v>1</v>
      </c>
      <c r="L1531" s="11">
        <f t="shared" si="1216"/>
        <v>0</v>
      </c>
      <c r="M1531" s="126">
        <v>45481</v>
      </c>
      <c r="N1531" s="12" t="s">
        <v>1268</v>
      </c>
      <c r="O1531" s="26"/>
      <c r="P1531" s="47"/>
      <c r="Q1531" s="27"/>
      <c r="R1531" s="34"/>
      <c r="S1531" s="35">
        <f t="shared" ref="S1531:S1532" si="1226">SUM(O1531:R1531)</f>
        <v>0</v>
      </c>
      <c r="T1531" s="26"/>
      <c r="U1531" s="47"/>
      <c r="V1531" s="27">
        <v>1</v>
      </c>
      <c r="W1531" s="34"/>
      <c r="X1531" s="35">
        <f t="shared" ref="X1531:X1532" si="1227">SUM(T1531:W1531)</f>
        <v>1</v>
      </c>
      <c r="Y1531" s="11">
        <f t="shared" si="1225"/>
        <v>1</v>
      </c>
      <c r="Z1531" s="99">
        <v>45476</v>
      </c>
    </row>
    <row r="1532" spans="1:27" x14ac:dyDescent="0.15">
      <c r="A1532" s="13" t="s">
        <v>1244</v>
      </c>
      <c r="B1532" s="26">
        <v>4</v>
      </c>
      <c r="C1532" s="47">
        <v>5</v>
      </c>
      <c r="D1532" s="27">
        <v>3</v>
      </c>
      <c r="E1532" s="34">
        <v>2</v>
      </c>
      <c r="F1532" s="35">
        <f t="shared" ref="F1532:F1554" si="1228">SUM(B1532:E1532)</f>
        <v>14</v>
      </c>
      <c r="G1532" s="26">
        <v>3</v>
      </c>
      <c r="H1532" s="47">
        <v>3</v>
      </c>
      <c r="I1532" s="27">
        <v>0</v>
      </c>
      <c r="J1532" s="34">
        <v>1</v>
      </c>
      <c r="K1532" s="35">
        <f t="shared" ref="K1532:K1554" si="1229">SUM(G1532:J1532)</f>
        <v>7</v>
      </c>
      <c r="L1532" s="11">
        <f t="shared" si="1216"/>
        <v>21</v>
      </c>
      <c r="M1532" s="126">
        <v>45479</v>
      </c>
      <c r="N1532" s="32" t="s">
        <v>1270</v>
      </c>
      <c r="O1532" s="26"/>
      <c r="P1532" s="47">
        <v>7</v>
      </c>
      <c r="Q1532" s="27">
        <v>2</v>
      </c>
      <c r="R1532" s="34">
        <v>4</v>
      </c>
      <c r="S1532" s="35">
        <f t="shared" si="1226"/>
        <v>13</v>
      </c>
      <c r="T1532" s="26">
        <v>2</v>
      </c>
      <c r="U1532" s="47">
        <v>3</v>
      </c>
      <c r="V1532" s="27"/>
      <c r="W1532" s="34">
        <v>2</v>
      </c>
      <c r="X1532" s="35">
        <f t="shared" si="1227"/>
        <v>7</v>
      </c>
      <c r="Y1532" s="11">
        <f t="shared" si="1225"/>
        <v>20</v>
      </c>
      <c r="Z1532" s="99">
        <v>45476</v>
      </c>
    </row>
    <row r="1533" spans="1:27" x14ac:dyDescent="0.15">
      <c r="A1533" s="32" t="s">
        <v>41</v>
      </c>
      <c r="B1533" s="66"/>
      <c r="C1533" s="67"/>
      <c r="D1533" s="68"/>
      <c r="E1533" s="69"/>
      <c r="F1533" s="70">
        <f t="shared" si="1228"/>
        <v>0</v>
      </c>
      <c r="G1533" s="66"/>
      <c r="H1533" s="67">
        <v>1</v>
      </c>
      <c r="I1533" s="68"/>
      <c r="J1533" s="69">
        <v>1</v>
      </c>
      <c r="K1533" s="70">
        <f t="shared" si="1229"/>
        <v>2</v>
      </c>
      <c r="L1533" s="11">
        <f t="shared" si="1216"/>
        <v>2</v>
      </c>
      <c r="M1533" s="126">
        <v>45481</v>
      </c>
      <c r="N1533" s="32" t="s">
        <v>1271</v>
      </c>
      <c r="O1533" s="66"/>
      <c r="P1533" s="67">
        <v>2</v>
      </c>
      <c r="Q1533" s="68"/>
      <c r="R1533" s="94"/>
      <c r="S1533" s="91">
        <f>SUM(O1533:R1533)</f>
        <v>2</v>
      </c>
      <c r="T1533" s="67"/>
      <c r="U1533" s="67"/>
      <c r="V1533" s="68">
        <v>3</v>
      </c>
      <c r="W1533" s="94"/>
      <c r="X1533" s="91">
        <f>SUM(T1533:W1533)</f>
        <v>3</v>
      </c>
      <c r="Y1533" s="11">
        <f t="shared" si="1225"/>
        <v>5</v>
      </c>
      <c r="Z1533" s="99">
        <v>45477</v>
      </c>
    </row>
    <row r="1534" spans="1:27" x14ac:dyDescent="0.15">
      <c r="A1534" s="32" t="s">
        <v>41</v>
      </c>
      <c r="B1534" s="26"/>
      <c r="C1534" s="47"/>
      <c r="D1534" s="27">
        <v>2</v>
      </c>
      <c r="E1534" s="34"/>
      <c r="F1534" s="35">
        <f t="shared" si="1228"/>
        <v>2</v>
      </c>
      <c r="G1534" s="26"/>
      <c r="H1534" s="47"/>
      <c r="I1534" s="27"/>
      <c r="J1534" s="34"/>
      <c r="K1534" s="35">
        <f t="shared" si="1229"/>
        <v>0</v>
      </c>
      <c r="L1534" s="11">
        <f t="shared" si="1216"/>
        <v>2</v>
      </c>
      <c r="M1534" s="126">
        <v>45484</v>
      </c>
      <c r="N1534" s="57" t="s">
        <v>1272</v>
      </c>
      <c r="O1534" s="26">
        <v>2</v>
      </c>
      <c r="P1534" s="47">
        <v>10</v>
      </c>
      <c r="Q1534" s="27">
        <v>12</v>
      </c>
      <c r="R1534" s="34"/>
      <c r="S1534" s="35">
        <f t="shared" ref="S1534:S1536" si="1230">SUM(O1534:R1534)</f>
        <v>24</v>
      </c>
      <c r="T1534" s="26"/>
      <c r="U1534" s="47">
        <v>6</v>
      </c>
      <c r="V1534" s="27"/>
      <c r="W1534" s="34"/>
      <c r="X1534" s="35">
        <f t="shared" ref="X1534:X1536" si="1231">SUM(T1534:W1534)</f>
        <v>6</v>
      </c>
      <c r="Y1534" s="11">
        <f t="shared" si="1225"/>
        <v>30</v>
      </c>
      <c r="Z1534" s="99">
        <v>45477</v>
      </c>
      <c r="AA1534" s="58"/>
    </row>
    <row r="1535" spans="1:27" x14ac:dyDescent="0.15">
      <c r="A1535" s="32" t="s">
        <v>41</v>
      </c>
      <c r="B1535" s="26">
        <v>1</v>
      </c>
      <c r="C1535" s="47"/>
      <c r="D1535" s="27"/>
      <c r="E1535" s="34"/>
      <c r="F1535" s="35">
        <f t="shared" si="1228"/>
        <v>1</v>
      </c>
      <c r="G1535" s="26"/>
      <c r="H1535" s="47"/>
      <c r="I1535" s="27">
        <v>2</v>
      </c>
      <c r="J1535" s="34"/>
      <c r="K1535" s="35">
        <f t="shared" si="1229"/>
        <v>2</v>
      </c>
      <c r="L1535" s="11">
        <f t="shared" si="1216"/>
        <v>3</v>
      </c>
      <c r="M1535" s="126">
        <v>45489</v>
      </c>
      <c r="N1535" s="32" t="s">
        <v>1273</v>
      </c>
      <c r="O1535" s="26">
        <v>2</v>
      </c>
      <c r="P1535" s="47">
        <v>7</v>
      </c>
      <c r="Q1535" s="27">
        <v>1</v>
      </c>
      <c r="R1535" s="34"/>
      <c r="S1535" s="35">
        <f t="shared" si="1230"/>
        <v>10</v>
      </c>
      <c r="T1535" s="26">
        <v>3</v>
      </c>
      <c r="U1535" s="47">
        <v>4</v>
      </c>
      <c r="V1535" s="27"/>
      <c r="W1535" s="34"/>
      <c r="X1535" s="35">
        <f t="shared" si="1231"/>
        <v>7</v>
      </c>
      <c r="Y1535" s="11">
        <f t="shared" si="1225"/>
        <v>17</v>
      </c>
      <c r="Z1535" s="99">
        <v>45478</v>
      </c>
      <c r="AA1535" s="58"/>
    </row>
    <row r="1536" spans="1:27" x14ac:dyDescent="0.15">
      <c r="A1536" s="32" t="s">
        <v>41</v>
      </c>
      <c r="B1536" s="26"/>
      <c r="C1536" s="47">
        <v>1</v>
      </c>
      <c r="D1536" s="27"/>
      <c r="E1536" s="34"/>
      <c r="F1536" s="35">
        <f t="shared" si="1228"/>
        <v>1</v>
      </c>
      <c r="G1536" s="26"/>
      <c r="H1536" s="47"/>
      <c r="I1536" s="27"/>
      <c r="J1536" s="34"/>
      <c r="K1536" s="35">
        <f t="shared" si="1229"/>
        <v>0</v>
      </c>
      <c r="L1536" s="11">
        <f t="shared" si="1216"/>
        <v>1</v>
      </c>
      <c r="M1536" s="126">
        <v>45491</v>
      </c>
      <c r="N1536" s="32" t="s">
        <v>1274</v>
      </c>
      <c r="O1536" s="26"/>
      <c r="P1536" s="47">
        <v>4</v>
      </c>
      <c r="Q1536" s="27">
        <v>4</v>
      </c>
      <c r="R1536" s="34">
        <v>1</v>
      </c>
      <c r="S1536" s="35">
        <f t="shared" si="1230"/>
        <v>9</v>
      </c>
      <c r="T1536" s="26"/>
      <c r="U1536" s="47">
        <v>1</v>
      </c>
      <c r="V1536" s="27">
        <v>1</v>
      </c>
      <c r="W1536" s="34"/>
      <c r="X1536" s="35">
        <f t="shared" si="1231"/>
        <v>2</v>
      </c>
      <c r="Y1536" s="11">
        <f t="shared" si="1225"/>
        <v>11</v>
      </c>
      <c r="Z1536" s="99">
        <v>45478</v>
      </c>
      <c r="AA1536" s="58"/>
    </row>
    <row r="1537" spans="1:29" x14ac:dyDescent="0.15">
      <c r="A1537" s="13" t="s">
        <v>1072</v>
      </c>
      <c r="B1537" s="26"/>
      <c r="C1537" s="47">
        <v>-2</v>
      </c>
      <c r="D1537" s="27"/>
      <c r="E1537" s="34"/>
      <c r="F1537" s="35">
        <f t="shared" si="1228"/>
        <v>-2</v>
      </c>
      <c r="G1537" s="26"/>
      <c r="H1537" s="47">
        <v>-2</v>
      </c>
      <c r="I1537" s="27"/>
      <c r="J1537" s="34"/>
      <c r="K1537" s="35">
        <f t="shared" si="1229"/>
        <v>-2</v>
      </c>
      <c r="L1537" s="11">
        <f t="shared" si="1216"/>
        <v>-4</v>
      </c>
      <c r="M1537" s="126">
        <v>45491</v>
      </c>
      <c r="N1537" s="12" t="s">
        <v>1275</v>
      </c>
      <c r="O1537" s="26"/>
      <c r="P1537" s="47"/>
      <c r="Q1537" s="27">
        <v>10</v>
      </c>
      <c r="R1537" s="50"/>
      <c r="S1537" s="9">
        <f>SUM(O1537:R1537)</f>
        <v>10</v>
      </c>
      <c r="T1537" s="47"/>
      <c r="U1537" s="47"/>
      <c r="V1537" s="27"/>
      <c r="W1537" s="50"/>
      <c r="X1537" s="9">
        <f>SUM(T1537:W1537)</f>
        <v>0</v>
      </c>
      <c r="Y1537" s="11">
        <f t="shared" si="1225"/>
        <v>10</v>
      </c>
      <c r="Z1537" s="99">
        <v>45483</v>
      </c>
      <c r="AA1537" s="58"/>
    </row>
    <row r="1538" spans="1:29" x14ac:dyDescent="0.15">
      <c r="A1538" s="13" t="s">
        <v>1072</v>
      </c>
      <c r="B1538" s="26"/>
      <c r="C1538" s="47">
        <v>4</v>
      </c>
      <c r="D1538" s="27"/>
      <c r="E1538" s="34"/>
      <c r="F1538" s="35">
        <f t="shared" si="1228"/>
        <v>4</v>
      </c>
      <c r="G1538" s="26"/>
      <c r="H1538" s="47"/>
      <c r="I1538" s="27"/>
      <c r="J1538" s="34"/>
      <c r="K1538" s="35">
        <f t="shared" si="1229"/>
        <v>0</v>
      </c>
      <c r="L1538" s="11">
        <f t="shared" si="1216"/>
        <v>4</v>
      </c>
      <c r="M1538" s="126">
        <v>45491</v>
      </c>
      <c r="N1538" s="12" t="s">
        <v>1276</v>
      </c>
      <c r="O1538" s="26"/>
      <c r="P1538" s="47"/>
      <c r="Q1538" s="27"/>
      <c r="R1538" s="34"/>
      <c r="S1538" s="35">
        <f t="shared" ref="S1538:S1555" si="1232">SUM(O1538:R1538)</f>
        <v>0</v>
      </c>
      <c r="T1538" s="26"/>
      <c r="U1538" s="47"/>
      <c r="V1538" s="27">
        <v>3</v>
      </c>
      <c r="W1538" s="34"/>
      <c r="X1538" s="35">
        <f t="shared" ref="X1538:X1555" si="1233">SUM(T1538:W1538)</f>
        <v>3</v>
      </c>
      <c r="Y1538" s="11">
        <f t="shared" si="1225"/>
        <v>3</v>
      </c>
      <c r="Z1538" s="99">
        <v>45478</v>
      </c>
      <c r="AA1538" s="58"/>
      <c r="AB1538" s="58"/>
      <c r="AC1538" s="58"/>
    </row>
    <row r="1539" spans="1:29" x14ac:dyDescent="0.15">
      <c r="A1539" s="32" t="s">
        <v>1244</v>
      </c>
      <c r="B1539" s="26">
        <v>5</v>
      </c>
      <c r="C1539" s="47">
        <v>12</v>
      </c>
      <c r="D1539" s="27">
        <v>10</v>
      </c>
      <c r="E1539" s="34">
        <v>6</v>
      </c>
      <c r="F1539" s="35">
        <f t="shared" si="1228"/>
        <v>33</v>
      </c>
      <c r="G1539" s="26"/>
      <c r="H1539" s="47"/>
      <c r="I1539" s="27"/>
      <c r="J1539" s="34">
        <v>7</v>
      </c>
      <c r="K1539" s="35">
        <f t="shared" si="1229"/>
        <v>7</v>
      </c>
      <c r="L1539" s="11">
        <f t="shared" si="1216"/>
        <v>40</v>
      </c>
      <c r="M1539" s="126">
        <v>45493</v>
      </c>
      <c r="N1539" s="32" t="s">
        <v>1277</v>
      </c>
      <c r="O1539" s="26"/>
      <c r="P1539" s="47"/>
      <c r="Q1539" s="27">
        <v>3</v>
      </c>
      <c r="R1539" s="34">
        <v>1</v>
      </c>
      <c r="S1539" s="35">
        <f t="shared" si="1232"/>
        <v>4</v>
      </c>
      <c r="T1539" s="26"/>
      <c r="U1539" s="47"/>
      <c r="V1539" s="27"/>
      <c r="W1539" s="34"/>
      <c r="X1539" s="35">
        <f t="shared" si="1233"/>
        <v>0</v>
      </c>
      <c r="Y1539" s="11">
        <f t="shared" si="1225"/>
        <v>4</v>
      </c>
      <c r="Z1539" s="99">
        <v>45481</v>
      </c>
    </row>
    <row r="1540" spans="1:29" x14ac:dyDescent="0.15">
      <c r="A1540" s="32" t="s">
        <v>41</v>
      </c>
      <c r="B1540" s="26"/>
      <c r="C1540" s="47">
        <v>3</v>
      </c>
      <c r="D1540" s="27"/>
      <c r="E1540" s="34"/>
      <c r="F1540" s="35">
        <f t="shared" si="1228"/>
        <v>3</v>
      </c>
      <c r="G1540" s="26"/>
      <c r="H1540" s="47">
        <v>1</v>
      </c>
      <c r="I1540" s="27"/>
      <c r="J1540" s="34"/>
      <c r="K1540" s="35">
        <f t="shared" si="1229"/>
        <v>1</v>
      </c>
      <c r="L1540" s="11">
        <f t="shared" si="1216"/>
        <v>4</v>
      </c>
      <c r="M1540" s="126">
        <v>45493</v>
      </c>
      <c r="N1540" s="12" t="s">
        <v>34</v>
      </c>
      <c r="O1540" s="26"/>
      <c r="P1540" s="47"/>
      <c r="Q1540" s="27"/>
      <c r="R1540" s="34"/>
      <c r="S1540" s="35">
        <f>SUM(O1540:R1540)</f>
        <v>0</v>
      </c>
      <c r="T1540" s="26"/>
      <c r="U1540" s="47"/>
      <c r="V1540" s="27">
        <v>5</v>
      </c>
      <c r="W1540" s="34"/>
      <c r="X1540" s="35">
        <f>SUM(T1540:W1540)</f>
        <v>5</v>
      </c>
      <c r="Y1540" s="11">
        <f t="shared" si="1225"/>
        <v>5</v>
      </c>
      <c r="Z1540" s="99">
        <v>45479</v>
      </c>
    </row>
    <row r="1541" spans="1:29" x14ac:dyDescent="0.15">
      <c r="A1541" s="13"/>
      <c r="B1541" s="26"/>
      <c r="C1541" s="47"/>
      <c r="D1541" s="27"/>
      <c r="E1541" s="34"/>
      <c r="F1541" s="35">
        <f t="shared" si="1228"/>
        <v>0</v>
      </c>
      <c r="G1541" s="26"/>
      <c r="H1541" s="47"/>
      <c r="I1541" s="27"/>
      <c r="J1541" s="34"/>
      <c r="K1541" s="35">
        <f t="shared" si="1229"/>
        <v>0</v>
      </c>
      <c r="L1541" s="11">
        <f t="shared" si="1216"/>
        <v>0</v>
      </c>
      <c r="N1541" s="57" t="s">
        <v>1278</v>
      </c>
      <c r="O1541" s="26">
        <v>5</v>
      </c>
      <c r="P1541" s="47"/>
      <c r="Q1541" s="27"/>
      <c r="R1541" s="34"/>
      <c r="S1541" s="35">
        <f t="shared" si="1232"/>
        <v>5</v>
      </c>
      <c r="T1541" s="26"/>
      <c r="U1541" s="47"/>
      <c r="V1541" s="27"/>
      <c r="W1541" s="34"/>
      <c r="X1541" s="35">
        <f t="shared" si="1233"/>
        <v>0</v>
      </c>
      <c r="Y1541" s="11">
        <f t="shared" si="1225"/>
        <v>5</v>
      </c>
      <c r="Z1541" s="99">
        <v>45481</v>
      </c>
      <c r="AA1541" s="58"/>
    </row>
    <row r="1542" spans="1:29" x14ac:dyDescent="0.15">
      <c r="A1542" s="15"/>
      <c r="B1542" s="26"/>
      <c r="C1542" s="47"/>
      <c r="D1542" s="27"/>
      <c r="E1542" s="34"/>
      <c r="F1542" s="35">
        <f t="shared" si="1228"/>
        <v>0</v>
      </c>
      <c r="G1542" s="26"/>
      <c r="H1542" s="47"/>
      <c r="I1542" s="27"/>
      <c r="J1542" s="34"/>
      <c r="K1542" s="35">
        <f t="shared" si="1229"/>
        <v>0</v>
      </c>
      <c r="L1542" s="11">
        <f t="shared" si="1216"/>
        <v>0</v>
      </c>
      <c r="N1542" s="32" t="s">
        <v>1279</v>
      </c>
      <c r="O1542" s="26">
        <v>2</v>
      </c>
      <c r="P1542" s="47">
        <v>4</v>
      </c>
      <c r="Q1542" s="27">
        <v>2</v>
      </c>
      <c r="R1542" s="34">
        <v>1</v>
      </c>
      <c r="S1542" s="35">
        <f t="shared" si="1232"/>
        <v>9</v>
      </c>
      <c r="T1542" s="26">
        <v>1</v>
      </c>
      <c r="U1542" s="47"/>
      <c r="V1542" s="27"/>
      <c r="W1542" s="34"/>
      <c r="X1542" s="35">
        <f t="shared" si="1233"/>
        <v>1</v>
      </c>
      <c r="Y1542" s="11">
        <f t="shared" si="1225"/>
        <v>10</v>
      </c>
      <c r="Z1542" s="99">
        <v>45483</v>
      </c>
      <c r="AA1542" s="58"/>
    </row>
    <row r="1543" spans="1:29" x14ac:dyDescent="0.15">
      <c r="A1543" s="13"/>
      <c r="B1543" s="26"/>
      <c r="C1543" s="47"/>
      <c r="D1543" s="27"/>
      <c r="E1543" s="34"/>
      <c r="F1543" s="35">
        <f t="shared" si="1228"/>
        <v>0</v>
      </c>
      <c r="G1543" s="26"/>
      <c r="H1543" s="47"/>
      <c r="I1543" s="27"/>
      <c r="J1543" s="34"/>
      <c r="K1543" s="35">
        <f t="shared" si="1229"/>
        <v>0</v>
      </c>
      <c r="L1543" s="11">
        <f t="shared" si="1216"/>
        <v>0</v>
      </c>
      <c r="N1543" s="12" t="s">
        <v>1281</v>
      </c>
      <c r="O1543" s="26"/>
      <c r="P1543" s="47">
        <v>2</v>
      </c>
      <c r="Q1543" s="27"/>
      <c r="R1543" s="34"/>
      <c r="S1543" s="35">
        <f t="shared" si="1232"/>
        <v>2</v>
      </c>
      <c r="T1543" s="26"/>
      <c r="U1543" s="47">
        <v>1</v>
      </c>
      <c r="V1543" s="27">
        <v>2</v>
      </c>
      <c r="W1543" s="34"/>
      <c r="X1543" s="35">
        <f t="shared" si="1233"/>
        <v>3</v>
      </c>
      <c r="Y1543" s="11">
        <f t="shared" si="1225"/>
        <v>5</v>
      </c>
      <c r="Z1543" s="99">
        <v>45484</v>
      </c>
      <c r="AA1543" s="58"/>
    </row>
    <row r="1544" spans="1:29" x14ac:dyDescent="0.15">
      <c r="A1544" s="15"/>
      <c r="B1544" s="26"/>
      <c r="C1544" s="47"/>
      <c r="D1544" s="27"/>
      <c r="E1544" s="34"/>
      <c r="F1544" s="35">
        <f t="shared" si="1228"/>
        <v>0</v>
      </c>
      <c r="G1544" s="26"/>
      <c r="H1544" s="47"/>
      <c r="I1544" s="27"/>
      <c r="J1544" s="34"/>
      <c r="K1544" s="35">
        <f t="shared" si="1229"/>
        <v>0</v>
      </c>
      <c r="L1544" s="11">
        <f t="shared" si="1216"/>
        <v>0</v>
      </c>
      <c r="N1544" s="32" t="s">
        <v>1282</v>
      </c>
      <c r="O1544" s="26"/>
      <c r="P1544" s="47">
        <v>8</v>
      </c>
      <c r="Q1544" s="27">
        <v>6</v>
      </c>
      <c r="R1544" s="34">
        <v>1</v>
      </c>
      <c r="S1544" s="35">
        <f t="shared" si="1232"/>
        <v>15</v>
      </c>
      <c r="T1544" s="26">
        <v>3</v>
      </c>
      <c r="U1544" s="47"/>
      <c r="V1544" s="27">
        <v>1</v>
      </c>
      <c r="W1544" s="34"/>
      <c r="X1544" s="35">
        <f t="shared" si="1233"/>
        <v>4</v>
      </c>
      <c r="Y1544" s="11">
        <f t="shared" si="1225"/>
        <v>19</v>
      </c>
      <c r="Z1544" s="99">
        <v>45484</v>
      </c>
      <c r="AA1544" s="58"/>
    </row>
    <row r="1545" spans="1:29" x14ac:dyDescent="0.15">
      <c r="A1545" s="13"/>
      <c r="B1545" s="26"/>
      <c r="C1545" s="47"/>
      <c r="D1545" s="27"/>
      <c r="E1545" s="34"/>
      <c r="F1545" s="35">
        <f t="shared" si="1228"/>
        <v>0</v>
      </c>
      <c r="G1545" s="26"/>
      <c r="H1545" s="47"/>
      <c r="I1545" s="27"/>
      <c r="J1545" s="34"/>
      <c r="K1545" s="35">
        <f t="shared" si="1229"/>
        <v>0</v>
      </c>
      <c r="L1545" s="11">
        <f t="shared" si="1216"/>
        <v>0</v>
      </c>
      <c r="N1545" s="32" t="s">
        <v>1283</v>
      </c>
      <c r="O1545" s="26"/>
      <c r="P1545" s="47">
        <v>4</v>
      </c>
      <c r="Q1545" s="27">
        <v>1</v>
      </c>
      <c r="R1545" s="34"/>
      <c r="S1545" s="35">
        <f t="shared" si="1232"/>
        <v>5</v>
      </c>
      <c r="T1545" s="26"/>
      <c r="U1545" s="47">
        <v>2</v>
      </c>
      <c r="V1545" s="27"/>
      <c r="W1545" s="34"/>
      <c r="X1545" s="35">
        <f t="shared" si="1233"/>
        <v>2</v>
      </c>
      <c r="Y1545" s="11">
        <f t="shared" si="1225"/>
        <v>7</v>
      </c>
      <c r="Z1545" s="99">
        <v>45485</v>
      </c>
      <c r="AA1545" s="58"/>
    </row>
    <row r="1546" spans="1:29" x14ac:dyDescent="0.15">
      <c r="A1546" s="15"/>
      <c r="B1546" s="26"/>
      <c r="C1546" s="47"/>
      <c r="D1546" s="27"/>
      <c r="E1546" s="34"/>
      <c r="F1546" s="35">
        <f t="shared" si="1228"/>
        <v>0</v>
      </c>
      <c r="G1546" s="26"/>
      <c r="H1546" s="47"/>
      <c r="I1546" s="27"/>
      <c r="J1546" s="34"/>
      <c r="K1546" s="35">
        <f t="shared" si="1229"/>
        <v>0</v>
      </c>
      <c r="L1546" s="11">
        <f t="shared" si="1216"/>
        <v>0</v>
      </c>
      <c r="N1546" s="12" t="s">
        <v>1284</v>
      </c>
      <c r="O1546" s="26">
        <v>15</v>
      </c>
      <c r="P1546" s="47">
        <v>25</v>
      </c>
      <c r="Q1546" s="27">
        <v>17</v>
      </c>
      <c r="R1546" s="34">
        <v>14</v>
      </c>
      <c r="S1546" s="35">
        <f t="shared" si="1232"/>
        <v>71</v>
      </c>
      <c r="T1546" s="26">
        <v>3</v>
      </c>
      <c r="U1546" s="47">
        <v>5</v>
      </c>
      <c r="V1546" s="27">
        <v>8</v>
      </c>
      <c r="W1546" s="34">
        <v>5</v>
      </c>
      <c r="X1546" s="35">
        <f t="shared" si="1233"/>
        <v>21</v>
      </c>
      <c r="Y1546" s="11">
        <f t="shared" si="1225"/>
        <v>92</v>
      </c>
      <c r="Z1546" s="99">
        <v>45489</v>
      </c>
    </row>
    <row r="1547" spans="1:29" x14ac:dyDescent="0.15">
      <c r="A1547" s="15"/>
      <c r="B1547" s="26"/>
      <c r="C1547" s="47"/>
      <c r="D1547" s="27"/>
      <c r="E1547" s="34"/>
      <c r="F1547" s="35">
        <f t="shared" si="1228"/>
        <v>0</v>
      </c>
      <c r="G1547" s="26"/>
      <c r="H1547" s="47"/>
      <c r="I1547" s="27"/>
      <c r="J1547" s="34"/>
      <c r="K1547" s="35">
        <f t="shared" si="1229"/>
        <v>0</v>
      </c>
      <c r="L1547" s="11">
        <f t="shared" si="1216"/>
        <v>0</v>
      </c>
      <c r="N1547" s="32" t="s">
        <v>1285</v>
      </c>
      <c r="O1547" s="26">
        <v>2</v>
      </c>
      <c r="P1547" s="47">
        <v>4</v>
      </c>
      <c r="Q1547" s="27">
        <v>2</v>
      </c>
      <c r="R1547" s="34">
        <v>1</v>
      </c>
      <c r="S1547" s="35">
        <f t="shared" si="1232"/>
        <v>9</v>
      </c>
      <c r="T1547" s="26">
        <v>1</v>
      </c>
      <c r="U1547" s="47">
        <v>1</v>
      </c>
      <c r="V1547" s="27">
        <v>4</v>
      </c>
      <c r="W1547" s="34"/>
      <c r="X1547" s="35">
        <f t="shared" si="1233"/>
        <v>6</v>
      </c>
      <c r="Y1547" s="11">
        <f t="shared" si="1225"/>
        <v>15</v>
      </c>
      <c r="Z1547" s="99">
        <v>45485</v>
      </c>
      <c r="AA1547" s="58"/>
    </row>
    <row r="1548" spans="1:29" x14ac:dyDescent="0.15">
      <c r="A1548" s="13"/>
      <c r="B1548" s="26"/>
      <c r="C1548" s="47"/>
      <c r="D1548" s="27"/>
      <c r="E1548" s="34"/>
      <c r="F1548" s="35">
        <f t="shared" si="1228"/>
        <v>0</v>
      </c>
      <c r="G1548" s="26"/>
      <c r="H1548" s="47"/>
      <c r="I1548" s="27"/>
      <c r="J1548" s="34"/>
      <c r="K1548" s="35">
        <f t="shared" si="1229"/>
        <v>0</v>
      </c>
      <c r="L1548" s="11">
        <f t="shared" si="1216"/>
        <v>0</v>
      </c>
      <c r="N1548" s="12" t="s">
        <v>1286</v>
      </c>
      <c r="O1548" s="26"/>
      <c r="P1548" s="47"/>
      <c r="Q1548" s="27"/>
      <c r="R1548" s="34"/>
      <c r="S1548" s="35">
        <f t="shared" si="1232"/>
        <v>0</v>
      </c>
      <c r="T1548" s="26"/>
      <c r="U1548" s="47">
        <v>5</v>
      </c>
      <c r="V1548" s="27">
        <v>10</v>
      </c>
      <c r="W1548" s="34"/>
      <c r="X1548" s="35">
        <f t="shared" si="1233"/>
        <v>15</v>
      </c>
      <c r="Y1548" s="11">
        <f t="shared" si="1225"/>
        <v>15</v>
      </c>
      <c r="Z1548" s="99">
        <v>45490</v>
      </c>
      <c r="AA1548" s="58"/>
    </row>
    <row r="1549" spans="1:29" x14ac:dyDescent="0.15">
      <c r="A1549" s="32"/>
      <c r="B1549" s="26"/>
      <c r="C1549" s="47"/>
      <c r="D1549" s="27"/>
      <c r="E1549" s="34"/>
      <c r="F1549" s="35">
        <f t="shared" si="1228"/>
        <v>0</v>
      </c>
      <c r="G1549" s="26"/>
      <c r="H1549" s="47"/>
      <c r="I1549" s="27"/>
      <c r="J1549" s="34"/>
      <c r="K1549" s="35">
        <f t="shared" si="1229"/>
        <v>0</v>
      </c>
      <c r="L1549" s="11">
        <f t="shared" si="1216"/>
        <v>0</v>
      </c>
      <c r="N1549" s="32" t="s">
        <v>1290</v>
      </c>
      <c r="O1549" s="66">
        <v>5</v>
      </c>
      <c r="P1549" s="67">
        <v>4</v>
      </c>
      <c r="Q1549" s="68"/>
      <c r="R1549" s="94">
        <v>1</v>
      </c>
      <c r="S1549" s="91">
        <f>SUM(O1549:R1549)</f>
        <v>10</v>
      </c>
      <c r="T1549" s="67"/>
      <c r="U1549" s="67"/>
      <c r="V1549" s="68"/>
      <c r="W1549" s="94"/>
      <c r="X1549" s="91">
        <f>SUM(T1549:W1549)</f>
        <v>0</v>
      </c>
      <c r="Y1549" s="11">
        <f t="shared" si="1225"/>
        <v>10</v>
      </c>
      <c r="Z1549" s="99">
        <v>45489</v>
      </c>
      <c r="AA1549" s="58"/>
    </row>
    <row r="1550" spans="1:29" x14ac:dyDescent="0.15">
      <c r="A1550" s="32"/>
      <c r="B1550" s="26"/>
      <c r="C1550" s="47"/>
      <c r="D1550" s="27"/>
      <c r="E1550" s="34"/>
      <c r="F1550" s="35">
        <f t="shared" si="1228"/>
        <v>0</v>
      </c>
      <c r="G1550" s="26"/>
      <c r="H1550" s="47"/>
      <c r="I1550" s="27"/>
      <c r="J1550" s="34"/>
      <c r="K1550" s="35">
        <f t="shared" si="1229"/>
        <v>0</v>
      </c>
      <c r="L1550" s="11">
        <f t="shared" si="1216"/>
        <v>0</v>
      </c>
      <c r="N1550" s="57"/>
      <c r="O1550" s="26"/>
      <c r="P1550" s="47"/>
      <c r="Q1550" s="27"/>
      <c r="R1550" s="34"/>
      <c r="S1550" s="35">
        <f t="shared" ref="S1550" si="1234">SUM(O1550:R1550)</f>
        <v>0</v>
      </c>
      <c r="T1550" s="26"/>
      <c r="U1550" s="47"/>
      <c r="V1550" s="27"/>
      <c r="W1550" s="34"/>
      <c r="X1550" s="35">
        <f t="shared" ref="X1550" si="1235">SUM(T1550:W1550)</f>
        <v>0</v>
      </c>
      <c r="Y1550" s="11">
        <f t="shared" ref="Y1550" si="1236">S1550+X1550</f>
        <v>0</v>
      </c>
      <c r="Z1550" s="101"/>
    </row>
    <row r="1551" spans="1:29" x14ac:dyDescent="0.15">
      <c r="A1551" s="12"/>
      <c r="B1551" s="26"/>
      <c r="C1551" s="47"/>
      <c r="D1551" s="27"/>
      <c r="E1551" s="34"/>
      <c r="F1551" s="35">
        <f t="shared" si="1228"/>
        <v>0</v>
      </c>
      <c r="G1551" s="26"/>
      <c r="H1551" s="47"/>
      <c r="I1551" s="27"/>
      <c r="J1551" s="34"/>
      <c r="K1551" s="35">
        <f t="shared" si="1229"/>
        <v>0</v>
      </c>
      <c r="L1551" s="11">
        <f t="shared" si="1216"/>
        <v>0</v>
      </c>
      <c r="N1551" s="57" t="s">
        <v>1209</v>
      </c>
      <c r="O1551" s="66"/>
      <c r="P1551" s="67"/>
      <c r="Q1551" s="68"/>
      <c r="R1551" s="69"/>
      <c r="S1551" s="70">
        <f t="shared" ref="S1551:S1553" si="1237">SUM(O1551:R1551)</f>
        <v>0</v>
      </c>
      <c r="T1551" s="66"/>
      <c r="U1551" s="67"/>
      <c r="V1551" s="68"/>
      <c r="W1551" s="69"/>
      <c r="X1551" s="70">
        <f t="shared" ref="X1551:X1553" si="1238">SUM(T1551:W1551)</f>
        <v>0</v>
      </c>
      <c r="Y1551" s="11">
        <f t="shared" ref="Y1551:Y1553" si="1239">S1551+X1551</f>
        <v>0</v>
      </c>
      <c r="Z1551" s="101" t="s">
        <v>1210</v>
      </c>
    </row>
    <row r="1552" spans="1:29" x14ac:dyDescent="0.15">
      <c r="A1552" s="79"/>
      <c r="B1552" s="26"/>
      <c r="C1552" s="47"/>
      <c r="D1552" s="27"/>
      <c r="E1552" s="34"/>
      <c r="F1552" s="35">
        <f t="shared" si="1228"/>
        <v>0</v>
      </c>
      <c r="G1552" s="26"/>
      <c r="H1552" s="47"/>
      <c r="I1552" s="27"/>
      <c r="J1552" s="34"/>
      <c r="K1552" s="35">
        <f t="shared" si="1229"/>
        <v>0</v>
      </c>
      <c r="L1552" s="11">
        <f t="shared" si="1216"/>
        <v>0</v>
      </c>
      <c r="N1552" s="57" t="s">
        <v>1236</v>
      </c>
      <c r="O1552" s="66"/>
      <c r="P1552" s="67"/>
      <c r="Q1552" s="68"/>
      <c r="R1552" s="69"/>
      <c r="S1552" s="70">
        <f t="shared" si="1237"/>
        <v>0</v>
      </c>
      <c r="T1552" s="66"/>
      <c r="U1552" s="67"/>
      <c r="V1552" s="68"/>
      <c r="W1552" s="69"/>
      <c r="X1552" s="70">
        <f t="shared" si="1238"/>
        <v>0</v>
      </c>
      <c r="Y1552" s="11">
        <f t="shared" si="1239"/>
        <v>0</v>
      </c>
      <c r="Z1552" s="101" t="s">
        <v>1237</v>
      </c>
    </row>
    <row r="1553" spans="1:26" x14ac:dyDescent="0.15">
      <c r="A1553" s="57"/>
      <c r="B1553" s="26"/>
      <c r="C1553" s="47"/>
      <c r="D1553" s="27"/>
      <c r="E1553" s="34"/>
      <c r="F1553" s="35">
        <f t="shared" si="1228"/>
        <v>0</v>
      </c>
      <c r="G1553" s="26"/>
      <c r="H1553" s="47"/>
      <c r="I1553" s="27"/>
      <c r="J1553" s="34"/>
      <c r="K1553" s="35">
        <f t="shared" si="1229"/>
        <v>0</v>
      </c>
      <c r="L1553" s="11">
        <f t="shared" si="1216"/>
        <v>0</v>
      </c>
      <c r="N1553" s="12" t="s">
        <v>671</v>
      </c>
      <c r="O1553" s="26"/>
      <c r="P1553" s="47"/>
      <c r="Q1553" s="27"/>
      <c r="R1553" s="34"/>
      <c r="S1553" s="35">
        <f t="shared" si="1237"/>
        <v>0</v>
      </c>
      <c r="T1553" s="26"/>
      <c r="U1553" s="47"/>
      <c r="V1553" s="27"/>
      <c r="W1553" s="34"/>
      <c r="X1553" s="35">
        <f t="shared" si="1238"/>
        <v>0</v>
      </c>
      <c r="Y1553" s="108">
        <f t="shared" si="1239"/>
        <v>0</v>
      </c>
      <c r="Z1553" s="101" t="s">
        <v>672</v>
      </c>
    </row>
    <row r="1554" spans="1:26" ht="14.25" thickBot="1" x14ac:dyDescent="0.2">
      <c r="A1554" s="90"/>
      <c r="B1554" s="62"/>
      <c r="C1554" s="63"/>
      <c r="D1554" s="64"/>
      <c r="E1554" s="65"/>
      <c r="F1554" s="35">
        <f t="shared" si="1228"/>
        <v>0</v>
      </c>
      <c r="G1554" s="62"/>
      <c r="H1554" s="63"/>
      <c r="I1554" s="64"/>
      <c r="J1554" s="65"/>
      <c r="K1554" s="35">
        <f t="shared" si="1229"/>
        <v>0</v>
      </c>
      <c r="L1554" s="14">
        <f t="shared" si="1216"/>
        <v>0</v>
      </c>
      <c r="N1554" s="135" t="s">
        <v>1191</v>
      </c>
      <c r="O1554" s="62"/>
      <c r="P1554" s="63"/>
      <c r="Q1554" s="64"/>
      <c r="R1554" s="65"/>
      <c r="S1554" s="120">
        <f t="shared" ref="S1554" si="1240">SUM(O1554:R1554)</f>
        <v>0</v>
      </c>
      <c r="T1554" s="62"/>
      <c r="U1554" s="63"/>
      <c r="V1554" s="64"/>
      <c r="W1554" s="65"/>
      <c r="X1554" s="120">
        <f t="shared" ref="X1554" si="1241">SUM(T1554:W1554)</f>
        <v>0</v>
      </c>
      <c r="Y1554" s="121">
        <f t="shared" ref="Y1554" si="1242">S1554+X1554</f>
        <v>0</v>
      </c>
      <c r="Z1554" s="101" t="s">
        <v>1192</v>
      </c>
    </row>
    <row r="1555" spans="1:26" ht="14.25" thickBot="1" x14ac:dyDescent="0.2">
      <c r="A1555" s="17" t="s">
        <v>10</v>
      </c>
      <c r="B1555" s="38">
        <f>SUM(B1530:B1554)</f>
        <v>10</v>
      </c>
      <c r="C1555" s="48">
        <f>SUM(C1530:C1554)</f>
        <v>22</v>
      </c>
      <c r="D1555" s="39">
        <f>SUM(D1530:D1554)</f>
        <v>15</v>
      </c>
      <c r="E1555" s="40">
        <f>SUM(E1530:E1554)</f>
        <v>8</v>
      </c>
      <c r="F1555" s="36">
        <f>SUM(B1555:E1555)</f>
        <v>55</v>
      </c>
      <c r="G1555" s="38">
        <f>SUM(G1530:G1554)</f>
        <v>4</v>
      </c>
      <c r="H1555" s="48">
        <f>SUM(H1530:H1554)</f>
        <v>3</v>
      </c>
      <c r="I1555" s="39">
        <f>SUM(I1530:I1554)</f>
        <v>7</v>
      </c>
      <c r="J1555" s="40">
        <f>SUM(J1530:J1554)</f>
        <v>9</v>
      </c>
      <c r="K1555" s="36">
        <f>SUM(G1555:J1555)</f>
        <v>23</v>
      </c>
      <c r="L1555" s="37">
        <f t="shared" si="1216"/>
        <v>78</v>
      </c>
      <c r="N1555" s="133" t="s">
        <v>10</v>
      </c>
      <c r="O1555" s="38">
        <f>SUM(O1530:O1554)</f>
        <v>33</v>
      </c>
      <c r="P1555" s="48">
        <f>SUM(P1530:P1554)</f>
        <v>81</v>
      </c>
      <c r="Q1555" s="39">
        <f>SUM(Q1530:Q1554)</f>
        <v>60</v>
      </c>
      <c r="R1555" s="40">
        <f>SUM(R1530:R1554)</f>
        <v>25</v>
      </c>
      <c r="S1555" s="118">
        <f t="shared" si="1232"/>
        <v>199</v>
      </c>
      <c r="T1555" s="38">
        <f>SUM(T1530:T1554)</f>
        <v>15</v>
      </c>
      <c r="U1555" s="48">
        <f>SUM(U1530:U1554)</f>
        <v>28</v>
      </c>
      <c r="V1555" s="39">
        <f>SUM(V1530:V1554)</f>
        <v>39</v>
      </c>
      <c r="W1555" s="40">
        <f>SUM(W1530:W1554)</f>
        <v>7</v>
      </c>
      <c r="X1555" s="118">
        <f t="shared" si="1233"/>
        <v>89</v>
      </c>
      <c r="Y1555" s="119">
        <f t="shared" si="1225"/>
        <v>288</v>
      </c>
    </row>
    <row r="1556" spans="1:26" ht="14.25" thickBot="1" x14ac:dyDescent="0.2">
      <c r="A1556" s="22" t="s">
        <v>11</v>
      </c>
      <c r="B1556" s="41">
        <f>B1529-B1555</f>
        <v>4</v>
      </c>
      <c r="C1556" s="49">
        <f>C1529-C1555</f>
        <v>-1</v>
      </c>
      <c r="D1556" s="42">
        <f t="shared" ref="D1556:K1556" si="1243">D1529-D1555</f>
        <v>1</v>
      </c>
      <c r="E1556" s="43">
        <f t="shared" si="1243"/>
        <v>7</v>
      </c>
      <c r="F1556" s="61">
        <f t="shared" si="1243"/>
        <v>7</v>
      </c>
      <c r="G1556" s="41">
        <f t="shared" si="1243"/>
        <v>7</v>
      </c>
      <c r="H1556" s="49">
        <f t="shared" si="1243"/>
        <v>8</v>
      </c>
      <c r="I1556" s="42">
        <f t="shared" si="1243"/>
        <v>4</v>
      </c>
      <c r="J1556" s="43">
        <f t="shared" si="1243"/>
        <v>2</v>
      </c>
      <c r="K1556" s="61">
        <f t="shared" si="1243"/>
        <v>21</v>
      </c>
      <c r="L1556" s="21">
        <f t="shared" si="1216"/>
        <v>28</v>
      </c>
      <c r="N1556" s="17" t="s">
        <v>11</v>
      </c>
      <c r="O1556" s="41">
        <f>O1529-O1555</f>
        <v>325</v>
      </c>
      <c r="P1556" s="49">
        <f t="shared" ref="P1556:Q1556" si="1244">P1529-P1555</f>
        <v>307</v>
      </c>
      <c r="Q1556" s="42">
        <f t="shared" si="1244"/>
        <v>230</v>
      </c>
      <c r="R1556" s="43">
        <f>R1529-R1555</f>
        <v>136</v>
      </c>
      <c r="S1556" s="61">
        <f t="shared" ref="S1556:X1556" si="1245">S1529-S1555</f>
        <v>998</v>
      </c>
      <c r="T1556" s="41">
        <f t="shared" si="1245"/>
        <v>610</v>
      </c>
      <c r="U1556" s="49">
        <f t="shared" si="1245"/>
        <v>685</v>
      </c>
      <c r="V1556" s="42">
        <f t="shared" si="1245"/>
        <v>468</v>
      </c>
      <c r="W1556" s="43">
        <f t="shared" si="1245"/>
        <v>301</v>
      </c>
      <c r="X1556" s="61">
        <f t="shared" si="1245"/>
        <v>2064</v>
      </c>
      <c r="Y1556" s="21">
        <f t="shared" si="1225"/>
        <v>3062</v>
      </c>
    </row>
    <row r="1557" spans="1:26" x14ac:dyDescent="0.15">
      <c r="O1557" s="125">
        <f>O1556/$S$1556*100</f>
        <v>32.565130260521045</v>
      </c>
      <c r="P1557" s="125">
        <f t="shared" ref="P1557:S1557" si="1246">P1556/$S$1556*100</f>
        <v>30.761523046092183</v>
      </c>
      <c r="Q1557" s="125">
        <f t="shared" si="1246"/>
        <v>23.046092184368739</v>
      </c>
      <c r="R1557" s="125">
        <f t="shared" si="1246"/>
        <v>13.627254509018035</v>
      </c>
      <c r="S1557" s="125">
        <f t="shared" si="1246"/>
        <v>100</v>
      </c>
      <c r="T1557" s="125">
        <f>T1556/$X$1556*100</f>
        <v>29.554263565891475</v>
      </c>
      <c r="U1557" s="125">
        <f t="shared" ref="U1557:X1557" si="1247">U1556/$X$1556*100</f>
        <v>33.187984496124031</v>
      </c>
      <c r="V1557" s="125">
        <f t="shared" si="1247"/>
        <v>22.674418604651162</v>
      </c>
      <c r="W1557" s="125">
        <f t="shared" si="1247"/>
        <v>14.583333333333334</v>
      </c>
      <c r="X1557" s="125">
        <f t="shared" si="1247"/>
        <v>100</v>
      </c>
    </row>
    <row r="1558" spans="1:26" x14ac:dyDescent="0.15">
      <c r="O1558" s="211">
        <v>28.8</v>
      </c>
      <c r="P1558" s="211">
        <v>35.799999999999997</v>
      </c>
      <c r="Q1558" s="211">
        <v>22</v>
      </c>
      <c r="R1558" s="211">
        <v>13.5</v>
      </c>
      <c r="S1558" s="211">
        <v>100</v>
      </c>
      <c r="T1558" s="211">
        <v>27.8</v>
      </c>
      <c r="U1558" s="211">
        <v>32.9</v>
      </c>
      <c r="V1558" s="211">
        <v>22.7</v>
      </c>
      <c r="W1558" s="211">
        <v>16.600000000000001</v>
      </c>
      <c r="X1558" s="211">
        <v>100</v>
      </c>
    </row>
    <row r="1559" spans="1:26" ht="19.5" thickBot="1" x14ac:dyDescent="0.25">
      <c r="A1559" s="2" t="s">
        <v>106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1036</v>
      </c>
      <c r="O1559" s="270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6" ht="14.25" thickBot="1" x14ac:dyDescent="0.2">
      <c r="A1560" s="5" t="s">
        <v>0</v>
      </c>
      <c r="B1560" s="342" t="s">
        <v>18</v>
      </c>
      <c r="C1560" s="350"/>
      <c r="D1560" s="350"/>
      <c r="E1560" s="350"/>
      <c r="F1560" s="351"/>
      <c r="G1560" s="345" t="s">
        <v>12</v>
      </c>
      <c r="H1560" s="352"/>
      <c r="I1560" s="352"/>
      <c r="J1560" s="352"/>
      <c r="K1560" s="353"/>
      <c r="L1560" s="354" t="s">
        <v>1</v>
      </c>
      <c r="N1560" s="5" t="s">
        <v>0</v>
      </c>
      <c r="O1560" s="342" t="s">
        <v>18</v>
      </c>
      <c r="P1560" s="343"/>
      <c r="Q1560" s="343"/>
      <c r="R1560" s="343"/>
      <c r="S1560" s="344"/>
      <c r="T1560" s="345" t="s">
        <v>12</v>
      </c>
      <c r="U1560" s="346"/>
      <c r="V1560" s="346"/>
      <c r="W1560" s="346"/>
      <c r="X1560" s="347"/>
      <c r="Y1560" s="348" t="s">
        <v>1</v>
      </c>
    </row>
    <row r="1561" spans="1:26" ht="14.25" thickBot="1" x14ac:dyDescent="0.2">
      <c r="A1561" s="5" t="s">
        <v>2</v>
      </c>
      <c r="B1561" s="3" t="s">
        <v>13</v>
      </c>
      <c r="C1561" s="44" t="s">
        <v>14</v>
      </c>
      <c r="D1561" s="4" t="s">
        <v>15</v>
      </c>
      <c r="E1561" s="23" t="s">
        <v>16</v>
      </c>
      <c r="F1561" s="31" t="s">
        <v>3</v>
      </c>
      <c r="G1561" s="3" t="s">
        <v>13</v>
      </c>
      <c r="H1561" s="44" t="s">
        <v>14</v>
      </c>
      <c r="I1561" s="4" t="s">
        <v>15</v>
      </c>
      <c r="J1561" s="23" t="s">
        <v>16</v>
      </c>
      <c r="K1561" s="31" t="s">
        <v>3</v>
      </c>
      <c r="L1561" s="355"/>
      <c r="N1561" s="5" t="s">
        <v>2</v>
      </c>
      <c r="O1561" s="3" t="s">
        <v>13</v>
      </c>
      <c r="P1561" s="44" t="s">
        <v>14</v>
      </c>
      <c r="Q1561" s="4" t="s">
        <v>15</v>
      </c>
      <c r="R1561" s="23" t="s">
        <v>16</v>
      </c>
      <c r="S1561" s="31" t="s">
        <v>3</v>
      </c>
      <c r="T1561" s="3" t="s">
        <v>13</v>
      </c>
      <c r="U1561" s="44" t="s">
        <v>14</v>
      </c>
      <c r="V1561" s="4" t="s">
        <v>15</v>
      </c>
      <c r="W1561" s="23" t="s">
        <v>16</v>
      </c>
      <c r="X1561" s="31" t="s">
        <v>3</v>
      </c>
      <c r="Y1561" s="349"/>
    </row>
    <row r="1562" spans="1:26" x14ac:dyDescent="0.15">
      <c r="A1562" s="71" t="s">
        <v>17</v>
      </c>
      <c r="B1562" s="72">
        <f>B1556</f>
        <v>4</v>
      </c>
      <c r="C1562" s="73">
        <f t="shared" ref="C1562:L1562" si="1248">C1556</f>
        <v>-1</v>
      </c>
      <c r="D1562" s="73">
        <f t="shared" si="1248"/>
        <v>1</v>
      </c>
      <c r="E1562" s="74">
        <f t="shared" si="1248"/>
        <v>7</v>
      </c>
      <c r="F1562" s="76">
        <f t="shared" si="1248"/>
        <v>7</v>
      </c>
      <c r="G1562" s="72">
        <f t="shared" si="1248"/>
        <v>7</v>
      </c>
      <c r="H1562" s="73">
        <f t="shared" si="1248"/>
        <v>8</v>
      </c>
      <c r="I1562" s="73">
        <f t="shared" si="1248"/>
        <v>4</v>
      </c>
      <c r="J1562" s="74">
        <f t="shared" si="1248"/>
        <v>2</v>
      </c>
      <c r="K1562" s="75">
        <f t="shared" si="1248"/>
        <v>21</v>
      </c>
      <c r="L1562" s="16">
        <f t="shared" si="1248"/>
        <v>28</v>
      </c>
      <c r="N1562" s="71" t="s">
        <v>17</v>
      </c>
      <c r="O1562" s="72">
        <f>O1556</f>
        <v>325</v>
      </c>
      <c r="P1562" s="73">
        <f t="shared" ref="P1562:Y1562" si="1249">P1556</f>
        <v>307</v>
      </c>
      <c r="Q1562" s="73">
        <f t="shared" si="1249"/>
        <v>230</v>
      </c>
      <c r="R1562" s="74">
        <f t="shared" si="1249"/>
        <v>136</v>
      </c>
      <c r="S1562" s="76">
        <f t="shared" si="1249"/>
        <v>998</v>
      </c>
      <c r="T1562" s="72">
        <f t="shared" si="1249"/>
        <v>610</v>
      </c>
      <c r="U1562" s="73">
        <f t="shared" si="1249"/>
        <v>685</v>
      </c>
      <c r="V1562" s="73">
        <f t="shared" si="1249"/>
        <v>468</v>
      </c>
      <c r="W1562" s="74">
        <f t="shared" si="1249"/>
        <v>301</v>
      </c>
      <c r="X1562" s="75">
        <f t="shared" si="1249"/>
        <v>2064</v>
      </c>
      <c r="Y1562" s="16">
        <f t="shared" si="1249"/>
        <v>3062</v>
      </c>
    </row>
    <row r="1563" spans="1:26" x14ac:dyDescent="0.15">
      <c r="A1563" s="13" t="s">
        <v>830</v>
      </c>
      <c r="B1563" s="26"/>
      <c r="C1563" s="47">
        <v>2</v>
      </c>
      <c r="D1563" s="27">
        <v>2</v>
      </c>
      <c r="E1563" s="50">
        <v>1</v>
      </c>
      <c r="F1563" s="9">
        <f>SUM(B1563:E1563)</f>
        <v>5</v>
      </c>
      <c r="G1563" s="47"/>
      <c r="H1563" s="47"/>
      <c r="I1563" s="27">
        <v>2</v>
      </c>
      <c r="J1563" s="50">
        <v>2</v>
      </c>
      <c r="K1563" s="9">
        <f>SUM(G1563:J1563)</f>
        <v>4</v>
      </c>
      <c r="L1563" s="11">
        <f t="shared" ref="L1563:L1594" si="1250">F1563+K1563</f>
        <v>9</v>
      </c>
      <c r="M1563" s="126">
        <v>45485</v>
      </c>
      <c r="N1563" s="13" t="s">
        <v>5</v>
      </c>
      <c r="O1563" s="26">
        <v>4</v>
      </c>
      <c r="P1563" s="47">
        <v>6</v>
      </c>
      <c r="Q1563" s="27">
        <v>2</v>
      </c>
      <c r="R1563" s="34">
        <v>2</v>
      </c>
      <c r="S1563" s="77">
        <f t="shared" ref="S1563:S1564" si="1251">SUM(O1563:R1563)</f>
        <v>14</v>
      </c>
      <c r="T1563" s="26">
        <v>2</v>
      </c>
      <c r="U1563" s="47">
        <v>3</v>
      </c>
      <c r="V1563" s="27">
        <v>2</v>
      </c>
      <c r="W1563" s="34"/>
      <c r="X1563" s="9">
        <f t="shared" ref="X1563:X1564" si="1252">SUM(T1563:W1563)</f>
        <v>7</v>
      </c>
      <c r="Y1563" s="11">
        <f t="shared" ref="Y1563:Y1564" si="1253">S1563+X1563</f>
        <v>21</v>
      </c>
      <c r="Z1563" s="126">
        <v>45507</v>
      </c>
    </row>
    <row r="1564" spans="1:26" x14ac:dyDescent="0.15">
      <c r="A1564" s="13" t="s">
        <v>6</v>
      </c>
      <c r="B1564" s="26"/>
      <c r="C1564" s="47">
        <v>5</v>
      </c>
      <c r="D1564" s="27">
        <v>5</v>
      </c>
      <c r="E1564" s="50"/>
      <c r="F1564" s="9">
        <f>SUM(B1564:E1564)</f>
        <v>10</v>
      </c>
      <c r="G1564" s="47"/>
      <c r="H1564" s="47"/>
      <c r="I1564" s="27"/>
      <c r="J1564" s="50"/>
      <c r="K1564" s="9">
        <f>SUM(G1564:J1564)</f>
        <v>0</v>
      </c>
      <c r="L1564" s="11">
        <f t="shared" si="1250"/>
        <v>10</v>
      </c>
      <c r="M1564" s="99">
        <v>45496</v>
      </c>
      <c r="N1564" s="13" t="s">
        <v>6</v>
      </c>
      <c r="O1564" s="26"/>
      <c r="P1564" s="47">
        <v>5</v>
      </c>
      <c r="Q1564" s="27"/>
      <c r="R1564" s="34">
        <v>4</v>
      </c>
      <c r="S1564" s="77">
        <f t="shared" si="1251"/>
        <v>9</v>
      </c>
      <c r="T1564" s="26"/>
      <c r="U1564" s="47"/>
      <c r="V1564" s="27"/>
      <c r="W1564" s="34">
        <v>2</v>
      </c>
      <c r="X1564" s="9">
        <f t="shared" si="1252"/>
        <v>2</v>
      </c>
      <c r="Y1564" s="11">
        <f t="shared" si="1253"/>
        <v>11</v>
      </c>
      <c r="Z1564" s="126">
        <v>45514</v>
      </c>
    </row>
    <row r="1565" spans="1:26" x14ac:dyDescent="0.15">
      <c r="A1565" s="13" t="s">
        <v>49</v>
      </c>
      <c r="B1565" s="26">
        <v>3</v>
      </c>
      <c r="C1565" s="47">
        <v>5</v>
      </c>
      <c r="D1565" s="27">
        <v>2</v>
      </c>
      <c r="E1565" s="50">
        <v>2</v>
      </c>
      <c r="F1565" s="9">
        <f>SUM(B1565:E1565)</f>
        <v>12</v>
      </c>
      <c r="G1565" s="47">
        <v>2</v>
      </c>
      <c r="H1565" s="47">
        <v>3</v>
      </c>
      <c r="I1565" s="27">
        <v>2</v>
      </c>
      <c r="J1565" s="50"/>
      <c r="K1565" s="9">
        <f>SUM(G1565:J1565)</f>
        <v>7</v>
      </c>
      <c r="L1565" s="11">
        <f t="shared" si="1250"/>
        <v>19</v>
      </c>
      <c r="M1565" s="101"/>
      <c r="N1565" s="13" t="s">
        <v>7</v>
      </c>
      <c r="O1565" s="26"/>
      <c r="P1565" s="47"/>
      <c r="Q1565" s="27"/>
      <c r="R1565" s="34"/>
      <c r="S1565" s="77">
        <f t="shared" ref="S1565:S1566" si="1254">SUM(O1565:R1565)</f>
        <v>0</v>
      </c>
      <c r="T1565" s="26"/>
      <c r="U1565" s="47"/>
      <c r="V1565" s="27"/>
      <c r="W1565" s="34"/>
      <c r="X1565" s="9">
        <f t="shared" ref="X1565:X1566" si="1255">SUM(T1565:W1565)</f>
        <v>0</v>
      </c>
      <c r="Y1565" s="11">
        <f t="shared" ref="Y1565:Y1590" si="1256">S1565+X1565</f>
        <v>0</v>
      </c>
    </row>
    <row r="1566" spans="1:26" ht="14.25" thickBot="1" x14ac:dyDescent="0.2">
      <c r="A1566" s="13" t="s">
        <v>49</v>
      </c>
      <c r="B1566" s="26">
        <v>2</v>
      </c>
      <c r="C1566" s="47">
        <v>7</v>
      </c>
      <c r="D1566" s="27">
        <v>1</v>
      </c>
      <c r="E1566" s="50"/>
      <c r="F1566" s="10">
        <f>SUM(B1566:E1566)</f>
        <v>10</v>
      </c>
      <c r="G1566" s="47">
        <v>1</v>
      </c>
      <c r="H1566" s="47"/>
      <c r="I1566" s="27">
        <v>1</v>
      </c>
      <c r="J1566" s="50">
        <v>2</v>
      </c>
      <c r="K1566" s="10">
        <f>SUM(G1566:J1566)</f>
        <v>4</v>
      </c>
      <c r="L1566" s="14">
        <f t="shared" si="1250"/>
        <v>14</v>
      </c>
      <c r="M1566" s="126">
        <v>45512</v>
      </c>
      <c r="N1566" s="13" t="s">
        <v>8</v>
      </c>
      <c r="O1566" s="26"/>
      <c r="P1566" s="47"/>
      <c r="Q1566" s="27"/>
      <c r="R1566" s="34"/>
      <c r="S1566" s="77">
        <f t="shared" si="1254"/>
        <v>0</v>
      </c>
      <c r="T1566" s="26"/>
      <c r="U1566" s="47"/>
      <c r="V1566" s="27"/>
      <c r="W1566" s="34"/>
      <c r="X1566" s="9">
        <f t="shared" si="1255"/>
        <v>0</v>
      </c>
      <c r="Y1566" s="11">
        <f t="shared" si="1256"/>
        <v>0</v>
      </c>
    </row>
    <row r="1567" spans="1:26" ht="14.25" thickBot="1" x14ac:dyDescent="0.2">
      <c r="A1567" s="22" t="s">
        <v>9</v>
      </c>
      <c r="B1567" s="51">
        <f t="shared" ref="B1567:K1567" si="1257">SUM(B1562:B1566)</f>
        <v>9</v>
      </c>
      <c r="C1567" s="52">
        <f t="shared" si="1257"/>
        <v>18</v>
      </c>
      <c r="D1567" s="53">
        <f t="shared" si="1257"/>
        <v>11</v>
      </c>
      <c r="E1567" s="54">
        <f t="shared" si="1257"/>
        <v>10</v>
      </c>
      <c r="F1567" s="28">
        <f t="shared" si="1257"/>
        <v>44</v>
      </c>
      <c r="G1567" s="51">
        <f t="shared" si="1257"/>
        <v>10</v>
      </c>
      <c r="H1567" s="52">
        <f t="shared" si="1257"/>
        <v>11</v>
      </c>
      <c r="I1567" s="53">
        <f t="shared" si="1257"/>
        <v>9</v>
      </c>
      <c r="J1567" s="54">
        <f t="shared" si="1257"/>
        <v>6</v>
      </c>
      <c r="K1567" s="28">
        <f t="shared" si="1257"/>
        <v>36</v>
      </c>
      <c r="L1567" s="21">
        <f t="shared" si="1250"/>
        <v>80</v>
      </c>
      <c r="N1567" s="17" t="s">
        <v>9</v>
      </c>
      <c r="O1567" s="41">
        <f>SUM(O1562:O1566)</f>
        <v>329</v>
      </c>
      <c r="P1567" s="49">
        <f t="shared" ref="P1567:V1567" si="1258">SUM(P1562:P1566)</f>
        <v>318</v>
      </c>
      <c r="Q1567" s="42">
        <f t="shared" si="1258"/>
        <v>232</v>
      </c>
      <c r="R1567" s="92">
        <f t="shared" si="1258"/>
        <v>142</v>
      </c>
      <c r="S1567" s="93">
        <f t="shared" si="1258"/>
        <v>1021</v>
      </c>
      <c r="T1567" s="41">
        <f t="shared" si="1258"/>
        <v>612</v>
      </c>
      <c r="U1567" s="49">
        <f t="shared" si="1258"/>
        <v>688</v>
      </c>
      <c r="V1567" s="42">
        <f t="shared" si="1258"/>
        <v>470</v>
      </c>
      <c r="W1567" s="92">
        <f>SUM(W1562:W1566)</f>
        <v>303</v>
      </c>
      <c r="X1567" s="93">
        <f t="shared" ref="X1567" si="1259">SUM(X1562:X1566)</f>
        <v>2073</v>
      </c>
      <c r="Y1567" s="56">
        <f t="shared" si="1256"/>
        <v>3094</v>
      </c>
    </row>
    <row r="1568" spans="1:26" x14ac:dyDescent="0.15">
      <c r="A1568" s="32" t="s">
        <v>41</v>
      </c>
      <c r="B1568" s="24"/>
      <c r="C1568" s="46">
        <v>1</v>
      </c>
      <c r="D1568" s="25"/>
      <c r="E1568" s="33">
        <v>1</v>
      </c>
      <c r="F1568" s="35">
        <f>SUM(B1568:E1568)</f>
        <v>2</v>
      </c>
      <c r="G1568" s="24"/>
      <c r="H1568" s="46">
        <v>1</v>
      </c>
      <c r="I1568" s="25"/>
      <c r="J1568" s="33"/>
      <c r="K1568" s="35">
        <f>SUM(G1568:J1568)</f>
        <v>1</v>
      </c>
      <c r="L1568" s="11">
        <f t="shared" si="1250"/>
        <v>3</v>
      </c>
      <c r="M1568" s="126">
        <v>45496</v>
      </c>
      <c r="N1568" s="32" t="s">
        <v>1291</v>
      </c>
      <c r="O1568" s="26">
        <v>5</v>
      </c>
      <c r="P1568" s="47"/>
      <c r="Q1568" s="27"/>
      <c r="R1568" s="34"/>
      <c r="S1568" s="35">
        <f t="shared" ref="S1568:S1569" si="1260">SUM(O1568:R1568)</f>
        <v>5</v>
      </c>
      <c r="T1568" s="26"/>
      <c r="U1568" s="47"/>
      <c r="V1568" s="27"/>
      <c r="W1568" s="34">
        <v>1</v>
      </c>
      <c r="X1568" s="35">
        <f t="shared" ref="X1568:X1569" si="1261">SUM(T1568:W1568)</f>
        <v>1</v>
      </c>
      <c r="Y1568" s="11">
        <f t="shared" si="1256"/>
        <v>6</v>
      </c>
      <c r="Z1568" s="99">
        <v>45491</v>
      </c>
    </row>
    <row r="1569" spans="1:29" x14ac:dyDescent="0.15">
      <c r="A1569" s="32" t="s">
        <v>1308</v>
      </c>
      <c r="B1569" s="26"/>
      <c r="C1569" s="47">
        <v>1</v>
      </c>
      <c r="D1569" s="27"/>
      <c r="E1569" s="34"/>
      <c r="F1569" s="35">
        <f>SUM(B1569:E1569)</f>
        <v>1</v>
      </c>
      <c r="G1569" s="26"/>
      <c r="H1569" s="47"/>
      <c r="I1569" s="27"/>
      <c r="J1569" s="34"/>
      <c r="K1569" s="35">
        <f>SUM(G1569:J1569)</f>
        <v>0</v>
      </c>
      <c r="L1569" s="11">
        <f t="shared" si="1250"/>
        <v>1</v>
      </c>
      <c r="M1569" s="99">
        <v>45504</v>
      </c>
      <c r="N1569" s="12" t="s">
        <v>1292</v>
      </c>
      <c r="O1569" s="26"/>
      <c r="P1569" s="47">
        <v>1</v>
      </c>
      <c r="Q1569" s="27"/>
      <c r="R1569" s="34"/>
      <c r="S1569" s="35">
        <f t="shared" si="1260"/>
        <v>1</v>
      </c>
      <c r="T1569" s="26"/>
      <c r="U1569" s="47">
        <v>1</v>
      </c>
      <c r="V1569" s="27"/>
      <c r="W1569" s="34"/>
      <c r="X1569" s="35">
        <f t="shared" si="1261"/>
        <v>1</v>
      </c>
      <c r="Y1569" s="11">
        <f t="shared" si="1256"/>
        <v>2</v>
      </c>
      <c r="Z1569" s="99">
        <v>45492</v>
      </c>
      <c r="AA1569" s="58"/>
      <c r="AB1569" s="58"/>
    </row>
    <row r="1570" spans="1:29" x14ac:dyDescent="0.15">
      <c r="A1570" s="32" t="s">
        <v>41</v>
      </c>
      <c r="B1570" s="26"/>
      <c r="C1570" s="47"/>
      <c r="D1570" s="27">
        <v>2</v>
      </c>
      <c r="E1570" s="34">
        <v>1</v>
      </c>
      <c r="F1570" s="35">
        <f t="shared" ref="F1570:F1592" si="1262">SUM(B1570:E1570)</f>
        <v>3</v>
      </c>
      <c r="G1570" s="26"/>
      <c r="H1570" s="47"/>
      <c r="I1570" s="27"/>
      <c r="J1570" s="34"/>
      <c r="K1570" s="35">
        <f t="shared" ref="K1570:K1592" si="1263">SUM(G1570:J1570)</f>
        <v>0</v>
      </c>
      <c r="L1570" s="11">
        <f t="shared" si="1250"/>
        <v>3</v>
      </c>
      <c r="M1570" s="99">
        <v>45502</v>
      </c>
      <c r="N1570" s="32" t="s">
        <v>1293</v>
      </c>
      <c r="O1570" s="66"/>
      <c r="P1570" s="67"/>
      <c r="Q1570" s="68">
        <v>2</v>
      </c>
      <c r="R1570" s="94">
        <v>2</v>
      </c>
      <c r="S1570" s="91">
        <f>SUM(O1570:R1570)</f>
        <v>4</v>
      </c>
      <c r="T1570" s="67"/>
      <c r="U1570" s="67"/>
      <c r="V1570" s="68"/>
      <c r="W1570" s="94"/>
      <c r="X1570" s="91">
        <f>SUM(T1570:W1570)</f>
        <v>0</v>
      </c>
      <c r="Y1570" s="11">
        <f t="shared" si="1256"/>
        <v>4</v>
      </c>
      <c r="Z1570" s="99">
        <v>45492</v>
      </c>
      <c r="AA1570" s="58"/>
      <c r="AB1570" s="58"/>
    </row>
    <row r="1571" spans="1:29" x14ac:dyDescent="0.15">
      <c r="A1571" s="32" t="s">
        <v>1244</v>
      </c>
      <c r="B1571" s="66">
        <v>4</v>
      </c>
      <c r="C1571" s="67">
        <v>6</v>
      </c>
      <c r="D1571" s="68">
        <v>2</v>
      </c>
      <c r="E1571" s="69">
        <v>2</v>
      </c>
      <c r="F1571" s="70">
        <f t="shared" si="1262"/>
        <v>14</v>
      </c>
      <c r="G1571" s="66">
        <v>2</v>
      </c>
      <c r="H1571" s="67">
        <v>3</v>
      </c>
      <c r="I1571" s="68">
        <v>2</v>
      </c>
      <c r="J1571" s="69"/>
      <c r="K1571" s="70">
        <f t="shared" si="1263"/>
        <v>7</v>
      </c>
      <c r="L1571" s="11">
        <f t="shared" si="1250"/>
        <v>21</v>
      </c>
      <c r="M1571" s="99">
        <v>45507</v>
      </c>
      <c r="N1571" s="12" t="s">
        <v>1294</v>
      </c>
      <c r="O1571" s="26">
        <v>5</v>
      </c>
      <c r="P1571" s="47">
        <v>19</v>
      </c>
      <c r="Q1571" s="27">
        <v>3</v>
      </c>
      <c r="R1571" s="34">
        <v>10</v>
      </c>
      <c r="S1571" s="35">
        <f t="shared" ref="S1571:S1573" si="1264">SUM(O1571:R1571)</f>
        <v>37</v>
      </c>
      <c r="T1571" s="26">
        <v>1</v>
      </c>
      <c r="U1571" s="47"/>
      <c r="V1571" s="27"/>
      <c r="W1571" s="34">
        <v>3</v>
      </c>
      <c r="X1571" s="35">
        <f t="shared" ref="X1571:X1573" si="1265">SUM(T1571:W1571)</f>
        <v>4</v>
      </c>
      <c r="Y1571" s="11">
        <f t="shared" si="1256"/>
        <v>41</v>
      </c>
      <c r="Z1571" s="99">
        <v>45491</v>
      </c>
      <c r="AA1571" s="58"/>
      <c r="AB1571" s="58"/>
    </row>
    <row r="1572" spans="1:29" x14ac:dyDescent="0.15">
      <c r="A1572" s="32" t="s">
        <v>1244</v>
      </c>
      <c r="B1572" s="26"/>
      <c r="C1572" s="47">
        <v>5</v>
      </c>
      <c r="D1572" s="27"/>
      <c r="E1572" s="34">
        <v>4</v>
      </c>
      <c r="F1572" s="35">
        <f t="shared" si="1262"/>
        <v>9</v>
      </c>
      <c r="G1572" s="26"/>
      <c r="H1572" s="47"/>
      <c r="I1572" s="27"/>
      <c r="J1572" s="34">
        <v>2</v>
      </c>
      <c r="K1572" s="35">
        <f t="shared" si="1263"/>
        <v>2</v>
      </c>
      <c r="L1572" s="11">
        <f t="shared" si="1250"/>
        <v>11</v>
      </c>
      <c r="M1572" s="126">
        <v>45514</v>
      </c>
      <c r="N1572" s="57" t="s">
        <v>1295</v>
      </c>
      <c r="O1572" s="26"/>
      <c r="P1572" s="47">
        <v>3</v>
      </c>
      <c r="Q1572" s="27"/>
      <c r="R1572" s="34"/>
      <c r="S1572" s="35">
        <f t="shared" si="1264"/>
        <v>3</v>
      </c>
      <c r="T1572" s="26"/>
      <c r="U1572" s="47"/>
      <c r="V1572" s="27"/>
      <c r="W1572" s="34"/>
      <c r="X1572" s="35">
        <f t="shared" si="1265"/>
        <v>0</v>
      </c>
      <c r="Y1572" s="11">
        <f t="shared" si="1256"/>
        <v>3</v>
      </c>
      <c r="Z1572" s="99">
        <v>45495</v>
      </c>
    </row>
    <row r="1573" spans="1:29" x14ac:dyDescent="0.15">
      <c r="A1573" s="13"/>
      <c r="B1573" s="26"/>
      <c r="C1573" s="47"/>
      <c r="D1573" s="27"/>
      <c r="E1573" s="34"/>
      <c r="F1573" s="35">
        <f t="shared" si="1262"/>
        <v>0</v>
      </c>
      <c r="G1573" s="26"/>
      <c r="H1573" s="47"/>
      <c r="I1573" s="27"/>
      <c r="J1573" s="34"/>
      <c r="K1573" s="35">
        <f t="shared" si="1263"/>
        <v>0</v>
      </c>
      <c r="L1573" s="11">
        <f t="shared" si="1250"/>
        <v>0</v>
      </c>
      <c r="N1573" s="12" t="s">
        <v>1296</v>
      </c>
      <c r="O1573" s="26"/>
      <c r="P1573" s="47">
        <v>5</v>
      </c>
      <c r="Q1573" s="27"/>
      <c r="R1573" s="34">
        <v>5</v>
      </c>
      <c r="S1573" s="35">
        <f t="shared" si="1264"/>
        <v>10</v>
      </c>
      <c r="T1573" s="26"/>
      <c r="U1573" s="47"/>
      <c r="V1573" s="27"/>
      <c r="W1573" s="34"/>
      <c r="X1573" s="35">
        <f t="shared" si="1265"/>
        <v>0</v>
      </c>
      <c r="Y1573" s="11">
        <f t="shared" si="1256"/>
        <v>10</v>
      </c>
      <c r="Z1573" s="99">
        <v>45497</v>
      </c>
    </row>
    <row r="1574" spans="1:29" x14ac:dyDescent="0.15">
      <c r="A1574" s="79"/>
      <c r="B1574" s="26"/>
      <c r="C1574" s="47"/>
      <c r="D1574" s="27"/>
      <c r="E1574" s="34"/>
      <c r="F1574" s="35">
        <f t="shared" si="1262"/>
        <v>0</v>
      </c>
      <c r="G1574" s="26"/>
      <c r="H1574" s="47"/>
      <c r="I1574" s="27"/>
      <c r="J1574" s="34"/>
      <c r="K1574" s="35">
        <f t="shared" si="1263"/>
        <v>0</v>
      </c>
      <c r="L1574" s="11">
        <f t="shared" si="1250"/>
        <v>0</v>
      </c>
      <c r="N1574" s="32" t="s">
        <v>1297</v>
      </c>
      <c r="O1574" s="26">
        <v>1</v>
      </c>
      <c r="P1574" s="47">
        <v>4</v>
      </c>
      <c r="Q1574" s="27">
        <v>4</v>
      </c>
      <c r="R1574" s="50">
        <v>2</v>
      </c>
      <c r="S1574" s="9">
        <f>SUM(O1574:R1574)</f>
        <v>11</v>
      </c>
      <c r="T1574" s="47"/>
      <c r="U1574" s="47"/>
      <c r="V1574" s="27">
        <v>1</v>
      </c>
      <c r="W1574" s="50"/>
      <c r="X1574" s="9">
        <f>SUM(T1574:W1574)</f>
        <v>1</v>
      </c>
      <c r="Y1574" s="11">
        <f t="shared" si="1256"/>
        <v>12</v>
      </c>
      <c r="Z1574" s="99">
        <v>45492</v>
      </c>
    </row>
    <row r="1575" spans="1:29" x14ac:dyDescent="0.15">
      <c r="A1575" s="32"/>
      <c r="B1575" s="26"/>
      <c r="C1575" s="47"/>
      <c r="D1575" s="27"/>
      <c r="E1575" s="34"/>
      <c r="F1575" s="35">
        <f t="shared" si="1262"/>
        <v>0</v>
      </c>
      <c r="G1575" s="26"/>
      <c r="H1575" s="47"/>
      <c r="I1575" s="27"/>
      <c r="J1575" s="34"/>
      <c r="K1575" s="35">
        <f t="shared" si="1263"/>
        <v>0</v>
      </c>
      <c r="L1575" s="11">
        <f t="shared" si="1250"/>
        <v>0</v>
      </c>
      <c r="N1575" s="12" t="s">
        <v>1298</v>
      </c>
      <c r="O1575" s="26">
        <v>12</v>
      </c>
      <c r="P1575" s="47">
        <v>6</v>
      </c>
      <c r="Q1575" s="27">
        <v>5</v>
      </c>
      <c r="R1575" s="34">
        <v>15</v>
      </c>
      <c r="S1575" s="35">
        <f t="shared" ref="S1575:S1579" si="1266">SUM(O1575:R1575)</f>
        <v>38</v>
      </c>
      <c r="T1575" s="26">
        <v>10</v>
      </c>
      <c r="U1575" s="47">
        <v>15</v>
      </c>
      <c r="V1575" s="27">
        <v>7</v>
      </c>
      <c r="W1575" s="34">
        <v>5</v>
      </c>
      <c r="X1575" s="35">
        <f t="shared" ref="X1575:X1579" si="1267">SUM(T1575:W1575)</f>
        <v>37</v>
      </c>
      <c r="Y1575" s="11">
        <f t="shared" si="1256"/>
        <v>75</v>
      </c>
      <c r="Z1575" s="99">
        <v>45492</v>
      </c>
      <c r="AA1575" s="58"/>
    </row>
    <row r="1576" spans="1:29" x14ac:dyDescent="0.15">
      <c r="A1576" s="13"/>
      <c r="B1576" s="26"/>
      <c r="C1576" s="47"/>
      <c r="D1576" s="27"/>
      <c r="E1576" s="34"/>
      <c r="F1576" s="35">
        <f t="shared" si="1262"/>
        <v>0</v>
      </c>
      <c r="G1576" s="26"/>
      <c r="H1576" s="47"/>
      <c r="I1576" s="27"/>
      <c r="J1576" s="34"/>
      <c r="K1576" s="35">
        <f t="shared" si="1263"/>
        <v>0</v>
      </c>
      <c r="L1576" s="11">
        <f t="shared" si="1250"/>
        <v>0</v>
      </c>
      <c r="N1576" s="32" t="s">
        <v>1299</v>
      </c>
      <c r="O1576" s="26">
        <v>13</v>
      </c>
      <c r="P1576" s="47">
        <v>15</v>
      </c>
      <c r="Q1576" s="27">
        <v>9</v>
      </c>
      <c r="R1576" s="34">
        <v>7</v>
      </c>
      <c r="S1576" s="35">
        <f t="shared" si="1266"/>
        <v>44</v>
      </c>
      <c r="T1576" s="26">
        <v>3</v>
      </c>
      <c r="U1576" s="47">
        <v>5</v>
      </c>
      <c r="V1576" s="27">
        <v>3</v>
      </c>
      <c r="W1576" s="34">
        <v>2</v>
      </c>
      <c r="X1576" s="35">
        <f t="shared" si="1267"/>
        <v>13</v>
      </c>
      <c r="Y1576" s="11">
        <f t="shared" si="1256"/>
        <v>57</v>
      </c>
      <c r="Z1576" s="99">
        <v>45495</v>
      </c>
      <c r="AA1576" s="58"/>
      <c r="AB1576" s="58"/>
    </row>
    <row r="1577" spans="1:29" x14ac:dyDescent="0.15">
      <c r="A1577" s="32"/>
      <c r="B1577" s="26"/>
      <c r="C1577" s="47"/>
      <c r="D1577" s="27"/>
      <c r="E1577" s="34"/>
      <c r="F1577" s="35">
        <f t="shared" si="1262"/>
        <v>0</v>
      </c>
      <c r="G1577" s="26"/>
      <c r="H1577" s="47"/>
      <c r="I1577" s="27"/>
      <c r="J1577" s="34"/>
      <c r="K1577" s="35">
        <f t="shared" si="1263"/>
        <v>0</v>
      </c>
      <c r="L1577" s="11">
        <f t="shared" si="1250"/>
        <v>0</v>
      </c>
      <c r="N1577" s="12" t="s">
        <v>1300</v>
      </c>
      <c r="O1577" s="26">
        <v>10</v>
      </c>
      <c r="P1577" s="47">
        <v>1</v>
      </c>
      <c r="Q1577" s="27">
        <v>13</v>
      </c>
      <c r="R1577" s="34"/>
      <c r="S1577" s="35">
        <f t="shared" si="1266"/>
        <v>24</v>
      </c>
      <c r="T1577" s="26">
        <v>4</v>
      </c>
      <c r="U1577" s="47"/>
      <c r="V1577" s="27">
        <v>7</v>
      </c>
      <c r="W1577" s="34"/>
      <c r="X1577" s="35">
        <f t="shared" si="1267"/>
        <v>11</v>
      </c>
      <c r="Y1577" s="11">
        <f t="shared" si="1256"/>
        <v>35</v>
      </c>
      <c r="Z1577" s="99">
        <v>45493</v>
      </c>
      <c r="AA1577" s="58"/>
      <c r="AB1577" s="58"/>
    </row>
    <row r="1578" spans="1:29" x14ac:dyDescent="0.15">
      <c r="A1578" s="15"/>
      <c r="B1578" s="26"/>
      <c r="C1578" s="47"/>
      <c r="D1578" s="27"/>
      <c r="E1578" s="34"/>
      <c r="F1578" s="35">
        <f t="shared" si="1262"/>
        <v>0</v>
      </c>
      <c r="G1578" s="26"/>
      <c r="H1578" s="47"/>
      <c r="I1578" s="27"/>
      <c r="J1578" s="34"/>
      <c r="K1578" s="35">
        <f t="shared" si="1263"/>
        <v>0</v>
      </c>
      <c r="L1578" s="11">
        <f t="shared" si="1250"/>
        <v>0</v>
      </c>
      <c r="N1578" s="57" t="s">
        <v>1301</v>
      </c>
      <c r="O1578" s="26">
        <v>4</v>
      </c>
      <c r="P1578" s="47"/>
      <c r="Q1578" s="27">
        <v>2</v>
      </c>
      <c r="R1578" s="34"/>
      <c r="S1578" s="35">
        <f t="shared" si="1266"/>
        <v>6</v>
      </c>
      <c r="T1578" s="26"/>
      <c r="U1578" s="47"/>
      <c r="V1578" s="27"/>
      <c r="W1578" s="34"/>
      <c r="X1578" s="35">
        <f t="shared" si="1267"/>
        <v>0</v>
      </c>
      <c r="Y1578" s="11">
        <f t="shared" si="1256"/>
        <v>6</v>
      </c>
      <c r="Z1578" s="99">
        <v>45495</v>
      </c>
      <c r="AA1578" s="58"/>
      <c r="AB1578" s="58"/>
    </row>
    <row r="1579" spans="1:29" x14ac:dyDescent="0.15">
      <c r="A1579" s="13"/>
      <c r="B1579" s="26"/>
      <c r="C1579" s="47"/>
      <c r="D1579" s="27"/>
      <c r="E1579" s="34"/>
      <c r="F1579" s="35">
        <f t="shared" si="1262"/>
        <v>0</v>
      </c>
      <c r="G1579" s="26"/>
      <c r="H1579" s="47"/>
      <c r="I1579" s="27"/>
      <c r="J1579" s="34"/>
      <c r="K1579" s="35">
        <f t="shared" si="1263"/>
        <v>0</v>
      </c>
      <c r="L1579" s="11">
        <f t="shared" si="1250"/>
        <v>0</v>
      </c>
      <c r="N1579" s="32" t="s">
        <v>1302</v>
      </c>
      <c r="O1579" s="26"/>
      <c r="P1579" s="47"/>
      <c r="Q1579" s="27"/>
      <c r="R1579" s="34"/>
      <c r="S1579" s="35">
        <f t="shared" si="1266"/>
        <v>0</v>
      </c>
      <c r="T1579" s="26"/>
      <c r="U1579" s="47"/>
      <c r="V1579" s="27"/>
      <c r="W1579" s="34">
        <v>2</v>
      </c>
      <c r="X1579" s="35">
        <f t="shared" si="1267"/>
        <v>2</v>
      </c>
      <c r="Y1579" s="11">
        <f t="shared" si="1256"/>
        <v>2</v>
      </c>
      <c r="Z1579" s="99">
        <v>45497</v>
      </c>
      <c r="AA1579" s="58"/>
    </row>
    <row r="1580" spans="1:29" x14ac:dyDescent="0.15">
      <c r="A1580" s="15"/>
      <c r="B1580" s="26"/>
      <c r="C1580" s="47"/>
      <c r="D1580" s="27"/>
      <c r="E1580" s="34"/>
      <c r="F1580" s="35">
        <f t="shared" si="1262"/>
        <v>0</v>
      </c>
      <c r="G1580" s="26"/>
      <c r="H1580" s="47"/>
      <c r="I1580" s="27"/>
      <c r="J1580" s="34"/>
      <c r="K1580" s="35">
        <f t="shared" si="1263"/>
        <v>0</v>
      </c>
      <c r="L1580" s="11">
        <f t="shared" si="1250"/>
        <v>0</v>
      </c>
      <c r="N1580" s="12" t="s">
        <v>34</v>
      </c>
      <c r="O1580" s="26"/>
      <c r="P1580" s="47">
        <v>5</v>
      </c>
      <c r="Q1580" s="27">
        <v>5</v>
      </c>
      <c r="R1580" s="34"/>
      <c r="S1580" s="35">
        <f>SUM(O1580:R1580)</f>
        <v>10</v>
      </c>
      <c r="T1580" s="26"/>
      <c r="U1580" s="47"/>
      <c r="V1580" s="27"/>
      <c r="W1580" s="34"/>
      <c r="X1580" s="35">
        <f>SUM(T1580:W1580)</f>
        <v>0</v>
      </c>
      <c r="Y1580" s="11">
        <f t="shared" si="1256"/>
        <v>10</v>
      </c>
      <c r="Z1580" s="99">
        <v>45496</v>
      </c>
      <c r="AA1580" s="58"/>
    </row>
    <row r="1581" spans="1:29" x14ac:dyDescent="0.15">
      <c r="A1581" s="13"/>
      <c r="B1581" s="26"/>
      <c r="C1581" s="47"/>
      <c r="D1581" s="27"/>
      <c r="E1581" s="34"/>
      <c r="F1581" s="35">
        <f t="shared" si="1262"/>
        <v>0</v>
      </c>
      <c r="G1581" s="26"/>
      <c r="H1581" s="47"/>
      <c r="I1581" s="27"/>
      <c r="J1581" s="34"/>
      <c r="K1581" s="35">
        <f t="shared" si="1263"/>
        <v>0</v>
      </c>
      <c r="L1581" s="11">
        <f t="shared" si="1250"/>
        <v>0</v>
      </c>
      <c r="N1581" s="32" t="s">
        <v>1303</v>
      </c>
      <c r="O1581" s="26"/>
      <c r="P1581" s="47"/>
      <c r="Q1581" s="27">
        <v>2</v>
      </c>
      <c r="R1581" s="34"/>
      <c r="S1581" s="35">
        <f t="shared" ref="S1581:S1590" si="1268">SUM(O1581:R1581)</f>
        <v>2</v>
      </c>
      <c r="T1581" s="26"/>
      <c r="U1581" s="47"/>
      <c r="V1581" s="27">
        <v>2</v>
      </c>
      <c r="W1581" s="34"/>
      <c r="X1581" s="35">
        <f t="shared" ref="X1581:X1590" si="1269">SUM(T1581:W1581)</f>
        <v>2</v>
      </c>
      <c r="Y1581" s="11">
        <f t="shared" si="1256"/>
        <v>4</v>
      </c>
      <c r="Z1581" s="99">
        <v>45498</v>
      </c>
    </row>
    <row r="1582" spans="1:29" x14ac:dyDescent="0.15">
      <c r="A1582" s="15"/>
      <c r="B1582" s="26"/>
      <c r="C1582" s="47"/>
      <c r="D1582" s="27"/>
      <c r="E1582" s="34"/>
      <c r="F1582" s="35">
        <f t="shared" si="1262"/>
        <v>0</v>
      </c>
      <c r="G1582" s="26"/>
      <c r="H1582" s="47"/>
      <c r="I1582" s="27"/>
      <c r="J1582" s="34"/>
      <c r="K1582" s="35">
        <f t="shared" si="1263"/>
        <v>0</v>
      </c>
      <c r="L1582" s="11">
        <f t="shared" si="1250"/>
        <v>0</v>
      </c>
      <c r="N1582" s="32" t="s">
        <v>1304</v>
      </c>
      <c r="O1582" s="26"/>
      <c r="P1582" s="47">
        <v>7</v>
      </c>
      <c r="Q1582" s="27">
        <v>4</v>
      </c>
      <c r="R1582" s="34"/>
      <c r="S1582" s="35">
        <f t="shared" si="1268"/>
        <v>11</v>
      </c>
      <c r="T1582" s="26"/>
      <c r="U1582" s="47"/>
      <c r="V1582" s="27"/>
      <c r="W1582" s="34">
        <v>1</v>
      </c>
      <c r="X1582" s="35">
        <f t="shared" si="1269"/>
        <v>1</v>
      </c>
      <c r="Y1582" s="11">
        <f t="shared" si="1256"/>
        <v>12</v>
      </c>
      <c r="Z1582" s="99">
        <v>45499</v>
      </c>
    </row>
    <row r="1583" spans="1:29" x14ac:dyDescent="0.15">
      <c r="A1583" s="13"/>
      <c r="B1583" s="26"/>
      <c r="C1583" s="47"/>
      <c r="D1583" s="27"/>
      <c r="E1583" s="34"/>
      <c r="F1583" s="35">
        <f t="shared" si="1262"/>
        <v>0</v>
      </c>
      <c r="G1583" s="26"/>
      <c r="H1583" s="47"/>
      <c r="I1583" s="27"/>
      <c r="J1583" s="34"/>
      <c r="K1583" s="35">
        <f t="shared" si="1263"/>
        <v>0</v>
      </c>
      <c r="L1583" s="11">
        <f t="shared" si="1250"/>
        <v>0</v>
      </c>
      <c r="N1583" s="32" t="s">
        <v>1305</v>
      </c>
      <c r="O1583" s="26">
        <v>6</v>
      </c>
      <c r="P1583" s="47">
        <v>6</v>
      </c>
      <c r="Q1583" s="27">
        <v>2</v>
      </c>
      <c r="R1583" s="34">
        <v>1</v>
      </c>
      <c r="S1583" s="35">
        <f t="shared" si="1268"/>
        <v>15</v>
      </c>
      <c r="T1583" s="26"/>
      <c r="U1583" s="47"/>
      <c r="V1583" s="27"/>
      <c r="W1583" s="34"/>
      <c r="X1583" s="35">
        <f t="shared" si="1269"/>
        <v>0</v>
      </c>
      <c r="Y1583" s="11">
        <f t="shared" si="1256"/>
        <v>15</v>
      </c>
      <c r="Z1583" s="99">
        <v>45499</v>
      </c>
    </row>
    <row r="1584" spans="1:29" x14ac:dyDescent="0.15">
      <c r="A1584" s="15"/>
      <c r="B1584" s="26"/>
      <c r="C1584" s="47"/>
      <c r="D1584" s="27"/>
      <c r="E1584" s="34"/>
      <c r="F1584" s="35">
        <f t="shared" si="1262"/>
        <v>0</v>
      </c>
      <c r="G1584" s="26"/>
      <c r="H1584" s="47"/>
      <c r="I1584" s="27"/>
      <c r="J1584" s="34"/>
      <c r="K1584" s="35">
        <f t="shared" si="1263"/>
        <v>0</v>
      </c>
      <c r="L1584" s="11">
        <f t="shared" si="1250"/>
        <v>0</v>
      </c>
      <c r="N1584" s="12" t="s">
        <v>1306</v>
      </c>
      <c r="O1584" s="26">
        <v>2</v>
      </c>
      <c r="P1584" s="47"/>
      <c r="Q1584" s="27"/>
      <c r="R1584" s="34"/>
      <c r="S1584" s="35">
        <f t="shared" si="1268"/>
        <v>2</v>
      </c>
      <c r="T1584" s="26"/>
      <c r="U1584" s="47"/>
      <c r="V1584" s="27"/>
      <c r="W1584" s="34"/>
      <c r="X1584" s="35">
        <f t="shared" si="1269"/>
        <v>0</v>
      </c>
      <c r="Y1584" s="11">
        <f t="shared" si="1256"/>
        <v>2</v>
      </c>
      <c r="Z1584" s="99">
        <v>45503</v>
      </c>
      <c r="AA1584" s="58"/>
      <c r="AB1584" s="58"/>
      <c r="AC1584" s="58"/>
    </row>
    <row r="1585" spans="1:29" x14ac:dyDescent="0.15">
      <c r="A1585" s="15"/>
      <c r="B1585" s="26"/>
      <c r="C1585" s="47"/>
      <c r="D1585" s="27"/>
      <c r="E1585" s="34"/>
      <c r="F1585" s="35">
        <f t="shared" si="1262"/>
        <v>0</v>
      </c>
      <c r="G1585" s="26"/>
      <c r="H1585" s="47"/>
      <c r="I1585" s="27"/>
      <c r="J1585" s="34"/>
      <c r="K1585" s="35">
        <f t="shared" si="1263"/>
        <v>0</v>
      </c>
      <c r="L1585" s="11">
        <f t="shared" si="1250"/>
        <v>0</v>
      </c>
      <c r="N1585" s="32" t="s">
        <v>1307</v>
      </c>
      <c r="O1585" s="26"/>
      <c r="P1585" s="47">
        <v>5</v>
      </c>
      <c r="Q1585" s="27"/>
      <c r="R1585" s="34">
        <v>2</v>
      </c>
      <c r="S1585" s="35">
        <f t="shared" si="1268"/>
        <v>7</v>
      </c>
      <c r="T1585" s="26"/>
      <c r="U1585" s="47"/>
      <c r="V1585" s="27">
        <v>3</v>
      </c>
      <c r="W1585" s="34"/>
      <c r="X1585" s="35">
        <f t="shared" si="1269"/>
        <v>3</v>
      </c>
      <c r="Y1585" s="11">
        <f t="shared" si="1256"/>
        <v>10</v>
      </c>
      <c r="Z1585" s="99">
        <v>45502</v>
      </c>
      <c r="AA1585" s="58"/>
      <c r="AB1585" s="58"/>
      <c r="AC1585" s="58"/>
    </row>
    <row r="1586" spans="1:29" x14ac:dyDescent="0.15">
      <c r="A1586" s="13"/>
      <c r="B1586" s="26"/>
      <c r="C1586" s="47"/>
      <c r="D1586" s="27"/>
      <c r="E1586" s="34"/>
      <c r="F1586" s="35">
        <f t="shared" si="1262"/>
        <v>0</v>
      </c>
      <c r="G1586" s="26"/>
      <c r="H1586" s="47"/>
      <c r="I1586" s="27"/>
      <c r="J1586" s="34"/>
      <c r="K1586" s="35">
        <f t="shared" si="1263"/>
        <v>0</v>
      </c>
      <c r="L1586" s="11">
        <f t="shared" si="1250"/>
        <v>0</v>
      </c>
      <c r="N1586" s="32" t="s">
        <v>1309</v>
      </c>
      <c r="O1586" s="26">
        <v>2</v>
      </c>
      <c r="P1586" s="47">
        <v>4</v>
      </c>
      <c r="Q1586" s="27">
        <v>9</v>
      </c>
      <c r="R1586" s="34">
        <v>6</v>
      </c>
      <c r="S1586" s="35">
        <f t="shared" si="1268"/>
        <v>21</v>
      </c>
      <c r="T1586" s="26">
        <v>1</v>
      </c>
      <c r="U1586" s="47"/>
      <c r="V1586" s="27">
        <v>1</v>
      </c>
      <c r="W1586" s="34"/>
      <c r="X1586" s="35">
        <f t="shared" si="1269"/>
        <v>2</v>
      </c>
      <c r="Y1586" s="11">
        <f t="shared" si="1256"/>
        <v>23</v>
      </c>
      <c r="Z1586" s="99">
        <v>45504</v>
      </c>
    </row>
    <row r="1587" spans="1:29" x14ac:dyDescent="0.15">
      <c r="A1587" s="32"/>
      <c r="B1587" s="26"/>
      <c r="C1587" s="47"/>
      <c r="D1587" s="27"/>
      <c r="E1587" s="34"/>
      <c r="F1587" s="35">
        <f t="shared" si="1262"/>
        <v>0</v>
      </c>
      <c r="G1587" s="26"/>
      <c r="H1587" s="47"/>
      <c r="I1587" s="27"/>
      <c r="J1587" s="34"/>
      <c r="K1587" s="35">
        <f t="shared" si="1263"/>
        <v>0</v>
      </c>
      <c r="L1587" s="11">
        <f t="shared" si="1250"/>
        <v>0</v>
      </c>
      <c r="N1587" s="32" t="s">
        <v>1310</v>
      </c>
      <c r="O1587" s="26">
        <v>2</v>
      </c>
      <c r="P1587" s="47"/>
      <c r="Q1587" s="27">
        <v>4</v>
      </c>
      <c r="R1587" s="34"/>
      <c r="S1587" s="35">
        <f t="shared" si="1268"/>
        <v>6</v>
      </c>
      <c r="T1587" s="26">
        <v>1</v>
      </c>
      <c r="U1587" s="47">
        <v>1</v>
      </c>
      <c r="V1587" s="27">
        <v>1</v>
      </c>
      <c r="W1587" s="34">
        <v>1</v>
      </c>
      <c r="X1587" s="35">
        <f t="shared" si="1269"/>
        <v>4</v>
      </c>
      <c r="Y1587" s="11">
        <f t="shared" si="1256"/>
        <v>10</v>
      </c>
      <c r="Z1587" s="99">
        <v>45505</v>
      </c>
    </row>
    <row r="1588" spans="1:29" x14ac:dyDescent="0.15">
      <c r="A1588" s="32"/>
      <c r="B1588" s="26"/>
      <c r="C1588" s="47"/>
      <c r="D1588" s="27"/>
      <c r="E1588" s="34"/>
      <c r="F1588" s="35">
        <f t="shared" si="1262"/>
        <v>0</v>
      </c>
      <c r="G1588" s="26"/>
      <c r="H1588" s="47"/>
      <c r="I1588" s="27"/>
      <c r="J1588" s="34"/>
      <c r="K1588" s="35">
        <f t="shared" si="1263"/>
        <v>0</v>
      </c>
      <c r="L1588" s="11">
        <f t="shared" si="1250"/>
        <v>0</v>
      </c>
      <c r="N1588" s="32" t="s">
        <v>1311</v>
      </c>
      <c r="O1588" s="26">
        <v>2</v>
      </c>
      <c r="P1588" s="47">
        <v>1</v>
      </c>
      <c r="Q1588" s="27">
        <v>1</v>
      </c>
      <c r="R1588" s="34"/>
      <c r="S1588" s="35">
        <f t="shared" si="1268"/>
        <v>4</v>
      </c>
      <c r="T1588" s="26">
        <v>1</v>
      </c>
      <c r="U1588" s="47">
        <v>2</v>
      </c>
      <c r="V1588" s="27"/>
      <c r="W1588" s="34"/>
      <c r="X1588" s="35">
        <f t="shared" si="1269"/>
        <v>3</v>
      </c>
      <c r="Y1588" s="11">
        <f t="shared" si="1256"/>
        <v>7</v>
      </c>
      <c r="Z1588" s="99">
        <v>45506</v>
      </c>
    </row>
    <row r="1589" spans="1:29" x14ac:dyDescent="0.15">
      <c r="A1589" s="12"/>
      <c r="B1589" s="26"/>
      <c r="C1589" s="47"/>
      <c r="D1589" s="27"/>
      <c r="E1589" s="34"/>
      <c r="F1589" s="35">
        <f t="shared" si="1262"/>
        <v>0</v>
      </c>
      <c r="G1589" s="26"/>
      <c r="H1589" s="47"/>
      <c r="I1589" s="27"/>
      <c r="J1589" s="34"/>
      <c r="K1589" s="35">
        <f t="shared" si="1263"/>
        <v>0</v>
      </c>
      <c r="L1589" s="11">
        <f t="shared" si="1250"/>
        <v>0</v>
      </c>
      <c r="N1589" s="32" t="s">
        <v>1312</v>
      </c>
      <c r="O1589" s="26">
        <v>4</v>
      </c>
      <c r="P1589" s="47">
        <v>1</v>
      </c>
      <c r="Q1589" s="27"/>
      <c r="R1589" s="34">
        <v>1</v>
      </c>
      <c r="S1589" s="35">
        <f t="shared" si="1268"/>
        <v>6</v>
      </c>
      <c r="T1589" s="26"/>
      <c r="U1589" s="47"/>
      <c r="V1589" s="27"/>
      <c r="W1589" s="34">
        <v>1</v>
      </c>
      <c r="X1589" s="35">
        <f t="shared" si="1269"/>
        <v>1</v>
      </c>
      <c r="Y1589" s="11">
        <f t="shared" si="1256"/>
        <v>7</v>
      </c>
      <c r="Z1589" s="99">
        <v>45506</v>
      </c>
    </row>
    <row r="1590" spans="1:29" x14ac:dyDescent="0.15">
      <c r="A1590" s="79"/>
      <c r="B1590" s="26"/>
      <c r="C1590" s="47"/>
      <c r="D1590" s="27"/>
      <c r="E1590" s="34"/>
      <c r="F1590" s="35">
        <f t="shared" si="1262"/>
        <v>0</v>
      </c>
      <c r="G1590" s="26"/>
      <c r="H1590" s="47"/>
      <c r="I1590" s="27"/>
      <c r="J1590" s="34"/>
      <c r="K1590" s="35">
        <f t="shared" si="1263"/>
        <v>0</v>
      </c>
      <c r="L1590" s="11">
        <f t="shared" si="1250"/>
        <v>0</v>
      </c>
      <c r="N1590" s="32" t="s">
        <v>1313</v>
      </c>
      <c r="O1590" s="26"/>
      <c r="P1590" s="47"/>
      <c r="Q1590" s="27"/>
      <c r="R1590" s="34">
        <v>7</v>
      </c>
      <c r="S1590" s="35">
        <f t="shared" si="1268"/>
        <v>7</v>
      </c>
      <c r="T1590" s="26"/>
      <c r="U1590" s="47">
        <v>1</v>
      </c>
      <c r="V1590" s="27">
        <v>1</v>
      </c>
      <c r="W1590" s="34"/>
      <c r="X1590" s="35">
        <f t="shared" si="1269"/>
        <v>2</v>
      </c>
      <c r="Y1590" s="11">
        <f t="shared" si="1256"/>
        <v>9</v>
      </c>
      <c r="Z1590" s="99">
        <v>45509</v>
      </c>
    </row>
    <row r="1591" spans="1:29" x14ac:dyDescent="0.15">
      <c r="A1591" s="57"/>
      <c r="B1591" s="26"/>
      <c r="C1591" s="47"/>
      <c r="D1591" s="27"/>
      <c r="E1591" s="34"/>
      <c r="F1591" s="35">
        <f t="shared" si="1262"/>
        <v>0</v>
      </c>
      <c r="G1591" s="26"/>
      <c r="H1591" s="47"/>
      <c r="I1591" s="27"/>
      <c r="J1591" s="34"/>
      <c r="K1591" s="35">
        <f t="shared" si="1263"/>
        <v>0</v>
      </c>
      <c r="L1591" s="11">
        <f t="shared" si="1250"/>
        <v>0</v>
      </c>
      <c r="N1591" s="32" t="s">
        <v>1314</v>
      </c>
      <c r="O1591" s="26"/>
      <c r="P1591" s="47">
        <v>1</v>
      </c>
      <c r="Q1591" s="27">
        <v>2</v>
      </c>
      <c r="R1591" s="34"/>
      <c r="S1591" s="35">
        <f t="shared" ref="S1591" si="1270">SUM(O1591:R1591)</f>
        <v>3</v>
      </c>
      <c r="T1591" s="26"/>
      <c r="U1591" s="47">
        <v>1</v>
      </c>
      <c r="V1591" s="27">
        <v>4</v>
      </c>
      <c r="W1591" s="34">
        <v>1</v>
      </c>
      <c r="X1591" s="35">
        <f t="shared" ref="X1591" si="1271">SUM(T1591:W1591)</f>
        <v>6</v>
      </c>
      <c r="Y1591" s="11">
        <f t="shared" ref="Y1591" si="1272">S1591+X1591</f>
        <v>9</v>
      </c>
      <c r="Z1591" s="99">
        <v>45511</v>
      </c>
    </row>
    <row r="1592" spans="1:29" ht="14.25" thickBot="1" x14ac:dyDescent="0.2">
      <c r="A1592" s="90"/>
      <c r="B1592" s="62"/>
      <c r="C1592" s="63"/>
      <c r="D1592" s="64"/>
      <c r="E1592" s="65"/>
      <c r="F1592" s="35">
        <f t="shared" si="1262"/>
        <v>0</v>
      </c>
      <c r="G1592" s="62"/>
      <c r="H1592" s="63"/>
      <c r="I1592" s="64"/>
      <c r="J1592" s="65"/>
      <c r="K1592" s="35">
        <f t="shared" si="1263"/>
        <v>0</v>
      </c>
      <c r="L1592" s="14">
        <f t="shared" si="1250"/>
        <v>0</v>
      </c>
      <c r="N1592" s="135" t="s">
        <v>1315</v>
      </c>
      <c r="O1592" s="62">
        <v>2</v>
      </c>
      <c r="P1592" s="63">
        <v>2</v>
      </c>
      <c r="Q1592" s="64">
        <v>1</v>
      </c>
      <c r="R1592" s="65"/>
      <c r="S1592" s="120">
        <f t="shared" ref="S1592" si="1273">SUM(O1592:R1592)</f>
        <v>5</v>
      </c>
      <c r="T1592" s="62"/>
      <c r="U1592" s="63"/>
      <c r="V1592" s="64"/>
      <c r="W1592" s="65"/>
      <c r="X1592" s="120">
        <f t="shared" ref="X1592" si="1274">SUM(T1592:W1592)</f>
        <v>0</v>
      </c>
      <c r="Y1592" s="121">
        <f t="shared" ref="Y1592" si="1275">S1592+X1592</f>
        <v>5</v>
      </c>
      <c r="Z1592" s="99">
        <v>45513</v>
      </c>
    </row>
    <row r="1593" spans="1:29" ht="14.25" thickBot="1" x14ac:dyDescent="0.2">
      <c r="A1593" s="17" t="s">
        <v>10</v>
      </c>
      <c r="B1593" s="38">
        <f>SUM(B1568:B1592)</f>
        <v>4</v>
      </c>
      <c r="C1593" s="48">
        <f>SUM(C1568:C1592)</f>
        <v>13</v>
      </c>
      <c r="D1593" s="39">
        <f>SUM(D1568:D1592)</f>
        <v>4</v>
      </c>
      <c r="E1593" s="40">
        <f>SUM(E1568:E1592)</f>
        <v>8</v>
      </c>
      <c r="F1593" s="36">
        <f>SUM(B1593:E1593)</f>
        <v>29</v>
      </c>
      <c r="G1593" s="38">
        <f>SUM(G1568:G1592)</f>
        <v>2</v>
      </c>
      <c r="H1593" s="48">
        <f>SUM(H1568:H1592)</f>
        <v>4</v>
      </c>
      <c r="I1593" s="39">
        <f>SUM(I1568:I1592)</f>
        <v>2</v>
      </c>
      <c r="J1593" s="40">
        <f>SUM(J1568:J1592)</f>
        <v>2</v>
      </c>
      <c r="K1593" s="36">
        <f>SUM(G1593:J1593)</f>
        <v>10</v>
      </c>
      <c r="L1593" s="37">
        <f t="shared" si="1250"/>
        <v>39</v>
      </c>
      <c r="N1593" s="133" t="s">
        <v>10</v>
      </c>
      <c r="O1593" s="38">
        <f>SUM(O1568:O1592)</f>
        <v>70</v>
      </c>
      <c r="P1593" s="48">
        <f>SUM(P1568:P1592)</f>
        <v>86</v>
      </c>
      <c r="Q1593" s="39">
        <f>SUM(Q1568:Q1592)</f>
        <v>68</v>
      </c>
      <c r="R1593" s="40">
        <f>SUM(R1568:R1592)</f>
        <v>58</v>
      </c>
      <c r="S1593" s="118">
        <f t="shared" ref="S1593" si="1276">SUM(O1593:R1593)</f>
        <v>282</v>
      </c>
      <c r="T1593" s="38">
        <f>SUM(T1568:T1592)</f>
        <v>21</v>
      </c>
      <c r="U1593" s="48">
        <f>SUM(U1568:U1592)</f>
        <v>26</v>
      </c>
      <c r="V1593" s="39">
        <f>SUM(V1568:V1592)</f>
        <v>30</v>
      </c>
      <c r="W1593" s="40">
        <f>SUM(W1568:W1592)</f>
        <v>17</v>
      </c>
      <c r="X1593" s="118">
        <f t="shared" ref="X1593" si="1277">SUM(T1593:W1593)</f>
        <v>94</v>
      </c>
      <c r="Y1593" s="119">
        <f t="shared" ref="Y1593" si="1278">S1593+X1593</f>
        <v>376</v>
      </c>
    </row>
    <row r="1594" spans="1:29" ht="14.25" thickBot="1" x14ac:dyDescent="0.2">
      <c r="A1594" s="22" t="s">
        <v>11</v>
      </c>
      <c r="B1594" s="41">
        <f>B1567-B1593</f>
        <v>5</v>
      </c>
      <c r="C1594" s="49">
        <f>C1567-C1593</f>
        <v>5</v>
      </c>
      <c r="D1594" s="42">
        <f t="shared" ref="D1594:K1594" si="1279">D1567-D1593</f>
        <v>7</v>
      </c>
      <c r="E1594" s="43">
        <f t="shared" si="1279"/>
        <v>2</v>
      </c>
      <c r="F1594" s="61">
        <f t="shared" si="1279"/>
        <v>15</v>
      </c>
      <c r="G1594" s="41">
        <f t="shared" si="1279"/>
        <v>8</v>
      </c>
      <c r="H1594" s="49">
        <f t="shared" si="1279"/>
        <v>7</v>
      </c>
      <c r="I1594" s="42">
        <f t="shared" si="1279"/>
        <v>7</v>
      </c>
      <c r="J1594" s="43">
        <f t="shared" si="1279"/>
        <v>4</v>
      </c>
      <c r="K1594" s="61">
        <f t="shared" si="1279"/>
        <v>26</v>
      </c>
      <c r="L1594" s="21">
        <f t="shared" si="1250"/>
        <v>41</v>
      </c>
      <c r="N1594" s="17" t="s">
        <v>11</v>
      </c>
      <c r="O1594" s="41">
        <f>O1567-O1593</f>
        <v>259</v>
      </c>
      <c r="P1594" s="49">
        <f t="shared" ref="P1594:Q1594" si="1280">P1567-P1593</f>
        <v>232</v>
      </c>
      <c r="Q1594" s="42">
        <f t="shared" si="1280"/>
        <v>164</v>
      </c>
      <c r="R1594" s="43">
        <f>R1567-R1593</f>
        <v>84</v>
      </c>
      <c r="S1594" s="61">
        <f t="shared" ref="S1594:X1594" si="1281">S1567-S1593</f>
        <v>739</v>
      </c>
      <c r="T1594" s="41">
        <f t="shared" si="1281"/>
        <v>591</v>
      </c>
      <c r="U1594" s="49">
        <f t="shared" si="1281"/>
        <v>662</v>
      </c>
      <c r="V1594" s="42">
        <f t="shared" si="1281"/>
        <v>440</v>
      </c>
      <c r="W1594" s="43">
        <f t="shared" si="1281"/>
        <v>286</v>
      </c>
      <c r="X1594" s="61">
        <f t="shared" si="1281"/>
        <v>1979</v>
      </c>
      <c r="Y1594" s="21">
        <f t="shared" ref="Y1594" si="1282">S1594+X1594</f>
        <v>2718</v>
      </c>
    </row>
    <row r="1597" spans="1:29" ht="19.5" thickBot="1" x14ac:dyDescent="0.25">
      <c r="A1597" s="2" t="s">
        <v>106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1036</v>
      </c>
      <c r="O1597" s="270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9" ht="14.25" thickBot="1" x14ac:dyDescent="0.2">
      <c r="A1598" s="5" t="s">
        <v>0</v>
      </c>
      <c r="B1598" s="342" t="s">
        <v>18</v>
      </c>
      <c r="C1598" s="350"/>
      <c r="D1598" s="350"/>
      <c r="E1598" s="350"/>
      <c r="F1598" s="351"/>
      <c r="G1598" s="345" t="s">
        <v>12</v>
      </c>
      <c r="H1598" s="352"/>
      <c r="I1598" s="352"/>
      <c r="J1598" s="352"/>
      <c r="K1598" s="353"/>
      <c r="L1598" s="354" t="s">
        <v>1</v>
      </c>
      <c r="N1598" s="5" t="s">
        <v>0</v>
      </c>
      <c r="O1598" s="342" t="s">
        <v>18</v>
      </c>
      <c r="P1598" s="343"/>
      <c r="Q1598" s="343"/>
      <c r="R1598" s="343"/>
      <c r="S1598" s="344"/>
      <c r="T1598" s="345" t="s">
        <v>12</v>
      </c>
      <c r="U1598" s="346"/>
      <c r="V1598" s="346"/>
      <c r="W1598" s="346"/>
      <c r="X1598" s="347"/>
      <c r="Y1598" s="348" t="s">
        <v>1</v>
      </c>
    </row>
    <row r="1599" spans="1:29" ht="14.25" thickBot="1" x14ac:dyDescent="0.2">
      <c r="A1599" s="5" t="s">
        <v>2</v>
      </c>
      <c r="B1599" s="3" t="s">
        <v>13</v>
      </c>
      <c r="C1599" s="44" t="s">
        <v>14</v>
      </c>
      <c r="D1599" s="4" t="s">
        <v>15</v>
      </c>
      <c r="E1599" s="23" t="s">
        <v>16</v>
      </c>
      <c r="F1599" s="31" t="s">
        <v>3</v>
      </c>
      <c r="G1599" s="3" t="s">
        <v>13</v>
      </c>
      <c r="H1599" s="44" t="s">
        <v>14</v>
      </c>
      <c r="I1599" s="4" t="s">
        <v>15</v>
      </c>
      <c r="J1599" s="23" t="s">
        <v>16</v>
      </c>
      <c r="K1599" s="31" t="s">
        <v>3</v>
      </c>
      <c r="L1599" s="355"/>
      <c r="N1599" s="5" t="s">
        <v>2</v>
      </c>
      <c r="O1599" s="3" t="s">
        <v>13</v>
      </c>
      <c r="P1599" s="44" t="s">
        <v>14</v>
      </c>
      <c r="Q1599" s="4" t="s">
        <v>15</v>
      </c>
      <c r="R1599" s="23" t="s">
        <v>16</v>
      </c>
      <c r="S1599" s="31" t="s">
        <v>3</v>
      </c>
      <c r="T1599" s="3" t="s">
        <v>13</v>
      </c>
      <c r="U1599" s="44" t="s">
        <v>14</v>
      </c>
      <c r="V1599" s="4" t="s">
        <v>15</v>
      </c>
      <c r="W1599" s="23" t="s">
        <v>16</v>
      </c>
      <c r="X1599" s="31" t="s">
        <v>3</v>
      </c>
      <c r="Y1599" s="349"/>
    </row>
    <row r="1600" spans="1:29" x14ac:dyDescent="0.15">
      <c r="A1600" s="71" t="s">
        <v>17</v>
      </c>
      <c r="B1600" s="72">
        <f>B1594</f>
        <v>5</v>
      </c>
      <c r="C1600" s="73">
        <f t="shared" ref="C1600:L1600" si="1283">C1594</f>
        <v>5</v>
      </c>
      <c r="D1600" s="73">
        <f t="shared" si="1283"/>
        <v>7</v>
      </c>
      <c r="E1600" s="74">
        <f t="shared" si="1283"/>
        <v>2</v>
      </c>
      <c r="F1600" s="76">
        <f t="shared" si="1283"/>
        <v>15</v>
      </c>
      <c r="G1600" s="72">
        <f t="shared" si="1283"/>
        <v>8</v>
      </c>
      <c r="H1600" s="73">
        <f t="shared" si="1283"/>
        <v>7</v>
      </c>
      <c r="I1600" s="73">
        <f t="shared" si="1283"/>
        <v>7</v>
      </c>
      <c r="J1600" s="74">
        <f t="shared" si="1283"/>
        <v>4</v>
      </c>
      <c r="K1600" s="75">
        <f t="shared" si="1283"/>
        <v>26</v>
      </c>
      <c r="L1600" s="16">
        <f t="shared" si="1283"/>
        <v>41</v>
      </c>
      <c r="N1600" s="71" t="s">
        <v>17</v>
      </c>
      <c r="O1600" s="72">
        <f>O1594</f>
        <v>259</v>
      </c>
      <c r="P1600" s="73">
        <f t="shared" ref="P1600:Y1600" si="1284">P1594</f>
        <v>232</v>
      </c>
      <c r="Q1600" s="73">
        <f t="shared" si="1284"/>
        <v>164</v>
      </c>
      <c r="R1600" s="74">
        <f t="shared" si="1284"/>
        <v>84</v>
      </c>
      <c r="S1600" s="76">
        <f t="shared" si="1284"/>
        <v>739</v>
      </c>
      <c r="T1600" s="72">
        <f t="shared" si="1284"/>
        <v>591</v>
      </c>
      <c r="U1600" s="73">
        <f t="shared" si="1284"/>
        <v>662</v>
      </c>
      <c r="V1600" s="73">
        <f t="shared" si="1284"/>
        <v>440</v>
      </c>
      <c r="W1600" s="74">
        <f t="shared" si="1284"/>
        <v>286</v>
      </c>
      <c r="X1600" s="75">
        <f t="shared" si="1284"/>
        <v>1979</v>
      </c>
      <c r="Y1600" s="16">
        <f t="shared" si="1284"/>
        <v>2718</v>
      </c>
    </row>
    <row r="1601" spans="1:29" x14ac:dyDescent="0.15">
      <c r="A1601" s="13" t="s">
        <v>5</v>
      </c>
      <c r="B1601" s="26"/>
      <c r="C1601" s="47">
        <v>3</v>
      </c>
      <c r="D1601" s="27"/>
      <c r="E1601" s="50">
        <v>3</v>
      </c>
      <c r="F1601" s="9">
        <f>SUM(B1601:E1601)</f>
        <v>6</v>
      </c>
      <c r="G1601" s="47"/>
      <c r="H1601" s="47"/>
      <c r="I1601" s="27"/>
      <c r="J1601" s="50">
        <v>5</v>
      </c>
      <c r="K1601" s="9">
        <f>SUM(G1601:J1601)</f>
        <v>5</v>
      </c>
      <c r="L1601" s="11">
        <f t="shared" ref="L1601" si="1285">F1601+K1601</f>
        <v>11</v>
      </c>
      <c r="M1601" s="99">
        <v>45525</v>
      </c>
      <c r="N1601" s="13" t="s">
        <v>5</v>
      </c>
      <c r="O1601" s="26"/>
      <c r="P1601" s="47"/>
      <c r="Q1601" s="27"/>
      <c r="R1601" s="34"/>
      <c r="S1601" s="77">
        <f t="shared" ref="S1601" si="1286">SUM(O1601:R1601)</f>
        <v>0</v>
      </c>
      <c r="T1601" s="26"/>
      <c r="U1601" s="47"/>
      <c r="V1601" s="27"/>
      <c r="W1601" s="34"/>
      <c r="X1601" s="9">
        <f t="shared" ref="X1601" si="1287">SUM(T1601:W1601)</f>
        <v>0</v>
      </c>
      <c r="Y1601" s="11">
        <f t="shared" ref="Y1601:Y1610" si="1288">S1601+X1601</f>
        <v>0</v>
      </c>
    </row>
    <row r="1602" spans="1:29" x14ac:dyDescent="0.15">
      <c r="A1602" s="13" t="s">
        <v>830</v>
      </c>
      <c r="B1602" s="26"/>
      <c r="C1602" s="47">
        <v>1</v>
      </c>
      <c r="D1602" s="27"/>
      <c r="E1602" s="50"/>
      <c r="F1602" s="9">
        <f>SUM(B1602:E1602)</f>
        <v>1</v>
      </c>
      <c r="G1602" s="47">
        <v>1</v>
      </c>
      <c r="H1602" s="47"/>
      <c r="I1602" s="27"/>
      <c r="J1602" s="50"/>
      <c r="K1602" s="9">
        <f>SUM(G1602:J1602)</f>
        <v>1</v>
      </c>
      <c r="L1602" s="11">
        <f t="shared" ref="L1602:L1632" si="1289">F1602+K1602</f>
        <v>2</v>
      </c>
      <c r="M1602" s="99">
        <v>45525</v>
      </c>
      <c r="N1602" s="13" t="s">
        <v>6</v>
      </c>
      <c r="O1602" s="26"/>
      <c r="P1602" s="47"/>
      <c r="Q1602" s="27"/>
      <c r="R1602" s="34"/>
      <c r="S1602" s="77">
        <f t="shared" ref="S1602" si="1290">SUM(O1602:R1602)</f>
        <v>0</v>
      </c>
      <c r="T1602" s="26"/>
      <c r="U1602" s="47"/>
      <c r="V1602" s="27"/>
      <c r="W1602" s="34"/>
      <c r="X1602" s="9">
        <f t="shared" ref="X1602" si="1291">SUM(T1602:W1602)</f>
        <v>0</v>
      </c>
      <c r="Y1602" s="11">
        <f t="shared" ref="Y1602" si="1292">S1602+X1602</f>
        <v>0</v>
      </c>
    </row>
    <row r="1603" spans="1:29" x14ac:dyDescent="0.15">
      <c r="A1603" s="13" t="s">
        <v>7</v>
      </c>
      <c r="B1603" s="26">
        <v>1</v>
      </c>
      <c r="C1603" s="47">
        <v>1</v>
      </c>
      <c r="D1603" s="27">
        <v>0</v>
      </c>
      <c r="E1603" s="50">
        <v>0</v>
      </c>
      <c r="F1603" s="9">
        <f>SUM(B1603:E1603)</f>
        <v>2</v>
      </c>
      <c r="G1603" s="47">
        <v>-1</v>
      </c>
      <c r="H1603" s="47">
        <v>0</v>
      </c>
      <c r="I1603" s="27">
        <v>0</v>
      </c>
      <c r="J1603" s="50">
        <v>1</v>
      </c>
      <c r="K1603" s="9">
        <f>SUM(G1603:J1603)</f>
        <v>0</v>
      </c>
      <c r="L1603" s="11">
        <f t="shared" si="1289"/>
        <v>2</v>
      </c>
      <c r="M1603" s="126">
        <v>45530</v>
      </c>
      <c r="N1603" s="13" t="s">
        <v>7</v>
      </c>
      <c r="O1603" s="26"/>
      <c r="P1603" s="47"/>
      <c r="Q1603" s="27"/>
      <c r="R1603" s="34"/>
      <c r="S1603" s="77">
        <f t="shared" ref="S1603:S1604" si="1293">SUM(O1603:R1603)</f>
        <v>0</v>
      </c>
      <c r="T1603" s="26"/>
      <c r="U1603" s="47"/>
      <c r="V1603" s="27"/>
      <c r="W1603" s="34"/>
      <c r="X1603" s="9">
        <f t="shared" ref="X1603:X1604" si="1294">SUM(T1603:W1603)</f>
        <v>0</v>
      </c>
      <c r="Y1603" s="11">
        <f t="shared" si="1288"/>
        <v>0</v>
      </c>
    </row>
    <row r="1604" spans="1:29" ht="14.25" thickBot="1" x14ac:dyDescent="0.2">
      <c r="A1604" s="13" t="s">
        <v>60</v>
      </c>
      <c r="B1604" s="26"/>
      <c r="C1604" s="47"/>
      <c r="D1604" s="27"/>
      <c r="E1604" s="50"/>
      <c r="F1604" s="10">
        <f>SUM(B1604:E1604)</f>
        <v>0</v>
      </c>
      <c r="G1604" s="47"/>
      <c r="H1604" s="47"/>
      <c r="I1604" s="27">
        <v>1</v>
      </c>
      <c r="J1604" s="50"/>
      <c r="K1604" s="10">
        <f>SUM(G1604:J1604)</f>
        <v>1</v>
      </c>
      <c r="L1604" s="14">
        <f t="shared" si="1289"/>
        <v>1</v>
      </c>
      <c r="M1604" s="126">
        <v>45533</v>
      </c>
      <c r="N1604" s="13" t="s">
        <v>8</v>
      </c>
      <c r="O1604" s="26"/>
      <c r="P1604" s="47"/>
      <c r="Q1604" s="27"/>
      <c r="R1604" s="34"/>
      <c r="S1604" s="77">
        <f t="shared" si="1293"/>
        <v>0</v>
      </c>
      <c r="T1604" s="26"/>
      <c r="U1604" s="47"/>
      <c r="V1604" s="27"/>
      <c r="W1604" s="34"/>
      <c r="X1604" s="9">
        <f t="shared" si="1294"/>
        <v>0</v>
      </c>
      <c r="Y1604" s="11">
        <f t="shared" si="1288"/>
        <v>0</v>
      </c>
    </row>
    <row r="1605" spans="1:29" ht="14.25" thickBot="1" x14ac:dyDescent="0.2">
      <c r="A1605" s="22" t="s">
        <v>9</v>
      </c>
      <c r="B1605" s="51">
        <f t="shared" ref="B1605:K1605" si="1295">SUM(B1600:B1604)</f>
        <v>6</v>
      </c>
      <c r="C1605" s="52">
        <f t="shared" si="1295"/>
        <v>10</v>
      </c>
      <c r="D1605" s="53">
        <f t="shared" si="1295"/>
        <v>7</v>
      </c>
      <c r="E1605" s="54">
        <f t="shared" si="1295"/>
        <v>5</v>
      </c>
      <c r="F1605" s="28">
        <f t="shared" si="1295"/>
        <v>24</v>
      </c>
      <c r="G1605" s="51">
        <f t="shared" si="1295"/>
        <v>8</v>
      </c>
      <c r="H1605" s="52">
        <f t="shared" si="1295"/>
        <v>7</v>
      </c>
      <c r="I1605" s="53">
        <f t="shared" si="1295"/>
        <v>8</v>
      </c>
      <c r="J1605" s="54">
        <f t="shared" si="1295"/>
        <v>10</v>
      </c>
      <c r="K1605" s="28">
        <f t="shared" si="1295"/>
        <v>33</v>
      </c>
      <c r="L1605" s="21">
        <f t="shared" si="1289"/>
        <v>57</v>
      </c>
      <c r="N1605" s="17" t="s">
        <v>9</v>
      </c>
      <c r="O1605" s="41">
        <f>SUM(O1600:O1604)</f>
        <v>259</v>
      </c>
      <c r="P1605" s="49">
        <f t="shared" ref="P1605:V1605" si="1296">SUM(P1600:P1604)</f>
        <v>232</v>
      </c>
      <c r="Q1605" s="42">
        <f t="shared" si="1296"/>
        <v>164</v>
      </c>
      <c r="R1605" s="92">
        <f t="shared" si="1296"/>
        <v>84</v>
      </c>
      <c r="S1605" s="93">
        <f t="shared" si="1296"/>
        <v>739</v>
      </c>
      <c r="T1605" s="41">
        <f t="shared" si="1296"/>
        <v>591</v>
      </c>
      <c r="U1605" s="49">
        <f t="shared" si="1296"/>
        <v>662</v>
      </c>
      <c r="V1605" s="42">
        <f t="shared" si="1296"/>
        <v>440</v>
      </c>
      <c r="W1605" s="92">
        <f>SUM(W1600:W1604)</f>
        <v>286</v>
      </c>
      <c r="X1605" s="93">
        <f t="shared" ref="X1605" si="1297">SUM(X1600:X1604)</f>
        <v>1979</v>
      </c>
      <c r="Y1605" s="56">
        <f t="shared" si="1288"/>
        <v>2718</v>
      </c>
    </row>
    <row r="1606" spans="1:29" x14ac:dyDescent="0.15">
      <c r="A1606" s="32" t="s">
        <v>1318</v>
      </c>
      <c r="B1606" s="24">
        <v>1</v>
      </c>
      <c r="C1606" s="46">
        <v>1</v>
      </c>
      <c r="D1606" s="25"/>
      <c r="E1606" s="33"/>
      <c r="F1606" s="35">
        <f>SUM(B1606:E1606)</f>
        <v>2</v>
      </c>
      <c r="G1606" s="24"/>
      <c r="H1606" s="46"/>
      <c r="I1606" s="25"/>
      <c r="J1606" s="33"/>
      <c r="K1606" s="35">
        <f>SUM(G1606:J1606)</f>
        <v>0</v>
      </c>
      <c r="L1606" s="11">
        <f t="shared" si="1289"/>
        <v>2</v>
      </c>
      <c r="M1606" s="99">
        <v>45513</v>
      </c>
      <c r="N1606" s="32" t="s">
        <v>1316</v>
      </c>
      <c r="O1606" s="26"/>
      <c r="P1606" s="47">
        <v>6</v>
      </c>
      <c r="Q1606" s="27">
        <v>2</v>
      </c>
      <c r="R1606" s="34">
        <v>1</v>
      </c>
      <c r="S1606" s="35">
        <f t="shared" ref="S1606" si="1298">SUM(O1606:R1606)</f>
        <v>9</v>
      </c>
      <c r="T1606" s="26">
        <v>2</v>
      </c>
      <c r="U1606" s="47"/>
      <c r="V1606" s="27">
        <v>5</v>
      </c>
      <c r="W1606" s="34"/>
      <c r="X1606" s="35">
        <f t="shared" ref="X1606" si="1299">SUM(T1606:W1606)</f>
        <v>7</v>
      </c>
      <c r="Y1606" s="11">
        <f t="shared" ref="Y1606" si="1300">S1606+X1606</f>
        <v>16</v>
      </c>
      <c r="Z1606" s="99">
        <v>45512</v>
      </c>
    </row>
    <row r="1607" spans="1:29" x14ac:dyDescent="0.15">
      <c r="A1607" s="32" t="s">
        <v>41</v>
      </c>
      <c r="B1607" s="26"/>
      <c r="C1607" s="47">
        <v>1</v>
      </c>
      <c r="D1607" s="27"/>
      <c r="E1607" s="34"/>
      <c r="F1607" s="35">
        <f>SUM(B1607:E1607)</f>
        <v>1</v>
      </c>
      <c r="G1607" s="26"/>
      <c r="H1607" s="47"/>
      <c r="I1607" s="27"/>
      <c r="J1607" s="34"/>
      <c r="K1607" s="35">
        <f>SUM(G1607:J1607)</f>
        <v>0</v>
      </c>
      <c r="L1607" s="11">
        <f t="shared" si="1289"/>
        <v>1</v>
      </c>
      <c r="M1607" s="99">
        <v>45515</v>
      </c>
      <c r="N1607" s="32" t="s">
        <v>1317</v>
      </c>
      <c r="O1607" s="26"/>
      <c r="P1607" s="47">
        <v>2</v>
      </c>
      <c r="Q1607" s="27"/>
      <c r="R1607" s="34">
        <v>1</v>
      </c>
      <c r="S1607" s="35">
        <f t="shared" ref="S1607:S1610" si="1301">SUM(O1607:R1607)</f>
        <v>3</v>
      </c>
      <c r="T1607" s="26"/>
      <c r="U1607" s="47"/>
      <c r="V1607" s="27"/>
      <c r="W1607" s="34"/>
      <c r="X1607" s="35">
        <f t="shared" ref="X1607:X1610" si="1302">SUM(T1607:W1607)</f>
        <v>0</v>
      </c>
      <c r="Y1607" s="11">
        <f t="shared" si="1288"/>
        <v>3</v>
      </c>
      <c r="Z1607" s="99">
        <v>45513</v>
      </c>
    </row>
    <row r="1608" spans="1:29" x14ac:dyDescent="0.15">
      <c r="A1608" s="32" t="s">
        <v>41</v>
      </c>
      <c r="B1608" s="26"/>
      <c r="C1608" s="47"/>
      <c r="D1608" s="27">
        <v>1</v>
      </c>
      <c r="E1608" s="34"/>
      <c r="F1608" s="35">
        <f t="shared" ref="F1608:F1630" si="1303">SUM(B1608:E1608)</f>
        <v>1</v>
      </c>
      <c r="G1608" s="26"/>
      <c r="H1608" s="47"/>
      <c r="I1608" s="27">
        <v>1</v>
      </c>
      <c r="J1608" s="34">
        <v>3</v>
      </c>
      <c r="K1608" s="35">
        <f t="shared" ref="K1608:K1630" si="1304">SUM(G1608:J1608)</f>
        <v>4</v>
      </c>
      <c r="L1608" s="11">
        <f t="shared" si="1289"/>
        <v>5</v>
      </c>
      <c r="M1608" s="99">
        <v>45523</v>
      </c>
      <c r="N1608" s="32" t="s">
        <v>1319</v>
      </c>
      <c r="O1608" s="26">
        <v>1</v>
      </c>
      <c r="P1608" s="47"/>
      <c r="Q1608" s="27">
        <v>1</v>
      </c>
      <c r="R1608" s="34"/>
      <c r="S1608" s="35">
        <f t="shared" si="1301"/>
        <v>2</v>
      </c>
      <c r="T1608" s="26">
        <v>1</v>
      </c>
      <c r="U1608" s="47">
        <v>1</v>
      </c>
      <c r="V1608" s="27"/>
      <c r="W1608" s="34"/>
      <c r="X1608" s="35">
        <f t="shared" si="1302"/>
        <v>2</v>
      </c>
      <c r="Y1608" s="11">
        <f t="shared" si="1288"/>
        <v>4</v>
      </c>
      <c r="Z1608" s="99">
        <v>45520</v>
      </c>
    </row>
    <row r="1609" spans="1:29" x14ac:dyDescent="0.15">
      <c r="A1609" s="32" t="s">
        <v>41</v>
      </c>
      <c r="B1609" s="66"/>
      <c r="C1609" s="67"/>
      <c r="D1609" s="68"/>
      <c r="E1609" s="69"/>
      <c r="F1609" s="70">
        <f t="shared" si="1303"/>
        <v>0</v>
      </c>
      <c r="G1609" s="66">
        <v>1</v>
      </c>
      <c r="H1609" s="67"/>
      <c r="I1609" s="68"/>
      <c r="J1609" s="69"/>
      <c r="K1609" s="70">
        <f t="shared" si="1304"/>
        <v>1</v>
      </c>
      <c r="L1609" s="11">
        <f t="shared" si="1289"/>
        <v>1</v>
      </c>
      <c r="M1609" s="126">
        <v>45527</v>
      </c>
      <c r="N1609" s="32" t="s">
        <v>1320</v>
      </c>
      <c r="O1609" s="26"/>
      <c r="P1609" s="47">
        <v>1</v>
      </c>
      <c r="Q1609" s="27">
        <v>3</v>
      </c>
      <c r="R1609" s="34"/>
      <c r="S1609" s="35">
        <f t="shared" si="1301"/>
        <v>4</v>
      </c>
      <c r="T1609" s="26"/>
      <c r="U1609" s="47">
        <v>2</v>
      </c>
      <c r="V1609" s="27"/>
      <c r="W1609" s="34">
        <v>1</v>
      </c>
      <c r="X1609" s="35">
        <f t="shared" si="1302"/>
        <v>3</v>
      </c>
      <c r="Y1609" s="11">
        <f t="shared" si="1288"/>
        <v>7</v>
      </c>
      <c r="Z1609" s="99">
        <v>45523</v>
      </c>
      <c r="AA1609" s="58"/>
      <c r="AB1609" s="58"/>
      <c r="AC1609" s="58"/>
    </row>
    <row r="1610" spans="1:29" x14ac:dyDescent="0.15">
      <c r="A1610" s="32" t="s">
        <v>41</v>
      </c>
      <c r="B1610" s="26"/>
      <c r="C1610" s="47">
        <f>1+2</f>
        <v>3</v>
      </c>
      <c r="D1610" s="27"/>
      <c r="E1610" s="34"/>
      <c r="F1610" s="35">
        <f t="shared" si="1303"/>
        <v>3</v>
      </c>
      <c r="G1610" s="26">
        <v>1</v>
      </c>
      <c r="H1610" s="47">
        <v>2</v>
      </c>
      <c r="I1610" s="27"/>
      <c r="J1610" s="34"/>
      <c r="K1610" s="35">
        <f t="shared" si="1304"/>
        <v>3</v>
      </c>
      <c r="L1610" s="11">
        <f t="shared" si="1289"/>
        <v>6</v>
      </c>
      <c r="M1610" s="126">
        <v>45531</v>
      </c>
      <c r="N1610" s="12" t="s">
        <v>1321</v>
      </c>
      <c r="O1610" s="26"/>
      <c r="P1610" s="47"/>
      <c r="Q1610" s="27"/>
      <c r="R1610" s="34">
        <v>10</v>
      </c>
      <c r="S1610" s="35">
        <f t="shared" si="1301"/>
        <v>10</v>
      </c>
      <c r="T1610" s="26"/>
      <c r="U1610" s="47"/>
      <c r="V1610" s="27"/>
      <c r="W1610" s="34"/>
      <c r="X1610" s="35">
        <f t="shared" si="1302"/>
        <v>0</v>
      </c>
      <c r="Y1610" s="11">
        <f t="shared" si="1288"/>
        <v>10</v>
      </c>
      <c r="Z1610" s="99">
        <v>45527</v>
      </c>
      <c r="AA1610" s="58"/>
    </row>
    <row r="1611" spans="1:29" x14ac:dyDescent="0.15">
      <c r="A1611" s="32" t="s">
        <v>41</v>
      </c>
      <c r="B1611" s="26"/>
      <c r="C1611" s="47"/>
      <c r="D1611" s="27"/>
      <c r="E1611" s="34"/>
      <c r="F1611" s="35">
        <f t="shared" si="1303"/>
        <v>0</v>
      </c>
      <c r="G1611" s="26"/>
      <c r="H1611" s="47">
        <v>2</v>
      </c>
      <c r="I1611" s="27"/>
      <c r="J1611" s="34"/>
      <c r="K1611" s="35">
        <f t="shared" si="1304"/>
        <v>2</v>
      </c>
      <c r="L1611" s="11">
        <f t="shared" si="1289"/>
        <v>2</v>
      </c>
      <c r="M1611" s="126">
        <v>45532</v>
      </c>
      <c r="N1611" s="12" t="s">
        <v>1324</v>
      </c>
      <c r="O1611" s="26">
        <v>8</v>
      </c>
      <c r="P1611" s="47"/>
      <c r="Q1611" s="27">
        <v>8</v>
      </c>
      <c r="R1611" s="34">
        <v>6</v>
      </c>
      <c r="S1611" s="35">
        <f t="shared" ref="S1611:S1612" si="1305">SUM(O1611:R1611)</f>
        <v>22</v>
      </c>
      <c r="T1611" s="26">
        <v>4</v>
      </c>
      <c r="U1611" s="47"/>
      <c r="V1611" s="27"/>
      <c r="W1611" s="34">
        <v>2</v>
      </c>
      <c r="X1611" s="35">
        <f t="shared" ref="X1611:X1612" si="1306">SUM(T1611:W1611)</f>
        <v>6</v>
      </c>
      <c r="Y1611" s="11">
        <f t="shared" ref="Y1611:Y1632" si="1307">S1611+X1611</f>
        <v>28</v>
      </c>
      <c r="Z1611" s="99">
        <v>45524</v>
      </c>
      <c r="AA1611" s="58"/>
    </row>
    <row r="1612" spans="1:29" x14ac:dyDescent="0.15">
      <c r="A1612" s="79"/>
      <c r="B1612" s="26"/>
      <c r="C1612" s="47"/>
      <c r="D1612" s="27"/>
      <c r="E1612" s="34"/>
      <c r="F1612" s="35">
        <f t="shared" si="1303"/>
        <v>0</v>
      </c>
      <c r="G1612" s="26"/>
      <c r="H1612" s="47"/>
      <c r="I1612" s="27"/>
      <c r="J1612" s="34"/>
      <c r="K1612" s="35">
        <f t="shared" si="1304"/>
        <v>0</v>
      </c>
      <c r="L1612" s="11">
        <f t="shared" si="1289"/>
        <v>0</v>
      </c>
      <c r="N1612" s="32" t="s">
        <v>1325</v>
      </c>
      <c r="O1612" s="26"/>
      <c r="P1612" s="47">
        <v>6</v>
      </c>
      <c r="Q1612" s="27">
        <v>2</v>
      </c>
      <c r="R1612" s="34">
        <v>1</v>
      </c>
      <c r="S1612" s="35">
        <f t="shared" si="1305"/>
        <v>9</v>
      </c>
      <c r="T1612" s="26"/>
      <c r="U1612" s="47">
        <v>4</v>
      </c>
      <c r="V1612" s="27">
        <v>1</v>
      </c>
      <c r="W1612" s="34"/>
      <c r="X1612" s="35">
        <f t="shared" si="1306"/>
        <v>5</v>
      </c>
      <c r="Y1612" s="11">
        <f t="shared" si="1307"/>
        <v>14</v>
      </c>
      <c r="Z1612" s="99">
        <v>45525</v>
      </c>
    </row>
    <row r="1613" spans="1:29" x14ac:dyDescent="0.15">
      <c r="A1613" s="32"/>
      <c r="B1613" s="26"/>
      <c r="C1613" s="47"/>
      <c r="D1613" s="27"/>
      <c r="E1613" s="34"/>
      <c r="F1613" s="35">
        <f t="shared" si="1303"/>
        <v>0</v>
      </c>
      <c r="G1613" s="26"/>
      <c r="H1613" s="47"/>
      <c r="I1613" s="27"/>
      <c r="J1613" s="34"/>
      <c r="K1613" s="35">
        <f t="shared" si="1304"/>
        <v>0</v>
      </c>
      <c r="L1613" s="11">
        <f t="shared" si="1289"/>
        <v>0</v>
      </c>
      <c r="N1613" s="12" t="s">
        <v>34</v>
      </c>
      <c r="O1613" s="26"/>
      <c r="P1613" s="47">
        <v>3</v>
      </c>
      <c r="Q1613" s="27"/>
      <c r="R1613" s="50">
        <v>3</v>
      </c>
      <c r="S1613" s="9">
        <f>SUM(O1613:R1613)</f>
        <v>6</v>
      </c>
      <c r="T1613" s="47"/>
      <c r="U1613" s="47"/>
      <c r="V1613" s="27"/>
      <c r="W1613" s="50">
        <v>5</v>
      </c>
      <c r="X1613" s="9">
        <f>SUM(T1613:W1613)</f>
        <v>5</v>
      </c>
      <c r="Y1613" s="11">
        <f t="shared" si="1307"/>
        <v>11</v>
      </c>
      <c r="Z1613" s="99">
        <v>45525</v>
      </c>
    </row>
    <row r="1614" spans="1:29" x14ac:dyDescent="0.15">
      <c r="A1614" s="13"/>
      <c r="B1614" s="26"/>
      <c r="C1614" s="47"/>
      <c r="D1614" s="27"/>
      <c r="E1614" s="34"/>
      <c r="F1614" s="35">
        <f t="shared" si="1303"/>
        <v>0</v>
      </c>
      <c r="G1614" s="26"/>
      <c r="H1614" s="47"/>
      <c r="I1614" s="27"/>
      <c r="J1614" s="34"/>
      <c r="K1614" s="35">
        <f t="shared" si="1304"/>
        <v>0</v>
      </c>
      <c r="L1614" s="11">
        <f t="shared" si="1289"/>
        <v>0</v>
      </c>
      <c r="N1614" s="32" t="s">
        <v>1326</v>
      </c>
      <c r="O1614" s="26"/>
      <c r="P1614" s="47">
        <v>1</v>
      </c>
      <c r="Q1614" s="27">
        <v>1</v>
      </c>
      <c r="R1614" s="34"/>
      <c r="S1614" s="35">
        <f t="shared" ref="S1614:S1631" si="1308">SUM(O1614:R1614)</f>
        <v>2</v>
      </c>
      <c r="T1614" s="26">
        <v>1</v>
      </c>
      <c r="U1614" s="47">
        <v>1</v>
      </c>
      <c r="V1614" s="27">
        <v>2</v>
      </c>
      <c r="W1614" s="34"/>
      <c r="X1614" s="35">
        <f t="shared" ref="X1614:X1631" si="1309">SUM(T1614:W1614)</f>
        <v>4</v>
      </c>
      <c r="Y1614" s="11">
        <f t="shared" si="1307"/>
        <v>6</v>
      </c>
      <c r="Z1614" s="99">
        <v>45526</v>
      </c>
    </row>
    <row r="1615" spans="1:29" x14ac:dyDescent="0.15">
      <c r="A1615" s="32"/>
      <c r="B1615" s="26"/>
      <c r="C1615" s="47"/>
      <c r="D1615" s="27"/>
      <c r="E1615" s="34"/>
      <c r="F1615" s="35">
        <f t="shared" si="1303"/>
        <v>0</v>
      </c>
      <c r="G1615" s="26"/>
      <c r="H1615" s="47"/>
      <c r="I1615" s="27"/>
      <c r="J1615" s="34"/>
      <c r="K1615" s="35">
        <f t="shared" si="1304"/>
        <v>0</v>
      </c>
      <c r="L1615" s="11">
        <f t="shared" si="1289"/>
        <v>0</v>
      </c>
      <c r="N1615" s="32" t="s">
        <v>1329</v>
      </c>
      <c r="O1615" s="26"/>
      <c r="P1615" s="47"/>
      <c r="Q1615" s="27"/>
      <c r="R1615" s="34">
        <v>1</v>
      </c>
      <c r="S1615" s="35">
        <f t="shared" si="1308"/>
        <v>1</v>
      </c>
      <c r="T1615" s="26">
        <v>1</v>
      </c>
      <c r="U1615" s="47"/>
      <c r="V1615" s="27"/>
      <c r="W1615" s="34"/>
      <c r="X1615" s="35">
        <f t="shared" si="1309"/>
        <v>1</v>
      </c>
      <c r="Y1615" s="11">
        <f t="shared" si="1307"/>
        <v>2</v>
      </c>
      <c r="Z1615" s="99">
        <v>45527</v>
      </c>
    </row>
    <row r="1616" spans="1:29" x14ac:dyDescent="0.15">
      <c r="A1616" s="15"/>
      <c r="B1616" s="26"/>
      <c r="C1616" s="47"/>
      <c r="D1616" s="27"/>
      <c r="E1616" s="34"/>
      <c r="F1616" s="35">
        <f t="shared" si="1303"/>
        <v>0</v>
      </c>
      <c r="G1616" s="26"/>
      <c r="H1616" s="47"/>
      <c r="I1616" s="27"/>
      <c r="J1616" s="34"/>
      <c r="K1616" s="35">
        <f t="shared" si="1304"/>
        <v>0</v>
      </c>
      <c r="L1616" s="11">
        <f t="shared" si="1289"/>
        <v>0</v>
      </c>
      <c r="N1616" s="12" t="s">
        <v>1330</v>
      </c>
      <c r="O1616" s="26"/>
      <c r="P1616" s="47"/>
      <c r="Q1616" s="27"/>
      <c r="R1616" s="34"/>
      <c r="S1616" s="35">
        <f t="shared" si="1308"/>
        <v>0</v>
      </c>
      <c r="T1616" s="26"/>
      <c r="U1616" s="47">
        <v>5</v>
      </c>
      <c r="V1616" s="27"/>
      <c r="W1616" s="34"/>
      <c r="X1616" s="35">
        <f t="shared" si="1309"/>
        <v>5</v>
      </c>
      <c r="Y1616" s="11">
        <f t="shared" si="1307"/>
        <v>5</v>
      </c>
      <c r="Z1616" s="99">
        <v>45531</v>
      </c>
    </row>
    <row r="1617" spans="1:26" x14ac:dyDescent="0.15">
      <c r="A1617" s="13"/>
      <c r="B1617" s="26"/>
      <c r="C1617" s="47"/>
      <c r="D1617" s="27"/>
      <c r="E1617" s="34"/>
      <c r="F1617" s="35">
        <f t="shared" si="1303"/>
        <v>0</v>
      </c>
      <c r="G1617" s="26"/>
      <c r="H1617" s="47"/>
      <c r="I1617" s="27"/>
      <c r="J1617" s="34"/>
      <c r="K1617" s="35">
        <f t="shared" si="1304"/>
        <v>0</v>
      </c>
      <c r="L1617" s="11">
        <f t="shared" si="1289"/>
        <v>0</v>
      </c>
      <c r="N1617" s="32" t="s">
        <v>1331</v>
      </c>
      <c r="O1617" s="26">
        <v>1</v>
      </c>
      <c r="P1617" s="47">
        <v>1</v>
      </c>
      <c r="Q1617" s="27"/>
      <c r="R1617" s="34"/>
      <c r="S1617" s="35">
        <f t="shared" si="1308"/>
        <v>2</v>
      </c>
      <c r="T1617" s="26">
        <v>1</v>
      </c>
      <c r="U1617" s="47"/>
      <c r="V1617" s="27"/>
      <c r="W1617" s="34"/>
      <c r="X1617" s="35">
        <f t="shared" si="1309"/>
        <v>1</v>
      </c>
      <c r="Y1617" s="11">
        <f t="shared" si="1307"/>
        <v>3</v>
      </c>
      <c r="Z1617" s="99">
        <v>45527</v>
      </c>
    </row>
    <row r="1618" spans="1:26" x14ac:dyDescent="0.15">
      <c r="A1618" s="15"/>
      <c r="B1618" s="26"/>
      <c r="C1618" s="47"/>
      <c r="D1618" s="27"/>
      <c r="E1618" s="34"/>
      <c r="F1618" s="35">
        <f t="shared" si="1303"/>
        <v>0</v>
      </c>
      <c r="G1618" s="26"/>
      <c r="H1618" s="47"/>
      <c r="I1618" s="27"/>
      <c r="J1618" s="34"/>
      <c r="K1618" s="35">
        <f t="shared" si="1304"/>
        <v>0</v>
      </c>
      <c r="L1618" s="11">
        <f t="shared" si="1289"/>
        <v>0</v>
      </c>
      <c r="N1618" s="32" t="s">
        <v>1333</v>
      </c>
      <c r="O1618" s="26"/>
      <c r="P1618" s="47">
        <v>1</v>
      </c>
      <c r="Q1618" s="27"/>
      <c r="R1618" s="34"/>
      <c r="S1618" s="35">
        <f t="shared" si="1308"/>
        <v>1</v>
      </c>
      <c r="T1618" s="26"/>
      <c r="U1618" s="47"/>
      <c r="V1618" s="27"/>
      <c r="W1618" s="34"/>
      <c r="X1618" s="35">
        <f t="shared" si="1309"/>
        <v>0</v>
      </c>
      <c r="Y1618" s="11">
        <f t="shared" si="1307"/>
        <v>1</v>
      </c>
      <c r="Z1618" s="99">
        <v>45530</v>
      </c>
    </row>
    <row r="1619" spans="1:26" x14ac:dyDescent="0.15">
      <c r="A1619" s="13"/>
      <c r="B1619" s="26"/>
      <c r="C1619" s="47"/>
      <c r="D1619" s="27"/>
      <c r="E1619" s="34"/>
      <c r="F1619" s="35">
        <f t="shared" si="1303"/>
        <v>0</v>
      </c>
      <c r="G1619" s="26"/>
      <c r="H1619" s="47"/>
      <c r="I1619" s="27"/>
      <c r="J1619" s="34"/>
      <c r="K1619" s="35">
        <f t="shared" si="1304"/>
        <v>0</v>
      </c>
      <c r="L1619" s="11">
        <f t="shared" si="1289"/>
        <v>0</v>
      </c>
      <c r="N1619" s="32" t="s">
        <v>1334</v>
      </c>
      <c r="O1619" s="26">
        <v>1</v>
      </c>
      <c r="P1619" s="47">
        <v>4</v>
      </c>
      <c r="Q1619" s="27"/>
      <c r="R1619" s="34"/>
      <c r="S1619" s="35">
        <f t="shared" si="1308"/>
        <v>5</v>
      </c>
      <c r="T1619" s="26"/>
      <c r="U1619" s="47"/>
      <c r="V1619" s="27"/>
      <c r="W1619" s="34"/>
      <c r="X1619" s="35">
        <f t="shared" si="1309"/>
        <v>0</v>
      </c>
      <c r="Y1619" s="11">
        <f t="shared" si="1307"/>
        <v>5</v>
      </c>
      <c r="Z1619" s="99">
        <v>45532</v>
      </c>
    </row>
    <row r="1620" spans="1:26" x14ac:dyDescent="0.15">
      <c r="A1620" s="15"/>
      <c r="B1620" s="26"/>
      <c r="C1620" s="47"/>
      <c r="D1620" s="27"/>
      <c r="E1620" s="34"/>
      <c r="F1620" s="35">
        <f t="shared" si="1303"/>
        <v>0</v>
      </c>
      <c r="G1620" s="26"/>
      <c r="H1620" s="47"/>
      <c r="I1620" s="27"/>
      <c r="J1620" s="34"/>
      <c r="K1620" s="35">
        <f t="shared" si="1304"/>
        <v>0</v>
      </c>
      <c r="L1620" s="11">
        <f t="shared" si="1289"/>
        <v>0</v>
      </c>
      <c r="N1620" s="32" t="s">
        <v>1335</v>
      </c>
      <c r="O1620" s="26"/>
      <c r="P1620" s="47"/>
      <c r="Q1620" s="27"/>
      <c r="R1620" s="34"/>
      <c r="S1620" s="35">
        <f t="shared" si="1308"/>
        <v>0</v>
      </c>
      <c r="T1620" s="26"/>
      <c r="U1620" s="47"/>
      <c r="V1620" s="27">
        <v>2</v>
      </c>
      <c r="W1620" s="34"/>
      <c r="X1620" s="35">
        <f t="shared" si="1309"/>
        <v>2</v>
      </c>
      <c r="Y1620" s="11">
        <f t="shared" si="1307"/>
        <v>2</v>
      </c>
      <c r="Z1620" s="99">
        <v>45534</v>
      </c>
    </row>
    <row r="1621" spans="1:26" x14ac:dyDescent="0.15">
      <c r="A1621" s="13"/>
      <c r="B1621" s="26"/>
      <c r="C1621" s="47"/>
      <c r="D1621" s="27"/>
      <c r="E1621" s="34"/>
      <c r="F1621" s="35">
        <f t="shared" si="1303"/>
        <v>0</v>
      </c>
      <c r="G1621" s="26"/>
      <c r="H1621" s="47"/>
      <c r="I1621" s="27"/>
      <c r="J1621" s="34"/>
      <c r="K1621" s="35">
        <f t="shared" si="1304"/>
        <v>0</v>
      </c>
      <c r="L1621" s="11">
        <f t="shared" si="1289"/>
        <v>0</v>
      </c>
      <c r="N1621" s="32" t="s">
        <v>1336</v>
      </c>
      <c r="O1621" s="26"/>
      <c r="P1621" s="47"/>
      <c r="Q1621" s="27"/>
      <c r="R1621" s="34"/>
      <c r="S1621" s="35">
        <f t="shared" si="1308"/>
        <v>0</v>
      </c>
      <c r="T1621" s="26"/>
      <c r="U1621" s="47"/>
      <c r="V1621" s="27"/>
      <c r="W1621" s="34">
        <v>1</v>
      </c>
      <c r="X1621" s="35">
        <f t="shared" si="1309"/>
        <v>1</v>
      </c>
      <c r="Y1621" s="11">
        <f t="shared" si="1307"/>
        <v>1</v>
      </c>
      <c r="Z1621" s="99">
        <v>45534</v>
      </c>
    </row>
    <row r="1622" spans="1:26" x14ac:dyDescent="0.15">
      <c r="A1622" s="15"/>
      <c r="B1622" s="26"/>
      <c r="C1622" s="47"/>
      <c r="D1622" s="27"/>
      <c r="E1622" s="34"/>
      <c r="F1622" s="35">
        <f t="shared" si="1303"/>
        <v>0</v>
      </c>
      <c r="G1622" s="26"/>
      <c r="H1622" s="47"/>
      <c r="I1622" s="27"/>
      <c r="J1622" s="34"/>
      <c r="K1622" s="35">
        <f t="shared" si="1304"/>
        <v>0</v>
      </c>
      <c r="L1622" s="11">
        <f t="shared" si="1289"/>
        <v>0</v>
      </c>
      <c r="N1622" s="12" t="s">
        <v>1337</v>
      </c>
      <c r="O1622" s="26"/>
      <c r="P1622" s="47"/>
      <c r="Q1622" s="27"/>
      <c r="R1622" s="34"/>
      <c r="S1622" s="35">
        <f t="shared" si="1308"/>
        <v>0</v>
      </c>
      <c r="T1622" s="26"/>
      <c r="U1622" s="47">
        <v>4</v>
      </c>
      <c r="V1622" s="27"/>
      <c r="W1622" s="34">
        <v>2</v>
      </c>
      <c r="X1622" s="35">
        <f t="shared" si="1309"/>
        <v>6</v>
      </c>
      <c r="Y1622" s="11">
        <f t="shared" si="1307"/>
        <v>6</v>
      </c>
      <c r="Z1622" s="99">
        <v>45534</v>
      </c>
    </row>
    <row r="1623" spans="1:26" x14ac:dyDescent="0.15">
      <c r="A1623" s="15"/>
      <c r="B1623" s="26"/>
      <c r="C1623" s="47"/>
      <c r="D1623" s="27"/>
      <c r="E1623" s="34"/>
      <c r="F1623" s="35">
        <f t="shared" si="1303"/>
        <v>0</v>
      </c>
      <c r="G1623" s="26"/>
      <c r="H1623" s="47"/>
      <c r="I1623" s="27"/>
      <c r="J1623" s="34"/>
      <c r="K1623" s="35">
        <f t="shared" si="1304"/>
        <v>0</v>
      </c>
      <c r="L1623" s="11">
        <f t="shared" si="1289"/>
        <v>0</v>
      </c>
      <c r="N1623" s="32" t="s">
        <v>1339</v>
      </c>
      <c r="O1623" s="26"/>
      <c r="P1623" s="47">
        <v>2</v>
      </c>
      <c r="Q1623" s="27"/>
      <c r="R1623" s="34">
        <v>1</v>
      </c>
      <c r="S1623" s="35">
        <f t="shared" ref="S1623" si="1310">SUM(O1623:R1623)</f>
        <v>3</v>
      </c>
      <c r="T1623" s="26"/>
      <c r="U1623" s="47">
        <v>2</v>
      </c>
      <c r="V1623" s="27"/>
      <c r="W1623" s="34"/>
      <c r="X1623" s="35">
        <f t="shared" ref="X1623" si="1311">SUM(T1623:W1623)</f>
        <v>2</v>
      </c>
      <c r="Y1623" s="11">
        <f t="shared" ref="Y1623" si="1312">S1623+X1623</f>
        <v>5</v>
      </c>
      <c r="Z1623" s="99">
        <v>45537</v>
      </c>
    </row>
    <row r="1624" spans="1:26" x14ac:dyDescent="0.15">
      <c r="A1624" s="13"/>
      <c r="B1624" s="26"/>
      <c r="C1624" s="47"/>
      <c r="D1624" s="27"/>
      <c r="E1624" s="34"/>
      <c r="F1624" s="35">
        <f t="shared" si="1303"/>
        <v>0</v>
      </c>
      <c r="G1624" s="26"/>
      <c r="H1624" s="47"/>
      <c r="I1624" s="27"/>
      <c r="J1624" s="34"/>
      <c r="K1624" s="35">
        <f t="shared" si="1304"/>
        <v>0</v>
      </c>
      <c r="L1624" s="11">
        <f t="shared" si="1289"/>
        <v>0</v>
      </c>
      <c r="N1624" s="57"/>
      <c r="O1624" s="26"/>
      <c r="P1624" s="47"/>
      <c r="Q1624" s="27"/>
      <c r="R1624" s="34"/>
      <c r="S1624" s="35">
        <f t="shared" si="1308"/>
        <v>0</v>
      </c>
      <c r="T1624" s="26"/>
      <c r="U1624" s="47"/>
      <c r="V1624" s="27"/>
      <c r="W1624" s="34"/>
      <c r="X1624" s="35">
        <f t="shared" si="1309"/>
        <v>0</v>
      </c>
      <c r="Y1624" s="11">
        <f t="shared" si="1307"/>
        <v>0</v>
      </c>
      <c r="Z1624" s="101"/>
    </row>
    <row r="1625" spans="1:26" x14ac:dyDescent="0.15">
      <c r="A1625" s="32"/>
      <c r="B1625" s="26"/>
      <c r="C1625" s="47"/>
      <c r="D1625" s="27"/>
      <c r="E1625" s="34"/>
      <c r="F1625" s="35">
        <f t="shared" si="1303"/>
        <v>0</v>
      </c>
      <c r="G1625" s="26"/>
      <c r="H1625" s="47"/>
      <c r="I1625" s="27"/>
      <c r="J1625" s="34"/>
      <c r="K1625" s="35">
        <f t="shared" si="1304"/>
        <v>0</v>
      </c>
      <c r="L1625" s="11">
        <f t="shared" si="1289"/>
        <v>0</v>
      </c>
      <c r="N1625" s="57"/>
      <c r="O1625" s="26"/>
      <c r="P1625" s="47"/>
      <c r="Q1625" s="27"/>
      <c r="R1625" s="34"/>
      <c r="S1625" s="35">
        <f t="shared" si="1308"/>
        <v>0</v>
      </c>
      <c r="T1625" s="26"/>
      <c r="U1625" s="47"/>
      <c r="V1625" s="27"/>
      <c r="W1625" s="34"/>
      <c r="X1625" s="35">
        <f t="shared" si="1309"/>
        <v>0</v>
      </c>
      <c r="Y1625" s="11">
        <f t="shared" si="1307"/>
        <v>0</v>
      </c>
    </row>
    <row r="1626" spans="1:26" x14ac:dyDescent="0.15">
      <c r="A1626" s="32"/>
      <c r="B1626" s="26"/>
      <c r="C1626" s="47"/>
      <c r="D1626" s="27"/>
      <c r="E1626" s="34"/>
      <c r="F1626" s="35">
        <f t="shared" si="1303"/>
        <v>0</v>
      </c>
      <c r="G1626" s="26"/>
      <c r="H1626" s="47"/>
      <c r="I1626" s="27"/>
      <c r="J1626" s="34"/>
      <c r="K1626" s="35">
        <f t="shared" si="1304"/>
        <v>0</v>
      </c>
      <c r="L1626" s="11">
        <f t="shared" si="1289"/>
        <v>0</v>
      </c>
      <c r="N1626" s="57"/>
      <c r="O1626" s="26"/>
      <c r="P1626" s="47"/>
      <c r="Q1626" s="27"/>
      <c r="R1626" s="34"/>
      <c r="S1626" s="35">
        <f t="shared" si="1308"/>
        <v>0</v>
      </c>
      <c r="T1626" s="26"/>
      <c r="U1626" s="47"/>
      <c r="V1626" s="27"/>
      <c r="W1626" s="34"/>
      <c r="X1626" s="35">
        <f t="shared" si="1309"/>
        <v>0</v>
      </c>
      <c r="Y1626" s="11">
        <f t="shared" si="1307"/>
        <v>0</v>
      </c>
    </row>
    <row r="1627" spans="1:26" x14ac:dyDescent="0.15">
      <c r="A1627" s="12"/>
      <c r="B1627" s="26"/>
      <c r="C1627" s="47"/>
      <c r="D1627" s="27"/>
      <c r="E1627" s="34"/>
      <c r="F1627" s="35">
        <f t="shared" si="1303"/>
        <v>0</v>
      </c>
      <c r="G1627" s="26"/>
      <c r="H1627" s="47"/>
      <c r="I1627" s="27"/>
      <c r="J1627" s="34"/>
      <c r="K1627" s="35">
        <f t="shared" si="1304"/>
        <v>0</v>
      </c>
      <c r="L1627" s="11">
        <f t="shared" si="1289"/>
        <v>0</v>
      </c>
      <c r="N1627" s="57"/>
      <c r="O1627" s="26"/>
      <c r="P1627" s="47"/>
      <c r="Q1627" s="27"/>
      <c r="R1627" s="34"/>
      <c r="S1627" s="35">
        <f t="shared" ref="S1627:S1629" si="1313">SUM(O1627:R1627)</f>
        <v>0</v>
      </c>
      <c r="T1627" s="26"/>
      <c r="U1627" s="47"/>
      <c r="V1627" s="27"/>
      <c r="W1627" s="34"/>
      <c r="X1627" s="35">
        <f t="shared" ref="X1627:X1629" si="1314">SUM(T1627:W1627)</f>
        <v>0</v>
      </c>
      <c r="Y1627" s="11">
        <f t="shared" ref="Y1627:Y1629" si="1315">S1627+X1627</f>
        <v>0</v>
      </c>
    </row>
    <row r="1628" spans="1:26" x14ac:dyDescent="0.15">
      <c r="A1628" s="79"/>
      <c r="B1628" s="26"/>
      <c r="C1628" s="47"/>
      <c r="D1628" s="27"/>
      <c r="E1628" s="34"/>
      <c r="F1628" s="35">
        <f t="shared" si="1303"/>
        <v>0</v>
      </c>
      <c r="G1628" s="26"/>
      <c r="H1628" s="47"/>
      <c r="I1628" s="27"/>
      <c r="J1628" s="34"/>
      <c r="K1628" s="35">
        <f t="shared" si="1304"/>
        <v>0</v>
      </c>
      <c r="L1628" s="11">
        <f t="shared" si="1289"/>
        <v>0</v>
      </c>
      <c r="N1628" s="57"/>
      <c r="O1628" s="26"/>
      <c r="P1628" s="47"/>
      <c r="Q1628" s="27"/>
      <c r="R1628" s="34"/>
      <c r="S1628" s="35">
        <f t="shared" si="1313"/>
        <v>0</v>
      </c>
      <c r="T1628" s="26"/>
      <c r="U1628" s="47"/>
      <c r="V1628" s="27"/>
      <c r="W1628" s="34"/>
      <c r="X1628" s="35">
        <f t="shared" si="1314"/>
        <v>0</v>
      </c>
      <c r="Y1628" s="11">
        <f t="shared" si="1315"/>
        <v>0</v>
      </c>
    </row>
    <row r="1629" spans="1:26" x14ac:dyDescent="0.15">
      <c r="A1629" s="57"/>
      <c r="B1629" s="26"/>
      <c r="C1629" s="47"/>
      <c r="D1629" s="27"/>
      <c r="E1629" s="34"/>
      <c r="F1629" s="35">
        <f t="shared" si="1303"/>
        <v>0</v>
      </c>
      <c r="G1629" s="26"/>
      <c r="H1629" s="47"/>
      <c r="I1629" s="27"/>
      <c r="J1629" s="34"/>
      <c r="K1629" s="35">
        <f t="shared" si="1304"/>
        <v>0</v>
      </c>
      <c r="L1629" s="11">
        <f t="shared" si="1289"/>
        <v>0</v>
      </c>
      <c r="N1629" s="12" t="s">
        <v>1288</v>
      </c>
      <c r="O1629" s="26"/>
      <c r="P1629" s="47"/>
      <c r="Q1629" s="27"/>
      <c r="R1629" s="34"/>
      <c r="S1629" s="35">
        <f t="shared" si="1313"/>
        <v>0</v>
      </c>
      <c r="T1629" s="26"/>
      <c r="U1629" s="47"/>
      <c r="V1629" s="27"/>
      <c r="W1629" s="34"/>
      <c r="X1629" s="35">
        <f t="shared" si="1314"/>
        <v>0</v>
      </c>
      <c r="Y1629" s="108">
        <f t="shared" si="1315"/>
        <v>0</v>
      </c>
      <c r="Z1629" s="101" t="s">
        <v>1245</v>
      </c>
    </row>
    <row r="1630" spans="1:26" ht="14.25" thickBot="1" x14ac:dyDescent="0.2">
      <c r="A1630" s="90"/>
      <c r="B1630" s="62"/>
      <c r="C1630" s="63"/>
      <c r="D1630" s="64"/>
      <c r="E1630" s="65"/>
      <c r="F1630" s="35">
        <f t="shared" si="1303"/>
        <v>0</v>
      </c>
      <c r="G1630" s="62"/>
      <c r="H1630" s="63"/>
      <c r="I1630" s="64"/>
      <c r="J1630" s="65"/>
      <c r="K1630" s="35">
        <f t="shared" si="1304"/>
        <v>0</v>
      </c>
      <c r="L1630" s="14">
        <f t="shared" si="1289"/>
        <v>0</v>
      </c>
      <c r="N1630" s="220" t="s">
        <v>709</v>
      </c>
      <c r="O1630" s="109"/>
      <c r="P1630" s="110"/>
      <c r="Q1630" s="111"/>
      <c r="R1630" s="112"/>
      <c r="S1630" s="134">
        <f t="shared" ref="S1630" si="1316">SUM(O1630:R1630)</f>
        <v>0</v>
      </c>
      <c r="T1630" s="109"/>
      <c r="U1630" s="110"/>
      <c r="V1630" s="111"/>
      <c r="W1630" s="112"/>
      <c r="X1630" s="134">
        <f t="shared" ref="X1630" si="1317">SUM(T1630:W1630)</f>
        <v>0</v>
      </c>
      <c r="Y1630" s="119">
        <f t="shared" ref="Y1630" si="1318">S1630+X1630</f>
        <v>0</v>
      </c>
      <c r="Z1630" s="101" t="s">
        <v>710</v>
      </c>
    </row>
    <row r="1631" spans="1:26" ht="14.25" thickBot="1" x14ac:dyDescent="0.2">
      <c r="A1631" s="17" t="s">
        <v>10</v>
      </c>
      <c r="B1631" s="38">
        <f>SUM(B1606:B1630)</f>
        <v>1</v>
      </c>
      <c r="C1631" s="48">
        <f>SUM(C1606:C1630)</f>
        <v>5</v>
      </c>
      <c r="D1631" s="39">
        <f>SUM(D1606:D1630)</f>
        <v>1</v>
      </c>
      <c r="E1631" s="40">
        <f>SUM(E1606:E1630)</f>
        <v>0</v>
      </c>
      <c r="F1631" s="36">
        <f>SUM(B1631:E1631)</f>
        <v>7</v>
      </c>
      <c r="G1631" s="38">
        <f>SUM(G1606:G1630)</f>
        <v>2</v>
      </c>
      <c r="H1631" s="48">
        <f>SUM(H1606:H1630)</f>
        <v>4</v>
      </c>
      <c r="I1631" s="39">
        <f>SUM(I1606:I1630)</f>
        <v>1</v>
      </c>
      <c r="J1631" s="40">
        <f>SUM(J1606:J1630)</f>
        <v>3</v>
      </c>
      <c r="K1631" s="36">
        <f>SUM(G1631:J1631)</f>
        <v>10</v>
      </c>
      <c r="L1631" s="37">
        <f t="shared" si="1289"/>
        <v>17</v>
      </c>
      <c r="N1631" s="133" t="s">
        <v>10</v>
      </c>
      <c r="O1631" s="38">
        <f>SUM(O1606:O1630)</f>
        <v>11</v>
      </c>
      <c r="P1631" s="48">
        <f>SUM(P1606:P1630)</f>
        <v>27</v>
      </c>
      <c r="Q1631" s="39">
        <f>SUM(Q1606:Q1630)</f>
        <v>17</v>
      </c>
      <c r="R1631" s="40">
        <f>SUM(R1606:R1630)</f>
        <v>24</v>
      </c>
      <c r="S1631" s="118">
        <f t="shared" si="1308"/>
        <v>79</v>
      </c>
      <c r="T1631" s="38">
        <f>SUM(T1606:T1630)</f>
        <v>10</v>
      </c>
      <c r="U1631" s="48">
        <f>SUM(U1606:U1630)</f>
        <v>19</v>
      </c>
      <c r="V1631" s="39">
        <f>SUM(V1606:V1630)</f>
        <v>10</v>
      </c>
      <c r="W1631" s="40">
        <f>SUM(W1606:W1630)</f>
        <v>11</v>
      </c>
      <c r="X1631" s="118">
        <f t="shared" si="1309"/>
        <v>50</v>
      </c>
      <c r="Y1631" s="119">
        <f t="shared" si="1307"/>
        <v>129</v>
      </c>
    </row>
    <row r="1632" spans="1:26" ht="14.25" thickBot="1" x14ac:dyDescent="0.2">
      <c r="A1632" s="22" t="s">
        <v>11</v>
      </c>
      <c r="B1632" s="41">
        <f>B1605-B1631</f>
        <v>5</v>
      </c>
      <c r="C1632" s="49">
        <f>C1605-C1631</f>
        <v>5</v>
      </c>
      <c r="D1632" s="42">
        <f t="shared" ref="D1632:K1632" si="1319">D1605-D1631</f>
        <v>6</v>
      </c>
      <c r="E1632" s="43">
        <f t="shared" si="1319"/>
        <v>5</v>
      </c>
      <c r="F1632" s="61">
        <f t="shared" si="1319"/>
        <v>17</v>
      </c>
      <c r="G1632" s="41">
        <f t="shared" si="1319"/>
        <v>6</v>
      </c>
      <c r="H1632" s="49">
        <f t="shared" si="1319"/>
        <v>3</v>
      </c>
      <c r="I1632" s="42">
        <f t="shared" si="1319"/>
        <v>7</v>
      </c>
      <c r="J1632" s="43">
        <f t="shared" si="1319"/>
        <v>7</v>
      </c>
      <c r="K1632" s="61">
        <f t="shared" si="1319"/>
        <v>23</v>
      </c>
      <c r="L1632" s="21">
        <f t="shared" si="1289"/>
        <v>40</v>
      </c>
      <c r="N1632" s="17" t="s">
        <v>11</v>
      </c>
      <c r="O1632" s="41">
        <f>O1605-O1631</f>
        <v>248</v>
      </c>
      <c r="P1632" s="49">
        <f t="shared" ref="P1632:Q1632" si="1320">P1605-P1631</f>
        <v>205</v>
      </c>
      <c r="Q1632" s="42">
        <f t="shared" si="1320"/>
        <v>147</v>
      </c>
      <c r="R1632" s="43">
        <f>R1605-R1631</f>
        <v>60</v>
      </c>
      <c r="S1632" s="61">
        <f t="shared" ref="S1632:X1632" si="1321">S1605-S1631</f>
        <v>660</v>
      </c>
      <c r="T1632" s="41">
        <f t="shared" si="1321"/>
        <v>581</v>
      </c>
      <c r="U1632" s="49">
        <f t="shared" si="1321"/>
        <v>643</v>
      </c>
      <c r="V1632" s="42">
        <f t="shared" si="1321"/>
        <v>430</v>
      </c>
      <c r="W1632" s="43">
        <f t="shared" si="1321"/>
        <v>275</v>
      </c>
      <c r="X1632" s="61">
        <f t="shared" si="1321"/>
        <v>1929</v>
      </c>
      <c r="Y1632" s="21">
        <f t="shared" si="1307"/>
        <v>2589</v>
      </c>
    </row>
    <row r="1635" spans="1:27" ht="19.5" thickBot="1" x14ac:dyDescent="0.25">
      <c r="A1635" s="2" t="s">
        <v>106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1036</v>
      </c>
      <c r="O1635" s="270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7" ht="14.25" thickBot="1" x14ac:dyDescent="0.2">
      <c r="A1636" s="5" t="s">
        <v>0</v>
      </c>
      <c r="B1636" s="342" t="s">
        <v>18</v>
      </c>
      <c r="C1636" s="350"/>
      <c r="D1636" s="350"/>
      <c r="E1636" s="350"/>
      <c r="F1636" s="351"/>
      <c r="G1636" s="345" t="s">
        <v>12</v>
      </c>
      <c r="H1636" s="352"/>
      <c r="I1636" s="352"/>
      <c r="J1636" s="352"/>
      <c r="K1636" s="353"/>
      <c r="L1636" s="354" t="s">
        <v>1</v>
      </c>
      <c r="N1636" s="5" t="s">
        <v>0</v>
      </c>
      <c r="O1636" s="342" t="s">
        <v>18</v>
      </c>
      <c r="P1636" s="343"/>
      <c r="Q1636" s="343"/>
      <c r="R1636" s="343"/>
      <c r="S1636" s="344"/>
      <c r="T1636" s="345" t="s">
        <v>12</v>
      </c>
      <c r="U1636" s="346"/>
      <c r="V1636" s="346"/>
      <c r="W1636" s="346"/>
      <c r="X1636" s="347"/>
      <c r="Y1636" s="348" t="s">
        <v>1</v>
      </c>
    </row>
    <row r="1637" spans="1:27" ht="14.25" thickBot="1" x14ac:dyDescent="0.2">
      <c r="A1637" s="5" t="s">
        <v>2</v>
      </c>
      <c r="B1637" s="3" t="s">
        <v>13</v>
      </c>
      <c r="C1637" s="44" t="s">
        <v>14</v>
      </c>
      <c r="D1637" s="4" t="s">
        <v>15</v>
      </c>
      <c r="E1637" s="23" t="s">
        <v>16</v>
      </c>
      <c r="F1637" s="31" t="s">
        <v>3</v>
      </c>
      <c r="G1637" s="3" t="s">
        <v>13</v>
      </c>
      <c r="H1637" s="44" t="s">
        <v>14</v>
      </c>
      <c r="I1637" s="4" t="s">
        <v>15</v>
      </c>
      <c r="J1637" s="23" t="s">
        <v>16</v>
      </c>
      <c r="K1637" s="31" t="s">
        <v>3</v>
      </c>
      <c r="L1637" s="355"/>
      <c r="N1637" s="5" t="s">
        <v>2</v>
      </c>
      <c r="O1637" s="3" t="s">
        <v>13</v>
      </c>
      <c r="P1637" s="44" t="s">
        <v>14</v>
      </c>
      <c r="Q1637" s="4" t="s">
        <v>15</v>
      </c>
      <c r="R1637" s="23" t="s">
        <v>16</v>
      </c>
      <c r="S1637" s="31" t="s">
        <v>3</v>
      </c>
      <c r="T1637" s="3" t="s">
        <v>13</v>
      </c>
      <c r="U1637" s="44" t="s">
        <v>14</v>
      </c>
      <c r="V1637" s="4" t="s">
        <v>15</v>
      </c>
      <c r="W1637" s="23" t="s">
        <v>16</v>
      </c>
      <c r="X1637" s="31" t="s">
        <v>3</v>
      </c>
      <c r="Y1637" s="349"/>
    </row>
    <row r="1638" spans="1:27" x14ac:dyDescent="0.15">
      <c r="A1638" s="71" t="s">
        <v>17</v>
      </c>
      <c r="B1638" s="72">
        <f>B1632</f>
        <v>5</v>
      </c>
      <c r="C1638" s="73">
        <f t="shared" ref="C1638:L1638" si="1322">C1632</f>
        <v>5</v>
      </c>
      <c r="D1638" s="73">
        <f t="shared" si="1322"/>
        <v>6</v>
      </c>
      <c r="E1638" s="74">
        <f t="shared" si="1322"/>
        <v>5</v>
      </c>
      <c r="F1638" s="76">
        <f t="shared" si="1322"/>
        <v>17</v>
      </c>
      <c r="G1638" s="72">
        <f t="shared" si="1322"/>
        <v>6</v>
      </c>
      <c r="H1638" s="73">
        <f t="shared" si="1322"/>
        <v>3</v>
      </c>
      <c r="I1638" s="73">
        <f t="shared" si="1322"/>
        <v>7</v>
      </c>
      <c r="J1638" s="74">
        <f t="shared" si="1322"/>
        <v>7</v>
      </c>
      <c r="K1638" s="75">
        <f t="shared" si="1322"/>
        <v>23</v>
      </c>
      <c r="L1638" s="16">
        <f t="shared" si="1322"/>
        <v>40</v>
      </c>
      <c r="N1638" s="71" t="s">
        <v>17</v>
      </c>
      <c r="O1638" s="72">
        <f>O1632</f>
        <v>248</v>
      </c>
      <c r="P1638" s="73">
        <f t="shared" ref="P1638:Y1638" si="1323">P1632</f>
        <v>205</v>
      </c>
      <c r="Q1638" s="73">
        <f t="shared" si="1323"/>
        <v>147</v>
      </c>
      <c r="R1638" s="74">
        <f t="shared" si="1323"/>
        <v>60</v>
      </c>
      <c r="S1638" s="76">
        <f t="shared" si="1323"/>
        <v>660</v>
      </c>
      <c r="T1638" s="72">
        <f t="shared" si="1323"/>
        <v>581</v>
      </c>
      <c r="U1638" s="73">
        <f t="shared" si="1323"/>
        <v>643</v>
      </c>
      <c r="V1638" s="73">
        <f t="shared" si="1323"/>
        <v>430</v>
      </c>
      <c r="W1638" s="74">
        <f t="shared" si="1323"/>
        <v>275</v>
      </c>
      <c r="X1638" s="75">
        <f t="shared" si="1323"/>
        <v>1929</v>
      </c>
      <c r="Y1638" s="16">
        <f t="shared" si="1323"/>
        <v>2589</v>
      </c>
    </row>
    <row r="1639" spans="1:27" x14ac:dyDescent="0.15">
      <c r="A1639" s="13" t="s">
        <v>191</v>
      </c>
      <c r="B1639" s="26"/>
      <c r="C1639" s="47"/>
      <c r="D1639" s="27">
        <v>6</v>
      </c>
      <c r="E1639" s="50">
        <v>4</v>
      </c>
      <c r="F1639" s="9">
        <f>SUM(B1639:E1639)</f>
        <v>10</v>
      </c>
      <c r="G1639" s="47">
        <v>1</v>
      </c>
      <c r="H1639" s="47">
        <v>1</v>
      </c>
      <c r="I1639" s="27">
        <v>1</v>
      </c>
      <c r="J1639" s="50">
        <v>1</v>
      </c>
      <c r="K1639" s="9">
        <f>SUM(G1639:J1639)</f>
        <v>4</v>
      </c>
      <c r="L1639" s="11">
        <f t="shared" ref="L1639:L1670" si="1324">F1639+K1639</f>
        <v>14</v>
      </c>
      <c r="M1639" s="126">
        <v>45539</v>
      </c>
      <c r="N1639" s="13" t="s">
        <v>305</v>
      </c>
      <c r="O1639" s="26"/>
      <c r="P1639" s="47"/>
      <c r="Q1639" s="27">
        <v>6</v>
      </c>
      <c r="R1639" s="34">
        <v>4</v>
      </c>
      <c r="S1639" s="77">
        <f t="shared" ref="S1639" si="1325">SUM(O1639:R1639)</f>
        <v>10</v>
      </c>
      <c r="T1639" s="26"/>
      <c r="U1639" s="47"/>
      <c r="V1639" s="27"/>
      <c r="W1639" s="34"/>
      <c r="X1639" s="9">
        <f t="shared" ref="X1639" si="1326">SUM(T1639:W1639)</f>
        <v>0</v>
      </c>
      <c r="Y1639" s="11">
        <f t="shared" ref="Y1639:Y1670" si="1327">S1639+X1639</f>
        <v>10</v>
      </c>
      <c r="Z1639" s="126">
        <v>45542</v>
      </c>
    </row>
    <row r="1640" spans="1:27" x14ac:dyDescent="0.15">
      <c r="A1640" s="13" t="s">
        <v>6</v>
      </c>
      <c r="B1640" s="26"/>
      <c r="C1640" s="47">
        <v>3</v>
      </c>
      <c r="D1640" s="27"/>
      <c r="E1640" s="50"/>
      <c r="F1640" s="9">
        <f>SUM(B1640:E1640)</f>
        <v>3</v>
      </c>
      <c r="G1640" s="47"/>
      <c r="H1640" s="47">
        <v>3</v>
      </c>
      <c r="I1640" s="27"/>
      <c r="J1640" s="50"/>
      <c r="K1640" s="9">
        <f>SUM(G1640:J1640)</f>
        <v>3</v>
      </c>
      <c r="L1640" s="11">
        <f t="shared" si="1324"/>
        <v>6</v>
      </c>
      <c r="M1640" s="99">
        <v>45547</v>
      </c>
      <c r="N1640" s="13" t="s">
        <v>6</v>
      </c>
      <c r="O1640" s="26">
        <v>550</v>
      </c>
      <c r="P1640" s="47">
        <v>750</v>
      </c>
      <c r="Q1640" s="27">
        <v>350</v>
      </c>
      <c r="R1640" s="34">
        <v>350</v>
      </c>
      <c r="S1640" s="77">
        <f>SUM(O1640:R1640)</f>
        <v>2000</v>
      </c>
      <c r="T1640" s="26">
        <v>250</v>
      </c>
      <c r="U1640" s="47">
        <v>350</v>
      </c>
      <c r="V1640" s="27">
        <v>200</v>
      </c>
      <c r="W1640" s="34">
        <v>250</v>
      </c>
      <c r="X1640" s="9">
        <f>SUM(T1640:W1640)</f>
        <v>1050</v>
      </c>
      <c r="Y1640" s="11">
        <f t="shared" si="1327"/>
        <v>3050</v>
      </c>
      <c r="Z1640" s="99" t="s">
        <v>1373</v>
      </c>
      <c r="AA1640" s="58"/>
    </row>
    <row r="1641" spans="1:27" x14ac:dyDescent="0.15">
      <c r="A1641" s="13" t="s">
        <v>49</v>
      </c>
      <c r="B1641" s="26"/>
      <c r="C1641" s="47"/>
      <c r="D1641" s="27"/>
      <c r="E1641" s="50">
        <v>1</v>
      </c>
      <c r="F1641" s="9">
        <f>SUM(B1641:E1641)</f>
        <v>1</v>
      </c>
      <c r="G1641" s="47"/>
      <c r="H1641" s="47">
        <v>1</v>
      </c>
      <c r="I1641" s="27"/>
      <c r="J1641" s="50"/>
      <c r="K1641" s="9">
        <f>SUM(G1641:J1641)</f>
        <v>1</v>
      </c>
      <c r="L1641" s="11">
        <f t="shared" si="1324"/>
        <v>2</v>
      </c>
      <c r="M1641" s="99">
        <v>45547</v>
      </c>
      <c r="N1641" s="13" t="s">
        <v>7</v>
      </c>
      <c r="O1641" s="26"/>
      <c r="P1641" s="47"/>
      <c r="Q1641" s="27"/>
      <c r="R1641" s="34"/>
      <c r="S1641" s="77">
        <f t="shared" ref="S1641:S1642" si="1328">SUM(O1641:R1641)</f>
        <v>0</v>
      </c>
      <c r="T1641" s="26"/>
      <c r="U1641" s="47"/>
      <c r="V1641" s="27"/>
      <c r="W1641" s="34"/>
      <c r="X1641" s="9">
        <f t="shared" ref="X1641:X1642" si="1329">SUM(T1641:W1641)</f>
        <v>0</v>
      </c>
      <c r="Y1641" s="11">
        <f t="shared" si="1327"/>
        <v>0</v>
      </c>
      <c r="Z1641" s="101"/>
      <c r="AA1641" s="58"/>
    </row>
    <row r="1642" spans="1:27" ht="14.25" thickBot="1" x14ac:dyDescent="0.2">
      <c r="A1642" s="13" t="s">
        <v>936</v>
      </c>
      <c r="B1642" s="26">
        <v>2</v>
      </c>
      <c r="C1642" s="47"/>
      <c r="D1642" s="27"/>
      <c r="E1642" s="50"/>
      <c r="F1642" s="10">
        <f>SUM(B1642:E1642)</f>
        <v>2</v>
      </c>
      <c r="G1642" s="47"/>
      <c r="H1642" s="47"/>
      <c r="I1642" s="27"/>
      <c r="J1642" s="50"/>
      <c r="K1642" s="10">
        <f>SUM(G1642:J1642)</f>
        <v>0</v>
      </c>
      <c r="L1642" s="14">
        <f t="shared" si="1324"/>
        <v>2</v>
      </c>
      <c r="M1642" s="126">
        <v>45552</v>
      </c>
      <c r="N1642" s="13" t="s">
        <v>8</v>
      </c>
      <c r="O1642" s="26">
        <v>150</v>
      </c>
      <c r="P1642" s="47">
        <v>150</v>
      </c>
      <c r="Q1642" s="27">
        <v>150</v>
      </c>
      <c r="R1642" s="34">
        <v>150</v>
      </c>
      <c r="S1642" s="77">
        <f t="shared" si="1328"/>
        <v>600</v>
      </c>
      <c r="T1642" s="26"/>
      <c r="U1642" s="47"/>
      <c r="V1642" s="27"/>
      <c r="W1642" s="34"/>
      <c r="X1642" s="9">
        <f t="shared" si="1329"/>
        <v>0</v>
      </c>
      <c r="Y1642" s="11">
        <f t="shared" si="1327"/>
        <v>600</v>
      </c>
      <c r="Z1642" s="99" t="s">
        <v>1374</v>
      </c>
      <c r="AA1642" s="58"/>
    </row>
    <row r="1643" spans="1:27" ht="14.25" thickBot="1" x14ac:dyDescent="0.2">
      <c r="A1643" s="22" t="s">
        <v>9</v>
      </c>
      <c r="B1643" s="51">
        <f t="shared" ref="B1643:K1643" si="1330">SUM(B1638:B1642)</f>
        <v>7</v>
      </c>
      <c r="C1643" s="52">
        <f t="shared" si="1330"/>
        <v>8</v>
      </c>
      <c r="D1643" s="53">
        <f t="shared" si="1330"/>
        <v>12</v>
      </c>
      <c r="E1643" s="54">
        <f t="shared" si="1330"/>
        <v>10</v>
      </c>
      <c r="F1643" s="28">
        <f t="shared" si="1330"/>
        <v>33</v>
      </c>
      <c r="G1643" s="51">
        <f t="shared" si="1330"/>
        <v>7</v>
      </c>
      <c r="H1643" s="52">
        <f t="shared" si="1330"/>
        <v>8</v>
      </c>
      <c r="I1643" s="53">
        <f t="shared" si="1330"/>
        <v>8</v>
      </c>
      <c r="J1643" s="54">
        <f t="shared" si="1330"/>
        <v>8</v>
      </c>
      <c r="K1643" s="28">
        <f t="shared" si="1330"/>
        <v>31</v>
      </c>
      <c r="L1643" s="21">
        <f t="shared" si="1324"/>
        <v>64</v>
      </c>
      <c r="N1643" s="17" t="s">
        <v>9</v>
      </c>
      <c r="O1643" s="41">
        <f>SUM(O1638:O1642)</f>
        <v>948</v>
      </c>
      <c r="P1643" s="49">
        <f t="shared" ref="P1643:V1643" si="1331">SUM(P1638:P1642)</f>
        <v>1105</v>
      </c>
      <c r="Q1643" s="42">
        <f t="shared" si="1331"/>
        <v>653</v>
      </c>
      <c r="R1643" s="92">
        <f t="shared" si="1331"/>
        <v>564</v>
      </c>
      <c r="S1643" s="93">
        <f t="shared" si="1331"/>
        <v>3270</v>
      </c>
      <c r="T1643" s="41">
        <f t="shared" si="1331"/>
        <v>831</v>
      </c>
      <c r="U1643" s="49">
        <f t="shared" si="1331"/>
        <v>993</v>
      </c>
      <c r="V1643" s="42">
        <f t="shared" si="1331"/>
        <v>630</v>
      </c>
      <c r="W1643" s="92">
        <f>SUM(W1638:W1642)</f>
        <v>525</v>
      </c>
      <c r="X1643" s="93">
        <f t="shared" ref="X1643" si="1332">SUM(X1638:X1642)</f>
        <v>2979</v>
      </c>
      <c r="Y1643" s="56">
        <f t="shared" si="1327"/>
        <v>6249</v>
      </c>
    </row>
    <row r="1644" spans="1:27" x14ac:dyDescent="0.15">
      <c r="A1644" s="32" t="s">
        <v>41</v>
      </c>
      <c r="B1644" s="24"/>
      <c r="C1644" s="46"/>
      <c r="D1644" s="25"/>
      <c r="E1644" s="33"/>
      <c r="F1644" s="35">
        <f>SUM(B1644:E1644)</f>
        <v>0</v>
      </c>
      <c r="G1644" s="24"/>
      <c r="H1644" s="46">
        <v>1</v>
      </c>
      <c r="I1644" s="25"/>
      <c r="J1644" s="33"/>
      <c r="K1644" s="35">
        <f>SUM(G1644:J1644)</f>
        <v>1</v>
      </c>
      <c r="L1644" s="11">
        <f t="shared" si="1324"/>
        <v>1</v>
      </c>
      <c r="M1644" s="126">
        <v>45537</v>
      </c>
      <c r="N1644" s="12" t="s">
        <v>1338</v>
      </c>
      <c r="O1644" s="26">
        <v>1</v>
      </c>
      <c r="P1644" s="47"/>
      <c r="Q1644" s="27"/>
      <c r="R1644" s="34"/>
      <c r="S1644" s="35">
        <f t="shared" ref="S1644" si="1333">SUM(O1644:R1644)</f>
        <v>1</v>
      </c>
      <c r="T1644" s="26"/>
      <c r="U1644" s="47"/>
      <c r="V1644" s="27"/>
      <c r="W1644" s="34"/>
      <c r="X1644" s="35">
        <f t="shared" ref="X1644" si="1334">SUM(T1644:W1644)</f>
        <v>0</v>
      </c>
      <c r="Y1644" s="11">
        <f t="shared" si="1327"/>
        <v>1</v>
      </c>
      <c r="Z1644" s="99">
        <v>45539</v>
      </c>
    </row>
    <row r="1645" spans="1:27" x14ac:dyDescent="0.15">
      <c r="A1645" s="32" t="s">
        <v>1345</v>
      </c>
      <c r="B1645" s="26">
        <v>2</v>
      </c>
      <c r="C1645" s="47"/>
      <c r="D1645" s="27"/>
      <c r="E1645" s="34">
        <v>-2</v>
      </c>
      <c r="F1645" s="35">
        <f>SUM(B1645:E1645)</f>
        <v>0</v>
      </c>
      <c r="G1645" s="26"/>
      <c r="H1645" s="47"/>
      <c r="I1645" s="27"/>
      <c r="J1645" s="34"/>
      <c r="K1645" s="35">
        <f>SUM(G1645:J1645)</f>
        <v>0</v>
      </c>
      <c r="L1645" s="11">
        <f t="shared" si="1324"/>
        <v>0</v>
      </c>
      <c r="M1645" s="126">
        <v>45538</v>
      </c>
      <c r="N1645" s="32" t="s">
        <v>1343</v>
      </c>
      <c r="O1645" s="26">
        <v>1</v>
      </c>
      <c r="P1645" s="47">
        <v>1</v>
      </c>
      <c r="Q1645" s="27">
        <v>1</v>
      </c>
      <c r="R1645" s="34"/>
      <c r="S1645" s="35">
        <f t="shared" ref="S1645:S1650" si="1335">SUM(O1645:R1645)</f>
        <v>3</v>
      </c>
      <c r="T1645" s="26">
        <v>1</v>
      </c>
      <c r="U1645" s="47"/>
      <c r="V1645" s="27"/>
      <c r="W1645" s="34">
        <v>4</v>
      </c>
      <c r="X1645" s="35">
        <f t="shared" ref="X1645:X1650" si="1336">SUM(T1645:W1645)</f>
        <v>5</v>
      </c>
      <c r="Y1645" s="11">
        <f t="shared" si="1327"/>
        <v>8</v>
      </c>
      <c r="Z1645" s="99">
        <v>45539</v>
      </c>
    </row>
    <row r="1646" spans="1:27" x14ac:dyDescent="0.15">
      <c r="A1646" s="32" t="s">
        <v>41</v>
      </c>
      <c r="B1646" s="26"/>
      <c r="C1646" s="47">
        <v>1</v>
      </c>
      <c r="D1646" s="27"/>
      <c r="E1646" s="34"/>
      <c r="F1646" s="35">
        <f>SUM(B1646:E1646)</f>
        <v>1</v>
      </c>
      <c r="G1646" s="26"/>
      <c r="H1646" s="47"/>
      <c r="I1646" s="27"/>
      <c r="J1646" s="34"/>
      <c r="K1646" s="35">
        <f>SUM(G1646:J1646)</f>
        <v>0</v>
      </c>
      <c r="L1646" s="11">
        <f t="shared" ref="L1646" si="1337">F1646+K1646</f>
        <v>1</v>
      </c>
      <c r="M1646" s="126">
        <v>45541</v>
      </c>
      <c r="N1646" s="32" t="s">
        <v>1344</v>
      </c>
      <c r="O1646" s="26"/>
      <c r="P1646" s="47">
        <v>7</v>
      </c>
      <c r="Q1646" s="27">
        <v>1</v>
      </c>
      <c r="R1646" s="34">
        <v>1</v>
      </c>
      <c r="S1646" s="35">
        <f t="shared" si="1335"/>
        <v>9</v>
      </c>
      <c r="T1646" s="26">
        <v>1</v>
      </c>
      <c r="U1646" s="47">
        <v>4</v>
      </c>
      <c r="V1646" s="27">
        <v>2</v>
      </c>
      <c r="W1646" s="34">
        <v>4</v>
      </c>
      <c r="X1646" s="35">
        <f t="shared" si="1336"/>
        <v>11</v>
      </c>
      <c r="Y1646" s="11">
        <f t="shared" si="1327"/>
        <v>20</v>
      </c>
      <c r="Z1646" s="99">
        <v>45540</v>
      </c>
      <c r="AA1646" s="58"/>
    </row>
    <row r="1647" spans="1:27" x14ac:dyDescent="0.15">
      <c r="A1647" s="32" t="s">
        <v>1354</v>
      </c>
      <c r="B1647" s="66"/>
      <c r="C1647" s="67"/>
      <c r="D1647" s="68">
        <v>6</v>
      </c>
      <c r="E1647" s="69">
        <v>4</v>
      </c>
      <c r="F1647" s="70">
        <f t="shared" ref="F1647:F1668" si="1338">SUM(B1647:E1647)</f>
        <v>10</v>
      </c>
      <c r="G1647" s="66"/>
      <c r="H1647" s="67"/>
      <c r="I1647" s="68"/>
      <c r="J1647" s="69"/>
      <c r="K1647" s="70">
        <f t="shared" ref="K1647:K1668" si="1339">SUM(G1647:J1647)</f>
        <v>0</v>
      </c>
      <c r="L1647" s="11">
        <f t="shared" si="1324"/>
        <v>10</v>
      </c>
      <c r="M1647" s="126">
        <v>45542</v>
      </c>
      <c r="N1647" s="12" t="s">
        <v>1346</v>
      </c>
      <c r="O1647" s="26">
        <v>8</v>
      </c>
      <c r="P1647" s="47">
        <v>10</v>
      </c>
      <c r="Q1647" s="27"/>
      <c r="R1647" s="34"/>
      <c r="S1647" s="35">
        <f t="shared" si="1335"/>
        <v>18</v>
      </c>
      <c r="T1647" s="26"/>
      <c r="U1647" s="47"/>
      <c r="V1647" s="27"/>
      <c r="W1647" s="34"/>
      <c r="X1647" s="35">
        <f t="shared" si="1336"/>
        <v>0</v>
      </c>
      <c r="Y1647" s="11">
        <f t="shared" si="1327"/>
        <v>18</v>
      </c>
      <c r="Z1647" s="99">
        <v>45540</v>
      </c>
      <c r="AA1647" s="58"/>
    </row>
    <row r="1648" spans="1:27" x14ac:dyDescent="0.15">
      <c r="A1648" s="32" t="s">
        <v>41</v>
      </c>
      <c r="B1648" s="26"/>
      <c r="C1648" s="47">
        <v>2</v>
      </c>
      <c r="D1648" s="27"/>
      <c r="E1648" s="34"/>
      <c r="F1648" s="35">
        <f t="shared" si="1338"/>
        <v>2</v>
      </c>
      <c r="G1648" s="26"/>
      <c r="H1648" s="47"/>
      <c r="I1648" s="27"/>
      <c r="J1648" s="34"/>
      <c r="K1648" s="35">
        <f t="shared" si="1339"/>
        <v>0</v>
      </c>
      <c r="L1648" s="11">
        <f t="shared" si="1324"/>
        <v>2</v>
      </c>
      <c r="M1648" s="126">
        <v>45544</v>
      </c>
      <c r="N1648" s="32" t="s">
        <v>1349</v>
      </c>
      <c r="O1648" s="26"/>
      <c r="P1648" s="47">
        <v>1</v>
      </c>
      <c r="Q1648" s="27"/>
      <c r="R1648" s="34"/>
      <c r="S1648" s="35">
        <f t="shared" si="1335"/>
        <v>1</v>
      </c>
      <c r="T1648" s="26"/>
      <c r="U1648" s="47"/>
      <c r="V1648" s="27"/>
      <c r="W1648" s="34"/>
      <c r="X1648" s="35">
        <f t="shared" si="1336"/>
        <v>0</v>
      </c>
      <c r="Y1648" s="11">
        <f t="shared" si="1327"/>
        <v>1</v>
      </c>
      <c r="Z1648" s="99">
        <v>45541</v>
      </c>
      <c r="AA1648" s="58"/>
    </row>
    <row r="1649" spans="1:28" x14ac:dyDescent="0.15">
      <c r="A1649" s="12" t="s">
        <v>1358</v>
      </c>
      <c r="B1649" s="26"/>
      <c r="C1649" s="47"/>
      <c r="D1649" s="27"/>
      <c r="E1649" s="34"/>
      <c r="F1649" s="35">
        <f t="shared" si="1338"/>
        <v>0</v>
      </c>
      <c r="G1649" s="26"/>
      <c r="H1649" s="47">
        <v>1</v>
      </c>
      <c r="I1649" s="27"/>
      <c r="J1649" s="34"/>
      <c r="K1649" s="35">
        <f t="shared" si="1339"/>
        <v>1</v>
      </c>
      <c r="L1649" s="11">
        <f t="shared" si="1324"/>
        <v>1</v>
      </c>
      <c r="M1649" s="99">
        <v>45549</v>
      </c>
      <c r="N1649" s="32" t="s">
        <v>1350</v>
      </c>
      <c r="O1649" s="26">
        <v>3</v>
      </c>
      <c r="P1649" s="47"/>
      <c r="Q1649" s="27">
        <v>1</v>
      </c>
      <c r="R1649" s="34"/>
      <c r="S1649" s="35">
        <f t="shared" si="1335"/>
        <v>4</v>
      </c>
      <c r="T1649" s="26">
        <v>1</v>
      </c>
      <c r="U1649" s="47">
        <v>1</v>
      </c>
      <c r="V1649" s="27">
        <v>1</v>
      </c>
      <c r="W1649" s="34"/>
      <c r="X1649" s="35">
        <f t="shared" si="1336"/>
        <v>3</v>
      </c>
      <c r="Y1649" s="11">
        <f t="shared" si="1327"/>
        <v>7</v>
      </c>
      <c r="Z1649" s="99">
        <v>45541</v>
      </c>
      <c r="AA1649" s="58"/>
    </row>
    <row r="1650" spans="1:28" x14ac:dyDescent="0.15">
      <c r="A1650" s="32" t="s">
        <v>1359</v>
      </c>
      <c r="B1650" s="26"/>
      <c r="C1650" s="47">
        <v>2</v>
      </c>
      <c r="D1650" s="27"/>
      <c r="E1650" s="34"/>
      <c r="F1650" s="35">
        <f t="shared" si="1338"/>
        <v>2</v>
      </c>
      <c r="G1650" s="26"/>
      <c r="H1650" s="47"/>
      <c r="I1650" s="27"/>
      <c r="J1650" s="34"/>
      <c r="K1650" s="35">
        <f t="shared" si="1339"/>
        <v>0</v>
      </c>
      <c r="L1650" s="11">
        <f t="shared" si="1324"/>
        <v>2</v>
      </c>
      <c r="M1650" s="99">
        <v>45548</v>
      </c>
      <c r="N1650" s="57" t="s">
        <v>1351</v>
      </c>
      <c r="O1650" s="26"/>
      <c r="P1650" s="47"/>
      <c r="Q1650" s="27"/>
      <c r="R1650" s="34"/>
      <c r="S1650" s="35">
        <f t="shared" si="1335"/>
        <v>0</v>
      </c>
      <c r="T1650" s="26"/>
      <c r="U1650" s="47">
        <v>8</v>
      </c>
      <c r="V1650" s="27"/>
      <c r="W1650" s="34"/>
      <c r="X1650" s="35">
        <f t="shared" si="1336"/>
        <v>8</v>
      </c>
      <c r="Y1650" s="11">
        <f t="shared" si="1327"/>
        <v>8</v>
      </c>
      <c r="Z1650" s="99">
        <v>45545</v>
      </c>
      <c r="AA1650" s="58"/>
    </row>
    <row r="1651" spans="1:28" x14ac:dyDescent="0.15">
      <c r="A1651" s="32" t="s">
        <v>41</v>
      </c>
      <c r="B1651" s="26"/>
      <c r="C1651" s="47"/>
      <c r="D1651" s="27"/>
      <c r="E1651" s="34"/>
      <c r="F1651" s="35">
        <f t="shared" si="1338"/>
        <v>0</v>
      </c>
      <c r="G1651" s="26">
        <v>1</v>
      </c>
      <c r="H1651" s="47"/>
      <c r="I1651" s="27"/>
      <c r="J1651" s="34"/>
      <c r="K1651" s="35">
        <f t="shared" si="1339"/>
        <v>1</v>
      </c>
      <c r="L1651" s="11">
        <f t="shared" si="1324"/>
        <v>1</v>
      </c>
      <c r="M1651" s="99">
        <v>45548</v>
      </c>
      <c r="N1651" s="32" t="s">
        <v>1352</v>
      </c>
      <c r="O1651" s="26"/>
      <c r="P1651" s="47"/>
      <c r="Q1651" s="27">
        <v>1</v>
      </c>
      <c r="R1651" s="50"/>
      <c r="S1651" s="9">
        <f>SUM(O1651:R1651)</f>
        <v>1</v>
      </c>
      <c r="T1651" s="47"/>
      <c r="U1651" s="47"/>
      <c r="V1651" s="27"/>
      <c r="W1651" s="50"/>
      <c r="X1651" s="9">
        <f>SUM(T1651:W1651)</f>
        <v>0</v>
      </c>
      <c r="Y1651" s="11">
        <f t="shared" si="1327"/>
        <v>1</v>
      </c>
      <c r="Z1651" s="99">
        <v>45544</v>
      </c>
    </row>
    <row r="1652" spans="1:28" x14ac:dyDescent="0.15">
      <c r="A1652" s="13" t="s">
        <v>1365</v>
      </c>
      <c r="B1652" s="26">
        <v>-2</v>
      </c>
      <c r="C1652" s="47">
        <v>-3</v>
      </c>
      <c r="D1652" s="27"/>
      <c r="E1652" s="34">
        <v>-5</v>
      </c>
      <c r="F1652" s="35">
        <f t="shared" si="1338"/>
        <v>-10</v>
      </c>
      <c r="G1652" s="26">
        <v>-3</v>
      </c>
      <c r="H1652" s="47">
        <v>-2</v>
      </c>
      <c r="I1652" s="27">
        <v>-2</v>
      </c>
      <c r="J1652" s="34">
        <v>-3</v>
      </c>
      <c r="K1652" s="35">
        <f t="shared" si="1339"/>
        <v>-10</v>
      </c>
      <c r="L1652" s="11">
        <f t="shared" si="1324"/>
        <v>-20</v>
      </c>
      <c r="M1652" s="126">
        <v>45554</v>
      </c>
      <c r="N1652" s="32" t="s">
        <v>1355</v>
      </c>
      <c r="O1652" s="26">
        <v>2</v>
      </c>
      <c r="P1652" s="47">
        <v>1</v>
      </c>
      <c r="Q1652" s="27"/>
      <c r="R1652" s="34">
        <v>2</v>
      </c>
      <c r="S1652" s="35">
        <f t="shared" ref="S1652:S1669" si="1340">SUM(O1652:R1652)</f>
        <v>5</v>
      </c>
      <c r="T1652" s="26"/>
      <c r="U1652" s="47"/>
      <c r="V1652" s="27"/>
      <c r="W1652" s="34"/>
      <c r="X1652" s="35">
        <f t="shared" ref="X1652:X1669" si="1341">SUM(T1652:W1652)</f>
        <v>0</v>
      </c>
      <c r="Y1652" s="11">
        <f t="shared" si="1327"/>
        <v>5</v>
      </c>
      <c r="Z1652" s="99">
        <v>45546</v>
      </c>
    </row>
    <row r="1653" spans="1:28" x14ac:dyDescent="0.15">
      <c r="A1653" s="32" t="s">
        <v>1366</v>
      </c>
      <c r="B1653" s="26"/>
      <c r="C1653" s="47">
        <v>1</v>
      </c>
      <c r="D1653" s="27"/>
      <c r="E1653" s="34"/>
      <c r="F1653" s="35">
        <f t="shared" si="1338"/>
        <v>1</v>
      </c>
      <c r="G1653" s="26"/>
      <c r="H1653" s="47"/>
      <c r="I1653" s="27"/>
      <c r="J1653" s="34"/>
      <c r="K1653" s="35">
        <f t="shared" si="1339"/>
        <v>0</v>
      </c>
      <c r="L1653" s="11">
        <f t="shared" si="1324"/>
        <v>1</v>
      </c>
      <c r="M1653" s="99">
        <v>45559</v>
      </c>
      <c r="N1653" s="32" t="s">
        <v>1356</v>
      </c>
      <c r="O1653" s="26"/>
      <c r="P1653" s="47"/>
      <c r="Q1653" s="27">
        <v>3</v>
      </c>
      <c r="R1653" s="34"/>
      <c r="S1653" s="35">
        <f t="shared" si="1340"/>
        <v>3</v>
      </c>
      <c r="T1653" s="26"/>
      <c r="U1653" s="47"/>
      <c r="V1653" s="27">
        <v>2</v>
      </c>
      <c r="W1653" s="34"/>
      <c r="X1653" s="35">
        <f t="shared" si="1341"/>
        <v>2</v>
      </c>
      <c r="Y1653" s="11">
        <f t="shared" si="1327"/>
        <v>5</v>
      </c>
      <c r="Z1653" s="99">
        <v>45547</v>
      </c>
    </row>
    <row r="1654" spans="1:28" x14ac:dyDescent="0.15">
      <c r="A1654" s="32" t="s">
        <v>41</v>
      </c>
      <c r="B1654" s="26">
        <v>1</v>
      </c>
      <c r="C1654" s="47"/>
      <c r="D1654" s="27"/>
      <c r="E1654" s="34"/>
      <c r="F1654" s="35">
        <f t="shared" si="1338"/>
        <v>1</v>
      </c>
      <c r="G1654" s="26"/>
      <c r="H1654" s="47"/>
      <c r="I1654" s="27"/>
      <c r="J1654" s="34"/>
      <c r="K1654" s="35">
        <f t="shared" si="1339"/>
        <v>0</v>
      </c>
      <c r="L1654" s="11">
        <f t="shared" si="1324"/>
        <v>1</v>
      </c>
      <c r="M1654" s="99">
        <v>45556</v>
      </c>
      <c r="N1654" s="32" t="s">
        <v>1357</v>
      </c>
      <c r="O1654" s="26">
        <v>2</v>
      </c>
      <c r="P1654" s="47">
        <v>1</v>
      </c>
      <c r="Q1654" s="27"/>
      <c r="R1654" s="34">
        <v>2</v>
      </c>
      <c r="S1654" s="35">
        <f t="shared" si="1340"/>
        <v>5</v>
      </c>
      <c r="T1654" s="26"/>
      <c r="U1654" s="47"/>
      <c r="V1654" s="27"/>
      <c r="W1654" s="34"/>
      <c r="X1654" s="35">
        <f t="shared" si="1341"/>
        <v>0</v>
      </c>
      <c r="Y1654" s="11">
        <f t="shared" si="1327"/>
        <v>5</v>
      </c>
      <c r="Z1654" s="99">
        <v>45548</v>
      </c>
    </row>
    <row r="1655" spans="1:28" x14ac:dyDescent="0.15">
      <c r="A1655" s="32" t="s">
        <v>41</v>
      </c>
      <c r="B1655" s="26"/>
      <c r="C1655" s="47"/>
      <c r="D1655" s="27">
        <v>1</v>
      </c>
      <c r="E1655" s="34"/>
      <c r="F1655" s="35">
        <f t="shared" si="1338"/>
        <v>1</v>
      </c>
      <c r="G1655" s="26"/>
      <c r="H1655" s="47">
        <v>1</v>
      </c>
      <c r="I1655" s="27"/>
      <c r="J1655" s="34"/>
      <c r="K1655" s="35">
        <f t="shared" si="1339"/>
        <v>1</v>
      </c>
      <c r="L1655" s="11">
        <f t="shared" si="1324"/>
        <v>2</v>
      </c>
      <c r="M1655" s="126">
        <v>45559</v>
      </c>
      <c r="N1655" s="12" t="s">
        <v>34</v>
      </c>
      <c r="O1655" s="26"/>
      <c r="P1655" s="47">
        <v>3</v>
      </c>
      <c r="Q1655" s="27"/>
      <c r="R1655" s="34"/>
      <c r="S1655" s="35">
        <f>SUM(O1655:R1655)</f>
        <v>3</v>
      </c>
      <c r="T1655" s="26"/>
      <c r="U1655" s="47">
        <v>3</v>
      </c>
      <c r="V1655" s="27"/>
      <c r="W1655" s="34"/>
      <c r="X1655" s="35">
        <f>SUM(T1655:W1655)</f>
        <v>3</v>
      </c>
      <c r="Y1655" s="11">
        <f t="shared" si="1327"/>
        <v>6</v>
      </c>
      <c r="Z1655" s="99">
        <v>45547</v>
      </c>
    </row>
    <row r="1656" spans="1:28" x14ac:dyDescent="0.15">
      <c r="A1656" s="12" t="s">
        <v>1371</v>
      </c>
      <c r="B1656" s="26">
        <v>2</v>
      </c>
      <c r="C1656" s="47"/>
      <c r="D1656" s="27"/>
      <c r="E1656" s="34"/>
      <c r="F1656" s="35">
        <f t="shared" si="1338"/>
        <v>2</v>
      </c>
      <c r="G1656" s="26"/>
      <c r="H1656" s="47"/>
      <c r="I1656" s="27"/>
      <c r="J1656" s="34"/>
      <c r="K1656" s="35">
        <f t="shared" si="1339"/>
        <v>0</v>
      </c>
      <c r="L1656" s="11">
        <f t="shared" si="1324"/>
        <v>2</v>
      </c>
      <c r="M1656" s="99">
        <v>45565</v>
      </c>
      <c r="N1656" s="57" t="s">
        <v>1360</v>
      </c>
      <c r="O1656" s="26">
        <v>5</v>
      </c>
      <c r="P1656" s="47"/>
      <c r="Q1656" s="27"/>
      <c r="R1656" s="34"/>
      <c r="S1656" s="35">
        <f t="shared" si="1340"/>
        <v>5</v>
      </c>
      <c r="T1656" s="26">
        <v>5</v>
      </c>
      <c r="U1656" s="47"/>
      <c r="V1656" s="27"/>
      <c r="W1656" s="34"/>
      <c r="X1656" s="35">
        <f t="shared" si="1341"/>
        <v>5</v>
      </c>
      <c r="Y1656" s="11">
        <f t="shared" si="1327"/>
        <v>10</v>
      </c>
      <c r="Z1656" s="99">
        <v>45555</v>
      </c>
    </row>
    <row r="1657" spans="1:28" x14ac:dyDescent="0.15">
      <c r="A1657" s="32" t="s">
        <v>41</v>
      </c>
      <c r="B1657" s="26">
        <v>1</v>
      </c>
      <c r="C1657" s="47">
        <v>1</v>
      </c>
      <c r="D1657" s="27">
        <v>1</v>
      </c>
      <c r="E1657" s="34"/>
      <c r="F1657" s="35">
        <f t="shared" si="1338"/>
        <v>3</v>
      </c>
      <c r="G1657" s="26"/>
      <c r="H1657" s="47">
        <v>1</v>
      </c>
      <c r="I1657" s="27"/>
      <c r="J1657" s="34"/>
      <c r="K1657" s="35">
        <f t="shared" si="1339"/>
        <v>1</v>
      </c>
      <c r="L1657" s="11">
        <f t="shared" si="1324"/>
        <v>4</v>
      </c>
      <c r="M1657" s="99">
        <v>45565</v>
      </c>
      <c r="N1657" s="32" t="s">
        <v>1361</v>
      </c>
      <c r="O1657" s="26">
        <v>1</v>
      </c>
      <c r="P1657" s="47">
        <v>2</v>
      </c>
      <c r="Q1657" s="27">
        <v>1</v>
      </c>
      <c r="R1657" s="34">
        <v>1</v>
      </c>
      <c r="S1657" s="35">
        <f t="shared" si="1340"/>
        <v>5</v>
      </c>
      <c r="T1657" s="26"/>
      <c r="U1657" s="47"/>
      <c r="V1657" s="27"/>
      <c r="W1657" s="34">
        <v>1</v>
      </c>
      <c r="X1657" s="35">
        <f t="shared" si="1341"/>
        <v>1</v>
      </c>
      <c r="Y1657" s="11">
        <f t="shared" si="1327"/>
        <v>6</v>
      </c>
      <c r="Z1657" s="99">
        <v>45552</v>
      </c>
    </row>
    <row r="1658" spans="1:28" x14ac:dyDescent="0.15">
      <c r="A1658" s="13" t="s">
        <v>1478</v>
      </c>
      <c r="B1658" s="26">
        <v>-2</v>
      </c>
      <c r="C1658" s="47">
        <v>-5</v>
      </c>
      <c r="D1658" s="27"/>
      <c r="E1658" s="34"/>
      <c r="F1658" s="35">
        <f t="shared" ref="F1658" si="1342">SUM(B1658:E1658)</f>
        <v>-7</v>
      </c>
      <c r="G1658" s="26">
        <v>-1</v>
      </c>
      <c r="H1658" s="47">
        <v>-1</v>
      </c>
      <c r="I1658" s="27">
        <v>-1</v>
      </c>
      <c r="J1658" s="34"/>
      <c r="K1658" s="35">
        <f t="shared" ref="K1658" si="1343">SUM(G1658:J1658)</f>
        <v>-3</v>
      </c>
      <c r="L1658" s="11">
        <f t="shared" ref="L1658" si="1344">F1658+K1658</f>
        <v>-10</v>
      </c>
      <c r="M1658" s="99">
        <v>45562</v>
      </c>
      <c r="N1658" s="32" t="s">
        <v>1364</v>
      </c>
      <c r="O1658" s="26">
        <v>4</v>
      </c>
      <c r="P1658" s="47">
        <v>4</v>
      </c>
      <c r="Q1658" s="27">
        <v>3</v>
      </c>
      <c r="R1658" s="34">
        <v>3</v>
      </c>
      <c r="S1658" s="35">
        <f t="shared" si="1340"/>
        <v>14</v>
      </c>
      <c r="T1658" s="26">
        <v>1</v>
      </c>
      <c r="U1658" s="47">
        <v>2</v>
      </c>
      <c r="V1658" s="27">
        <v>2</v>
      </c>
      <c r="W1658" s="34">
        <v>2</v>
      </c>
      <c r="X1658" s="35">
        <f t="shared" si="1341"/>
        <v>7</v>
      </c>
      <c r="Y1658" s="11">
        <f t="shared" si="1327"/>
        <v>21</v>
      </c>
      <c r="Z1658" s="99">
        <v>45554</v>
      </c>
      <c r="AA1658" s="58"/>
    </row>
    <row r="1659" spans="1:28" x14ac:dyDescent="0.15">
      <c r="A1659" s="13"/>
      <c r="B1659" s="26"/>
      <c r="C1659" s="47"/>
      <c r="D1659" s="27"/>
      <c r="E1659" s="34"/>
      <c r="F1659" s="35">
        <f t="shared" si="1338"/>
        <v>0</v>
      </c>
      <c r="G1659" s="26"/>
      <c r="H1659" s="47"/>
      <c r="I1659" s="27"/>
      <c r="J1659" s="34"/>
      <c r="K1659" s="35">
        <f t="shared" si="1339"/>
        <v>0</v>
      </c>
      <c r="L1659" s="11">
        <f t="shared" si="1324"/>
        <v>0</v>
      </c>
      <c r="M1659" s="101"/>
      <c r="N1659" s="32" t="s">
        <v>1367</v>
      </c>
      <c r="O1659" s="26">
        <v>7</v>
      </c>
      <c r="P1659" s="47">
        <v>9</v>
      </c>
      <c r="Q1659" s="27">
        <v>1</v>
      </c>
      <c r="R1659" s="34"/>
      <c r="S1659" s="35">
        <f t="shared" si="1340"/>
        <v>17</v>
      </c>
      <c r="T1659" s="26"/>
      <c r="U1659" s="47"/>
      <c r="V1659" s="27"/>
      <c r="W1659" s="34"/>
      <c r="X1659" s="35">
        <f t="shared" si="1341"/>
        <v>0</v>
      </c>
      <c r="Y1659" s="11">
        <f t="shared" si="1327"/>
        <v>17</v>
      </c>
      <c r="Z1659" s="99">
        <v>45561</v>
      </c>
      <c r="AA1659" s="58"/>
      <c r="AB1659" s="58"/>
    </row>
    <row r="1660" spans="1:28" x14ac:dyDescent="0.15">
      <c r="A1660" s="15"/>
      <c r="B1660" s="26"/>
      <c r="C1660" s="47"/>
      <c r="D1660" s="27"/>
      <c r="E1660" s="34"/>
      <c r="F1660" s="35">
        <f t="shared" si="1338"/>
        <v>0</v>
      </c>
      <c r="G1660" s="26"/>
      <c r="H1660" s="47"/>
      <c r="I1660" s="27"/>
      <c r="J1660" s="34"/>
      <c r="K1660" s="35">
        <f t="shared" si="1339"/>
        <v>0</v>
      </c>
      <c r="L1660" s="11">
        <f t="shared" si="1324"/>
        <v>0</v>
      </c>
      <c r="N1660" s="57" t="s">
        <v>1368</v>
      </c>
      <c r="O1660" s="26">
        <v>10</v>
      </c>
      <c r="P1660" s="47">
        <v>10</v>
      </c>
      <c r="Q1660" s="27"/>
      <c r="R1660" s="34"/>
      <c r="S1660" s="35">
        <f t="shared" si="1340"/>
        <v>20</v>
      </c>
      <c r="T1660" s="26">
        <v>5</v>
      </c>
      <c r="U1660" s="47">
        <v>5</v>
      </c>
      <c r="V1660" s="27">
        <v>10</v>
      </c>
      <c r="W1660" s="34"/>
      <c r="X1660" s="35">
        <f t="shared" si="1341"/>
        <v>20</v>
      </c>
      <c r="Y1660" s="11">
        <f t="shared" si="1327"/>
        <v>40</v>
      </c>
      <c r="Z1660" s="99">
        <v>45567</v>
      </c>
      <c r="AA1660" s="58"/>
      <c r="AB1660" s="58"/>
    </row>
    <row r="1661" spans="1:28" x14ac:dyDescent="0.15">
      <c r="A1661" s="15"/>
      <c r="B1661" s="26"/>
      <c r="C1661" s="47"/>
      <c r="D1661" s="27"/>
      <c r="E1661" s="34"/>
      <c r="F1661" s="35">
        <f t="shared" si="1338"/>
        <v>0</v>
      </c>
      <c r="G1661" s="26"/>
      <c r="H1661" s="47"/>
      <c r="I1661" s="27"/>
      <c r="J1661" s="34"/>
      <c r="K1661" s="35">
        <f t="shared" si="1339"/>
        <v>0</v>
      </c>
      <c r="L1661" s="11">
        <f t="shared" si="1324"/>
        <v>0</v>
      </c>
      <c r="N1661" s="32" t="s">
        <v>1369</v>
      </c>
      <c r="O1661" s="26"/>
      <c r="P1661" s="47">
        <v>7</v>
      </c>
      <c r="Q1661" s="27"/>
      <c r="R1661" s="34">
        <v>1</v>
      </c>
      <c r="S1661" s="35">
        <f t="shared" si="1340"/>
        <v>8</v>
      </c>
      <c r="T1661" s="26"/>
      <c r="U1661" s="47"/>
      <c r="V1661" s="27"/>
      <c r="W1661" s="34"/>
      <c r="X1661" s="35">
        <f t="shared" si="1341"/>
        <v>0</v>
      </c>
      <c r="Y1661" s="11">
        <f t="shared" si="1327"/>
        <v>8</v>
      </c>
      <c r="Z1661" s="99">
        <v>45562</v>
      </c>
      <c r="AA1661" s="58"/>
      <c r="AB1661" s="58"/>
    </row>
    <row r="1662" spans="1:28" x14ac:dyDescent="0.15">
      <c r="A1662" s="13"/>
      <c r="B1662" s="26"/>
      <c r="C1662" s="47"/>
      <c r="D1662" s="27"/>
      <c r="E1662" s="34"/>
      <c r="F1662" s="35">
        <f t="shared" si="1338"/>
        <v>0</v>
      </c>
      <c r="G1662" s="26"/>
      <c r="H1662" s="47"/>
      <c r="I1662" s="27"/>
      <c r="J1662" s="34"/>
      <c r="K1662" s="35">
        <f t="shared" si="1339"/>
        <v>0</v>
      </c>
      <c r="L1662" s="11">
        <f t="shared" si="1324"/>
        <v>0</v>
      </c>
      <c r="N1662" s="32" t="s">
        <v>1370</v>
      </c>
      <c r="O1662" s="26"/>
      <c r="P1662" s="47">
        <v>1</v>
      </c>
      <c r="Q1662" s="27">
        <v>2</v>
      </c>
      <c r="R1662" s="34"/>
      <c r="S1662" s="35">
        <f t="shared" si="1340"/>
        <v>3</v>
      </c>
      <c r="T1662" s="26"/>
      <c r="U1662" s="47"/>
      <c r="V1662" s="27"/>
      <c r="W1662" s="34"/>
      <c r="X1662" s="35">
        <f t="shared" si="1341"/>
        <v>0</v>
      </c>
      <c r="Y1662" s="11">
        <f t="shared" si="1327"/>
        <v>3</v>
      </c>
      <c r="Z1662" s="99">
        <v>45562</v>
      </c>
      <c r="AA1662" s="58"/>
      <c r="AB1662" s="58"/>
    </row>
    <row r="1663" spans="1:28" x14ac:dyDescent="0.15">
      <c r="A1663" s="32"/>
      <c r="B1663" s="26"/>
      <c r="C1663" s="47"/>
      <c r="D1663" s="27"/>
      <c r="E1663" s="34"/>
      <c r="F1663" s="35">
        <f t="shared" si="1338"/>
        <v>0</v>
      </c>
      <c r="G1663" s="26"/>
      <c r="H1663" s="47"/>
      <c r="I1663" s="27"/>
      <c r="J1663" s="34"/>
      <c r="K1663" s="35">
        <f t="shared" si="1339"/>
        <v>0</v>
      </c>
      <c r="L1663" s="11">
        <f t="shared" si="1324"/>
        <v>0</v>
      </c>
      <c r="N1663" s="173" t="s">
        <v>1372</v>
      </c>
      <c r="O1663" s="26">
        <v>21</v>
      </c>
      <c r="P1663" s="47">
        <v>24</v>
      </c>
      <c r="Q1663" s="27">
        <v>14</v>
      </c>
      <c r="R1663" s="34">
        <v>9</v>
      </c>
      <c r="S1663" s="35">
        <f t="shared" ref="S1663" si="1345">SUM(O1663:R1663)</f>
        <v>68</v>
      </c>
      <c r="T1663" s="26">
        <v>5</v>
      </c>
      <c r="U1663" s="47">
        <v>7</v>
      </c>
      <c r="V1663" s="27">
        <v>5</v>
      </c>
      <c r="W1663" s="34">
        <v>2</v>
      </c>
      <c r="X1663" s="35">
        <f t="shared" ref="X1663" si="1346">SUM(T1663:W1663)</f>
        <v>19</v>
      </c>
      <c r="Y1663" s="11">
        <f t="shared" ref="Y1663" si="1347">S1663+X1663</f>
        <v>87</v>
      </c>
      <c r="Z1663" s="99">
        <v>45565</v>
      </c>
    </row>
    <row r="1664" spans="1:28" x14ac:dyDescent="0.15">
      <c r="A1664" s="32"/>
      <c r="B1664" s="26"/>
      <c r="C1664" s="47"/>
      <c r="D1664" s="27"/>
      <c r="E1664" s="34"/>
      <c r="F1664" s="35">
        <f t="shared" si="1338"/>
        <v>0</v>
      </c>
      <c r="G1664" s="26"/>
      <c r="H1664" s="47"/>
      <c r="I1664" s="27"/>
      <c r="J1664" s="34"/>
      <c r="K1664" s="35">
        <f t="shared" si="1339"/>
        <v>0</v>
      </c>
      <c r="L1664" s="11">
        <f t="shared" si="1324"/>
        <v>0</v>
      </c>
      <c r="N1664" s="173" t="s">
        <v>1385</v>
      </c>
      <c r="O1664" s="26"/>
      <c r="P1664" s="47"/>
      <c r="Q1664" s="27"/>
      <c r="R1664" s="34"/>
      <c r="S1664" s="35">
        <f t="shared" ref="S1664" si="1348">SUM(O1664:R1664)</f>
        <v>0</v>
      </c>
      <c r="T1664" s="26">
        <v>12</v>
      </c>
      <c r="U1664" s="47"/>
      <c r="V1664" s="27"/>
      <c r="W1664" s="34"/>
      <c r="X1664" s="35">
        <f t="shared" ref="X1664" si="1349">SUM(T1664:W1664)</f>
        <v>12</v>
      </c>
      <c r="Y1664" s="11">
        <f t="shared" ref="Y1664" si="1350">S1664+X1664</f>
        <v>12</v>
      </c>
      <c r="Z1664" s="99">
        <v>45567</v>
      </c>
    </row>
    <row r="1665" spans="1:26" x14ac:dyDescent="0.15">
      <c r="A1665" s="12"/>
      <c r="B1665" s="26"/>
      <c r="C1665" s="47"/>
      <c r="D1665" s="27"/>
      <c r="E1665" s="34"/>
      <c r="F1665" s="35">
        <f t="shared" si="1338"/>
        <v>0</v>
      </c>
      <c r="G1665" s="26"/>
      <c r="H1665" s="47"/>
      <c r="I1665" s="27"/>
      <c r="J1665" s="34"/>
      <c r="K1665" s="35">
        <f t="shared" si="1339"/>
        <v>0</v>
      </c>
      <c r="L1665" s="11">
        <f t="shared" si="1324"/>
        <v>0</v>
      </c>
      <c r="N1665" s="57"/>
      <c r="O1665" s="26"/>
      <c r="P1665" s="47"/>
      <c r="Q1665" s="27"/>
      <c r="R1665" s="34"/>
      <c r="S1665" s="35">
        <f t="shared" ref="S1665" si="1351">SUM(O1665:R1665)</f>
        <v>0</v>
      </c>
      <c r="T1665" s="26"/>
      <c r="U1665" s="47"/>
      <c r="V1665" s="27"/>
      <c r="W1665" s="34"/>
      <c r="X1665" s="35">
        <f t="shared" ref="X1665" si="1352">SUM(T1665:W1665)</f>
        <v>0</v>
      </c>
      <c r="Y1665" s="11">
        <f t="shared" ref="Y1665" si="1353">S1665+X1665</f>
        <v>0</v>
      </c>
      <c r="Z1665" s="101"/>
    </row>
    <row r="1666" spans="1:26" x14ac:dyDescent="0.15">
      <c r="A1666" s="79"/>
      <c r="B1666" s="26"/>
      <c r="C1666" s="47"/>
      <c r="D1666" s="27"/>
      <c r="E1666" s="34"/>
      <c r="F1666" s="35">
        <f t="shared" si="1338"/>
        <v>0</v>
      </c>
      <c r="G1666" s="26"/>
      <c r="H1666" s="47"/>
      <c r="I1666" s="27"/>
      <c r="J1666" s="34"/>
      <c r="K1666" s="35">
        <f t="shared" si="1339"/>
        <v>0</v>
      </c>
      <c r="L1666" s="11">
        <f t="shared" si="1324"/>
        <v>0</v>
      </c>
      <c r="N1666" s="12" t="s">
        <v>752</v>
      </c>
      <c r="O1666" s="26"/>
      <c r="P1666" s="47"/>
      <c r="Q1666" s="27"/>
      <c r="R1666" s="34"/>
      <c r="S1666" s="35">
        <f t="shared" si="1340"/>
        <v>0</v>
      </c>
      <c r="T1666" s="26"/>
      <c r="U1666" s="47"/>
      <c r="V1666" s="27"/>
      <c r="W1666" s="34"/>
      <c r="X1666" s="35">
        <f t="shared" si="1341"/>
        <v>0</v>
      </c>
      <c r="Y1666" s="108">
        <f t="shared" si="1327"/>
        <v>0</v>
      </c>
      <c r="Z1666" s="101" t="s">
        <v>753</v>
      </c>
    </row>
    <row r="1667" spans="1:26" x14ac:dyDescent="0.15">
      <c r="A1667" s="57"/>
      <c r="B1667" s="26"/>
      <c r="C1667" s="47"/>
      <c r="D1667" s="27"/>
      <c r="E1667" s="34"/>
      <c r="F1667" s="35">
        <f t="shared" si="1338"/>
        <v>0</v>
      </c>
      <c r="G1667" s="26"/>
      <c r="H1667" s="47"/>
      <c r="I1667" s="27"/>
      <c r="J1667" s="34"/>
      <c r="K1667" s="35">
        <f t="shared" si="1339"/>
        <v>0</v>
      </c>
      <c r="L1667" s="11">
        <f t="shared" si="1324"/>
        <v>0</v>
      </c>
      <c r="N1667" s="57" t="s">
        <v>1133</v>
      </c>
      <c r="O1667" s="66"/>
      <c r="P1667" s="67"/>
      <c r="Q1667" s="68"/>
      <c r="R1667" s="69"/>
      <c r="S1667" s="70">
        <f t="shared" si="1340"/>
        <v>0</v>
      </c>
      <c r="T1667" s="66"/>
      <c r="U1667" s="67"/>
      <c r="V1667" s="68"/>
      <c r="W1667" s="69"/>
      <c r="X1667" s="70">
        <f t="shared" si="1341"/>
        <v>0</v>
      </c>
      <c r="Y1667" s="11">
        <f t="shared" si="1327"/>
        <v>0</v>
      </c>
      <c r="Z1667" s="272" t="s">
        <v>1190</v>
      </c>
    </row>
    <row r="1668" spans="1:26" ht="14.25" thickBot="1" x14ac:dyDescent="0.2">
      <c r="A1668" s="90"/>
      <c r="B1668" s="62"/>
      <c r="C1668" s="63"/>
      <c r="D1668" s="64"/>
      <c r="E1668" s="65"/>
      <c r="F1668" s="35">
        <f t="shared" si="1338"/>
        <v>0</v>
      </c>
      <c r="G1668" s="62"/>
      <c r="H1668" s="63"/>
      <c r="I1668" s="64"/>
      <c r="J1668" s="65"/>
      <c r="K1668" s="35">
        <f t="shared" si="1339"/>
        <v>0</v>
      </c>
      <c r="L1668" s="14">
        <f t="shared" si="1324"/>
        <v>0</v>
      </c>
      <c r="N1668" s="135" t="s">
        <v>1287</v>
      </c>
      <c r="O1668" s="62"/>
      <c r="P1668" s="63"/>
      <c r="Q1668" s="64"/>
      <c r="R1668" s="65"/>
      <c r="S1668" s="120">
        <f t="shared" si="1340"/>
        <v>0</v>
      </c>
      <c r="T1668" s="62"/>
      <c r="U1668" s="63"/>
      <c r="V1668" s="64"/>
      <c r="W1668" s="65"/>
      <c r="X1668" s="120">
        <f t="shared" si="1341"/>
        <v>0</v>
      </c>
      <c r="Y1668" s="121">
        <f t="shared" si="1327"/>
        <v>0</v>
      </c>
      <c r="Z1668" s="101" t="s">
        <v>1289</v>
      </c>
    </row>
    <row r="1669" spans="1:26" ht="14.25" thickBot="1" x14ac:dyDescent="0.2">
      <c r="A1669" s="17" t="s">
        <v>10</v>
      </c>
      <c r="B1669" s="38">
        <f>SUM(B1644:B1668)</f>
        <v>2</v>
      </c>
      <c r="C1669" s="48">
        <f>SUM(C1644:C1668)</f>
        <v>-1</v>
      </c>
      <c r="D1669" s="39">
        <f>SUM(D1644:D1668)</f>
        <v>8</v>
      </c>
      <c r="E1669" s="40">
        <f>SUM(E1644:E1668)</f>
        <v>-3</v>
      </c>
      <c r="F1669" s="36">
        <f>SUM(B1669:E1669)</f>
        <v>6</v>
      </c>
      <c r="G1669" s="38">
        <f>SUM(G1644:G1668)</f>
        <v>-3</v>
      </c>
      <c r="H1669" s="48">
        <f>SUM(H1644:H1668)</f>
        <v>1</v>
      </c>
      <c r="I1669" s="39">
        <f>SUM(I1644:I1668)</f>
        <v>-3</v>
      </c>
      <c r="J1669" s="40">
        <f>SUM(J1644:J1668)</f>
        <v>-3</v>
      </c>
      <c r="K1669" s="36">
        <f>SUM(G1669:J1669)</f>
        <v>-8</v>
      </c>
      <c r="L1669" s="37">
        <f t="shared" si="1324"/>
        <v>-2</v>
      </c>
      <c r="N1669" s="133" t="s">
        <v>10</v>
      </c>
      <c r="O1669" s="38">
        <f>SUM(O1644:O1668)</f>
        <v>65</v>
      </c>
      <c r="P1669" s="48">
        <f>SUM(P1644:P1668)</f>
        <v>81</v>
      </c>
      <c r="Q1669" s="39">
        <f>SUM(Q1644:Q1668)</f>
        <v>28</v>
      </c>
      <c r="R1669" s="40">
        <f>SUM(R1644:R1668)</f>
        <v>19</v>
      </c>
      <c r="S1669" s="118">
        <f t="shared" si="1340"/>
        <v>193</v>
      </c>
      <c r="T1669" s="38">
        <f>SUM(T1644:T1668)</f>
        <v>31</v>
      </c>
      <c r="U1669" s="48">
        <f>SUM(U1644:U1668)</f>
        <v>30</v>
      </c>
      <c r="V1669" s="39">
        <f>SUM(V1644:V1668)</f>
        <v>22</v>
      </c>
      <c r="W1669" s="40">
        <f>SUM(W1644:W1668)</f>
        <v>13</v>
      </c>
      <c r="X1669" s="118">
        <f t="shared" si="1341"/>
        <v>96</v>
      </c>
      <c r="Y1669" s="119">
        <f t="shared" si="1327"/>
        <v>289</v>
      </c>
    </row>
    <row r="1670" spans="1:26" ht="14.25" thickBot="1" x14ac:dyDescent="0.2">
      <c r="A1670" s="22" t="s">
        <v>11</v>
      </c>
      <c r="B1670" s="41">
        <f>B1643-B1669</f>
        <v>5</v>
      </c>
      <c r="C1670" s="49">
        <f>C1643-C1669</f>
        <v>9</v>
      </c>
      <c r="D1670" s="42">
        <f t="shared" ref="D1670:K1670" si="1354">D1643-D1669</f>
        <v>4</v>
      </c>
      <c r="E1670" s="43">
        <f t="shared" si="1354"/>
        <v>13</v>
      </c>
      <c r="F1670" s="61">
        <f t="shared" si="1354"/>
        <v>27</v>
      </c>
      <c r="G1670" s="41">
        <f t="shared" si="1354"/>
        <v>10</v>
      </c>
      <c r="H1670" s="49">
        <f t="shared" si="1354"/>
        <v>7</v>
      </c>
      <c r="I1670" s="42">
        <f t="shared" si="1354"/>
        <v>11</v>
      </c>
      <c r="J1670" s="43">
        <f t="shared" si="1354"/>
        <v>11</v>
      </c>
      <c r="K1670" s="61">
        <f t="shared" si="1354"/>
        <v>39</v>
      </c>
      <c r="L1670" s="21">
        <f t="shared" si="1324"/>
        <v>66</v>
      </c>
      <c r="N1670" s="17" t="s">
        <v>11</v>
      </c>
      <c r="O1670" s="41">
        <f>O1643-O1669</f>
        <v>883</v>
      </c>
      <c r="P1670" s="49">
        <f t="shared" ref="P1670:Q1670" si="1355">P1643-P1669</f>
        <v>1024</v>
      </c>
      <c r="Q1670" s="42">
        <f t="shared" si="1355"/>
        <v>625</v>
      </c>
      <c r="R1670" s="43">
        <f>R1643-R1669</f>
        <v>545</v>
      </c>
      <c r="S1670" s="61">
        <f t="shared" ref="S1670:X1670" si="1356">S1643-S1669</f>
        <v>3077</v>
      </c>
      <c r="T1670" s="41">
        <f t="shared" si="1356"/>
        <v>800</v>
      </c>
      <c r="U1670" s="49">
        <f t="shared" si="1356"/>
        <v>963</v>
      </c>
      <c r="V1670" s="42">
        <f t="shared" si="1356"/>
        <v>608</v>
      </c>
      <c r="W1670" s="43">
        <f t="shared" si="1356"/>
        <v>512</v>
      </c>
      <c r="X1670" s="61">
        <f t="shared" si="1356"/>
        <v>2883</v>
      </c>
      <c r="Y1670" s="21">
        <f t="shared" si="1327"/>
        <v>5960</v>
      </c>
    </row>
    <row r="1673" spans="1:26" ht="19.5" thickBot="1" x14ac:dyDescent="0.25">
      <c r="A1673" s="2" t="s">
        <v>106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1036</v>
      </c>
      <c r="O1673" s="270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6" ht="14.25" thickBot="1" x14ac:dyDescent="0.2">
      <c r="A1674" s="5" t="s">
        <v>0</v>
      </c>
      <c r="B1674" s="342" t="s">
        <v>18</v>
      </c>
      <c r="C1674" s="350"/>
      <c r="D1674" s="350"/>
      <c r="E1674" s="350"/>
      <c r="F1674" s="351"/>
      <c r="G1674" s="345" t="s">
        <v>12</v>
      </c>
      <c r="H1674" s="352"/>
      <c r="I1674" s="352"/>
      <c r="J1674" s="352"/>
      <c r="K1674" s="353"/>
      <c r="L1674" s="354" t="s">
        <v>1</v>
      </c>
      <c r="N1674" s="5" t="s">
        <v>0</v>
      </c>
      <c r="O1674" s="342" t="s">
        <v>18</v>
      </c>
      <c r="P1674" s="343"/>
      <c r="Q1674" s="343"/>
      <c r="R1674" s="343"/>
      <c r="S1674" s="344"/>
      <c r="T1674" s="345" t="s">
        <v>12</v>
      </c>
      <c r="U1674" s="346"/>
      <c r="V1674" s="346"/>
      <c r="W1674" s="346"/>
      <c r="X1674" s="347"/>
      <c r="Y1674" s="348" t="s">
        <v>1</v>
      </c>
    </row>
    <row r="1675" spans="1:26" ht="14.25" thickBot="1" x14ac:dyDescent="0.2">
      <c r="A1675" s="5" t="s">
        <v>2</v>
      </c>
      <c r="B1675" s="3" t="s">
        <v>13</v>
      </c>
      <c r="C1675" s="44" t="s">
        <v>14</v>
      </c>
      <c r="D1675" s="4" t="s">
        <v>15</v>
      </c>
      <c r="E1675" s="23" t="s">
        <v>16</v>
      </c>
      <c r="F1675" s="31" t="s">
        <v>3</v>
      </c>
      <c r="G1675" s="3" t="s">
        <v>13</v>
      </c>
      <c r="H1675" s="44" t="s">
        <v>14</v>
      </c>
      <c r="I1675" s="4" t="s">
        <v>15</v>
      </c>
      <c r="J1675" s="23" t="s">
        <v>16</v>
      </c>
      <c r="K1675" s="31" t="s">
        <v>3</v>
      </c>
      <c r="L1675" s="355"/>
      <c r="N1675" s="5" t="s">
        <v>2</v>
      </c>
      <c r="O1675" s="3" t="s">
        <v>13</v>
      </c>
      <c r="P1675" s="44" t="s">
        <v>14</v>
      </c>
      <c r="Q1675" s="4" t="s">
        <v>15</v>
      </c>
      <c r="R1675" s="23" t="s">
        <v>16</v>
      </c>
      <c r="S1675" s="31" t="s">
        <v>3</v>
      </c>
      <c r="T1675" s="3" t="s">
        <v>13</v>
      </c>
      <c r="U1675" s="44" t="s">
        <v>14</v>
      </c>
      <c r="V1675" s="4" t="s">
        <v>15</v>
      </c>
      <c r="W1675" s="23" t="s">
        <v>16</v>
      </c>
      <c r="X1675" s="31" t="s">
        <v>3</v>
      </c>
      <c r="Y1675" s="349"/>
    </row>
    <row r="1676" spans="1:26" x14ac:dyDescent="0.15">
      <c r="A1676" s="71" t="s">
        <v>17</v>
      </c>
      <c r="B1676" s="72">
        <f>B1670</f>
        <v>5</v>
      </c>
      <c r="C1676" s="73">
        <f t="shared" ref="C1676:L1676" si="1357">C1670</f>
        <v>9</v>
      </c>
      <c r="D1676" s="73">
        <f t="shared" si="1357"/>
        <v>4</v>
      </c>
      <c r="E1676" s="74">
        <f t="shared" si="1357"/>
        <v>13</v>
      </c>
      <c r="F1676" s="76">
        <f t="shared" si="1357"/>
        <v>27</v>
      </c>
      <c r="G1676" s="72">
        <f t="shared" si="1357"/>
        <v>10</v>
      </c>
      <c r="H1676" s="73">
        <f t="shared" si="1357"/>
        <v>7</v>
      </c>
      <c r="I1676" s="73">
        <f t="shared" si="1357"/>
        <v>11</v>
      </c>
      <c r="J1676" s="74">
        <f t="shared" si="1357"/>
        <v>11</v>
      </c>
      <c r="K1676" s="75">
        <f t="shared" si="1357"/>
        <v>39</v>
      </c>
      <c r="L1676" s="16">
        <f t="shared" si="1357"/>
        <v>66</v>
      </c>
      <c r="N1676" s="71" t="s">
        <v>17</v>
      </c>
      <c r="O1676" s="72">
        <f>O1670</f>
        <v>883</v>
      </c>
      <c r="P1676" s="73">
        <f t="shared" ref="P1676:Y1676" si="1358">P1670</f>
        <v>1024</v>
      </c>
      <c r="Q1676" s="73">
        <f t="shared" si="1358"/>
        <v>625</v>
      </c>
      <c r="R1676" s="74">
        <f t="shared" si="1358"/>
        <v>545</v>
      </c>
      <c r="S1676" s="76">
        <f t="shared" si="1358"/>
        <v>3077</v>
      </c>
      <c r="T1676" s="72">
        <f t="shared" si="1358"/>
        <v>800</v>
      </c>
      <c r="U1676" s="73">
        <f t="shared" si="1358"/>
        <v>963</v>
      </c>
      <c r="V1676" s="73">
        <f t="shared" si="1358"/>
        <v>608</v>
      </c>
      <c r="W1676" s="74">
        <f t="shared" si="1358"/>
        <v>512</v>
      </c>
      <c r="X1676" s="75">
        <f t="shared" si="1358"/>
        <v>2883</v>
      </c>
      <c r="Y1676" s="16">
        <f t="shared" si="1358"/>
        <v>5960</v>
      </c>
    </row>
    <row r="1677" spans="1:26" x14ac:dyDescent="0.15">
      <c r="A1677" s="79" t="s">
        <v>1394</v>
      </c>
      <c r="B1677" s="26"/>
      <c r="C1677" s="47"/>
      <c r="D1677" s="27"/>
      <c r="E1677" s="34"/>
      <c r="F1677" s="35">
        <f t="shared" ref="F1677:F1678" si="1359">SUM(B1677:E1677)</f>
        <v>0</v>
      </c>
      <c r="G1677" s="26">
        <v>1</v>
      </c>
      <c r="H1677" s="47"/>
      <c r="I1677" s="27"/>
      <c r="J1677" s="34"/>
      <c r="K1677" s="35">
        <f t="shared" ref="K1677:K1678" si="1360">SUM(G1677:J1677)</f>
        <v>1</v>
      </c>
      <c r="L1677" s="11">
        <f t="shared" ref="L1677:L1680" si="1361">F1677+K1677</f>
        <v>1</v>
      </c>
      <c r="M1677" s="126">
        <v>45570</v>
      </c>
      <c r="N1677" s="13" t="s">
        <v>350</v>
      </c>
      <c r="O1677" s="26"/>
      <c r="P1677" s="47"/>
      <c r="Q1677" s="27"/>
      <c r="R1677" s="34">
        <v>8</v>
      </c>
      <c r="S1677" s="77">
        <f t="shared" ref="S1677" si="1362">SUM(O1677:R1677)</f>
        <v>8</v>
      </c>
      <c r="T1677" s="26">
        <v>4</v>
      </c>
      <c r="U1677" s="47"/>
      <c r="V1677" s="27">
        <v>6</v>
      </c>
      <c r="W1677" s="34">
        <v>6</v>
      </c>
      <c r="X1677" s="9">
        <f t="shared" ref="X1677" si="1363">SUM(T1677:W1677)</f>
        <v>16</v>
      </c>
      <c r="Y1677" s="11">
        <f t="shared" ref="Y1677" si="1364">S1677+X1677</f>
        <v>24</v>
      </c>
      <c r="Z1677" s="126">
        <v>45570</v>
      </c>
    </row>
    <row r="1678" spans="1:26" x14ac:dyDescent="0.15">
      <c r="A1678" s="79" t="s">
        <v>1395</v>
      </c>
      <c r="B1678" s="26">
        <v>1</v>
      </c>
      <c r="C1678" s="47"/>
      <c r="D1678" s="27"/>
      <c r="E1678" s="34"/>
      <c r="F1678" s="35">
        <f t="shared" si="1359"/>
        <v>1</v>
      </c>
      <c r="G1678" s="26"/>
      <c r="H1678" s="47"/>
      <c r="I1678" s="27"/>
      <c r="J1678" s="34"/>
      <c r="K1678" s="35">
        <f t="shared" si="1360"/>
        <v>0</v>
      </c>
      <c r="L1678" s="11">
        <f t="shared" si="1361"/>
        <v>1</v>
      </c>
      <c r="M1678" s="126">
        <v>45570</v>
      </c>
      <c r="N1678" s="13" t="s">
        <v>6</v>
      </c>
      <c r="O1678" s="26"/>
      <c r="P1678" s="47"/>
      <c r="Q1678" s="27"/>
      <c r="R1678" s="34"/>
      <c r="S1678" s="77">
        <f t="shared" ref="S1678" si="1365">SUM(O1678:R1678)</f>
        <v>0</v>
      </c>
      <c r="T1678" s="26"/>
      <c r="U1678" s="47"/>
      <c r="V1678" s="27"/>
      <c r="W1678" s="34"/>
      <c r="X1678" s="9">
        <f t="shared" ref="X1678" si="1366">SUM(T1678:W1678)</f>
        <v>0</v>
      </c>
      <c r="Y1678" s="11">
        <f t="shared" ref="Y1678" si="1367">S1678+X1678</f>
        <v>0</v>
      </c>
    </row>
    <row r="1679" spans="1:26" x14ac:dyDescent="0.15">
      <c r="A1679" s="13" t="s">
        <v>1400</v>
      </c>
      <c r="B1679" s="26"/>
      <c r="C1679" s="47"/>
      <c r="D1679" s="27">
        <v>1</v>
      </c>
      <c r="E1679" s="50">
        <v>2</v>
      </c>
      <c r="F1679" s="9">
        <f>SUM(B1679:E1679)</f>
        <v>3</v>
      </c>
      <c r="G1679" s="47"/>
      <c r="H1679" s="47"/>
      <c r="I1679" s="27">
        <v>1</v>
      </c>
      <c r="J1679" s="50"/>
      <c r="K1679" s="9">
        <f>SUM(G1679:J1679)</f>
        <v>1</v>
      </c>
      <c r="L1679" s="108">
        <f t="shared" si="1361"/>
        <v>4</v>
      </c>
      <c r="M1679" s="126">
        <v>45574</v>
      </c>
      <c r="N1679" s="13" t="s">
        <v>7</v>
      </c>
      <c r="O1679" s="26"/>
      <c r="P1679" s="47"/>
      <c r="Q1679" s="27"/>
      <c r="R1679" s="34"/>
      <c r="S1679" s="77">
        <f t="shared" ref="S1679:S1680" si="1368">SUM(O1679:R1679)</f>
        <v>0</v>
      </c>
      <c r="T1679" s="26"/>
      <c r="U1679" s="47"/>
      <c r="V1679" s="27"/>
      <c r="W1679" s="34"/>
      <c r="X1679" s="9">
        <f t="shared" ref="X1679:X1680" si="1369">SUM(T1679:W1679)</f>
        <v>0</v>
      </c>
      <c r="Y1679" s="11">
        <f t="shared" ref="Y1679:Y1708" si="1370">S1679+X1679</f>
        <v>0</v>
      </c>
    </row>
    <row r="1680" spans="1:26" ht="14.25" thickBot="1" x14ac:dyDescent="0.2">
      <c r="A1680" s="79" t="s">
        <v>1414</v>
      </c>
      <c r="B1680" s="66"/>
      <c r="C1680" s="67">
        <v>1</v>
      </c>
      <c r="D1680" s="68">
        <v>3</v>
      </c>
      <c r="E1680" s="94">
        <v>4</v>
      </c>
      <c r="F1680" s="91">
        <f>SUM(B1680:E1680)</f>
        <v>8</v>
      </c>
      <c r="G1680" s="67"/>
      <c r="H1680" s="67">
        <v>1</v>
      </c>
      <c r="I1680" s="68">
        <v>1</v>
      </c>
      <c r="J1680" s="94"/>
      <c r="K1680" s="91">
        <f>SUM(G1680:J1680)</f>
        <v>2</v>
      </c>
      <c r="L1680" s="11">
        <f t="shared" si="1361"/>
        <v>10</v>
      </c>
      <c r="M1680" s="126">
        <v>45582</v>
      </c>
      <c r="N1680" s="13" t="s">
        <v>8</v>
      </c>
      <c r="O1680" s="26"/>
      <c r="P1680" s="47"/>
      <c r="Q1680" s="27">
        <v>10</v>
      </c>
      <c r="R1680" s="34"/>
      <c r="S1680" s="77">
        <f t="shared" si="1368"/>
        <v>10</v>
      </c>
      <c r="T1680" s="26"/>
      <c r="U1680" s="47"/>
      <c r="V1680" s="27"/>
      <c r="W1680" s="34"/>
      <c r="X1680" s="9">
        <f t="shared" si="1369"/>
        <v>0</v>
      </c>
      <c r="Y1680" s="11">
        <f t="shared" si="1370"/>
        <v>10</v>
      </c>
    </row>
    <row r="1681" spans="1:29" ht="14.25" thickBot="1" x14ac:dyDescent="0.2">
      <c r="A1681" s="22" t="s">
        <v>9</v>
      </c>
      <c r="B1681" s="41">
        <f t="shared" ref="B1681:K1681" si="1371">SUM(B1676:B1680)</f>
        <v>6</v>
      </c>
      <c r="C1681" s="49">
        <f t="shared" si="1371"/>
        <v>10</v>
      </c>
      <c r="D1681" s="42">
        <f t="shared" si="1371"/>
        <v>8</v>
      </c>
      <c r="E1681" s="92">
        <f t="shared" si="1371"/>
        <v>19</v>
      </c>
      <c r="F1681" s="132">
        <f t="shared" si="1371"/>
        <v>39</v>
      </c>
      <c r="G1681" s="41">
        <f t="shared" si="1371"/>
        <v>11</v>
      </c>
      <c r="H1681" s="49">
        <f t="shared" si="1371"/>
        <v>8</v>
      </c>
      <c r="I1681" s="42">
        <f t="shared" si="1371"/>
        <v>13</v>
      </c>
      <c r="J1681" s="92">
        <f t="shared" si="1371"/>
        <v>11</v>
      </c>
      <c r="K1681" s="132">
        <f t="shared" si="1371"/>
        <v>43</v>
      </c>
      <c r="L1681" s="21">
        <f t="shared" ref="L1681:L1708" si="1372">F1681+K1681</f>
        <v>82</v>
      </c>
      <c r="N1681" s="17" t="s">
        <v>9</v>
      </c>
      <c r="O1681" s="41">
        <f>SUM(O1676:O1680)</f>
        <v>883</v>
      </c>
      <c r="P1681" s="49">
        <f t="shared" ref="P1681:V1681" si="1373">SUM(P1676:P1680)</f>
        <v>1024</v>
      </c>
      <c r="Q1681" s="42">
        <f t="shared" si="1373"/>
        <v>635</v>
      </c>
      <c r="R1681" s="92">
        <f t="shared" si="1373"/>
        <v>553</v>
      </c>
      <c r="S1681" s="93">
        <f t="shared" si="1373"/>
        <v>3095</v>
      </c>
      <c r="T1681" s="41">
        <f t="shared" si="1373"/>
        <v>804</v>
      </c>
      <c r="U1681" s="49">
        <f t="shared" si="1373"/>
        <v>963</v>
      </c>
      <c r="V1681" s="42">
        <f t="shared" si="1373"/>
        <v>614</v>
      </c>
      <c r="W1681" s="92">
        <f>SUM(W1676:W1680)</f>
        <v>518</v>
      </c>
      <c r="X1681" s="93">
        <f t="shared" ref="X1681" si="1374">SUM(X1676:X1680)</f>
        <v>2899</v>
      </c>
      <c r="Y1681" s="56">
        <f t="shared" si="1370"/>
        <v>5994</v>
      </c>
    </row>
    <row r="1682" spans="1:29" x14ac:dyDescent="0.15">
      <c r="A1682" s="32" t="s">
        <v>1381</v>
      </c>
      <c r="B1682" s="66"/>
      <c r="C1682" s="67"/>
      <c r="D1682" s="68"/>
      <c r="E1682" s="69"/>
      <c r="F1682" s="70">
        <f t="shared" ref="F1682" si="1375">SUM(B1682:E1682)</f>
        <v>0</v>
      </c>
      <c r="G1682" s="66">
        <v>1</v>
      </c>
      <c r="H1682" s="67"/>
      <c r="I1682" s="68"/>
      <c r="J1682" s="69"/>
      <c r="K1682" s="70">
        <f t="shared" ref="K1682" si="1376">SUM(G1682:J1682)</f>
        <v>1</v>
      </c>
      <c r="L1682" s="11">
        <f t="shared" si="1372"/>
        <v>1</v>
      </c>
      <c r="M1682" s="99">
        <v>45568</v>
      </c>
      <c r="N1682" s="57" t="s">
        <v>1378</v>
      </c>
      <c r="O1682" s="26"/>
      <c r="P1682" s="47"/>
      <c r="Q1682" s="27"/>
      <c r="R1682" s="34">
        <v>2</v>
      </c>
      <c r="S1682" s="35">
        <f t="shared" ref="S1682:S1688" si="1377">SUM(O1682:R1682)</f>
        <v>2</v>
      </c>
      <c r="T1682" s="26"/>
      <c r="U1682" s="47"/>
      <c r="V1682" s="27"/>
      <c r="W1682" s="50"/>
      <c r="X1682" s="80">
        <f t="shared" ref="X1682:X1688" si="1378">SUM(T1682:W1682)</f>
        <v>0</v>
      </c>
      <c r="Y1682" s="11">
        <f t="shared" si="1370"/>
        <v>2</v>
      </c>
      <c r="Z1682" s="99">
        <v>45572</v>
      </c>
      <c r="AA1682" s="58"/>
      <c r="AB1682" s="58"/>
      <c r="AC1682" s="58"/>
    </row>
    <row r="1683" spans="1:29" x14ac:dyDescent="0.15">
      <c r="A1683" s="32" t="s">
        <v>1390</v>
      </c>
      <c r="B1683" s="26"/>
      <c r="C1683" s="47">
        <v>-1</v>
      </c>
      <c r="D1683" s="27"/>
      <c r="E1683" s="34"/>
      <c r="F1683" s="35">
        <f>SUM(B1683:E1683)</f>
        <v>-1</v>
      </c>
      <c r="G1683" s="26"/>
      <c r="H1683" s="47">
        <v>1</v>
      </c>
      <c r="I1683" s="27"/>
      <c r="J1683" s="34"/>
      <c r="K1683" s="35">
        <f>SUM(G1683:J1683)</f>
        <v>1</v>
      </c>
      <c r="L1683" s="11">
        <f t="shared" si="1372"/>
        <v>0</v>
      </c>
      <c r="M1683" s="99">
        <v>45569</v>
      </c>
      <c r="N1683" s="12" t="s">
        <v>1383</v>
      </c>
      <c r="O1683" s="26">
        <v>12</v>
      </c>
      <c r="P1683" s="47">
        <v>2</v>
      </c>
      <c r="Q1683" s="27">
        <v>6</v>
      </c>
      <c r="R1683" s="34">
        <v>6</v>
      </c>
      <c r="S1683" s="35">
        <f t="shared" si="1377"/>
        <v>26</v>
      </c>
      <c r="T1683" s="26"/>
      <c r="U1683" s="47">
        <v>2</v>
      </c>
      <c r="V1683" s="27"/>
      <c r="W1683" s="50"/>
      <c r="X1683" s="9">
        <f t="shared" si="1378"/>
        <v>2</v>
      </c>
      <c r="Y1683" s="11">
        <f t="shared" si="1370"/>
        <v>28</v>
      </c>
      <c r="Z1683" s="99">
        <v>45568</v>
      </c>
      <c r="AA1683" s="58"/>
    </row>
    <row r="1684" spans="1:29" x14ac:dyDescent="0.15">
      <c r="A1684" s="13" t="s">
        <v>1393</v>
      </c>
      <c r="B1684" s="26"/>
      <c r="C1684" s="47"/>
      <c r="D1684" s="27"/>
      <c r="E1684" s="34">
        <v>8</v>
      </c>
      <c r="F1684" s="35">
        <f t="shared" ref="F1684:F1706" si="1379">SUM(B1684:E1684)</f>
        <v>8</v>
      </c>
      <c r="G1684" s="26">
        <v>4</v>
      </c>
      <c r="H1684" s="47"/>
      <c r="I1684" s="27">
        <v>6</v>
      </c>
      <c r="J1684" s="34">
        <v>6</v>
      </c>
      <c r="K1684" s="35">
        <f t="shared" ref="K1684:K1706" si="1380">SUM(G1684:J1684)</f>
        <v>16</v>
      </c>
      <c r="L1684" s="11">
        <f t="shared" si="1372"/>
        <v>24</v>
      </c>
      <c r="M1684" s="126">
        <v>45570</v>
      </c>
      <c r="N1684" s="12" t="s">
        <v>1384</v>
      </c>
      <c r="O1684" s="26"/>
      <c r="P1684" s="47"/>
      <c r="Q1684" s="27"/>
      <c r="R1684" s="34">
        <v>10</v>
      </c>
      <c r="S1684" s="35">
        <f t="shared" si="1377"/>
        <v>10</v>
      </c>
      <c r="T1684" s="26"/>
      <c r="U1684" s="47"/>
      <c r="V1684" s="27">
        <v>10</v>
      </c>
      <c r="W1684" s="50">
        <v>10</v>
      </c>
      <c r="X1684" s="9">
        <f t="shared" si="1378"/>
        <v>20</v>
      </c>
      <c r="Y1684" s="11">
        <f t="shared" si="1370"/>
        <v>30</v>
      </c>
      <c r="Z1684" s="99">
        <v>45573</v>
      </c>
      <c r="AA1684" s="58"/>
    </row>
    <row r="1685" spans="1:29" x14ac:dyDescent="0.15">
      <c r="A1685" s="32" t="s">
        <v>1397</v>
      </c>
      <c r="B1685" s="66">
        <v>1</v>
      </c>
      <c r="C1685" s="67"/>
      <c r="D1685" s="68"/>
      <c r="E1685" s="69"/>
      <c r="F1685" s="70">
        <f t="shared" si="1379"/>
        <v>1</v>
      </c>
      <c r="G1685" s="66">
        <v>1</v>
      </c>
      <c r="H1685" s="67"/>
      <c r="I1685" s="68"/>
      <c r="J1685" s="69"/>
      <c r="K1685" s="70">
        <f t="shared" si="1380"/>
        <v>1</v>
      </c>
      <c r="L1685" s="11">
        <f t="shared" si="1372"/>
        <v>2</v>
      </c>
      <c r="M1685" s="126">
        <v>45572</v>
      </c>
      <c r="N1685" s="173" t="s">
        <v>1386</v>
      </c>
      <c r="O1685" s="26">
        <v>10</v>
      </c>
      <c r="P1685" s="47">
        <v>13</v>
      </c>
      <c r="Q1685" s="27">
        <v>17</v>
      </c>
      <c r="R1685" s="34">
        <v>7</v>
      </c>
      <c r="S1685" s="35">
        <f t="shared" si="1377"/>
        <v>47</v>
      </c>
      <c r="T1685" s="26">
        <v>7</v>
      </c>
      <c r="U1685" s="47"/>
      <c r="V1685" s="27"/>
      <c r="W1685" s="50"/>
      <c r="X1685" s="9">
        <f t="shared" si="1378"/>
        <v>7</v>
      </c>
      <c r="Y1685" s="11">
        <f t="shared" si="1370"/>
        <v>54</v>
      </c>
      <c r="Z1685" s="99">
        <v>45569</v>
      </c>
      <c r="AA1685" s="58"/>
      <c r="AB1685" s="58"/>
    </row>
    <row r="1686" spans="1:29" x14ac:dyDescent="0.15">
      <c r="A1686" s="32" t="s">
        <v>41</v>
      </c>
      <c r="B1686" s="26"/>
      <c r="C1686" s="47"/>
      <c r="D1686" s="27"/>
      <c r="E1686" s="34">
        <v>1</v>
      </c>
      <c r="F1686" s="35">
        <f t="shared" si="1379"/>
        <v>1</v>
      </c>
      <c r="G1686" s="26"/>
      <c r="H1686" s="47"/>
      <c r="I1686" s="27">
        <v>1</v>
      </c>
      <c r="J1686" s="34">
        <v>1</v>
      </c>
      <c r="K1686" s="35">
        <f t="shared" si="1380"/>
        <v>2</v>
      </c>
      <c r="L1686" s="11">
        <f t="shared" si="1372"/>
        <v>3</v>
      </c>
      <c r="M1686" s="126">
        <v>45574</v>
      </c>
      <c r="N1686" s="173" t="s">
        <v>1387</v>
      </c>
      <c r="O1686" s="26">
        <v>10</v>
      </c>
      <c r="P1686" s="47">
        <v>7</v>
      </c>
      <c r="Q1686" s="27">
        <v>1</v>
      </c>
      <c r="R1686" s="34">
        <v>4</v>
      </c>
      <c r="S1686" s="35">
        <f t="shared" si="1377"/>
        <v>22</v>
      </c>
      <c r="T1686" s="271"/>
      <c r="U1686" s="27">
        <v>5</v>
      </c>
      <c r="V1686" s="47">
        <v>4</v>
      </c>
      <c r="W1686" s="50">
        <v>4</v>
      </c>
      <c r="X1686" s="9">
        <f t="shared" si="1378"/>
        <v>13</v>
      </c>
      <c r="Y1686" s="11">
        <f t="shared" si="1370"/>
        <v>35</v>
      </c>
      <c r="Z1686" s="99">
        <v>45569</v>
      </c>
      <c r="AA1686" s="58"/>
      <c r="AB1686" s="58"/>
    </row>
    <row r="1687" spans="1:29" x14ac:dyDescent="0.15">
      <c r="A1687" s="32" t="s">
        <v>41</v>
      </c>
      <c r="B1687" s="26"/>
      <c r="C1687" s="47">
        <v>1</v>
      </c>
      <c r="D1687" s="27"/>
      <c r="E1687" s="34"/>
      <c r="F1687" s="35">
        <f t="shared" si="1379"/>
        <v>1</v>
      </c>
      <c r="G1687" s="26"/>
      <c r="H1687" s="47"/>
      <c r="I1687" s="27">
        <v>1</v>
      </c>
      <c r="J1687" s="34"/>
      <c r="K1687" s="35">
        <f t="shared" si="1380"/>
        <v>1</v>
      </c>
      <c r="L1687" s="11">
        <f t="shared" si="1372"/>
        <v>2</v>
      </c>
      <c r="M1687" s="126">
        <v>45575</v>
      </c>
      <c r="N1687" s="57" t="s">
        <v>1388</v>
      </c>
      <c r="O1687" s="26">
        <v>15</v>
      </c>
      <c r="P1687" s="47">
        <v>20</v>
      </c>
      <c r="Q1687" s="27">
        <v>10</v>
      </c>
      <c r="R1687" s="34">
        <v>10</v>
      </c>
      <c r="S1687" s="35">
        <f t="shared" si="1377"/>
        <v>55</v>
      </c>
      <c r="T1687" s="26">
        <v>3</v>
      </c>
      <c r="U1687" s="47">
        <v>5</v>
      </c>
      <c r="V1687" s="27">
        <v>5</v>
      </c>
      <c r="W1687" s="50">
        <v>4</v>
      </c>
      <c r="X1687" s="9">
        <f t="shared" si="1378"/>
        <v>17</v>
      </c>
      <c r="Y1687" s="11">
        <f t="shared" si="1370"/>
        <v>72</v>
      </c>
      <c r="Z1687" s="99">
        <v>45572</v>
      </c>
      <c r="AA1687" s="58"/>
      <c r="AB1687" s="58"/>
    </row>
    <row r="1688" spans="1:29" x14ac:dyDescent="0.15">
      <c r="A1688" s="32" t="s">
        <v>41</v>
      </c>
      <c r="B1688" s="26"/>
      <c r="C1688" s="47">
        <v>1</v>
      </c>
      <c r="D1688" s="27">
        <f>1+1</f>
        <v>2</v>
      </c>
      <c r="E1688" s="34">
        <v>1</v>
      </c>
      <c r="F1688" s="35">
        <f t="shared" si="1379"/>
        <v>4</v>
      </c>
      <c r="G1688" s="26"/>
      <c r="H1688" s="47">
        <v>2</v>
      </c>
      <c r="I1688" s="27">
        <v>1</v>
      </c>
      <c r="J1688" s="34"/>
      <c r="K1688" s="35">
        <f t="shared" si="1380"/>
        <v>3</v>
      </c>
      <c r="L1688" s="11">
        <f t="shared" si="1372"/>
        <v>7</v>
      </c>
      <c r="M1688" s="126">
        <v>45580</v>
      </c>
      <c r="N1688" s="173" t="s">
        <v>1389</v>
      </c>
      <c r="O1688" s="26">
        <v>2</v>
      </c>
      <c r="P1688" s="47">
        <v>4</v>
      </c>
      <c r="Q1688" s="27">
        <v>7</v>
      </c>
      <c r="R1688" s="34">
        <v>4</v>
      </c>
      <c r="S1688" s="35">
        <f t="shared" si="1377"/>
        <v>17</v>
      </c>
      <c r="T1688" s="26">
        <v>1</v>
      </c>
      <c r="U1688" s="47">
        <v>1</v>
      </c>
      <c r="V1688" s="27">
        <v>6</v>
      </c>
      <c r="W1688" s="50"/>
      <c r="X1688" s="9">
        <f t="shared" si="1378"/>
        <v>8</v>
      </c>
      <c r="Y1688" s="11">
        <f t="shared" si="1370"/>
        <v>25</v>
      </c>
      <c r="Z1688" s="99">
        <v>45572</v>
      </c>
      <c r="AA1688" s="58"/>
    </row>
    <row r="1689" spans="1:29" x14ac:dyDescent="0.15">
      <c r="A1689" s="32" t="s">
        <v>1415</v>
      </c>
      <c r="B1689" s="26">
        <v>-2</v>
      </c>
      <c r="C1689" s="47"/>
      <c r="D1689" s="27"/>
      <c r="E1689" s="34"/>
      <c r="F1689" s="35">
        <f t="shared" si="1379"/>
        <v>-2</v>
      </c>
      <c r="G1689" s="26"/>
      <c r="H1689" s="47"/>
      <c r="I1689" s="27"/>
      <c r="J1689" s="34"/>
      <c r="K1689" s="35">
        <f t="shared" si="1380"/>
        <v>0</v>
      </c>
      <c r="L1689" s="11">
        <f t="shared" si="1372"/>
        <v>-2</v>
      </c>
      <c r="M1689" s="126">
        <v>45582</v>
      </c>
      <c r="N1689" s="173" t="s">
        <v>1396</v>
      </c>
      <c r="O1689" s="26">
        <v>8</v>
      </c>
      <c r="P1689" s="47">
        <v>13</v>
      </c>
      <c r="Q1689" s="27">
        <v>6</v>
      </c>
      <c r="R1689" s="50">
        <v>9</v>
      </c>
      <c r="S1689" s="9">
        <f>SUM(O1689:R1689)</f>
        <v>36</v>
      </c>
      <c r="T1689" s="47">
        <v>2</v>
      </c>
      <c r="U1689" s="47">
        <v>3</v>
      </c>
      <c r="V1689" s="27">
        <v>3</v>
      </c>
      <c r="W1689" s="50"/>
      <c r="X1689" s="9">
        <f>SUM(T1689:W1689)</f>
        <v>8</v>
      </c>
      <c r="Y1689" s="11">
        <f t="shared" si="1370"/>
        <v>44</v>
      </c>
      <c r="Z1689" s="99">
        <v>45574</v>
      </c>
      <c r="AA1689" s="58"/>
    </row>
    <row r="1690" spans="1:29" x14ac:dyDescent="0.15">
      <c r="A1690" s="32" t="s">
        <v>41</v>
      </c>
      <c r="B1690" s="26"/>
      <c r="C1690" s="47"/>
      <c r="D1690" s="27"/>
      <c r="E1690" s="34"/>
      <c r="F1690" s="35">
        <f t="shared" si="1379"/>
        <v>0</v>
      </c>
      <c r="G1690" s="26"/>
      <c r="H1690" s="47"/>
      <c r="I1690" s="27">
        <v>1</v>
      </c>
      <c r="J1690" s="34"/>
      <c r="K1690" s="35">
        <f t="shared" si="1380"/>
        <v>1</v>
      </c>
      <c r="L1690" s="11">
        <f t="shared" si="1372"/>
        <v>1</v>
      </c>
      <c r="M1690" s="126">
        <v>45586</v>
      </c>
      <c r="N1690" s="173" t="s">
        <v>1398</v>
      </c>
      <c r="O1690" s="26">
        <v>6</v>
      </c>
      <c r="P1690" s="47">
        <v>7</v>
      </c>
      <c r="Q1690" s="27">
        <v>6</v>
      </c>
      <c r="R1690" s="34">
        <v>6</v>
      </c>
      <c r="S1690" s="35">
        <f t="shared" ref="S1690:S1707" si="1381">SUM(O1690:R1690)</f>
        <v>25</v>
      </c>
      <c r="T1690" s="26"/>
      <c r="U1690" s="47">
        <v>4</v>
      </c>
      <c r="V1690" s="27">
        <v>1</v>
      </c>
      <c r="W1690" s="50">
        <v>3</v>
      </c>
      <c r="X1690" s="9">
        <f t="shared" ref="X1690:X1707" si="1382">SUM(T1690:W1690)</f>
        <v>8</v>
      </c>
      <c r="Y1690" s="11">
        <f t="shared" si="1370"/>
        <v>33</v>
      </c>
      <c r="Z1690" s="99">
        <v>45575</v>
      </c>
      <c r="AA1690" s="58"/>
    </row>
    <row r="1691" spans="1:29" x14ac:dyDescent="0.15">
      <c r="A1691" s="32"/>
      <c r="B1691" s="26"/>
      <c r="C1691" s="47"/>
      <c r="D1691" s="27"/>
      <c r="E1691" s="34"/>
      <c r="F1691" s="35">
        <f t="shared" si="1379"/>
        <v>0</v>
      </c>
      <c r="G1691" s="26"/>
      <c r="H1691" s="47"/>
      <c r="I1691" s="27"/>
      <c r="J1691" s="34"/>
      <c r="K1691" s="35">
        <f t="shared" si="1380"/>
        <v>0</v>
      </c>
      <c r="L1691" s="11">
        <f t="shared" si="1372"/>
        <v>0</v>
      </c>
      <c r="N1691" s="173" t="s">
        <v>1399</v>
      </c>
      <c r="O1691" s="26">
        <v>3</v>
      </c>
      <c r="P1691" s="47">
        <v>4</v>
      </c>
      <c r="Q1691" s="27">
        <v>4</v>
      </c>
      <c r="R1691" s="34">
        <v>6</v>
      </c>
      <c r="S1691" s="35">
        <f t="shared" si="1381"/>
        <v>17</v>
      </c>
      <c r="T1691" s="26"/>
      <c r="U1691" s="47">
        <v>4</v>
      </c>
      <c r="V1691" s="27">
        <v>5</v>
      </c>
      <c r="W1691" s="50">
        <v>1</v>
      </c>
      <c r="X1691" s="9">
        <f t="shared" si="1382"/>
        <v>10</v>
      </c>
      <c r="Y1691" s="11">
        <f t="shared" si="1370"/>
        <v>27</v>
      </c>
      <c r="Z1691" s="99">
        <v>45576</v>
      </c>
      <c r="AA1691" s="58"/>
    </row>
    <row r="1692" spans="1:29" x14ac:dyDescent="0.15">
      <c r="A1692" s="15"/>
      <c r="B1692" s="26"/>
      <c r="C1692" s="47"/>
      <c r="D1692" s="27"/>
      <c r="E1692" s="34"/>
      <c r="F1692" s="35">
        <f t="shared" si="1379"/>
        <v>0</v>
      </c>
      <c r="G1692" s="26"/>
      <c r="H1692" s="47"/>
      <c r="I1692" s="27"/>
      <c r="J1692" s="34"/>
      <c r="K1692" s="35">
        <f t="shared" si="1380"/>
        <v>0</v>
      </c>
      <c r="L1692" s="11">
        <f t="shared" si="1372"/>
        <v>0</v>
      </c>
      <c r="N1692" s="57" t="s">
        <v>1401</v>
      </c>
      <c r="O1692" s="26"/>
      <c r="P1692" s="47">
        <v>10</v>
      </c>
      <c r="Q1692" s="27">
        <v>15</v>
      </c>
      <c r="R1692" s="34">
        <v>3</v>
      </c>
      <c r="S1692" s="35">
        <f t="shared" si="1381"/>
        <v>28</v>
      </c>
      <c r="T1692" s="26">
        <v>10</v>
      </c>
      <c r="U1692" s="47">
        <v>20</v>
      </c>
      <c r="V1692" s="27">
        <v>10</v>
      </c>
      <c r="W1692" s="50"/>
      <c r="X1692" s="9">
        <f t="shared" si="1382"/>
        <v>40</v>
      </c>
      <c r="Y1692" s="11">
        <f t="shared" si="1370"/>
        <v>68</v>
      </c>
      <c r="Z1692" s="99">
        <v>45575</v>
      </c>
      <c r="AA1692" s="58"/>
    </row>
    <row r="1693" spans="1:29" x14ac:dyDescent="0.15">
      <c r="A1693" s="13"/>
      <c r="B1693" s="26"/>
      <c r="C1693" s="47"/>
      <c r="D1693" s="27"/>
      <c r="E1693" s="34"/>
      <c r="F1693" s="35">
        <f t="shared" si="1379"/>
        <v>0</v>
      </c>
      <c r="G1693" s="26"/>
      <c r="H1693" s="47"/>
      <c r="I1693" s="27"/>
      <c r="J1693" s="34"/>
      <c r="K1693" s="35">
        <f t="shared" si="1380"/>
        <v>0</v>
      </c>
      <c r="L1693" s="11">
        <f t="shared" si="1372"/>
        <v>0</v>
      </c>
      <c r="N1693" s="173" t="s">
        <v>1403</v>
      </c>
      <c r="O1693" s="26"/>
      <c r="P1693" s="47">
        <v>6</v>
      </c>
      <c r="Q1693" s="27"/>
      <c r="R1693" s="34"/>
      <c r="S1693" s="35">
        <f t="shared" si="1381"/>
        <v>6</v>
      </c>
      <c r="T1693" s="26"/>
      <c r="U1693" s="47">
        <v>3</v>
      </c>
      <c r="V1693" s="27"/>
      <c r="W1693" s="50"/>
      <c r="X1693" s="9">
        <f t="shared" si="1382"/>
        <v>3</v>
      </c>
      <c r="Y1693" s="11">
        <f t="shared" si="1370"/>
        <v>9</v>
      </c>
      <c r="Z1693" s="99">
        <v>45576</v>
      </c>
      <c r="AA1693" s="58"/>
      <c r="AB1693" s="58"/>
    </row>
    <row r="1694" spans="1:29" x14ac:dyDescent="0.15">
      <c r="A1694" s="15"/>
      <c r="B1694" s="26"/>
      <c r="C1694" s="47"/>
      <c r="D1694" s="27"/>
      <c r="E1694" s="34"/>
      <c r="F1694" s="35">
        <f t="shared" si="1379"/>
        <v>0</v>
      </c>
      <c r="G1694" s="26"/>
      <c r="H1694" s="47"/>
      <c r="I1694" s="27"/>
      <c r="J1694" s="34"/>
      <c r="K1694" s="35">
        <f t="shared" si="1380"/>
        <v>0</v>
      </c>
      <c r="L1694" s="11">
        <f t="shared" si="1372"/>
        <v>0</v>
      </c>
      <c r="N1694" s="57" t="s">
        <v>1404</v>
      </c>
      <c r="O1694" s="26">
        <v>10</v>
      </c>
      <c r="P1694" s="47"/>
      <c r="Q1694" s="27"/>
      <c r="R1694" s="34">
        <v>13</v>
      </c>
      <c r="S1694" s="35">
        <f t="shared" si="1381"/>
        <v>23</v>
      </c>
      <c r="T1694" s="26">
        <v>8</v>
      </c>
      <c r="U1694" s="47"/>
      <c r="V1694" s="27"/>
      <c r="W1694" s="50">
        <v>5</v>
      </c>
      <c r="X1694" s="9">
        <f t="shared" si="1382"/>
        <v>13</v>
      </c>
      <c r="Y1694" s="11">
        <f t="shared" si="1370"/>
        <v>36</v>
      </c>
      <c r="Z1694" s="99">
        <v>45576</v>
      </c>
      <c r="AA1694" s="58"/>
      <c r="AB1694" s="58"/>
    </row>
    <row r="1695" spans="1:29" x14ac:dyDescent="0.15">
      <c r="A1695" s="13"/>
      <c r="B1695" s="26"/>
      <c r="C1695" s="47"/>
      <c r="D1695" s="27"/>
      <c r="E1695" s="34"/>
      <c r="F1695" s="35">
        <f t="shared" si="1379"/>
        <v>0</v>
      </c>
      <c r="G1695" s="26"/>
      <c r="H1695" s="47"/>
      <c r="I1695" s="27"/>
      <c r="J1695" s="34"/>
      <c r="K1695" s="35">
        <f t="shared" si="1380"/>
        <v>0</v>
      </c>
      <c r="L1695" s="11">
        <f t="shared" si="1372"/>
        <v>0</v>
      </c>
      <c r="N1695" s="12" t="s">
        <v>1405</v>
      </c>
      <c r="O1695" s="26"/>
      <c r="P1695" s="47"/>
      <c r="Q1695" s="27">
        <v>10</v>
      </c>
      <c r="R1695" s="34"/>
      <c r="S1695" s="35">
        <f t="shared" si="1381"/>
        <v>10</v>
      </c>
      <c r="T1695" s="26"/>
      <c r="U1695" s="47"/>
      <c r="V1695" s="27"/>
      <c r="W1695" s="50"/>
      <c r="X1695" s="9">
        <f t="shared" si="1382"/>
        <v>0</v>
      </c>
      <c r="Y1695" s="11">
        <f t="shared" si="1370"/>
        <v>10</v>
      </c>
      <c r="Z1695" s="99">
        <v>45576</v>
      </c>
    </row>
    <row r="1696" spans="1:29" x14ac:dyDescent="0.15">
      <c r="A1696" s="15"/>
      <c r="B1696" s="26"/>
      <c r="C1696" s="47"/>
      <c r="D1696" s="27"/>
      <c r="E1696" s="34"/>
      <c r="F1696" s="35">
        <f t="shared" si="1379"/>
        <v>0</v>
      </c>
      <c r="G1696" s="26"/>
      <c r="H1696" s="47"/>
      <c r="I1696" s="27"/>
      <c r="J1696" s="34"/>
      <c r="K1696" s="35">
        <f t="shared" si="1380"/>
        <v>0</v>
      </c>
      <c r="L1696" s="11">
        <f t="shared" si="1372"/>
        <v>0</v>
      </c>
      <c r="N1696" s="173" t="s">
        <v>1406</v>
      </c>
      <c r="O1696" s="26">
        <v>4</v>
      </c>
      <c r="P1696" s="47"/>
      <c r="Q1696" s="27">
        <v>1</v>
      </c>
      <c r="R1696" s="34"/>
      <c r="S1696" s="35">
        <f t="shared" si="1381"/>
        <v>5</v>
      </c>
      <c r="T1696" s="26"/>
      <c r="U1696" s="47">
        <v>1</v>
      </c>
      <c r="V1696" s="27"/>
      <c r="W1696" s="50">
        <v>2</v>
      </c>
      <c r="X1696" s="9">
        <f t="shared" si="1382"/>
        <v>3</v>
      </c>
      <c r="Y1696" s="11">
        <f t="shared" si="1370"/>
        <v>8</v>
      </c>
      <c r="Z1696" s="99">
        <v>45580</v>
      </c>
    </row>
    <row r="1697" spans="1:28" x14ac:dyDescent="0.15">
      <c r="A1697" s="13"/>
      <c r="B1697" s="26"/>
      <c r="C1697" s="47"/>
      <c r="D1697" s="27"/>
      <c r="E1697" s="34"/>
      <c r="F1697" s="35">
        <f t="shared" si="1379"/>
        <v>0</v>
      </c>
      <c r="G1697" s="26"/>
      <c r="H1697" s="47"/>
      <c r="I1697" s="27"/>
      <c r="J1697" s="34"/>
      <c r="K1697" s="35">
        <f t="shared" si="1380"/>
        <v>0</v>
      </c>
      <c r="L1697" s="11">
        <f t="shared" si="1372"/>
        <v>0</v>
      </c>
      <c r="N1697" s="57" t="s">
        <v>1407</v>
      </c>
      <c r="O1697" s="26"/>
      <c r="P1697" s="47"/>
      <c r="Q1697" s="27"/>
      <c r="R1697" s="34"/>
      <c r="S1697" s="35">
        <f t="shared" si="1381"/>
        <v>0</v>
      </c>
      <c r="T1697" s="26"/>
      <c r="U1697" s="47"/>
      <c r="V1697" s="27">
        <v>8</v>
      </c>
      <c r="W1697" s="50">
        <v>8</v>
      </c>
      <c r="X1697" s="9">
        <f t="shared" si="1382"/>
        <v>16</v>
      </c>
      <c r="Y1697" s="11">
        <f t="shared" si="1370"/>
        <v>16</v>
      </c>
      <c r="Z1697" s="99">
        <v>45577</v>
      </c>
    </row>
    <row r="1698" spans="1:28" x14ac:dyDescent="0.15">
      <c r="A1698" s="15"/>
      <c r="B1698" s="26"/>
      <c r="C1698" s="47"/>
      <c r="D1698" s="27"/>
      <c r="E1698" s="34"/>
      <c r="F1698" s="35">
        <f t="shared" si="1379"/>
        <v>0</v>
      </c>
      <c r="G1698" s="26"/>
      <c r="H1698" s="47"/>
      <c r="I1698" s="27"/>
      <c r="J1698" s="34"/>
      <c r="K1698" s="35">
        <f t="shared" si="1380"/>
        <v>0</v>
      </c>
      <c r="L1698" s="11">
        <f t="shared" si="1372"/>
        <v>0</v>
      </c>
      <c r="N1698" s="173" t="s">
        <v>1410</v>
      </c>
      <c r="O1698" s="26">
        <v>8</v>
      </c>
      <c r="P1698" s="47">
        <v>2</v>
      </c>
      <c r="Q1698" s="27">
        <v>1</v>
      </c>
      <c r="R1698" s="34">
        <v>4</v>
      </c>
      <c r="S1698" s="35">
        <f t="shared" si="1381"/>
        <v>15</v>
      </c>
      <c r="T1698" s="26"/>
      <c r="U1698" s="47"/>
      <c r="V1698" s="27"/>
      <c r="W1698" s="50">
        <v>2</v>
      </c>
      <c r="X1698" s="9">
        <f t="shared" si="1382"/>
        <v>2</v>
      </c>
      <c r="Y1698" s="11">
        <f t="shared" si="1370"/>
        <v>17</v>
      </c>
      <c r="Z1698" s="99">
        <v>45582</v>
      </c>
    </row>
    <row r="1699" spans="1:28" x14ac:dyDescent="0.15">
      <c r="A1699" s="15"/>
      <c r="B1699" s="26"/>
      <c r="C1699" s="47"/>
      <c r="D1699" s="27"/>
      <c r="E1699" s="34"/>
      <c r="F1699" s="35">
        <f t="shared" si="1379"/>
        <v>0</v>
      </c>
      <c r="G1699" s="26"/>
      <c r="H1699" s="47"/>
      <c r="I1699" s="27"/>
      <c r="J1699" s="34"/>
      <c r="K1699" s="35">
        <f t="shared" si="1380"/>
        <v>0</v>
      </c>
      <c r="L1699" s="11">
        <f t="shared" si="1372"/>
        <v>0</v>
      </c>
      <c r="N1699" s="173" t="s">
        <v>1412</v>
      </c>
      <c r="O1699" s="26"/>
      <c r="P1699" s="47">
        <v>4</v>
      </c>
      <c r="Q1699" s="27">
        <v>3</v>
      </c>
      <c r="R1699" s="34"/>
      <c r="S1699" s="35">
        <f t="shared" ref="S1699:S1700" si="1383">SUM(O1699:R1699)</f>
        <v>7</v>
      </c>
      <c r="T1699" s="26"/>
      <c r="U1699" s="47"/>
      <c r="V1699" s="27"/>
      <c r="W1699" s="50">
        <v>1</v>
      </c>
      <c r="X1699" s="9">
        <f t="shared" ref="X1699:X1700" si="1384">SUM(T1699:W1699)</f>
        <v>1</v>
      </c>
      <c r="Y1699" s="11">
        <f t="shared" ref="Y1699:Y1700" si="1385">S1699+X1699</f>
        <v>8</v>
      </c>
      <c r="Z1699" s="99">
        <v>45583</v>
      </c>
      <c r="AA1699" s="58"/>
      <c r="AB1699" s="58"/>
    </row>
    <row r="1700" spans="1:28" x14ac:dyDescent="0.15">
      <c r="A1700" s="13"/>
      <c r="B1700" s="26"/>
      <c r="C1700" s="47"/>
      <c r="D1700" s="27"/>
      <c r="E1700" s="34"/>
      <c r="F1700" s="35">
        <f t="shared" si="1379"/>
        <v>0</v>
      </c>
      <c r="G1700" s="26"/>
      <c r="H1700" s="47"/>
      <c r="I1700" s="27"/>
      <c r="J1700" s="34"/>
      <c r="K1700" s="35">
        <f t="shared" si="1380"/>
        <v>0</v>
      </c>
      <c r="L1700" s="11">
        <f t="shared" si="1372"/>
        <v>0</v>
      </c>
      <c r="N1700" s="57"/>
      <c r="O1700" s="26"/>
      <c r="P1700" s="47"/>
      <c r="Q1700" s="27"/>
      <c r="R1700" s="34"/>
      <c r="S1700" s="35">
        <f t="shared" si="1383"/>
        <v>0</v>
      </c>
      <c r="T1700" s="26"/>
      <c r="U1700" s="47"/>
      <c r="V1700" s="27"/>
      <c r="W1700" s="50"/>
      <c r="X1700" s="9">
        <f t="shared" si="1384"/>
        <v>0</v>
      </c>
      <c r="Y1700" s="11">
        <f t="shared" si="1385"/>
        <v>0</v>
      </c>
    </row>
    <row r="1701" spans="1:28" x14ac:dyDescent="0.15">
      <c r="A1701" s="32"/>
      <c r="B1701" s="26"/>
      <c r="C1701" s="47"/>
      <c r="D1701" s="27"/>
      <c r="E1701" s="34"/>
      <c r="F1701" s="35">
        <f t="shared" si="1379"/>
        <v>0</v>
      </c>
      <c r="G1701" s="26"/>
      <c r="H1701" s="47"/>
      <c r="I1701" s="27"/>
      <c r="J1701" s="34"/>
      <c r="K1701" s="35">
        <f t="shared" si="1380"/>
        <v>0</v>
      </c>
      <c r="L1701" s="11">
        <f t="shared" si="1372"/>
        <v>0</v>
      </c>
      <c r="N1701" s="12" t="s">
        <v>1340</v>
      </c>
      <c r="O1701" s="26"/>
      <c r="P1701" s="47"/>
      <c r="Q1701" s="27"/>
      <c r="R1701" s="34"/>
      <c r="S1701" s="35">
        <f t="shared" ref="S1701:S1706" si="1386">SUM(O1701:R1701)</f>
        <v>0</v>
      </c>
      <c r="T1701" s="26"/>
      <c r="U1701" s="47"/>
      <c r="V1701" s="27"/>
      <c r="W1701" s="50"/>
      <c r="X1701" s="9">
        <f t="shared" ref="X1701:X1706" si="1387">SUM(T1701:W1701)</f>
        <v>0</v>
      </c>
      <c r="Y1701" s="108">
        <f t="shared" ref="Y1701:Y1706" si="1388">S1701+X1701</f>
        <v>0</v>
      </c>
      <c r="Z1701" s="101" t="s">
        <v>1341</v>
      </c>
    </row>
    <row r="1702" spans="1:28" x14ac:dyDescent="0.15">
      <c r="A1702" s="32"/>
      <c r="B1702" s="26"/>
      <c r="C1702" s="47"/>
      <c r="D1702" s="27"/>
      <c r="E1702" s="34"/>
      <c r="F1702" s="35">
        <f t="shared" si="1379"/>
        <v>0</v>
      </c>
      <c r="G1702" s="26"/>
      <c r="H1702" s="47"/>
      <c r="I1702" s="27"/>
      <c r="J1702" s="34"/>
      <c r="K1702" s="35">
        <f t="shared" si="1380"/>
        <v>0</v>
      </c>
      <c r="L1702" s="11">
        <f t="shared" si="1372"/>
        <v>0</v>
      </c>
      <c r="N1702" s="12" t="s">
        <v>1347</v>
      </c>
      <c r="O1702" s="26"/>
      <c r="P1702" s="47"/>
      <c r="Q1702" s="27"/>
      <c r="R1702" s="34"/>
      <c r="S1702" s="35">
        <f t="shared" si="1386"/>
        <v>0</v>
      </c>
      <c r="T1702" s="26"/>
      <c r="U1702" s="47"/>
      <c r="V1702" s="27"/>
      <c r="W1702" s="50"/>
      <c r="X1702" s="9">
        <f t="shared" si="1387"/>
        <v>0</v>
      </c>
      <c r="Y1702" s="108">
        <f t="shared" si="1388"/>
        <v>0</v>
      </c>
      <c r="Z1702" s="101" t="s">
        <v>1348</v>
      </c>
    </row>
    <row r="1703" spans="1:28" x14ac:dyDescent="0.15">
      <c r="A1703" s="12"/>
      <c r="B1703" s="26"/>
      <c r="C1703" s="47"/>
      <c r="D1703" s="27"/>
      <c r="E1703" s="34"/>
      <c r="F1703" s="35">
        <f t="shared" si="1379"/>
        <v>0</v>
      </c>
      <c r="G1703" s="26"/>
      <c r="H1703" s="47"/>
      <c r="I1703" s="27"/>
      <c r="J1703" s="34"/>
      <c r="K1703" s="35">
        <f t="shared" si="1380"/>
        <v>0</v>
      </c>
      <c r="L1703" s="11">
        <f t="shared" si="1372"/>
        <v>0</v>
      </c>
      <c r="N1703" s="173" t="s">
        <v>1363</v>
      </c>
      <c r="O1703" s="154"/>
      <c r="P1703" s="155"/>
      <c r="Q1703" s="156"/>
      <c r="R1703" s="157"/>
      <c r="S1703" s="158">
        <f t="shared" si="1386"/>
        <v>0</v>
      </c>
      <c r="T1703" s="154"/>
      <c r="U1703" s="155"/>
      <c r="V1703" s="156"/>
      <c r="W1703" s="251"/>
      <c r="X1703" s="252">
        <f t="shared" si="1387"/>
        <v>0</v>
      </c>
      <c r="Y1703" s="179">
        <f t="shared" si="1388"/>
        <v>0</v>
      </c>
      <c r="Z1703" s="160" t="s">
        <v>1348</v>
      </c>
    </row>
    <row r="1704" spans="1:28" x14ac:dyDescent="0.15">
      <c r="A1704" s="79"/>
      <c r="B1704" s="26"/>
      <c r="C1704" s="47"/>
      <c r="D1704" s="27"/>
      <c r="E1704" s="34"/>
      <c r="F1704" s="35">
        <f t="shared" si="1379"/>
        <v>0</v>
      </c>
      <c r="G1704" s="26"/>
      <c r="H1704" s="47"/>
      <c r="I1704" s="27"/>
      <c r="J1704" s="34"/>
      <c r="K1704" s="35">
        <f t="shared" si="1380"/>
        <v>0</v>
      </c>
      <c r="L1704" s="11">
        <f t="shared" si="1372"/>
        <v>0</v>
      </c>
      <c r="N1704" s="12" t="s">
        <v>1332</v>
      </c>
      <c r="O1704" s="26"/>
      <c r="P1704" s="47"/>
      <c r="Q1704" s="27"/>
      <c r="R1704" s="34"/>
      <c r="S1704" s="35">
        <f t="shared" si="1386"/>
        <v>0</v>
      </c>
      <c r="T1704" s="26"/>
      <c r="U1704" s="47"/>
      <c r="V1704" s="27"/>
      <c r="W1704" s="50"/>
      <c r="X1704" s="9">
        <f t="shared" si="1387"/>
        <v>0</v>
      </c>
      <c r="Y1704" s="108">
        <f t="shared" si="1388"/>
        <v>0</v>
      </c>
      <c r="Z1704" s="101" t="s">
        <v>291</v>
      </c>
    </row>
    <row r="1705" spans="1:28" x14ac:dyDescent="0.15">
      <c r="A1705" s="57"/>
      <c r="B1705" s="26"/>
      <c r="C1705" s="47"/>
      <c r="D1705" s="27"/>
      <c r="E1705" s="34"/>
      <c r="F1705" s="35">
        <f t="shared" si="1379"/>
        <v>0</v>
      </c>
      <c r="G1705" s="26"/>
      <c r="H1705" s="47"/>
      <c r="I1705" s="27"/>
      <c r="J1705" s="34"/>
      <c r="K1705" s="35">
        <f t="shared" si="1380"/>
        <v>0</v>
      </c>
      <c r="L1705" s="11">
        <f t="shared" si="1372"/>
        <v>0</v>
      </c>
      <c r="N1705" s="57" t="s">
        <v>1327</v>
      </c>
      <c r="O1705" s="26"/>
      <c r="P1705" s="47"/>
      <c r="Q1705" s="27"/>
      <c r="R1705" s="34"/>
      <c r="S1705" s="35">
        <f t="shared" si="1386"/>
        <v>0</v>
      </c>
      <c r="T1705" s="26"/>
      <c r="U1705" s="47"/>
      <c r="V1705" s="27"/>
      <c r="W1705" s="50"/>
      <c r="X1705" s="9">
        <f t="shared" si="1387"/>
        <v>0</v>
      </c>
      <c r="Y1705" s="11">
        <f t="shared" si="1388"/>
        <v>0</v>
      </c>
      <c r="Z1705" s="101" t="s">
        <v>1328</v>
      </c>
    </row>
    <row r="1706" spans="1:28" ht="14.25" thickBot="1" x14ac:dyDescent="0.2">
      <c r="A1706" s="90"/>
      <c r="B1706" s="62"/>
      <c r="C1706" s="63"/>
      <c r="D1706" s="64"/>
      <c r="E1706" s="65"/>
      <c r="F1706" s="35">
        <f t="shared" si="1379"/>
        <v>0</v>
      </c>
      <c r="G1706" s="62"/>
      <c r="H1706" s="63"/>
      <c r="I1706" s="64"/>
      <c r="J1706" s="65"/>
      <c r="K1706" s="35">
        <f t="shared" si="1380"/>
        <v>0</v>
      </c>
      <c r="L1706" s="14">
        <f t="shared" si="1372"/>
        <v>0</v>
      </c>
      <c r="N1706" s="135" t="s">
        <v>1322</v>
      </c>
      <c r="O1706" s="62"/>
      <c r="P1706" s="63"/>
      <c r="Q1706" s="64"/>
      <c r="R1706" s="65"/>
      <c r="S1706" s="120">
        <f t="shared" si="1386"/>
        <v>0</v>
      </c>
      <c r="T1706" s="62"/>
      <c r="U1706" s="63"/>
      <c r="V1706" s="64"/>
      <c r="W1706" s="261"/>
      <c r="X1706" s="10">
        <f t="shared" si="1387"/>
        <v>0</v>
      </c>
      <c r="Y1706" s="121">
        <f t="shared" si="1388"/>
        <v>0</v>
      </c>
      <c r="Z1706" s="101" t="s">
        <v>1323</v>
      </c>
    </row>
    <row r="1707" spans="1:28" ht="14.25" thickBot="1" x14ac:dyDescent="0.2">
      <c r="A1707" s="17" t="s">
        <v>10</v>
      </c>
      <c r="B1707" s="38">
        <f>SUM(B1682:B1706)</f>
        <v>-1</v>
      </c>
      <c r="C1707" s="48">
        <f>SUM(C1682:C1706)</f>
        <v>1</v>
      </c>
      <c r="D1707" s="39">
        <f>SUM(D1682:D1706)</f>
        <v>2</v>
      </c>
      <c r="E1707" s="40">
        <f>SUM(E1682:E1706)</f>
        <v>10</v>
      </c>
      <c r="F1707" s="36">
        <f>SUM(B1707:E1707)</f>
        <v>12</v>
      </c>
      <c r="G1707" s="38">
        <f>SUM(G1682:G1706)</f>
        <v>6</v>
      </c>
      <c r="H1707" s="48">
        <f>SUM(H1682:H1706)</f>
        <v>3</v>
      </c>
      <c r="I1707" s="39">
        <f>SUM(I1682:I1706)</f>
        <v>10</v>
      </c>
      <c r="J1707" s="40">
        <f>SUM(J1682:J1706)</f>
        <v>7</v>
      </c>
      <c r="K1707" s="36">
        <f>SUM(G1707:J1707)</f>
        <v>26</v>
      </c>
      <c r="L1707" s="37">
        <f t="shared" si="1372"/>
        <v>38</v>
      </c>
      <c r="N1707" s="133" t="s">
        <v>10</v>
      </c>
      <c r="O1707" s="38">
        <f>SUM(O1682:O1706)</f>
        <v>88</v>
      </c>
      <c r="P1707" s="48">
        <f>SUM(P1682:P1706)</f>
        <v>92</v>
      </c>
      <c r="Q1707" s="39">
        <f>SUM(Q1682:Q1706)</f>
        <v>87</v>
      </c>
      <c r="R1707" s="40">
        <f>SUM(R1682:R1706)</f>
        <v>84</v>
      </c>
      <c r="S1707" s="118">
        <f t="shared" si="1381"/>
        <v>351</v>
      </c>
      <c r="T1707" s="38">
        <f>SUM(T1682:T1706)</f>
        <v>31</v>
      </c>
      <c r="U1707" s="48">
        <f>SUM(U1682:U1706)</f>
        <v>48</v>
      </c>
      <c r="V1707" s="39">
        <f>SUM(V1682:V1706)</f>
        <v>52</v>
      </c>
      <c r="W1707" s="40">
        <f>SUM(W1682:W1706)</f>
        <v>40</v>
      </c>
      <c r="X1707" s="118">
        <f t="shared" si="1382"/>
        <v>171</v>
      </c>
      <c r="Y1707" s="119">
        <f t="shared" si="1370"/>
        <v>522</v>
      </c>
    </row>
    <row r="1708" spans="1:28" ht="14.25" thickBot="1" x14ac:dyDescent="0.2">
      <c r="A1708" s="22" t="s">
        <v>11</v>
      </c>
      <c r="B1708" s="41">
        <f>B1681-B1707</f>
        <v>7</v>
      </c>
      <c r="C1708" s="49">
        <f>C1681-C1707</f>
        <v>9</v>
      </c>
      <c r="D1708" s="42">
        <f t="shared" ref="D1708:K1708" si="1389">D1681-D1707</f>
        <v>6</v>
      </c>
      <c r="E1708" s="43">
        <f t="shared" si="1389"/>
        <v>9</v>
      </c>
      <c r="F1708" s="61">
        <f t="shared" si="1389"/>
        <v>27</v>
      </c>
      <c r="G1708" s="41">
        <f t="shared" si="1389"/>
        <v>5</v>
      </c>
      <c r="H1708" s="49">
        <f t="shared" si="1389"/>
        <v>5</v>
      </c>
      <c r="I1708" s="42">
        <f t="shared" si="1389"/>
        <v>3</v>
      </c>
      <c r="J1708" s="43">
        <f t="shared" si="1389"/>
        <v>4</v>
      </c>
      <c r="K1708" s="61">
        <f t="shared" si="1389"/>
        <v>17</v>
      </c>
      <c r="L1708" s="21">
        <f t="shared" si="1372"/>
        <v>44</v>
      </c>
      <c r="N1708" s="17" t="s">
        <v>11</v>
      </c>
      <c r="O1708" s="41">
        <f>O1681-O1707</f>
        <v>795</v>
      </c>
      <c r="P1708" s="49">
        <f t="shared" ref="P1708:Q1708" si="1390">P1681-P1707</f>
        <v>932</v>
      </c>
      <c r="Q1708" s="42">
        <f t="shared" si="1390"/>
        <v>548</v>
      </c>
      <c r="R1708" s="43">
        <f>R1681-R1707</f>
        <v>469</v>
      </c>
      <c r="S1708" s="61">
        <f t="shared" ref="S1708:X1708" si="1391">S1681-S1707</f>
        <v>2744</v>
      </c>
      <c r="T1708" s="41">
        <f t="shared" si="1391"/>
        <v>773</v>
      </c>
      <c r="U1708" s="49">
        <f t="shared" si="1391"/>
        <v>915</v>
      </c>
      <c r="V1708" s="42">
        <f t="shared" si="1391"/>
        <v>562</v>
      </c>
      <c r="W1708" s="43">
        <f t="shared" si="1391"/>
        <v>478</v>
      </c>
      <c r="X1708" s="61">
        <f t="shared" si="1391"/>
        <v>2728</v>
      </c>
      <c r="Y1708" s="21">
        <f t="shared" si="1370"/>
        <v>5472</v>
      </c>
    </row>
    <row r="1711" spans="1:28" ht="19.5" thickBot="1" x14ac:dyDescent="0.25">
      <c r="A1711" s="2" t="s">
        <v>106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1036</v>
      </c>
      <c r="O1711" s="270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8" ht="14.25" thickBot="1" x14ac:dyDescent="0.2">
      <c r="A1712" s="5" t="s">
        <v>0</v>
      </c>
      <c r="B1712" s="342" t="s">
        <v>18</v>
      </c>
      <c r="C1712" s="350"/>
      <c r="D1712" s="350"/>
      <c r="E1712" s="350"/>
      <c r="F1712" s="351"/>
      <c r="G1712" s="345" t="s">
        <v>12</v>
      </c>
      <c r="H1712" s="352"/>
      <c r="I1712" s="352"/>
      <c r="J1712" s="352"/>
      <c r="K1712" s="353"/>
      <c r="L1712" s="354" t="s">
        <v>1</v>
      </c>
      <c r="N1712" s="5" t="s">
        <v>0</v>
      </c>
      <c r="O1712" s="342" t="s">
        <v>18</v>
      </c>
      <c r="P1712" s="343"/>
      <c r="Q1712" s="343"/>
      <c r="R1712" s="343"/>
      <c r="S1712" s="344"/>
      <c r="T1712" s="345" t="s">
        <v>12</v>
      </c>
      <c r="U1712" s="346"/>
      <c r="V1712" s="346"/>
      <c r="W1712" s="346"/>
      <c r="X1712" s="347"/>
      <c r="Y1712" s="348" t="s">
        <v>1</v>
      </c>
    </row>
    <row r="1713" spans="1:28" ht="14.25" thickBot="1" x14ac:dyDescent="0.2">
      <c r="A1713" s="5" t="s">
        <v>2</v>
      </c>
      <c r="B1713" s="3" t="s">
        <v>13</v>
      </c>
      <c r="C1713" s="44" t="s">
        <v>14</v>
      </c>
      <c r="D1713" s="4" t="s">
        <v>15</v>
      </c>
      <c r="E1713" s="23" t="s">
        <v>16</v>
      </c>
      <c r="F1713" s="31" t="s">
        <v>3</v>
      </c>
      <c r="G1713" s="3" t="s">
        <v>13</v>
      </c>
      <c r="H1713" s="44" t="s">
        <v>14</v>
      </c>
      <c r="I1713" s="4" t="s">
        <v>15</v>
      </c>
      <c r="J1713" s="23" t="s">
        <v>16</v>
      </c>
      <c r="K1713" s="31" t="s">
        <v>3</v>
      </c>
      <c r="L1713" s="355"/>
      <c r="N1713" s="5" t="s">
        <v>2</v>
      </c>
      <c r="O1713" s="3" t="s">
        <v>13</v>
      </c>
      <c r="P1713" s="44" t="s">
        <v>14</v>
      </c>
      <c r="Q1713" s="4" t="s">
        <v>15</v>
      </c>
      <c r="R1713" s="23" t="s">
        <v>16</v>
      </c>
      <c r="S1713" s="31" t="s">
        <v>3</v>
      </c>
      <c r="T1713" s="3" t="s">
        <v>13</v>
      </c>
      <c r="U1713" s="44" t="s">
        <v>14</v>
      </c>
      <c r="V1713" s="4" t="s">
        <v>15</v>
      </c>
      <c r="W1713" s="23" t="s">
        <v>16</v>
      </c>
      <c r="X1713" s="31" t="s">
        <v>3</v>
      </c>
      <c r="Y1713" s="349"/>
    </row>
    <row r="1714" spans="1:28" x14ac:dyDescent="0.15">
      <c r="A1714" s="71" t="s">
        <v>17</v>
      </c>
      <c r="B1714" s="72">
        <f>B1708</f>
        <v>7</v>
      </c>
      <c r="C1714" s="73">
        <f t="shared" ref="C1714:L1714" si="1392">C1708</f>
        <v>9</v>
      </c>
      <c r="D1714" s="73">
        <f t="shared" si="1392"/>
        <v>6</v>
      </c>
      <c r="E1714" s="74">
        <f t="shared" si="1392"/>
        <v>9</v>
      </c>
      <c r="F1714" s="76">
        <f t="shared" si="1392"/>
        <v>27</v>
      </c>
      <c r="G1714" s="72">
        <f t="shared" si="1392"/>
        <v>5</v>
      </c>
      <c r="H1714" s="73">
        <f t="shared" si="1392"/>
        <v>5</v>
      </c>
      <c r="I1714" s="73">
        <f t="shared" si="1392"/>
        <v>3</v>
      </c>
      <c r="J1714" s="74">
        <f t="shared" si="1392"/>
        <v>4</v>
      </c>
      <c r="K1714" s="75">
        <f t="shared" si="1392"/>
        <v>17</v>
      </c>
      <c r="L1714" s="16">
        <f t="shared" si="1392"/>
        <v>44</v>
      </c>
      <c r="N1714" s="71" t="s">
        <v>17</v>
      </c>
      <c r="O1714" s="72">
        <f>O1708</f>
        <v>795</v>
      </c>
      <c r="P1714" s="73">
        <f t="shared" ref="P1714:Y1714" si="1393">P1708</f>
        <v>932</v>
      </c>
      <c r="Q1714" s="73">
        <f t="shared" si="1393"/>
        <v>548</v>
      </c>
      <c r="R1714" s="74">
        <f t="shared" si="1393"/>
        <v>469</v>
      </c>
      <c r="S1714" s="76">
        <f t="shared" si="1393"/>
        <v>2744</v>
      </c>
      <c r="T1714" s="72">
        <f t="shared" si="1393"/>
        <v>773</v>
      </c>
      <c r="U1714" s="73">
        <f t="shared" si="1393"/>
        <v>915</v>
      </c>
      <c r="V1714" s="73">
        <f t="shared" si="1393"/>
        <v>562</v>
      </c>
      <c r="W1714" s="74">
        <f t="shared" si="1393"/>
        <v>478</v>
      </c>
      <c r="X1714" s="75">
        <f t="shared" si="1393"/>
        <v>2728</v>
      </c>
      <c r="Y1714" s="16">
        <f t="shared" si="1393"/>
        <v>5472</v>
      </c>
    </row>
    <row r="1715" spans="1:28" x14ac:dyDescent="0.15">
      <c r="A1715" s="13" t="s">
        <v>49</v>
      </c>
      <c r="B1715" s="26">
        <v>8</v>
      </c>
      <c r="C1715" s="47">
        <v>5</v>
      </c>
      <c r="D1715" s="27">
        <v>3</v>
      </c>
      <c r="E1715" s="50">
        <v>2</v>
      </c>
      <c r="F1715" s="9">
        <f>SUM(B1715:E1715)</f>
        <v>18</v>
      </c>
      <c r="G1715" s="47">
        <v>2</v>
      </c>
      <c r="H1715" s="47">
        <v>1</v>
      </c>
      <c r="I1715" s="27">
        <v>2</v>
      </c>
      <c r="J1715" s="50">
        <v>1</v>
      </c>
      <c r="K1715" s="9">
        <f>SUM(G1715:J1715)</f>
        <v>6</v>
      </c>
      <c r="L1715" s="11">
        <f t="shared" ref="L1715:L1718" si="1394">F1715+K1715</f>
        <v>24</v>
      </c>
      <c r="M1715" s="126">
        <v>45590</v>
      </c>
      <c r="N1715" s="13" t="s">
        <v>5</v>
      </c>
      <c r="O1715" s="26">
        <v>8</v>
      </c>
      <c r="P1715" s="47">
        <v>5</v>
      </c>
      <c r="Q1715" s="27">
        <v>3</v>
      </c>
      <c r="R1715" s="34">
        <v>2</v>
      </c>
      <c r="S1715" s="77">
        <f t="shared" ref="S1715" si="1395">SUM(O1715:R1715)</f>
        <v>18</v>
      </c>
      <c r="T1715" s="26"/>
      <c r="U1715" s="47"/>
      <c r="V1715" s="27"/>
      <c r="W1715" s="34"/>
      <c r="X1715" s="9">
        <f t="shared" ref="X1715" si="1396">SUM(T1715:W1715)</f>
        <v>0</v>
      </c>
      <c r="Y1715" s="11">
        <f t="shared" ref="Y1715" si="1397">S1715+X1715</f>
        <v>18</v>
      </c>
      <c r="Z1715" s="126">
        <v>45598</v>
      </c>
    </row>
    <row r="1716" spans="1:28" x14ac:dyDescent="0.15">
      <c r="A1716" s="13" t="s">
        <v>936</v>
      </c>
      <c r="B1716" s="26"/>
      <c r="C1716" s="47">
        <v>2</v>
      </c>
      <c r="D1716" s="27"/>
      <c r="E1716" s="50"/>
      <c r="F1716" s="9">
        <f>SUM(B1716:E1716)</f>
        <v>2</v>
      </c>
      <c r="G1716" s="47"/>
      <c r="H1716" s="47"/>
      <c r="I1716" s="27"/>
      <c r="J1716" s="50"/>
      <c r="K1716" s="9">
        <f>SUM(G1716:J1716)</f>
        <v>0</v>
      </c>
      <c r="L1716" s="11">
        <f t="shared" si="1394"/>
        <v>2</v>
      </c>
      <c r="M1716" s="126">
        <v>45589</v>
      </c>
      <c r="N1716" s="13" t="s">
        <v>565</v>
      </c>
      <c r="O1716" s="26">
        <v>7</v>
      </c>
      <c r="P1716" s="47">
        <v>14</v>
      </c>
      <c r="Q1716" s="27">
        <v>6</v>
      </c>
      <c r="R1716" s="34">
        <v>9</v>
      </c>
      <c r="S1716" s="77">
        <f t="shared" ref="S1716:S1718" si="1398">SUM(O1716:R1716)</f>
        <v>36</v>
      </c>
      <c r="T1716" s="26"/>
      <c r="U1716" s="47"/>
      <c r="V1716" s="27"/>
      <c r="W1716" s="34"/>
      <c r="X1716" s="9">
        <f t="shared" ref="X1716:X1718" si="1399">SUM(T1716:W1716)</f>
        <v>0</v>
      </c>
      <c r="Y1716" s="11">
        <f t="shared" ref="Y1716:Y1746" si="1400">S1716+X1716</f>
        <v>36</v>
      </c>
      <c r="Z1716" s="126">
        <v>45612</v>
      </c>
    </row>
    <row r="1717" spans="1:28" x14ac:dyDescent="0.15">
      <c r="A1717" s="13" t="s">
        <v>8</v>
      </c>
      <c r="B1717" s="26"/>
      <c r="C1717" s="47"/>
      <c r="D1717" s="27"/>
      <c r="E1717" s="50"/>
      <c r="F1717" s="9">
        <f>SUM(B1717:E1717)</f>
        <v>0</v>
      </c>
      <c r="G1717" s="47">
        <v>5</v>
      </c>
      <c r="H1717" s="47">
        <v>5</v>
      </c>
      <c r="I1717" s="27"/>
      <c r="J1717" s="50"/>
      <c r="K1717" s="9">
        <f>SUM(G1717:J1717)</f>
        <v>10</v>
      </c>
      <c r="L1717" s="108">
        <f t="shared" si="1394"/>
        <v>10</v>
      </c>
      <c r="M1717" s="99">
        <v>45604</v>
      </c>
      <c r="N1717" s="13" t="s">
        <v>7</v>
      </c>
      <c r="O1717" s="26"/>
      <c r="P1717" s="47"/>
      <c r="Q1717" s="27"/>
      <c r="R1717" s="34"/>
      <c r="S1717" s="77">
        <f t="shared" si="1398"/>
        <v>0</v>
      </c>
      <c r="T1717" s="26"/>
      <c r="U1717" s="47"/>
      <c r="V1717" s="27"/>
      <c r="W1717" s="34"/>
      <c r="X1717" s="9">
        <f t="shared" si="1399"/>
        <v>0</v>
      </c>
      <c r="Y1717" s="11">
        <f t="shared" si="1400"/>
        <v>0</v>
      </c>
    </row>
    <row r="1718" spans="1:28" ht="14.25" thickBot="1" x14ac:dyDescent="0.2">
      <c r="A1718" s="250" t="s">
        <v>49</v>
      </c>
      <c r="B1718" s="62">
        <v>8</v>
      </c>
      <c r="C1718" s="63">
        <v>12</v>
      </c>
      <c r="D1718" s="64">
        <f>7-1</f>
        <v>6</v>
      </c>
      <c r="E1718" s="261">
        <v>2</v>
      </c>
      <c r="F1718" s="10">
        <f>SUM(B1718:E1718)</f>
        <v>28</v>
      </c>
      <c r="G1718" s="63">
        <v>1</v>
      </c>
      <c r="H1718" s="63">
        <f>1+1</f>
        <v>2</v>
      </c>
      <c r="I1718" s="64">
        <v>1</v>
      </c>
      <c r="J1718" s="261">
        <v>1</v>
      </c>
      <c r="K1718" s="10">
        <f>SUM(G1718:J1718)</f>
        <v>5</v>
      </c>
      <c r="L1718" s="121">
        <f t="shared" si="1394"/>
        <v>33</v>
      </c>
      <c r="M1718" s="126">
        <v>45610</v>
      </c>
      <c r="N1718" s="13" t="s">
        <v>8</v>
      </c>
      <c r="O1718" s="26"/>
      <c r="P1718" s="47"/>
      <c r="Q1718" s="27"/>
      <c r="R1718" s="34"/>
      <c r="S1718" s="77">
        <f t="shared" si="1398"/>
        <v>0</v>
      </c>
      <c r="T1718" s="26"/>
      <c r="U1718" s="47"/>
      <c r="V1718" s="27"/>
      <c r="W1718" s="34"/>
      <c r="X1718" s="9">
        <f t="shared" si="1399"/>
        <v>0</v>
      </c>
      <c r="Y1718" s="11">
        <f t="shared" si="1400"/>
        <v>0</v>
      </c>
    </row>
    <row r="1719" spans="1:28" ht="14.25" thickBot="1" x14ac:dyDescent="0.2">
      <c r="A1719" s="245" t="s">
        <v>9</v>
      </c>
      <c r="B1719" s="246">
        <f t="shared" ref="B1719:K1719" si="1401">SUM(B1714:B1718)</f>
        <v>23</v>
      </c>
      <c r="C1719" s="247">
        <f t="shared" si="1401"/>
        <v>28</v>
      </c>
      <c r="D1719" s="248">
        <f t="shared" si="1401"/>
        <v>15</v>
      </c>
      <c r="E1719" s="249">
        <f t="shared" si="1401"/>
        <v>13</v>
      </c>
      <c r="F1719" s="28">
        <f t="shared" si="1401"/>
        <v>75</v>
      </c>
      <c r="G1719" s="246">
        <f t="shared" si="1401"/>
        <v>13</v>
      </c>
      <c r="H1719" s="247">
        <f t="shared" si="1401"/>
        <v>13</v>
      </c>
      <c r="I1719" s="248">
        <f t="shared" si="1401"/>
        <v>6</v>
      </c>
      <c r="J1719" s="249">
        <f t="shared" si="1401"/>
        <v>6</v>
      </c>
      <c r="K1719" s="28">
        <f t="shared" si="1401"/>
        <v>38</v>
      </c>
      <c r="L1719" s="137">
        <f t="shared" ref="L1719:L1746" si="1402">F1719+K1719</f>
        <v>113</v>
      </c>
      <c r="N1719" s="17" t="s">
        <v>9</v>
      </c>
      <c r="O1719" s="41">
        <f>SUM(O1714:O1718)</f>
        <v>810</v>
      </c>
      <c r="P1719" s="49">
        <f t="shared" ref="P1719:V1719" si="1403">SUM(P1714:P1718)</f>
        <v>951</v>
      </c>
      <c r="Q1719" s="42">
        <f t="shared" si="1403"/>
        <v>557</v>
      </c>
      <c r="R1719" s="92">
        <f t="shared" si="1403"/>
        <v>480</v>
      </c>
      <c r="S1719" s="93">
        <f t="shared" si="1403"/>
        <v>2798</v>
      </c>
      <c r="T1719" s="41">
        <f t="shared" si="1403"/>
        <v>773</v>
      </c>
      <c r="U1719" s="49">
        <f t="shared" si="1403"/>
        <v>915</v>
      </c>
      <c r="V1719" s="42">
        <f t="shared" si="1403"/>
        <v>562</v>
      </c>
      <c r="W1719" s="92">
        <f>SUM(W1714:W1718)</f>
        <v>478</v>
      </c>
      <c r="X1719" s="93">
        <f t="shared" ref="X1719" si="1404">SUM(X1714:X1718)</f>
        <v>2728</v>
      </c>
      <c r="Y1719" s="56">
        <f t="shared" si="1400"/>
        <v>5526</v>
      </c>
    </row>
    <row r="1720" spans="1:28" x14ac:dyDescent="0.15">
      <c r="A1720" s="32" t="s">
        <v>41</v>
      </c>
      <c r="B1720" s="24"/>
      <c r="C1720" s="46"/>
      <c r="D1720" s="25"/>
      <c r="E1720" s="33"/>
      <c r="F1720" s="35">
        <f>SUM(B1720:E1720)</f>
        <v>0</v>
      </c>
      <c r="G1720" s="24"/>
      <c r="H1720" s="46">
        <v>1</v>
      </c>
      <c r="I1720" s="25"/>
      <c r="J1720" s="33"/>
      <c r="K1720" s="35">
        <f>SUM(G1720:J1720)</f>
        <v>1</v>
      </c>
      <c r="L1720" s="11">
        <f t="shared" si="1402"/>
        <v>1</v>
      </c>
      <c r="M1720" s="126">
        <v>45588</v>
      </c>
      <c r="N1720" s="12" t="s">
        <v>1411</v>
      </c>
      <c r="O1720" s="26"/>
      <c r="P1720" s="47"/>
      <c r="Q1720" s="27"/>
      <c r="R1720" s="34"/>
      <c r="S1720" s="35">
        <f t="shared" ref="S1720" si="1405">SUM(O1720:R1720)</f>
        <v>0</v>
      </c>
      <c r="T1720" s="26"/>
      <c r="U1720" s="47">
        <v>10</v>
      </c>
      <c r="V1720" s="27"/>
      <c r="W1720" s="50"/>
      <c r="X1720" s="9">
        <f t="shared" ref="X1720" si="1406">SUM(T1720:W1720)</f>
        <v>10</v>
      </c>
      <c r="Y1720" s="11">
        <f t="shared" si="1400"/>
        <v>10</v>
      </c>
      <c r="Z1720" s="99">
        <v>45587</v>
      </c>
    </row>
    <row r="1721" spans="1:28" x14ac:dyDescent="0.15">
      <c r="A1721" s="32" t="s">
        <v>41</v>
      </c>
      <c r="B1721" s="26"/>
      <c r="C1721" s="47">
        <v>1</v>
      </c>
      <c r="D1721" s="27"/>
      <c r="E1721" s="34"/>
      <c r="F1721" s="35">
        <f>SUM(B1721:E1721)</f>
        <v>1</v>
      </c>
      <c r="G1721" s="26">
        <v>1</v>
      </c>
      <c r="H1721" s="47"/>
      <c r="I1721" s="27"/>
      <c r="J1721" s="34"/>
      <c r="K1721" s="35">
        <f>SUM(G1721:J1721)</f>
        <v>1</v>
      </c>
      <c r="L1721" s="11">
        <f t="shared" si="1402"/>
        <v>2</v>
      </c>
      <c r="M1721" s="126">
        <v>45590</v>
      </c>
      <c r="N1721" s="173" t="s">
        <v>1413</v>
      </c>
      <c r="O1721" s="26">
        <v>2</v>
      </c>
      <c r="P1721" s="47">
        <v>4</v>
      </c>
      <c r="Q1721" s="27">
        <v>4</v>
      </c>
      <c r="R1721" s="34">
        <v>2</v>
      </c>
      <c r="S1721" s="35">
        <f t="shared" ref="S1721:S1726" si="1407">SUM(O1721:R1721)</f>
        <v>12</v>
      </c>
      <c r="T1721" s="26"/>
      <c r="U1721" s="47"/>
      <c r="V1721" s="27"/>
      <c r="W1721" s="34"/>
      <c r="X1721" s="35">
        <f t="shared" ref="X1721:X1726" si="1408">SUM(T1721:W1721)</f>
        <v>0</v>
      </c>
      <c r="Y1721" s="11">
        <f t="shared" si="1400"/>
        <v>12</v>
      </c>
      <c r="Z1721" s="99">
        <v>45583</v>
      </c>
    </row>
    <row r="1722" spans="1:28" x14ac:dyDescent="0.15">
      <c r="A1722" s="32" t="s">
        <v>41</v>
      </c>
      <c r="B1722" s="26"/>
      <c r="C1722" s="47"/>
      <c r="D1722" s="27"/>
      <c r="E1722" s="34"/>
      <c r="F1722" s="35">
        <f t="shared" ref="F1722:F1744" si="1409">SUM(B1722:E1722)</f>
        <v>0</v>
      </c>
      <c r="G1722" s="26"/>
      <c r="H1722" s="47">
        <v>1</v>
      </c>
      <c r="I1722" s="27"/>
      <c r="J1722" s="34"/>
      <c r="K1722" s="35">
        <f t="shared" ref="K1722:K1744" si="1410">SUM(G1722:J1722)</f>
        <v>1</v>
      </c>
      <c r="L1722" s="11">
        <f t="shared" si="1402"/>
        <v>1</v>
      </c>
      <c r="M1722" s="126">
        <v>45593</v>
      </c>
      <c r="N1722" s="173" t="s">
        <v>1416</v>
      </c>
      <c r="O1722" s="26">
        <v>18</v>
      </c>
      <c r="P1722" s="47">
        <v>22</v>
      </c>
      <c r="Q1722" s="27">
        <v>14</v>
      </c>
      <c r="R1722" s="34">
        <v>8</v>
      </c>
      <c r="S1722" s="35">
        <f t="shared" si="1407"/>
        <v>62</v>
      </c>
      <c r="T1722" s="26">
        <v>5</v>
      </c>
      <c r="U1722" s="47">
        <v>6</v>
      </c>
      <c r="V1722" s="27">
        <v>5</v>
      </c>
      <c r="W1722" s="34">
        <v>3</v>
      </c>
      <c r="X1722" s="35">
        <f t="shared" si="1408"/>
        <v>19</v>
      </c>
      <c r="Y1722" s="11">
        <f t="shared" si="1400"/>
        <v>81</v>
      </c>
      <c r="Z1722" s="99">
        <v>45586</v>
      </c>
    </row>
    <row r="1723" spans="1:28" x14ac:dyDescent="0.15">
      <c r="A1723" s="32" t="s">
        <v>1431</v>
      </c>
      <c r="B1723" s="66"/>
      <c r="C1723" s="67"/>
      <c r="D1723" s="68"/>
      <c r="E1723" s="69"/>
      <c r="F1723" s="70">
        <f t="shared" si="1409"/>
        <v>0</v>
      </c>
      <c r="G1723" s="66"/>
      <c r="H1723" s="67"/>
      <c r="I1723" s="68"/>
      <c r="J1723" s="69">
        <v>1</v>
      </c>
      <c r="K1723" s="70">
        <f t="shared" si="1410"/>
        <v>1</v>
      </c>
      <c r="L1723" s="11">
        <f t="shared" si="1402"/>
        <v>1</v>
      </c>
      <c r="M1723" s="126">
        <v>45593</v>
      </c>
      <c r="N1723" s="173" t="s">
        <v>1418</v>
      </c>
      <c r="O1723" s="26"/>
      <c r="P1723" s="47">
        <v>12</v>
      </c>
      <c r="Q1723" s="27"/>
      <c r="R1723" s="34">
        <v>6</v>
      </c>
      <c r="S1723" s="35">
        <f t="shared" si="1407"/>
        <v>18</v>
      </c>
      <c r="T1723" s="26"/>
      <c r="U1723" s="47">
        <v>1</v>
      </c>
      <c r="V1723" s="27"/>
      <c r="W1723" s="34"/>
      <c r="X1723" s="35">
        <f t="shared" si="1408"/>
        <v>1</v>
      </c>
      <c r="Y1723" s="11">
        <f t="shared" si="1400"/>
        <v>19</v>
      </c>
      <c r="Z1723" s="99">
        <v>45589</v>
      </c>
    </row>
    <row r="1724" spans="1:28" x14ac:dyDescent="0.15">
      <c r="A1724" s="32" t="s">
        <v>41</v>
      </c>
      <c r="B1724" s="26"/>
      <c r="C1724" s="47"/>
      <c r="D1724" s="27"/>
      <c r="E1724" s="34"/>
      <c r="F1724" s="35">
        <f t="shared" ref="F1724" si="1411">SUM(B1724:E1724)</f>
        <v>0</v>
      </c>
      <c r="G1724" s="26">
        <v>1</v>
      </c>
      <c r="H1724" s="47"/>
      <c r="I1724" s="27"/>
      <c r="J1724" s="34"/>
      <c r="K1724" s="35">
        <f t="shared" ref="K1724" si="1412">SUM(G1724:J1724)</f>
        <v>1</v>
      </c>
      <c r="L1724" s="11">
        <f t="shared" ref="L1724" si="1413">F1724+K1724</f>
        <v>1</v>
      </c>
      <c r="M1724" s="126">
        <v>45597</v>
      </c>
      <c r="N1724" s="173" t="s">
        <v>1419</v>
      </c>
      <c r="O1724" s="26">
        <v>1</v>
      </c>
      <c r="P1724" s="47">
        <v>14</v>
      </c>
      <c r="Q1724" s="27">
        <v>3</v>
      </c>
      <c r="R1724" s="34">
        <v>4</v>
      </c>
      <c r="S1724" s="35">
        <f t="shared" si="1407"/>
        <v>22</v>
      </c>
      <c r="T1724" s="26"/>
      <c r="U1724" s="47">
        <v>2</v>
      </c>
      <c r="V1724" s="27"/>
      <c r="W1724" s="34"/>
      <c r="X1724" s="35">
        <f t="shared" si="1408"/>
        <v>2</v>
      </c>
      <c r="Y1724" s="11">
        <f t="shared" si="1400"/>
        <v>24</v>
      </c>
      <c r="Z1724" s="99">
        <v>45590</v>
      </c>
    </row>
    <row r="1725" spans="1:28" x14ac:dyDescent="0.15">
      <c r="A1725" s="13" t="s">
        <v>1440</v>
      </c>
      <c r="B1725" s="26">
        <v>8</v>
      </c>
      <c r="C1725" s="47">
        <v>5</v>
      </c>
      <c r="D1725" s="27">
        <v>3</v>
      </c>
      <c r="E1725" s="34">
        <v>2</v>
      </c>
      <c r="F1725" s="35">
        <f t="shared" si="1409"/>
        <v>18</v>
      </c>
      <c r="G1725" s="26"/>
      <c r="H1725" s="47"/>
      <c r="I1725" s="27"/>
      <c r="J1725" s="34"/>
      <c r="K1725" s="35">
        <f t="shared" si="1410"/>
        <v>0</v>
      </c>
      <c r="L1725" s="11">
        <f t="shared" si="1402"/>
        <v>18</v>
      </c>
      <c r="M1725" s="126">
        <v>45598</v>
      </c>
      <c r="N1725" s="12" t="s">
        <v>1424</v>
      </c>
      <c r="O1725" s="26"/>
      <c r="P1725" s="47"/>
      <c r="Q1725" s="27"/>
      <c r="R1725" s="34">
        <v>5</v>
      </c>
      <c r="S1725" s="35">
        <f t="shared" si="1407"/>
        <v>5</v>
      </c>
      <c r="T1725" s="26"/>
      <c r="U1725" s="47"/>
      <c r="V1725" s="27"/>
      <c r="W1725" s="34"/>
      <c r="X1725" s="35">
        <f t="shared" si="1408"/>
        <v>0</v>
      </c>
      <c r="Y1725" s="11">
        <f t="shared" si="1400"/>
        <v>5</v>
      </c>
      <c r="Z1725" s="99">
        <v>45603</v>
      </c>
    </row>
    <row r="1726" spans="1:28" x14ac:dyDescent="0.15">
      <c r="A1726" s="32" t="s">
        <v>41</v>
      </c>
      <c r="B1726" s="26"/>
      <c r="C1726" s="47"/>
      <c r="D1726" s="27"/>
      <c r="E1726" s="34"/>
      <c r="F1726" s="35">
        <f t="shared" si="1409"/>
        <v>0</v>
      </c>
      <c r="G1726" s="26">
        <v>3</v>
      </c>
      <c r="H1726" s="47">
        <v>2</v>
      </c>
      <c r="I1726" s="27"/>
      <c r="J1726" s="34"/>
      <c r="K1726" s="35">
        <f t="shared" si="1410"/>
        <v>5</v>
      </c>
      <c r="L1726" s="11">
        <f t="shared" si="1402"/>
        <v>5</v>
      </c>
      <c r="M1726" s="126">
        <v>45601</v>
      </c>
      <c r="N1726" s="173" t="s">
        <v>1425</v>
      </c>
      <c r="O1726" s="26">
        <v>11</v>
      </c>
      <c r="P1726" s="47">
        <v>6</v>
      </c>
      <c r="Q1726" s="27">
        <v>6</v>
      </c>
      <c r="R1726" s="34">
        <v>4</v>
      </c>
      <c r="S1726" s="35">
        <f t="shared" si="1407"/>
        <v>27</v>
      </c>
      <c r="T1726" s="26">
        <v>3</v>
      </c>
      <c r="U1726" s="47"/>
      <c r="V1726" s="27"/>
      <c r="W1726" s="34">
        <v>1</v>
      </c>
      <c r="X1726" s="35">
        <f t="shared" si="1408"/>
        <v>4</v>
      </c>
      <c r="Y1726" s="11">
        <f t="shared" si="1400"/>
        <v>31</v>
      </c>
      <c r="Z1726" s="99">
        <v>45590</v>
      </c>
      <c r="AA1726" s="58"/>
      <c r="AB1726" s="58"/>
    </row>
    <row r="1727" spans="1:28" x14ac:dyDescent="0.15">
      <c r="A1727" s="32" t="s">
        <v>41</v>
      </c>
      <c r="B1727" s="26"/>
      <c r="C1727" s="47">
        <v>1</v>
      </c>
      <c r="D1727" s="27"/>
      <c r="E1727" s="34"/>
      <c r="F1727" s="35">
        <f t="shared" si="1409"/>
        <v>1</v>
      </c>
      <c r="G1727" s="26"/>
      <c r="H1727" s="47"/>
      <c r="I1727" s="27"/>
      <c r="J1727" s="34"/>
      <c r="K1727" s="35">
        <f t="shared" si="1410"/>
        <v>0</v>
      </c>
      <c r="L1727" s="11">
        <f t="shared" si="1402"/>
        <v>1</v>
      </c>
      <c r="M1727" s="126">
        <v>45602</v>
      </c>
      <c r="N1727" s="12" t="s">
        <v>1427</v>
      </c>
      <c r="O1727" s="26">
        <v>14</v>
      </c>
      <c r="P1727" s="47">
        <v>8</v>
      </c>
      <c r="Q1727" s="27"/>
      <c r="R1727" s="50">
        <v>4</v>
      </c>
      <c r="S1727" s="9">
        <f>SUM(O1727:R1727)</f>
        <v>26</v>
      </c>
      <c r="T1727" s="47"/>
      <c r="U1727" s="47"/>
      <c r="V1727" s="27"/>
      <c r="W1727" s="50"/>
      <c r="X1727" s="9">
        <f>SUM(T1727:W1727)</f>
        <v>0</v>
      </c>
      <c r="Y1727" s="11">
        <f t="shared" si="1400"/>
        <v>26</v>
      </c>
      <c r="Z1727" s="99">
        <v>45590</v>
      </c>
      <c r="AA1727" s="58"/>
      <c r="AB1727" s="58"/>
    </row>
    <row r="1728" spans="1:28" x14ac:dyDescent="0.15">
      <c r="A1728" s="32" t="s">
        <v>41</v>
      </c>
      <c r="B1728" s="26"/>
      <c r="C1728" s="47"/>
      <c r="D1728" s="27"/>
      <c r="E1728" s="34"/>
      <c r="F1728" s="35">
        <f t="shared" si="1409"/>
        <v>0</v>
      </c>
      <c r="G1728" s="26">
        <v>1</v>
      </c>
      <c r="H1728" s="47"/>
      <c r="I1728" s="27"/>
      <c r="J1728" s="34"/>
      <c r="K1728" s="35">
        <f t="shared" si="1410"/>
        <v>1</v>
      </c>
      <c r="L1728" s="11">
        <f t="shared" si="1402"/>
        <v>1</v>
      </c>
      <c r="M1728" s="126">
        <v>45603</v>
      </c>
      <c r="N1728" s="173" t="s">
        <v>1426</v>
      </c>
      <c r="O1728" s="26">
        <v>15</v>
      </c>
      <c r="P1728" s="47">
        <v>5</v>
      </c>
      <c r="Q1728" s="27">
        <v>4</v>
      </c>
      <c r="R1728" s="34"/>
      <c r="S1728" s="35">
        <f t="shared" ref="S1728:S1745" si="1414">SUM(O1728:R1728)</f>
        <v>24</v>
      </c>
      <c r="T1728" s="26">
        <v>5</v>
      </c>
      <c r="U1728" s="47">
        <v>3</v>
      </c>
      <c r="V1728" s="27">
        <v>2</v>
      </c>
      <c r="W1728" s="34">
        <v>1</v>
      </c>
      <c r="X1728" s="35">
        <f t="shared" ref="X1728:X1745" si="1415">SUM(T1728:W1728)</f>
        <v>11</v>
      </c>
      <c r="Y1728" s="11">
        <f t="shared" si="1400"/>
        <v>35</v>
      </c>
      <c r="Z1728" s="99">
        <v>45593</v>
      </c>
      <c r="AA1728" s="58"/>
      <c r="AB1728" s="58"/>
    </row>
    <row r="1729" spans="1:28" x14ac:dyDescent="0.15">
      <c r="A1729" s="32" t="s">
        <v>41</v>
      </c>
      <c r="B1729" s="26"/>
      <c r="C1729" s="47">
        <v>1</v>
      </c>
      <c r="D1729" s="27"/>
      <c r="E1729" s="34"/>
      <c r="F1729" s="35">
        <f t="shared" si="1409"/>
        <v>1</v>
      </c>
      <c r="G1729" s="26"/>
      <c r="H1729" s="47">
        <v>1</v>
      </c>
      <c r="I1729" s="27"/>
      <c r="J1729" s="34"/>
      <c r="K1729" s="35">
        <f t="shared" si="1410"/>
        <v>1</v>
      </c>
      <c r="L1729" s="11">
        <f t="shared" si="1402"/>
        <v>2</v>
      </c>
      <c r="M1729" s="126">
        <v>45604</v>
      </c>
      <c r="N1729" s="173" t="s">
        <v>1430</v>
      </c>
      <c r="O1729" s="26">
        <v>14</v>
      </c>
      <c r="P1729" s="47">
        <v>8</v>
      </c>
      <c r="Q1729" s="27">
        <v>7</v>
      </c>
      <c r="R1729" s="34">
        <v>7</v>
      </c>
      <c r="S1729" s="35">
        <f t="shared" si="1414"/>
        <v>36</v>
      </c>
      <c r="T1729" s="26">
        <v>1</v>
      </c>
      <c r="U1729" s="47">
        <v>3</v>
      </c>
      <c r="V1729" s="27"/>
      <c r="W1729" s="34">
        <v>1</v>
      </c>
      <c r="X1729" s="35">
        <f t="shared" si="1415"/>
        <v>5</v>
      </c>
      <c r="Y1729" s="11">
        <f t="shared" si="1400"/>
        <v>41</v>
      </c>
      <c r="Z1729" s="99">
        <v>45595</v>
      </c>
      <c r="AA1729" s="58"/>
      <c r="AB1729" s="58"/>
    </row>
    <row r="1730" spans="1:28" x14ac:dyDescent="0.15">
      <c r="A1730" s="32" t="s">
        <v>41</v>
      </c>
      <c r="B1730" s="26"/>
      <c r="C1730" s="47">
        <v>1</v>
      </c>
      <c r="D1730" s="27"/>
      <c r="E1730" s="34"/>
      <c r="F1730" s="35">
        <f t="shared" si="1409"/>
        <v>1</v>
      </c>
      <c r="G1730" s="26"/>
      <c r="H1730" s="47"/>
      <c r="I1730" s="27"/>
      <c r="J1730" s="34"/>
      <c r="K1730" s="35">
        <f t="shared" si="1410"/>
        <v>0</v>
      </c>
      <c r="L1730" s="11">
        <f t="shared" si="1402"/>
        <v>1</v>
      </c>
      <c r="M1730" s="126">
        <v>45607</v>
      </c>
      <c r="N1730" s="173" t="s">
        <v>1433</v>
      </c>
      <c r="O1730" s="26">
        <v>4</v>
      </c>
      <c r="P1730" s="47">
        <v>6</v>
      </c>
      <c r="Q1730" s="27">
        <v>1</v>
      </c>
      <c r="R1730" s="34"/>
      <c r="S1730" s="35">
        <f t="shared" si="1414"/>
        <v>11</v>
      </c>
      <c r="T1730" s="26"/>
      <c r="U1730" s="47"/>
      <c r="V1730" s="27"/>
      <c r="W1730" s="34"/>
      <c r="X1730" s="35">
        <f t="shared" si="1415"/>
        <v>0</v>
      </c>
      <c r="Y1730" s="11">
        <f t="shared" si="1400"/>
        <v>11</v>
      </c>
      <c r="Z1730" s="99">
        <v>45596</v>
      </c>
      <c r="AA1730" s="58"/>
      <c r="AB1730" s="58"/>
    </row>
    <row r="1731" spans="1:28" x14ac:dyDescent="0.15">
      <c r="A1731" s="13" t="s">
        <v>936</v>
      </c>
      <c r="B1731" s="26"/>
      <c r="C1731" s="47"/>
      <c r="D1731" s="27"/>
      <c r="E1731" s="34">
        <v>-2</v>
      </c>
      <c r="F1731" s="35">
        <f t="shared" ref="F1731:F1732" si="1416">SUM(B1731:E1731)</f>
        <v>-2</v>
      </c>
      <c r="G1731" s="26"/>
      <c r="H1731" s="47"/>
      <c r="I1731" s="27"/>
      <c r="J1731" s="34"/>
      <c r="K1731" s="35">
        <f t="shared" ref="K1731:K1732" si="1417">SUM(G1731:J1731)</f>
        <v>0</v>
      </c>
      <c r="L1731" s="11">
        <f t="shared" ref="L1731:L1732" si="1418">F1731+K1731</f>
        <v>-2</v>
      </c>
      <c r="M1731" s="126">
        <v>45607</v>
      </c>
      <c r="N1731" s="173" t="s">
        <v>1434</v>
      </c>
      <c r="O1731" s="26">
        <v>4</v>
      </c>
      <c r="P1731" s="47">
        <v>1</v>
      </c>
      <c r="Q1731" s="27">
        <v>2</v>
      </c>
      <c r="R1731" s="34">
        <v>1</v>
      </c>
      <c r="S1731" s="35">
        <f t="shared" si="1414"/>
        <v>8</v>
      </c>
      <c r="T1731" s="26">
        <v>1</v>
      </c>
      <c r="U1731" s="47"/>
      <c r="V1731" s="27">
        <v>2</v>
      </c>
      <c r="W1731" s="34"/>
      <c r="X1731" s="35">
        <f t="shared" si="1415"/>
        <v>3</v>
      </c>
      <c r="Y1731" s="11">
        <f t="shared" si="1400"/>
        <v>11</v>
      </c>
      <c r="Z1731" s="99">
        <v>45597</v>
      </c>
      <c r="AA1731" s="58"/>
      <c r="AB1731" s="58"/>
    </row>
    <row r="1732" spans="1:28" x14ac:dyDescent="0.15">
      <c r="A1732" s="13" t="s">
        <v>1475</v>
      </c>
      <c r="B1732" s="26"/>
      <c r="C1732" s="47">
        <v>-9</v>
      </c>
      <c r="D1732" s="27"/>
      <c r="E1732" s="34"/>
      <c r="F1732" s="35">
        <f t="shared" si="1416"/>
        <v>-9</v>
      </c>
      <c r="G1732" s="26"/>
      <c r="H1732" s="47"/>
      <c r="I1732" s="27"/>
      <c r="J1732" s="34">
        <v>-1</v>
      </c>
      <c r="K1732" s="35">
        <f t="shared" si="1417"/>
        <v>-1</v>
      </c>
      <c r="L1732" s="11">
        <f t="shared" si="1418"/>
        <v>-10</v>
      </c>
      <c r="M1732" s="126">
        <v>45608</v>
      </c>
      <c r="N1732" s="173" t="s">
        <v>1435</v>
      </c>
      <c r="O1732" s="26">
        <v>4</v>
      </c>
      <c r="P1732" s="47"/>
      <c r="Q1732" s="27">
        <v>1</v>
      </c>
      <c r="R1732" s="34">
        <v>3</v>
      </c>
      <c r="S1732" s="35">
        <f t="shared" si="1414"/>
        <v>8</v>
      </c>
      <c r="T1732" s="26">
        <v>1</v>
      </c>
      <c r="U1732" s="47"/>
      <c r="V1732" s="27">
        <v>1</v>
      </c>
      <c r="W1732" s="34">
        <v>1</v>
      </c>
      <c r="X1732" s="35">
        <f t="shared" si="1415"/>
        <v>3</v>
      </c>
      <c r="Y1732" s="11">
        <f t="shared" si="1400"/>
        <v>11</v>
      </c>
      <c r="Z1732" s="99">
        <v>45597</v>
      </c>
      <c r="AA1732" s="58"/>
      <c r="AB1732" s="58"/>
    </row>
    <row r="1733" spans="1:28" x14ac:dyDescent="0.15">
      <c r="A1733" s="13"/>
      <c r="B1733" s="26"/>
      <c r="C1733" s="47"/>
      <c r="D1733" s="27"/>
      <c r="E1733" s="34"/>
      <c r="F1733" s="35">
        <f t="shared" si="1409"/>
        <v>0</v>
      </c>
      <c r="G1733" s="26"/>
      <c r="H1733" s="47"/>
      <c r="I1733" s="27"/>
      <c r="J1733" s="34"/>
      <c r="K1733" s="35">
        <f t="shared" si="1410"/>
        <v>0</v>
      </c>
      <c r="L1733" s="11">
        <f t="shared" si="1402"/>
        <v>0</v>
      </c>
      <c r="N1733" s="153" t="s">
        <v>1438</v>
      </c>
      <c r="O1733" s="26">
        <v>21</v>
      </c>
      <c r="P1733" s="47">
        <v>26</v>
      </c>
      <c r="Q1733" s="27">
        <v>16</v>
      </c>
      <c r="R1733" s="34">
        <v>10</v>
      </c>
      <c r="S1733" s="35">
        <f t="shared" si="1414"/>
        <v>73</v>
      </c>
      <c r="T1733" s="26">
        <v>6</v>
      </c>
      <c r="U1733" s="47">
        <v>8</v>
      </c>
      <c r="V1733" s="27">
        <v>5</v>
      </c>
      <c r="W1733" s="34">
        <v>3</v>
      </c>
      <c r="X1733" s="35">
        <f t="shared" si="1415"/>
        <v>22</v>
      </c>
      <c r="Y1733" s="11">
        <f t="shared" si="1400"/>
        <v>95</v>
      </c>
      <c r="Z1733" s="99">
        <v>45601</v>
      </c>
      <c r="AA1733" s="58"/>
      <c r="AB1733" s="58"/>
    </row>
    <row r="1734" spans="1:28" x14ac:dyDescent="0.15">
      <c r="A1734" s="15"/>
      <c r="B1734" s="26"/>
      <c r="C1734" s="47"/>
      <c r="D1734" s="27"/>
      <c r="E1734" s="34"/>
      <c r="F1734" s="35">
        <f t="shared" si="1409"/>
        <v>0</v>
      </c>
      <c r="G1734" s="26"/>
      <c r="H1734" s="47"/>
      <c r="I1734" s="27"/>
      <c r="J1734" s="34"/>
      <c r="K1734" s="35">
        <f t="shared" si="1410"/>
        <v>0</v>
      </c>
      <c r="L1734" s="11">
        <f t="shared" si="1402"/>
        <v>0</v>
      </c>
      <c r="N1734" s="12" t="s">
        <v>1439</v>
      </c>
      <c r="O1734" s="26"/>
      <c r="P1734" s="47">
        <v>10</v>
      </c>
      <c r="Q1734" s="27"/>
      <c r="R1734" s="34"/>
      <c r="S1734" s="35">
        <f t="shared" si="1414"/>
        <v>10</v>
      </c>
      <c r="T1734" s="26"/>
      <c r="U1734" s="47"/>
      <c r="V1734" s="27"/>
      <c r="W1734" s="34">
        <v>4</v>
      </c>
      <c r="X1734" s="35">
        <f t="shared" si="1415"/>
        <v>4</v>
      </c>
      <c r="Y1734" s="11">
        <f t="shared" si="1400"/>
        <v>14</v>
      </c>
      <c r="Z1734" s="99">
        <v>45601</v>
      </c>
      <c r="AA1734" s="58"/>
    </row>
    <row r="1735" spans="1:28" x14ac:dyDescent="0.15">
      <c r="A1735" s="13"/>
      <c r="B1735" s="26"/>
      <c r="C1735" s="47"/>
      <c r="D1735" s="27"/>
      <c r="E1735" s="34"/>
      <c r="F1735" s="35">
        <f t="shared" si="1409"/>
        <v>0</v>
      </c>
      <c r="G1735" s="26"/>
      <c r="H1735" s="47"/>
      <c r="I1735" s="27"/>
      <c r="J1735" s="34"/>
      <c r="K1735" s="35">
        <f t="shared" si="1410"/>
        <v>0</v>
      </c>
      <c r="L1735" s="11">
        <f t="shared" si="1402"/>
        <v>0</v>
      </c>
      <c r="N1735" s="153" t="s">
        <v>1442</v>
      </c>
      <c r="O1735" s="26"/>
      <c r="P1735" s="47"/>
      <c r="Q1735" s="27"/>
      <c r="R1735" s="34"/>
      <c r="S1735" s="35">
        <f t="shared" si="1414"/>
        <v>0</v>
      </c>
      <c r="T1735" s="26"/>
      <c r="U1735" s="47">
        <v>5</v>
      </c>
      <c r="V1735" s="27">
        <v>1</v>
      </c>
      <c r="W1735" s="34"/>
      <c r="X1735" s="35">
        <f t="shared" si="1415"/>
        <v>6</v>
      </c>
      <c r="Y1735" s="11">
        <f t="shared" si="1400"/>
        <v>6</v>
      </c>
      <c r="Z1735" s="99">
        <v>45604</v>
      </c>
    </row>
    <row r="1736" spans="1:28" x14ac:dyDescent="0.15">
      <c r="A1736" s="15"/>
      <c r="B1736" s="26"/>
      <c r="C1736" s="47"/>
      <c r="D1736" s="27"/>
      <c r="E1736" s="34"/>
      <c r="F1736" s="35">
        <f t="shared" si="1409"/>
        <v>0</v>
      </c>
      <c r="G1736" s="26"/>
      <c r="H1736" s="47"/>
      <c r="I1736" s="27"/>
      <c r="J1736" s="34"/>
      <c r="K1736" s="35">
        <f t="shared" si="1410"/>
        <v>0</v>
      </c>
      <c r="L1736" s="11">
        <f t="shared" si="1402"/>
        <v>0</v>
      </c>
      <c r="N1736" s="153" t="s">
        <v>1443</v>
      </c>
      <c r="O1736" s="26">
        <v>3</v>
      </c>
      <c r="P1736" s="47">
        <v>6</v>
      </c>
      <c r="Q1736" s="27">
        <v>6</v>
      </c>
      <c r="R1736" s="34"/>
      <c r="S1736" s="35">
        <f t="shared" si="1414"/>
        <v>15</v>
      </c>
      <c r="T1736" s="26">
        <v>1</v>
      </c>
      <c r="U1736" s="47">
        <v>5</v>
      </c>
      <c r="V1736" s="27"/>
      <c r="W1736" s="34"/>
      <c r="X1736" s="35">
        <f t="shared" si="1415"/>
        <v>6</v>
      </c>
      <c r="Y1736" s="11">
        <f t="shared" si="1400"/>
        <v>21</v>
      </c>
      <c r="Z1736" s="99">
        <v>45604</v>
      </c>
    </row>
    <row r="1737" spans="1:28" x14ac:dyDescent="0.15">
      <c r="A1737" s="15"/>
      <c r="B1737" s="26"/>
      <c r="C1737" s="47"/>
      <c r="D1737" s="27"/>
      <c r="E1737" s="34"/>
      <c r="F1737" s="35">
        <f t="shared" si="1409"/>
        <v>0</v>
      </c>
      <c r="G1737" s="26"/>
      <c r="H1737" s="47"/>
      <c r="I1737" s="27"/>
      <c r="J1737" s="34"/>
      <c r="K1737" s="35">
        <f t="shared" si="1410"/>
        <v>0</v>
      </c>
      <c r="L1737" s="11">
        <f t="shared" si="1402"/>
        <v>0</v>
      </c>
      <c r="N1737" s="12" t="s">
        <v>34</v>
      </c>
      <c r="O1737" s="26"/>
      <c r="P1737" s="47"/>
      <c r="Q1737" s="27"/>
      <c r="R1737" s="34"/>
      <c r="S1737" s="35">
        <f>SUM(O1737:R1737)</f>
        <v>0</v>
      </c>
      <c r="T1737" s="26">
        <v>5</v>
      </c>
      <c r="U1737" s="47">
        <v>5</v>
      </c>
      <c r="V1737" s="27"/>
      <c r="W1737" s="34"/>
      <c r="X1737" s="35">
        <f>SUM(T1737:W1737)</f>
        <v>10</v>
      </c>
      <c r="Y1737" s="11">
        <f t="shared" si="1400"/>
        <v>10</v>
      </c>
      <c r="Z1737" s="99">
        <v>45604</v>
      </c>
    </row>
    <row r="1738" spans="1:28" x14ac:dyDescent="0.15">
      <c r="A1738" s="13"/>
      <c r="B1738" s="26"/>
      <c r="C1738" s="47"/>
      <c r="D1738" s="27"/>
      <c r="E1738" s="34"/>
      <c r="F1738" s="35">
        <f t="shared" si="1409"/>
        <v>0</v>
      </c>
      <c r="G1738" s="26"/>
      <c r="H1738" s="47"/>
      <c r="I1738" s="27"/>
      <c r="J1738" s="34"/>
      <c r="K1738" s="35">
        <f t="shared" si="1410"/>
        <v>0</v>
      </c>
      <c r="L1738" s="11">
        <f t="shared" si="1402"/>
        <v>0</v>
      </c>
      <c r="N1738" s="57"/>
      <c r="O1738" s="26"/>
      <c r="P1738" s="47"/>
      <c r="Q1738" s="27"/>
      <c r="R1738" s="34"/>
      <c r="S1738" s="35">
        <f t="shared" ref="S1738" si="1419">SUM(O1738:R1738)</f>
        <v>0</v>
      </c>
      <c r="T1738" s="26"/>
      <c r="U1738" s="47"/>
      <c r="V1738" s="27"/>
      <c r="W1738" s="34"/>
      <c r="X1738" s="35">
        <f t="shared" ref="X1738" si="1420">SUM(T1738:W1738)</f>
        <v>0</v>
      </c>
      <c r="Y1738" s="11">
        <f t="shared" ref="Y1738" si="1421">S1738+X1738</f>
        <v>0</v>
      </c>
    </row>
    <row r="1739" spans="1:28" x14ac:dyDescent="0.15">
      <c r="A1739" s="32"/>
      <c r="B1739" s="26"/>
      <c r="C1739" s="47"/>
      <c r="D1739" s="27"/>
      <c r="E1739" s="34"/>
      <c r="F1739" s="35">
        <f t="shared" si="1409"/>
        <v>0</v>
      </c>
      <c r="G1739" s="26"/>
      <c r="H1739" s="47"/>
      <c r="I1739" s="27"/>
      <c r="J1739" s="34"/>
      <c r="K1739" s="35">
        <f t="shared" si="1410"/>
        <v>0</v>
      </c>
      <c r="L1739" s="11">
        <f t="shared" si="1402"/>
        <v>0</v>
      </c>
      <c r="N1739" s="173" t="s">
        <v>1391</v>
      </c>
      <c r="O1739" s="154"/>
      <c r="P1739" s="155"/>
      <c r="Q1739" s="156"/>
      <c r="R1739" s="157"/>
      <c r="S1739" s="158">
        <f t="shared" ref="S1739:S1743" si="1422">SUM(O1739:R1739)</f>
        <v>0</v>
      </c>
      <c r="T1739" s="154"/>
      <c r="U1739" s="155"/>
      <c r="V1739" s="156"/>
      <c r="W1739" s="251"/>
      <c r="X1739" s="252">
        <f t="shared" ref="X1739:X1744" si="1423">SUM(T1739:W1739)</f>
        <v>0</v>
      </c>
      <c r="Y1739" s="179">
        <f t="shared" ref="Y1739:Y1744" si="1424">S1739+X1739</f>
        <v>0</v>
      </c>
      <c r="Z1739" s="160" t="s">
        <v>1392</v>
      </c>
    </row>
    <row r="1740" spans="1:28" x14ac:dyDescent="0.15">
      <c r="A1740" s="32"/>
      <c r="B1740" s="26"/>
      <c r="C1740" s="47"/>
      <c r="D1740" s="27"/>
      <c r="E1740" s="34"/>
      <c r="F1740" s="35">
        <f t="shared" si="1409"/>
        <v>0</v>
      </c>
      <c r="G1740" s="26"/>
      <c r="H1740" s="47"/>
      <c r="I1740" s="27"/>
      <c r="J1740" s="34"/>
      <c r="K1740" s="35">
        <f t="shared" si="1410"/>
        <v>0</v>
      </c>
      <c r="L1740" s="11">
        <f t="shared" si="1402"/>
        <v>0</v>
      </c>
      <c r="N1740" s="12" t="s">
        <v>1342</v>
      </c>
      <c r="O1740" s="26"/>
      <c r="P1740" s="47"/>
      <c r="Q1740" s="27"/>
      <c r="R1740" s="34"/>
      <c r="S1740" s="35">
        <f t="shared" si="1422"/>
        <v>0</v>
      </c>
      <c r="T1740" s="26"/>
      <c r="U1740" s="47"/>
      <c r="V1740" s="27"/>
      <c r="W1740" s="50"/>
      <c r="X1740" s="9">
        <f t="shared" si="1423"/>
        <v>0</v>
      </c>
      <c r="Y1740" s="108">
        <f t="shared" si="1424"/>
        <v>0</v>
      </c>
      <c r="Z1740" s="101" t="s">
        <v>812</v>
      </c>
    </row>
    <row r="1741" spans="1:28" x14ac:dyDescent="0.15">
      <c r="A1741" s="12"/>
      <c r="B1741" s="26"/>
      <c r="C1741" s="47"/>
      <c r="D1741" s="27"/>
      <c r="E1741" s="34"/>
      <c r="F1741" s="35">
        <f t="shared" si="1409"/>
        <v>0</v>
      </c>
      <c r="G1741" s="26"/>
      <c r="H1741" s="47"/>
      <c r="I1741" s="27"/>
      <c r="J1741" s="34"/>
      <c r="K1741" s="35">
        <f t="shared" si="1410"/>
        <v>0</v>
      </c>
      <c r="L1741" s="11">
        <f t="shared" si="1402"/>
        <v>0</v>
      </c>
      <c r="N1741" s="12" t="s">
        <v>1379</v>
      </c>
      <c r="O1741" s="26"/>
      <c r="P1741" s="47"/>
      <c r="Q1741" s="27"/>
      <c r="R1741" s="34"/>
      <c r="S1741" s="35">
        <f t="shared" si="1422"/>
        <v>0</v>
      </c>
      <c r="T1741" s="26"/>
      <c r="U1741" s="47"/>
      <c r="V1741" s="27"/>
      <c r="W1741" s="50"/>
      <c r="X1741" s="9">
        <f t="shared" si="1423"/>
        <v>0</v>
      </c>
      <c r="Y1741" s="108">
        <f t="shared" si="1424"/>
        <v>0</v>
      </c>
      <c r="Z1741" s="101" t="s">
        <v>1380</v>
      </c>
    </row>
    <row r="1742" spans="1:28" x14ac:dyDescent="0.15">
      <c r="A1742" s="79"/>
      <c r="B1742" s="26"/>
      <c r="C1742" s="47"/>
      <c r="D1742" s="27"/>
      <c r="E1742" s="34"/>
      <c r="F1742" s="35">
        <f t="shared" si="1409"/>
        <v>0</v>
      </c>
      <c r="G1742" s="26"/>
      <c r="H1742" s="47"/>
      <c r="I1742" s="27"/>
      <c r="J1742" s="34"/>
      <c r="K1742" s="35">
        <f t="shared" si="1410"/>
        <v>0</v>
      </c>
      <c r="L1742" s="11">
        <f t="shared" si="1402"/>
        <v>0</v>
      </c>
      <c r="N1742" s="57" t="s">
        <v>1382</v>
      </c>
      <c r="O1742" s="66"/>
      <c r="P1742" s="67"/>
      <c r="Q1742" s="68"/>
      <c r="R1742" s="69"/>
      <c r="S1742" s="70">
        <f t="shared" si="1422"/>
        <v>0</v>
      </c>
      <c r="T1742" s="66"/>
      <c r="U1742" s="67"/>
      <c r="V1742" s="68"/>
      <c r="W1742" s="69"/>
      <c r="X1742" s="70">
        <f t="shared" si="1423"/>
        <v>0</v>
      </c>
      <c r="Y1742" s="11">
        <f t="shared" si="1424"/>
        <v>0</v>
      </c>
      <c r="Z1742" s="101" t="s">
        <v>873</v>
      </c>
    </row>
    <row r="1743" spans="1:28" x14ac:dyDescent="0.15">
      <c r="A1743" s="57"/>
      <c r="B1743" s="26"/>
      <c r="C1743" s="47"/>
      <c r="D1743" s="27"/>
      <c r="E1743" s="34"/>
      <c r="F1743" s="35">
        <f t="shared" si="1409"/>
        <v>0</v>
      </c>
      <c r="G1743" s="26"/>
      <c r="H1743" s="47"/>
      <c r="I1743" s="27"/>
      <c r="J1743" s="34"/>
      <c r="K1743" s="35">
        <f t="shared" si="1410"/>
        <v>0</v>
      </c>
      <c r="L1743" s="11">
        <f t="shared" si="1402"/>
        <v>0</v>
      </c>
      <c r="N1743" s="57" t="s">
        <v>1402</v>
      </c>
      <c r="O1743" s="66"/>
      <c r="P1743" s="67"/>
      <c r="Q1743" s="68"/>
      <c r="R1743" s="69"/>
      <c r="S1743" s="70">
        <f t="shared" si="1422"/>
        <v>0</v>
      </c>
      <c r="T1743" s="66"/>
      <c r="U1743" s="67"/>
      <c r="V1743" s="68"/>
      <c r="W1743" s="69"/>
      <c r="X1743" s="70">
        <f t="shared" si="1423"/>
        <v>0</v>
      </c>
      <c r="Y1743" s="11">
        <f t="shared" si="1424"/>
        <v>0</v>
      </c>
      <c r="Z1743" s="101" t="s">
        <v>342</v>
      </c>
    </row>
    <row r="1744" spans="1:28" ht="14.25" thickBot="1" x14ac:dyDescent="0.2">
      <c r="A1744" s="90"/>
      <c r="B1744" s="62"/>
      <c r="C1744" s="63"/>
      <c r="D1744" s="64"/>
      <c r="E1744" s="65"/>
      <c r="F1744" s="35">
        <f t="shared" si="1409"/>
        <v>0</v>
      </c>
      <c r="G1744" s="62"/>
      <c r="H1744" s="63"/>
      <c r="I1744" s="64"/>
      <c r="J1744" s="65"/>
      <c r="K1744" s="35">
        <f t="shared" si="1410"/>
        <v>0</v>
      </c>
      <c r="L1744" s="14">
        <f t="shared" si="1402"/>
        <v>0</v>
      </c>
      <c r="N1744" s="181" t="s">
        <v>1417</v>
      </c>
      <c r="O1744" s="182"/>
      <c r="P1744" s="183"/>
      <c r="Q1744" s="184"/>
      <c r="R1744" s="185"/>
      <c r="S1744" s="186">
        <f t="shared" ref="S1744" si="1425">SUM(O1744:R1744)</f>
        <v>0</v>
      </c>
      <c r="T1744" s="182"/>
      <c r="U1744" s="183"/>
      <c r="V1744" s="184"/>
      <c r="W1744" s="273"/>
      <c r="X1744" s="274">
        <f t="shared" si="1423"/>
        <v>0</v>
      </c>
      <c r="Y1744" s="187">
        <f t="shared" si="1424"/>
        <v>0</v>
      </c>
      <c r="Z1744" s="160" t="s">
        <v>342</v>
      </c>
    </row>
    <row r="1745" spans="1:26" ht="14.25" thickBot="1" x14ac:dyDescent="0.2">
      <c r="A1745" s="17" t="s">
        <v>10</v>
      </c>
      <c r="B1745" s="38">
        <f>SUM(B1720:B1744)</f>
        <v>8</v>
      </c>
      <c r="C1745" s="48">
        <f>SUM(C1720:C1744)</f>
        <v>0</v>
      </c>
      <c r="D1745" s="39">
        <f>SUM(D1720:D1744)</f>
        <v>3</v>
      </c>
      <c r="E1745" s="40">
        <f>SUM(E1720:E1744)</f>
        <v>0</v>
      </c>
      <c r="F1745" s="36">
        <f>SUM(B1745:E1745)</f>
        <v>11</v>
      </c>
      <c r="G1745" s="38">
        <f>SUM(G1720:G1744)</f>
        <v>6</v>
      </c>
      <c r="H1745" s="48">
        <f>SUM(H1720:H1744)</f>
        <v>5</v>
      </c>
      <c r="I1745" s="39">
        <f>SUM(I1720:I1744)</f>
        <v>0</v>
      </c>
      <c r="J1745" s="40">
        <f>SUM(J1720:J1744)</f>
        <v>0</v>
      </c>
      <c r="K1745" s="36">
        <f>SUM(G1745:J1745)</f>
        <v>11</v>
      </c>
      <c r="L1745" s="37">
        <f t="shared" si="1402"/>
        <v>22</v>
      </c>
      <c r="N1745" s="133" t="s">
        <v>10</v>
      </c>
      <c r="O1745" s="38">
        <f>SUM(O1720:O1744)</f>
        <v>111</v>
      </c>
      <c r="P1745" s="48">
        <f>SUM(P1720:P1744)</f>
        <v>128</v>
      </c>
      <c r="Q1745" s="39">
        <f>SUM(Q1720:Q1744)</f>
        <v>64</v>
      </c>
      <c r="R1745" s="40">
        <f>SUM(R1720:R1744)</f>
        <v>54</v>
      </c>
      <c r="S1745" s="118">
        <f t="shared" si="1414"/>
        <v>357</v>
      </c>
      <c r="T1745" s="38">
        <f>SUM(T1720:T1744)</f>
        <v>28</v>
      </c>
      <c r="U1745" s="48">
        <f>SUM(U1720:U1744)</f>
        <v>48</v>
      </c>
      <c r="V1745" s="39">
        <f>SUM(V1720:V1744)</f>
        <v>16</v>
      </c>
      <c r="W1745" s="40">
        <f>SUM(W1720:W1744)</f>
        <v>14</v>
      </c>
      <c r="X1745" s="118">
        <f t="shared" si="1415"/>
        <v>106</v>
      </c>
      <c r="Y1745" s="119">
        <f t="shared" si="1400"/>
        <v>463</v>
      </c>
    </row>
    <row r="1746" spans="1:26" ht="14.25" thickBot="1" x14ac:dyDescent="0.2">
      <c r="A1746" s="22" t="s">
        <v>11</v>
      </c>
      <c r="B1746" s="41">
        <f>B1719-B1745</f>
        <v>15</v>
      </c>
      <c r="C1746" s="49">
        <f>C1719-C1745</f>
        <v>28</v>
      </c>
      <c r="D1746" s="42">
        <f t="shared" ref="D1746:K1746" si="1426">D1719-D1745</f>
        <v>12</v>
      </c>
      <c r="E1746" s="43">
        <f t="shared" si="1426"/>
        <v>13</v>
      </c>
      <c r="F1746" s="61">
        <f t="shared" si="1426"/>
        <v>64</v>
      </c>
      <c r="G1746" s="41">
        <f t="shared" si="1426"/>
        <v>7</v>
      </c>
      <c r="H1746" s="49">
        <f t="shared" si="1426"/>
        <v>8</v>
      </c>
      <c r="I1746" s="42">
        <f t="shared" si="1426"/>
        <v>6</v>
      </c>
      <c r="J1746" s="43">
        <f t="shared" si="1426"/>
        <v>6</v>
      </c>
      <c r="K1746" s="61">
        <f t="shared" si="1426"/>
        <v>27</v>
      </c>
      <c r="L1746" s="21">
        <f t="shared" si="1402"/>
        <v>91</v>
      </c>
      <c r="N1746" s="17" t="s">
        <v>11</v>
      </c>
      <c r="O1746" s="41">
        <f>O1719-O1745</f>
        <v>699</v>
      </c>
      <c r="P1746" s="49">
        <f t="shared" ref="P1746:Q1746" si="1427">P1719-P1745</f>
        <v>823</v>
      </c>
      <c r="Q1746" s="42">
        <f t="shared" si="1427"/>
        <v>493</v>
      </c>
      <c r="R1746" s="43">
        <f>R1719-R1745</f>
        <v>426</v>
      </c>
      <c r="S1746" s="61">
        <f t="shared" ref="S1746:X1746" si="1428">S1719-S1745</f>
        <v>2441</v>
      </c>
      <c r="T1746" s="41">
        <f t="shared" si="1428"/>
        <v>745</v>
      </c>
      <c r="U1746" s="49">
        <f t="shared" si="1428"/>
        <v>867</v>
      </c>
      <c r="V1746" s="42">
        <f t="shared" si="1428"/>
        <v>546</v>
      </c>
      <c r="W1746" s="43">
        <f t="shared" si="1428"/>
        <v>464</v>
      </c>
      <c r="X1746" s="61">
        <f t="shared" si="1428"/>
        <v>2622</v>
      </c>
      <c r="Y1746" s="21">
        <f t="shared" si="1400"/>
        <v>5063</v>
      </c>
    </row>
    <row r="1749" spans="1:26" ht="19.5" thickBot="1" x14ac:dyDescent="0.25">
      <c r="A1749" s="2" t="s">
        <v>106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1036</v>
      </c>
      <c r="O1749" s="270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6" ht="14.25" thickBot="1" x14ac:dyDescent="0.2">
      <c r="A1750" s="5" t="s">
        <v>0</v>
      </c>
      <c r="B1750" s="342" t="s">
        <v>18</v>
      </c>
      <c r="C1750" s="350"/>
      <c r="D1750" s="350"/>
      <c r="E1750" s="350"/>
      <c r="F1750" s="351"/>
      <c r="G1750" s="345" t="s">
        <v>12</v>
      </c>
      <c r="H1750" s="352"/>
      <c r="I1750" s="352"/>
      <c r="J1750" s="352"/>
      <c r="K1750" s="353"/>
      <c r="L1750" s="354" t="s">
        <v>1</v>
      </c>
      <c r="N1750" s="5" t="s">
        <v>0</v>
      </c>
      <c r="O1750" s="342" t="s">
        <v>18</v>
      </c>
      <c r="P1750" s="343"/>
      <c r="Q1750" s="343"/>
      <c r="R1750" s="343"/>
      <c r="S1750" s="344"/>
      <c r="T1750" s="345" t="s">
        <v>12</v>
      </c>
      <c r="U1750" s="346"/>
      <c r="V1750" s="346"/>
      <c r="W1750" s="346"/>
      <c r="X1750" s="347"/>
      <c r="Y1750" s="348" t="s">
        <v>1</v>
      </c>
    </row>
    <row r="1751" spans="1:26" ht="14.25" thickBot="1" x14ac:dyDescent="0.2">
      <c r="A1751" s="5" t="s">
        <v>2</v>
      </c>
      <c r="B1751" s="3" t="s">
        <v>13</v>
      </c>
      <c r="C1751" s="44" t="s">
        <v>14</v>
      </c>
      <c r="D1751" s="4" t="s">
        <v>15</v>
      </c>
      <c r="E1751" s="23" t="s">
        <v>16</v>
      </c>
      <c r="F1751" s="31" t="s">
        <v>3</v>
      </c>
      <c r="G1751" s="3" t="s">
        <v>13</v>
      </c>
      <c r="H1751" s="44" t="s">
        <v>14</v>
      </c>
      <c r="I1751" s="4" t="s">
        <v>15</v>
      </c>
      <c r="J1751" s="23" t="s">
        <v>16</v>
      </c>
      <c r="K1751" s="31" t="s">
        <v>3</v>
      </c>
      <c r="L1751" s="355"/>
      <c r="N1751" s="5" t="s">
        <v>2</v>
      </c>
      <c r="O1751" s="3" t="s">
        <v>13</v>
      </c>
      <c r="P1751" s="44" t="s">
        <v>14</v>
      </c>
      <c r="Q1751" s="4" t="s">
        <v>15</v>
      </c>
      <c r="R1751" s="23" t="s">
        <v>16</v>
      </c>
      <c r="S1751" s="31" t="s">
        <v>3</v>
      </c>
      <c r="T1751" s="3" t="s">
        <v>13</v>
      </c>
      <c r="U1751" s="44" t="s">
        <v>14</v>
      </c>
      <c r="V1751" s="4" t="s">
        <v>15</v>
      </c>
      <c r="W1751" s="23" t="s">
        <v>16</v>
      </c>
      <c r="X1751" s="31" t="s">
        <v>3</v>
      </c>
      <c r="Y1751" s="349"/>
    </row>
    <row r="1752" spans="1:26" x14ac:dyDescent="0.15">
      <c r="A1752" s="71" t="s">
        <v>17</v>
      </c>
      <c r="B1752" s="72">
        <f>B1746</f>
        <v>15</v>
      </c>
      <c r="C1752" s="73">
        <f t="shared" ref="C1752:L1752" si="1429">C1746</f>
        <v>28</v>
      </c>
      <c r="D1752" s="73">
        <f t="shared" si="1429"/>
        <v>12</v>
      </c>
      <c r="E1752" s="74">
        <f t="shared" si="1429"/>
        <v>13</v>
      </c>
      <c r="F1752" s="76">
        <f t="shared" si="1429"/>
        <v>64</v>
      </c>
      <c r="G1752" s="72">
        <f t="shared" si="1429"/>
        <v>7</v>
      </c>
      <c r="H1752" s="73">
        <f t="shared" si="1429"/>
        <v>8</v>
      </c>
      <c r="I1752" s="73">
        <f t="shared" si="1429"/>
        <v>6</v>
      </c>
      <c r="J1752" s="74">
        <f t="shared" si="1429"/>
        <v>6</v>
      </c>
      <c r="K1752" s="75">
        <f t="shared" si="1429"/>
        <v>27</v>
      </c>
      <c r="L1752" s="16">
        <f t="shared" si="1429"/>
        <v>91</v>
      </c>
      <c r="N1752" s="71" t="s">
        <v>17</v>
      </c>
      <c r="O1752" s="72">
        <f>O1746</f>
        <v>699</v>
      </c>
      <c r="P1752" s="73">
        <f t="shared" ref="P1752:Y1752" si="1430">P1746</f>
        <v>823</v>
      </c>
      <c r="Q1752" s="73">
        <f t="shared" si="1430"/>
        <v>493</v>
      </c>
      <c r="R1752" s="74">
        <f t="shared" si="1430"/>
        <v>426</v>
      </c>
      <c r="S1752" s="76">
        <f t="shared" si="1430"/>
        <v>2441</v>
      </c>
      <c r="T1752" s="72">
        <f t="shared" si="1430"/>
        <v>745</v>
      </c>
      <c r="U1752" s="73">
        <f t="shared" si="1430"/>
        <v>867</v>
      </c>
      <c r="V1752" s="73">
        <f t="shared" si="1430"/>
        <v>546</v>
      </c>
      <c r="W1752" s="74">
        <f t="shared" si="1430"/>
        <v>464</v>
      </c>
      <c r="X1752" s="75">
        <f t="shared" si="1430"/>
        <v>2622</v>
      </c>
      <c r="Y1752" s="16">
        <f t="shared" si="1430"/>
        <v>5063</v>
      </c>
    </row>
    <row r="1753" spans="1:26" x14ac:dyDescent="0.15">
      <c r="A1753" s="13" t="s">
        <v>166</v>
      </c>
      <c r="B1753" s="26">
        <v>3</v>
      </c>
      <c r="C1753" s="47">
        <v>4</v>
      </c>
      <c r="D1753" s="27">
        <v>3</v>
      </c>
      <c r="E1753" s="50">
        <v>3</v>
      </c>
      <c r="F1753" s="9">
        <f>SUM(B1753:E1753)</f>
        <v>13</v>
      </c>
      <c r="G1753" s="47">
        <v>1</v>
      </c>
      <c r="H1753" s="47">
        <v>3</v>
      </c>
      <c r="I1753" s="27">
        <v>3</v>
      </c>
      <c r="J1753" s="50">
        <v>4</v>
      </c>
      <c r="K1753" s="9">
        <f>SUM(G1753:J1753)</f>
        <v>11</v>
      </c>
      <c r="L1753" s="108">
        <f t="shared" ref="L1753:L1755" si="1431">F1753+K1753</f>
        <v>24</v>
      </c>
      <c r="M1753" s="126">
        <v>45615</v>
      </c>
      <c r="N1753" s="13" t="s">
        <v>5</v>
      </c>
      <c r="O1753" s="26"/>
      <c r="P1753" s="47"/>
      <c r="Q1753" s="27">
        <v>7</v>
      </c>
      <c r="R1753" s="34"/>
      <c r="S1753" s="77">
        <f t="shared" ref="S1753" si="1432">SUM(O1753:R1753)</f>
        <v>7</v>
      </c>
      <c r="T1753" s="26"/>
      <c r="U1753" s="47"/>
      <c r="V1753" s="27">
        <v>17</v>
      </c>
      <c r="W1753" s="34">
        <v>4</v>
      </c>
      <c r="X1753" s="9">
        <f t="shared" ref="X1753" si="1433">SUM(T1753:W1753)</f>
        <v>21</v>
      </c>
      <c r="Y1753" s="11">
        <f t="shared" ref="Y1753" si="1434">S1753+X1753</f>
        <v>28</v>
      </c>
      <c r="Z1753" s="126">
        <v>45633</v>
      </c>
    </row>
    <row r="1754" spans="1:26" x14ac:dyDescent="0.15">
      <c r="A1754" s="13" t="s">
        <v>766</v>
      </c>
      <c r="B1754" s="26">
        <v>1</v>
      </c>
      <c r="C1754" s="47">
        <v>1</v>
      </c>
      <c r="D1754" s="27">
        <v>19</v>
      </c>
      <c r="E1754" s="50">
        <v>3</v>
      </c>
      <c r="F1754" s="9">
        <f>SUM(B1754:E1754)</f>
        <v>24</v>
      </c>
      <c r="G1754" s="47">
        <v>4</v>
      </c>
      <c r="H1754" s="47"/>
      <c r="I1754" s="27">
        <v>19</v>
      </c>
      <c r="J1754" s="50">
        <v>4</v>
      </c>
      <c r="K1754" s="9">
        <f>SUM(G1754:J1754)</f>
        <v>27</v>
      </c>
      <c r="L1754" s="108">
        <f t="shared" si="1431"/>
        <v>51</v>
      </c>
      <c r="M1754" s="126">
        <v>45621</v>
      </c>
      <c r="N1754" s="13" t="s">
        <v>6</v>
      </c>
      <c r="O1754" s="26"/>
      <c r="P1754" s="47"/>
      <c r="Q1754" s="27"/>
      <c r="R1754" s="34"/>
      <c r="S1754" s="77">
        <f t="shared" ref="S1754:S1756" si="1435">SUM(O1754:R1754)</f>
        <v>0</v>
      </c>
      <c r="T1754" s="26"/>
      <c r="U1754" s="47"/>
      <c r="V1754" s="27"/>
      <c r="W1754" s="34"/>
      <c r="X1754" s="9">
        <f t="shared" ref="X1754:X1756" si="1436">SUM(T1754:W1754)</f>
        <v>0</v>
      </c>
      <c r="Y1754" s="11">
        <f t="shared" ref="Y1754:Y1784" si="1437">S1754+X1754</f>
        <v>0</v>
      </c>
    </row>
    <row r="1755" spans="1:26" x14ac:dyDescent="0.15">
      <c r="A1755" s="13" t="s">
        <v>62</v>
      </c>
      <c r="B1755" s="26">
        <v>9</v>
      </c>
      <c r="C1755" s="47">
        <v>5</v>
      </c>
      <c r="D1755" s="27"/>
      <c r="E1755" s="50">
        <v>7</v>
      </c>
      <c r="F1755" s="9">
        <f>SUM(B1755:E1755)</f>
        <v>21</v>
      </c>
      <c r="G1755" s="47">
        <v>2</v>
      </c>
      <c r="H1755" s="47"/>
      <c r="I1755" s="27"/>
      <c r="J1755" s="50"/>
      <c r="K1755" s="9">
        <f>SUM(G1755:J1755)</f>
        <v>2</v>
      </c>
      <c r="L1755" s="108">
        <f t="shared" si="1431"/>
        <v>23</v>
      </c>
      <c r="M1755" s="99">
        <v>45623</v>
      </c>
      <c r="N1755" s="13" t="s">
        <v>7</v>
      </c>
      <c r="O1755" s="26"/>
      <c r="P1755" s="47"/>
      <c r="Q1755" s="27"/>
      <c r="R1755" s="34"/>
      <c r="S1755" s="77">
        <f t="shared" si="1435"/>
        <v>0</v>
      </c>
      <c r="T1755" s="26"/>
      <c r="U1755" s="47"/>
      <c r="V1755" s="27"/>
      <c r="W1755" s="34"/>
      <c r="X1755" s="9">
        <f t="shared" si="1436"/>
        <v>0</v>
      </c>
      <c r="Y1755" s="11">
        <f t="shared" si="1437"/>
        <v>0</v>
      </c>
    </row>
    <row r="1756" spans="1:26" ht="14.25" thickBot="1" x14ac:dyDescent="0.2">
      <c r="A1756" s="79" t="s">
        <v>60</v>
      </c>
      <c r="B1756" s="66">
        <v>6</v>
      </c>
      <c r="C1756" s="67">
        <v>5</v>
      </c>
      <c r="D1756" s="68">
        <v>2</v>
      </c>
      <c r="E1756" s="94"/>
      <c r="F1756" s="118">
        <f>SUM(B1756:E1756)</f>
        <v>13</v>
      </c>
      <c r="G1756" s="67">
        <v>2</v>
      </c>
      <c r="H1756" s="67">
        <v>4</v>
      </c>
      <c r="I1756" s="68">
        <v>2</v>
      </c>
      <c r="J1756" s="94"/>
      <c r="K1756" s="118">
        <f>SUM(G1756:J1756)</f>
        <v>8</v>
      </c>
      <c r="L1756" s="14">
        <f t="shared" ref="L1756:L1784" si="1438">F1756+K1756</f>
        <v>21</v>
      </c>
      <c r="M1756" s="99">
        <v>45624</v>
      </c>
      <c r="N1756" s="13" t="s">
        <v>8</v>
      </c>
      <c r="O1756" s="26"/>
      <c r="P1756" s="47"/>
      <c r="Q1756" s="27"/>
      <c r="R1756" s="34"/>
      <c r="S1756" s="77">
        <f t="shared" si="1435"/>
        <v>0</v>
      </c>
      <c r="T1756" s="26"/>
      <c r="U1756" s="47"/>
      <c r="V1756" s="27"/>
      <c r="W1756" s="34"/>
      <c r="X1756" s="9">
        <f t="shared" si="1436"/>
        <v>0</v>
      </c>
      <c r="Y1756" s="11">
        <f t="shared" si="1437"/>
        <v>0</v>
      </c>
    </row>
    <row r="1757" spans="1:26" ht="14.25" thickBot="1" x14ac:dyDescent="0.2">
      <c r="A1757" s="22" t="s">
        <v>9</v>
      </c>
      <c r="B1757" s="51">
        <f t="shared" ref="B1757:K1757" si="1439">SUM(B1752:B1756)</f>
        <v>34</v>
      </c>
      <c r="C1757" s="52">
        <f t="shared" si="1439"/>
        <v>43</v>
      </c>
      <c r="D1757" s="53">
        <f t="shared" si="1439"/>
        <v>36</v>
      </c>
      <c r="E1757" s="54">
        <f t="shared" si="1439"/>
        <v>26</v>
      </c>
      <c r="F1757" s="28">
        <f t="shared" si="1439"/>
        <v>135</v>
      </c>
      <c r="G1757" s="51">
        <f t="shared" si="1439"/>
        <v>16</v>
      </c>
      <c r="H1757" s="52">
        <f t="shared" si="1439"/>
        <v>15</v>
      </c>
      <c r="I1757" s="53">
        <f t="shared" si="1439"/>
        <v>30</v>
      </c>
      <c r="J1757" s="54">
        <f t="shared" si="1439"/>
        <v>14</v>
      </c>
      <c r="K1757" s="28">
        <f t="shared" si="1439"/>
        <v>75</v>
      </c>
      <c r="L1757" s="21">
        <f t="shared" si="1438"/>
        <v>210</v>
      </c>
      <c r="N1757" s="17" t="s">
        <v>9</v>
      </c>
      <c r="O1757" s="41">
        <f>SUM(O1752:O1756)</f>
        <v>699</v>
      </c>
      <c r="P1757" s="49">
        <f t="shared" ref="P1757:V1757" si="1440">SUM(P1752:P1756)</f>
        <v>823</v>
      </c>
      <c r="Q1757" s="42">
        <f t="shared" si="1440"/>
        <v>500</v>
      </c>
      <c r="R1757" s="92">
        <f t="shared" si="1440"/>
        <v>426</v>
      </c>
      <c r="S1757" s="93">
        <f t="shared" si="1440"/>
        <v>2448</v>
      </c>
      <c r="T1757" s="41">
        <f t="shared" si="1440"/>
        <v>745</v>
      </c>
      <c r="U1757" s="49">
        <f t="shared" si="1440"/>
        <v>867</v>
      </c>
      <c r="V1757" s="42">
        <f t="shared" si="1440"/>
        <v>563</v>
      </c>
      <c r="W1757" s="92">
        <f>SUM(W1752:W1756)</f>
        <v>468</v>
      </c>
      <c r="X1757" s="93">
        <f t="shared" ref="X1757" si="1441">SUM(X1752:X1756)</f>
        <v>2643</v>
      </c>
      <c r="Y1757" s="56">
        <f t="shared" si="1437"/>
        <v>5091</v>
      </c>
    </row>
    <row r="1758" spans="1:26" x14ac:dyDescent="0.15">
      <c r="A1758" s="79" t="s">
        <v>1453</v>
      </c>
      <c r="B1758" s="24">
        <v>7</v>
      </c>
      <c r="C1758" s="46">
        <v>14</v>
      </c>
      <c r="D1758" s="25">
        <v>6</v>
      </c>
      <c r="E1758" s="33">
        <v>9</v>
      </c>
      <c r="F1758" s="35">
        <f>SUM(B1758:E1758)</f>
        <v>36</v>
      </c>
      <c r="G1758" s="24"/>
      <c r="H1758" s="46"/>
      <c r="I1758" s="25"/>
      <c r="J1758" s="33"/>
      <c r="K1758" s="35">
        <f>SUM(G1758:J1758)</f>
        <v>0</v>
      </c>
      <c r="L1758" s="11">
        <f t="shared" si="1438"/>
        <v>36</v>
      </c>
      <c r="M1758" s="126">
        <v>45612</v>
      </c>
      <c r="N1758" s="153" t="s">
        <v>1445</v>
      </c>
      <c r="O1758" s="26">
        <v>11</v>
      </c>
      <c r="P1758" s="47">
        <v>1</v>
      </c>
      <c r="Q1758" s="27">
        <v>6</v>
      </c>
      <c r="R1758" s="34">
        <v>7</v>
      </c>
      <c r="S1758" s="35">
        <f t="shared" ref="S1758:S1764" si="1442">SUM(O1758:R1758)</f>
        <v>25</v>
      </c>
      <c r="T1758" s="26">
        <v>8</v>
      </c>
      <c r="U1758" s="47">
        <v>2</v>
      </c>
      <c r="V1758" s="27">
        <v>1</v>
      </c>
      <c r="W1758" s="34"/>
      <c r="X1758" s="35">
        <f t="shared" ref="X1758:X1764" si="1443">SUM(T1758:W1758)</f>
        <v>11</v>
      </c>
      <c r="Y1758" s="258">
        <f t="shared" si="1437"/>
        <v>36</v>
      </c>
      <c r="Z1758" s="99">
        <v>45607</v>
      </c>
    </row>
    <row r="1759" spans="1:26" x14ac:dyDescent="0.15">
      <c r="A1759" s="32" t="s">
        <v>1461</v>
      </c>
      <c r="B1759" s="26"/>
      <c r="C1759" s="47"/>
      <c r="D1759" s="27">
        <v>-1</v>
      </c>
      <c r="E1759" s="34"/>
      <c r="F1759" s="35">
        <f>SUM(B1759:E1759)</f>
        <v>-1</v>
      </c>
      <c r="G1759" s="26"/>
      <c r="H1759" s="47"/>
      <c r="I1759" s="27"/>
      <c r="J1759" s="34"/>
      <c r="K1759" s="35">
        <f>SUM(G1759:J1759)</f>
        <v>0</v>
      </c>
      <c r="L1759" s="11">
        <f t="shared" si="1438"/>
        <v>-1</v>
      </c>
      <c r="M1759" s="126">
        <v>45617</v>
      </c>
      <c r="N1759" s="153" t="s">
        <v>1444</v>
      </c>
      <c r="O1759" s="26"/>
      <c r="P1759" s="47">
        <v>11</v>
      </c>
      <c r="Q1759" s="27">
        <v>1</v>
      </c>
      <c r="R1759" s="34"/>
      <c r="S1759" s="35">
        <f t="shared" si="1442"/>
        <v>12</v>
      </c>
      <c r="T1759" s="26">
        <v>7</v>
      </c>
      <c r="U1759" s="47"/>
      <c r="V1759" s="27">
        <v>5</v>
      </c>
      <c r="W1759" s="34"/>
      <c r="X1759" s="35">
        <f t="shared" si="1443"/>
        <v>12</v>
      </c>
      <c r="Y1759" s="11">
        <f t="shared" si="1437"/>
        <v>24</v>
      </c>
      <c r="Z1759" s="99">
        <v>45609</v>
      </c>
    </row>
    <row r="1760" spans="1:26" x14ac:dyDescent="0.15">
      <c r="A1760" s="32" t="s">
        <v>41</v>
      </c>
      <c r="B1760" s="26"/>
      <c r="C1760" s="47">
        <v>1</v>
      </c>
      <c r="D1760" s="27">
        <v>1</v>
      </c>
      <c r="E1760" s="34"/>
      <c r="F1760" s="35">
        <f t="shared" ref="F1760:F1782" si="1444">SUM(B1760:E1760)</f>
        <v>2</v>
      </c>
      <c r="G1760" s="26"/>
      <c r="H1760" s="47"/>
      <c r="I1760" s="27"/>
      <c r="J1760" s="34"/>
      <c r="K1760" s="35">
        <f t="shared" ref="K1760:K1782" si="1445">SUM(G1760:J1760)</f>
        <v>0</v>
      </c>
      <c r="L1760" s="11">
        <f t="shared" si="1438"/>
        <v>2</v>
      </c>
      <c r="M1760" s="126">
        <v>45621</v>
      </c>
      <c r="N1760" s="153" t="s">
        <v>1446</v>
      </c>
      <c r="O1760" s="26">
        <v>6</v>
      </c>
      <c r="P1760" s="47">
        <v>3</v>
      </c>
      <c r="Q1760" s="27">
        <v>4</v>
      </c>
      <c r="R1760" s="34"/>
      <c r="S1760" s="35">
        <f t="shared" si="1442"/>
        <v>13</v>
      </c>
      <c r="T1760" s="26">
        <v>1</v>
      </c>
      <c r="U1760" s="47"/>
      <c r="V1760" s="27"/>
      <c r="W1760" s="34"/>
      <c r="X1760" s="35">
        <f t="shared" si="1443"/>
        <v>1</v>
      </c>
      <c r="Y1760" s="11">
        <f t="shared" si="1437"/>
        <v>14</v>
      </c>
      <c r="Z1760" s="99">
        <v>45610</v>
      </c>
    </row>
    <row r="1761" spans="1:28" x14ac:dyDescent="0.15">
      <c r="A1761" s="153" t="s">
        <v>1470</v>
      </c>
      <c r="B1761" s="66">
        <v>9</v>
      </c>
      <c r="C1761" s="67">
        <v>11</v>
      </c>
      <c r="D1761" s="68">
        <v>4</v>
      </c>
      <c r="E1761" s="69">
        <v>7</v>
      </c>
      <c r="F1761" s="70">
        <f t="shared" si="1444"/>
        <v>31</v>
      </c>
      <c r="G1761" s="66">
        <v>7</v>
      </c>
      <c r="H1761" s="67"/>
      <c r="I1761" s="68">
        <v>3</v>
      </c>
      <c r="J1761" s="69"/>
      <c r="K1761" s="70">
        <f t="shared" si="1445"/>
        <v>10</v>
      </c>
      <c r="L1761" s="11">
        <f t="shared" si="1438"/>
        <v>41</v>
      </c>
      <c r="M1761" s="99">
        <v>45624</v>
      </c>
      <c r="N1761" s="153" t="s">
        <v>1449</v>
      </c>
      <c r="O1761" s="26">
        <v>1</v>
      </c>
      <c r="P1761" s="47">
        <v>3</v>
      </c>
      <c r="Q1761" s="27">
        <v>7</v>
      </c>
      <c r="R1761" s="34">
        <v>4</v>
      </c>
      <c r="S1761" s="35">
        <f t="shared" si="1442"/>
        <v>15</v>
      </c>
      <c r="T1761" s="26"/>
      <c r="U1761" s="47">
        <v>2</v>
      </c>
      <c r="V1761" s="27">
        <v>4</v>
      </c>
      <c r="W1761" s="34">
        <v>1</v>
      </c>
      <c r="X1761" s="35">
        <f t="shared" si="1443"/>
        <v>7</v>
      </c>
      <c r="Y1761" s="11">
        <f t="shared" si="1437"/>
        <v>22</v>
      </c>
      <c r="Z1761" s="99">
        <v>45611</v>
      </c>
    </row>
    <row r="1762" spans="1:28" x14ac:dyDescent="0.15">
      <c r="A1762" s="153" t="s">
        <v>1476</v>
      </c>
      <c r="B1762" s="26">
        <v>6</v>
      </c>
      <c r="C1762" s="47">
        <v>5</v>
      </c>
      <c r="D1762" s="27">
        <v>4</v>
      </c>
      <c r="E1762" s="34">
        <v>1</v>
      </c>
      <c r="F1762" s="35">
        <f t="shared" ref="F1762:F1764" si="1446">SUM(B1762:E1762)</f>
        <v>16</v>
      </c>
      <c r="G1762" s="26">
        <v>1</v>
      </c>
      <c r="H1762" s="47">
        <v>2</v>
      </c>
      <c r="I1762" s="27">
        <v>1</v>
      </c>
      <c r="J1762" s="34">
        <v>1</v>
      </c>
      <c r="K1762" s="35">
        <f t="shared" ref="K1762:K1764" si="1447">SUM(G1762:J1762)</f>
        <v>5</v>
      </c>
      <c r="L1762" s="11">
        <f t="shared" ref="L1762:L1764" si="1448">F1762+K1762</f>
        <v>21</v>
      </c>
      <c r="M1762" s="99">
        <v>45625</v>
      </c>
      <c r="N1762" s="12" t="s">
        <v>1450</v>
      </c>
      <c r="O1762" s="26">
        <v>8</v>
      </c>
      <c r="P1762" s="47"/>
      <c r="Q1762" s="27">
        <v>6</v>
      </c>
      <c r="R1762" s="34">
        <v>10</v>
      </c>
      <c r="S1762" s="35">
        <f t="shared" si="1442"/>
        <v>24</v>
      </c>
      <c r="T1762" s="26"/>
      <c r="U1762" s="47"/>
      <c r="V1762" s="27"/>
      <c r="W1762" s="34"/>
      <c r="X1762" s="35">
        <f t="shared" si="1443"/>
        <v>0</v>
      </c>
      <c r="Y1762" s="11">
        <f t="shared" si="1437"/>
        <v>24</v>
      </c>
      <c r="Z1762" s="99">
        <v>45611</v>
      </c>
    </row>
    <row r="1763" spans="1:28" x14ac:dyDescent="0.15">
      <c r="A1763" s="153" t="s">
        <v>1477</v>
      </c>
      <c r="B1763" s="26"/>
      <c r="C1763" s="47">
        <v>2</v>
      </c>
      <c r="D1763" s="27">
        <v>3</v>
      </c>
      <c r="E1763" s="34">
        <v>1</v>
      </c>
      <c r="F1763" s="35">
        <f t="shared" si="1446"/>
        <v>6</v>
      </c>
      <c r="G1763" s="26">
        <v>3</v>
      </c>
      <c r="H1763" s="47">
        <v>6</v>
      </c>
      <c r="I1763" s="27">
        <v>2</v>
      </c>
      <c r="J1763" s="34"/>
      <c r="K1763" s="35">
        <f t="shared" si="1447"/>
        <v>11</v>
      </c>
      <c r="L1763" s="11">
        <f t="shared" si="1448"/>
        <v>17</v>
      </c>
      <c r="M1763" s="99">
        <v>45625</v>
      </c>
      <c r="N1763" s="153" t="s">
        <v>1451</v>
      </c>
      <c r="O1763" s="26">
        <v>7</v>
      </c>
      <c r="P1763" s="47"/>
      <c r="Q1763" s="27"/>
      <c r="R1763" s="34"/>
      <c r="S1763" s="35">
        <f t="shared" si="1442"/>
        <v>7</v>
      </c>
      <c r="T1763" s="26"/>
      <c r="U1763" s="47">
        <v>7</v>
      </c>
      <c r="V1763" s="27"/>
      <c r="W1763" s="34">
        <v>1</v>
      </c>
      <c r="X1763" s="35">
        <f t="shared" si="1443"/>
        <v>8</v>
      </c>
      <c r="Y1763" s="11">
        <f t="shared" si="1437"/>
        <v>15</v>
      </c>
      <c r="Z1763" s="99">
        <v>45611</v>
      </c>
      <c r="AA1763" s="58"/>
    </row>
    <row r="1764" spans="1:28" x14ac:dyDescent="0.15">
      <c r="A1764" s="32" t="s">
        <v>41</v>
      </c>
      <c r="B1764" s="26"/>
      <c r="C1764" s="47"/>
      <c r="D1764" s="27"/>
      <c r="E1764" s="34"/>
      <c r="F1764" s="35">
        <f t="shared" si="1446"/>
        <v>0</v>
      </c>
      <c r="G1764" s="26">
        <v>2</v>
      </c>
      <c r="H1764" s="47"/>
      <c r="I1764" s="27"/>
      <c r="J1764" s="34"/>
      <c r="K1764" s="35">
        <f t="shared" si="1447"/>
        <v>2</v>
      </c>
      <c r="L1764" s="11">
        <f t="shared" si="1448"/>
        <v>2</v>
      </c>
      <c r="M1764" s="126">
        <v>45624</v>
      </c>
      <c r="N1764" s="153" t="s">
        <v>1452</v>
      </c>
      <c r="O1764" s="26">
        <v>33</v>
      </c>
      <c r="P1764" s="47">
        <v>39</v>
      </c>
      <c r="Q1764" s="27">
        <v>23</v>
      </c>
      <c r="R1764" s="34">
        <v>15</v>
      </c>
      <c r="S1764" s="35">
        <f t="shared" si="1442"/>
        <v>110</v>
      </c>
      <c r="T1764" s="26">
        <v>10</v>
      </c>
      <c r="U1764" s="47">
        <v>12</v>
      </c>
      <c r="V1764" s="27">
        <v>9</v>
      </c>
      <c r="W1764" s="34">
        <v>5</v>
      </c>
      <c r="X1764" s="35">
        <f t="shared" si="1443"/>
        <v>36</v>
      </c>
      <c r="Y1764" s="11">
        <f t="shared" si="1437"/>
        <v>146</v>
      </c>
      <c r="Z1764" s="99">
        <v>45614</v>
      </c>
      <c r="AA1764" s="58"/>
    </row>
    <row r="1765" spans="1:28" x14ac:dyDescent="0.15">
      <c r="A1765" s="32" t="s">
        <v>1479</v>
      </c>
      <c r="B1765" s="26">
        <v>3</v>
      </c>
      <c r="C1765" s="47">
        <v>1</v>
      </c>
      <c r="D1765" s="27">
        <v>6</v>
      </c>
      <c r="E1765" s="34"/>
      <c r="F1765" s="35">
        <f t="shared" si="1444"/>
        <v>10</v>
      </c>
      <c r="G1765" s="26"/>
      <c r="H1765" s="47">
        <v>1</v>
      </c>
      <c r="I1765" s="27">
        <v>1</v>
      </c>
      <c r="J1765" s="34"/>
      <c r="K1765" s="35">
        <f t="shared" si="1445"/>
        <v>2</v>
      </c>
      <c r="L1765" s="11">
        <f t="shared" si="1438"/>
        <v>12</v>
      </c>
      <c r="M1765" s="99">
        <v>45628</v>
      </c>
      <c r="N1765" s="153" t="s">
        <v>1456</v>
      </c>
      <c r="O1765" s="26"/>
      <c r="P1765" s="47"/>
      <c r="Q1765" s="27">
        <v>1</v>
      </c>
      <c r="R1765" s="50"/>
      <c r="S1765" s="9">
        <f>SUM(O1765:R1765)</f>
        <v>1</v>
      </c>
      <c r="T1765" s="47"/>
      <c r="U1765" s="47"/>
      <c r="V1765" s="27"/>
      <c r="W1765" s="50">
        <v>4</v>
      </c>
      <c r="X1765" s="9">
        <f>SUM(T1765:W1765)</f>
        <v>4</v>
      </c>
      <c r="Y1765" s="11">
        <f t="shared" si="1437"/>
        <v>5</v>
      </c>
      <c r="Z1765" s="99">
        <v>45617</v>
      </c>
      <c r="AA1765" s="58"/>
      <c r="AB1765" s="58"/>
    </row>
    <row r="1766" spans="1:28" x14ac:dyDescent="0.15">
      <c r="A1766" s="32" t="s">
        <v>41</v>
      </c>
      <c r="B1766" s="26"/>
      <c r="C1766" s="47">
        <v>1</v>
      </c>
      <c r="D1766" s="27"/>
      <c r="E1766" s="34"/>
      <c r="F1766" s="35">
        <f t="shared" si="1444"/>
        <v>1</v>
      </c>
      <c r="G1766" s="26"/>
      <c r="H1766" s="47"/>
      <c r="I1766" s="27"/>
      <c r="J1766" s="34"/>
      <c r="K1766" s="35">
        <f t="shared" si="1445"/>
        <v>0</v>
      </c>
      <c r="L1766" s="11">
        <f t="shared" si="1438"/>
        <v>1</v>
      </c>
      <c r="M1766" s="126">
        <v>45625</v>
      </c>
      <c r="N1766" s="153" t="s">
        <v>1459</v>
      </c>
      <c r="O1766" s="26">
        <v>11</v>
      </c>
      <c r="P1766" s="47">
        <v>1</v>
      </c>
      <c r="Q1766" s="27">
        <v>6</v>
      </c>
      <c r="R1766" s="34">
        <v>1</v>
      </c>
      <c r="S1766" s="35">
        <f t="shared" ref="S1766:S1783" si="1449">SUM(O1766:R1766)</f>
        <v>19</v>
      </c>
      <c r="T1766" s="26"/>
      <c r="U1766" s="47">
        <v>6</v>
      </c>
      <c r="V1766" s="27"/>
      <c r="W1766" s="34"/>
      <c r="X1766" s="35">
        <f t="shared" ref="X1766:X1783" si="1450">SUM(T1766:W1766)</f>
        <v>6</v>
      </c>
      <c r="Y1766" s="11">
        <f t="shared" si="1437"/>
        <v>25</v>
      </c>
      <c r="Z1766" s="99">
        <v>45618</v>
      </c>
      <c r="AA1766" s="58"/>
      <c r="AB1766" s="58"/>
    </row>
    <row r="1767" spans="1:28" x14ac:dyDescent="0.15">
      <c r="A1767" s="32" t="s">
        <v>41</v>
      </c>
      <c r="B1767" s="26"/>
      <c r="C1767" s="47">
        <v>1</v>
      </c>
      <c r="D1767" s="27"/>
      <c r="E1767" s="34"/>
      <c r="F1767" s="35">
        <f t="shared" si="1444"/>
        <v>1</v>
      </c>
      <c r="G1767" s="26"/>
      <c r="H1767" s="47"/>
      <c r="I1767" s="27"/>
      <c r="J1767" s="34"/>
      <c r="K1767" s="35">
        <f t="shared" si="1445"/>
        <v>0</v>
      </c>
      <c r="L1767" s="11">
        <f t="shared" si="1438"/>
        <v>1</v>
      </c>
      <c r="M1767" s="99">
        <v>45628</v>
      </c>
      <c r="N1767" s="153" t="s">
        <v>1460</v>
      </c>
      <c r="O1767" s="26">
        <v>14</v>
      </c>
      <c r="P1767" s="47">
        <v>7</v>
      </c>
      <c r="Q1767" s="27">
        <v>8</v>
      </c>
      <c r="R1767" s="34">
        <v>1</v>
      </c>
      <c r="S1767" s="35">
        <f t="shared" si="1449"/>
        <v>30</v>
      </c>
      <c r="T1767" s="26"/>
      <c r="U1767" s="47">
        <v>5</v>
      </c>
      <c r="V1767" s="27">
        <v>4</v>
      </c>
      <c r="W1767" s="34"/>
      <c r="X1767" s="35">
        <f t="shared" si="1450"/>
        <v>9</v>
      </c>
      <c r="Y1767" s="11">
        <f t="shared" si="1437"/>
        <v>39</v>
      </c>
      <c r="Z1767" s="99">
        <v>45618</v>
      </c>
      <c r="AA1767" s="58"/>
      <c r="AB1767" s="58"/>
    </row>
    <row r="1768" spans="1:28" x14ac:dyDescent="0.15">
      <c r="A1768" s="32" t="s">
        <v>1483</v>
      </c>
      <c r="B1768" s="26"/>
      <c r="C1768" s="47">
        <v>4</v>
      </c>
      <c r="D1768" s="27">
        <v>1</v>
      </c>
      <c r="E1768" s="34"/>
      <c r="F1768" s="35">
        <f t="shared" si="1444"/>
        <v>5</v>
      </c>
      <c r="G1768" s="26">
        <v>1</v>
      </c>
      <c r="H1768" s="47"/>
      <c r="I1768" s="27"/>
      <c r="J1768" s="34"/>
      <c r="K1768" s="35">
        <f t="shared" si="1445"/>
        <v>1</v>
      </c>
      <c r="L1768" s="11">
        <f t="shared" si="1438"/>
        <v>6</v>
      </c>
      <c r="M1768" s="99">
        <v>45631</v>
      </c>
      <c r="N1768" s="153" t="s">
        <v>1462</v>
      </c>
      <c r="O1768" s="26">
        <v>6</v>
      </c>
      <c r="P1768" s="47">
        <v>11</v>
      </c>
      <c r="Q1768" s="27">
        <v>3</v>
      </c>
      <c r="R1768" s="34">
        <v>1</v>
      </c>
      <c r="S1768" s="35">
        <f t="shared" si="1449"/>
        <v>21</v>
      </c>
      <c r="T1768" s="26"/>
      <c r="U1768" s="47">
        <v>4</v>
      </c>
      <c r="V1768" s="27"/>
      <c r="W1768" s="34">
        <v>1</v>
      </c>
      <c r="X1768" s="35">
        <f t="shared" si="1450"/>
        <v>5</v>
      </c>
      <c r="Y1768" s="11">
        <f t="shared" si="1437"/>
        <v>26</v>
      </c>
      <c r="Z1768" s="99">
        <v>45621</v>
      </c>
      <c r="AA1768" s="58"/>
      <c r="AB1768" s="58"/>
    </row>
    <row r="1769" spans="1:28" x14ac:dyDescent="0.15">
      <c r="A1769" s="13" t="s">
        <v>1486</v>
      </c>
      <c r="B1769" s="26"/>
      <c r="C1769" s="47"/>
      <c r="D1769" s="27"/>
      <c r="E1769" s="34"/>
      <c r="F1769" s="35">
        <f t="shared" si="1444"/>
        <v>0</v>
      </c>
      <c r="G1769" s="26"/>
      <c r="H1769" s="47"/>
      <c r="I1769" s="27"/>
      <c r="J1769" s="34">
        <v>3</v>
      </c>
      <c r="K1769" s="35">
        <f t="shared" si="1445"/>
        <v>3</v>
      </c>
      <c r="L1769" s="11">
        <f t="shared" si="1438"/>
        <v>3</v>
      </c>
      <c r="M1769" s="99">
        <v>45629</v>
      </c>
      <c r="N1769" s="153" t="s">
        <v>1464</v>
      </c>
      <c r="O1769" s="26">
        <v>6</v>
      </c>
      <c r="P1769" s="47">
        <v>6</v>
      </c>
      <c r="Q1769" s="27"/>
      <c r="R1769" s="34"/>
      <c r="S1769" s="35">
        <f t="shared" si="1449"/>
        <v>12</v>
      </c>
      <c r="T1769" s="26"/>
      <c r="U1769" s="47">
        <v>4</v>
      </c>
      <c r="V1769" s="27">
        <v>1</v>
      </c>
      <c r="W1769" s="34">
        <v>2</v>
      </c>
      <c r="X1769" s="35">
        <f t="shared" si="1450"/>
        <v>7</v>
      </c>
      <c r="Y1769" s="11">
        <f t="shared" si="1437"/>
        <v>19</v>
      </c>
      <c r="Z1769" s="99">
        <v>45623</v>
      </c>
    </row>
    <row r="1770" spans="1:28" x14ac:dyDescent="0.15">
      <c r="A1770" s="32" t="s">
        <v>1487</v>
      </c>
      <c r="B1770" s="26"/>
      <c r="C1770" s="47">
        <v>2</v>
      </c>
      <c r="D1770" s="27"/>
      <c r="E1770" s="34">
        <v>2</v>
      </c>
      <c r="F1770" s="35">
        <f t="shared" si="1444"/>
        <v>4</v>
      </c>
      <c r="G1770" s="26">
        <v>1</v>
      </c>
      <c r="H1770" s="47"/>
      <c r="I1770" s="27"/>
      <c r="J1770" s="34"/>
      <c r="K1770" s="35">
        <f t="shared" si="1445"/>
        <v>1</v>
      </c>
      <c r="L1770" s="11">
        <f t="shared" si="1438"/>
        <v>5</v>
      </c>
      <c r="M1770" s="99">
        <v>45632</v>
      </c>
      <c r="N1770" s="12" t="s">
        <v>34</v>
      </c>
      <c r="O1770" s="26">
        <v>3</v>
      </c>
      <c r="P1770" s="47"/>
      <c r="Q1770" s="27"/>
      <c r="R1770" s="34">
        <v>3</v>
      </c>
      <c r="S1770" s="35">
        <f t="shared" si="1449"/>
        <v>6</v>
      </c>
      <c r="T1770" s="26"/>
      <c r="U1770" s="47"/>
      <c r="V1770" s="27"/>
      <c r="W1770" s="34"/>
      <c r="X1770" s="35">
        <f t="shared" si="1450"/>
        <v>0</v>
      </c>
      <c r="Y1770" s="11">
        <f t="shared" si="1437"/>
        <v>6</v>
      </c>
      <c r="Z1770" s="99">
        <v>45623</v>
      </c>
    </row>
    <row r="1771" spans="1:28" x14ac:dyDescent="0.15">
      <c r="A1771" s="13" t="s">
        <v>1488</v>
      </c>
      <c r="B1771" s="26"/>
      <c r="C1771" s="47">
        <v>-5</v>
      </c>
      <c r="D1771" s="27"/>
      <c r="E1771" s="34"/>
      <c r="F1771" s="35">
        <f t="shared" si="1444"/>
        <v>-5</v>
      </c>
      <c r="G1771" s="26">
        <v>-5</v>
      </c>
      <c r="H1771" s="47"/>
      <c r="I1771" s="27"/>
      <c r="J1771" s="34"/>
      <c r="K1771" s="35">
        <f t="shared" si="1445"/>
        <v>-5</v>
      </c>
      <c r="L1771" s="11">
        <f t="shared" si="1438"/>
        <v>-10</v>
      </c>
      <c r="M1771" s="99">
        <v>45631</v>
      </c>
      <c r="N1771" s="12" t="s">
        <v>34</v>
      </c>
      <c r="O1771" s="26">
        <v>5</v>
      </c>
      <c r="P1771" s="47">
        <v>5</v>
      </c>
      <c r="Q1771" s="27"/>
      <c r="R1771" s="34">
        <v>5</v>
      </c>
      <c r="S1771" s="35">
        <f t="shared" si="1449"/>
        <v>15</v>
      </c>
      <c r="T1771" s="26">
        <v>3</v>
      </c>
      <c r="U1771" s="47"/>
      <c r="V1771" s="27"/>
      <c r="W1771" s="34"/>
      <c r="X1771" s="35">
        <f t="shared" si="1450"/>
        <v>3</v>
      </c>
      <c r="Y1771" s="11">
        <f t="shared" si="1437"/>
        <v>18</v>
      </c>
      <c r="Z1771" s="99">
        <v>45624</v>
      </c>
    </row>
    <row r="1772" spans="1:28" x14ac:dyDescent="0.15">
      <c r="A1772" s="32" t="s">
        <v>1489</v>
      </c>
      <c r="B1772" s="26"/>
      <c r="C1772" s="47"/>
      <c r="D1772" s="27"/>
      <c r="E1772" s="34">
        <v>1</v>
      </c>
      <c r="F1772" s="35">
        <f t="shared" si="1444"/>
        <v>1</v>
      </c>
      <c r="G1772" s="26">
        <v>2</v>
      </c>
      <c r="H1772" s="47"/>
      <c r="I1772" s="27">
        <v>1</v>
      </c>
      <c r="J1772" s="34">
        <v>1</v>
      </c>
      <c r="K1772" s="35">
        <f t="shared" si="1445"/>
        <v>4</v>
      </c>
      <c r="L1772" s="11">
        <f t="shared" si="1438"/>
        <v>5</v>
      </c>
      <c r="M1772" s="99">
        <v>45632</v>
      </c>
      <c r="N1772" s="32" t="s">
        <v>1482</v>
      </c>
      <c r="O1772" s="26">
        <v>4</v>
      </c>
      <c r="P1772" s="47">
        <v>9</v>
      </c>
      <c r="Q1772" s="27">
        <v>4</v>
      </c>
      <c r="R1772" s="34">
        <v>2</v>
      </c>
      <c r="S1772" s="35">
        <f t="shared" si="1449"/>
        <v>19</v>
      </c>
      <c r="T1772" s="26">
        <v>1</v>
      </c>
      <c r="U1772" s="47">
        <v>1</v>
      </c>
      <c r="V1772" s="27">
        <v>1</v>
      </c>
      <c r="W1772" s="34">
        <v>1</v>
      </c>
      <c r="X1772" s="35">
        <f t="shared" si="1450"/>
        <v>4</v>
      </c>
      <c r="Y1772" s="11">
        <f t="shared" si="1437"/>
        <v>23</v>
      </c>
      <c r="Z1772" s="99">
        <v>45630</v>
      </c>
    </row>
    <row r="1773" spans="1:28" x14ac:dyDescent="0.15">
      <c r="A1773" s="32" t="s">
        <v>41</v>
      </c>
      <c r="B1773" s="26">
        <v>1</v>
      </c>
      <c r="C1773" s="47"/>
      <c r="D1773" s="27"/>
      <c r="E1773" s="34"/>
      <c r="F1773" s="35">
        <f t="shared" si="1444"/>
        <v>1</v>
      </c>
      <c r="G1773" s="26">
        <v>1</v>
      </c>
      <c r="H1773" s="47"/>
      <c r="I1773" s="27"/>
      <c r="J1773" s="34"/>
      <c r="K1773" s="35">
        <f t="shared" si="1445"/>
        <v>1</v>
      </c>
      <c r="L1773" s="11">
        <f t="shared" si="1438"/>
        <v>2</v>
      </c>
      <c r="M1773" s="99">
        <v>45632</v>
      </c>
      <c r="N1773" s="12" t="s">
        <v>34</v>
      </c>
      <c r="O1773" s="26"/>
      <c r="P1773" s="47">
        <v>5</v>
      </c>
      <c r="Q1773" s="27"/>
      <c r="R1773" s="34"/>
      <c r="S1773" s="35">
        <f t="shared" si="1449"/>
        <v>5</v>
      </c>
      <c r="T1773" s="26">
        <v>5</v>
      </c>
      <c r="U1773" s="47"/>
      <c r="V1773" s="27"/>
      <c r="W1773" s="34"/>
      <c r="X1773" s="35">
        <f t="shared" si="1450"/>
        <v>5</v>
      </c>
      <c r="Y1773" s="11">
        <f t="shared" si="1437"/>
        <v>10</v>
      </c>
      <c r="Z1773" s="99">
        <v>45631</v>
      </c>
    </row>
    <row r="1774" spans="1:28" x14ac:dyDescent="0.15">
      <c r="A1774" s="15" t="s">
        <v>284</v>
      </c>
      <c r="B1774" s="26"/>
      <c r="C1774" s="47"/>
      <c r="D1774" s="27">
        <v>7</v>
      </c>
      <c r="E1774" s="34"/>
      <c r="F1774" s="35">
        <f t="shared" si="1444"/>
        <v>7</v>
      </c>
      <c r="G1774" s="26"/>
      <c r="H1774" s="47"/>
      <c r="I1774" s="27">
        <v>17</v>
      </c>
      <c r="J1774" s="34">
        <v>4</v>
      </c>
      <c r="K1774" s="35">
        <f t="shared" si="1445"/>
        <v>21</v>
      </c>
      <c r="L1774" s="11">
        <f t="shared" si="1438"/>
        <v>28</v>
      </c>
      <c r="M1774" s="99">
        <v>45633</v>
      </c>
      <c r="N1774" s="32" t="s">
        <v>1491</v>
      </c>
      <c r="O1774" s="26"/>
      <c r="P1774" s="47">
        <v>5</v>
      </c>
      <c r="Q1774" s="27"/>
      <c r="R1774" s="34">
        <v>2</v>
      </c>
      <c r="S1774" s="35">
        <f t="shared" si="1449"/>
        <v>7</v>
      </c>
      <c r="T1774" s="26"/>
      <c r="U1774" s="47"/>
      <c r="V1774" s="27">
        <v>1</v>
      </c>
      <c r="W1774" s="34"/>
      <c r="X1774" s="35">
        <f t="shared" si="1450"/>
        <v>1</v>
      </c>
      <c r="Y1774" s="11">
        <f t="shared" si="1437"/>
        <v>8</v>
      </c>
      <c r="Z1774" s="99">
        <v>45635</v>
      </c>
    </row>
    <row r="1775" spans="1:28" x14ac:dyDescent="0.15">
      <c r="A1775" s="15" t="s">
        <v>1498</v>
      </c>
      <c r="B1775" s="26">
        <v>-4</v>
      </c>
      <c r="C1775" s="47">
        <v>-8</v>
      </c>
      <c r="D1775" s="27">
        <v>-4</v>
      </c>
      <c r="E1775" s="34">
        <v>-6</v>
      </c>
      <c r="F1775" s="35">
        <f t="shared" si="1444"/>
        <v>-22</v>
      </c>
      <c r="G1775" s="26">
        <v>-1</v>
      </c>
      <c r="H1775" s="47">
        <v>-4</v>
      </c>
      <c r="I1775" s="27"/>
      <c r="J1775" s="34"/>
      <c r="K1775" s="35">
        <f t="shared" si="1445"/>
        <v>-5</v>
      </c>
      <c r="L1775" s="11">
        <f t="shared" si="1438"/>
        <v>-27</v>
      </c>
      <c r="M1775" s="99">
        <v>45638</v>
      </c>
      <c r="N1775" s="32" t="s">
        <v>1493</v>
      </c>
      <c r="O1775" s="26">
        <v>2</v>
      </c>
      <c r="P1775" s="47">
        <v>9</v>
      </c>
      <c r="Q1775" s="27"/>
      <c r="R1775" s="34"/>
      <c r="S1775" s="35">
        <f t="shared" si="1449"/>
        <v>11</v>
      </c>
      <c r="T1775" s="26">
        <v>3</v>
      </c>
      <c r="U1775" s="47"/>
      <c r="V1775" s="27"/>
      <c r="W1775" s="34">
        <v>4</v>
      </c>
      <c r="X1775" s="35">
        <f t="shared" si="1450"/>
        <v>7</v>
      </c>
      <c r="Y1775" s="11">
        <f t="shared" si="1437"/>
        <v>18</v>
      </c>
      <c r="Z1775" s="99">
        <v>45637</v>
      </c>
      <c r="AA1775" s="58"/>
    </row>
    <row r="1776" spans="1:28" x14ac:dyDescent="0.15">
      <c r="A1776" s="13"/>
      <c r="B1776" s="26"/>
      <c r="C1776" s="47"/>
      <c r="D1776" s="27"/>
      <c r="E1776" s="34"/>
      <c r="F1776" s="35">
        <f t="shared" si="1444"/>
        <v>0</v>
      </c>
      <c r="G1776" s="26"/>
      <c r="H1776" s="47"/>
      <c r="I1776" s="27"/>
      <c r="J1776" s="34"/>
      <c r="K1776" s="35">
        <f t="shared" si="1445"/>
        <v>0</v>
      </c>
      <c r="L1776" s="11">
        <f t="shared" si="1438"/>
        <v>0</v>
      </c>
      <c r="N1776" s="57"/>
      <c r="O1776" s="26"/>
      <c r="P1776" s="47"/>
      <c r="Q1776" s="27"/>
      <c r="R1776" s="34"/>
      <c r="S1776" s="35">
        <f t="shared" ref="S1776:S1777" si="1451">SUM(O1776:R1776)</f>
        <v>0</v>
      </c>
      <c r="T1776" s="26"/>
      <c r="U1776" s="47"/>
      <c r="V1776" s="27"/>
      <c r="W1776" s="34"/>
      <c r="X1776" s="35">
        <f t="shared" ref="X1776:X1779" si="1452">SUM(T1776:W1776)</f>
        <v>0</v>
      </c>
      <c r="Y1776" s="11">
        <f t="shared" ref="Y1776:Y1779" si="1453">S1776+X1776</f>
        <v>0</v>
      </c>
      <c r="Z1776" s="101"/>
      <c r="AA1776" s="58"/>
    </row>
    <row r="1777" spans="1:26" x14ac:dyDescent="0.15">
      <c r="A1777" s="32"/>
      <c r="B1777" s="26"/>
      <c r="C1777" s="47"/>
      <c r="D1777" s="27"/>
      <c r="E1777" s="34"/>
      <c r="F1777" s="35">
        <f t="shared" si="1444"/>
        <v>0</v>
      </c>
      <c r="G1777" s="26"/>
      <c r="H1777" s="47"/>
      <c r="I1777" s="27"/>
      <c r="J1777" s="34"/>
      <c r="K1777" s="35">
        <f t="shared" si="1445"/>
        <v>0</v>
      </c>
      <c r="L1777" s="11">
        <f t="shared" si="1438"/>
        <v>0</v>
      </c>
      <c r="N1777" s="153" t="s">
        <v>1437</v>
      </c>
      <c r="O1777" s="154"/>
      <c r="P1777" s="155"/>
      <c r="Q1777" s="156"/>
      <c r="R1777" s="157"/>
      <c r="S1777" s="158">
        <f t="shared" si="1451"/>
        <v>0</v>
      </c>
      <c r="T1777" s="154"/>
      <c r="U1777" s="155"/>
      <c r="V1777" s="156"/>
      <c r="W1777" s="251"/>
      <c r="X1777" s="252">
        <f t="shared" si="1452"/>
        <v>0</v>
      </c>
      <c r="Y1777" s="159">
        <f t="shared" si="1453"/>
        <v>0</v>
      </c>
      <c r="Z1777" s="160" t="s">
        <v>1436</v>
      </c>
    </row>
    <row r="1778" spans="1:26" x14ac:dyDescent="0.15">
      <c r="A1778" s="32"/>
      <c r="B1778" s="26"/>
      <c r="C1778" s="47"/>
      <c r="D1778" s="27"/>
      <c r="E1778" s="34"/>
      <c r="F1778" s="35">
        <f t="shared" si="1444"/>
        <v>0</v>
      </c>
      <c r="G1778" s="26"/>
      <c r="H1778" s="47"/>
      <c r="I1778" s="27"/>
      <c r="J1778" s="34"/>
      <c r="K1778" s="35">
        <f t="shared" si="1445"/>
        <v>0</v>
      </c>
      <c r="L1778" s="11">
        <f t="shared" si="1438"/>
        <v>0</v>
      </c>
      <c r="N1778" s="57" t="s">
        <v>1465</v>
      </c>
      <c r="O1778" s="66"/>
      <c r="P1778" s="67"/>
      <c r="Q1778" s="68"/>
      <c r="R1778" s="69"/>
      <c r="S1778" s="70">
        <f t="shared" ref="S1778:S1779" si="1454">SUM(O1778:R1778)</f>
        <v>0</v>
      </c>
      <c r="T1778" s="66"/>
      <c r="U1778" s="67"/>
      <c r="V1778" s="68"/>
      <c r="W1778" s="69"/>
      <c r="X1778" s="70">
        <f t="shared" si="1452"/>
        <v>0</v>
      </c>
      <c r="Y1778" s="11">
        <f t="shared" si="1453"/>
        <v>0</v>
      </c>
      <c r="Z1778" s="101" t="s">
        <v>1353</v>
      </c>
    </row>
    <row r="1779" spans="1:26" x14ac:dyDescent="0.15">
      <c r="A1779" s="12"/>
      <c r="B1779" s="26"/>
      <c r="C1779" s="47"/>
      <c r="D1779" s="27"/>
      <c r="E1779" s="34"/>
      <c r="F1779" s="35">
        <f t="shared" si="1444"/>
        <v>0</v>
      </c>
      <c r="G1779" s="26"/>
      <c r="H1779" s="47"/>
      <c r="I1779" s="27"/>
      <c r="J1779" s="34"/>
      <c r="K1779" s="35">
        <f t="shared" si="1445"/>
        <v>0</v>
      </c>
      <c r="L1779" s="11">
        <f t="shared" si="1438"/>
        <v>0</v>
      </c>
      <c r="N1779" s="12" t="s">
        <v>1466</v>
      </c>
      <c r="O1779" s="26"/>
      <c r="P1779" s="47"/>
      <c r="Q1779" s="27"/>
      <c r="R1779" s="34"/>
      <c r="S1779" s="35">
        <f t="shared" si="1454"/>
        <v>0</v>
      </c>
      <c r="T1779" s="26"/>
      <c r="U1779" s="47"/>
      <c r="V1779" s="27"/>
      <c r="W1779" s="34"/>
      <c r="X1779" s="35">
        <f t="shared" si="1452"/>
        <v>0</v>
      </c>
      <c r="Y1779" s="108">
        <f t="shared" si="1453"/>
        <v>0</v>
      </c>
      <c r="Z1779" s="101" t="s">
        <v>1362</v>
      </c>
    </row>
    <row r="1780" spans="1:26" x14ac:dyDescent="0.15">
      <c r="A1780" s="79"/>
      <c r="B1780" s="26"/>
      <c r="C1780" s="47"/>
      <c r="D1780" s="27"/>
      <c r="E1780" s="34"/>
      <c r="F1780" s="35">
        <f t="shared" si="1444"/>
        <v>0</v>
      </c>
      <c r="G1780" s="26"/>
      <c r="H1780" s="47"/>
      <c r="I1780" s="27"/>
      <c r="J1780" s="34"/>
      <c r="K1780" s="35">
        <f t="shared" si="1445"/>
        <v>0</v>
      </c>
      <c r="L1780" s="11">
        <f t="shared" si="1438"/>
        <v>0</v>
      </c>
      <c r="N1780" s="12" t="s">
        <v>1432</v>
      </c>
      <c r="O1780" s="26"/>
      <c r="P1780" s="47"/>
      <c r="Q1780" s="27"/>
      <c r="R1780" s="34"/>
      <c r="S1780" s="35">
        <f t="shared" ref="S1780:S1781" si="1455">SUM(O1780:R1780)</f>
        <v>0</v>
      </c>
      <c r="T1780" s="26"/>
      <c r="U1780" s="47"/>
      <c r="V1780" s="27"/>
      <c r="W1780" s="50"/>
      <c r="X1780" s="9">
        <f t="shared" ref="X1780:X1781" si="1456">SUM(T1780:W1780)</f>
        <v>0</v>
      </c>
      <c r="Y1780" s="108">
        <f t="shared" ref="Y1780:Y1781" si="1457">S1780+X1780</f>
        <v>0</v>
      </c>
      <c r="Z1780" s="101" t="s">
        <v>389</v>
      </c>
    </row>
    <row r="1781" spans="1:26" x14ac:dyDescent="0.15">
      <c r="A1781" s="57"/>
      <c r="B1781" s="26"/>
      <c r="C1781" s="47"/>
      <c r="D1781" s="27"/>
      <c r="E1781" s="34"/>
      <c r="F1781" s="35">
        <f t="shared" si="1444"/>
        <v>0</v>
      </c>
      <c r="G1781" s="26"/>
      <c r="H1781" s="47"/>
      <c r="I1781" s="27"/>
      <c r="J1781" s="34"/>
      <c r="K1781" s="35">
        <f t="shared" si="1445"/>
        <v>0</v>
      </c>
      <c r="L1781" s="11">
        <f t="shared" si="1438"/>
        <v>0</v>
      </c>
      <c r="N1781" s="12" t="s">
        <v>1420</v>
      </c>
      <c r="O1781" s="26"/>
      <c r="P1781" s="47"/>
      <c r="Q1781" s="27"/>
      <c r="R1781" s="34"/>
      <c r="S1781" s="35">
        <f t="shared" si="1455"/>
        <v>0</v>
      </c>
      <c r="T1781" s="26"/>
      <c r="U1781" s="47"/>
      <c r="V1781" s="27"/>
      <c r="W1781" s="50"/>
      <c r="X1781" s="9">
        <f t="shared" si="1456"/>
        <v>0</v>
      </c>
      <c r="Y1781" s="108">
        <f t="shared" si="1457"/>
        <v>0</v>
      </c>
      <c r="Z1781" s="101" t="s">
        <v>1421</v>
      </c>
    </row>
    <row r="1782" spans="1:26" ht="14.25" thickBot="1" x14ac:dyDescent="0.2">
      <c r="A1782" s="90"/>
      <c r="B1782" s="62"/>
      <c r="C1782" s="63"/>
      <c r="D1782" s="64"/>
      <c r="E1782" s="65"/>
      <c r="F1782" s="35">
        <f t="shared" si="1444"/>
        <v>0</v>
      </c>
      <c r="G1782" s="62"/>
      <c r="H1782" s="63"/>
      <c r="I1782" s="64"/>
      <c r="J1782" s="65"/>
      <c r="K1782" s="35">
        <f t="shared" si="1445"/>
        <v>0</v>
      </c>
      <c r="L1782" s="14">
        <f t="shared" si="1438"/>
        <v>0</v>
      </c>
      <c r="N1782" s="135" t="s">
        <v>1428</v>
      </c>
      <c r="O1782" s="62"/>
      <c r="P1782" s="63"/>
      <c r="Q1782" s="64"/>
      <c r="R1782" s="65"/>
      <c r="S1782" s="120">
        <f t="shared" ref="S1782" si="1458">SUM(O1782:R1782)</f>
        <v>0</v>
      </c>
      <c r="T1782" s="62"/>
      <c r="U1782" s="63"/>
      <c r="V1782" s="64"/>
      <c r="W1782" s="261"/>
      <c r="X1782" s="10">
        <f t="shared" ref="X1782" si="1459">SUM(T1782:W1782)</f>
        <v>0</v>
      </c>
      <c r="Y1782" s="121">
        <f t="shared" ref="Y1782" si="1460">S1782+X1782</f>
        <v>0</v>
      </c>
      <c r="Z1782" s="101" t="s">
        <v>1429</v>
      </c>
    </row>
    <row r="1783" spans="1:26" ht="14.25" thickBot="1" x14ac:dyDescent="0.2">
      <c r="A1783" s="17" t="s">
        <v>10</v>
      </c>
      <c r="B1783" s="38">
        <f>SUM(B1758:B1782)</f>
        <v>22</v>
      </c>
      <c r="C1783" s="48">
        <f>SUM(C1758:C1782)</f>
        <v>29</v>
      </c>
      <c r="D1783" s="39">
        <f>SUM(D1758:D1782)</f>
        <v>27</v>
      </c>
      <c r="E1783" s="40">
        <f>SUM(E1758:E1782)</f>
        <v>15</v>
      </c>
      <c r="F1783" s="36">
        <f>SUM(B1783:E1783)</f>
        <v>93</v>
      </c>
      <c r="G1783" s="38">
        <f>SUM(G1758:G1782)</f>
        <v>12</v>
      </c>
      <c r="H1783" s="48">
        <f>SUM(H1758:H1782)</f>
        <v>5</v>
      </c>
      <c r="I1783" s="39">
        <f>SUM(I1758:I1782)</f>
        <v>25</v>
      </c>
      <c r="J1783" s="40">
        <f>SUM(J1758:J1782)</f>
        <v>9</v>
      </c>
      <c r="K1783" s="36">
        <f>SUM(G1783:J1783)</f>
        <v>51</v>
      </c>
      <c r="L1783" s="37">
        <f t="shared" si="1438"/>
        <v>144</v>
      </c>
      <c r="N1783" s="133" t="s">
        <v>10</v>
      </c>
      <c r="O1783" s="38">
        <f>SUM(O1758:O1782)</f>
        <v>117</v>
      </c>
      <c r="P1783" s="48">
        <f>SUM(P1758:P1782)</f>
        <v>115</v>
      </c>
      <c r="Q1783" s="39">
        <f>SUM(Q1758:Q1782)</f>
        <v>69</v>
      </c>
      <c r="R1783" s="40">
        <f>SUM(R1758:R1782)</f>
        <v>51</v>
      </c>
      <c r="S1783" s="118">
        <f t="shared" si="1449"/>
        <v>352</v>
      </c>
      <c r="T1783" s="38">
        <f>SUM(T1758:T1782)</f>
        <v>38</v>
      </c>
      <c r="U1783" s="48">
        <f>SUM(U1758:U1782)</f>
        <v>43</v>
      </c>
      <c r="V1783" s="39">
        <f>SUM(V1758:V1782)</f>
        <v>26</v>
      </c>
      <c r="W1783" s="40">
        <f>SUM(W1758:W1782)</f>
        <v>19</v>
      </c>
      <c r="X1783" s="118">
        <f t="shared" si="1450"/>
        <v>126</v>
      </c>
      <c r="Y1783" s="119">
        <f t="shared" si="1437"/>
        <v>478</v>
      </c>
    </row>
    <row r="1784" spans="1:26" ht="14.25" thickBot="1" x14ac:dyDescent="0.2">
      <c r="A1784" s="22" t="s">
        <v>11</v>
      </c>
      <c r="B1784" s="41">
        <f>B1757-B1783</f>
        <v>12</v>
      </c>
      <c r="C1784" s="49">
        <f>C1757-C1783</f>
        <v>14</v>
      </c>
      <c r="D1784" s="42">
        <f t="shared" ref="D1784:K1784" si="1461">D1757-D1783</f>
        <v>9</v>
      </c>
      <c r="E1784" s="43">
        <f t="shared" si="1461"/>
        <v>11</v>
      </c>
      <c r="F1784" s="61">
        <f t="shared" si="1461"/>
        <v>42</v>
      </c>
      <c r="G1784" s="41">
        <f t="shared" si="1461"/>
        <v>4</v>
      </c>
      <c r="H1784" s="49">
        <f t="shared" si="1461"/>
        <v>10</v>
      </c>
      <c r="I1784" s="42">
        <f t="shared" si="1461"/>
        <v>5</v>
      </c>
      <c r="J1784" s="43">
        <f t="shared" si="1461"/>
        <v>5</v>
      </c>
      <c r="K1784" s="61">
        <f t="shared" si="1461"/>
        <v>24</v>
      </c>
      <c r="L1784" s="21">
        <f t="shared" si="1438"/>
        <v>66</v>
      </c>
      <c r="N1784" s="17" t="s">
        <v>11</v>
      </c>
      <c r="O1784" s="41">
        <f>O1757-O1783</f>
        <v>582</v>
      </c>
      <c r="P1784" s="49">
        <f t="shared" ref="P1784:Q1784" si="1462">P1757-P1783</f>
        <v>708</v>
      </c>
      <c r="Q1784" s="42">
        <f t="shared" si="1462"/>
        <v>431</v>
      </c>
      <c r="R1784" s="43">
        <f>R1757-R1783</f>
        <v>375</v>
      </c>
      <c r="S1784" s="61">
        <f t="shared" ref="S1784:X1784" si="1463">S1757-S1783</f>
        <v>2096</v>
      </c>
      <c r="T1784" s="41">
        <f t="shared" si="1463"/>
        <v>707</v>
      </c>
      <c r="U1784" s="49">
        <f t="shared" si="1463"/>
        <v>824</v>
      </c>
      <c r="V1784" s="42">
        <f t="shared" si="1463"/>
        <v>537</v>
      </c>
      <c r="W1784" s="43">
        <f t="shared" si="1463"/>
        <v>449</v>
      </c>
      <c r="X1784" s="61">
        <f t="shared" si="1463"/>
        <v>2517</v>
      </c>
      <c r="Y1784" s="21">
        <f t="shared" si="1437"/>
        <v>4613</v>
      </c>
    </row>
    <row r="1785" spans="1:26" x14ac:dyDescent="0.15">
      <c r="O1785" s="218">
        <f>O1783+O1745+O1707+O1669+O1631+O1593+O1555+O1519</f>
        <v>4738</v>
      </c>
      <c r="P1785" s="218">
        <f t="shared" ref="P1785:X1785" si="1464">P1783+P1745+P1707+P1669+P1631+P1593+P1555+P1519</f>
        <v>5837</v>
      </c>
      <c r="Q1785" s="218">
        <f t="shared" si="1464"/>
        <v>3623</v>
      </c>
      <c r="R1785" s="218">
        <f t="shared" si="1464"/>
        <v>2316</v>
      </c>
      <c r="S1785" s="218">
        <f t="shared" si="1464"/>
        <v>16514</v>
      </c>
      <c r="T1785" s="218">
        <f t="shared" si="1464"/>
        <v>2184</v>
      </c>
      <c r="U1785" s="218">
        <f t="shared" si="1464"/>
        <v>2636</v>
      </c>
      <c r="V1785" s="218">
        <f t="shared" si="1464"/>
        <v>1860</v>
      </c>
      <c r="W1785" s="218">
        <f t="shared" si="1464"/>
        <v>1344</v>
      </c>
      <c r="X1785" s="218">
        <f t="shared" si="1464"/>
        <v>8024</v>
      </c>
    </row>
    <row r="1786" spans="1:26" x14ac:dyDescent="0.15">
      <c r="O1786" s="125">
        <f>O1785/$S$1785*100</f>
        <v>28.690807799442897</v>
      </c>
      <c r="P1786" s="125">
        <f t="shared" ref="P1786:S1786" si="1465">P1785/$S$1785*100</f>
        <v>35.345767227806704</v>
      </c>
      <c r="Q1786" s="125">
        <f t="shared" si="1465"/>
        <v>21.938960881676152</v>
      </c>
      <c r="R1786" s="125">
        <f t="shared" si="1465"/>
        <v>14.02446409107424</v>
      </c>
      <c r="S1786" s="125">
        <f t="shared" si="1465"/>
        <v>100</v>
      </c>
      <c r="T1786" s="125">
        <f>T1785/$X$1785*100</f>
        <v>27.218344965104684</v>
      </c>
      <c r="U1786" s="125">
        <f t="shared" ref="U1786:X1786" si="1466">U1785/$X$1785*100</f>
        <v>32.851445663010971</v>
      </c>
      <c r="V1786" s="125">
        <f t="shared" si="1466"/>
        <v>23.180458624127617</v>
      </c>
      <c r="W1786" s="125">
        <f t="shared" si="1466"/>
        <v>16.749750747756732</v>
      </c>
      <c r="X1786" s="125">
        <f t="shared" si="1466"/>
        <v>100</v>
      </c>
    </row>
    <row r="1787" spans="1:26" ht="19.5" thickBot="1" x14ac:dyDescent="0.25">
      <c r="A1787" s="2" t="s">
        <v>106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1036</v>
      </c>
      <c r="O1787" s="270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6" ht="14.25" thickBot="1" x14ac:dyDescent="0.2">
      <c r="A1788" s="5" t="s">
        <v>0</v>
      </c>
      <c r="B1788" s="342" t="s">
        <v>18</v>
      </c>
      <c r="C1788" s="350"/>
      <c r="D1788" s="350"/>
      <c r="E1788" s="350"/>
      <c r="F1788" s="351"/>
      <c r="G1788" s="345" t="s">
        <v>12</v>
      </c>
      <c r="H1788" s="352"/>
      <c r="I1788" s="352"/>
      <c r="J1788" s="352"/>
      <c r="K1788" s="353"/>
      <c r="L1788" s="354" t="s">
        <v>1</v>
      </c>
      <c r="N1788" s="5" t="s">
        <v>0</v>
      </c>
      <c r="O1788" s="342" t="s">
        <v>18</v>
      </c>
      <c r="P1788" s="343"/>
      <c r="Q1788" s="343"/>
      <c r="R1788" s="343"/>
      <c r="S1788" s="344"/>
      <c r="T1788" s="345" t="s">
        <v>12</v>
      </c>
      <c r="U1788" s="346"/>
      <c r="V1788" s="346"/>
      <c r="W1788" s="346"/>
      <c r="X1788" s="347"/>
      <c r="Y1788" s="348" t="s">
        <v>1</v>
      </c>
    </row>
    <row r="1789" spans="1:26" ht="14.25" thickBot="1" x14ac:dyDescent="0.2">
      <c r="A1789" s="5" t="s">
        <v>2</v>
      </c>
      <c r="B1789" s="3" t="s">
        <v>13</v>
      </c>
      <c r="C1789" s="44" t="s">
        <v>14</v>
      </c>
      <c r="D1789" s="4" t="s">
        <v>15</v>
      </c>
      <c r="E1789" s="23" t="s">
        <v>16</v>
      </c>
      <c r="F1789" s="31" t="s">
        <v>3</v>
      </c>
      <c r="G1789" s="3" t="s">
        <v>13</v>
      </c>
      <c r="H1789" s="44" t="s">
        <v>14</v>
      </c>
      <c r="I1789" s="4" t="s">
        <v>15</v>
      </c>
      <c r="J1789" s="23" t="s">
        <v>16</v>
      </c>
      <c r="K1789" s="31" t="s">
        <v>3</v>
      </c>
      <c r="L1789" s="355"/>
      <c r="N1789" s="5" t="s">
        <v>2</v>
      </c>
      <c r="O1789" s="3" t="s">
        <v>13</v>
      </c>
      <c r="P1789" s="44" t="s">
        <v>14</v>
      </c>
      <c r="Q1789" s="4" t="s">
        <v>15</v>
      </c>
      <c r="R1789" s="23" t="s">
        <v>16</v>
      </c>
      <c r="S1789" s="31" t="s">
        <v>3</v>
      </c>
      <c r="T1789" s="3" t="s">
        <v>13</v>
      </c>
      <c r="U1789" s="44" t="s">
        <v>14</v>
      </c>
      <c r="V1789" s="4" t="s">
        <v>15</v>
      </c>
      <c r="W1789" s="23" t="s">
        <v>16</v>
      </c>
      <c r="X1789" s="31" t="s">
        <v>3</v>
      </c>
      <c r="Y1789" s="349"/>
    </row>
    <row r="1790" spans="1:26" x14ac:dyDescent="0.15">
      <c r="A1790" s="71" t="s">
        <v>17</v>
      </c>
      <c r="B1790" s="72">
        <f>B1784</f>
        <v>12</v>
      </c>
      <c r="C1790" s="73">
        <f t="shared" ref="C1790:L1790" si="1467">C1784</f>
        <v>14</v>
      </c>
      <c r="D1790" s="73">
        <f t="shared" si="1467"/>
        <v>9</v>
      </c>
      <c r="E1790" s="74">
        <f t="shared" si="1467"/>
        <v>11</v>
      </c>
      <c r="F1790" s="76">
        <f t="shared" si="1467"/>
        <v>42</v>
      </c>
      <c r="G1790" s="72">
        <f t="shared" si="1467"/>
        <v>4</v>
      </c>
      <c r="H1790" s="73">
        <f t="shared" si="1467"/>
        <v>10</v>
      </c>
      <c r="I1790" s="73">
        <f t="shared" si="1467"/>
        <v>5</v>
      </c>
      <c r="J1790" s="74">
        <f t="shared" si="1467"/>
        <v>5</v>
      </c>
      <c r="K1790" s="75">
        <f t="shared" si="1467"/>
        <v>24</v>
      </c>
      <c r="L1790" s="16">
        <f t="shared" si="1467"/>
        <v>66</v>
      </c>
      <c r="N1790" s="71" t="s">
        <v>17</v>
      </c>
      <c r="O1790" s="72">
        <f>O1784</f>
        <v>582</v>
      </c>
      <c r="P1790" s="73">
        <f t="shared" ref="P1790:Y1790" si="1468">P1784</f>
        <v>708</v>
      </c>
      <c r="Q1790" s="73">
        <f t="shared" si="1468"/>
        <v>431</v>
      </c>
      <c r="R1790" s="74">
        <f t="shared" si="1468"/>
        <v>375</v>
      </c>
      <c r="S1790" s="76">
        <f t="shared" si="1468"/>
        <v>2096</v>
      </c>
      <c r="T1790" s="72">
        <f t="shared" si="1468"/>
        <v>707</v>
      </c>
      <c r="U1790" s="73">
        <f t="shared" si="1468"/>
        <v>824</v>
      </c>
      <c r="V1790" s="73">
        <f t="shared" si="1468"/>
        <v>537</v>
      </c>
      <c r="W1790" s="74">
        <f t="shared" si="1468"/>
        <v>449</v>
      </c>
      <c r="X1790" s="75">
        <f t="shared" si="1468"/>
        <v>2517</v>
      </c>
      <c r="Y1790" s="16">
        <f t="shared" si="1468"/>
        <v>4613</v>
      </c>
    </row>
    <row r="1791" spans="1:26" x14ac:dyDescent="0.15">
      <c r="A1791" s="13" t="s">
        <v>166</v>
      </c>
      <c r="B1791" s="26"/>
      <c r="C1791" s="47"/>
      <c r="D1791" s="27"/>
      <c r="E1791" s="50"/>
      <c r="F1791" s="9">
        <f>SUM(B1791:E1791)</f>
        <v>0</v>
      </c>
      <c r="G1791" s="47"/>
      <c r="H1791" s="47">
        <v>1</v>
      </c>
      <c r="I1791" s="27"/>
      <c r="J1791" s="50"/>
      <c r="K1791" s="9">
        <f>SUM(G1791:J1791)</f>
        <v>1</v>
      </c>
      <c r="L1791" s="11">
        <f t="shared" ref="L1791:L1822" si="1469">F1791+K1791</f>
        <v>1</v>
      </c>
      <c r="M1791" s="99">
        <v>45645</v>
      </c>
      <c r="N1791" s="13" t="s">
        <v>305</v>
      </c>
      <c r="O1791" s="26">
        <v>4</v>
      </c>
      <c r="P1791" s="47">
        <v>2</v>
      </c>
      <c r="Q1791" s="27">
        <v>2</v>
      </c>
      <c r="R1791" s="34">
        <v>3</v>
      </c>
      <c r="S1791" s="77">
        <f t="shared" ref="S1791" si="1470">SUM(O1791:R1791)</f>
        <v>11</v>
      </c>
      <c r="T1791" s="26"/>
      <c r="U1791" s="47">
        <v>2</v>
      </c>
      <c r="V1791" s="27">
        <v>2</v>
      </c>
      <c r="W1791" s="34"/>
      <c r="X1791" s="9">
        <f t="shared" ref="X1791" si="1471">SUM(T1791:W1791)</f>
        <v>4</v>
      </c>
      <c r="Y1791" s="11">
        <f t="shared" ref="Y1791" si="1472">S1791+X1791</f>
        <v>15</v>
      </c>
      <c r="Z1791" s="126">
        <v>45647</v>
      </c>
    </row>
    <row r="1792" spans="1:26" x14ac:dyDescent="0.15">
      <c r="A1792" s="13" t="s">
        <v>6</v>
      </c>
      <c r="B1792" s="26"/>
      <c r="C1792" s="47"/>
      <c r="D1792" s="27"/>
      <c r="E1792" s="50"/>
      <c r="F1792" s="9">
        <f>SUM(B1792:E1792)</f>
        <v>0</v>
      </c>
      <c r="G1792" s="47">
        <v>5</v>
      </c>
      <c r="H1792" s="47"/>
      <c r="I1792" s="27"/>
      <c r="J1792" s="50"/>
      <c r="K1792" s="9">
        <f>SUM(G1792:J1792)</f>
        <v>5</v>
      </c>
      <c r="L1792" s="11">
        <f t="shared" si="1469"/>
        <v>5</v>
      </c>
      <c r="M1792" s="99">
        <v>45647</v>
      </c>
      <c r="N1792" s="13" t="s">
        <v>6</v>
      </c>
      <c r="O1792" s="26"/>
      <c r="P1792" s="47"/>
      <c r="Q1792" s="27"/>
      <c r="R1792" s="34"/>
      <c r="S1792" s="77">
        <f t="shared" ref="S1792:S1794" si="1473">SUM(O1792:R1792)</f>
        <v>0</v>
      </c>
      <c r="T1792" s="26"/>
      <c r="U1792" s="47"/>
      <c r="V1792" s="27"/>
      <c r="W1792" s="34"/>
      <c r="X1792" s="9">
        <f t="shared" ref="X1792:X1794" si="1474">SUM(T1792:W1792)</f>
        <v>0</v>
      </c>
      <c r="Y1792" s="11">
        <f t="shared" ref="Y1792:Y1822" si="1475">S1792+X1792</f>
        <v>0</v>
      </c>
    </row>
    <row r="1793" spans="1:27" x14ac:dyDescent="0.15">
      <c r="A1793" s="13" t="s">
        <v>49</v>
      </c>
      <c r="B1793" s="26">
        <v>2</v>
      </c>
      <c r="C1793" s="47">
        <v>2</v>
      </c>
      <c r="D1793" s="27"/>
      <c r="E1793" s="50">
        <v>2</v>
      </c>
      <c r="F1793" s="9">
        <f>SUM(B1793:E1793)</f>
        <v>6</v>
      </c>
      <c r="G1793" s="47"/>
      <c r="H1793" s="47"/>
      <c r="I1793" s="27"/>
      <c r="J1793" s="50">
        <v>1</v>
      </c>
      <c r="K1793" s="9">
        <f>SUM(G1793:J1793)</f>
        <v>1</v>
      </c>
      <c r="L1793" s="11">
        <f t="shared" si="1469"/>
        <v>7</v>
      </c>
      <c r="M1793" s="99">
        <v>45651</v>
      </c>
      <c r="N1793" s="13" t="s">
        <v>7</v>
      </c>
      <c r="O1793" s="26"/>
      <c r="P1793" s="47"/>
      <c r="Q1793" s="27"/>
      <c r="R1793" s="34"/>
      <c r="S1793" s="77">
        <f t="shared" si="1473"/>
        <v>0</v>
      </c>
      <c r="T1793" s="26"/>
      <c r="U1793" s="47"/>
      <c r="V1793" s="27"/>
      <c r="W1793" s="34"/>
      <c r="X1793" s="9">
        <f t="shared" si="1474"/>
        <v>0</v>
      </c>
      <c r="Y1793" s="11">
        <f t="shared" si="1475"/>
        <v>0</v>
      </c>
    </row>
    <row r="1794" spans="1:27" ht="14.25" thickBot="1" x14ac:dyDescent="0.2">
      <c r="A1794" s="13" t="s">
        <v>727</v>
      </c>
      <c r="B1794" s="26"/>
      <c r="C1794" s="47"/>
      <c r="D1794" s="27">
        <v>1</v>
      </c>
      <c r="E1794" s="50">
        <v>1</v>
      </c>
      <c r="F1794" s="10">
        <f>SUM(B1794:E1794)</f>
        <v>2</v>
      </c>
      <c r="G1794" s="47"/>
      <c r="H1794" s="47">
        <v>1</v>
      </c>
      <c r="I1794" s="27">
        <v>3</v>
      </c>
      <c r="J1794" s="50"/>
      <c r="K1794" s="10">
        <f>SUM(G1794:J1794)</f>
        <v>4</v>
      </c>
      <c r="L1794" s="14">
        <f t="shared" si="1469"/>
        <v>6</v>
      </c>
      <c r="M1794" s="126">
        <v>45646</v>
      </c>
      <c r="N1794" s="13" t="s">
        <v>8</v>
      </c>
      <c r="O1794" s="26"/>
      <c r="P1794" s="47"/>
      <c r="Q1794" s="27"/>
      <c r="R1794" s="34"/>
      <c r="S1794" s="77">
        <f t="shared" si="1473"/>
        <v>0</v>
      </c>
      <c r="T1794" s="26"/>
      <c r="U1794" s="47"/>
      <c r="V1794" s="27"/>
      <c r="W1794" s="34"/>
      <c r="X1794" s="9">
        <f t="shared" si="1474"/>
        <v>0</v>
      </c>
      <c r="Y1794" s="11">
        <f t="shared" si="1475"/>
        <v>0</v>
      </c>
    </row>
    <row r="1795" spans="1:27" ht="14.25" thickBot="1" x14ac:dyDescent="0.2">
      <c r="A1795" s="22" t="s">
        <v>9</v>
      </c>
      <c r="B1795" s="51">
        <f t="shared" ref="B1795:K1795" si="1476">SUM(B1790:B1794)</f>
        <v>14</v>
      </c>
      <c r="C1795" s="52">
        <f t="shared" si="1476"/>
        <v>16</v>
      </c>
      <c r="D1795" s="53">
        <f t="shared" si="1476"/>
        <v>10</v>
      </c>
      <c r="E1795" s="54">
        <f t="shared" si="1476"/>
        <v>14</v>
      </c>
      <c r="F1795" s="28">
        <f t="shared" si="1476"/>
        <v>50</v>
      </c>
      <c r="G1795" s="51">
        <f t="shared" si="1476"/>
        <v>9</v>
      </c>
      <c r="H1795" s="52">
        <f t="shared" si="1476"/>
        <v>12</v>
      </c>
      <c r="I1795" s="53">
        <f t="shared" si="1476"/>
        <v>8</v>
      </c>
      <c r="J1795" s="54">
        <f t="shared" si="1476"/>
        <v>6</v>
      </c>
      <c r="K1795" s="28">
        <f t="shared" si="1476"/>
        <v>35</v>
      </c>
      <c r="L1795" s="21">
        <f t="shared" si="1469"/>
        <v>85</v>
      </c>
      <c r="N1795" s="17" t="s">
        <v>9</v>
      </c>
      <c r="O1795" s="41">
        <f>SUM(O1790:O1794)</f>
        <v>586</v>
      </c>
      <c r="P1795" s="49">
        <f t="shared" ref="P1795:V1795" si="1477">SUM(P1790:P1794)</f>
        <v>710</v>
      </c>
      <c r="Q1795" s="42">
        <f t="shared" si="1477"/>
        <v>433</v>
      </c>
      <c r="R1795" s="92">
        <f t="shared" si="1477"/>
        <v>378</v>
      </c>
      <c r="S1795" s="93">
        <f t="shared" si="1477"/>
        <v>2107</v>
      </c>
      <c r="T1795" s="41">
        <f t="shared" si="1477"/>
        <v>707</v>
      </c>
      <c r="U1795" s="49">
        <f t="shared" si="1477"/>
        <v>826</v>
      </c>
      <c r="V1795" s="42">
        <f t="shared" si="1477"/>
        <v>539</v>
      </c>
      <c r="W1795" s="92">
        <f>SUM(W1790:W1794)</f>
        <v>449</v>
      </c>
      <c r="X1795" s="93">
        <f t="shared" ref="X1795" si="1478">SUM(X1790:X1794)</f>
        <v>2521</v>
      </c>
      <c r="Y1795" s="56">
        <f t="shared" si="1475"/>
        <v>4628</v>
      </c>
    </row>
    <row r="1796" spans="1:27" x14ac:dyDescent="0.15">
      <c r="A1796" s="32" t="s">
        <v>1499</v>
      </c>
      <c r="B1796" s="24"/>
      <c r="C1796" s="46">
        <v>1</v>
      </c>
      <c r="D1796" s="25"/>
      <c r="E1796" s="33"/>
      <c r="F1796" s="35">
        <f>SUM(B1796:E1796)</f>
        <v>1</v>
      </c>
      <c r="G1796" s="24"/>
      <c r="H1796" s="46"/>
      <c r="I1796" s="25"/>
      <c r="J1796" s="33">
        <v>1</v>
      </c>
      <c r="K1796" s="35">
        <f>SUM(G1796:J1796)</f>
        <v>1</v>
      </c>
      <c r="L1796" s="11">
        <f t="shared" si="1469"/>
        <v>2</v>
      </c>
      <c r="M1796" s="99">
        <v>45642</v>
      </c>
      <c r="N1796" s="32" t="s">
        <v>1494</v>
      </c>
      <c r="O1796" s="26">
        <v>1</v>
      </c>
      <c r="P1796" s="47">
        <v>5</v>
      </c>
      <c r="Q1796" s="27"/>
      <c r="R1796" s="34">
        <v>2</v>
      </c>
      <c r="S1796" s="35">
        <f t="shared" ref="S1796:S1802" si="1479">SUM(O1796:R1796)</f>
        <v>8</v>
      </c>
      <c r="T1796" s="26"/>
      <c r="U1796" s="47"/>
      <c r="V1796" s="27">
        <v>1</v>
      </c>
      <c r="W1796" s="34"/>
      <c r="X1796" s="35">
        <f t="shared" ref="X1796:X1802" si="1480">SUM(T1796:W1796)</f>
        <v>1</v>
      </c>
      <c r="Y1796" s="11">
        <f t="shared" si="1475"/>
        <v>9</v>
      </c>
      <c r="Z1796" s="99">
        <v>45638</v>
      </c>
    </row>
    <row r="1797" spans="1:27" x14ac:dyDescent="0.15">
      <c r="A1797" s="32" t="s">
        <v>41</v>
      </c>
      <c r="B1797" s="26"/>
      <c r="C1797" s="47"/>
      <c r="D1797" s="27"/>
      <c r="E1797" s="34"/>
      <c r="F1797" s="35">
        <f>SUM(B1797:E1797)</f>
        <v>0</v>
      </c>
      <c r="G1797" s="26"/>
      <c r="H1797" s="47">
        <v>1</v>
      </c>
      <c r="I1797" s="27"/>
      <c r="J1797" s="34"/>
      <c r="K1797" s="35">
        <f>SUM(G1797:J1797)</f>
        <v>1</v>
      </c>
      <c r="L1797" s="11">
        <f t="shared" si="1469"/>
        <v>1</v>
      </c>
      <c r="M1797" s="99">
        <v>45642</v>
      </c>
      <c r="N1797" s="32" t="s">
        <v>1495</v>
      </c>
      <c r="O1797" s="26">
        <v>2</v>
      </c>
      <c r="P1797" s="47">
        <v>3</v>
      </c>
      <c r="Q1797" s="27">
        <v>1</v>
      </c>
      <c r="R1797" s="34">
        <v>1</v>
      </c>
      <c r="S1797" s="35">
        <f t="shared" si="1479"/>
        <v>7</v>
      </c>
      <c r="T1797" s="26"/>
      <c r="U1797" s="47"/>
      <c r="V1797" s="27">
        <v>1</v>
      </c>
      <c r="W1797" s="34">
        <v>1</v>
      </c>
      <c r="X1797" s="35">
        <f t="shared" si="1480"/>
        <v>2</v>
      </c>
      <c r="Y1797" s="11">
        <f t="shared" si="1475"/>
        <v>9</v>
      </c>
      <c r="Z1797" s="99">
        <v>45639</v>
      </c>
    </row>
    <row r="1798" spans="1:27" x14ac:dyDescent="0.15">
      <c r="A1798" s="32" t="s">
        <v>1506</v>
      </c>
      <c r="B1798" s="26">
        <v>3</v>
      </c>
      <c r="C1798" s="47">
        <v>2</v>
      </c>
      <c r="D1798" s="27">
        <v>2</v>
      </c>
      <c r="E1798" s="34">
        <v>4</v>
      </c>
      <c r="F1798" s="35">
        <f t="shared" ref="F1798:F1820" si="1481">SUM(B1798:E1798)</f>
        <v>11</v>
      </c>
      <c r="G1798" s="26">
        <v>1</v>
      </c>
      <c r="H1798" s="47"/>
      <c r="I1798" s="27"/>
      <c r="J1798" s="34"/>
      <c r="K1798" s="35">
        <f t="shared" ref="K1798:K1820" si="1482">SUM(G1798:J1798)</f>
        <v>1</v>
      </c>
      <c r="L1798" s="11">
        <f t="shared" si="1469"/>
        <v>12</v>
      </c>
      <c r="M1798" s="99">
        <v>45646</v>
      </c>
      <c r="N1798" s="12" t="s">
        <v>1496</v>
      </c>
      <c r="O1798" s="26"/>
      <c r="P1798" s="47"/>
      <c r="Q1798" s="27"/>
      <c r="R1798" s="34"/>
      <c r="S1798" s="35">
        <f t="shared" si="1479"/>
        <v>0</v>
      </c>
      <c r="T1798" s="26">
        <v>5</v>
      </c>
      <c r="U1798" s="47"/>
      <c r="V1798" s="27"/>
      <c r="W1798" s="34"/>
      <c r="X1798" s="35">
        <f t="shared" si="1480"/>
        <v>5</v>
      </c>
      <c r="Y1798" s="11">
        <f t="shared" si="1475"/>
        <v>5</v>
      </c>
      <c r="Z1798" s="99">
        <v>45644</v>
      </c>
      <c r="AA1798" s="58"/>
    </row>
    <row r="1799" spans="1:27" x14ac:dyDescent="0.15">
      <c r="A1799" s="32" t="s">
        <v>41</v>
      </c>
      <c r="B1799" s="66"/>
      <c r="C1799" s="67"/>
      <c r="D1799" s="68"/>
      <c r="E1799" s="69"/>
      <c r="F1799" s="70">
        <f t="shared" si="1481"/>
        <v>0</v>
      </c>
      <c r="G1799" s="66"/>
      <c r="H1799" s="67">
        <v>4</v>
      </c>
      <c r="I1799" s="68"/>
      <c r="J1799" s="69"/>
      <c r="K1799" s="70">
        <f t="shared" si="1482"/>
        <v>4</v>
      </c>
      <c r="L1799" s="11">
        <f t="shared" si="1469"/>
        <v>4</v>
      </c>
      <c r="M1799" s="99">
        <v>45644</v>
      </c>
      <c r="N1799" s="32" t="s">
        <v>1497</v>
      </c>
      <c r="O1799" s="26">
        <v>2</v>
      </c>
      <c r="P1799" s="47">
        <v>2</v>
      </c>
      <c r="Q1799" s="27"/>
      <c r="R1799" s="34"/>
      <c r="S1799" s="35">
        <f t="shared" si="1479"/>
        <v>4</v>
      </c>
      <c r="T1799" s="26">
        <v>5</v>
      </c>
      <c r="U1799" s="47">
        <v>2</v>
      </c>
      <c r="V1799" s="27">
        <v>1</v>
      </c>
      <c r="W1799" s="34">
        <v>1</v>
      </c>
      <c r="X1799" s="35">
        <f t="shared" si="1480"/>
        <v>9</v>
      </c>
      <c r="Y1799" s="11">
        <f t="shared" si="1475"/>
        <v>13</v>
      </c>
      <c r="Z1799" s="99">
        <v>45639</v>
      </c>
      <c r="AA1799" s="58"/>
    </row>
    <row r="1800" spans="1:27" x14ac:dyDescent="0.15">
      <c r="A1800" s="32" t="s">
        <v>1508</v>
      </c>
      <c r="B1800" s="26"/>
      <c r="C1800" s="47">
        <v>4</v>
      </c>
      <c r="D1800" s="27">
        <v>1</v>
      </c>
      <c r="E1800" s="34"/>
      <c r="F1800" s="35">
        <f t="shared" si="1481"/>
        <v>5</v>
      </c>
      <c r="G1800" s="26"/>
      <c r="H1800" s="47"/>
      <c r="I1800" s="27">
        <v>1</v>
      </c>
      <c r="J1800" s="34"/>
      <c r="K1800" s="35">
        <f t="shared" si="1482"/>
        <v>1</v>
      </c>
      <c r="L1800" s="11">
        <f t="shared" si="1469"/>
        <v>6</v>
      </c>
      <c r="M1800" s="99">
        <v>45646</v>
      </c>
      <c r="N1800" s="32" t="s">
        <v>1500</v>
      </c>
      <c r="O1800" s="26">
        <v>4</v>
      </c>
      <c r="P1800" s="47"/>
      <c r="Q1800" s="27">
        <v>2</v>
      </c>
      <c r="R1800" s="34">
        <v>1</v>
      </c>
      <c r="S1800" s="35">
        <f t="shared" si="1479"/>
        <v>7</v>
      </c>
      <c r="T1800" s="26">
        <v>2</v>
      </c>
      <c r="U1800" s="47">
        <v>1</v>
      </c>
      <c r="V1800" s="27"/>
      <c r="W1800" s="34">
        <v>1</v>
      </c>
      <c r="X1800" s="35">
        <f t="shared" si="1480"/>
        <v>4</v>
      </c>
      <c r="Y1800" s="11">
        <f t="shared" si="1475"/>
        <v>11</v>
      </c>
      <c r="Z1800" s="99">
        <v>45644</v>
      </c>
      <c r="AA1800" s="58"/>
    </row>
    <row r="1801" spans="1:27" x14ac:dyDescent="0.15">
      <c r="A1801" s="32" t="s">
        <v>1510</v>
      </c>
      <c r="B1801" s="26"/>
      <c r="C1801" s="47"/>
      <c r="D1801" s="27"/>
      <c r="E1801" s="34"/>
      <c r="F1801" s="35">
        <f t="shared" si="1481"/>
        <v>0</v>
      </c>
      <c r="G1801" s="26">
        <v>1</v>
      </c>
      <c r="H1801" s="47"/>
      <c r="I1801" s="27"/>
      <c r="J1801" s="34"/>
      <c r="K1801" s="35">
        <f t="shared" si="1482"/>
        <v>1</v>
      </c>
      <c r="L1801" s="11">
        <f t="shared" si="1469"/>
        <v>1</v>
      </c>
      <c r="M1801" s="99">
        <v>45649</v>
      </c>
      <c r="N1801" s="32" t="s">
        <v>1504</v>
      </c>
      <c r="O1801" s="26">
        <v>2</v>
      </c>
      <c r="P1801" s="47"/>
      <c r="Q1801" s="27">
        <v>2</v>
      </c>
      <c r="R1801" s="34"/>
      <c r="S1801" s="35">
        <f t="shared" si="1479"/>
        <v>4</v>
      </c>
      <c r="T1801" s="26"/>
      <c r="U1801" s="47">
        <v>1</v>
      </c>
      <c r="V1801" s="27">
        <v>1</v>
      </c>
      <c r="W1801" s="34"/>
      <c r="X1801" s="35">
        <f t="shared" si="1480"/>
        <v>2</v>
      </c>
      <c r="Y1801" s="11">
        <f t="shared" si="1475"/>
        <v>6</v>
      </c>
      <c r="Z1801" s="99">
        <v>45645</v>
      </c>
    </row>
    <row r="1802" spans="1:27" x14ac:dyDescent="0.15">
      <c r="A1802" s="79" t="s">
        <v>284</v>
      </c>
      <c r="B1802" s="26">
        <v>4</v>
      </c>
      <c r="C1802" s="47">
        <v>2</v>
      </c>
      <c r="D1802" s="27">
        <v>2</v>
      </c>
      <c r="E1802" s="34">
        <v>3</v>
      </c>
      <c r="F1802" s="35">
        <f t="shared" si="1481"/>
        <v>11</v>
      </c>
      <c r="G1802" s="26"/>
      <c r="H1802" s="47">
        <v>2</v>
      </c>
      <c r="I1802" s="27">
        <v>2</v>
      </c>
      <c r="J1802" s="34"/>
      <c r="K1802" s="35">
        <f t="shared" si="1482"/>
        <v>4</v>
      </c>
      <c r="L1802" s="11">
        <f t="shared" si="1469"/>
        <v>15</v>
      </c>
      <c r="M1802" s="99">
        <v>45647</v>
      </c>
      <c r="N1802" s="57" t="s">
        <v>1505</v>
      </c>
      <c r="O1802" s="154">
        <v>5</v>
      </c>
      <c r="P1802" s="155">
        <v>25</v>
      </c>
      <c r="Q1802" s="156">
        <v>10</v>
      </c>
      <c r="R1802" s="157">
        <v>4</v>
      </c>
      <c r="S1802" s="35">
        <f t="shared" si="1479"/>
        <v>44</v>
      </c>
      <c r="T1802" s="26"/>
      <c r="U1802" s="47"/>
      <c r="V1802" s="27"/>
      <c r="W1802" s="34"/>
      <c r="X1802" s="35">
        <f t="shared" si="1480"/>
        <v>0</v>
      </c>
      <c r="Y1802" s="11">
        <f t="shared" si="1475"/>
        <v>44</v>
      </c>
      <c r="Z1802" s="99">
        <v>45644</v>
      </c>
      <c r="AA1802" s="58"/>
    </row>
    <row r="1803" spans="1:27" x14ac:dyDescent="0.15">
      <c r="A1803" s="32" t="s">
        <v>41</v>
      </c>
      <c r="B1803" s="26"/>
      <c r="C1803" s="47"/>
      <c r="D1803" s="27"/>
      <c r="E1803" s="34">
        <v>1</v>
      </c>
      <c r="F1803" s="35">
        <f t="shared" si="1481"/>
        <v>1</v>
      </c>
      <c r="G1803" s="26"/>
      <c r="H1803" s="47"/>
      <c r="I1803" s="27">
        <v>1</v>
      </c>
      <c r="J1803" s="34">
        <v>1</v>
      </c>
      <c r="K1803" s="35">
        <f t="shared" si="1482"/>
        <v>2</v>
      </c>
      <c r="L1803" s="11">
        <f t="shared" si="1469"/>
        <v>3</v>
      </c>
      <c r="M1803" s="99">
        <v>45649</v>
      </c>
      <c r="N1803" s="12" t="s">
        <v>1507</v>
      </c>
      <c r="O1803" s="26">
        <v>6</v>
      </c>
      <c r="P1803" s="47"/>
      <c r="Q1803" s="27"/>
      <c r="R1803" s="50"/>
      <c r="S1803" s="9">
        <f>SUM(O1803:R1803)</f>
        <v>6</v>
      </c>
      <c r="T1803" s="47"/>
      <c r="U1803" s="47"/>
      <c r="V1803" s="27"/>
      <c r="W1803" s="50"/>
      <c r="X1803" s="9">
        <f>SUM(T1803:W1803)</f>
        <v>0</v>
      </c>
      <c r="Y1803" s="11">
        <f t="shared" si="1475"/>
        <v>6</v>
      </c>
      <c r="Z1803" s="99">
        <v>45646</v>
      </c>
      <c r="AA1803" s="58"/>
    </row>
    <row r="1804" spans="1:27" x14ac:dyDescent="0.15">
      <c r="A1804" s="32" t="s">
        <v>41</v>
      </c>
      <c r="B1804" s="26"/>
      <c r="C1804" s="47">
        <v>1</v>
      </c>
      <c r="D1804" s="27"/>
      <c r="E1804" s="34"/>
      <c r="F1804" s="35">
        <f t="shared" si="1481"/>
        <v>1</v>
      </c>
      <c r="G1804" s="26"/>
      <c r="H1804" s="47"/>
      <c r="I1804" s="27"/>
      <c r="J1804" s="34"/>
      <c r="K1804" s="35">
        <f t="shared" si="1482"/>
        <v>0</v>
      </c>
      <c r="L1804" s="11">
        <f t="shared" si="1469"/>
        <v>1</v>
      </c>
      <c r="M1804" s="99">
        <v>45650</v>
      </c>
      <c r="N1804" s="12" t="s">
        <v>1509</v>
      </c>
      <c r="O1804" s="26"/>
      <c r="P1804" s="47">
        <v>8</v>
      </c>
      <c r="Q1804" s="27">
        <v>4</v>
      </c>
      <c r="R1804" s="34"/>
      <c r="S1804" s="35">
        <f t="shared" ref="S1804:S1821" si="1483">SUM(O1804:R1804)</f>
        <v>12</v>
      </c>
      <c r="T1804" s="26"/>
      <c r="U1804" s="47">
        <v>2</v>
      </c>
      <c r="V1804" s="27"/>
      <c r="W1804" s="34"/>
      <c r="X1804" s="35">
        <f t="shared" ref="X1804:X1821" si="1484">SUM(T1804:W1804)</f>
        <v>2</v>
      </c>
      <c r="Y1804" s="11">
        <f t="shared" si="1475"/>
        <v>14</v>
      </c>
      <c r="Z1804" s="99">
        <v>45646</v>
      </c>
      <c r="AA1804" s="58"/>
    </row>
    <row r="1805" spans="1:27" x14ac:dyDescent="0.15">
      <c r="A1805" s="32" t="s">
        <v>41</v>
      </c>
      <c r="B1805" s="26"/>
      <c r="C1805" s="47"/>
      <c r="D1805" s="27"/>
      <c r="E1805" s="34"/>
      <c r="F1805" s="35">
        <f t="shared" si="1481"/>
        <v>0</v>
      </c>
      <c r="G1805" s="26"/>
      <c r="H1805" s="47"/>
      <c r="I1805" s="27"/>
      <c r="J1805" s="34">
        <v>1</v>
      </c>
      <c r="K1805" s="35">
        <f t="shared" si="1482"/>
        <v>1</v>
      </c>
      <c r="L1805" s="11">
        <f t="shared" si="1469"/>
        <v>1</v>
      </c>
      <c r="M1805" s="99">
        <v>45651</v>
      </c>
      <c r="N1805" s="12" t="s">
        <v>34</v>
      </c>
      <c r="O1805" s="26"/>
      <c r="P1805" s="47"/>
      <c r="Q1805" s="27"/>
      <c r="R1805" s="34"/>
      <c r="S1805" s="35">
        <f>SUM(O1805:R1805)</f>
        <v>0</v>
      </c>
      <c r="T1805" s="26">
        <v>5</v>
      </c>
      <c r="U1805" s="47"/>
      <c r="V1805" s="27"/>
      <c r="W1805" s="34"/>
      <c r="X1805" s="35">
        <f>SUM(T1805:W1805)</f>
        <v>5</v>
      </c>
      <c r="Y1805" s="11">
        <f t="shared" si="1475"/>
        <v>5</v>
      </c>
      <c r="Z1805" s="99">
        <v>45647</v>
      </c>
      <c r="AA1805" s="58"/>
    </row>
    <row r="1806" spans="1:27" x14ac:dyDescent="0.15">
      <c r="A1806" s="32" t="s">
        <v>1520</v>
      </c>
      <c r="B1806" s="26"/>
      <c r="C1806" s="47"/>
      <c r="D1806" s="27">
        <v>2</v>
      </c>
      <c r="E1806" s="34"/>
      <c r="F1806" s="35">
        <f t="shared" si="1481"/>
        <v>2</v>
      </c>
      <c r="G1806" s="26"/>
      <c r="H1806" s="47"/>
      <c r="I1806" s="27"/>
      <c r="J1806" s="34">
        <v>1</v>
      </c>
      <c r="K1806" s="35">
        <f t="shared" si="1482"/>
        <v>1</v>
      </c>
      <c r="L1806" s="11">
        <f t="shared" si="1469"/>
        <v>3</v>
      </c>
      <c r="M1806" s="99">
        <v>45653</v>
      </c>
      <c r="N1806" s="32" t="s">
        <v>1513</v>
      </c>
      <c r="O1806" s="26">
        <v>3</v>
      </c>
      <c r="P1806" s="47">
        <v>4</v>
      </c>
      <c r="Q1806" s="27">
        <v>2</v>
      </c>
      <c r="R1806" s="34">
        <v>1</v>
      </c>
      <c r="S1806" s="35">
        <f t="shared" si="1483"/>
        <v>10</v>
      </c>
      <c r="T1806" s="26">
        <v>2</v>
      </c>
      <c r="U1806" s="47"/>
      <c r="V1806" s="27"/>
      <c r="W1806" s="34"/>
      <c r="X1806" s="35">
        <f t="shared" si="1484"/>
        <v>2</v>
      </c>
      <c r="Y1806" s="11">
        <f t="shared" si="1475"/>
        <v>12</v>
      </c>
      <c r="Z1806" s="99">
        <v>45651</v>
      </c>
      <c r="AA1806" s="58"/>
    </row>
    <row r="1807" spans="1:27" x14ac:dyDescent="0.15">
      <c r="A1807" s="32" t="s">
        <v>41</v>
      </c>
      <c r="B1807" s="26"/>
      <c r="C1807" s="47"/>
      <c r="D1807" s="27"/>
      <c r="E1807" s="34"/>
      <c r="F1807" s="35">
        <f t="shared" si="1481"/>
        <v>0</v>
      </c>
      <c r="G1807" s="26"/>
      <c r="H1807" s="47">
        <v>1</v>
      </c>
      <c r="I1807" s="27"/>
      <c r="J1807" s="34"/>
      <c r="K1807" s="35">
        <f t="shared" si="1482"/>
        <v>1</v>
      </c>
      <c r="L1807" s="11">
        <f t="shared" si="1469"/>
        <v>1</v>
      </c>
      <c r="M1807" s="99">
        <v>45653</v>
      </c>
      <c r="N1807" s="57" t="s">
        <v>1514</v>
      </c>
      <c r="O1807" s="154">
        <v>40</v>
      </c>
      <c r="P1807" s="155">
        <v>60</v>
      </c>
      <c r="Q1807" s="156">
        <v>40</v>
      </c>
      <c r="R1807" s="157">
        <v>32</v>
      </c>
      <c r="S1807" s="35">
        <f t="shared" si="1483"/>
        <v>172</v>
      </c>
      <c r="T1807" s="26">
        <v>18</v>
      </c>
      <c r="U1807" s="47">
        <v>30</v>
      </c>
      <c r="V1807" s="27">
        <v>18</v>
      </c>
      <c r="W1807" s="34">
        <v>28</v>
      </c>
      <c r="X1807" s="35">
        <f t="shared" si="1484"/>
        <v>94</v>
      </c>
      <c r="Y1807" s="11">
        <f t="shared" si="1475"/>
        <v>266</v>
      </c>
      <c r="Z1807" s="99">
        <v>45650</v>
      </c>
      <c r="AA1807" s="58"/>
    </row>
    <row r="1808" spans="1:27" x14ac:dyDescent="0.15">
      <c r="A1808" s="90" t="s">
        <v>1522</v>
      </c>
      <c r="B1808" s="26"/>
      <c r="C1808" s="47">
        <v>2</v>
      </c>
      <c r="D1808" s="27"/>
      <c r="E1808" s="34"/>
      <c r="F1808" s="35">
        <f t="shared" si="1481"/>
        <v>2</v>
      </c>
      <c r="G1808" s="26"/>
      <c r="H1808" s="47"/>
      <c r="I1808" s="27"/>
      <c r="J1808" s="34"/>
      <c r="K1808" s="35">
        <f t="shared" si="1482"/>
        <v>0</v>
      </c>
      <c r="L1808" s="11">
        <f t="shared" si="1469"/>
        <v>2</v>
      </c>
      <c r="M1808" s="99">
        <v>45298</v>
      </c>
      <c r="N1808" s="32" t="s">
        <v>1516</v>
      </c>
      <c r="O1808" s="26"/>
      <c r="P1808" s="47"/>
      <c r="Q1808" s="27">
        <v>1</v>
      </c>
      <c r="R1808" s="34"/>
      <c r="S1808" s="35">
        <f t="shared" si="1483"/>
        <v>1</v>
      </c>
      <c r="T1808" s="26"/>
      <c r="U1808" s="47">
        <v>1</v>
      </c>
      <c r="V1808" s="27"/>
      <c r="W1808" s="34"/>
      <c r="X1808" s="35">
        <f t="shared" si="1484"/>
        <v>1</v>
      </c>
      <c r="Y1808" s="11">
        <f t="shared" si="1475"/>
        <v>2</v>
      </c>
      <c r="Z1808" s="99">
        <v>45652</v>
      </c>
    </row>
    <row r="1809" spans="1:26" x14ac:dyDescent="0.15">
      <c r="A1809" s="32" t="s">
        <v>1523</v>
      </c>
      <c r="B1809" s="26">
        <v>1</v>
      </c>
      <c r="C1809" s="47"/>
      <c r="D1809" s="27"/>
      <c r="E1809" s="34"/>
      <c r="F1809" s="35">
        <f t="shared" si="1481"/>
        <v>1</v>
      </c>
      <c r="G1809" s="26"/>
      <c r="H1809" s="47"/>
      <c r="I1809" s="27"/>
      <c r="J1809" s="34"/>
      <c r="K1809" s="35">
        <f t="shared" si="1482"/>
        <v>0</v>
      </c>
      <c r="L1809" s="11">
        <f t="shared" si="1469"/>
        <v>1</v>
      </c>
      <c r="M1809" s="99">
        <v>45664</v>
      </c>
      <c r="N1809" s="32" t="s">
        <v>1517</v>
      </c>
      <c r="O1809" s="26"/>
      <c r="P1809" s="47">
        <v>2</v>
      </c>
      <c r="Q1809" s="27"/>
      <c r="R1809" s="34">
        <v>2</v>
      </c>
      <c r="S1809" s="35">
        <f t="shared" si="1483"/>
        <v>4</v>
      </c>
      <c r="T1809" s="26"/>
      <c r="U1809" s="47">
        <v>1</v>
      </c>
      <c r="V1809" s="27"/>
      <c r="W1809" s="34">
        <v>1</v>
      </c>
      <c r="X1809" s="35">
        <f t="shared" si="1484"/>
        <v>2</v>
      </c>
      <c r="Y1809" s="11">
        <f t="shared" si="1475"/>
        <v>6</v>
      </c>
      <c r="Z1809" s="99">
        <v>45653</v>
      </c>
    </row>
    <row r="1810" spans="1:26" x14ac:dyDescent="0.15">
      <c r="A1810" s="32" t="s">
        <v>41</v>
      </c>
      <c r="B1810" s="26"/>
      <c r="C1810" s="47"/>
      <c r="D1810" s="27"/>
      <c r="E1810" s="34"/>
      <c r="F1810" s="35">
        <f t="shared" si="1481"/>
        <v>0</v>
      </c>
      <c r="G1810" s="26"/>
      <c r="H1810" s="47"/>
      <c r="I1810" s="27">
        <v>2</v>
      </c>
      <c r="J1810" s="34"/>
      <c r="K1810" s="35">
        <f t="shared" si="1482"/>
        <v>2</v>
      </c>
      <c r="L1810" s="11">
        <f t="shared" si="1469"/>
        <v>2</v>
      </c>
      <c r="M1810" s="99">
        <v>45663</v>
      </c>
      <c r="N1810" s="32" t="s">
        <v>1521</v>
      </c>
      <c r="O1810" s="26">
        <v>2</v>
      </c>
      <c r="P1810" s="47">
        <v>2</v>
      </c>
      <c r="Q1810" s="27">
        <v>1</v>
      </c>
      <c r="R1810" s="34">
        <v>2</v>
      </c>
      <c r="S1810" s="35">
        <f t="shared" si="1483"/>
        <v>7</v>
      </c>
      <c r="T1810" s="26">
        <v>1</v>
      </c>
      <c r="U1810" s="47">
        <v>1</v>
      </c>
      <c r="V1810" s="27">
        <v>1</v>
      </c>
      <c r="W1810" s="34"/>
      <c r="X1810" s="35">
        <f t="shared" si="1484"/>
        <v>3</v>
      </c>
      <c r="Y1810" s="11">
        <f t="shared" si="1475"/>
        <v>10</v>
      </c>
      <c r="Z1810" s="99">
        <v>45297</v>
      </c>
    </row>
    <row r="1811" spans="1:26" x14ac:dyDescent="0.15">
      <c r="A1811" s="13" t="s">
        <v>1525</v>
      </c>
      <c r="B1811" s="26"/>
      <c r="C1811" s="47"/>
      <c r="D1811" s="27">
        <v>-3</v>
      </c>
      <c r="E1811" s="34"/>
      <c r="F1811" s="35">
        <f t="shared" si="1481"/>
        <v>-3</v>
      </c>
      <c r="G1811" s="26"/>
      <c r="H1811" s="47"/>
      <c r="I1811" s="27">
        <v>-3</v>
      </c>
      <c r="J1811" s="34">
        <v>-3</v>
      </c>
      <c r="K1811" s="35">
        <f t="shared" si="1482"/>
        <v>-6</v>
      </c>
      <c r="L1811" s="11">
        <f t="shared" si="1469"/>
        <v>-9</v>
      </c>
      <c r="M1811" s="99">
        <v>45664</v>
      </c>
      <c r="N1811" s="12" t="s">
        <v>34</v>
      </c>
      <c r="O1811" s="26"/>
      <c r="P1811" s="47"/>
      <c r="Q1811" s="27">
        <v>3</v>
      </c>
      <c r="R1811" s="34"/>
      <c r="S1811" s="35">
        <f t="shared" ref="S1811:S1812" si="1485">SUM(O1811:R1811)</f>
        <v>3</v>
      </c>
      <c r="T1811" s="26"/>
      <c r="U1811" s="47"/>
      <c r="V1811" s="27">
        <v>3</v>
      </c>
      <c r="W1811" s="34">
        <v>3</v>
      </c>
      <c r="X1811" s="35">
        <f t="shared" ref="X1811:X1812" si="1486">SUM(T1811:W1811)</f>
        <v>6</v>
      </c>
      <c r="Y1811" s="11">
        <f t="shared" ref="Y1811:Y1812" si="1487">S1811+X1811</f>
        <v>9</v>
      </c>
      <c r="Z1811" s="99">
        <v>45664</v>
      </c>
    </row>
    <row r="1812" spans="1:26" x14ac:dyDescent="0.15">
      <c r="A1812" s="90" t="s">
        <v>1524</v>
      </c>
      <c r="B1812" s="26"/>
      <c r="C1812" s="47">
        <v>2</v>
      </c>
      <c r="D1812" s="27"/>
      <c r="E1812" s="34"/>
      <c r="F1812" s="35">
        <f t="shared" si="1481"/>
        <v>2</v>
      </c>
      <c r="G1812" s="26"/>
      <c r="H1812" s="47"/>
      <c r="I1812" s="27"/>
      <c r="J1812" s="34"/>
      <c r="K1812" s="35">
        <f t="shared" si="1482"/>
        <v>0</v>
      </c>
      <c r="L1812" s="11">
        <f t="shared" si="1469"/>
        <v>2</v>
      </c>
      <c r="M1812" s="99">
        <v>45665</v>
      </c>
      <c r="N1812" s="32" t="s">
        <v>1526</v>
      </c>
      <c r="O1812" s="26">
        <v>7</v>
      </c>
      <c r="P1812" s="47"/>
      <c r="Q1812" s="27"/>
      <c r="R1812" s="34">
        <v>3</v>
      </c>
      <c r="S1812" s="35">
        <f t="shared" si="1485"/>
        <v>10</v>
      </c>
      <c r="T1812" s="26"/>
      <c r="U1812" s="47">
        <v>1</v>
      </c>
      <c r="V1812" s="27"/>
      <c r="W1812" s="34">
        <v>1</v>
      </c>
      <c r="X1812" s="35">
        <f t="shared" si="1486"/>
        <v>2</v>
      </c>
      <c r="Y1812" s="11">
        <f t="shared" si="1487"/>
        <v>12</v>
      </c>
      <c r="Z1812" s="99">
        <v>45666</v>
      </c>
    </row>
    <row r="1813" spans="1:26" x14ac:dyDescent="0.15">
      <c r="A1813" s="15" t="s">
        <v>1532</v>
      </c>
      <c r="B1813" s="26"/>
      <c r="C1813" s="47"/>
      <c r="D1813" s="27"/>
      <c r="E1813" s="34">
        <v>1</v>
      </c>
      <c r="F1813" s="35">
        <f t="shared" si="1481"/>
        <v>1</v>
      </c>
      <c r="G1813" s="26"/>
      <c r="H1813" s="47"/>
      <c r="I1813" s="27"/>
      <c r="J1813" s="34"/>
      <c r="K1813" s="35">
        <f t="shared" si="1482"/>
        <v>0</v>
      </c>
      <c r="L1813" s="11">
        <f t="shared" si="1469"/>
        <v>1</v>
      </c>
      <c r="M1813" s="99">
        <v>45664</v>
      </c>
      <c r="N1813" s="32" t="s">
        <v>1527</v>
      </c>
      <c r="O1813" s="26">
        <v>2</v>
      </c>
      <c r="P1813" s="47">
        <v>1</v>
      </c>
      <c r="Q1813" s="27"/>
      <c r="R1813" s="34">
        <v>1</v>
      </c>
      <c r="S1813" s="35">
        <f t="shared" si="1483"/>
        <v>4</v>
      </c>
      <c r="T1813" s="26"/>
      <c r="U1813" s="47">
        <v>1</v>
      </c>
      <c r="V1813" s="27"/>
      <c r="W1813" s="34"/>
      <c r="X1813" s="35">
        <f t="shared" si="1484"/>
        <v>1</v>
      </c>
      <c r="Y1813" s="11">
        <f t="shared" si="1475"/>
        <v>5</v>
      </c>
      <c r="Z1813" s="99">
        <v>45667</v>
      </c>
    </row>
    <row r="1814" spans="1:26" x14ac:dyDescent="0.15">
      <c r="A1814" s="13" t="s">
        <v>1551</v>
      </c>
      <c r="B1814" s="26"/>
      <c r="C1814" s="47">
        <v>-2</v>
      </c>
      <c r="D1814" s="27"/>
      <c r="E1814" s="34"/>
      <c r="F1814" s="35">
        <f t="shared" si="1481"/>
        <v>-2</v>
      </c>
      <c r="G1814" s="26"/>
      <c r="H1814" s="47"/>
      <c r="I1814" s="27"/>
      <c r="J1814" s="34"/>
      <c r="K1814" s="35">
        <f t="shared" si="1482"/>
        <v>0</v>
      </c>
      <c r="L1814" s="11">
        <f t="shared" si="1469"/>
        <v>-2</v>
      </c>
      <c r="M1814" s="99">
        <v>45667</v>
      </c>
      <c r="N1814" s="57"/>
      <c r="O1814" s="26"/>
      <c r="P1814" s="47"/>
      <c r="Q1814" s="27"/>
      <c r="R1814" s="34"/>
      <c r="S1814" s="35">
        <f t="shared" ref="S1814" si="1488">SUM(O1814:R1814)</f>
        <v>0</v>
      </c>
      <c r="T1814" s="26"/>
      <c r="U1814" s="47"/>
      <c r="V1814" s="27"/>
      <c r="W1814" s="34"/>
      <c r="X1814" s="35">
        <f t="shared" ref="X1814" si="1489">SUM(T1814:W1814)</f>
        <v>0</v>
      </c>
      <c r="Y1814" s="11">
        <f t="shared" ref="Y1814" si="1490">S1814+X1814</f>
        <v>0</v>
      </c>
      <c r="Z1814" s="101"/>
    </row>
    <row r="1815" spans="1:26" x14ac:dyDescent="0.15">
      <c r="A1815" s="32"/>
      <c r="B1815" s="26"/>
      <c r="C1815" s="47"/>
      <c r="D1815" s="27"/>
      <c r="E1815" s="34"/>
      <c r="F1815" s="35">
        <f t="shared" si="1481"/>
        <v>0</v>
      </c>
      <c r="G1815" s="26"/>
      <c r="H1815" s="47"/>
      <c r="I1815" s="27"/>
      <c r="J1815" s="34"/>
      <c r="K1815" s="35">
        <f t="shared" si="1482"/>
        <v>0</v>
      </c>
      <c r="L1815" s="11">
        <f t="shared" si="1469"/>
        <v>0</v>
      </c>
      <c r="M1815" s="101"/>
      <c r="N1815" s="12" t="s">
        <v>1457</v>
      </c>
      <c r="O1815" s="26"/>
      <c r="P1815" s="47"/>
      <c r="Q1815" s="27"/>
      <c r="R1815" s="34"/>
      <c r="S1815" s="35">
        <f t="shared" ref="S1815:S1817" si="1491">SUM(O1815:R1815)</f>
        <v>0</v>
      </c>
      <c r="T1815" s="26"/>
      <c r="U1815" s="47"/>
      <c r="V1815" s="27"/>
      <c r="W1815" s="50"/>
      <c r="X1815" s="9">
        <f t="shared" ref="X1815:X1817" si="1492">SUM(T1815:W1815)</f>
        <v>0</v>
      </c>
      <c r="Y1815" s="108">
        <f t="shared" ref="Y1815:Y1817" si="1493">S1815+X1815</f>
        <v>0</v>
      </c>
      <c r="Z1815" s="101" t="s">
        <v>1458</v>
      </c>
    </row>
    <row r="1816" spans="1:26" x14ac:dyDescent="0.15">
      <c r="A1816" s="32"/>
      <c r="B1816" s="26"/>
      <c r="C1816" s="47"/>
      <c r="D1816" s="27"/>
      <c r="E1816" s="34"/>
      <c r="F1816" s="35">
        <f t="shared" si="1481"/>
        <v>0</v>
      </c>
      <c r="G1816" s="26"/>
      <c r="H1816" s="47"/>
      <c r="I1816" s="27"/>
      <c r="J1816" s="34"/>
      <c r="K1816" s="35">
        <f t="shared" si="1482"/>
        <v>0</v>
      </c>
      <c r="L1816" s="11">
        <f t="shared" si="1469"/>
        <v>0</v>
      </c>
      <c r="N1816" s="57" t="s">
        <v>1448</v>
      </c>
      <c r="O1816" s="66"/>
      <c r="P1816" s="67"/>
      <c r="Q1816" s="68"/>
      <c r="R1816" s="69"/>
      <c r="S1816" s="70">
        <f t="shared" si="1491"/>
        <v>0</v>
      </c>
      <c r="T1816" s="66"/>
      <c r="U1816" s="67"/>
      <c r="V1816" s="68"/>
      <c r="W1816" s="69"/>
      <c r="X1816" s="70">
        <f t="shared" si="1492"/>
        <v>0</v>
      </c>
      <c r="Y1816" s="11">
        <f t="shared" si="1493"/>
        <v>0</v>
      </c>
      <c r="Z1816" s="101" t="s">
        <v>1447</v>
      </c>
    </row>
    <row r="1817" spans="1:26" x14ac:dyDescent="0.15">
      <c r="A1817" s="12"/>
      <c r="B1817" s="26"/>
      <c r="C1817" s="47"/>
      <c r="D1817" s="27"/>
      <c r="E1817" s="34"/>
      <c r="F1817" s="35">
        <f t="shared" si="1481"/>
        <v>0</v>
      </c>
      <c r="G1817" s="26"/>
      <c r="H1817" s="47"/>
      <c r="I1817" s="27"/>
      <c r="J1817" s="34"/>
      <c r="K1817" s="35">
        <f t="shared" si="1482"/>
        <v>0</v>
      </c>
      <c r="L1817" s="11">
        <f t="shared" si="1469"/>
        <v>0</v>
      </c>
      <c r="N1817" s="57" t="s">
        <v>1441</v>
      </c>
      <c r="O1817" s="66"/>
      <c r="P1817" s="67"/>
      <c r="Q1817" s="68"/>
      <c r="R1817" s="69"/>
      <c r="S1817" s="70">
        <f t="shared" si="1491"/>
        <v>0</v>
      </c>
      <c r="T1817" s="66"/>
      <c r="U1817" s="67"/>
      <c r="V1817" s="68"/>
      <c r="W1817" s="69"/>
      <c r="X1817" s="70">
        <f t="shared" si="1492"/>
        <v>0</v>
      </c>
      <c r="Y1817" s="11">
        <f t="shared" si="1493"/>
        <v>0</v>
      </c>
      <c r="Z1817" s="101" t="s">
        <v>396</v>
      </c>
    </row>
    <row r="1818" spans="1:26" x14ac:dyDescent="0.15">
      <c r="A1818" s="79"/>
      <c r="B1818" s="26"/>
      <c r="C1818" s="47"/>
      <c r="D1818" s="27"/>
      <c r="E1818" s="34"/>
      <c r="F1818" s="35">
        <f t="shared" si="1481"/>
        <v>0</v>
      </c>
      <c r="G1818" s="26"/>
      <c r="H1818" s="47"/>
      <c r="I1818" s="27"/>
      <c r="J1818" s="34"/>
      <c r="K1818" s="35">
        <f t="shared" si="1482"/>
        <v>0</v>
      </c>
      <c r="L1818" s="11">
        <f t="shared" si="1469"/>
        <v>0</v>
      </c>
      <c r="N1818" s="57" t="s">
        <v>1473</v>
      </c>
      <c r="O1818" s="66"/>
      <c r="P1818" s="67"/>
      <c r="Q1818" s="68"/>
      <c r="R1818" s="69"/>
      <c r="S1818" s="70">
        <f t="shared" ref="S1818" si="1494">SUM(O1818:R1818)</f>
        <v>0</v>
      </c>
      <c r="T1818" s="66"/>
      <c r="U1818" s="67"/>
      <c r="V1818" s="68"/>
      <c r="W1818" s="69"/>
      <c r="X1818" s="70">
        <f t="shared" ref="X1818" si="1495">SUM(T1818:W1818)</f>
        <v>0</v>
      </c>
      <c r="Y1818" s="11">
        <f t="shared" ref="Y1818" si="1496">S1818+X1818</f>
        <v>0</v>
      </c>
      <c r="Z1818" s="101" t="s">
        <v>1474</v>
      </c>
    </row>
    <row r="1819" spans="1:26" x14ac:dyDescent="0.15">
      <c r="A1819" s="57"/>
      <c r="B1819" s="26"/>
      <c r="C1819" s="47"/>
      <c r="D1819" s="27"/>
      <c r="E1819" s="34"/>
      <c r="F1819" s="35">
        <f t="shared" si="1481"/>
        <v>0</v>
      </c>
      <c r="G1819" s="26"/>
      <c r="H1819" s="47"/>
      <c r="I1819" s="27"/>
      <c r="J1819" s="34"/>
      <c r="K1819" s="35">
        <f t="shared" si="1482"/>
        <v>0</v>
      </c>
      <c r="L1819" s="11">
        <f t="shared" si="1469"/>
        <v>0</v>
      </c>
      <c r="N1819" s="57" t="s">
        <v>1422</v>
      </c>
      <c r="O1819" s="26"/>
      <c r="P1819" s="47"/>
      <c r="Q1819" s="27"/>
      <c r="R1819" s="34"/>
      <c r="S1819" s="35">
        <f t="shared" ref="S1819:S1820" si="1497">SUM(O1819:R1819)</f>
        <v>0</v>
      </c>
      <c r="T1819" s="26"/>
      <c r="U1819" s="47"/>
      <c r="V1819" s="27"/>
      <c r="W1819" s="34"/>
      <c r="X1819" s="35">
        <f t="shared" ref="X1819:X1820" si="1498">SUM(T1819:W1819)</f>
        <v>0</v>
      </c>
      <c r="Y1819" s="11">
        <f t="shared" ref="Y1819:Y1820" si="1499">S1819+X1819</f>
        <v>0</v>
      </c>
      <c r="Z1819" s="101" t="s">
        <v>1423</v>
      </c>
    </row>
    <row r="1820" spans="1:26" ht="14.25" thickBot="1" x14ac:dyDescent="0.2">
      <c r="A1820" s="90"/>
      <c r="B1820" s="62"/>
      <c r="C1820" s="63"/>
      <c r="D1820" s="64"/>
      <c r="E1820" s="65"/>
      <c r="F1820" s="35">
        <f t="shared" si="1481"/>
        <v>0</v>
      </c>
      <c r="G1820" s="62"/>
      <c r="H1820" s="63"/>
      <c r="I1820" s="64"/>
      <c r="J1820" s="65"/>
      <c r="K1820" s="35">
        <f t="shared" si="1482"/>
        <v>0</v>
      </c>
      <c r="L1820" s="14">
        <f t="shared" si="1469"/>
        <v>0</v>
      </c>
      <c r="N1820" s="135" t="s">
        <v>1408</v>
      </c>
      <c r="O1820" s="62"/>
      <c r="P1820" s="63"/>
      <c r="Q1820" s="64"/>
      <c r="R1820" s="65"/>
      <c r="S1820" s="120">
        <f t="shared" si="1497"/>
        <v>0</v>
      </c>
      <c r="T1820" s="62"/>
      <c r="U1820" s="63"/>
      <c r="V1820" s="64"/>
      <c r="W1820" s="65"/>
      <c r="X1820" s="120">
        <f t="shared" si="1498"/>
        <v>0</v>
      </c>
      <c r="Y1820" s="121">
        <f t="shared" si="1499"/>
        <v>0</v>
      </c>
      <c r="Z1820" s="101" t="s">
        <v>1409</v>
      </c>
    </row>
    <row r="1821" spans="1:26" ht="14.25" thickBot="1" x14ac:dyDescent="0.2">
      <c r="A1821" s="17" t="s">
        <v>10</v>
      </c>
      <c r="B1821" s="38">
        <f>SUM(B1796:B1820)</f>
        <v>8</v>
      </c>
      <c r="C1821" s="48">
        <f>SUM(C1796:C1820)</f>
        <v>12</v>
      </c>
      <c r="D1821" s="39">
        <f>SUM(D1796:D1820)</f>
        <v>4</v>
      </c>
      <c r="E1821" s="40">
        <f>SUM(E1796:E1820)</f>
        <v>9</v>
      </c>
      <c r="F1821" s="36">
        <f>SUM(B1821:E1821)</f>
        <v>33</v>
      </c>
      <c r="G1821" s="38">
        <f>SUM(G1796:G1820)</f>
        <v>2</v>
      </c>
      <c r="H1821" s="48">
        <f>SUM(H1796:H1820)</f>
        <v>8</v>
      </c>
      <c r="I1821" s="39">
        <f>SUM(I1796:I1820)</f>
        <v>3</v>
      </c>
      <c r="J1821" s="40">
        <f>SUM(J1796:J1820)</f>
        <v>1</v>
      </c>
      <c r="K1821" s="36">
        <f>SUM(G1821:J1821)</f>
        <v>14</v>
      </c>
      <c r="L1821" s="37">
        <f t="shared" si="1469"/>
        <v>47</v>
      </c>
      <c r="N1821" s="133" t="s">
        <v>10</v>
      </c>
      <c r="O1821" s="38">
        <f>SUM(O1796:O1820)</f>
        <v>76</v>
      </c>
      <c r="P1821" s="48">
        <f>SUM(P1796:P1820)</f>
        <v>112</v>
      </c>
      <c r="Q1821" s="39">
        <f>SUM(Q1796:Q1820)</f>
        <v>66</v>
      </c>
      <c r="R1821" s="40">
        <f>SUM(R1796:R1820)</f>
        <v>49</v>
      </c>
      <c r="S1821" s="118">
        <f t="shared" si="1483"/>
        <v>303</v>
      </c>
      <c r="T1821" s="38">
        <f>SUM(T1796:T1820)</f>
        <v>38</v>
      </c>
      <c r="U1821" s="48">
        <f>SUM(U1796:U1820)</f>
        <v>41</v>
      </c>
      <c r="V1821" s="39">
        <f>SUM(V1796:V1820)</f>
        <v>26</v>
      </c>
      <c r="W1821" s="40">
        <f>SUM(W1796:W1820)</f>
        <v>36</v>
      </c>
      <c r="X1821" s="118">
        <f t="shared" si="1484"/>
        <v>141</v>
      </c>
      <c r="Y1821" s="119">
        <f t="shared" si="1475"/>
        <v>444</v>
      </c>
    </row>
    <row r="1822" spans="1:26" ht="14.25" thickBot="1" x14ac:dyDescent="0.2">
      <c r="A1822" s="22" t="s">
        <v>11</v>
      </c>
      <c r="B1822" s="41">
        <f>B1795-B1821</f>
        <v>6</v>
      </c>
      <c r="C1822" s="49">
        <f>C1795-C1821</f>
        <v>4</v>
      </c>
      <c r="D1822" s="42">
        <f t="shared" ref="D1822:K1822" si="1500">D1795-D1821</f>
        <v>6</v>
      </c>
      <c r="E1822" s="43">
        <f t="shared" si="1500"/>
        <v>5</v>
      </c>
      <c r="F1822" s="61">
        <f t="shared" si="1500"/>
        <v>17</v>
      </c>
      <c r="G1822" s="41">
        <f t="shared" si="1500"/>
        <v>7</v>
      </c>
      <c r="H1822" s="49">
        <f t="shared" si="1500"/>
        <v>4</v>
      </c>
      <c r="I1822" s="42">
        <f t="shared" si="1500"/>
        <v>5</v>
      </c>
      <c r="J1822" s="43">
        <f t="shared" si="1500"/>
        <v>5</v>
      </c>
      <c r="K1822" s="61">
        <f t="shared" si="1500"/>
        <v>21</v>
      </c>
      <c r="L1822" s="21">
        <f t="shared" si="1469"/>
        <v>38</v>
      </c>
      <c r="N1822" s="17" t="s">
        <v>11</v>
      </c>
      <c r="O1822" s="41">
        <f>O1795-O1821</f>
        <v>510</v>
      </c>
      <c r="P1822" s="49">
        <f t="shared" ref="P1822:Q1822" si="1501">P1795-P1821</f>
        <v>598</v>
      </c>
      <c r="Q1822" s="42">
        <f t="shared" si="1501"/>
        <v>367</v>
      </c>
      <c r="R1822" s="43">
        <f>R1795-R1821</f>
        <v>329</v>
      </c>
      <c r="S1822" s="61">
        <f t="shared" ref="S1822:X1822" si="1502">S1795-S1821</f>
        <v>1804</v>
      </c>
      <c r="T1822" s="41">
        <f t="shared" si="1502"/>
        <v>669</v>
      </c>
      <c r="U1822" s="49">
        <f t="shared" si="1502"/>
        <v>785</v>
      </c>
      <c r="V1822" s="42">
        <f t="shared" si="1502"/>
        <v>513</v>
      </c>
      <c r="W1822" s="43">
        <f t="shared" si="1502"/>
        <v>413</v>
      </c>
      <c r="X1822" s="61">
        <f t="shared" si="1502"/>
        <v>2380</v>
      </c>
      <c r="Y1822" s="21">
        <f t="shared" si="1475"/>
        <v>4184</v>
      </c>
    </row>
    <row r="1823" spans="1:26" ht="14.25" thickBot="1" x14ac:dyDescent="0.2">
      <c r="N1823" s="5" t="s">
        <v>1515</v>
      </c>
      <c r="O1823" s="276">
        <v>5</v>
      </c>
      <c r="P1823" s="276">
        <v>25</v>
      </c>
      <c r="Q1823" s="276">
        <v>10</v>
      </c>
      <c r="R1823" s="277">
        <v>6</v>
      </c>
    </row>
    <row r="1825" spans="1:28" ht="19.5" thickBot="1" x14ac:dyDescent="0.25">
      <c r="A1825" s="2" t="s">
        <v>106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1036</v>
      </c>
      <c r="O1825" s="270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8" ht="14.25" thickBot="1" x14ac:dyDescent="0.2">
      <c r="A1826" s="5" t="s">
        <v>0</v>
      </c>
      <c r="B1826" s="342" t="s">
        <v>18</v>
      </c>
      <c r="C1826" s="350"/>
      <c r="D1826" s="350"/>
      <c r="E1826" s="350"/>
      <c r="F1826" s="351"/>
      <c r="G1826" s="345" t="s">
        <v>12</v>
      </c>
      <c r="H1826" s="352"/>
      <c r="I1826" s="352"/>
      <c r="J1826" s="352"/>
      <c r="K1826" s="353"/>
      <c r="L1826" s="354" t="s">
        <v>1</v>
      </c>
      <c r="N1826" s="5" t="s">
        <v>0</v>
      </c>
      <c r="O1826" s="342" t="s">
        <v>18</v>
      </c>
      <c r="P1826" s="343"/>
      <c r="Q1826" s="343"/>
      <c r="R1826" s="343"/>
      <c r="S1826" s="344"/>
      <c r="T1826" s="345" t="s">
        <v>12</v>
      </c>
      <c r="U1826" s="346"/>
      <c r="V1826" s="346"/>
      <c r="W1826" s="346"/>
      <c r="X1826" s="347"/>
      <c r="Y1826" s="348" t="s">
        <v>1</v>
      </c>
    </row>
    <row r="1827" spans="1:28" ht="14.25" thickBot="1" x14ac:dyDescent="0.2">
      <c r="A1827" s="5" t="s">
        <v>2</v>
      </c>
      <c r="B1827" s="3" t="s">
        <v>13</v>
      </c>
      <c r="C1827" s="44" t="s">
        <v>14</v>
      </c>
      <c r="D1827" s="4" t="s">
        <v>15</v>
      </c>
      <c r="E1827" s="23" t="s">
        <v>16</v>
      </c>
      <c r="F1827" s="31" t="s">
        <v>3</v>
      </c>
      <c r="G1827" s="3" t="s">
        <v>13</v>
      </c>
      <c r="H1827" s="44" t="s">
        <v>14</v>
      </c>
      <c r="I1827" s="4" t="s">
        <v>15</v>
      </c>
      <c r="J1827" s="23" t="s">
        <v>16</v>
      </c>
      <c r="K1827" s="31" t="s">
        <v>3</v>
      </c>
      <c r="L1827" s="355"/>
      <c r="N1827" s="5" t="s">
        <v>2</v>
      </c>
      <c r="O1827" s="3" t="s">
        <v>13</v>
      </c>
      <c r="P1827" s="44" t="s">
        <v>14</v>
      </c>
      <c r="Q1827" s="4" t="s">
        <v>15</v>
      </c>
      <c r="R1827" s="23" t="s">
        <v>16</v>
      </c>
      <c r="S1827" s="31" t="s">
        <v>3</v>
      </c>
      <c r="T1827" s="3" t="s">
        <v>13</v>
      </c>
      <c r="U1827" s="44" t="s">
        <v>14</v>
      </c>
      <c r="V1827" s="4" t="s">
        <v>15</v>
      </c>
      <c r="W1827" s="23" t="s">
        <v>16</v>
      </c>
      <c r="X1827" s="31" t="s">
        <v>3</v>
      </c>
      <c r="Y1827" s="349"/>
    </row>
    <row r="1828" spans="1:28" x14ac:dyDescent="0.15">
      <c r="A1828" s="71" t="s">
        <v>17</v>
      </c>
      <c r="B1828" s="72">
        <f>B1822</f>
        <v>6</v>
      </c>
      <c r="C1828" s="73">
        <f t="shared" ref="C1828:L1828" si="1503">C1822</f>
        <v>4</v>
      </c>
      <c r="D1828" s="73">
        <f t="shared" si="1503"/>
        <v>6</v>
      </c>
      <c r="E1828" s="74">
        <f t="shared" si="1503"/>
        <v>5</v>
      </c>
      <c r="F1828" s="76">
        <f t="shared" si="1503"/>
        <v>17</v>
      </c>
      <c r="G1828" s="72">
        <f t="shared" si="1503"/>
        <v>7</v>
      </c>
      <c r="H1828" s="73">
        <f t="shared" si="1503"/>
        <v>4</v>
      </c>
      <c r="I1828" s="73">
        <f t="shared" si="1503"/>
        <v>5</v>
      </c>
      <c r="J1828" s="74">
        <f t="shared" si="1503"/>
        <v>5</v>
      </c>
      <c r="K1828" s="75">
        <f t="shared" si="1503"/>
        <v>21</v>
      </c>
      <c r="L1828" s="16">
        <f t="shared" si="1503"/>
        <v>38</v>
      </c>
      <c r="N1828" s="71" t="s">
        <v>17</v>
      </c>
      <c r="O1828" s="72">
        <f>O1822</f>
        <v>510</v>
      </c>
      <c r="P1828" s="73">
        <f t="shared" ref="P1828:Y1828" si="1504">P1822</f>
        <v>598</v>
      </c>
      <c r="Q1828" s="73">
        <f t="shared" si="1504"/>
        <v>367</v>
      </c>
      <c r="R1828" s="74">
        <f t="shared" si="1504"/>
        <v>329</v>
      </c>
      <c r="S1828" s="76">
        <f t="shared" si="1504"/>
        <v>1804</v>
      </c>
      <c r="T1828" s="72">
        <f t="shared" si="1504"/>
        <v>669</v>
      </c>
      <c r="U1828" s="73">
        <f t="shared" si="1504"/>
        <v>785</v>
      </c>
      <c r="V1828" s="73">
        <f t="shared" si="1504"/>
        <v>513</v>
      </c>
      <c r="W1828" s="74">
        <f t="shared" si="1504"/>
        <v>413</v>
      </c>
      <c r="X1828" s="75">
        <f t="shared" si="1504"/>
        <v>2380</v>
      </c>
      <c r="Y1828" s="16">
        <f t="shared" si="1504"/>
        <v>4184</v>
      </c>
    </row>
    <row r="1829" spans="1:28" x14ac:dyDescent="0.15">
      <c r="A1829" s="13" t="s">
        <v>49</v>
      </c>
      <c r="B1829" s="26"/>
      <c r="C1829" s="47"/>
      <c r="D1829" s="27">
        <f>1+2</f>
        <v>3</v>
      </c>
      <c r="E1829" s="50">
        <v>1</v>
      </c>
      <c r="F1829" s="9">
        <f>SUM(B1829:E1829)</f>
        <v>4</v>
      </c>
      <c r="G1829" s="47">
        <v>1</v>
      </c>
      <c r="H1829" s="47">
        <v>1</v>
      </c>
      <c r="I1829" s="27">
        <v>1</v>
      </c>
      <c r="J1829" s="50"/>
      <c r="K1829" s="9">
        <f>SUM(G1829:J1829)</f>
        <v>3</v>
      </c>
      <c r="L1829" s="11">
        <f t="shared" ref="L1829:L1860" si="1505">F1829+K1829</f>
        <v>7</v>
      </c>
      <c r="M1829" s="99">
        <v>45667</v>
      </c>
      <c r="N1829" s="13" t="s">
        <v>305</v>
      </c>
      <c r="O1829" s="26">
        <v>6</v>
      </c>
      <c r="P1829" s="47"/>
      <c r="Q1829" s="27">
        <v>10</v>
      </c>
      <c r="R1829" s="34">
        <v>8</v>
      </c>
      <c r="S1829" s="77">
        <f>SUM(O1829:R1829)</f>
        <v>24</v>
      </c>
      <c r="T1829" s="26">
        <v>8</v>
      </c>
      <c r="U1829" s="47">
        <v>8</v>
      </c>
      <c r="V1829" s="27">
        <v>8</v>
      </c>
      <c r="W1829" s="34">
        <v>8</v>
      </c>
      <c r="X1829" s="9">
        <f>SUM(T1829:W1829)</f>
        <v>32</v>
      </c>
      <c r="Y1829" s="11">
        <f t="shared" ref="Y1829" si="1506">S1829+X1829</f>
        <v>56</v>
      </c>
      <c r="Z1829" s="126">
        <v>45689</v>
      </c>
    </row>
    <row r="1830" spans="1:28" x14ac:dyDescent="0.15">
      <c r="A1830" s="13" t="s">
        <v>6</v>
      </c>
      <c r="B1830" s="26"/>
      <c r="C1830" s="47">
        <v>3</v>
      </c>
      <c r="D1830" s="27"/>
      <c r="E1830" s="50"/>
      <c r="F1830" s="9">
        <f>SUM(B1830:E1830)</f>
        <v>3</v>
      </c>
      <c r="G1830" s="47"/>
      <c r="H1830" s="47"/>
      <c r="I1830" s="27"/>
      <c r="J1830" s="50"/>
      <c r="K1830" s="9">
        <f>SUM(G1830:J1830)</f>
        <v>0</v>
      </c>
      <c r="L1830" s="11">
        <f t="shared" si="1505"/>
        <v>3</v>
      </c>
      <c r="M1830" s="99">
        <v>45668</v>
      </c>
      <c r="N1830" s="13" t="s">
        <v>6</v>
      </c>
      <c r="O1830" s="26"/>
      <c r="P1830" s="47"/>
      <c r="Q1830" s="27"/>
      <c r="R1830" s="34"/>
      <c r="S1830" s="77">
        <f t="shared" ref="S1830:S1832" si="1507">SUM(O1830:R1830)</f>
        <v>0</v>
      </c>
      <c r="T1830" s="26"/>
      <c r="U1830" s="47"/>
      <c r="V1830" s="27"/>
      <c r="W1830" s="34"/>
      <c r="X1830" s="9">
        <f t="shared" ref="X1830:X1832" si="1508">SUM(T1830:W1830)</f>
        <v>0</v>
      </c>
      <c r="Y1830" s="11">
        <f t="shared" ref="Y1830:Y1860" si="1509">S1830+X1830</f>
        <v>0</v>
      </c>
    </row>
    <row r="1831" spans="1:28" x14ac:dyDescent="0.15">
      <c r="A1831" s="13" t="s">
        <v>936</v>
      </c>
      <c r="B1831" s="26">
        <v>2</v>
      </c>
      <c r="C1831" s="47"/>
      <c r="D1831" s="27"/>
      <c r="E1831" s="50"/>
      <c r="F1831" s="9">
        <f>SUM(B1831:E1831)</f>
        <v>2</v>
      </c>
      <c r="G1831" s="47"/>
      <c r="H1831" s="47"/>
      <c r="I1831" s="27"/>
      <c r="J1831" s="50"/>
      <c r="K1831" s="9">
        <f>SUM(G1831:J1831)</f>
        <v>0</v>
      </c>
      <c r="L1831" s="11">
        <f t="shared" si="1505"/>
        <v>2</v>
      </c>
      <c r="M1831" s="99">
        <v>45672</v>
      </c>
      <c r="N1831" s="13" t="s">
        <v>7</v>
      </c>
      <c r="O1831" s="26"/>
      <c r="P1831" s="47"/>
      <c r="Q1831" s="27"/>
      <c r="R1831" s="34"/>
      <c r="S1831" s="77">
        <f t="shared" si="1507"/>
        <v>0</v>
      </c>
      <c r="T1831" s="26"/>
      <c r="U1831" s="47"/>
      <c r="V1831" s="27"/>
      <c r="W1831" s="34"/>
      <c r="X1831" s="9">
        <f t="shared" si="1508"/>
        <v>0</v>
      </c>
      <c r="Y1831" s="11">
        <f t="shared" si="1509"/>
        <v>0</v>
      </c>
    </row>
    <row r="1832" spans="1:28" ht="14.25" thickBot="1" x14ac:dyDescent="0.2">
      <c r="A1832" s="13" t="s">
        <v>49</v>
      </c>
      <c r="B1832" s="26">
        <v>1</v>
      </c>
      <c r="C1832" s="47"/>
      <c r="D1832" s="27">
        <v>1</v>
      </c>
      <c r="E1832" s="50"/>
      <c r="F1832" s="10">
        <f>SUM(B1832:E1832)</f>
        <v>2</v>
      </c>
      <c r="G1832" s="47"/>
      <c r="H1832" s="47">
        <v>1</v>
      </c>
      <c r="I1832" s="27"/>
      <c r="J1832" s="50"/>
      <c r="K1832" s="10">
        <f>SUM(G1832:J1832)</f>
        <v>1</v>
      </c>
      <c r="L1832" s="14">
        <f t="shared" si="1505"/>
        <v>3</v>
      </c>
      <c r="M1832" s="126">
        <v>45680</v>
      </c>
      <c r="N1832" s="13" t="s">
        <v>8</v>
      </c>
      <c r="O1832" s="26"/>
      <c r="P1832" s="47"/>
      <c r="Q1832" s="27"/>
      <c r="R1832" s="34"/>
      <c r="S1832" s="77">
        <f t="shared" si="1507"/>
        <v>0</v>
      </c>
      <c r="T1832" s="26"/>
      <c r="U1832" s="47"/>
      <c r="V1832" s="27"/>
      <c r="W1832" s="34"/>
      <c r="X1832" s="9">
        <f t="shared" si="1508"/>
        <v>0</v>
      </c>
      <c r="Y1832" s="11">
        <f t="shared" si="1509"/>
        <v>0</v>
      </c>
    </row>
    <row r="1833" spans="1:28" ht="14.25" thickBot="1" x14ac:dyDescent="0.2">
      <c r="A1833" s="22" t="s">
        <v>9</v>
      </c>
      <c r="B1833" s="51">
        <f t="shared" ref="B1833:K1833" si="1510">SUM(B1828:B1832)</f>
        <v>9</v>
      </c>
      <c r="C1833" s="52">
        <f t="shared" si="1510"/>
        <v>7</v>
      </c>
      <c r="D1833" s="53">
        <f t="shared" si="1510"/>
        <v>10</v>
      </c>
      <c r="E1833" s="54">
        <f t="shared" si="1510"/>
        <v>6</v>
      </c>
      <c r="F1833" s="28">
        <f>SUM(F1828:F1832)</f>
        <v>28</v>
      </c>
      <c r="G1833" s="51">
        <f t="shared" si="1510"/>
        <v>8</v>
      </c>
      <c r="H1833" s="52">
        <f t="shared" si="1510"/>
        <v>6</v>
      </c>
      <c r="I1833" s="53">
        <f t="shared" si="1510"/>
        <v>6</v>
      </c>
      <c r="J1833" s="54">
        <f t="shared" si="1510"/>
        <v>5</v>
      </c>
      <c r="K1833" s="28">
        <f t="shared" si="1510"/>
        <v>25</v>
      </c>
      <c r="L1833" s="21">
        <f t="shared" si="1505"/>
        <v>53</v>
      </c>
      <c r="N1833" s="17" t="s">
        <v>9</v>
      </c>
      <c r="O1833" s="41">
        <f>SUM(O1828:O1832)</f>
        <v>516</v>
      </c>
      <c r="P1833" s="49">
        <f t="shared" ref="P1833:V1833" si="1511">SUM(P1828:P1832)</f>
        <v>598</v>
      </c>
      <c r="Q1833" s="42">
        <f t="shared" si="1511"/>
        <v>377</v>
      </c>
      <c r="R1833" s="92">
        <f t="shared" si="1511"/>
        <v>337</v>
      </c>
      <c r="S1833" s="93">
        <f t="shared" si="1511"/>
        <v>1828</v>
      </c>
      <c r="T1833" s="41">
        <f t="shared" si="1511"/>
        <v>677</v>
      </c>
      <c r="U1833" s="49">
        <f t="shared" si="1511"/>
        <v>793</v>
      </c>
      <c r="V1833" s="42">
        <f t="shared" si="1511"/>
        <v>521</v>
      </c>
      <c r="W1833" s="92">
        <f>SUM(W1828:W1832)</f>
        <v>421</v>
      </c>
      <c r="X1833" s="93">
        <f t="shared" ref="X1833" si="1512">SUM(X1828:X1832)</f>
        <v>2412</v>
      </c>
      <c r="Y1833" s="56">
        <f t="shared" si="1509"/>
        <v>4240</v>
      </c>
    </row>
    <row r="1834" spans="1:28" x14ac:dyDescent="0.15">
      <c r="A1834" s="32" t="s">
        <v>1531</v>
      </c>
      <c r="B1834" s="24">
        <v>1</v>
      </c>
      <c r="C1834" s="46"/>
      <c r="D1834" s="25"/>
      <c r="E1834" s="33"/>
      <c r="F1834" s="35">
        <f>SUM(B1834:E1834)</f>
        <v>1</v>
      </c>
      <c r="G1834" s="24">
        <v>1</v>
      </c>
      <c r="H1834" s="46"/>
      <c r="I1834" s="25"/>
      <c r="J1834" s="33"/>
      <c r="K1834" s="35">
        <f>SUM(G1834:J1834)</f>
        <v>1</v>
      </c>
      <c r="L1834" s="11">
        <f t="shared" si="1505"/>
        <v>2</v>
      </c>
      <c r="M1834" s="99">
        <v>45671</v>
      </c>
      <c r="N1834" s="12" t="s">
        <v>1528</v>
      </c>
      <c r="O1834" s="26">
        <v>5</v>
      </c>
      <c r="P1834" s="47">
        <v>5</v>
      </c>
      <c r="Q1834" s="27">
        <v>5</v>
      </c>
      <c r="R1834" s="34">
        <v>5</v>
      </c>
      <c r="S1834" s="35">
        <f t="shared" ref="S1834:S1840" si="1513">SUM(O1834:R1834)</f>
        <v>20</v>
      </c>
      <c r="T1834" s="26">
        <v>5</v>
      </c>
      <c r="U1834" s="47">
        <v>5</v>
      </c>
      <c r="V1834" s="27">
        <v>5</v>
      </c>
      <c r="W1834" s="34">
        <v>5</v>
      </c>
      <c r="X1834" s="35">
        <f t="shared" ref="X1834:X1840" si="1514">SUM(T1834:W1834)</f>
        <v>20</v>
      </c>
      <c r="Y1834" s="11">
        <f t="shared" si="1509"/>
        <v>40</v>
      </c>
      <c r="Z1834" s="99">
        <v>45667</v>
      </c>
    </row>
    <row r="1835" spans="1:28" x14ac:dyDescent="0.15">
      <c r="A1835" s="32" t="s">
        <v>41</v>
      </c>
      <c r="B1835" s="26"/>
      <c r="C1835" s="47"/>
      <c r="D1835" s="27"/>
      <c r="E1835" s="34">
        <v>1</v>
      </c>
      <c r="F1835" s="35">
        <f>SUM(B1835:E1835)</f>
        <v>1</v>
      </c>
      <c r="G1835" s="26"/>
      <c r="H1835" s="47"/>
      <c r="I1835" s="27"/>
      <c r="J1835" s="34"/>
      <c r="K1835" s="35">
        <f>SUM(G1835:J1835)</f>
        <v>0</v>
      </c>
      <c r="L1835" s="11">
        <f t="shared" si="1505"/>
        <v>1</v>
      </c>
      <c r="M1835" s="99">
        <v>45671</v>
      </c>
      <c r="N1835" s="32" t="s">
        <v>1529</v>
      </c>
      <c r="O1835" s="26"/>
      <c r="P1835" s="47">
        <v>8</v>
      </c>
      <c r="Q1835" s="27">
        <v>11</v>
      </c>
      <c r="R1835" s="34">
        <v>6</v>
      </c>
      <c r="S1835" s="35">
        <f t="shared" si="1513"/>
        <v>25</v>
      </c>
      <c r="T1835" s="26"/>
      <c r="U1835" s="47">
        <v>2</v>
      </c>
      <c r="V1835" s="27"/>
      <c r="W1835" s="34">
        <v>1</v>
      </c>
      <c r="X1835" s="35">
        <f t="shared" si="1514"/>
        <v>3</v>
      </c>
      <c r="Y1835" s="11">
        <f t="shared" si="1509"/>
        <v>28</v>
      </c>
      <c r="Z1835" s="99">
        <v>45667</v>
      </c>
    </row>
    <row r="1836" spans="1:28" x14ac:dyDescent="0.15">
      <c r="A1836" s="13" t="s">
        <v>1534</v>
      </c>
      <c r="B1836" s="26"/>
      <c r="C1836" s="47">
        <v>2</v>
      </c>
      <c r="D1836" s="27"/>
      <c r="E1836" s="34"/>
      <c r="F1836" s="35">
        <f t="shared" ref="F1836:F1858" si="1515">SUM(B1836:E1836)</f>
        <v>2</v>
      </c>
      <c r="G1836" s="26"/>
      <c r="H1836" s="47"/>
      <c r="I1836" s="27"/>
      <c r="J1836" s="34"/>
      <c r="K1836" s="35">
        <f t="shared" ref="K1836:K1858" si="1516">SUM(G1836:J1836)</f>
        <v>0</v>
      </c>
      <c r="L1836" s="11">
        <f t="shared" si="1505"/>
        <v>2</v>
      </c>
      <c r="M1836" s="99">
        <v>45673</v>
      </c>
      <c r="N1836" s="12" t="s">
        <v>34</v>
      </c>
      <c r="O1836" s="26"/>
      <c r="P1836" s="47">
        <v>3</v>
      </c>
      <c r="Q1836" s="27"/>
      <c r="R1836" s="34"/>
      <c r="S1836" s="35">
        <f>SUM(O1836:R1836)</f>
        <v>3</v>
      </c>
      <c r="T1836" s="26"/>
      <c r="U1836" s="47"/>
      <c r="V1836" s="27"/>
      <c r="W1836" s="34"/>
      <c r="X1836" s="35">
        <f>SUM(T1836:W1836)</f>
        <v>0</v>
      </c>
      <c r="Y1836" s="11">
        <f t="shared" si="1509"/>
        <v>3</v>
      </c>
      <c r="Z1836" s="99">
        <v>45668</v>
      </c>
      <c r="AA1836" s="58"/>
    </row>
    <row r="1837" spans="1:28" x14ac:dyDescent="0.15">
      <c r="A1837" s="32" t="s">
        <v>41</v>
      </c>
      <c r="B1837" s="66"/>
      <c r="C1837" s="67"/>
      <c r="D1837" s="68"/>
      <c r="E1837" s="69"/>
      <c r="F1837" s="35">
        <f t="shared" si="1515"/>
        <v>0</v>
      </c>
      <c r="G1837" s="66"/>
      <c r="H1837" s="67">
        <v>1</v>
      </c>
      <c r="I1837" s="68"/>
      <c r="J1837" s="69"/>
      <c r="K1837" s="70">
        <f t="shared" si="1516"/>
        <v>1</v>
      </c>
      <c r="L1837" s="11">
        <f t="shared" si="1505"/>
        <v>1</v>
      </c>
      <c r="M1837" s="99">
        <v>45674</v>
      </c>
      <c r="N1837" s="32" t="s">
        <v>1533</v>
      </c>
      <c r="O1837" s="26"/>
      <c r="P1837" s="47">
        <v>4</v>
      </c>
      <c r="Q1837" s="27"/>
      <c r="R1837" s="34"/>
      <c r="S1837" s="35">
        <f t="shared" si="1513"/>
        <v>4</v>
      </c>
      <c r="T1837" s="26"/>
      <c r="U1837" s="47">
        <v>1</v>
      </c>
      <c r="V1837" s="27"/>
      <c r="W1837" s="34">
        <v>1</v>
      </c>
      <c r="X1837" s="35">
        <f t="shared" si="1514"/>
        <v>2</v>
      </c>
      <c r="Y1837" s="11">
        <f t="shared" si="1509"/>
        <v>6</v>
      </c>
      <c r="Z1837" s="99">
        <v>45673</v>
      </c>
      <c r="AA1837" s="58"/>
    </row>
    <row r="1838" spans="1:28" x14ac:dyDescent="0.15">
      <c r="A1838" s="32" t="s">
        <v>41</v>
      </c>
      <c r="B1838" s="26"/>
      <c r="C1838" s="47">
        <v>1</v>
      </c>
      <c r="D1838" s="27"/>
      <c r="E1838" s="34"/>
      <c r="F1838" s="35">
        <f t="shared" si="1515"/>
        <v>1</v>
      </c>
      <c r="G1838" s="26"/>
      <c r="H1838" s="47">
        <v>-1</v>
      </c>
      <c r="I1838" s="27"/>
      <c r="J1838" s="34"/>
      <c r="K1838" s="35">
        <f t="shared" si="1516"/>
        <v>-1</v>
      </c>
      <c r="L1838" s="11">
        <f t="shared" si="1505"/>
        <v>0</v>
      </c>
      <c r="M1838" s="99">
        <v>45678</v>
      </c>
      <c r="N1838" s="32" t="s">
        <v>1535</v>
      </c>
      <c r="O1838" s="26">
        <v>2</v>
      </c>
      <c r="P1838" s="47">
        <v>10</v>
      </c>
      <c r="Q1838" s="27"/>
      <c r="R1838" s="34">
        <v>2</v>
      </c>
      <c r="S1838" s="35">
        <f t="shared" si="1513"/>
        <v>14</v>
      </c>
      <c r="T1838" s="26">
        <v>3</v>
      </c>
      <c r="U1838" s="47">
        <v>7</v>
      </c>
      <c r="V1838" s="27">
        <v>1</v>
      </c>
      <c r="W1838" s="34">
        <v>2</v>
      </c>
      <c r="X1838" s="35">
        <f t="shared" si="1514"/>
        <v>13</v>
      </c>
      <c r="Y1838" s="11">
        <f t="shared" si="1509"/>
        <v>27</v>
      </c>
      <c r="Z1838" s="99">
        <v>45674</v>
      </c>
      <c r="AA1838" s="58"/>
    </row>
    <row r="1839" spans="1:28" x14ac:dyDescent="0.15">
      <c r="A1839" s="32" t="s">
        <v>1550</v>
      </c>
      <c r="B1839" s="26"/>
      <c r="C1839" s="47"/>
      <c r="D1839" s="27">
        <v>2</v>
      </c>
      <c r="E1839" s="34"/>
      <c r="F1839" s="35">
        <f t="shared" si="1515"/>
        <v>2</v>
      </c>
      <c r="G1839" s="26">
        <v>1</v>
      </c>
      <c r="H1839" s="47"/>
      <c r="I1839" s="27"/>
      <c r="J1839" s="34">
        <v>1</v>
      </c>
      <c r="K1839" s="35">
        <f t="shared" si="1516"/>
        <v>2</v>
      </c>
      <c r="L1839" s="11">
        <f t="shared" si="1505"/>
        <v>4</v>
      </c>
      <c r="M1839" s="99">
        <v>45681</v>
      </c>
      <c r="N1839" s="32" t="s">
        <v>1536</v>
      </c>
      <c r="O1839" s="26">
        <v>4</v>
      </c>
      <c r="P1839" s="47">
        <v>3</v>
      </c>
      <c r="Q1839" s="27"/>
      <c r="R1839" s="34"/>
      <c r="S1839" s="35">
        <f t="shared" si="1513"/>
        <v>7</v>
      </c>
      <c r="T1839" s="26">
        <v>2</v>
      </c>
      <c r="U1839" s="47"/>
      <c r="V1839" s="27">
        <v>1</v>
      </c>
      <c r="W1839" s="34">
        <v>1</v>
      </c>
      <c r="X1839" s="35">
        <f t="shared" si="1514"/>
        <v>4</v>
      </c>
      <c r="Y1839" s="11">
        <f t="shared" si="1509"/>
        <v>11</v>
      </c>
      <c r="Z1839" s="99">
        <v>45674</v>
      </c>
      <c r="AA1839" s="58"/>
    </row>
    <row r="1840" spans="1:28" x14ac:dyDescent="0.15">
      <c r="A1840" s="32" t="s">
        <v>41</v>
      </c>
      <c r="B1840" s="26"/>
      <c r="C1840" s="47">
        <v>-1</v>
      </c>
      <c r="D1840" s="27"/>
      <c r="E1840" s="34"/>
      <c r="F1840" s="35">
        <f t="shared" si="1515"/>
        <v>-1</v>
      </c>
      <c r="G1840" s="26"/>
      <c r="H1840" s="47">
        <v>1</v>
      </c>
      <c r="I1840" s="27"/>
      <c r="J1840" s="34"/>
      <c r="K1840" s="35">
        <f t="shared" ref="K1840" si="1517">SUM(G1840:J1840)</f>
        <v>1</v>
      </c>
      <c r="L1840" s="11">
        <f t="shared" ref="L1840" si="1518">F1840+K1840</f>
        <v>0</v>
      </c>
      <c r="M1840" s="99">
        <v>45684</v>
      </c>
      <c r="N1840" s="32" t="s">
        <v>1541</v>
      </c>
      <c r="O1840" s="26">
        <v>1</v>
      </c>
      <c r="P1840" s="47">
        <v>3</v>
      </c>
      <c r="Q1840" s="27">
        <v>1</v>
      </c>
      <c r="R1840" s="34"/>
      <c r="S1840" s="35">
        <f t="shared" si="1513"/>
        <v>5</v>
      </c>
      <c r="T1840" s="26"/>
      <c r="U1840" s="47">
        <v>1</v>
      </c>
      <c r="V1840" s="27"/>
      <c r="W1840" s="34"/>
      <c r="X1840" s="35">
        <f t="shared" si="1514"/>
        <v>1</v>
      </c>
      <c r="Y1840" s="11">
        <f t="shared" si="1509"/>
        <v>6</v>
      </c>
      <c r="Z1840" s="99">
        <v>45677</v>
      </c>
      <c r="AA1840" s="58"/>
      <c r="AB1840" s="58"/>
    </row>
    <row r="1841" spans="1:28" x14ac:dyDescent="0.15">
      <c r="A1841" s="32" t="s">
        <v>1556</v>
      </c>
      <c r="B1841" s="26">
        <v>4</v>
      </c>
      <c r="C1841" s="47"/>
      <c r="D1841" s="27">
        <v>3</v>
      </c>
      <c r="E1841" s="34"/>
      <c r="F1841" s="35">
        <f t="shared" si="1515"/>
        <v>7</v>
      </c>
      <c r="G1841" s="26">
        <v>1</v>
      </c>
      <c r="H1841" s="47"/>
      <c r="I1841" s="27"/>
      <c r="J1841" s="34"/>
      <c r="K1841" s="35">
        <f t="shared" si="1516"/>
        <v>1</v>
      </c>
      <c r="L1841" s="11">
        <f t="shared" si="1505"/>
        <v>8</v>
      </c>
      <c r="M1841" s="99">
        <v>45687</v>
      </c>
      <c r="N1841" s="12" t="s">
        <v>1542</v>
      </c>
      <c r="O1841" s="26">
        <v>30</v>
      </c>
      <c r="P1841" s="47">
        <v>40</v>
      </c>
      <c r="Q1841" s="27">
        <v>30</v>
      </c>
      <c r="R1841" s="50">
        <v>25</v>
      </c>
      <c r="S1841" s="9">
        <f>SUM(O1841:R1841)</f>
        <v>125</v>
      </c>
      <c r="T1841" s="47">
        <v>15</v>
      </c>
      <c r="U1841" s="47">
        <v>15</v>
      </c>
      <c r="V1841" s="27">
        <v>15</v>
      </c>
      <c r="W1841" s="50">
        <v>15</v>
      </c>
      <c r="X1841" s="9">
        <f>SUM(T1841:W1841)</f>
        <v>60</v>
      </c>
      <c r="Y1841" s="11">
        <f t="shared" si="1509"/>
        <v>185</v>
      </c>
      <c r="Z1841" s="99">
        <v>45681</v>
      </c>
      <c r="AA1841" s="58"/>
      <c r="AB1841" s="58"/>
    </row>
    <row r="1842" spans="1:28" x14ac:dyDescent="0.15">
      <c r="A1842" s="32" t="s">
        <v>41</v>
      </c>
      <c r="B1842" s="26"/>
      <c r="C1842" s="47"/>
      <c r="D1842" s="27"/>
      <c r="E1842" s="34"/>
      <c r="F1842" s="35">
        <f t="shared" si="1515"/>
        <v>0</v>
      </c>
      <c r="G1842" s="26"/>
      <c r="H1842" s="47"/>
      <c r="I1842" s="27">
        <v>1</v>
      </c>
      <c r="J1842" s="34"/>
      <c r="K1842" s="35">
        <f t="shared" si="1516"/>
        <v>1</v>
      </c>
      <c r="L1842" s="11">
        <f t="shared" si="1505"/>
        <v>1</v>
      </c>
      <c r="M1842" s="99">
        <v>45685</v>
      </c>
      <c r="N1842" s="12" t="s">
        <v>1543</v>
      </c>
      <c r="O1842" s="26"/>
      <c r="P1842" s="47"/>
      <c r="Q1842" s="27"/>
      <c r="R1842" s="34">
        <v>5</v>
      </c>
      <c r="S1842" s="35">
        <f t="shared" ref="S1842:S1859" si="1519">SUM(O1842:R1842)</f>
        <v>5</v>
      </c>
      <c r="T1842" s="26"/>
      <c r="U1842" s="47"/>
      <c r="V1842" s="27"/>
      <c r="W1842" s="34"/>
      <c r="X1842" s="35">
        <f t="shared" ref="X1842:X1859" si="1520">SUM(T1842:W1842)</f>
        <v>0</v>
      </c>
      <c r="Y1842" s="11">
        <f t="shared" si="1509"/>
        <v>5</v>
      </c>
      <c r="Z1842" s="99">
        <v>45680</v>
      </c>
      <c r="AA1842" s="58"/>
      <c r="AB1842" s="58"/>
    </row>
    <row r="1843" spans="1:28" x14ac:dyDescent="0.15">
      <c r="A1843" s="32" t="s">
        <v>41</v>
      </c>
      <c r="B1843" s="26"/>
      <c r="C1843" s="47"/>
      <c r="D1843" s="27"/>
      <c r="E1843" s="34"/>
      <c r="F1843" s="35">
        <f t="shared" si="1515"/>
        <v>0</v>
      </c>
      <c r="G1843" s="26">
        <v>2</v>
      </c>
      <c r="H1843" s="47"/>
      <c r="I1843" s="27"/>
      <c r="J1843" s="34"/>
      <c r="K1843" s="35">
        <f t="shared" si="1516"/>
        <v>2</v>
      </c>
      <c r="L1843" s="11">
        <f t="shared" si="1505"/>
        <v>2</v>
      </c>
      <c r="M1843" s="99">
        <v>45686</v>
      </c>
      <c r="N1843" s="32" t="s">
        <v>1544</v>
      </c>
      <c r="O1843" s="26">
        <v>6</v>
      </c>
      <c r="P1843" s="47">
        <v>4</v>
      </c>
      <c r="Q1843" s="27">
        <v>2</v>
      </c>
      <c r="R1843" s="34"/>
      <c r="S1843" s="35">
        <f t="shared" si="1519"/>
        <v>12</v>
      </c>
      <c r="T1843" s="26">
        <v>4</v>
      </c>
      <c r="U1843" s="47">
        <v>1</v>
      </c>
      <c r="V1843" s="27"/>
      <c r="W1843" s="34"/>
      <c r="X1843" s="35">
        <f t="shared" si="1520"/>
        <v>5</v>
      </c>
      <c r="Y1843" s="11">
        <f t="shared" si="1509"/>
        <v>17</v>
      </c>
      <c r="Z1843" s="99">
        <v>45679</v>
      </c>
      <c r="AA1843" s="58"/>
    </row>
    <row r="1844" spans="1:28" x14ac:dyDescent="0.15">
      <c r="A1844" s="32" t="s">
        <v>1558</v>
      </c>
      <c r="B1844" s="26">
        <v>1</v>
      </c>
      <c r="C1844" s="47">
        <v>1</v>
      </c>
      <c r="D1844" s="27">
        <v>2</v>
      </c>
      <c r="E1844" s="34">
        <v>1</v>
      </c>
      <c r="F1844" s="35">
        <f t="shared" si="1515"/>
        <v>5</v>
      </c>
      <c r="G1844" s="26"/>
      <c r="H1844" s="47"/>
      <c r="I1844" s="27"/>
      <c r="J1844" s="34"/>
      <c r="K1844" s="35">
        <f t="shared" si="1516"/>
        <v>0</v>
      </c>
      <c r="L1844" s="11">
        <f t="shared" si="1505"/>
        <v>5</v>
      </c>
      <c r="M1844" s="99">
        <v>45688</v>
      </c>
      <c r="N1844" s="32" t="s">
        <v>1547</v>
      </c>
      <c r="O1844" s="26">
        <v>5</v>
      </c>
      <c r="P1844" s="47">
        <v>9</v>
      </c>
      <c r="Q1844" s="27">
        <v>1</v>
      </c>
      <c r="R1844" s="34"/>
      <c r="S1844" s="35">
        <f t="shared" si="1519"/>
        <v>15</v>
      </c>
      <c r="T1844" s="26">
        <v>2</v>
      </c>
      <c r="U1844" s="47">
        <v>2</v>
      </c>
      <c r="V1844" s="27">
        <v>1</v>
      </c>
      <c r="W1844" s="34"/>
      <c r="X1844" s="35">
        <f t="shared" si="1520"/>
        <v>5</v>
      </c>
      <c r="Y1844" s="11">
        <f t="shared" si="1509"/>
        <v>20</v>
      </c>
      <c r="Z1844" s="99">
        <v>45680</v>
      </c>
      <c r="AA1844" s="58"/>
    </row>
    <row r="1845" spans="1:28" x14ac:dyDescent="0.15">
      <c r="A1845" s="13" t="s">
        <v>49</v>
      </c>
      <c r="B1845" s="26">
        <v>-1</v>
      </c>
      <c r="C1845" s="47"/>
      <c r="D1845" s="27">
        <v>-1</v>
      </c>
      <c r="E1845" s="34">
        <v>-1</v>
      </c>
      <c r="F1845" s="35">
        <f t="shared" si="1515"/>
        <v>-3</v>
      </c>
      <c r="G1845" s="26"/>
      <c r="H1845" s="47"/>
      <c r="I1845" s="27"/>
      <c r="J1845" s="34"/>
      <c r="K1845" s="35">
        <f t="shared" si="1516"/>
        <v>0</v>
      </c>
      <c r="L1845" s="11">
        <f t="shared" si="1505"/>
        <v>-3</v>
      </c>
      <c r="M1845" s="99">
        <v>45687</v>
      </c>
      <c r="N1845" s="12" t="s">
        <v>1548</v>
      </c>
      <c r="O1845" s="26"/>
      <c r="P1845" s="47">
        <v>3</v>
      </c>
      <c r="Q1845" s="27">
        <v>2</v>
      </c>
      <c r="R1845" s="34"/>
      <c r="S1845" s="35">
        <f t="shared" si="1519"/>
        <v>5</v>
      </c>
      <c r="T1845" s="26"/>
      <c r="U1845" s="47">
        <v>3</v>
      </c>
      <c r="V1845" s="27">
        <v>2</v>
      </c>
      <c r="W1845" s="34"/>
      <c r="X1845" s="35">
        <f t="shared" si="1520"/>
        <v>5</v>
      </c>
      <c r="Y1845" s="11">
        <f t="shared" si="1509"/>
        <v>10</v>
      </c>
      <c r="Z1845" s="99">
        <v>45680</v>
      </c>
      <c r="AA1845" s="58"/>
    </row>
    <row r="1846" spans="1:28" x14ac:dyDescent="0.15">
      <c r="A1846" s="13"/>
      <c r="B1846" s="26"/>
      <c r="C1846" s="47"/>
      <c r="D1846" s="27"/>
      <c r="E1846" s="34"/>
      <c r="F1846" s="35">
        <f t="shared" ref="F1846" si="1521">SUM(B1846:E1846)</f>
        <v>0</v>
      </c>
      <c r="G1846" s="26"/>
      <c r="H1846" s="47"/>
      <c r="I1846" s="27"/>
      <c r="J1846" s="34"/>
      <c r="K1846" s="35">
        <f t="shared" ref="K1846" si="1522">SUM(G1846:J1846)</f>
        <v>0</v>
      </c>
      <c r="L1846" s="11">
        <f t="shared" ref="L1846" si="1523">F1846+K1846</f>
        <v>0</v>
      </c>
      <c r="N1846" s="12" t="s">
        <v>1549</v>
      </c>
      <c r="O1846" s="26">
        <v>12</v>
      </c>
      <c r="P1846" s="47">
        <v>18</v>
      </c>
      <c r="Q1846" s="27">
        <v>6</v>
      </c>
      <c r="R1846" s="34">
        <v>4</v>
      </c>
      <c r="S1846" s="35">
        <f t="shared" si="1519"/>
        <v>40</v>
      </c>
      <c r="T1846" s="26">
        <v>2</v>
      </c>
      <c r="U1846" s="47"/>
      <c r="V1846" s="27"/>
      <c r="W1846" s="34"/>
      <c r="X1846" s="35">
        <f t="shared" si="1520"/>
        <v>2</v>
      </c>
      <c r="Y1846" s="11">
        <f t="shared" si="1509"/>
        <v>42</v>
      </c>
      <c r="Z1846" s="99">
        <v>45680</v>
      </c>
      <c r="AA1846" s="58"/>
    </row>
    <row r="1847" spans="1:28" x14ac:dyDescent="0.15">
      <c r="A1847" s="13"/>
      <c r="B1847" s="26"/>
      <c r="C1847" s="47"/>
      <c r="D1847" s="27"/>
      <c r="E1847" s="34"/>
      <c r="F1847" s="35">
        <f t="shared" si="1515"/>
        <v>0</v>
      </c>
      <c r="G1847" s="26"/>
      <c r="H1847" s="47"/>
      <c r="I1847" s="27"/>
      <c r="J1847" s="34"/>
      <c r="K1847" s="35">
        <f t="shared" si="1516"/>
        <v>0</v>
      </c>
      <c r="L1847" s="11">
        <f t="shared" si="1505"/>
        <v>0</v>
      </c>
      <c r="N1847" s="12" t="s">
        <v>1552</v>
      </c>
      <c r="O1847" s="26">
        <v>1</v>
      </c>
      <c r="P1847" s="47">
        <v>1</v>
      </c>
      <c r="Q1847" s="27">
        <v>2</v>
      </c>
      <c r="R1847" s="34">
        <v>1</v>
      </c>
      <c r="S1847" s="35">
        <f t="shared" ref="S1847:S1849" si="1524">SUM(O1847:R1847)</f>
        <v>5</v>
      </c>
      <c r="T1847" s="26">
        <v>1</v>
      </c>
      <c r="U1847" s="47">
        <v>1</v>
      </c>
      <c r="V1847" s="27">
        <v>2</v>
      </c>
      <c r="W1847" s="34">
        <v>1</v>
      </c>
      <c r="X1847" s="35">
        <f t="shared" ref="X1847:X1849" si="1525">SUM(T1847:W1847)</f>
        <v>5</v>
      </c>
      <c r="Y1847" s="11">
        <f t="shared" ref="Y1847:Y1849" si="1526">S1847+X1847</f>
        <v>10</v>
      </c>
      <c r="Z1847" s="99">
        <v>45684</v>
      </c>
    </row>
    <row r="1848" spans="1:28" x14ac:dyDescent="0.15">
      <c r="A1848" s="15"/>
      <c r="B1848" s="26"/>
      <c r="C1848" s="47"/>
      <c r="D1848" s="27"/>
      <c r="E1848" s="34"/>
      <c r="F1848" s="35">
        <f t="shared" si="1515"/>
        <v>0</v>
      </c>
      <c r="G1848" s="26"/>
      <c r="H1848" s="47"/>
      <c r="I1848" s="27"/>
      <c r="J1848" s="34"/>
      <c r="K1848" s="35">
        <f t="shared" si="1516"/>
        <v>0</v>
      </c>
      <c r="L1848" s="11">
        <f t="shared" si="1505"/>
        <v>0</v>
      </c>
      <c r="N1848" s="12" t="s">
        <v>1553</v>
      </c>
      <c r="O1848" s="26">
        <v>6</v>
      </c>
      <c r="P1848" s="47">
        <v>8</v>
      </c>
      <c r="Q1848" s="27">
        <v>6</v>
      </c>
      <c r="R1848" s="34"/>
      <c r="S1848" s="35">
        <f t="shared" si="1524"/>
        <v>20</v>
      </c>
      <c r="T1848" s="26">
        <v>4</v>
      </c>
      <c r="U1848" s="47">
        <v>2</v>
      </c>
      <c r="V1848" s="27"/>
      <c r="W1848" s="34"/>
      <c r="X1848" s="35">
        <f t="shared" si="1525"/>
        <v>6</v>
      </c>
      <c r="Y1848" s="11">
        <f t="shared" si="1526"/>
        <v>26</v>
      </c>
      <c r="Z1848" s="99">
        <v>45684</v>
      </c>
    </row>
    <row r="1849" spans="1:28" x14ac:dyDescent="0.15">
      <c r="A1849" s="13"/>
      <c r="B1849" s="26"/>
      <c r="C1849" s="47"/>
      <c r="D1849" s="27"/>
      <c r="E1849" s="34"/>
      <c r="F1849" s="35">
        <f t="shared" si="1515"/>
        <v>0</v>
      </c>
      <c r="G1849" s="26"/>
      <c r="H1849" s="47"/>
      <c r="I1849" s="27"/>
      <c r="J1849" s="34"/>
      <c r="K1849" s="35">
        <f t="shared" si="1516"/>
        <v>0</v>
      </c>
      <c r="L1849" s="11">
        <f t="shared" si="1505"/>
        <v>0</v>
      </c>
      <c r="N1849" s="32" t="s">
        <v>1554</v>
      </c>
      <c r="O1849" s="26">
        <v>1</v>
      </c>
      <c r="P1849" s="47">
        <v>6</v>
      </c>
      <c r="Q1849" s="27">
        <v>3</v>
      </c>
      <c r="R1849" s="34">
        <v>1</v>
      </c>
      <c r="S1849" s="35">
        <f t="shared" si="1524"/>
        <v>11</v>
      </c>
      <c r="T1849" s="26">
        <v>5</v>
      </c>
      <c r="U1849" s="47"/>
      <c r="V1849" s="27">
        <v>3</v>
      </c>
      <c r="W1849" s="34"/>
      <c r="X1849" s="35">
        <f t="shared" si="1525"/>
        <v>8</v>
      </c>
      <c r="Y1849" s="11">
        <f t="shared" si="1526"/>
        <v>19</v>
      </c>
      <c r="Z1849" s="99">
        <v>45686</v>
      </c>
    </row>
    <row r="1850" spans="1:28" x14ac:dyDescent="0.15">
      <c r="A1850" s="15"/>
      <c r="B1850" s="26"/>
      <c r="C1850" s="47"/>
      <c r="D1850" s="27"/>
      <c r="E1850" s="34"/>
      <c r="F1850" s="35">
        <f t="shared" si="1515"/>
        <v>0</v>
      </c>
      <c r="G1850" s="26"/>
      <c r="H1850" s="47"/>
      <c r="I1850" s="27"/>
      <c r="J1850" s="34"/>
      <c r="K1850" s="35">
        <f t="shared" si="1516"/>
        <v>0</v>
      </c>
      <c r="L1850" s="11">
        <f t="shared" si="1505"/>
        <v>0</v>
      </c>
      <c r="N1850" s="32" t="s">
        <v>1557</v>
      </c>
      <c r="O1850" s="26">
        <v>2</v>
      </c>
      <c r="P1850" s="47">
        <v>2</v>
      </c>
      <c r="Q1850" s="27">
        <v>2</v>
      </c>
      <c r="R1850" s="34">
        <v>1</v>
      </c>
      <c r="S1850" s="35">
        <f t="shared" si="1519"/>
        <v>7</v>
      </c>
      <c r="T1850" s="26">
        <v>1</v>
      </c>
      <c r="U1850" s="47"/>
      <c r="V1850" s="27"/>
      <c r="W1850" s="34"/>
      <c r="X1850" s="35">
        <f t="shared" si="1520"/>
        <v>1</v>
      </c>
      <c r="Y1850" s="11">
        <f t="shared" si="1509"/>
        <v>8</v>
      </c>
      <c r="Z1850" s="99">
        <v>45688</v>
      </c>
    </row>
    <row r="1851" spans="1:28" x14ac:dyDescent="0.15">
      <c r="A1851" s="15"/>
      <c r="B1851" s="26"/>
      <c r="C1851" s="47"/>
      <c r="D1851" s="27"/>
      <c r="E1851" s="34"/>
      <c r="F1851" s="35">
        <f t="shared" si="1515"/>
        <v>0</v>
      </c>
      <c r="G1851" s="26"/>
      <c r="H1851" s="47"/>
      <c r="I1851" s="27"/>
      <c r="J1851" s="34"/>
      <c r="K1851" s="35">
        <f t="shared" si="1516"/>
        <v>0</v>
      </c>
      <c r="L1851" s="11">
        <f t="shared" si="1505"/>
        <v>0</v>
      </c>
      <c r="N1851" s="12" t="s">
        <v>1560</v>
      </c>
      <c r="O1851" s="26"/>
      <c r="P1851" s="47"/>
      <c r="Q1851" s="27">
        <v>10</v>
      </c>
      <c r="R1851" s="34"/>
      <c r="S1851" s="35">
        <f t="shared" si="1519"/>
        <v>10</v>
      </c>
      <c r="T1851" s="26"/>
      <c r="U1851" s="47"/>
      <c r="V1851" s="27">
        <v>5</v>
      </c>
      <c r="W1851" s="34">
        <v>5</v>
      </c>
      <c r="X1851" s="35">
        <f t="shared" si="1520"/>
        <v>10</v>
      </c>
      <c r="Y1851" s="11">
        <f t="shared" si="1509"/>
        <v>20</v>
      </c>
      <c r="Z1851" s="99">
        <v>45689</v>
      </c>
    </row>
    <row r="1852" spans="1:28" x14ac:dyDescent="0.15">
      <c r="A1852" s="13"/>
      <c r="B1852" s="26"/>
      <c r="C1852" s="47"/>
      <c r="D1852" s="27"/>
      <c r="E1852" s="34"/>
      <c r="F1852" s="35">
        <f t="shared" si="1515"/>
        <v>0</v>
      </c>
      <c r="G1852" s="26"/>
      <c r="H1852" s="47"/>
      <c r="I1852" s="27"/>
      <c r="J1852" s="34"/>
      <c r="K1852" s="35">
        <f t="shared" si="1516"/>
        <v>0</v>
      </c>
      <c r="L1852" s="11">
        <f t="shared" si="1505"/>
        <v>0</v>
      </c>
      <c r="N1852" s="57"/>
      <c r="O1852" s="26"/>
      <c r="P1852" s="47"/>
      <c r="Q1852" s="27"/>
      <c r="R1852" s="34"/>
      <c r="S1852" s="35">
        <f t="shared" si="1519"/>
        <v>0</v>
      </c>
      <c r="T1852" s="26"/>
      <c r="U1852" s="47"/>
      <c r="V1852" s="27"/>
      <c r="W1852" s="34"/>
      <c r="X1852" s="35">
        <f t="shared" si="1520"/>
        <v>0</v>
      </c>
      <c r="Y1852" s="11">
        <f t="shared" si="1509"/>
        <v>0</v>
      </c>
      <c r="Z1852" s="101"/>
    </row>
    <row r="1853" spans="1:28" x14ac:dyDescent="0.15">
      <c r="A1853" s="32"/>
      <c r="B1853" s="26"/>
      <c r="C1853" s="47"/>
      <c r="D1853" s="27"/>
      <c r="E1853" s="34"/>
      <c r="F1853" s="35">
        <f t="shared" si="1515"/>
        <v>0</v>
      </c>
      <c r="G1853" s="26"/>
      <c r="H1853" s="47"/>
      <c r="I1853" s="27"/>
      <c r="J1853" s="34"/>
      <c r="K1853" s="35">
        <f t="shared" si="1516"/>
        <v>0</v>
      </c>
      <c r="L1853" s="11">
        <f t="shared" si="1505"/>
        <v>0</v>
      </c>
      <c r="N1853" s="57"/>
      <c r="O1853" s="26"/>
      <c r="P1853" s="47"/>
      <c r="Q1853" s="27"/>
      <c r="R1853" s="34"/>
      <c r="S1853" s="35">
        <f t="shared" si="1519"/>
        <v>0</v>
      </c>
      <c r="T1853" s="26"/>
      <c r="U1853" s="47"/>
      <c r="V1853" s="27"/>
      <c r="W1853" s="34"/>
      <c r="X1853" s="35">
        <f t="shared" si="1520"/>
        <v>0</v>
      </c>
      <c r="Y1853" s="11">
        <f t="shared" si="1509"/>
        <v>0</v>
      </c>
    </row>
    <row r="1854" spans="1:28" x14ac:dyDescent="0.15">
      <c r="A1854" s="32"/>
      <c r="B1854" s="26"/>
      <c r="C1854" s="47"/>
      <c r="D1854" s="27"/>
      <c r="E1854" s="34"/>
      <c r="F1854" s="35">
        <f t="shared" si="1515"/>
        <v>0</v>
      </c>
      <c r="G1854" s="26"/>
      <c r="H1854" s="47"/>
      <c r="I1854" s="27"/>
      <c r="J1854" s="34"/>
      <c r="K1854" s="35">
        <f t="shared" si="1516"/>
        <v>0</v>
      </c>
      <c r="L1854" s="11">
        <f t="shared" si="1505"/>
        <v>0</v>
      </c>
      <c r="N1854" s="57" t="s">
        <v>1492</v>
      </c>
      <c r="O1854" s="66"/>
      <c r="P1854" s="67"/>
      <c r="Q1854" s="68"/>
      <c r="R1854" s="69"/>
      <c r="S1854" s="70">
        <f t="shared" si="1519"/>
        <v>0</v>
      </c>
      <c r="T1854" s="66"/>
      <c r="U1854" s="67"/>
      <c r="V1854" s="68"/>
      <c r="W1854" s="69"/>
      <c r="X1854" s="70">
        <f t="shared" si="1520"/>
        <v>0</v>
      </c>
      <c r="Y1854" s="11">
        <f t="shared" si="1509"/>
        <v>0</v>
      </c>
      <c r="Z1854" s="101" t="s">
        <v>952</v>
      </c>
    </row>
    <row r="1855" spans="1:28" x14ac:dyDescent="0.15">
      <c r="A1855" s="12"/>
      <c r="B1855" s="26"/>
      <c r="C1855" s="47"/>
      <c r="D1855" s="27"/>
      <c r="E1855" s="34"/>
      <c r="F1855" s="35">
        <f t="shared" si="1515"/>
        <v>0</v>
      </c>
      <c r="G1855" s="26"/>
      <c r="H1855" s="47"/>
      <c r="I1855" s="27"/>
      <c r="J1855" s="34"/>
      <c r="K1855" s="35">
        <f t="shared" si="1516"/>
        <v>0</v>
      </c>
      <c r="L1855" s="11">
        <f t="shared" si="1505"/>
        <v>0</v>
      </c>
      <c r="N1855" s="12" t="s">
        <v>1484</v>
      </c>
      <c r="O1855" s="26"/>
      <c r="P1855" s="47"/>
      <c r="Q1855" s="27"/>
      <c r="R1855" s="34"/>
      <c r="S1855" s="35">
        <f t="shared" ref="S1855:S1856" si="1527">SUM(O1855:R1855)</f>
        <v>0</v>
      </c>
      <c r="T1855" s="26"/>
      <c r="U1855" s="47"/>
      <c r="V1855" s="27"/>
      <c r="W1855" s="34"/>
      <c r="X1855" s="35">
        <f t="shared" ref="X1855:X1856" si="1528">SUM(T1855:W1855)</f>
        <v>0</v>
      </c>
      <c r="Y1855" s="11">
        <f t="shared" ref="Y1855:Y1856" si="1529">S1855+X1855</f>
        <v>0</v>
      </c>
      <c r="Z1855" s="101" t="s">
        <v>1485</v>
      </c>
      <c r="AA1855" s="58"/>
    </row>
    <row r="1856" spans="1:28" x14ac:dyDescent="0.15">
      <c r="A1856" s="79"/>
      <c r="B1856" s="26"/>
      <c r="C1856" s="47"/>
      <c r="D1856" s="27"/>
      <c r="E1856" s="34"/>
      <c r="F1856" s="35">
        <f t="shared" si="1515"/>
        <v>0</v>
      </c>
      <c r="G1856" s="26"/>
      <c r="H1856" s="47"/>
      <c r="I1856" s="27"/>
      <c r="J1856" s="34"/>
      <c r="K1856" s="35">
        <f t="shared" si="1516"/>
        <v>0</v>
      </c>
      <c r="L1856" s="11">
        <f t="shared" si="1505"/>
        <v>0</v>
      </c>
      <c r="N1856" s="57" t="s">
        <v>1480</v>
      </c>
      <c r="O1856" s="66"/>
      <c r="P1856" s="67"/>
      <c r="Q1856" s="68"/>
      <c r="R1856" s="69"/>
      <c r="S1856" s="70">
        <f t="shared" si="1527"/>
        <v>0</v>
      </c>
      <c r="T1856" s="66"/>
      <c r="U1856" s="67"/>
      <c r="V1856" s="68"/>
      <c r="W1856" s="69"/>
      <c r="X1856" s="70">
        <f t="shared" si="1528"/>
        <v>0</v>
      </c>
      <c r="Y1856" s="11">
        <f t="shared" si="1529"/>
        <v>0</v>
      </c>
      <c r="Z1856" s="101" t="s">
        <v>1481</v>
      </c>
    </row>
    <row r="1857" spans="1:26" x14ac:dyDescent="0.15">
      <c r="A1857" s="57"/>
      <c r="B1857" s="26"/>
      <c r="C1857" s="47"/>
      <c r="D1857" s="27"/>
      <c r="E1857" s="34"/>
      <c r="F1857" s="35">
        <f t="shared" si="1515"/>
        <v>0</v>
      </c>
      <c r="G1857" s="26"/>
      <c r="H1857" s="47"/>
      <c r="I1857" s="27"/>
      <c r="J1857" s="34"/>
      <c r="K1857" s="35">
        <f t="shared" si="1516"/>
        <v>0</v>
      </c>
      <c r="L1857" s="11">
        <f t="shared" si="1505"/>
        <v>0</v>
      </c>
      <c r="N1857" s="173" t="s">
        <v>1376</v>
      </c>
      <c r="O1857" s="174"/>
      <c r="P1857" s="175"/>
      <c r="Q1857" s="176"/>
      <c r="R1857" s="177"/>
      <c r="S1857" s="178">
        <f t="shared" si="1519"/>
        <v>0</v>
      </c>
      <c r="T1857" s="174"/>
      <c r="U1857" s="175"/>
      <c r="V1857" s="176"/>
      <c r="W1857" s="177"/>
      <c r="X1857" s="178">
        <f t="shared" si="1520"/>
        <v>0</v>
      </c>
      <c r="Y1857" s="179">
        <f t="shared" si="1509"/>
        <v>0</v>
      </c>
      <c r="Z1857" s="101"/>
    </row>
    <row r="1858" spans="1:26" ht="14.25" thickBot="1" x14ac:dyDescent="0.2">
      <c r="A1858" s="90"/>
      <c r="B1858" s="62"/>
      <c r="C1858" s="63"/>
      <c r="D1858" s="64"/>
      <c r="E1858" s="65"/>
      <c r="F1858" s="35">
        <f t="shared" si="1515"/>
        <v>0</v>
      </c>
      <c r="G1858" s="62"/>
      <c r="H1858" s="63"/>
      <c r="I1858" s="64"/>
      <c r="J1858" s="65"/>
      <c r="K1858" s="35">
        <f t="shared" si="1516"/>
        <v>0</v>
      </c>
      <c r="L1858" s="14">
        <f t="shared" si="1505"/>
        <v>0</v>
      </c>
      <c r="N1858" s="220" t="s">
        <v>1375</v>
      </c>
      <c r="O1858" s="109"/>
      <c r="P1858" s="110"/>
      <c r="Q1858" s="111"/>
      <c r="R1858" s="112"/>
      <c r="S1858" s="134">
        <f t="shared" si="1519"/>
        <v>0</v>
      </c>
      <c r="T1858" s="109"/>
      <c r="U1858" s="110"/>
      <c r="V1858" s="111"/>
      <c r="W1858" s="112"/>
      <c r="X1858" s="134">
        <f t="shared" si="1520"/>
        <v>0</v>
      </c>
      <c r="Y1858" s="119">
        <f t="shared" si="1509"/>
        <v>0</v>
      </c>
      <c r="Z1858" s="101" t="s">
        <v>1377</v>
      </c>
    </row>
    <row r="1859" spans="1:26" ht="14.25" thickBot="1" x14ac:dyDescent="0.2">
      <c r="A1859" s="17" t="s">
        <v>10</v>
      </c>
      <c r="B1859" s="38">
        <f>SUM(B1834:B1858)</f>
        <v>5</v>
      </c>
      <c r="C1859" s="48">
        <f>SUM(C1834:C1858)</f>
        <v>3</v>
      </c>
      <c r="D1859" s="39">
        <f>SUM(D1834:D1858)</f>
        <v>6</v>
      </c>
      <c r="E1859" s="40">
        <f>SUM(E1834:E1858)</f>
        <v>1</v>
      </c>
      <c r="F1859" s="36">
        <f>SUM(B1859:E1859)</f>
        <v>15</v>
      </c>
      <c r="G1859" s="38">
        <f>SUM(G1834:G1858)</f>
        <v>5</v>
      </c>
      <c r="H1859" s="48">
        <f>SUM(H1834:H1858)</f>
        <v>1</v>
      </c>
      <c r="I1859" s="39">
        <f>SUM(I1834:I1858)</f>
        <v>1</v>
      </c>
      <c r="J1859" s="40">
        <f>SUM(J1834:J1858)</f>
        <v>1</v>
      </c>
      <c r="K1859" s="36">
        <f>SUM(G1859:J1859)</f>
        <v>8</v>
      </c>
      <c r="L1859" s="37">
        <f t="shared" si="1505"/>
        <v>23</v>
      </c>
      <c r="N1859" s="133" t="s">
        <v>10</v>
      </c>
      <c r="O1859" s="38">
        <f>SUM(O1834:O1858)</f>
        <v>75</v>
      </c>
      <c r="P1859" s="48">
        <f>SUM(P1834:P1858)</f>
        <v>127</v>
      </c>
      <c r="Q1859" s="39">
        <f>SUM(Q1834:Q1858)</f>
        <v>81</v>
      </c>
      <c r="R1859" s="40">
        <f>SUM(R1834:R1858)</f>
        <v>50</v>
      </c>
      <c r="S1859" s="118">
        <f t="shared" si="1519"/>
        <v>333</v>
      </c>
      <c r="T1859" s="38">
        <f>SUM(T1834:T1858)</f>
        <v>44</v>
      </c>
      <c r="U1859" s="48">
        <f>SUM(U1834:U1858)</f>
        <v>40</v>
      </c>
      <c r="V1859" s="39">
        <f>SUM(V1834:V1858)</f>
        <v>35</v>
      </c>
      <c r="W1859" s="40">
        <f>SUM(W1834:W1858)</f>
        <v>31</v>
      </c>
      <c r="X1859" s="118">
        <f t="shared" si="1520"/>
        <v>150</v>
      </c>
      <c r="Y1859" s="119">
        <f t="shared" si="1509"/>
        <v>483</v>
      </c>
    </row>
    <row r="1860" spans="1:26" ht="14.25" thickBot="1" x14ac:dyDescent="0.2">
      <c r="A1860" s="22" t="s">
        <v>11</v>
      </c>
      <c r="B1860" s="41">
        <f>B1833-B1859</f>
        <v>4</v>
      </c>
      <c r="C1860" s="49">
        <f>C1833-C1859</f>
        <v>4</v>
      </c>
      <c r="D1860" s="42">
        <f t="shared" ref="D1860:K1860" si="1530">D1833-D1859</f>
        <v>4</v>
      </c>
      <c r="E1860" s="43">
        <f t="shared" si="1530"/>
        <v>5</v>
      </c>
      <c r="F1860" s="61">
        <f>F1833-F1859</f>
        <v>13</v>
      </c>
      <c r="G1860" s="41">
        <f t="shared" si="1530"/>
        <v>3</v>
      </c>
      <c r="H1860" s="49">
        <f t="shared" si="1530"/>
        <v>5</v>
      </c>
      <c r="I1860" s="42">
        <f t="shared" si="1530"/>
        <v>5</v>
      </c>
      <c r="J1860" s="43">
        <f t="shared" si="1530"/>
        <v>4</v>
      </c>
      <c r="K1860" s="61">
        <f t="shared" si="1530"/>
        <v>17</v>
      </c>
      <c r="L1860" s="21">
        <f t="shared" si="1505"/>
        <v>30</v>
      </c>
      <c r="N1860" s="17" t="s">
        <v>11</v>
      </c>
      <c r="O1860" s="41">
        <f>O1833-O1859</f>
        <v>441</v>
      </c>
      <c r="P1860" s="49">
        <f t="shared" ref="P1860:Q1860" si="1531">P1833-P1859</f>
        <v>471</v>
      </c>
      <c r="Q1860" s="42">
        <f t="shared" si="1531"/>
        <v>296</v>
      </c>
      <c r="R1860" s="43">
        <f>R1833-R1859</f>
        <v>287</v>
      </c>
      <c r="S1860" s="61">
        <f t="shared" ref="S1860:X1860" si="1532">S1833-S1859</f>
        <v>1495</v>
      </c>
      <c r="T1860" s="41">
        <f t="shared" si="1532"/>
        <v>633</v>
      </c>
      <c r="U1860" s="49">
        <f t="shared" si="1532"/>
        <v>753</v>
      </c>
      <c r="V1860" s="42">
        <f t="shared" si="1532"/>
        <v>486</v>
      </c>
      <c r="W1860" s="43">
        <f t="shared" si="1532"/>
        <v>390</v>
      </c>
      <c r="X1860" s="61">
        <f t="shared" si="1532"/>
        <v>2262</v>
      </c>
      <c r="Y1860" s="21">
        <f t="shared" si="1509"/>
        <v>3757</v>
      </c>
    </row>
    <row r="1863" spans="1:26" ht="19.5" thickBot="1" x14ac:dyDescent="0.25">
      <c r="A1863" s="2" t="s">
        <v>106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1036</v>
      </c>
      <c r="O1863" s="270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6" ht="14.25" thickBot="1" x14ac:dyDescent="0.2">
      <c r="A1864" s="5" t="s">
        <v>0</v>
      </c>
      <c r="B1864" s="342" t="s">
        <v>18</v>
      </c>
      <c r="C1864" s="350"/>
      <c r="D1864" s="350"/>
      <c r="E1864" s="350"/>
      <c r="F1864" s="351"/>
      <c r="G1864" s="345" t="s">
        <v>12</v>
      </c>
      <c r="H1864" s="352"/>
      <c r="I1864" s="352"/>
      <c r="J1864" s="352"/>
      <c r="K1864" s="353"/>
      <c r="L1864" s="354" t="s">
        <v>1</v>
      </c>
      <c r="N1864" s="5" t="s">
        <v>0</v>
      </c>
      <c r="O1864" s="342" t="s">
        <v>18</v>
      </c>
      <c r="P1864" s="343"/>
      <c r="Q1864" s="343"/>
      <c r="R1864" s="343"/>
      <c r="S1864" s="344"/>
      <c r="T1864" s="345" t="s">
        <v>12</v>
      </c>
      <c r="U1864" s="346"/>
      <c r="V1864" s="346"/>
      <c r="W1864" s="346"/>
      <c r="X1864" s="347"/>
      <c r="Y1864" s="348" t="s">
        <v>1</v>
      </c>
    </row>
    <row r="1865" spans="1:26" ht="14.25" thickBot="1" x14ac:dyDescent="0.2">
      <c r="A1865" s="5" t="s">
        <v>2</v>
      </c>
      <c r="B1865" s="3" t="s">
        <v>13</v>
      </c>
      <c r="C1865" s="44" t="s">
        <v>14</v>
      </c>
      <c r="D1865" s="4" t="s">
        <v>15</v>
      </c>
      <c r="E1865" s="23" t="s">
        <v>16</v>
      </c>
      <c r="F1865" s="31" t="s">
        <v>3</v>
      </c>
      <c r="G1865" s="3" t="s">
        <v>13</v>
      </c>
      <c r="H1865" s="44" t="s">
        <v>14</v>
      </c>
      <c r="I1865" s="4" t="s">
        <v>15</v>
      </c>
      <c r="J1865" s="23" t="s">
        <v>16</v>
      </c>
      <c r="K1865" s="31" t="s">
        <v>3</v>
      </c>
      <c r="L1865" s="355"/>
      <c r="N1865" s="5" t="s">
        <v>2</v>
      </c>
      <c r="O1865" s="3" t="s">
        <v>13</v>
      </c>
      <c r="P1865" s="44" t="s">
        <v>14</v>
      </c>
      <c r="Q1865" s="4" t="s">
        <v>15</v>
      </c>
      <c r="R1865" s="23" t="s">
        <v>16</v>
      </c>
      <c r="S1865" s="31" t="s">
        <v>3</v>
      </c>
      <c r="T1865" s="3" t="s">
        <v>13</v>
      </c>
      <c r="U1865" s="44" t="s">
        <v>14</v>
      </c>
      <c r="V1865" s="4" t="s">
        <v>15</v>
      </c>
      <c r="W1865" s="23" t="s">
        <v>16</v>
      </c>
      <c r="X1865" s="31" t="s">
        <v>3</v>
      </c>
      <c r="Y1865" s="349"/>
    </row>
    <row r="1866" spans="1:26" x14ac:dyDescent="0.15">
      <c r="A1866" s="71" t="s">
        <v>17</v>
      </c>
      <c r="B1866" s="72">
        <f>B1860</f>
        <v>4</v>
      </c>
      <c r="C1866" s="73">
        <f t="shared" ref="C1866:L1866" si="1533">C1860</f>
        <v>4</v>
      </c>
      <c r="D1866" s="73">
        <f t="shared" si="1533"/>
        <v>4</v>
      </c>
      <c r="E1866" s="74">
        <f t="shared" si="1533"/>
        <v>5</v>
      </c>
      <c r="F1866" s="76">
        <f t="shared" si="1533"/>
        <v>13</v>
      </c>
      <c r="G1866" s="72">
        <f t="shared" si="1533"/>
        <v>3</v>
      </c>
      <c r="H1866" s="73">
        <f t="shared" si="1533"/>
        <v>5</v>
      </c>
      <c r="I1866" s="73">
        <f t="shared" si="1533"/>
        <v>5</v>
      </c>
      <c r="J1866" s="74">
        <f t="shared" si="1533"/>
        <v>4</v>
      </c>
      <c r="K1866" s="75">
        <f t="shared" si="1533"/>
        <v>17</v>
      </c>
      <c r="L1866" s="16">
        <f t="shared" si="1533"/>
        <v>30</v>
      </c>
      <c r="N1866" s="71" t="s">
        <v>17</v>
      </c>
      <c r="O1866" s="72">
        <f>O1860</f>
        <v>441</v>
      </c>
      <c r="P1866" s="73">
        <f t="shared" ref="P1866:Y1866" si="1534">P1860</f>
        <v>471</v>
      </c>
      <c r="Q1866" s="73">
        <f t="shared" si="1534"/>
        <v>296</v>
      </c>
      <c r="R1866" s="74">
        <f t="shared" si="1534"/>
        <v>287</v>
      </c>
      <c r="S1866" s="76">
        <f t="shared" si="1534"/>
        <v>1495</v>
      </c>
      <c r="T1866" s="72">
        <f t="shared" si="1534"/>
        <v>633</v>
      </c>
      <c r="U1866" s="73">
        <f t="shared" si="1534"/>
        <v>753</v>
      </c>
      <c r="V1866" s="73">
        <f t="shared" si="1534"/>
        <v>486</v>
      </c>
      <c r="W1866" s="74">
        <f t="shared" si="1534"/>
        <v>390</v>
      </c>
      <c r="X1866" s="75">
        <f t="shared" si="1534"/>
        <v>2262</v>
      </c>
      <c r="Y1866" s="16">
        <f t="shared" si="1534"/>
        <v>3757</v>
      </c>
    </row>
    <row r="1867" spans="1:26" x14ac:dyDescent="0.15">
      <c r="A1867" s="13" t="s">
        <v>936</v>
      </c>
      <c r="B1867" s="26">
        <v>6</v>
      </c>
      <c r="C1867" s="47"/>
      <c r="D1867" s="27">
        <v>10</v>
      </c>
      <c r="E1867" s="50">
        <v>8</v>
      </c>
      <c r="F1867" s="9">
        <f>SUM(B1867:E1867)</f>
        <v>24</v>
      </c>
      <c r="G1867" s="47">
        <v>8</v>
      </c>
      <c r="H1867" s="47">
        <v>8</v>
      </c>
      <c r="I1867" s="27">
        <v>8</v>
      </c>
      <c r="J1867" s="50">
        <v>8</v>
      </c>
      <c r="K1867" s="9">
        <f>SUM(G1867:J1867)</f>
        <v>32</v>
      </c>
      <c r="L1867" s="11">
        <f t="shared" ref="L1867:L1898" si="1535">F1867+K1867</f>
        <v>56</v>
      </c>
      <c r="M1867" s="126">
        <v>45687</v>
      </c>
      <c r="N1867" s="13" t="s">
        <v>5</v>
      </c>
      <c r="O1867" s="26">
        <v>4</v>
      </c>
      <c r="P1867" s="47">
        <v>6</v>
      </c>
      <c r="Q1867" s="27">
        <v>4</v>
      </c>
      <c r="R1867" s="34">
        <v>4</v>
      </c>
      <c r="S1867" s="77">
        <f t="shared" ref="S1867" si="1536">SUM(O1867:R1867)</f>
        <v>18</v>
      </c>
      <c r="T1867" s="26">
        <v>7</v>
      </c>
      <c r="U1867" s="47">
        <v>3</v>
      </c>
      <c r="V1867" s="27">
        <v>3</v>
      </c>
      <c r="W1867" s="34">
        <v>3</v>
      </c>
      <c r="X1867" s="9">
        <f t="shared" ref="X1867" si="1537">SUM(T1867:W1867)</f>
        <v>16</v>
      </c>
      <c r="Y1867" s="11">
        <f t="shared" ref="Y1867" si="1538">S1867+X1867</f>
        <v>34</v>
      </c>
      <c r="Z1867" s="126">
        <v>45717</v>
      </c>
    </row>
    <row r="1868" spans="1:26" x14ac:dyDescent="0.15">
      <c r="A1868" s="13" t="s">
        <v>6</v>
      </c>
      <c r="B1868" s="26"/>
      <c r="C1868" s="47"/>
      <c r="D1868" s="27"/>
      <c r="E1868" s="50"/>
      <c r="F1868" s="9">
        <f>SUM(B1868:E1868)</f>
        <v>0</v>
      </c>
      <c r="G1868" s="47">
        <v>5</v>
      </c>
      <c r="H1868" s="47"/>
      <c r="I1868" s="27"/>
      <c r="J1868" s="50"/>
      <c r="K1868" s="9">
        <f>SUM(G1868:J1868)</f>
        <v>5</v>
      </c>
      <c r="L1868" s="11">
        <f t="shared" si="1535"/>
        <v>5</v>
      </c>
      <c r="M1868" s="99">
        <v>45698</v>
      </c>
      <c r="N1868" s="13" t="s">
        <v>6</v>
      </c>
      <c r="O1868" s="26"/>
      <c r="P1868" s="47"/>
      <c r="Q1868" s="27"/>
      <c r="R1868" s="34"/>
      <c r="S1868" s="77">
        <f t="shared" ref="S1868" si="1539">SUM(O1868:R1868)</f>
        <v>0</v>
      </c>
      <c r="T1868" s="26"/>
      <c r="U1868" s="47"/>
      <c r="V1868" s="27"/>
      <c r="W1868" s="34"/>
      <c r="X1868" s="9">
        <f t="shared" ref="X1868" si="1540">SUM(T1868:W1868)</f>
        <v>0</v>
      </c>
      <c r="Y1868" s="11">
        <f t="shared" ref="Y1868" si="1541">S1868+X1868</f>
        <v>0</v>
      </c>
    </row>
    <row r="1869" spans="1:26" x14ac:dyDescent="0.15">
      <c r="A1869" s="13" t="s">
        <v>7</v>
      </c>
      <c r="B1869" s="26">
        <v>5</v>
      </c>
      <c r="C1869" s="47"/>
      <c r="D1869" s="27"/>
      <c r="E1869" s="50"/>
      <c r="F1869" s="9">
        <f>SUM(B1869:E1869)</f>
        <v>5</v>
      </c>
      <c r="G1869" s="47"/>
      <c r="H1869" s="47"/>
      <c r="I1869" s="27"/>
      <c r="J1869" s="50"/>
      <c r="K1869" s="9">
        <f>SUM(G1869:J1869)</f>
        <v>0</v>
      </c>
      <c r="L1869" s="11">
        <f t="shared" si="1535"/>
        <v>5</v>
      </c>
      <c r="M1869" s="99">
        <v>45702</v>
      </c>
      <c r="N1869" s="13" t="s">
        <v>7</v>
      </c>
      <c r="O1869" s="26"/>
      <c r="P1869" s="47"/>
      <c r="Q1869" s="27"/>
      <c r="R1869" s="34"/>
      <c r="S1869" s="77">
        <f t="shared" ref="S1869" si="1542">SUM(O1869:R1869)</f>
        <v>0</v>
      </c>
      <c r="T1869" s="26"/>
      <c r="U1869" s="47"/>
      <c r="V1869" s="27"/>
      <c r="W1869" s="34"/>
      <c r="X1869" s="9">
        <f t="shared" ref="X1869" si="1543">SUM(T1869:W1869)</f>
        <v>0</v>
      </c>
      <c r="Y1869" s="11">
        <f t="shared" ref="Y1869" si="1544">S1869+X1869</f>
        <v>0</v>
      </c>
    </row>
    <row r="1870" spans="1:26" ht="14.25" thickBot="1" x14ac:dyDescent="0.2">
      <c r="A1870" s="13" t="s">
        <v>49</v>
      </c>
      <c r="B1870" s="26"/>
      <c r="C1870" s="47">
        <v>4</v>
      </c>
      <c r="D1870" s="27">
        <v>1</v>
      </c>
      <c r="E1870" s="50"/>
      <c r="F1870" s="10">
        <f>SUM(B1870:E1870)</f>
        <v>5</v>
      </c>
      <c r="G1870" s="47">
        <v>1</v>
      </c>
      <c r="H1870" s="47">
        <v>2</v>
      </c>
      <c r="I1870" s="27"/>
      <c r="J1870" s="50"/>
      <c r="K1870" s="10">
        <f>SUM(G1870:J1870)</f>
        <v>3</v>
      </c>
      <c r="L1870" s="14">
        <f t="shared" si="1535"/>
        <v>8</v>
      </c>
      <c r="M1870" s="126">
        <v>45702</v>
      </c>
      <c r="N1870" s="13" t="s">
        <v>8</v>
      </c>
      <c r="O1870" s="26"/>
      <c r="P1870" s="47"/>
      <c r="Q1870" s="27"/>
      <c r="R1870" s="34"/>
      <c r="S1870" s="77">
        <f t="shared" ref="S1870" si="1545">SUM(O1870:R1870)</f>
        <v>0</v>
      </c>
      <c r="T1870" s="26"/>
      <c r="U1870" s="47"/>
      <c r="V1870" s="27"/>
      <c r="W1870" s="34"/>
      <c r="X1870" s="9">
        <f t="shared" ref="X1870" si="1546">SUM(T1870:W1870)</f>
        <v>0</v>
      </c>
      <c r="Y1870" s="11">
        <f t="shared" ref="Y1870" si="1547">S1870+X1870</f>
        <v>0</v>
      </c>
    </row>
    <row r="1871" spans="1:26" ht="14.25" thickBot="1" x14ac:dyDescent="0.2">
      <c r="A1871" s="22" t="s">
        <v>9</v>
      </c>
      <c r="B1871" s="41">
        <f t="shared" ref="B1871:K1871" si="1548">SUM(B1866:B1870)</f>
        <v>15</v>
      </c>
      <c r="C1871" s="49">
        <f t="shared" si="1548"/>
        <v>8</v>
      </c>
      <c r="D1871" s="42">
        <f t="shared" si="1548"/>
        <v>15</v>
      </c>
      <c r="E1871" s="92">
        <f t="shared" si="1548"/>
        <v>13</v>
      </c>
      <c r="F1871" s="132">
        <f t="shared" si="1548"/>
        <v>47</v>
      </c>
      <c r="G1871" s="41">
        <f t="shared" si="1548"/>
        <v>17</v>
      </c>
      <c r="H1871" s="49">
        <f t="shared" si="1548"/>
        <v>15</v>
      </c>
      <c r="I1871" s="42">
        <f t="shared" si="1548"/>
        <v>13</v>
      </c>
      <c r="J1871" s="92">
        <f t="shared" si="1548"/>
        <v>12</v>
      </c>
      <c r="K1871" s="132">
        <f t="shared" si="1548"/>
        <v>57</v>
      </c>
      <c r="L1871" s="21">
        <f t="shared" si="1535"/>
        <v>104</v>
      </c>
      <c r="N1871" s="17" t="s">
        <v>9</v>
      </c>
      <c r="O1871" s="41">
        <f>SUM(O1866:O1870)</f>
        <v>445</v>
      </c>
      <c r="P1871" s="49">
        <f t="shared" ref="P1871:V1871" si="1549">SUM(P1866:P1870)</f>
        <v>477</v>
      </c>
      <c r="Q1871" s="42">
        <f t="shared" si="1549"/>
        <v>300</v>
      </c>
      <c r="R1871" s="92">
        <f t="shared" si="1549"/>
        <v>291</v>
      </c>
      <c r="S1871" s="93">
        <f t="shared" si="1549"/>
        <v>1513</v>
      </c>
      <c r="T1871" s="41">
        <f t="shared" si="1549"/>
        <v>640</v>
      </c>
      <c r="U1871" s="49">
        <f t="shared" si="1549"/>
        <v>756</v>
      </c>
      <c r="V1871" s="42">
        <f t="shared" si="1549"/>
        <v>489</v>
      </c>
      <c r="W1871" s="92">
        <f>SUM(W1866:W1870)</f>
        <v>393</v>
      </c>
      <c r="X1871" s="93">
        <f t="shared" ref="X1871" si="1550">SUM(X1866:X1870)</f>
        <v>2278</v>
      </c>
      <c r="Y1871" s="56">
        <f t="shared" ref="Y1871:Y1898" si="1551">S1871+X1871</f>
        <v>3791</v>
      </c>
    </row>
    <row r="1872" spans="1:26" x14ac:dyDescent="0.15">
      <c r="A1872" s="32" t="s">
        <v>1559</v>
      </c>
      <c r="B1872" s="66"/>
      <c r="C1872" s="67">
        <v>1</v>
      </c>
      <c r="D1872" s="68"/>
      <c r="E1872" s="69">
        <v>2</v>
      </c>
      <c r="F1872" s="70">
        <f t="shared" ref="F1872" si="1552">SUM(B1872:E1872)</f>
        <v>3</v>
      </c>
      <c r="G1872" s="66"/>
      <c r="H1872" s="67"/>
      <c r="I1872" s="68"/>
      <c r="J1872" s="69"/>
      <c r="K1872" s="70">
        <f t="shared" ref="K1872" si="1553">SUM(G1872:J1872)</f>
        <v>0</v>
      </c>
      <c r="L1872" s="11">
        <f t="shared" si="1535"/>
        <v>3</v>
      </c>
      <c r="M1872" s="99">
        <v>45691</v>
      </c>
      <c r="N1872" s="57" t="s">
        <v>1562</v>
      </c>
      <c r="O1872" s="26">
        <v>40</v>
      </c>
      <c r="P1872" s="47">
        <v>55</v>
      </c>
      <c r="Q1872" s="27">
        <v>35</v>
      </c>
      <c r="R1872" s="34">
        <v>25</v>
      </c>
      <c r="S1872" s="35">
        <f t="shared" ref="S1872:S1878" si="1554">SUM(O1872:R1872)</f>
        <v>155</v>
      </c>
      <c r="T1872" s="26">
        <v>25</v>
      </c>
      <c r="U1872" s="47">
        <v>25</v>
      </c>
      <c r="V1872" s="27">
        <v>15</v>
      </c>
      <c r="W1872" s="34">
        <v>20</v>
      </c>
      <c r="X1872" s="35">
        <f t="shared" ref="X1872:X1878" si="1555">SUM(T1872:W1872)</f>
        <v>85</v>
      </c>
      <c r="Y1872" s="11">
        <f t="shared" si="1551"/>
        <v>240</v>
      </c>
      <c r="Z1872" s="99">
        <v>45694</v>
      </c>
    </row>
    <row r="1873" spans="1:28" x14ac:dyDescent="0.15">
      <c r="A1873" s="32" t="s">
        <v>1561</v>
      </c>
      <c r="B1873" s="26">
        <v>6</v>
      </c>
      <c r="C1873" s="47"/>
      <c r="D1873" s="27">
        <v>10</v>
      </c>
      <c r="E1873" s="34">
        <v>8</v>
      </c>
      <c r="F1873" s="35">
        <f>SUM(B1873:E1873)</f>
        <v>24</v>
      </c>
      <c r="G1873" s="26">
        <v>8</v>
      </c>
      <c r="H1873" s="47">
        <v>8</v>
      </c>
      <c r="I1873" s="27">
        <v>8</v>
      </c>
      <c r="J1873" s="34">
        <v>8</v>
      </c>
      <c r="K1873" s="35">
        <f>SUM(G1873:J1873)</f>
        <v>32</v>
      </c>
      <c r="L1873" s="11">
        <f t="shared" si="1535"/>
        <v>56</v>
      </c>
      <c r="M1873" s="126">
        <v>45689</v>
      </c>
      <c r="N1873" s="153" t="s">
        <v>1563</v>
      </c>
      <c r="O1873" s="26">
        <v>17</v>
      </c>
      <c r="P1873" s="47">
        <v>21</v>
      </c>
      <c r="Q1873" s="27">
        <v>13</v>
      </c>
      <c r="R1873" s="34">
        <v>5</v>
      </c>
      <c r="S1873" s="35">
        <f t="shared" si="1554"/>
        <v>56</v>
      </c>
      <c r="T1873" s="26">
        <v>6</v>
      </c>
      <c r="U1873" s="47">
        <v>8</v>
      </c>
      <c r="V1873" s="27">
        <v>4</v>
      </c>
      <c r="W1873" s="34">
        <v>3</v>
      </c>
      <c r="X1873" s="35">
        <f t="shared" si="1555"/>
        <v>21</v>
      </c>
      <c r="Y1873" s="11">
        <f t="shared" si="1551"/>
        <v>77</v>
      </c>
      <c r="Z1873" s="99">
        <v>45693</v>
      </c>
    </row>
    <row r="1874" spans="1:28" x14ac:dyDescent="0.15">
      <c r="A1874" s="32" t="s">
        <v>41</v>
      </c>
      <c r="B1874" s="26"/>
      <c r="C1874" s="47"/>
      <c r="D1874" s="27"/>
      <c r="E1874" s="34"/>
      <c r="F1874" s="35">
        <f t="shared" ref="F1874:F1895" si="1556">SUM(B1874:E1874)</f>
        <v>0</v>
      </c>
      <c r="G1874" s="26">
        <v>1</v>
      </c>
      <c r="H1874" s="47"/>
      <c r="I1874" s="27"/>
      <c r="J1874" s="34"/>
      <c r="K1874" s="35">
        <f t="shared" ref="K1874:K1895" si="1557">SUM(G1874:J1874)</f>
        <v>1</v>
      </c>
      <c r="L1874" s="11">
        <f t="shared" si="1535"/>
        <v>1</v>
      </c>
      <c r="M1874" s="126">
        <v>45689</v>
      </c>
      <c r="N1874" s="153" t="s">
        <v>1564</v>
      </c>
      <c r="O1874" s="26">
        <v>16</v>
      </c>
      <c r="P1874" s="47"/>
      <c r="Q1874" s="27"/>
      <c r="R1874" s="34"/>
      <c r="S1874" s="35">
        <f t="shared" si="1554"/>
        <v>16</v>
      </c>
      <c r="T1874" s="26"/>
      <c r="U1874" s="47"/>
      <c r="V1874" s="27">
        <v>1</v>
      </c>
      <c r="W1874" s="34"/>
      <c r="X1874" s="35">
        <f t="shared" si="1555"/>
        <v>1</v>
      </c>
      <c r="Y1874" s="11">
        <f t="shared" si="1551"/>
        <v>17</v>
      </c>
      <c r="Z1874" s="99">
        <v>45695</v>
      </c>
    </row>
    <row r="1875" spans="1:28" x14ac:dyDescent="0.15">
      <c r="A1875" s="32" t="s">
        <v>41</v>
      </c>
      <c r="B1875" s="66"/>
      <c r="C1875" s="67"/>
      <c r="D1875" s="68"/>
      <c r="E1875" s="69"/>
      <c r="F1875" s="70">
        <f t="shared" si="1556"/>
        <v>0</v>
      </c>
      <c r="G1875" s="66"/>
      <c r="H1875" s="67"/>
      <c r="I1875" s="68">
        <v>1</v>
      </c>
      <c r="J1875" s="69"/>
      <c r="K1875" s="70">
        <f t="shared" si="1557"/>
        <v>1</v>
      </c>
      <c r="L1875" s="11">
        <f t="shared" si="1535"/>
        <v>1</v>
      </c>
      <c r="M1875" s="99">
        <v>45694</v>
      </c>
      <c r="N1875" s="153" t="s">
        <v>1566</v>
      </c>
      <c r="O1875" s="26"/>
      <c r="P1875" s="47"/>
      <c r="Q1875" s="27"/>
      <c r="R1875" s="34">
        <v>1</v>
      </c>
      <c r="S1875" s="35">
        <f t="shared" si="1554"/>
        <v>1</v>
      </c>
      <c r="T1875" s="26"/>
      <c r="U1875" s="47"/>
      <c r="V1875" s="27"/>
      <c r="W1875" s="34"/>
      <c r="X1875" s="35">
        <f t="shared" si="1555"/>
        <v>0</v>
      </c>
      <c r="Y1875" s="11">
        <f t="shared" si="1551"/>
        <v>1</v>
      </c>
      <c r="Z1875" s="99">
        <v>45695</v>
      </c>
    </row>
    <row r="1876" spans="1:28" x14ac:dyDescent="0.15">
      <c r="A1876" s="153" t="s">
        <v>1568</v>
      </c>
      <c r="B1876" s="26">
        <v>3</v>
      </c>
      <c r="C1876" s="47"/>
      <c r="D1876" s="27">
        <v>1</v>
      </c>
      <c r="E1876" s="34"/>
      <c r="F1876" s="35">
        <f t="shared" si="1556"/>
        <v>4</v>
      </c>
      <c r="G1876" s="26"/>
      <c r="H1876" s="47"/>
      <c r="I1876" s="27"/>
      <c r="J1876" s="34"/>
      <c r="K1876" s="35">
        <f t="shared" si="1557"/>
        <v>0</v>
      </c>
      <c r="L1876" s="11">
        <f t="shared" si="1535"/>
        <v>4</v>
      </c>
      <c r="M1876" s="99">
        <v>45698</v>
      </c>
      <c r="N1876" s="12" t="s">
        <v>34</v>
      </c>
      <c r="O1876" s="26"/>
      <c r="P1876" s="47"/>
      <c r="Q1876" s="27"/>
      <c r="R1876" s="34"/>
      <c r="S1876" s="35">
        <f>SUM(O1876:R1876)</f>
        <v>0</v>
      </c>
      <c r="T1876" s="26">
        <v>5</v>
      </c>
      <c r="U1876" s="47"/>
      <c r="V1876" s="27"/>
      <c r="W1876" s="34"/>
      <c r="X1876" s="35">
        <f>SUM(T1876:W1876)</f>
        <v>5</v>
      </c>
      <c r="Y1876" s="11">
        <f t="shared" si="1551"/>
        <v>5</v>
      </c>
      <c r="Z1876" s="99">
        <v>45698</v>
      </c>
      <c r="AA1876" s="58"/>
    </row>
    <row r="1877" spans="1:28" x14ac:dyDescent="0.15">
      <c r="A1877" s="32" t="s">
        <v>41</v>
      </c>
      <c r="B1877" s="26"/>
      <c r="C1877" s="47"/>
      <c r="D1877" s="27"/>
      <c r="E1877" s="34"/>
      <c r="F1877" s="35">
        <f t="shared" si="1556"/>
        <v>0</v>
      </c>
      <c r="G1877" s="26">
        <v>1</v>
      </c>
      <c r="H1877" s="47"/>
      <c r="I1877" s="27"/>
      <c r="J1877" s="34"/>
      <c r="K1877" s="35">
        <f t="shared" si="1557"/>
        <v>1</v>
      </c>
      <c r="L1877" s="11">
        <f t="shared" si="1535"/>
        <v>1</v>
      </c>
      <c r="M1877" s="99">
        <v>45695</v>
      </c>
      <c r="N1877" s="153" t="s">
        <v>1569</v>
      </c>
      <c r="O1877" s="26">
        <v>3</v>
      </c>
      <c r="P1877" s="47">
        <v>1</v>
      </c>
      <c r="Q1877" s="27">
        <v>3</v>
      </c>
      <c r="R1877" s="34">
        <v>2</v>
      </c>
      <c r="S1877" s="35">
        <f t="shared" si="1554"/>
        <v>9</v>
      </c>
      <c r="T1877" s="26"/>
      <c r="U1877" s="47"/>
      <c r="V1877" s="27">
        <v>5</v>
      </c>
      <c r="W1877" s="34">
        <v>1</v>
      </c>
      <c r="X1877" s="35">
        <f t="shared" si="1555"/>
        <v>6</v>
      </c>
      <c r="Y1877" s="11">
        <f t="shared" si="1551"/>
        <v>15</v>
      </c>
      <c r="Z1877" s="99">
        <v>45700</v>
      </c>
      <c r="AA1877" s="58"/>
    </row>
    <row r="1878" spans="1:28" x14ac:dyDescent="0.15">
      <c r="A1878" s="32" t="s">
        <v>41</v>
      </c>
      <c r="B1878" s="26"/>
      <c r="C1878" s="47"/>
      <c r="D1878" s="27"/>
      <c r="E1878" s="34"/>
      <c r="F1878" s="35">
        <f t="shared" si="1556"/>
        <v>0</v>
      </c>
      <c r="G1878" s="26"/>
      <c r="H1878" s="47"/>
      <c r="I1878" s="27"/>
      <c r="J1878" s="34">
        <v>1</v>
      </c>
      <c r="K1878" s="35">
        <f t="shared" si="1557"/>
        <v>1</v>
      </c>
      <c r="L1878" s="11">
        <f t="shared" si="1535"/>
        <v>1</v>
      </c>
      <c r="M1878" s="99">
        <v>45698</v>
      </c>
      <c r="N1878" s="153" t="s">
        <v>1570</v>
      </c>
      <c r="O1878" s="26">
        <v>3</v>
      </c>
      <c r="P1878" s="47">
        <v>5</v>
      </c>
      <c r="Q1878" s="27">
        <v>5</v>
      </c>
      <c r="R1878" s="34">
        <v>2</v>
      </c>
      <c r="S1878" s="35">
        <f t="shared" si="1554"/>
        <v>15</v>
      </c>
      <c r="T1878" s="26"/>
      <c r="U1878" s="47"/>
      <c r="V1878" s="27"/>
      <c r="W1878" s="34"/>
      <c r="X1878" s="35">
        <f t="shared" si="1555"/>
        <v>0</v>
      </c>
      <c r="Y1878" s="11">
        <f t="shared" si="1551"/>
        <v>15</v>
      </c>
      <c r="Z1878" s="99">
        <v>45702</v>
      </c>
      <c r="AA1878" s="58"/>
    </row>
    <row r="1879" spans="1:28" x14ac:dyDescent="0.15">
      <c r="A1879" s="13" t="s">
        <v>1574</v>
      </c>
      <c r="B1879" s="26">
        <v>2</v>
      </c>
      <c r="C1879" s="47"/>
      <c r="D1879" s="27"/>
      <c r="E1879" s="34"/>
      <c r="F1879" s="35">
        <f t="shared" si="1556"/>
        <v>2</v>
      </c>
      <c r="G1879" s="26"/>
      <c r="H1879" s="47"/>
      <c r="I1879" s="27"/>
      <c r="J1879" s="34"/>
      <c r="K1879" s="35">
        <f t="shared" si="1557"/>
        <v>0</v>
      </c>
      <c r="L1879" s="11">
        <f t="shared" si="1535"/>
        <v>2</v>
      </c>
      <c r="M1879" s="99">
        <v>45705</v>
      </c>
      <c r="N1879" s="12" t="s">
        <v>1571</v>
      </c>
      <c r="O1879" s="26"/>
      <c r="P1879" s="47">
        <v>5</v>
      </c>
      <c r="Q1879" s="27">
        <v>5</v>
      </c>
      <c r="R1879" s="50">
        <v>10</v>
      </c>
      <c r="S1879" s="9">
        <f>SUM(O1879:R1879)</f>
        <v>20</v>
      </c>
      <c r="T1879" s="47"/>
      <c r="U1879" s="47">
        <v>5</v>
      </c>
      <c r="V1879" s="27">
        <v>5</v>
      </c>
      <c r="W1879" s="50">
        <v>20</v>
      </c>
      <c r="X1879" s="9">
        <f>SUM(T1879:W1879)</f>
        <v>30</v>
      </c>
      <c r="Y1879" s="11">
        <f t="shared" si="1551"/>
        <v>50</v>
      </c>
      <c r="Z1879" s="99">
        <v>45707</v>
      </c>
      <c r="AA1879" s="58"/>
    </row>
    <row r="1880" spans="1:28" x14ac:dyDescent="0.15">
      <c r="A1880" s="32" t="s">
        <v>41</v>
      </c>
      <c r="B1880" s="26"/>
      <c r="C1880" s="47"/>
      <c r="D1880" s="27"/>
      <c r="E1880" s="34">
        <v>1</v>
      </c>
      <c r="F1880" s="35">
        <f t="shared" si="1556"/>
        <v>1</v>
      </c>
      <c r="G1880" s="26">
        <v>1</v>
      </c>
      <c r="H1880" s="47"/>
      <c r="I1880" s="27">
        <v>1</v>
      </c>
      <c r="J1880" s="34"/>
      <c r="K1880" s="35">
        <f t="shared" si="1557"/>
        <v>2</v>
      </c>
      <c r="L1880" s="11">
        <f t="shared" si="1535"/>
        <v>3</v>
      </c>
      <c r="M1880" s="99">
        <v>45705</v>
      </c>
      <c r="N1880" s="153" t="s">
        <v>1572</v>
      </c>
      <c r="O1880" s="26">
        <v>8</v>
      </c>
      <c r="P1880" s="47">
        <v>19</v>
      </c>
      <c r="Q1880" s="27">
        <v>2</v>
      </c>
      <c r="R1880" s="34">
        <v>4</v>
      </c>
      <c r="S1880" s="35">
        <f t="shared" ref="S1880:S1897" si="1558">SUM(O1880:R1880)</f>
        <v>33</v>
      </c>
      <c r="T1880" s="26"/>
      <c r="U1880" s="47"/>
      <c r="V1880" s="27"/>
      <c r="W1880" s="34">
        <v>1</v>
      </c>
      <c r="X1880" s="35">
        <f t="shared" ref="X1880:X1897" si="1559">SUM(T1880:W1880)</f>
        <v>1</v>
      </c>
      <c r="Y1880" s="11">
        <f t="shared" si="1551"/>
        <v>34</v>
      </c>
      <c r="Z1880" s="99">
        <v>45702</v>
      </c>
      <c r="AA1880" s="58"/>
    </row>
    <row r="1881" spans="1:28" x14ac:dyDescent="0.15">
      <c r="A1881" s="153" t="s">
        <v>1580</v>
      </c>
      <c r="B1881" s="26"/>
      <c r="C1881" s="47"/>
      <c r="D1881" s="27">
        <v>1</v>
      </c>
      <c r="E1881" s="34"/>
      <c r="F1881" s="35">
        <f t="shared" si="1556"/>
        <v>1</v>
      </c>
      <c r="G1881" s="26"/>
      <c r="H1881" s="47"/>
      <c r="I1881" s="27">
        <v>1</v>
      </c>
      <c r="J1881" s="34">
        <v>2</v>
      </c>
      <c r="K1881" s="35">
        <f t="shared" si="1557"/>
        <v>3</v>
      </c>
      <c r="L1881" s="11">
        <f t="shared" si="1535"/>
        <v>4</v>
      </c>
      <c r="M1881" s="99">
        <v>45708</v>
      </c>
      <c r="N1881" s="12" t="s">
        <v>1573</v>
      </c>
      <c r="O1881" s="26">
        <v>5</v>
      </c>
      <c r="P1881" s="47"/>
      <c r="Q1881" s="27"/>
      <c r="R1881" s="34"/>
      <c r="S1881" s="35">
        <f t="shared" si="1558"/>
        <v>5</v>
      </c>
      <c r="T1881" s="26"/>
      <c r="U1881" s="47"/>
      <c r="V1881" s="27"/>
      <c r="W1881" s="34"/>
      <c r="X1881" s="35">
        <f t="shared" si="1559"/>
        <v>0</v>
      </c>
      <c r="Y1881" s="11">
        <f t="shared" si="1551"/>
        <v>5</v>
      </c>
      <c r="Z1881" s="99">
        <v>45702</v>
      </c>
      <c r="AA1881" s="58"/>
    </row>
    <row r="1882" spans="1:28" x14ac:dyDescent="0.15">
      <c r="A1882" s="15" t="s">
        <v>1581</v>
      </c>
      <c r="B1882" s="26"/>
      <c r="C1882" s="47"/>
      <c r="D1882" s="27"/>
      <c r="E1882" s="34">
        <v>-5</v>
      </c>
      <c r="F1882" s="35">
        <f t="shared" si="1556"/>
        <v>-5</v>
      </c>
      <c r="G1882" s="26"/>
      <c r="H1882" s="47"/>
      <c r="I1882" s="27">
        <v>-5</v>
      </c>
      <c r="J1882" s="34">
        <v>-5</v>
      </c>
      <c r="K1882" s="35">
        <f t="shared" si="1557"/>
        <v>-10</v>
      </c>
      <c r="L1882" s="11">
        <f t="shared" si="1535"/>
        <v>-15</v>
      </c>
      <c r="M1882" s="99">
        <v>45707</v>
      </c>
      <c r="N1882" s="153" t="s">
        <v>1578</v>
      </c>
      <c r="O1882" s="26">
        <v>3</v>
      </c>
      <c r="P1882" s="47">
        <v>10</v>
      </c>
      <c r="Q1882" s="27">
        <v>1</v>
      </c>
      <c r="R1882" s="34">
        <v>1</v>
      </c>
      <c r="S1882" s="35">
        <f t="shared" si="1558"/>
        <v>15</v>
      </c>
      <c r="T1882" s="26">
        <v>1</v>
      </c>
      <c r="U1882" s="47">
        <v>4</v>
      </c>
      <c r="V1882" s="27"/>
      <c r="W1882" s="34"/>
      <c r="X1882" s="35">
        <f t="shared" si="1559"/>
        <v>5</v>
      </c>
      <c r="Y1882" s="11">
        <f t="shared" si="1551"/>
        <v>20</v>
      </c>
      <c r="Z1882" s="99">
        <v>45705</v>
      </c>
      <c r="AA1882" s="58"/>
      <c r="AB1882" s="58"/>
    </row>
    <row r="1883" spans="1:28" x14ac:dyDescent="0.15">
      <c r="A1883" s="13" t="s">
        <v>1586</v>
      </c>
      <c r="B1883" s="26"/>
      <c r="C1883" s="47"/>
      <c r="D1883" s="27">
        <v>-1</v>
      </c>
      <c r="E1883" s="34"/>
      <c r="F1883" s="35">
        <f t="shared" si="1556"/>
        <v>-1</v>
      </c>
      <c r="G1883" s="26"/>
      <c r="H1883" s="47"/>
      <c r="I1883" s="27"/>
      <c r="J1883" s="34"/>
      <c r="K1883" s="35">
        <f t="shared" si="1557"/>
        <v>0</v>
      </c>
      <c r="L1883" s="11">
        <f t="shared" si="1535"/>
        <v>-1</v>
      </c>
      <c r="M1883" s="126">
        <v>45707</v>
      </c>
      <c r="N1883" s="153" t="s">
        <v>1579</v>
      </c>
      <c r="O1883" s="26">
        <v>4</v>
      </c>
      <c r="P1883" s="47">
        <v>1</v>
      </c>
      <c r="Q1883" s="27">
        <v>4</v>
      </c>
      <c r="R1883" s="34"/>
      <c r="S1883" s="35">
        <f t="shared" si="1558"/>
        <v>9</v>
      </c>
      <c r="T1883" s="26">
        <v>1</v>
      </c>
      <c r="U1883" s="47">
        <v>1</v>
      </c>
      <c r="V1883" s="27">
        <v>1</v>
      </c>
      <c r="W1883" s="34">
        <v>1</v>
      </c>
      <c r="X1883" s="35">
        <f t="shared" si="1559"/>
        <v>4</v>
      </c>
      <c r="Y1883" s="11">
        <f t="shared" si="1551"/>
        <v>13</v>
      </c>
      <c r="Z1883" s="99">
        <v>45707</v>
      </c>
      <c r="AA1883" s="58"/>
      <c r="AB1883" s="58"/>
    </row>
    <row r="1884" spans="1:28" x14ac:dyDescent="0.15">
      <c r="A1884" s="32" t="s">
        <v>41</v>
      </c>
      <c r="B1884" s="26"/>
      <c r="C1884" s="47"/>
      <c r="D1884" s="27"/>
      <c r="E1884" s="34"/>
      <c r="F1884" s="35">
        <f t="shared" si="1556"/>
        <v>0</v>
      </c>
      <c r="G1884" s="26"/>
      <c r="H1884" s="47"/>
      <c r="I1884" s="27"/>
      <c r="J1884" s="34">
        <v>1</v>
      </c>
      <c r="K1884" s="35">
        <f t="shared" si="1557"/>
        <v>1</v>
      </c>
      <c r="L1884" s="11">
        <f t="shared" si="1535"/>
        <v>1</v>
      </c>
      <c r="M1884" s="126">
        <v>45708</v>
      </c>
      <c r="N1884" s="12" t="s">
        <v>34</v>
      </c>
      <c r="O1884" s="26"/>
      <c r="P1884" s="47"/>
      <c r="Q1884" s="27"/>
      <c r="R1884" s="34">
        <v>5</v>
      </c>
      <c r="S1884" s="35">
        <f t="shared" si="1558"/>
        <v>5</v>
      </c>
      <c r="T1884" s="26"/>
      <c r="U1884" s="47"/>
      <c r="V1884" s="27">
        <v>5</v>
      </c>
      <c r="W1884" s="34">
        <v>5</v>
      </c>
      <c r="X1884" s="35">
        <f t="shared" si="1559"/>
        <v>10</v>
      </c>
      <c r="Y1884" s="11">
        <f t="shared" si="1551"/>
        <v>15</v>
      </c>
      <c r="Z1884" s="99">
        <v>45707</v>
      </c>
    </row>
    <row r="1885" spans="1:28" x14ac:dyDescent="0.15">
      <c r="A1885" s="13"/>
      <c r="B1885" s="26"/>
      <c r="C1885" s="47"/>
      <c r="D1885" s="27"/>
      <c r="E1885" s="34"/>
      <c r="F1885" s="35">
        <f t="shared" si="1556"/>
        <v>0</v>
      </c>
      <c r="G1885" s="26"/>
      <c r="H1885" s="47"/>
      <c r="I1885" s="27"/>
      <c r="J1885" s="34"/>
      <c r="K1885" s="35">
        <f t="shared" si="1557"/>
        <v>0</v>
      </c>
      <c r="L1885" s="11">
        <f t="shared" si="1535"/>
        <v>0</v>
      </c>
      <c r="N1885" s="57" t="s">
        <v>1582</v>
      </c>
      <c r="O1885" s="26">
        <v>10</v>
      </c>
      <c r="P1885" s="47">
        <v>20</v>
      </c>
      <c r="Q1885" s="27">
        <v>20</v>
      </c>
      <c r="R1885" s="34">
        <v>10</v>
      </c>
      <c r="S1885" s="35">
        <f t="shared" si="1558"/>
        <v>60</v>
      </c>
      <c r="T1885" s="26">
        <v>5</v>
      </c>
      <c r="U1885" s="47"/>
      <c r="V1885" s="27">
        <v>5</v>
      </c>
      <c r="W1885" s="34">
        <v>15</v>
      </c>
      <c r="X1885" s="35">
        <f t="shared" si="1559"/>
        <v>25</v>
      </c>
      <c r="Y1885" s="11">
        <f t="shared" si="1551"/>
        <v>85</v>
      </c>
      <c r="Z1885" s="99">
        <v>45708</v>
      </c>
    </row>
    <row r="1886" spans="1:28" x14ac:dyDescent="0.15">
      <c r="A1886" s="15"/>
      <c r="B1886" s="26"/>
      <c r="C1886" s="47"/>
      <c r="D1886" s="27"/>
      <c r="E1886" s="34"/>
      <c r="F1886" s="35">
        <f t="shared" si="1556"/>
        <v>0</v>
      </c>
      <c r="G1886" s="26"/>
      <c r="H1886" s="47"/>
      <c r="I1886" s="27"/>
      <c r="J1886" s="34"/>
      <c r="K1886" s="35">
        <f t="shared" si="1557"/>
        <v>0</v>
      </c>
      <c r="L1886" s="11">
        <f t="shared" si="1535"/>
        <v>0</v>
      </c>
      <c r="N1886" s="12" t="s">
        <v>1583</v>
      </c>
      <c r="O1886" s="26">
        <v>1</v>
      </c>
      <c r="P1886" s="47">
        <v>2</v>
      </c>
      <c r="Q1886" s="27">
        <v>3</v>
      </c>
      <c r="R1886" s="34">
        <v>1</v>
      </c>
      <c r="S1886" s="35">
        <f t="shared" ref="S1886:S1887" si="1560">SUM(O1886:R1886)</f>
        <v>7</v>
      </c>
      <c r="T1886" s="26">
        <v>1</v>
      </c>
      <c r="U1886" s="47">
        <v>2</v>
      </c>
      <c r="V1886" s="27">
        <v>3</v>
      </c>
      <c r="W1886" s="34">
        <v>1</v>
      </c>
      <c r="X1886" s="35">
        <f t="shared" ref="X1886:X1887" si="1561">SUM(T1886:W1886)</f>
        <v>7</v>
      </c>
      <c r="Y1886" s="11">
        <f t="shared" ref="Y1886:Y1887" si="1562">S1886+X1886</f>
        <v>14</v>
      </c>
      <c r="Z1886" s="99">
        <v>45713</v>
      </c>
    </row>
    <row r="1887" spans="1:28" x14ac:dyDescent="0.15">
      <c r="A1887" s="13"/>
      <c r="B1887" s="26"/>
      <c r="C1887" s="47"/>
      <c r="D1887" s="27"/>
      <c r="E1887" s="34"/>
      <c r="F1887" s="35">
        <f t="shared" si="1556"/>
        <v>0</v>
      </c>
      <c r="G1887" s="26"/>
      <c r="H1887" s="47"/>
      <c r="I1887" s="27"/>
      <c r="J1887" s="34"/>
      <c r="K1887" s="35">
        <f t="shared" si="1557"/>
        <v>0</v>
      </c>
      <c r="L1887" s="11">
        <f t="shared" si="1535"/>
        <v>0</v>
      </c>
      <c r="N1887" s="268" t="s">
        <v>1584</v>
      </c>
      <c r="O1887" s="26">
        <v>6</v>
      </c>
      <c r="P1887" s="47">
        <v>18</v>
      </c>
      <c r="Q1887" s="27">
        <v>19</v>
      </c>
      <c r="R1887" s="34">
        <v>4</v>
      </c>
      <c r="S1887" s="35">
        <f t="shared" si="1560"/>
        <v>47</v>
      </c>
      <c r="T1887" s="26">
        <v>2</v>
      </c>
      <c r="U1887" s="47"/>
      <c r="V1887" s="27">
        <v>2</v>
      </c>
      <c r="W1887" s="34">
        <v>4</v>
      </c>
      <c r="X1887" s="35">
        <f t="shared" si="1561"/>
        <v>8</v>
      </c>
      <c r="Y1887" s="11">
        <f t="shared" si="1562"/>
        <v>55</v>
      </c>
      <c r="Z1887" s="99">
        <v>45713</v>
      </c>
    </row>
    <row r="1888" spans="1:28" x14ac:dyDescent="0.15">
      <c r="A1888" s="15"/>
      <c r="B1888" s="26"/>
      <c r="C1888" s="47"/>
      <c r="D1888" s="27"/>
      <c r="E1888" s="34"/>
      <c r="F1888" s="35">
        <f t="shared" si="1556"/>
        <v>0</v>
      </c>
      <c r="G1888" s="26"/>
      <c r="H1888" s="47"/>
      <c r="I1888" s="27"/>
      <c r="J1888" s="34"/>
      <c r="K1888" s="35">
        <f t="shared" si="1557"/>
        <v>0</v>
      </c>
      <c r="L1888" s="11">
        <f t="shared" si="1535"/>
        <v>0</v>
      </c>
      <c r="N1888" s="12"/>
      <c r="O1888" s="26"/>
      <c r="P1888" s="47"/>
      <c r="Q1888" s="27"/>
      <c r="R1888" s="34"/>
      <c r="S1888" s="35">
        <f t="shared" ref="S1888" si="1563">SUM(O1888:R1888)</f>
        <v>0</v>
      </c>
      <c r="T1888" s="26"/>
      <c r="U1888" s="47"/>
      <c r="V1888" s="27"/>
      <c r="W1888" s="34"/>
      <c r="X1888" s="35">
        <f t="shared" ref="X1888" si="1564">SUM(T1888:W1888)</f>
        <v>0</v>
      </c>
      <c r="Y1888" s="11">
        <f t="shared" ref="Y1888" si="1565">S1888+X1888</f>
        <v>0</v>
      </c>
      <c r="Z1888" s="101"/>
    </row>
    <row r="1889" spans="1:27" x14ac:dyDescent="0.15">
      <c r="A1889" s="15"/>
      <c r="B1889" s="26"/>
      <c r="C1889" s="47"/>
      <c r="D1889" s="27"/>
      <c r="E1889" s="34"/>
      <c r="F1889" s="35">
        <f t="shared" si="1556"/>
        <v>0</v>
      </c>
      <c r="G1889" s="26"/>
      <c r="H1889" s="47"/>
      <c r="I1889" s="27"/>
      <c r="J1889" s="34"/>
      <c r="K1889" s="35">
        <f t="shared" si="1557"/>
        <v>0</v>
      </c>
      <c r="L1889" s="11">
        <f t="shared" si="1535"/>
        <v>0</v>
      </c>
      <c r="N1889" s="12"/>
      <c r="O1889" s="26"/>
      <c r="P1889" s="47"/>
      <c r="Q1889" s="27"/>
      <c r="R1889" s="34"/>
      <c r="S1889" s="35">
        <f t="shared" ref="S1889" si="1566">SUM(O1889:R1889)</f>
        <v>0</v>
      </c>
      <c r="T1889" s="26"/>
      <c r="U1889" s="47"/>
      <c r="V1889" s="27"/>
      <c r="W1889" s="34"/>
      <c r="X1889" s="35">
        <f t="shared" ref="X1889" si="1567">SUM(T1889:W1889)</f>
        <v>0</v>
      </c>
      <c r="Y1889" s="11">
        <f t="shared" ref="Y1889" si="1568">S1889+X1889</f>
        <v>0</v>
      </c>
    </row>
    <row r="1890" spans="1:27" x14ac:dyDescent="0.15">
      <c r="A1890" s="13"/>
      <c r="B1890" s="26"/>
      <c r="C1890" s="47"/>
      <c r="D1890" s="27"/>
      <c r="E1890" s="34"/>
      <c r="F1890" s="35">
        <f t="shared" si="1556"/>
        <v>0</v>
      </c>
      <c r="G1890" s="26"/>
      <c r="H1890" s="47"/>
      <c r="I1890" s="27"/>
      <c r="J1890" s="34"/>
      <c r="K1890" s="35">
        <f t="shared" si="1557"/>
        <v>0</v>
      </c>
      <c r="L1890" s="11">
        <f t="shared" si="1535"/>
        <v>0</v>
      </c>
      <c r="N1890" s="57" t="s">
        <v>1530</v>
      </c>
      <c r="O1890" s="66"/>
      <c r="P1890" s="67"/>
      <c r="Q1890" s="68"/>
      <c r="R1890" s="69"/>
      <c r="S1890" s="70">
        <f t="shared" ref="S1890:S1894" si="1569">SUM(O1890:R1890)</f>
        <v>0</v>
      </c>
      <c r="T1890" s="66"/>
      <c r="U1890" s="67"/>
      <c r="V1890" s="68"/>
      <c r="W1890" s="69"/>
      <c r="X1890" s="70">
        <f t="shared" ref="X1890:X1894" si="1570">SUM(T1890:W1890)</f>
        <v>0</v>
      </c>
      <c r="Y1890" s="11">
        <f t="shared" ref="Y1890:Y1894" si="1571">S1890+X1890</f>
        <v>0</v>
      </c>
      <c r="Z1890" s="101" t="s">
        <v>462</v>
      </c>
    </row>
    <row r="1891" spans="1:27" x14ac:dyDescent="0.15">
      <c r="A1891" s="32"/>
      <c r="B1891" s="26"/>
      <c r="C1891" s="47"/>
      <c r="D1891" s="27"/>
      <c r="E1891" s="34"/>
      <c r="F1891" s="35">
        <f t="shared" si="1556"/>
        <v>0</v>
      </c>
      <c r="G1891" s="26"/>
      <c r="H1891" s="47"/>
      <c r="I1891" s="27"/>
      <c r="J1891" s="34"/>
      <c r="K1891" s="35">
        <f t="shared" si="1557"/>
        <v>0</v>
      </c>
      <c r="L1891" s="11">
        <f t="shared" si="1535"/>
        <v>0</v>
      </c>
      <c r="N1891" s="12" t="s">
        <v>959</v>
      </c>
      <c r="O1891" s="26"/>
      <c r="P1891" s="47"/>
      <c r="Q1891" s="27"/>
      <c r="R1891" s="34"/>
      <c r="S1891" s="35">
        <f t="shared" si="1569"/>
        <v>0</v>
      </c>
      <c r="T1891" s="26"/>
      <c r="U1891" s="47"/>
      <c r="V1891" s="27"/>
      <c r="W1891" s="50"/>
      <c r="X1891" s="9">
        <f t="shared" si="1570"/>
        <v>0</v>
      </c>
      <c r="Y1891" s="108">
        <f t="shared" si="1571"/>
        <v>0</v>
      </c>
      <c r="Z1891" s="101" t="s">
        <v>960</v>
      </c>
    </row>
    <row r="1892" spans="1:27" x14ac:dyDescent="0.15">
      <c r="A1892" s="32"/>
      <c r="B1892" s="26"/>
      <c r="C1892" s="47"/>
      <c r="D1892" s="27"/>
      <c r="E1892" s="34"/>
      <c r="F1892" s="35">
        <f t="shared" si="1556"/>
        <v>0</v>
      </c>
      <c r="G1892" s="26"/>
      <c r="H1892" s="47"/>
      <c r="I1892" s="27"/>
      <c r="J1892" s="34"/>
      <c r="K1892" s="35">
        <f t="shared" si="1557"/>
        <v>0</v>
      </c>
      <c r="L1892" s="11">
        <f t="shared" si="1535"/>
        <v>0</v>
      </c>
      <c r="N1892" s="12" t="s">
        <v>1511</v>
      </c>
      <c r="O1892" s="26"/>
      <c r="P1892" s="47"/>
      <c r="Q1892" s="27"/>
      <c r="R1892" s="34"/>
      <c r="S1892" s="35">
        <f t="shared" si="1569"/>
        <v>0</v>
      </c>
      <c r="T1892" s="26"/>
      <c r="U1892" s="47"/>
      <c r="V1892" s="27"/>
      <c r="W1892" s="50"/>
      <c r="X1892" s="9">
        <f t="shared" si="1570"/>
        <v>0</v>
      </c>
      <c r="Y1892" s="108">
        <f t="shared" si="1571"/>
        <v>0</v>
      </c>
      <c r="Z1892" s="101" t="s">
        <v>1512</v>
      </c>
    </row>
    <row r="1893" spans="1:27" x14ac:dyDescent="0.15">
      <c r="A1893" s="12"/>
      <c r="B1893" s="26"/>
      <c r="C1893" s="47"/>
      <c r="D1893" s="27"/>
      <c r="E1893" s="34"/>
      <c r="F1893" s="35">
        <f t="shared" si="1556"/>
        <v>0</v>
      </c>
      <c r="G1893" s="26"/>
      <c r="H1893" s="47"/>
      <c r="I1893" s="27"/>
      <c r="J1893" s="34"/>
      <c r="K1893" s="35">
        <f t="shared" si="1557"/>
        <v>0</v>
      </c>
      <c r="L1893" s="11">
        <f t="shared" si="1535"/>
        <v>0</v>
      </c>
      <c r="N1893" s="173" t="s">
        <v>1503</v>
      </c>
      <c r="O1893" s="154"/>
      <c r="P1893" s="155"/>
      <c r="Q1893" s="156"/>
      <c r="R1893" s="157"/>
      <c r="S1893" s="158">
        <f t="shared" si="1569"/>
        <v>0</v>
      </c>
      <c r="T1893" s="154"/>
      <c r="U1893" s="155"/>
      <c r="V1893" s="156"/>
      <c r="W1893" s="157"/>
      <c r="X1893" s="158">
        <f t="shared" si="1570"/>
        <v>0</v>
      </c>
      <c r="Y1893" s="179">
        <f t="shared" si="1571"/>
        <v>0</v>
      </c>
      <c r="Z1893" s="101"/>
      <c r="AA1893" s="58"/>
    </row>
    <row r="1894" spans="1:27" x14ac:dyDescent="0.15">
      <c r="A1894" s="79"/>
      <c r="B1894" s="26"/>
      <c r="C1894" s="47"/>
      <c r="D1894" s="27"/>
      <c r="E1894" s="34"/>
      <c r="F1894" s="35">
        <f t="shared" si="1556"/>
        <v>0</v>
      </c>
      <c r="G1894" s="26"/>
      <c r="H1894" s="47"/>
      <c r="I1894" s="27"/>
      <c r="J1894" s="34"/>
      <c r="K1894" s="35">
        <f t="shared" si="1557"/>
        <v>0</v>
      </c>
      <c r="L1894" s="11">
        <f t="shared" si="1535"/>
        <v>0</v>
      </c>
      <c r="N1894" s="57" t="s">
        <v>1502</v>
      </c>
      <c r="O1894" s="26"/>
      <c r="P1894" s="47"/>
      <c r="Q1894" s="27"/>
      <c r="R1894" s="34"/>
      <c r="S1894" s="35">
        <f t="shared" si="1569"/>
        <v>0</v>
      </c>
      <c r="T1894" s="26"/>
      <c r="U1894" s="47"/>
      <c r="V1894" s="27"/>
      <c r="W1894" s="34"/>
      <c r="X1894" s="35">
        <f t="shared" si="1570"/>
        <v>0</v>
      </c>
      <c r="Y1894" s="11">
        <f t="shared" si="1571"/>
        <v>0</v>
      </c>
      <c r="Z1894" s="101" t="s">
        <v>1501</v>
      </c>
      <c r="AA1894" s="58"/>
    </row>
    <row r="1895" spans="1:27" x14ac:dyDescent="0.15">
      <c r="A1895" s="57"/>
      <c r="B1895" s="26"/>
      <c r="C1895" s="47"/>
      <c r="D1895" s="27"/>
      <c r="E1895" s="34"/>
      <c r="F1895" s="35">
        <f t="shared" si="1556"/>
        <v>0</v>
      </c>
      <c r="G1895" s="26"/>
      <c r="H1895" s="47"/>
      <c r="I1895" s="27"/>
      <c r="J1895" s="34"/>
      <c r="K1895" s="35">
        <f t="shared" si="1557"/>
        <v>0</v>
      </c>
      <c r="L1895" s="11">
        <f t="shared" si="1535"/>
        <v>0</v>
      </c>
      <c r="N1895" s="57" t="s">
        <v>1471</v>
      </c>
      <c r="O1895" s="26"/>
      <c r="P1895" s="47"/>
      <c r="Q1895" s="27"/>
      <c r="R1895" s="34"/>
      <c r="S1895" s="35">
        <f t="shared" ref="S1895:S1896" si="1572">SUM(O1895:R1895)</f>
        <v>0</v>
      </c>
      <c r="T1895" s="26"/>
      <c r="U1895" s="47"/>
      <c r="V1895" s="27"/>
      <c r="W1895" s="34"/>
      <c r="X1895" s="35">
        <f t="shared" ref="X1895:X1896" si="1573">SUM(T1895:W1895)</f>
        <v>0</v>
      </c>
      <c r="Y1895" s="11">
        <f t="shared" ref="Y1895:Y1896" si="1574">S1895+X1895</f>
        <v>0</v>
      </c>
      <c r="Z1895" s="101" t="s">
        <v>1472</v>
      </c>
    </row>
    <row r="1896" spans="1:27" ht="14.25" thickBot="1" x14ac:dyDescent="0.2">
      <c r="A1896" s="57"/>
      <c r="B1896" s="26"/>
      <c r="C1896" s="47"/>
      <c r="D1896" s="27"/>
      <c r="E1896" s="34"/>
      <c r="F1896" s="35">
        <f t="shared" ref="F1896" si="1575">SUM(B1896:E1896)</f>
        <v>0</v>
      </c>
      <c r="G1896" s="26"/>
      <c r="H1896" s="47"/>
      <c r="I1896" s="27"/>
      <c r="J1896" s="34"/>
      <c r="K1896" s="35">
        <f t="shared" ref="K1896" si="1576">SUM(G1896:J1896)</f>
        <v>0</v>
      </c>
      <c r="L1896" s="11">
        <f t="shared" ref="L1896" si="1577">F1896+K1896</f>
        <v>0</v>
      </c>
      <c r="N1896" s="268" t="s">
        <v>1490</v>
      </c>
      <c r="O1896" s="223"/>
      <c r="P1896" s="224"/>
      <c r="Q1896" s="225"/>
      <c r="R1896" s="226"/>
      <c r="S1896" s="227">
        <f t="shared" si="1572"/>
        <v>0</v>
      </c>
      <c r="T1896" s="223"/>
      <c r="U1896" s="224"/>
      <c r="V1896" s="225"/>
      <c r="W1896" s="226"/>
      <c r="X1896" s="227">
        <f t="shared" si="1573"/>
        <v>0</v>
      </c>
      <c r="Y1896" s="14">
        <f t="shared" si="1574"/>
        <v>0</v>
      </c>
      <c r="Z1896" s="101" t="s">
        <v>1463</v>
      </c>
    </row>
    <row r="1897" spans="1:27" ht="14.25" thickBot="1" x14ac:dyDescent="0.2">
      <c r="A1897" s="17" t="s">
        <v>10</v>
      </c>
      <c r="B1897" s="38">
        <f>SUM(B1872:B1896)</f>
        <v>11</v>
      </c>
      <c r="C1897" s="48">
        <f>SUM(C1872:C1896)</f>
        <v>1</v>
      </c>
      <c r="D1897" s="39">
        <f>SUM(D1872:D1896)</f>
        <v>11</v>
      </c>
      <c r="E1897" s="40">
        <f>SUM(E1872:E1896)</f>
        <v>6</v>
      </c>
      <c r="F1897" s="36">
        <f>SUM(B1897:E1897)</f>
        <v>29</v>
      </c>
      <c r="G1897" s="38">
        <f>SUM(G1872:G1896)</f>
        <v>11</v>
      </c>
      <c r="H1897" s="48">
        <f>SUM(H1872:H1896)</f>
        <v>8</v>
      </c>
      <c r="I1897" s="39">
        <f>SUM(I1872:I1896)</f>
        <v>6</v>
      </c>
      <c r="J1897" s="40">
        <f>SUM(J1872:J1896)</f>
        <v>7</v>
      </c>
      <c r="K1897" s="36">
        <f>SUM(G1897:J1897)</f>
        <v>32</v>
      </c>
      <c r="L1897" s="37">
        <f t="shared" si="1535"/>
        <v>61</v>
      </c>
      <c r="N1897" s="17" t="s">
        <v>10</v>
      </c>
      <c r="O1897" s="240">
        <f>SUM(O1872:O1896)</f>
        <v>116</v>
      </c>
      <c r="P1897" s="241">
        <f>SUM(P1872:P1896)</f>
        <v>157</v>
      </c>
      <c r="Q1897" s="242">
        <f>SUM(Q1872:Q1896)</f>
        <v>110</v>
      </c>
      <c r="R1897" s="243">
        <f>SUM(R1872:R1896)</f>
        <v>70</v>
      </c>
      <c r="S1897" s="36">
        <f t="shared" si="1558"/>
        <v>453</v>
      </c>
      <c r="T1897" s="240"/>
      <c r="U1897" s="241"/>
      <c r="V1897" s="242"/>
      <c r="W1897" s="243"/>
      <c r="X1897" s="36">
        <f t="shared" si="1559"/>
        <v>0</v>
      </c>
      <c r="Y1897" s="37">
        <f t="shared" si="1551"/>
        <v>453</v>
      </c>
    </row>
    <row r="1898" spans="1:27" ht="14.25" thickBot="1" x14ac:dyDescent="0.2">
      <c r="A1898" s="22" t="s">
        <v>11</v>
      </c>
      <c r="B1898" s="41">
        <f>B1871-B1897</f>
        <v>4</v>
      </c>
      <c r="C1898" s="49">
        <f>C1871-C1897</f>
        <v>7</v>
      </c>
      <c r="D1898" s="42">
        <f t="shared" ref="D1898:K1898" si="1578">D1871-D1897</f>
        <v>4</v>
      </c>
      <c r="E1898" s="43">
        <f t="shared" si="1578"/>
        <v>7</v>
      </c>
      <c r="F1898" s="61">
        <f>F1871-F1897</f>
        <v>18</v>
      </c>
      <c r="G1898" s="41">
        <f t="shared" si="1578"/>
        <v>6</v>
      </c>
      <c r="H1898" s="49">
        <f t="shared" si="1578"/>
        <v>7</v>
      </c>
      <c r="I1898" s="42">
        <f t="shared" si="1578"/>
        <v>7</v>
      </c>
      <c r="J1898" s="43">
        <f t="shared" si="1578"/>
        <v>5</v>
      </c>
      <c r="K1898" s="61">
        <f t="shared" si="1578"/>
        <v>25</v>
      </c>
      <c r="L1898" s="21">
        <f t="shared" si="1535"/>
        <v>43</v>
      </c>
      <c r="N1898" s="17" t="s">
        <v>11</v>
      </c>
      <c r="O1898" s="41">
        <f>O1871-O1897</f>
        <v>329</v>
      </c>
      <c r="P1898" s="49">
        <f t="shared" ref="P1898:Q1898" si="1579">P1871-P1897</f>
        <v>320</v>
      </c>
      <c r="Q1898" s="42">
        <f t="shared" si="1579"/>
        <v>190</v>
      </c>
      <c r="R1898" s="43">
        <f>R1871-R1897</f>
        <v>221</v>
      </c>
      <c r="S1898" s="61">
        <f t="shared" ref="S1898:X1898" si="1580">S1871-S1897</f>
        <v>1060</v>
      </c>
      <c r="T1898" s="41">
        <f t="shared" si="1580"/>
        <v>640</v>
      </c>
      <c r="U1898" s="49">
        <f t="shared" si="1580"/>
        <v>756</v>
      </c>
      <c r="V1898" s="42">
        <f t="shared" si="1580"/>
        <v>489</v>
      </c>
      <c r="W1898" s="43">
        <f t="shared" si="1580"/>
        <v>393</v>
      </c>
      <c r="X1898" s="61">
        <f t="shared" si="1580"/>
        <v>2278</v>
      </c>
      <c r="Y1898" s="21">
        <f t="shared" si="1551"/>
        <v>3338</v>
      </c>
    </row>
    <row r="1899" spans="1:27" x14ac:dyDescent="0.15">
      <c r="O1899" s="125">
        <v>28.71869504578255</v>
      </c>
      <c r="P1899" s="125">
        <v>35.279849614941483</v>
      </c>
      <c r="Q1899" s="125">
        <v>21.969559153477654</v>
      </c>
      <c r="R1899" s="125">
        <v>14.031896185798315</v>
      </c>
      <c r="S1899" s="125">
        <v>100</v>
      </c>
    </row>
    <row r="1900" spans="1:27" x14ac:dyDescent="0.15">
      <c r="O1900" s="275">
        <f>O1898/$S$1898*100</f>
        <v>31.037735849056602</v>
      </c>
      <c r="P1900" s="275">
        <f t="shared" ref="P1900:S1900" si="1581">P1898/$S$1898*100</f>
        <v>30.188679245283019</v>
      </c>
      <c r="Q1900" s="275">
        <f t="shared" si="1581"/>
        <v>17.924528301886792</v>
      </c>
      <c r="R1900" s="275">
        <f t="shared" si="1581"/>
        <v>20.849056603773587</v>
      </c>
      <c r="S1900" s="275">
        <f t="shared" si="1581"/>
        <v>100</v>
      </c>
    </row>
    <row r="1901" spans="1:27" ht="19.5" thickBot="1" x14ac:dyDescent="0.25">
      <c r="A1901" s="2" t="s">
        <v>106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1036</v>
      </c>
      <c r="O1901" s="270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7" ht="14.25" thickBot="1" x14ac:dyDescent="0.2">
      <c r="A1902" s="5" t="s">
        <v>0</v>
      </c>
      <c r="B1902" s="342" t="s">
        <v>18</v>
      </c>
      <c r="C1902" s="350"/>
      <c r="D1902" s="350"/>
      <c r="E1902" s="350"/>
      <c r="F1902" s="351"/>
      <c r="G1902" s="345" t="s">
        <v>12</v>
      </c>
      <c r="H1902" s="352"/>
      <c r="I1902" s="352"/>
      <c r="J1902" s="352"/>
      <c r="K1902" s="353"/>
      <c r="L1902" s="354" t="s">
        <v>1</v>
      </c>
      <c r="N1902" s="5" t="s">
        <v>0</v>
      </c>
      <c r="O1902" s="342" t="s">
        <v>18</v>
      </c>
      <c r="P1902" s="343"/>
      <c r="Q1902" s="343"/>
      <c r="R1902" s="343"/>
      <c r="S1902" s="344"/>
      <c r="T1902" s="345" t="s">
        <v>12</v>
      </c>
      <c r="U1902" s="346"/>
      <c r="V1902" s="346"/>
      <c r="W1902" s="346"/>
      <c r="X1902" s="347"/>
      <c r="Y1902" s="348" t="s">
        <v>1</v>
      </c>
    </row>
    <row r="1903" spans="1:27" ht="14.25" thickBot="1" x14ac:dyDescent="0.2">
      <c r="A1903" s="5" t="s">
        <v>2</v>
      </c>
      <c r="B1903" s="3" t="s">
        <v>13</v>
      </c>
      <c r="C1903" s="44" t="s">
        <v>14</v>
      </c>
      <c r="D1903" s="4" t="s">
        <v>15</v>
      </c>
      <c r="E1903" s="23" t="s">
        <v>16</v>
      </c>
      <c r="F1903" s="31" t="s">
        <v>3</v>
      </c>
      <c r="G1903" s="3" t="s">
        <v>13</v>
      </c>
      <c r="H1903" s="44" t="s">
        <v>14</v>
      </c>
      <c r="I1903" s="4" t="s">
        <v>15</v>
      </c>
      <c r="J1903" s="23" t="s">
        <v>16</v>
      </c>
      <c r="K1903" s="31" t="s">
        <v>3</v>
      </c>
      <c r="L1903" s="355"/>
      <c r="N1903" s="5" t="s">
        <v>2</v>
      </c>
      <c r="O1903" s="3" t="s">
        <v>13</v>
      </c>
      <c r="P1903" s="44" t="s">
        <v>14</v>
      </c>
      <c r="Q1903" s="4" t="s">
        <v>15</v>
      </c>
      <c r="R1903" s="23" t="s">
        <v>16</v>
      </c>
      <c r="S1903" s="31" t="s">
        <v>3</v>
      </c>
      <c r="T1903" s="3" t="s">
        <v>13</v>
      </c>
      <c r="U1903" s="44" t="s">
        <v>14</v>
      </c>
      <c r="V1903" s="4" t="s">
        <v>15</v>
      </c>
      <c r="W1903" s="23" t="s">
        <v>16</v>
      </c>
      <c r="X1903" s="31" t="s">
        <v>3</v>
      </c>
      <c r="Y1903" s="349"/>
    </row>
    <row r="1904" spans="1:27" x14ac:dyDescent="0.15">
      <c r="A1904" s="71" t="s">
        <v>17</v>
      </c>
      <c r="B1904" s="72">
        <f>B1898</f>
        <v>4</v>
      </c>
      <c r="C1904" s="73">
        <f t="shared" ref="C1904:L1904" si="1582">C1898</f>
        <v>7</v>
      </c>
      <c r="D1904" s="73">
        <f t="shared" si="1582"/>
        <v>4</v>
      </c>
      <c r="E1904" s="74">
        <f t="shared" si="1582"/>
        <v>7</v>
      </c>
      <c r="F1904" s="76">
        <f>F1898</f>
        <v>18</v>
      </c>
      <c r="G1904" s="72">
        <f t="shared" si="1582"/>
        <v>6</v>
      </c>
      <c r="H1904" s="73">
        <f t="shared" si="1582"/>
        <v>7</v>
      </c>
      <c r="I1904" s="73">
        <f t="shared" si="1582"/>
        <v>7</v>
      </c>
      <c r="J1904" s="74">
        <f t="shared" si="1582"/>
        <v>5</v>
      </c>
      <c r="K1904" s="75">
        <f t="shared" si="1582"/>
        <v>25</v>
      </c>
      <c r="L1904" s="16">
        <f t="shared" si="1582"/>
        <v>43</v>
      </c>
      <c r="N1904" s="71" t="s">
        <v>17</v>
      </c>
      <c r="O1904" s="72">
        <f>O1898</f>
        <v>329</v>
      </c>
      <c r="P1904" s="73">
        <f t="shared" ref="P1904:Y1904" si="1583">P1898</f>
        <v>320</v>
      </c>
      <c r="Q1904" s="73">
        <f t="shared" si="1583"/>
        <v>190</v>
      </c>
      <c r="R1904" s="74">
        <f t="shared" si="1583"/>
        <v>221</v>
      </c>
      <c r="S1904" s="76">
        <f t="shared" si="1583"/>
        <v>1060</v>
      </c>
      <c r="T1904" s="72">
        <f t="shared" si="1583"/>
        <v>640</v>
      </c>
      <c r="U1904" s="73">
        <f t="shared" si="1583"/>
        <v>756</v>
      </c>
      <c r="V1904" s="73">
        <f t="shared" si="1583"/>
        <v>489</v>
      </c>
      <c r="W1904" s="74">
        <f t="shared" si="1583"/>
        <v>393</v>
      </c>
      <c r="X1904" s="75">
        <f t="shared" si="1583"/>
        <v>2278</v>
      </c>
      <c r="Y1904" s="16">
        <f t="shared" si="1583"/>
        <v>3338</v>
      </c>
    </row>
    <row r="1905" spans="1:28" x14ac:dyDescent="0.15">
      <c r="A1905" s="13" t="s">
        <v>166</v>
      </c>
      <c r="B1905" s="26">
        <v>3</v>
      </c>
      <c r="C1905" s="47">
        <v>3</v>
      </c>
      <c r="D1905" s="27">
        <v>3</v>
      </c>
      <c r="E1905" s="50">
        <v>2</v>
      </c>
      <c r="F1905" s="9">
        <f>SUM(B1905:E1905)</f>
        <v>11</v>
      </c>
      <c r="G1905" s="47">
        <v>6</v>
      </c>
      <c r="H1905" s="47">
        <v>2</v>
      </c>
      <c r="I1905" s="27">
        <v>2</v>
      </c>
      <c r="J1905" s="50">
        <v>2</v>
      </c>
      <c r="K1905" s="9">
        <f>SUM(G1905:J1905)</f>
        <v>12</v>
      </c>
      <c r="L1905" s="11">
        <f t="shared" ref="L1905:L1936" si="1584">F1905+K1905</f>
        <v>23</v>
      </c>
      <c r="M1905" s="126">
        <v>45708</v>
      </c>
      <c r="N1905" s="13" t="s">
        <v>1567</v>
      </c>
      <c r="O1905" s="26"/>
      <c r="P1905" s="47"/>
      <c r="Q1905" s="27">
        <v>70</v>
      </c>
      <c r="R1905" s="34"/>
      <c r="S1905" s="77">
        <f t="shared" ref="S1905:S1908" si="1585">SUM(O1905:R1905)</f>
        <v>70</v>
      </c>
      <c r="T1905" s="26"/>
      <c r="U1905" s="47"/>
      <c r="V1905" s="27"/>
      <c r="W1905" s="34"/>
      <c r="X1905" s="9">
        <f t="shared" ref="X1905:X1908" si="1586">SUM(T1905:W1905)</f>
        <v>0</v>
      </c>
      <c r="Y1905" s="11">
        <f t="shared" ref="Y1905:Y1936" si="1587">S1905+X1905</f>
        <v>70</v>
      </c>
      <c r="Z1905" s="99" t="s">
        <v>1630</v>
      </c>
      <c r="AA1905" s="58" t="s">
        <v>1594</v>
      </c>
      <c r="AB1905" s="58"/>
    </row>
    <row r="1906" spans="1:28" x14ac:dyDescent="0.15">
      <c r="A1906" s="13" t="s">
        <v>49</v>
      </c>
      <c r="B1906" s="26">
        <v>1</v>
      </c>
      <c r="C1906" s="47">
        <v>3</v>
      </c>
      <c r="D1906" s="27">
        <v>1</v>
      </c>
      <c r="E1906" s="50">
        <v>2</v>
      </c>
      <c r="F1906" s="9">
        <f>SUM(B1906:E1906)</f>
        <v>7</v>
      </c>
      <c r="G1906" s="47">
        <v>1</v>
      </c>
      <c r="H1906" s="47">
        <f>4+1</f>
        <v>5</v>
      </c>
      <c r="I1906" s="27">
        <v>1</v>
      </c>
      <c r="J1906" s="50">
        <v>1</v>
      </c>
      <c r="K1906" s="9">
        <f>SUM(G1906:J1906)</f>
        <v>8</v>
      </c>
      <c r="L1906" s="11">
        <f t="shared" si="1584"/>
        <v>15</v>
      </c>
      <c r="M1906" s="126">
        <v>45716</v>
      </c>
      <c r="N1906" s="13" t="s">
        <v>6</v>
      </c>
      <c r="O1906" s="26"/>
      <c r="P1906" s="47"/>
      <c r="Q1906" s="27"/>
      <c r="R1906" s="34"/>
      <c r="S1906" s="77">
        <f t="shared" ref="S1906:S1907" si="1588">SUM(O1906:R1906)</f>
        <v>0</v>
      </c>
      <c r="T1906" s="26"/>
      <c r="U1906" s="47"/>
      <c r="V1906" s="27"/>
      <c r="W1906" s="34"/>
      <c r="X1906" s="9">
        <f t="shared" ref="X1906:X1907" si="1589">SUM(T1906:W1906)</f>
        <v>0</v>
      </c>
      <c r="Y1906" s="11">
        <f t="shared" ref="Y1906:Y1907" si="1590">S1906+X1906</f>
        <v>0</v>
      </c>
    </row>
    <row r="1907" spans="1:28" x14ac:dyDescent="0.15">
      <c r="A1907" s="13" t="s">
        <v>7</v>
      </c>
      <c r="B1907" s="26">
        <v>3</v>
      </c>
      <c r="C1907" s="47"/>
      <c r="D1907" s="27">
        <v>3</v>
      </c>
      <c r="E1907" s="50"/>
      <c r="F1907" s="9">
        <f>SUM(B1907:E1907)</f>
        <v>6</v>
      </c>
      <c r="G1907" s="47"/>
      <c r="H1907" s="47"/>
      <c r="I1907" s="27"/>
      <c r="J1907" s="50">
        <v>3</v>
      </c>
      <c r="K1907" s="9">
        <f>SUM(G1907:J1907)</f>
        <v>3</v>
      </c>
      <c r="L1907" s="11">
        <f t="shared" si="1584"/>
        <v>9</v>
      </c>
      <c r="M1907" s="99">
        <v>45723</v>
      </c>
      <c r="N1907" s="13" t="s">
        <v>7</v>
      </c>
      <c r="O1907" s="26"/>
      <c r="P1907" s="47"/>
      <c r="Q1907" s="27"/>
      <c r="R1907" s="34"/>
      <c r="S1907" s="77">
        <f t="shared" si="1588"/>
        <v>0</v>
      </c>
      <c r="T1907" s="26"/>
      <c r="U1907" s="47"/>
      <c r="V1907" s="27"/>
      <c r="W1907" s="34"/>
      <c r="X1907" s="9">
        <f t="shared" si="1589"/>
        <v>0</v>
      </c>
      <c r="Y1907" s="11">
        <f t="shared" si="1590"/>
        <v>0</v>
      </c>
    </row>
    <row r="1908" spans="1:28" ht="14.25" thickBot="1" x14ac:dyDescent="0.2">
      <c r="A1908" s="13" t="s">
        <v>727</v>
      </c>
      <c r="B1908" s="26">
        <v>1</v>
      </c>
      <c r="C1908" s="47">
        <v>7</v>
      </c>
      <c r="D1908" s="27">
        <v>-1</v>
      </c>
      <c r="E1908" s="50">
        <v>3</v>
      </c>
      <c r="F1908" s="10">
        <f>SUM(B1908:E1908)</f>
        <v>10</v>
      </c>
      <c r="G1908" s="47">
        <v>5</v>
      </c>
      <c r="H1908" s="47">
        <v>2</v>
      </c>
      <c r="I1908" s="27">
        <v>1</v>
      </c>
      <c r="J1908" s="50">
        <v>1</v>
      </c>
      <c r="K1908" s="10">
        <f>SUM(G1908:J1908)</f>
        <v>9</v>
      </c>
      <c r="L1908" s="14">
        <f t="shared" si="1584"/>
        <v>19</v>
      </c>
      <c r="M1908" s="126"/>
      <c r="N1908" s="13" t="s">
        <v>8</v>
      </c>
      <c r="O1908" s="26"/>
      <c r="P1908" s="47"/>
      <c r="Q1908" s="27"/>
      <c r="R1908" s="34"/>
      <c r="S1908" s="77">
        <f t="shared" si="1585"/>
        <v>0</v>
      </c>
      <c r="T1908" s="26"/>
      <c r="U1908" s="47"/>
      <c r="V1908" s="27"/>
      <c r="W1908" s="34"/>
      <c r="X1908" s="9">
        <f t="shared" si="1586"/>
        <v>0</v>
      </c>
      <c r="Y1908" s="11">
        <f t="shared" si="1587"/>
        <v>0</v>
      </c>
    </row>
    <row r="1909" spans="1:28" ht="14.25" thickBot="1" x14ac:dyDescent="0.2">
      <c r="A1909" s="22" t="s">
        <v>9</v>
      </c>
      <c r="B1909" s="51">
        <f t="shared" ref="B1909:K1909" si="1591">SUM(B1904:B1908)</f>
        <v>12</v>
      </c>
      <c r="C1909" s="52">
        <f t="shared" si="1591"/>
        <v>20</v>
      </c>
      <c r="D1909" s="53">
        <f t="shared" si="1591"/>
        <v>10</v>
      </c>
      <c r="E1909" s="54">
        <f t="shared" si="1591"/>
        <v>14</v>
      </c>
      <c r="F1909" s="28">
        <f t="shared" si="1591"/>
        <v>52</v>
      </c>
      <c r="G1909" s="51">
        <f t="shared" si="1591"/>
        <v>18</v>
      </c>
      <c r="H1909" s="52">
        <f t="shared" si="1591"/>
        <v>16</v>
      </c>
      <c r="I1909" s="53">
        <f t="shared" si="1591"/>
        <v>11</v>
      </c>
      <c r="J1909" s="54">
        <f t="shared" si="1591"/>
        <v>12</v>
      </c>
      <c r="K1909" s="28">
        <f t="shared" si="1591"/>
        <v>57</v>
      </c>
      <c r="L1909" s="21">
        <f t="shared" si="1584"/>
        <v>109</v>
      </c>
      <c r="N1909" s="17" t="s">
        <v>9</v>
      </c>
      <c r="O1909" s="41">
        <f>SUM(O1904:O1908)</f>
        <v>329</v>
      </c>
      <c r="P1909" s="49">
        <f t="shared" ref="P1909:V1909" si="1592">SUM(P1904:P1908)</f>
        <v>320</v>
      </c>
      <c r="Q1909" s="42">
        <f t="shared" si="1592"/>
        <v>260</v>
      </c>
      <c r="R1909" s="92">
        <f t="shared" si="1592"/>
        <v>221</v>
      </c>
      <c r="S1909" s="93">
        <f t="shared" si="1592"/>
        <v>1130</v>
      </c>
      <c r="T1909" s="41">
        <f t="shared" si="1592"/>
        <v>640</v>
      </c>
      <c r="U1909" s="49">
        <f t="shared" si="1592"/>
        <v>756</v>
      </c>
      <c r="V1909" s="42">
        <f t="shared" si="1592"/>
        <v>489</v>
      </c>
      <c r="W1909" s="92">
        <f>SUM(W1904:W1908)</f>
        <v>393</v>
      </c>
      <c r="X1909" s="93">
        <f t="shared" ref="X1909" si="1593">SUM(X1904:X1908)</f>
        <v>2278</v>
      </c>
      <c r="Y1909" s="56">
        <f t="shared" si="1587"/>
        <v>3408</v>
      </c>
    </row>
    <row r="1910" spans="1:28" x14ac:dyDescent="0.15">
      <c r="A1910" s="32" t="s">
        <v>41</v>
      </c>
      <c r="B1910" s="24"/>
      <c r="C1910" s="46">
        <v>1</v>
      </c>
      <c r="D1910" s="25"/>
      <c r="E1910" s="33"/>
      <c r="F1910" s="35">
        <f>SUM(B1910:E1910)</f>
        <v>1</v>
      </c>
      <c r="G1910" s="24"/>
      <c r="H1910" s="46"/>
      <c r="I1910" s="25"/>
      <c r="J1910" s="33"/>
      <c r="K1910" s="35">
        <f>SUM(G1910:J1910)</f>
        <v>0</v>
      </c>
      <c r="L1910" s="11">
        <f t="shared" si="1584"/>
        <v>1</v>
      </c>
      <c r="M1910" s="126">
        <v>45713</v>
      </c>
      <c r="N1910" s="12" t="s">
        <v>1580</v>
      </c>
      <c r="O1910" s="26">
        <v>4</v>
      </c>
      <c r="P1910" s="47">
        <v>1</v>
      </c>
      <c r="Q1910" s="27">
        <v>3</v>
      </c>
      <c r="R1910" s="34"/>
      <c r="S1910" s="35">
        <f t="shared" ref="S1910:S1916" si="1594">SUM(O1910:R1910)</f>
        <v>8</v>
      </c>
      <c r="T1910" s="26"/>
      <c r="U1910" s="47"/>
      <c r="V1910" s="27"/>
      <c r="W1910" s="34">
        <v>3</v>
      </c>
      <c r="X1910" s="35">
        <f t="shared" ref="X1910:X1916" si="1595">SUM(T1910:W1910)</f>
        <v>3</v>
      </c>
      <c r="Y1910" s="11">
        <f t="shared" si="1587"/>
        <v>11</v>
      </c>
      <c r="Z1910" s="99">
        <v>45709</v>
      </c>
      <c r="AA1910" s="58"/>
    </row>
    <row r="1911" spans="1:28" x14ac:dyDescent="0.15">
      <c r="A1911" s="32" t="s">
        <v>41</v>
      </c>
      <c r="B1911" s="26"/>
      <c r="C1911" s="47"/>
      <c r="D1911" s="27"/>
      <c r="E1911" s="34">
        <v>1</v>
      </c>
      <c r="F1911" s="35">
        <f>SUM(B1911:E1911)</f>
        <v>1</v>
      </c>
      <c r="G1911" s="26">
        <v>-1</v>
      </c>
      <c r="H1911" s="47"/>
      <c r="I1911" s="27"/>
      <c r="J1911" s="34"/>
      <c r="K1911" s="35">
        <f>SUM(G1911:J1911)</f>
        <v>-1</v>
      </c>
      <c r="L1911" s="11">
        <f t="shared" si="1584"/>
        <v>0</v>
      </c>
      <c r="M1911" s="126">
        <v>45714</v>
      </c>
      <c r="N1911" s="57" t="s">
        <v>1585</v>
      </c>
      <c r="O1911" s="26"/>
      <c r="P1911" s="47"/>
      <c r="Q1911" s="27">
        <v>2</v>
      </c>
      <c r="R1911" s="34"/>
      <c r="S1911" s="35">
        <f t="shared" si="1594"/>
        <v>2</v>
      </c>
      <c r="T1911" s="26"/>
      <c r="U1911" s="47"/>
      <c r="V1911" s="27">
        <v>3</v>
      </c>
      <c r="W1911" s="34"/>
      <c r="X1911" s="35">
        <f t="shared" si="1595"/>
        <v>3</v>
      </c>
      <c r="Y1911" s="11">
        <f t="shared" si="1587"/>
        <v>5</v>
      </c>
      <c r="Z1911" s="99">
        <v>45708</v>
      </c>
      <c r="AA1911" s="58"/>
    </row>
    <row r="1912" spans="1:28" x14ac:dyDescent="0.15">
      <c r="A1912" s="13" t="s">
        <v>284</v>
      </c>
      <c r="B1912" s="26">
        <v>4</v>
      </c>
      <c r="C1912" s="47">
        <v>6</v>
      </c>
      <c r="D1912" s="27">
        <v>4</v>
      </c>
      <c r="E1912" s="34">
        <v>4</v>
      </c>
      <c r="F1912" s="35">
        <f t="shared" ref="F1912:F1933" si="1596">SUM(B1912:E1912)</f>
        <v>18</v>
      </c>
      <c r="G1912" s="26">
        <v>7</v>
      </c>
      <c r="H1912" s="47">
        <v>3</v>
      </c>
      <c r="I1912" s="27">
        <v>3</v>
      </c>
      <c r="J1912" s="34">
        <v>3</v>
      </c>
      <c r="K1912" s="35">
        <f t="shared" ref="K1912:K1933" si="1597">SUM(G1912:J1912)</f>
        <v>16</v>
      </c>
      <c r="L1912" s="11">
        <f t="shared" si="1584"/>
        <v>34</v>
      </c>
      <c r="M1912" s="126">
        <v>45717</v>
      </c>
      <c r="N1912" s="12" t="s">
        <v>1588</v>
      </c>
      <c r="O1912" s="26">
        <v>5</v>
      </c>
      <c r="P1912" s="47">
        <v>1</v>
      </c>
      <c r="Q1912" s="27">
        <v>1</v>
      </c>
      <c r="R1912" s="34"/>
      <c r="S1912" s="35">
        <f t="shared" si="1594"/>
        <v>7</v>
      </c>
      <c r="T1912" s="26"/>
      <c r="U1912" s="47"/>
      <c r="V1912" s="27"/>
      <c r="W1912" s="34"/>
      <c r="X1912" s="35">
        <f t="shared" si="1595"/>
        <v>0</v>
      </c>
      <c r="Y1912" s="11">
        <f t="shared" si="1587"/>
        <v>7</v>
      </c>
      <c r="Z1912" s="99">
        <v>45709</v>
      </c>
      <c r="AA1912" s="58"/>
    </row>
    <row r="1913" spans="1:28" x14ac:dyDescent="0.15">
      <c r="A1913" s="32" t="s">
        <v>41</v>
      </c>
      <c r="B1913" s="66"/>
      <c r="C1913" s="67"/>
      <c r="D1913" s="68"/>
      <c r="E1913" s="69">
        <v>1</v>
      </c>
      <c r="F1913" s="70">
        <f t="shared" si="1596"/>
        <v>1</v>
      </c>
      <c r="G1913" s="66"/>
      <c r="H1913" s="67"/>
      <c r="I1913" s="68"/>
      <c r="J1913" s="69"/>
      <c r="K1913" s="70">
        <f t="shared" si="1597"/>
        <v>0</v>
      </c>
      <c r="L1913" s="11">
        <f t="shared" si="1584"/>
        <v>1</v>
      </c>
      <c r="M1913" s="126">
        <v>45717</v>
      </c>
      <c r="N1913" s="57" t="s">
        <v>1587</v>
      </c>
      <c r="O1913" s="26"/>
      <c r="P1913" s="47">
        <v>12</v>
      </c>
      <c r="Q1913" s="27"/>
      <c r="R1913" s="34"/>
      <c r="S1913" s="35">
        <f t="shared" si="1594"/>
        <v>12</v>
      </c>
      <c r="T1913" s="26"/>
      <c r="U1913" s="47"/>
      <c r="V1913" s="27">
        <v>1</v>
      </c>
      <c r="W1913" s="34"/>
      <c r="X1913" s="35">
        <f t="shared" si="1595"/>
        <v>1</v>
      </c>
      <c r="Y1913" s="11">
        <f t="shared" si="1587"/>
        <v>13</v>
      </c>
      <c r="Z1913" s="99">
        <v>45709</v>
      </c>
      <c r="AA1913" s="58"/>
    </row>
    <row r="1914" spans="1:28" x14ac:dyDescent="0.15">
      <c r="A1914" s="32" t="s">
        <v>41</v>
      </c>
      <c r="B1914" s="26"/>
      <c r="C1914" s="47"/>
      <c r="D1914" s="27"/>
      <c r="E1914" s="34"/>
      <c r="F1914" s="35">
        <f t="shared" si="1596"/>
        <v>0</v>
      </c>
      <c r="G1914" s="26"/>
      <c r="H1914" s="47"/>
      <c r="I1914" s="27">
        <v>1</v>
      </c>
      <c r="J1914" s="34"/>
      <c r="K1914" s="35">
        <f t="shared" si="1597"/>
        <v>1</v>
      </c>
      <c r="L1914" s="11">
        <f t="shared" si="1584"/>
        <v>1</v>
      </c>
      <c r="M1914" s="126">
        <v>45719</v>
      </c>
      <c r="N1914" s="57" t="s">
        <v>1589</v>
      </c>
      <c r="O1914" s="26">
        <v>45</v>
      </c>
      <c r="P1914" s="47">
        <v>20</v>
      </c>
      <c r="Q1914" s="27">
        <v>30</v>
      </c>
      <c r="R1914" s="34">
        <v>10</v>
      </c>
      <c r="S1914" s="35">
        <f t="shared" si="1594"/>
        <v>105</v>
      </c>
      <c r="T1914" s="26">
        <v>20</v>
      </c>
      <c r="U1914" s="47">
        <v>5</v>
      </c>
      <c r="V1914" s="27">
        <v>10</v>
      </c>
      <c r="W1914" s="34"/>
      <c r="X1914" s="35">
        <f t="shared" si="1595"/>
        <v>35</v>
      </c>
      <c r="Y1914" s="11">
        <f t="shared" si="1587"/>
        <v>140</v>
      </c>
      <c r="Z1914" s="99">
        <v>45709</v>
      </c>
      <c r="AA1914" s="58"/>
    </row>
    <row r="1915" spans="1:28" x14ac:dyDescent="0.15">
      <c r="A1915" s="12" t="s">
        <v>1601</v>
      </c>
      <c r="B1915" s="26"/>
      <c r="C1915" s="47"/>
      <c r="D1915" s="27"/>
      <c r="E1915" s="34"/>
      <c r="F1915" s="35">
        <f t="shared" si="1596"/>
        <v>0</v>
      </c>
      <c r="G1915" s="26"/>
      <c r="H1915" s="47"/>
      <c r="I1915" s="27">
        <v>1</v>
      </c>
      <c r="J1915" s="34"/>
      <c r="K1915" s="35">
        <f t="shared" si="1597"/>
        <v>1</v>
      </c>
      <c r="L1915" s="11">
        <f t="shared" si="1584"/>
        <v>1</v>
      </c>
      <c r="M1915" s="99">
        <v>45722</v>
      </c>
      <c r="N1915" s="12" t="s">
        <v>1590</v>
      </c>
      <c r="O1915" s="26"/>
      <c r="P1915" s="47">
        <v>1</v>
      </c>
      <c r="Q1915" s="27">
        <v>3</v>
      </c>
      <c r="R1915" s="34">
        <v>2</v>
      </c>
      <c r="S1915" s="35">
        <f t="shared" si="1594"/>
        <v>6</v>
      </c>
      <c r="T1915" s="26"/>
      <c r="U1915" s="47"/>
      <c r="V1915" s="27">
        <v>1</v>
      </c>
      <c r="W1915" s="34">
        <v>1</v>
      </c>
      <c r="X1915" s="35">
        <f t="shared" si="1595"/>
        <v>2</v>
      </c>
      <c r="Y1915" s="11">
        <f t="shared" si="1587"/>
        <v>8</v>
      </c>
      <c r="Z1915" s="99">
        <v>45713</v>
      </c>
      <c r="AA1915" s="58"/>
    </row>
    <row r="1916" spans="1:28" x14ac:dyDescent="0.15">
      <c r="A1916" s="13" t="s">
        <v>1605</v>
      </c>
      <c r="B1916" s="26"/>
      <c r="C1916" s="47"/>
      <c r="D1916" s="27">
        <v>2</v>
      </c>
      <c r="E1916" s="34"/>
      <c r="F1916" s="35">
        <f t="shared" si="1596"/>
        <v>2</v>
      </c>
      <c r="G1916" s="26"/>
      <c r="H1916" s="47"/>
      <c r="I1916" s="27"/>
      <c r="J1916" s="34"/>
      <c r="K1916" s="35">
        <f t="shared" si="1597"/>
        <v>0</v>
      </c>
      <c r="L1916" s="11">
        <f t="shared" si="1584"/>
        <v>2</v>
      </c>
      <c r="M1916" s="99">
        <v>45723</v>
      </c>
      <c r="N1916" s="57" t="s">
        <v>1591</v>
      </c>
      <c r="O1916" s="26">
        <v>3</v>
      </c>
      <c r="P1916" s="47">
        <v>4</v>
      </c>
      <c r="Q1916" s="27">
        <v>3</v>
      </c>
      <c r="R1916" s="34">
        <v>3</v>
      </c>
      <c r="S1916" s="35">
        <f t="shared" si="1594"/>
        <v>13</v>
      </c>
      <c r="T1916" s="26"/>
      <c r="U1916" s="47"/>
      <c r="V1916" s="27"/>
      <c r="W1916" s="34"/>
      <c r="X1916" s="35">
        <f t="shared" si="1595"/>
        <v>0</v>
      </c>
      <c r="Y1916" s="11">
        <f t="shared" si="1587"/>
        <v>13</v>
      </c>
      <c r="Z1916" s="99">
        <v>45710</v>
      </c>
      <c r="AA1916" s="58"/>
    </row>
    <row r="1917" spans="1:28" x14ac:dyDescent="0.15">
      <c r="A1917" s="32" t="s">
        <v>41</v>
      </c>
      <c r="B1917" s="26"/>
      <c r="C1917" s="47"/>
      <c r="D1917" s="27"/>
      <c r="E1917" s="34"/>
      <c r="F1917" s="35">
        <f t="shared" si="1596"/>
        <v>0</v>
      </c>
      <c r="G1917" s="26"/>
      <c r="H1917" s="47"/>
      <c r="I1917" s="27"/>
      <c r="J1917" s="34">
        <f>1+1+1</f>
        <v>3</v>
      </c>
      <c r="K1917" s="35">
        <f t="shared" si="1597"/>
        <v>3</v>
      </c>
      <c r="L1917" s="11">
        <f t="shared" si="1584"/>
        <v>3</v>
      </c>
      <c r="M1917" s="99">
        <v>45721</v>
      </c>
      <c r="N1917" s="57" t="s">
        <v>1592</v>
      </c>
      <c r="O1917" s="26">
        <v>30</v>
      </c>
      <c r="P1917" s="47"/>
      <c r="Q1917" s="27"/>
      <c r="R1917" s="50"/>
      <c r="S1917" s="9">
        <f>SUM(O1917:R1917)</f>
        <v>30</v>
      </c>
      <c r="T1917" s="47"/>
      <c r="U1917" s="47"/>
      <c r="V1917" s="27"/>
      <c r="W1917" s="50"/>
      <c r="X1917" s="9">
        <f>SUM(T1917:W1917)</f>
        <v>0</v>
      </c>
      <c r="Y1917" s="11">
        <f t="shared" si="1587"/>
        <v>30</v>
      </c>
      <c r="Z1917" s="99">
        <v>45710</v>
      </c>
      <c r="AA1917" s="58"/>
    </row>
    <row r="1918" spans="1:28" x14ac:dyDescent="0.15">
      <c r="A1918" s="32" t="s">
        <v>41</v>
      </c>
      <c r="B1918" s="26">
        <f>1+1</f>
        <v>2</v>
      </c>
      <c r="C1918" s="47"/>
      <c r="D1918" s="27"/>
      <c r="E1918" s="34"/>
      <c r="F1918" s="35">
        <f t="shared" si="1596"/>
        <v>2</v>
      </c>
      <c r="G1918" s="26">
        <v>1</v>
      </c>
      <c r="H1918" s="47"/>
      <c r="I1918" s="27"/>
      <c r="J1918" s="34"/>
      <c r="K1918" s="35">
        <f t="shared" si="1597"/>
        <v>1</v>
      </c>
      <c r="L1918" s="11">
        <f t="shared" si="1584"/>
        <v>3</v>
      </c>
      <c r="M1918" s="126">
        <v>45722</v>
      </c>
      <c r="N1918" s="12" t="s">
        <v>1593</v>
      </c>
      <c r="O1918" s="26">
        <v>3</v>
      </c>
      <c r="P1918" s="47">
        <v>12</v>
      </c>
      <c r="Q1918" s="27"/>
      <c r="R1918" s="34"/>
      <c r="S1918" s="35">
        <f t="shared" ref="S1918:S1935" si="1598">SUM(O1918:R1918)</f>
        <v>15</v>
      </c>
      <c r="T1918" s="26">
        <v>1</v>
      </c>
      <c r="U1918" s="47">
        <v>4</v>
      </c>
      <c r="V1918" s="27"/>
      <c r="W1918" s="34"/>
      <c r="X1918" s="35">
        <f t="shared" ref="X1918:X1935" si="1599">SUM(T1918:W1918)</f>
        <v>5</v>
      </c>
      <c r="Y1918" s="11">
        <f t="shared" si="1587"/>
        <v>20</v>
      </c>
      <c r="Z1918" s="99">
        <v>45715</v>
      </c>
    </row>
    <row r="1919" spans="1:28" x14ac:dyDescent="0.15">
      <c r="A1919" s="32" t="s">
        <v>41</v>
      </c>
      <c r="B1919" s="26"/>
      <c r="C1919" s="47"/>
      <c r="D1919" s="27"/>
      <c r="E1919" s="34"/>
      <c r="F1919" s="35">
        <f t="shared" si="1596"/>
        <v>0</v>
      </c>
      <c r="G1919" s="26">
        <v>1</v>
      </c>
      <c r="H1919" s="47"/>
      <c r="I1919" s="27"/>
      <c r="J1919" s="34"/>
      <c r="K1919" s="35">
        <f t="shared" si="1597"/>
        <v>1</v>
      </c>
      <c r="L1919" s="11">
        <f t="shared" si="1584"/>
        <v>1</v>
      </c>
      <c r="M1919" s="126">
        <v>45726</v>
      </c>
      <c r="N1919" s="12" t="s">
        <v>1596</v>
      </c>
      <c r="O1919" s="26">
        <v>4</v>
      </c>
      <c r="P1919" s="47"/>
      <c r="Q1919" s="27"/>
      <c r="R1919" s="34">
        <v>1</v>
      </c>
      <c r="S1919" s="35">
        <f t="shared" si="1598"/>
        <v>5</v>
      </c>
      <c r="T1919" s="26"/>
      <c r="U1919" s="47">
        <v>2</v>
      </c>
      <c r="V1919" s="27"/>
      <c r="W1919" s="34"/>
      <c r="X1919" s="35">
        <f t="shared" si="1599"/>
        <v>2</v>
      </c>
      <c r="Y1919" s="11">
        <f t="shared" si="1587"/>
        <v>7</v>
      </c>
      <c r="Z1919" s="99">
        <v>45716</v>
      </c>
    </row>
    <row r="1920" spans="1:28" x14ac:dyDescent="0.15">
      <c r="A1920" s="32" t="s">
        <v>41</v>
      </c>
      <c r="B1920" s="26">
        <v>1</v>
      </c>
      <c r="C1920" s="47"/>
      <c r="D1920" s="27"/>
      <c r="E1920" s="34"/>
      <c r="F1920" s="35">
        <f t="shared" si="1596"/>
        <v>1</v>
      </c>
      <c r="G1920" s="26"/>
      <c r="H1920" s="47"/>
      <c r="I1920" s="27"/>
      <c r="J1920" s="34"/>
      <c r="K1920" s="35">
        <f t="shared" si="1597"/>
        <v>0</v>
      </c>
      <c r="L1920" s="11">
        <f t="shared" si="1584"/>
        <v>1</v>
      </c>
      <c r="M1920" s="126">
        <v>45729</v>
      </c>
      <c r="N1920" s="12" t="s">
        <v>1597</v>
      </c>
      <c r="O1920" s="26"/>
      <c r="P1920" s="47"/>
      <c r="Q1920" s="27">
        <v>2</v>
      </c>
      <c r="R1920" s="34"/>
      <c r="S1920" s="35">
        <f t="shared" si="1598"/>
        <v>2</v>
      </c>
      <c r="T1920" s="26"/>
      <c r="U1920" s="47"/>
      <c r="V1920" s="27"/>
      <c r="W1920" s="34"/>
      <c r="X1920" s="35">
        <f t="shared" si="1599"/>
        <v>0</v>
      </c>
      <c r="Y1920" s="11">
        <f t="shared" si="1587"/>
        <v>2</v>
      </c>
      <c r="Z1920" s="99">
        <v>45716</v>
      </c>
      <c r="AA1920" s="58"/>
    </row>
    <row r="1921" spans="1:28" x14ac:dyDescent="0.15">
      <c r="A1921" s="32" t="s">
        <v>41</v>
      </c>
      <c r="B1921" s="26"/>
      <c r="C1921" s="47"/>
      <c r="D1921" s="27"/>
      <c r="E1921" s="34"/>
      <c r="F1921" s="35">
        <f t="shared" si="1596"/>
        <v>0</v>
      </c>
      <c r="G1921" s="26"/>
      <c r="H1921" s="47">
        <v>2</v>
      </c>
      <c r="I1921" s="27"/>
      <c r="J1921" s="34"/>
      <c r="K1921" s="35">
        <f t="shared" si="1597"/>
        <v>2</v>
      </c>
      <c r="L1921" s="11">
        <f t="shared" si="1584"/>
        <v>2</v>
      </c>
      <c r="M1921" s="126">
        <v>45730</v>
      </c>
      <c r="N1921" s="12" t="s">
        <v>1598</v>
      </c>
      <c r="O1921" s="26">
        <v>5</v>
      </c>
      <c r="P1921" s="47">
        <v>5</v>
      </c>
      <c r="Q1921" s="27">
        <v>5</v>
      </c>
      <c r="R1921" s="34">
        <v>5</v>
      </c>
      <c r="S1921" s="35">
        <f t="shared" si="1598"/>
        <v>20</v>
      </c>
      <c r="T1921" s="26">
        <v>5</v>
      </c>
      <c r="U1921" s="47">
        <v>5</v>
      </c>
      <c r="V1921" s="27">
        <v>5</v>
      </c>
      <c r="W1921" s="34">
        <v>5</v>
      </c>
      <c r="X1921" s="35">
        <f t="shared" si="1599"/>
        <v>20</v>
      </c>
      <c r="Y1921" s="11">
        <f t="shared" si="1587"/>
        <v>40</v>
      </c>
      <c r="Z1921" s="99">
        <v>45717</v>
      </c>
      <c r="AA1921" s="58"/>
    </row>
    <row r="1922" spans="1:28" x14ac:dyDescent="0.15">
      <c r="A1922" s="32" t="s">
        <v>41</v>
      </c>
      <c r="B1922" s="26"/>
      <c r="C1922" s="47"/>
      <c r="D1922" s="27"/>
      <c r="E1922" s="34"/>
      <c r="F1922" s="35">
        <f t="shared" si="1596"/>
        <v>0</v>
      </c>
      <c r="G1922" s="26"/>
      <c r="H1922" s="47"/>
      <c r="I1922" s="27"/>
      <c r="J1922" s="34">
        <v>1</v>
      </c>
      <c r="K1922" s="35">
        <f t="shared" si="1597"/>
        <v>1</v>
      </c>
      <c r="L1922" s="11">
        <f t="shared" si="1584"/>
        <v>1</v>
      </c>
      <c r="M1922" s="126">
        <v>45733</v>
      </c>
      <c r="N1922" s="12" t="s">
        <v>1599</v>
      </c>
      <c r="O1922" s="26">
        <v>10</v>
      </c>
      <c r="P1922" s="47">
        <v>10</v>
      </c>
      <c r="Q1922" s="27">
        <v>10</v>
      </c>
      <c r="R1922" s="34">
        <v>10</v>
      </c>
      <c r="S1922" s="35">
        <f t="shared" ref="S1922:S1924" si="1600">SUM(O1922:R1922)</f>
        <v>40</v>
      </c>
      <c r="T1922" s="26">
        <v>10</v>
      </c>
      <c r="U1922" s="47">
        <v>10</v>
      </c>
      <c r="V1922" s="27">
        <v>10</v>
      </c>
      <c r="W1922" s="34">
        <v>10</v>
      </c>
      <c r="X1922" s="35">
        <f t="shared" ref="X1922:X1924" si="1601">SUM(T1922:W1922)</f>
        <v>40</v>
      </c>
      <c r="Y1922" s="11">
        <f t="shared" ref="Y1922:Y1924" si="1602">S1922+X1922</f>
        <v>80</v>
      </c>
      <c r="Z1922" s="99">
        <v>45723</v>
      </c>
      <c r="AA1922" s="58"/>
    </row>
    <row r="1923" spans="1:28" x14ac:dyDescent="0.15">
      <c r="A1923" s="13"/>
      <c r="B1923" s="26"/>
      <c r="C1923" s="47"/>
      <c r="D1923" s="27"/>
      <c r="E1923" s="34"/>
      <c r="F1923" s="35">
        <f t="shared" si="1596"/>
        <v>0</v>
      </c>
      <c r="G1923" s="26"/>
      <c r="H1923" s="47"/>
      <c r="I1923" s="27"/>
      <c r="J1923" s="34"/>
      <c r="K1923" s="35">
        <f t="shared" si="1597"/>
        <v>0</v>
      </c>
      <c r="L1923" s="11">
        <f t="shared" si="1584"/>
        <v>0</v>
      </c>
      <c r="N1923" s="12" t="s">
        <v>1600</v>
      </c>
      <c r="O1923" s="26"/>
      <c r="P1923" s="47"/>
      <c r="Q1923" s="27"/>
      <c r="R1923" s="34">
        <v>2</v>
      </c>
      <c r="S1923" s="35">
        <f t="shared" si="1600"/>
        <v>2</v>
      </c>
      <c r="T1923" s="26">
        <v>4</v>
      </c>
      <c r="U1923" s="47"/>
      <c r="V1923" s="27">
        <v>1</v>
      </c>
      <c r="W1923" s="34"/>
      <c r="X1923" s="35">
        <f t="shared" si="1601"/>
        <v>5</v>
      </c>
      <c r="Y1923" s="11">
        <f t="shared" si="1602"/>
        <v>7</v>
      </c>
      <c r="Z1923" s="99">
        <v>45721</v>
      </c>
      <c r="AA1923" s="58"/>
      <c r="AB1923" s="58"/>
    </row>
    <row r="1924" spans="1:28" x14ac:dyDescent="0.15">
      <c r="A1924" s="15"/>
      <c r="B1924" s="26"/>
      <c r="C1924" s="47"/>
      <c r="D1924" s="27"/>
      <c r="E1924" s="34"/>
      <c r="F1924" s="35">
        <f t="shared" si="1596"/>
        <v>0</v>
      </c>
      <c r="G1924" s="26"/>
      <c r="H1924" s="47"/>
      <c r="I1924" s="27"/>
      <c r="J1924" s="34"/>
      <c r="K1924" s="35">
        <f t="shared" si="1597"/>
        <v>0</v>
      </c>
      <c r="L1924" s="11">
        <f t="shared" si="1584"/>
        <v>0</v>
      </c>
      <c r="N1924" s="12" t="s">
        <v>1602</v>
      </c>
      <c r="O1924" s="26"/>
      <c r="P1924" s="47"/>
      <c r="Q1924" s="27"/>
      <c r="R1924" s="34">
        <v>1</v>
      </c>
      <c r="S1924" s="35">
        <f t="shared" si="1600"/>
        <v>1</v>
      </c>
      <c r="T1924" s="26"/>
      <c r="U1924" s="47"/>
      <c r="V1924" s="27"/>
      <c r="W1924" s="34"/>
      <c r="X1924" s="35">
        <f t="shared" si="1601"/>
        <v>0</v>
      </c>
      <c r="Y1924" s="11">
        <f t="shared" si="1602"/>
        <v>1</v>
      </c>
      <c r="Z1924" s="99">
        <v>45723</v>
      </c>
      <c r="AA1924" s="58"/>
      <c r="AB1924" s="58"/>
    </row>
    <row r="1925" spans="1:28" x14ac:dyDescent="0.15">
      <c r="A1925" s="13"/>
      <c r="B1925" s="26"/>
      <c r="C1925" s="47"/>
      <c r="D1925" s="27"/>
      <c r="E1925" s="34"/>
      <c r="F1925" s="35">
        <f t="shared" si="1596"/>
        <v>0</v>
      </c>
      <c r="G1925" s="26"/>
      <c r="H1925" s="47"/>
      <c r="I1925" s="27"/>
      <c r="J1925" s="34"/>
      <c r="K1925" s="35">
        <f t="shared" si="1597"/>
        <v>0</v>
      </c>
      <c r="L1925" s="11">
        <f t="shared" si="1584"/>
        <v>0</v>
      </c>
      <c r="N1925" s="57" t="s">
        <v>1603</v>
      </c>
      <c r="O1925" s="26">
        <v>4</v>
      </c>
      <c r="P1925" s="47">
        <v>4</v>
      </c>
      <c r="Q1925" s="27"/>
      <c r="R1925" s="34"/>
      <c r="S1925" s="35">
        <f t="shared" si="1598"/>
        <v>8</v>
      </c>
      <c r="T1925" s="26">
        <v>4</v>
      </c>
      <c r="U1925" s="47">
        <v>4</v>
      </c>
      <c r="V1925" s="27"/>
      <c r="W1925" s="34"/>
      <c r="X1925" s="35">
        <f t="shared" si="1599"/>
        <v>8</v>
      </c>
      <c r="Y1925" s="11">
        <f t="shared" si="1587"/>
        <v>16</v>
      </c>
      <c r="Z1925" s="99">
        <v>45726</v>
      </c>
      <c r="AA1925" s="58"/>
      <c r="AB1925" s="58"/>
    </row>
    <row r="1926" spans="1:28" x14ac:dyDescent="0.15">
      <c r="A1926" s="15"/>
      <c r="B1926" s="26"/>
      <c r="C1926" s="47"/>
      <c r="D1926" s="27"/>
      <c r="E1926" s="34"/>
      <c r="F1926" s="35">
        <f t="shared" si="1596"/>
        <v>0</v>
      </c>
      <c r="G1926" s="26"/>
      <c r="H1926" s="47"/>
      <c r="I1926" s="27"/>
      <c r="J1926" s="34"/>
      <c r="K1926" s="35">
        <f t="shared" si="1597"/>
        <v>0</v>
      </c>
      <c r="L1926" s="11">
        <f t="shared" si="1584"/>
        <v>0</v>
      </c>
      <c r="N1926" s="57" t="s">
        <v>1604</v>
      </c>
      <c r="O1926" s="26">
        <v>6</v>
      </c>
      <c r="P1926" s="47"/>
      <c r="Q1926" s="27"/>
      <c r="R1926" s="34"/>
      <c r="S1926" s="35">
        <f t="shared" si="1598"/>
        <v>6</v>
      </c>
      <c r="T1926" s="26"/>
      <c r="U1926" s="47"/>
      <c r="V1926" s="27"/>
      <c r="W1926" s="34"/>
      <c r="X1926" s="35">
        <f t="shared" si="1599"/>
        <v>0</v>
      </c>
      <c r="Y1926" s="11">
        <f t="shared" si="1587"/>
        <v>6</v>
      </c>
      <c r="Z1926" s="99">
        <v>45726</v>
      </c>
      <c r="AA1926" s="58"/>
      <c r="AB1926" s="58"/>
    </row>
    <row r="1927" spans="1:28" x14ac:dyDescent="0.15">
      <c r="A1927" s="15"/>
      <c r="B1927" s="26"/>
      <c r="C1927" s="47"/>
      <c r="D1927" s="27"/>
      <c r="E1927" s="34"/>
      <c r="F1927" s="35">
        <f t="shared" si="1596"/>
        <v>0</v>
      </c>
      <c r="G1927" s="26"/>
      <c r="H1927" s="47"/>
      <c r="I1927" s="27"/>
      <c r="J1927" s="34"/>
      <c r="K1927" s="35">
        <f t="shared" si="1597"/>
        <v>0</v>
      </c>
      <c r="L1927" s="11">
        <f t="shared" si="1584"/>
        <v>0</v>
      </c>
      <c r="N1927" s="12" t="s">
        <v>1606</v>
      </c>
      <c r="O1927" s="26">
        <v>1</v>
      </c>
      <c r="P1927" s="47"/>
      <c r="Q1927" s="27"/>
      <c r="R1927" s="34">
        <v>1</v>
      </c>
      <c r="S1927" s="35">
        <f t="shared" ref="S1927" si="1603">SUM(O1927:R1927)</f>
        <v>2</v>
      </c>
      <c r="T1927" s="26"/>
      <c r="U1927" s="47"/>
      <c r="V1927" s="27"/>
      <c r="W1927" s="34">
        <v>1</v>
      </c>
      <c r="X1927" s="35">
        <f t="shared" ref="X1927" si="1604">SUM(T1927:W1927)</f>
        <v>1</v>
      </c>
      <c r="Y1927" s="11">
        <f t="shared" ref="Y1927:Y1929" si="1605">S1927+X1927</f>
        <v>3</v>
      </c>
      <c r="Z1927" s="99">
        <v>45723</v>
      </c>
    </row>
    <row r="1928" spans="1:28" x14ac:dyDescent="0.15">
      <c r="A1928" s="13"/>
      <c r="B1928" s="26"/>
      <c r="C1928" s="47"/>
      <c r="D1928" s="27"/>
      <c r="E1928" s="34"/>
      <c r="F1928" s="35">
        <f t="shared" si="1596"/>
        <v>0</v>
      </c>
      <c r="G1928" s="26"/>
      <c r="H1928" s="47"/>
      <c r="I1928" s="27"/>
      <c r="J1928" s="34"/>
      <c r="K1928" s="35">
        <f t="shared" si="1597"/>
        <v>0</v>
      </c>
      <c r="L1928" s="11">
        <f t="shared" si="1584"/>
        <v>0</v>
      </c>
      <c r="N1928" s="12" t="s">
        <v>34</v>
      </c>
      <c r="O1928" s="26">
        <v>3</v>
      </c>
      <c r="P1928" s="47"/>
      <c r="Q1928" s="27">
        <v>3</v>
      </c>
      <c r="R1928" s="34"/>
      <c r="S1928" s="35">
        <f>SUM(O1928:R1928)</f>
        <v>6</v>
      </c>
      <c r="T1928" s="26"/>
      <c r="U1928" s="47"/>
      <c r="V1928" s="27"/>
      <c r="W1928" s="34">
        <v>3</v>
      </c>
      <c r="X1928" s="35">
        <f>SUM(T1928:W1928)</f>
        <v>3</v>
      </c>
      <c r="Y1928" s="11">
        <f t="shared" si="1605"/>
        <v>9</v>
      </c>
      <c r="Z1928" s="99">
        <v>45723</v>
      </c>
    </row>
    <row r="1929" spans="1:28" x14ac:dyDescent="0.15">
      <c r="A1929" s="32"/>
      <c r="B1929" s="26"/>
      <c r="C1929" s="47"/>
      <c r="D1929" s="27"/>
      <c r="E1929" s="34"/>
      <c r="F1929" s="35">
        <f t="shared" si="1596"/>
        <v>0</v>
      </c>
      <c r="G1929" s="26"/>
      <c r="H1929" s="47"/>
      <c r="I1929" s="27"/>
      <c r="J1929" s="34"/>
      <c r="K1929" s="35">
        <f t="shared" si="1597"/>
        <v>0</v>
      </c>
      <c r="L1929" s="11">
        <f t="shared" si="1584"/>
        <v>0</v>
      </c>
      <c r="N1929" s="12" t="s">
        <v>1609</v>
      </c>
      <c r="O1929" s="26">
        <v>1</v>
      </c>
      <c r="P1929" s="47"/>
      <c r="Q1929" s="27"/>
      <c r="R1929" s="34"/>
      <c r="S1929" s="35">
        <f t="shared" ref="S1929" si="1606">SUM(O1929:R1929)</f>
        <v>1</v>
      </c>
      <c r="T1929" s="26"/>
      <c r="U1929" s="47"/>
      <c r="V1929" s="27"/>
      <c r="W1929" s="34"/>
      <c r="X1929" s="35">
        <f t="shared" ref="X1929" si="1607">SUM(T1929:W1929)</f>
        <v>0</v>
      </c>
      <c r="Y1929" s="11">
        <f t="shared" si="1605"/>
        <v>1</v>
      </c>
      <c r="Z1929" s="99">
        <v>45726</v>
      </c>
    </row>
    <row r="1930" spans="1:28" x14ac:dyDescent="0.15">
      <c r="A1930" s="32"/>
      <c r="B1930" s="26"/>
      <c r="C1930" s="47"/>
      <c r="D1930" s="27"/>
      <c r="E1930" s="34"/>
      <c r="F1930" s="35">
        <f t="shared" si="1596"/>
        <v>0</v>
      </c>
      <c r="G1930" s="26"/>
      <c r="H1930" s="47"/>
      <c r="I1930" s="27"/>
      <c r="J1930" s="34"/>
      <c r="K1930" s="35">
        <f t="shared" si="1597"/>
        <v>0</v>
      </c>
      <c r="L1930" s="11">
        <f t="shared" si="1584"/>
        <v>0</v>
      </c>
      <c r="N1930" s="57"/>
      <c r="O1930" s="26"/>
      <c r="P1930" s="47"/>
      <c r="Q1930" s="27"/>
      <c r="R1930" s="34"/>
      <c r="S1930" s="35">
        <f t="shared" ref="S1930" si="1608">SUM(O1930:R1930)</f>
        <v>0</v>
      </c>
      <c r="T1930" s="26"/>
      <c r="U1930" s="47"/>
      <c r="V1930" s="27"/>
      <c r="W1930" s="34"/>
      <c r="X1930" s="35">
        <f t="shared" ref="X1930" si="1609">SUM(T1930:W1930)</f>
        <v>0</v>
      </c>
      <c r="Y1930" s="11">
        <f t="shared" ref="Y1930" si="1610">S1930+X1930</f>
        <v>0</v>
      </c>
      <c r="Z1930" s="101"/>
    </row>
    <row r="1931" spans="1:28" x14ac:dyDescent="0.15">
      <c r="A1931" s="12"/>
      <c r="B1931" s="26"/>
      <c r="C1931" s="47"/>
      <c r="D1931" s="27"/>
      <c r="E1931" s="34"/>
      <c r="F1931" s="35">
        <f t="shared" si="1596"/>
        <v>0</v>
      </c>
      <c r="G1931" s="26"/>
      <c r="H1931" s="47"/>
      <c r="I1931" s="27"/>
      <c r="J1931" s="34"/>
      <c r="K1931" s="35">
        <f t="shared" si="1597"/>
        <v>0</v>
      </c>
      <c r="L1931" s="11">
        <f t="shared" si="1584"/>
        <v>0</v>
      </c>
      <c r="N1931" s="153" t="s">
        <v>1545</v>
      </c>
      <c r="O1931" s="154"/>
      <c r="P1931" s="155"/>
      <c r="Q1931" s="156"/>
      <c r="R1931" s="157"/>
      <c r="S1931" s="158">
        <f t="shared" ref="S1931" si="1611">SUM(O1931:R1931)</f>
        <v>0</v>
      </c>
      <c r="T1931" s="154"/>
      <c r="U1931" s="155"/>
      <c r="V1931" s="156"/>
      <c r="W1931" s="157"/>
      <c r="X1931" s="158">
        <f t="shared" ref="X1931" si="1612">SUM(T1931:W1931)</f>
        <v>0</v>
      </c>
      <c r="Y1931" s="179">
        <f t="shared" ref="Y1931:Y1932" si="1613">S1931+X1931</f>
        <v>0</v>
      </c>
      <c r="Z1931" s="160" t="s">
        <v>1546</v>
      </c>
    </row>
    <row r="1932" spans="1:28" x14ac:dyDescent="0.15">
      <c r="A1932" s="79"/>
      <c r="B1932" s="26"/>
      <c r="C1932" s="47"/>
      <c r="D1932" s="27"/>
      <c r="E1932" s="34"/>
      <c r="F1932" s="35">
        <f t="shared" si="1596"/>
        <v>0</v>
      </c>
      <c r="G1932" s="26"/>
      <c r="H1932" s="47"/>
      <c r="I1932" s="27"/>
      <c r="J1932" s="34"/>
      <c r="K1932" s="35">
        <f t="shared" si="1597"/>
        <v>0</v>
      </c>
      <c r="L1932" s="11">
        <f t="shared" si="1584"/>
        <v>0</v>
      </c>
      <c r="N1932" s="57" t="s">
        <v>1518</v>
      </c>
      <c r="O1932" s="26"/>
      <c r="P1932" s="47"/>
      <c r="Q1932" s="27"/>
      <c r="R1932" s="34"/>
      <c r="S1932" s="35">
        <f t="shared" ref="S1932" si="1614">SUM(O1932:R1932)</f>
        <v>0</v>
      </c>
      <c r="T1932" s="26"/>
      <c r="U1932" s="47"/>
      <c r="V1932" s="27"/>
      <c r="W1932" s="34"/>
      <c r="X1932" s="35">
        <f t="shared" ref="X1932" si="1615">SUM(T1932:W1932)</f>
        <v>0</v>
      </c>
      <c r="Y1932" s="11">
        <f t="shared" si="1613"/>
        <v>0</v>
      </c>
      <c r="Z1932" s="101" t="s">
        <v>1519</v>
      </c>
      <c r="AA1932" s="58"/>
    </row>
    <row r="1933" spans="1:28" x14ac:dyDescent="0.15">
      <c r="A1933" s="57"/>
      <c r="B1933" s="26"/>
      <c r="C1933" s="47"/>
      <c r="D1933" s="27"/>
      <c r="E1933" s="34"/>
      <c r="F1933" s="35">
        <f t="shared" si="1596"/>
        <v>0</v>
      </c>
      <c r="G1933" s="26"/>
      <c r="H1933" s="47"/>
      <c r="I1933" s="27"/>
      <c r="J1933" s="34"/>
      <c r="K1933" s="35">
        <f t="shared" si="1597"/>
        <v>0</v>
      </c>
      <c r="L1933" s="11">
        <f t="shared" si="1584"/>
        <v>0</v>
      </c>
      <c r="N1933" s="173" t="s">
        <v>1467</v>
      </c>
      <c r="O1933" s="174"/>
      <c r="P1933" s="175"/>
      <c r="Q1933" s="176"/>
      <c r="R1933" s="177"/>
      <c r="S1933" s="178">
        <f t="shared" si="1598"/>
        <v>0</v>
      </c>
      <c r="T1933" s="174"/>
      <c r="U1933" s="175"/>
      <c r="V1933" s="176"/>
      <c r="W1933" s="177"/>
      <c r="X1933" s="178">
        <f t="shared" si="1599"/>
        <v>0</v>
      </c>
      <c r="Y1933" s="179">
        <f t="shared" si="1587"/>
        <v>0</v>
      </c>
      <c r="Z1933" s="101"/>
      <c r="AA1933" s="58"/>
    </row>
    <row r="1934" spans="1:28" ht="14.25" thickBot="1" x14ac:dyDescent="0.2">
      <c r="A1934" s="57"/>
      <c r="B1934" s="26"/>
      <c r="C1934" s="47"/>
      <c r="D1934" s="27"/>
      <c r="E1934" s="34"/>
      <c r="F1934" s="35">
        <f t="shared" ref="F1934" si="1616">SUM(B1934:E1934)</f>
        <v>0</v>
      </c>
      <c r="G1934" s="26"/>
      <c r="H1934" s="47"/>
      <c r="I1934" s="27"/>
      <c r="J1934" s="34"/>
      <c r="K1934" s="35">
        <f t="shared" ref="K1934" si="1617">SUM(G1934:J1934)</f>
        <v>0</v>
      </c>
      <c r="L1934" s="11">
        <f t="shared" ref="L1934" si="1618">F1934+K1934</f>
        <v>0</v>
      </c>
      <c r="N1934" s="220" t="s">
        <v>1468</v>
      </c>
      <c r="O1934" s="109"/>
      <c r="P1934" s="110"/>
      <c r="Q1934" s="111"/>
      <c r="R1934" s="112"/>
      <c r="S1934" s="134">
        <f t="shared" si="1598"/>
        <v>0</v>
      </c>
      <c r="T1934" s="109"/>
      <c r="U1934" s="110"/>
      <c r="V1934" s="111"/>
      <c r="W1934" s="112"/>
      <c r="X1934" s="134">
        <f t="shared" si="1599"/>
        <v>0</v>
      </c>
      <c r="Y1934" s="119">
        <f t="shared" si="1587"/>
        <v>0</v>
      </c>
      <c r="Z1934" s="101" t="s">
        <v>1469</v>
      </c>
      <c r="AA1934" s="58"/>
    </row>
    <row r="1935" spans="1:28" ht="14.25" thickBot="1" x14ac:dyDescent="0.2">
      <c r="A1935" s="17" t="s">
        <v>10</v>
      </c>
      <c r="B1935" s="240">
        <f>SUM(B1910:B1934)</f>
        <v>7</v>
      </c>
      <c r="C1935" s="241">
        <f>SUM(C1910:C1934)</f>
        <v>7</v>
      </c>
      <c r="D1935" s="242">
        <f>SUM(D1910:D1934)</f>
        <v>6</v>
      </c>
      <c r="E1935" s="243">
        <f>SUM(E1910:E1934)</f>
        <v>6</v>
      </c>
      <c r="F1935" s="36">
        <f>SUM(B1935:E1935)</f>
        <v>26</v>
      </c>
      <c r="G1935" s="240">
        <f>SUM(G1910:G1934)</f>
        <v>8</v>
      </c>
      <c r="H1935" s="241">
        <f>SUM(H1910:H1934)</f>
        <v>5</v>
      </c>
      <c r="I1935" s="242">
        <f>SUM(I1910:I1934)</f>
        <v>5</v>
      </c>
      <c r="J1935" s="243">
        <f>SUM(J1910:J1934)</f>
        <v>7</v>
      </c>
      <c r="K1935" s="36">
        <f>SUM(G1935:J1935)</f>
        <v>25</v>
      </c>
      <c r="L1935" s="37">
        <f t="shared" si="1584"/>
        <v>51</v>
      </c>
      <c r="N1935" s="133" t="s">
        <v>10</v>
      </c>
      <c r="O1935" s="38">
        <f>SUM(O1910:O1934)</f>
        <v>124</v>
      </c>
      <c r="P1935" s="48">
        <f>SUM(P1910:P1934)</f>
        <v>70</v>
      </c>
      <c r="Q1935" s="39">
        <f>SUM(Q1910:Q1934)</f>
        <v>62</v>
      </c>
      <c r="R1935" s="40">
        <f>SUM(R1910:R1934)</f>
        <v>35</v>
      </c>
      <c r="S1935" s="118">
        <f t="shared" si="1598"/>
        <v>291</v>
      </c>
      <c r="T1935" s="38">
        <f>SUM(T1910:T1934)</f>
        <v>44</v>
      </c>
      <c r="U1935" s="48">
        <f>SUM(U1910:U1934)</f>
        <v>30</v>
      </c>
      <c r="V1935" s="39">
        <f>SUM(V1910:V1934)</f>
        <v>31</v>
      </c>
      <c r="W1935" s="40">
        <f>SUM(W1910:W1934)</f>
        <v>23</v>
      </c>
      <c r="X1935" s="118">
        <f t="shared" si="1599"/>
        <v>128</v>
      </c>
      <c r="Y1935" s="119">
        <f t="shared" si="1587"/>
        <v>419</v>
      </c>
    </row>
    <row r="1936" spans="1:28" ht="14.25" thickBot="1" x14ac:dyDescent="0.2">
      <c r="A1936" s="22" t="s">
        <v>11</v>
      </c>
      <c r="B1936" s="41">
        <f>B1909-B1935</f>
        <v>5</v>
      </c>
      <c r="C1936" s="49">
        <f>C1909-C1935</f>
        <v>13</v>
      </c>
      <c r="D1936" s="42">
        <f t="shared" ref="D1936:K1936" si="1619">D1909-D1935</f>
        <v>4</v>
      </c>
      <c r="E1936" s="43">
        <f t="shared" si="1619"/>
        <v>8</v>
      </c>
      <c r="F1936" s="61">
        <f t="shared" si="1619"/>
        <v>26</v>
      </c>
      <c r="G1936" s="41">
        <f t="shared" si="1619"/>
        <v>10</v>
      </c>
      <c r="H1936" s="49">
        <f t="shared" si="1619"/>
        <v>11</v>
      </c>
      <c r="I1936" s="42">
        <f t="shared" si="1619"/>
        <v>6</v>
      </c>
      <c r="J1936" s="43">
        <f t="shared" si="1619"/>
        <v>5</v>
      </c>
      <c r="K1936" s="61">
        <f t="shared" si="1619"/>
        <v>32</v>
      </c>
      <c r="L1936" s="21">
        <f t="shared" si="1584"/>
        <v>58</v>
      </c>
      <c r="N1936" s="17" t="s">
        <v>11</v>
      </c>
      <c r="O1936" s="41">
        <f>O1909-O1935</f>
        <v>205</v>
      </c>
      <c r="P1936" s="49">
        <f t="shared" ref="P1936:Q1936" si="1620">P1909-P1935</f>
        <v>250</v>
      </c>
      <c r="Q1936" s="42">
        <f t="shared" si="1620"/>
        <v>198</v>
      </c>
      <c r="R1936" s="43">
        <f>R1909-R1935</f>
        <v>186</v>
      </c>
      <c r="S1936" s="61">
        <f t="shared" ref="S1936:X1936" si="1621">S1909-S1935</f>
        <v>839</v>
      </c>
      <c r="T1936" s="41">
        <f t="shared" si="1621"/>
        <v>596</v>
      </c>
      <c r="U1936" s="49">
        <f t="shared" si="1621"/>
        <v>726</v>
      </c>
      <c r="V1936" s="42">
        <f t="shared" si="1621"/>
        <v>458</v>
      </c>
      <c r="W1936" s="43">
        <f t="shared" si="1621"/>
        <v>370</v>
      </c>
      <c r="X1936" s="61">
        <f t="shared" si="1621"/>
        <v>2150</v>
      </c>
      <c r="Y1936" s="21">
        <f t="shared" si="1587"/>
        <v>2989</v>
      </c>
    </row>
    <row r="1939" spans="1:27" ht="19.5" thickBot="1" x14ac:dyDescent="0.25">
      <c r="A1939" s="2" t="s">
        <v>106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1036</v>
      </c>
      <c r="O1939" s="270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7" ht="14.25" thickBot="1" x14ac:dyDescent="0.2">
      <c r="A1940" s="5" t="s">
        <v>0</v>
      </c>
      <c r="B1940" s="342" t="s">
        <v>18</v>
      </c>
      <c r="C1940" s="350"/>
      <c r="D1940" s="350"/>
      <c r="E1940" s="350"/>
      <c r="F1940" s="351"/>
      <c r="G1940" s="345" t="s">
        <v>12</v>
      </c>
      <c r="H1940" s="352"/>
      <c r="I1940" s="352"/>
      <c r="J1940" s="352"/>
      <c r="K1940" s="353"/>
      <c r="L1940" s="354" t="s">
        <v>1</v>
      </c>
      <c r="N1940" s="5" t="s">
        <v>0</v>
      </c>
      <c r="O1940" s="342" t="s">
        <v>18</v>
      </c>
      <c r="P1940" s="343"/>
      <c r="Q1940" s="343"/>
      <c r="R1940" s="343"/>
      <c r="S1940" s="344"/>
      <c r="T1940" s="345" t="s">
        <v>12</v>
      </c>
      <c r="U1940" s="346"/>
      <c r="V1940" s="346"/>
      <c r="W1940" s="346"/>
      <c r="X1940" s="347"/>
      <c r="Y1940" s="348" t="s">
        <v>1</v>
      </c>
    </row>
    <row r="1941" spans="1:27" ht="14.25" thickBot="1" x14ac:dyDescent="0.2">
      <c r="A1941" s="5" t="s">
        <v>2</v>
      </c>
      <c r="B1941" s="3" t="s">
        <v>13</v>
      </c>
      <c r="C1941" s="44" t="s">
        <v>14</v>
      </c>
      <c r="D1941" s="4" t="s">
        <v>15</v>
      </c>
      <c r="E1941" s="23" t="s">
        <v>16</v>
      </c>
      <c r="F1941" s="31" t="s">
        <v>3</v>
      </c>
      <c r="G1941" s="3" t="s">
        <v>13</v>
      </c>
      <c r="H1941" s="44" t="s">
        <v>14</v>
      </c>
      <c r="I1941" s="4" t="s">
        <v>15</v>
      </c>
      <c r="J1941" s="23" t="s">
        <v>16</v>
      </c>
      <c r="K1941" s="31" t="s">
        <v>3</v>
      </c>
      <c r="L1941" s="355"/>
      <c r="N1941" s="5" t="s">
        <v>2</v>
      </c>
      <c r="O1941" s="3" t="s">
        <v>13</v>
      </c>
      <c r="P1941" s="44" t="s">
        <v>14</v>
      </c>
      <c r="Q1941" s="4" t="s">
        <v>15</v>
      </c>
      <c r="R1941" s="23" t="s">
        <v>16</v>
      </c>
      <c r="S1941" s="31" t="s">
        <v>3</v>
      </c>
      <c r="T1941" s="3" t="s">
        <v>13</v>
      </c>
      <c r="U1941" s="44" t="s">
        <v>14</v>
      </c>
      <c r="V1941" s="4" t="s">
        <v>15</v>
      </c>
      <c r="W1941" s="23" t="s">
        <v>16</v>
      </c>
      <c r="X1941" s="31" t="s">
        <v>3</v>
      </c>
      <c r="Y1941" s="349"/>
    </row>
    <row r="1942" spans="1:27" x14ac:dyDescent="0.15">
      <c r="A1942" s="71" t="s">
        <v>17</v>
      </c>
      <c r="B1942" s="72">
        <f>B1936</f>
        <v>5</v>
      </c>
      <c r="C1942" s="73">
        <f t="shared" ref="C1942:L1942" si="1622">C1936</f>
        <v>13</v>
      </c>
      <c r="D1942" s="73">
        <f t="shared" si="1622"/>
        <v>4</v>
      </c>
      <c r="E1942" s="74">
        <f t="shared" si="1622"/>
        <v>8</v>
      </c>
      <c r="F1942" s="76">
        <f t="shared" si="1622"/>
        <v>26</v>
      </c>
      <c r="G1942" s="72">
        <f t="shared" si="1622"/>
        <v>10</v>
      </c>
      <c r="H1942" s="73">
        <f t="shared" si="1622"/>
        <v>11</v>
      </c>
      <c r="I1942" s="73">
        <f t="shared" si="1622"/>
        <v>6</v>
      </c>
      <c r="J1942" s="74">
        <f t="shared" si="1622"/>
        <v>5</v>
      </c>
      <c r="K1942" s="75">
        <f t="shared" si="1622"/>
        <v>32</v>
      </c>
      <c r="L1942" s="16">
        <f t="shared" si="1622"/>
        <v>58</v>
      </c>
      <c r="N1942" s="71" t="s">
        <v>17</v>
      </c>
      <c r="O1942" s="72">
        <f>O1936</f>
        <v>205</v>
      </c>
      <c r="P1942" s="73">
        <f t="shared" ref="P1942:Y1942" si="1623">P1936</f>
        <v>250</v>
      </c>
      <c r="Q1942" s="73">
        <f t="shared" si="1623"/>
        <v>198</v>
      </c>
      <c r="R1942" s="74">
        <f t="shared" si="1623"/>
        <v>186</v>
      </c>
      <c r="S1942" s="76">
        <f t="shared" si="1623"/>
        <v>839</v>
      </c>
      <c r="T1942" s="72">
        <f t="shared" si="1623"/>
        <v>596</v>
      </c>
      <c r="U1942" s="73">
        <f t="shared" si="1623"/>
        <v>726</v>
      </c>
      <c r="V1942" s="73">
        <f t="shared" si="1623"/>
        <v>458</v>
      </c>
      <c r="W1942" s="74">
        <f t="shared" si="1623"/>
        <v>370</v>
      </c>
      <c r="X1942" s="75">
        <f t="shared" si="1623"/>
        <v>2150</v>
      </c>
      <c r="Y1942" s="16">
        <f t="shared" si="1623"/>
        <v>2989</v>
      </c>
    </row>
    <row r="1943" spans="1:27" x14ac:dyDescent="0.15">
      <c r="A1943" s="13" t="s">
        <v>5</v>
      </c>
      <c r="B1943" s="26"/>
      <c r="C1943" s="47"/>
      <c r="D1943" s="27">
        <v>5</v>
      </c>
      <c r="E1943" s="50"/>
      <c r="F1943" s="9">
        <f>SUM(B1943:E1943)</f>
        <v>5</v>
      </c>
      <c r="G1943" s="47"/>
      <c r="H1943" s="47"/>
      <c r="I1943" s="27"/>
      <c r="J1943" s="50"/>
      <c r="K1943" s="9">
        <f>SUM(G1943:J1943)</f>
        <v>0</v>
      </c>
      <c r="L1943" s="11">
        <f t="shared" ref="L1943:L1974" si="1624">F1943+K1943</f>
        <v>5</v>
      </c>
      <c r="M1943" s="99">
        <v>45729</v>
      </c>
      <c r="N1943" s="13" t="s">
        <v>5</v>
      </c>
      <c r="O1943" s="26"/>
      <c r="P1943" s="47"/>
      <c r="Q1943" s="27"/>
      <c r="R1943" s="34"/>
      <c r="S1943" s="77">
        <f t="shared" ref="S1943:S1946" si="1625">SUM(O1943:R1943)</f>
        <v>0</v>
      </c>
      <c r="T1943" s="26"/>
      <c r="U1943" s="47"/>
      <c r="V1943" s="27"/>
      <c r="W1943" s="34"/>
      <c r="X1943" s="9">
        <f t="shared" ref="X1943:X1946" si="1626">SUM(T1943:W1943)</f>
        <v>0</v>
      </c>
      <c r="Y1943" s="11">
        <f t="shared" ref="Y1943:Y1974" si="1627">S1943+X1943</f>
        <v>0</v>
      </c>
    </row>
    <row r="1944" spans="1:27" x14ac:dyDescent="0.15">
      <c r="A1944" s="13" t="s">
        <v>49</v>
      </c>
      <c r="B1944" s="26">
        <v>1</v>
      </c>
      <c r="C1944" s="47">
        <v>1</v>
      </c>
      <c r="D1944" s="27">
        <v>1</v>
      </c>
      <c r="E1944" s="50"/>
      <c r="F1944" s="9">
        <f>SUM(B1944:E1944)</f>
        <v>3</v>
      </c>
      <c r="G1944" s="47">
        <v>2</v>
      </c>
      <c r="H1944" s="47"/>
      <c r="I1944" s="27"/>
      <c r="J1944" s="50"/>
      <c r="K1944" s="9">
        <f>SUM(G1944:J1944)</f>
        <v>2</v>
      </c>
      <c r="L1944" s="11">
        <f t="shared" si="1624"/>
        <v>5</v>
      </c>
      <c r="M1944" s="99">
        <v>45729</v>
      </c>
      <c r="N1944" s="13" t="s">
        <v>6</v>
      </c>
      <c r="O1944" s="26">
        <v>550</v>
      </c>
      <c r="P1944" s="47">
        <v>650</v>
      </c>
      <c r="Q1944" s="27">
        <f>500</f>
        <v>500</v>
      </c>
      <c r="R1944" s="34">
        <v>300</v>
      </c>
      <c r="S1944" s="77">
        <f t="shared" si="1625"/>
        <v>2000</v>
      </c>
      <c r="T1944" s="26"/>
      <c r="U1944" s="47"/>
      <c r="V1944" s="27"/>
      <c r="W1944" s="34"/>
      <c r="X1944" s="9">
        <f t="shared" si="1626"/>
        <v>0</v>
      </c>
      <c r="Y1944" s="11">
        <f t="shared" si="1627"/>
        <v>2000</v>
      </c>
      <c r="Z1944" s="99" t="s">
        <v>1631</v>
      </c>
      <c r="AA1944" s="234"/>
    </row>
    <row r="1945" spans="1:27" x14ac:dyDescent="0.15">
      <c r="A1945" s="13" t="s">
        <v>7</v>
      </c>
      <c r="B1945" s="26">
        <v>3</v>
      </c>
      <c r="C1945" s="47"/>
      <c r="D1945" s="27"/>
      <c r="E1945" s="50">
        <v>3</v>
      </c>
      <c r="F1945" s="9">
        <f>SUM(B1945:E1945)</f>
        <v>6</v>
      </c>
      <c r="G1945" s="47"/>
      <c r="H1945" s="47"/>
      <c r="I1945" s="27">
        <v>3</v>
      </c>
      <c r="J1945" s="50">
        <v>3</v>
      </c>
      <c r="K1945" s="9">
        <f>SUM(G1945:J1945)</f>
        <v>6</v>
      </c>
      <c r="L1945" s="11">
        <f t="shared" si="1624"/>
        <v>12</v>
      </c>
      <c r="M1945" s="99">
        <v>45743</v>
      </c>
      <c r="N1945" s="13" t="s">
        <v>7</v>
      </c>
      <c r="O1945" s="26"/>
      <c r="P1945" s="47"/>
      <c r="Q1945" s="27">
        <v>-70</v>
      </c>
      <c r="R1945" s="34"/>
      <c r="S1945" s="77">
        <f t="shared" si="1625"/>
        <v>-70</v>
      </c>
      <c r="T1945" s="26"/>
      <c r="U1945" s="47"/>
      <c r="V1945" s="27"/>
      <c r="W1945" s="34"/>
      <c r="X1945" s="9">
        <f t="shared" si="1626"/>
        <v>0</v>
      </c>
      <c r="Y1945" s="11">
        <f t="shared" si="1627"/>
        <v>-70</v>
      </c>
      <c r="Z1945" s="58" t="s">
        <v>1595</v>
      </c>
    </row>
    <row r="1946" spans="1:27" ht="14.25" thickBot="1" x14ac:dyDescent="0.2">
      <c r="A1946" s="13" t="s">
        <v>49</v>
      </c>
      <c r="B1946" s="26"/>
      <c r="C1946" s="47">
        <v>1</v>
      </c>
      <c r="D1946" s="27">
        <v>2</v>
      </c>
      <c r="E1946" s="50"/>
      <c r="F1946" s="10">
        <f>SUM(B1946:E1946)</f>
        <v>3</v>
      </c>
      <c r="G1946" s="47">
        <v>1</v>
      </c>
      <c r="H1946" s="47"/>
      <c r="I1946" s="27"/>
      <c r="J1946" s="50"/>
      <c r="K1946" s="10">
        <f>SUM(G1946:J1946)</f>
        <v>1</v>
      </c>
      <c r="L1946" s="14">
        <f t="shared" si="1624"/>
        <v>4</v>
      </c>
      <c r="M1946" s="126">
        <v>45743</v>
      </c>
      <c r="N1946" s="13" t="s">
        <v>8</v>
      </c>
      <c r="O1946" s="26"/>
      <c r="P1946" s="47"/>
      <c r="Q1946" s="27"/>
      <c r="R1946" s="34"/>
      <c r="S1946" s="77">
        <f t="shared" si="1625"/>
        <v>0</v>
      </c>
      <c r="T1946" s="26"/>
      <c r="U1946" s="47"/>
      <c r="V1946" s="27"/>
      <c r="W1946" s="34"/>
      <c r="X1946" s="9">
        <f t="shared" si="1626"/>
        <v>0</v>
      </c>
      <c r="Y1946" s="11">
        <f t="shared" si="1627"/>
        <v>0</v>
      </c>
    </row>
    <row r="1947" spans="1:27" ht="14.25" thickBot="1" x14ac:dyDescent="0.2">
      <c r="A1947" s="22" t="s">
        <v>9</v>
      </c>
      <c r="B1947" s="51">
        <f t="shared" ref="B1947:K1947" si="1628">SUM(B1942:B1946)</f>
        <v>9</v>
      </c>
      <c r="C1947" s="52">
        <f t="shared" si="1628"/>
        <v>15</v>
      </c>
      <c r="D1947" s="53">
        <f t="shared" si="1628"/>
        <v>12</v>
      </c>
      <c r="E1947" s="54">
        <f t="shared" si="1628"/>
        <v>11</v>
      </c>
      <c r="F1947" s="28">
        <f t="shared" si="1628"/>
        <v>43</v>
      </c>
      <c r="G1947" s="51">
        <f t="shared" si="1628"/>
        <v>13</v>
      </c>
      <c r="H1947" s="52">
        <f t="shared" si="1628"/>
        <v>11</v>
      </c>
      <c r="I1947" s="53">
        <f t="shared" si="1628"/>
        <v>9</v>
      </c>
      <c r="J1947" s="54">
        <f t="shared" si="1628"/>
        <v>8</v>
      </c>
      <c r="K1947" s="28">
        <f t="shared" si="1628"/>
        <v>41</v>
      </c>
      <c r="L1947" s="21">
        <f t="shared" si="1624"/>
        <v>84</v>
      </c>
      <c r="N1947" s="17" t="s">
        <v>9</v>
      </c>
      <c r="O1947" s="41">
        <f>SUM(O1942:O1946)</f>
        <v>755</v>
      </c>
      <c r="P1947" s="49">
        <f t="shared" ref="P1947:V1947" si="1629">SUM(P1942:P1946)</f>
        <v>900</v>
      </c>
      <c r="Q1947" s="42">
        <f t="shared" si="1629"/>
        <v>628</v>
      </c>
      <c r="R1947" s="92">
        <f t="shared" si="1629"/>
        <v>486</v>
      </c>
      <c r="S1947" s="93">
        <f t="shared" si="1629"/>
        <v>2769</v>
      </c>
      <c r="T1947" s="41">
        <f t="shared" si="1629"/>
        <v>596</v>
      </c>
      <c r="U1947" s="49">
        <f t="shared" si="1629"/>
        <v>726</v>
      </c>
      <c r="V1947" s="42">
        <f t="shared" si="1629"/>
        <v>458</v>
      </c>
      <c r="W1947" s="92">
        <f>SUM(W1942:W1946)</f>
        <v>370</v>
      </c>
      <c r="X1947" s="93">
        <f t="shared" ref="X1947" si="1630">SUM(X1942:X1946)</f>
        <v>2150</v>
      </c>
      <c r="Y1947" s="56">
        <f t="shared" si="1627"/>
        <v>4919</v>
      </c>
    </row>
    <row r="1948" spans="1:27" x14ac:dyDescent="0.15">
      <c r="A1948" s="13" t="s">
        <v>1614</v>
      </c>
      <c r="B1948" s="24"/>
      <c r="C1948" s="46"/>
      <c r="D1948" s="25">
        <v>4</v>
      </c>
      <c r="E1948" s="33"/>
      <c r="F1948" s="35">
        <f>SUM(B1948:E1948)</f>
        <v>4</v>
      </c>
      <c r="G1948" s="24"/>
      <c r="H1948" s="46"/>
      <c r="I1948" s="25"/>
      <c r="J1948" s="33"/>
      <c r="K1948" s="35">
        <f>SUM(G1948:J1948)</f>
        <v>0</v>
      </c>
      <c r="L1948" s="11">
        <f t="shared" si="1624"/>
        <v>4</v>
      </c>
      <c r="M1948" s="99">
        <v>45730</v>
      </c>
      <c r="N1948" s="12" t="s">
        <v>1610</v>
      </c>
      <c r="O1948" s="26">
        <v>20</v>
      </c>
      <c r="P1948" s="47">
        <v>20</v>
      </c>
      <c r="Q1948" s="27">
        <v>20</v>
      </c>
      <c r="R1948" s="34">
        <v>20</v>
      </c>
      <c r="S1948" s="35">
        <f t="shared" ref="S1948:S1949" si="1631">SUM(O1948:R1948)</f>
        <v>80</v>
      </c>
      <c r="T1948" s="26">
        <v>10</v>
      </c>
      <c r="U1948" s="47">
        <v>10</v>
      </c>
      <c r="V1948" s="27">
        <v>10</v>
      </c>
      <c r="W1948" s="34">
        <v>10</v>
      </c>
      <c r="X1948" s="35">
        <f t="shared" ref="X1948:X1949" si="1632">SUM(T1948:W1948)</f>
        <v>40</v>
      </c>
      <c r="Y1948" s="11">
        <f t="shared" ref="Y1948:Y1953" si="1633">S1948+X1948</f>
        <v>120</v>
      </c>
      <c r="Z1948" s="99">
        <v>45730</v>
      </c>
      <c r="AA1948" s="58"/>
    </row>
    <row r="1949" spans="1:27" x14ac:dyDescent="0.15">
      <c r="A1949" s="12" t="s">
        <v>1619</v>
      </c>
      <c r="B1949" s="26">
        <v>1</v>
      </c>
      <c r="C1949" s="47"/>
      <c r="D1949" s="27"/>
      <c r="E1949" s="34"/>
      <c r="F1949" s="35">
        <f>SUM(B1949:E1949)</f>
        <v>1</v>
      </c>
      <c r="G1949" s="26"/>
      <c r="H1949" s="47"/>
      <c r="I1949" s="27"/>
      <c r="J1949" s="34"/>
      <c r="K1949" s="35">
        <f>SUM(G1949:J1949)</f>
        <v>0</v>
      </c>
      <c r="L1949" s="11">
        <f t="shared" si="1624"/>
        <v>1</v>
      </c>
      <c r="M1949" s="99">
        <v>45735</v>
      </c>
      <c r="N1949" s="12" t="s">
        <v>1613</v>
      </c>
      <c r="O1949" s="26"/>
      <c r="P1949" s="47"/>
      <c r="Q1949" s="27"/>
      <c r="R1949" s="34"/>
      <c r="S1949" s="35">
        <f t="shared" si="1631"/>
        <v>0</v>
      </c>
      <c r="T1949" s="26"/>
      <c r="U1949" s="47"/>
      <c r="V1949" s="27"/>
      <c r="W1949" s="34">
        <v>2</v>
      </c>
      <c r="X1949" s="35">
        <f t="shared" si="1632"/>
        <v>2</v>
      </c>
      <c r="Y1949" s="11">
        <f t="shared" si="1633"/>
        <v>2</v>
      </c>
      <c r="Z1949" s="99">
        <v>45730</v>
      </c>
    </row>
    <row r="1950" spans="1:27" x14ac:dyDescent="0.15">
      <c r="A1950" s="32" t="s">
        <v>41</v>
      </c>
      <c r="B1950" s="26"/>
      <c r="C1950" s="47"/>
      <c r="D1950" s="27"/>
      <c r="E1950" s="34"/>
      <c r="F1950" s="35">
        <f t="shared" ref="F1950:F1972" si="1634">SUM(B1950:E1950)</f>
        <v>0</v>
      </c>
      <c r="G1950" s="26"/>
      <c r="H1950" s="47"/>
      <c r="I1950" s="27">
        <v>1</v>
      </c>
      <c r="J1950" s="34"/>
      <c r="K1950" s="35">
        <f t="shared" ref="K1950:K1972" si="1635">SUM(G1950:J1950)</f>
        <v>1</v>
      </c>
      <c r="L1950" s="11">
        <f t="shared" si="1624"/>
        <v>1</v>
      </c>
      <c r="M1950" s="99">
        <v>45735</v>
      </c>
      <c r="N1950" s="12" t="s">
        <v>34</v>
      </c>
      <c r="O1950" s="26"/>
      <c r="P1950" s="47"/>
      <c r="Q1950" s="27">
        <v>5</v>
      </c>
      <c r="R1950" s="34"/>
      <c r="S1950" s="35">
        <f>SUM(O1950:R1950)</f>
        <v>5</v>
      </c>
      <c r="T1950" s="26"/>
      <c r="U1950" s="47"/>
      <c r="V1950" s="27"/>
      <c r="W1950" s="34"/>
      <c r="X1950" s="35">
        <f>SUM(T1950:W1950)</f>
        <v>0</v>
      </c>
      <c r="Y1950" s="11">
        <f t="shared" si="1633"/>
        <v>5</v>
      </c>
      <c r="Z1950" s="99">
        <v>45729</v>
      </c>
      <c r="AA1950" s="58"/>
    </row>
    <row r="1951" spans="1:27" x14ac:dyDescent="0.15">
      <c r="A1951" s="12" t="s">
        <v>1623</v>
      </c>
      <c r="B1951" s="66"/>
      <c r="C1951" s="67"/>
      <c r="D1951" s="68">
        <v>2</v>
      </c>
      <c r="E1951" s="69"/>
      <c r="F1951" s="70">
        <f t="shared" si="1634"/>
        <v>2</v>
      </c>
      <c r="G1951" s="66">
        <v>1</v>
      </c>
      <c r="H1951" s="67"/>
      <c r="I1951" s="68"/>
      <c r="J1951" s="69"/>
      <c r="K1951" s="70">
        <f t="shared" si="1635"/>
        <v>1</v>
      </c>
      <c r="L1951" s="11">
        <f t="shared" si="1624"/>
        <v>3</v>
      </c>
      <c r="M1951" s="99">
        <v>45740</v>
      </c>
      <c r="N1951" s="57" t="s">
        <v>1615</v>
      </c>
      <c r="O1951" s="26">
        <v>15</v>
      </c>
      <c r="P1951" s="47">
        <v>30</v>
      </c>
      <c r="Q1951" s="27">
        <v>20</v>
      </c>
      <c r="R1951" s="34">
        <v>10</v>
      </c>
      <c r="S1951" s="35">
        <f t="shared" ref="S1951:S1953" si="1636">SUM(O1951:R1951)</f>
        <v>75</v>
      </c>
      <c r="T1951" s="26">
        <v>3</v>
      </c>
      <c r="U1951" s="47"/>
      <c r="V1951" s="27"/>
      <c r="W1951" s="34"/>
      <c r="X1951" s="35">
        <f t="shared" ref="X1951:X1953" si="1637">SUM(T1951:W1951)</f>
        <v>3</v>
      </c>
      <c r="Y1951" s="11">
        <f t="shared" si="1633"/>
        <v>78</v>
      </c>
      <c r="Z1951" s="99">
        <v>45733</v>
      </c>
      <c r="AA1951" s="58"/>
    </row>
    <row r="1952" spans="1:27" x14ac:dyDescent="0.15">
      <c r="A1952" s="12" t="s">
        <v>1625</v>
      </c>
      <c r="B1952" s="26">
        <v>1</v>
      </c>
      <c r="C1952" s="47"/>
      <c r="D1952" s="27"/>
      <c r="E1952" s="34"/>
      <c r="F1952" s="35">
        <f t="shared" si="1634"/>
        <v>1</v>
      </c>
      <c r="G1952" s="26"/>
      <c r="H1952" s="47"/>
      <c r="I1952" s="27"/>
      <c r="J1952" s="34"/>
      <c r="K1952" s="35">
        <f t="shared" si="1635"/>
        <v>0</v>
      </c>
      <c r="L1952" s="11">
        <f t="shared" si="1624"/>
        <v>1</v>
      </c>
      <c r="M1952" s="99">
        <v>45742</v>
      </c>
      <c r="N1952" s="12" t="s">
        <v>1616</v>
      </c>
      <c r="O1952" s="26"/>
      <c r="P1952" s="47">
        <v>10</v>
      </c>
      <c r="Q1952" s="27"/>
      <c r="R1952" s="34"/>
      <c r="S1952" s="35">
        <f t="shared" si="1636"/>
        <v>10</v>
      </c>
      <c r="T1952" s="26"/>
      <c r="U1952" s="47"/>
      <c r="V1952" s="27"/>
      <c r="W1952" s="34"/>
      <c r="X1952" s="35">
        <f t="shared" si="1637"/>
        <v>0</v>
      </c>
      <c r="Y1952" s="11">
        <f t="shared" si="1633"/>
        <v>10</v>
      </c>
      <c r="Z1952" s="99">
        <v>45731</v>
      </c>
      <c r="AA1952" s="58"/>
    </row>
    <row r="1953" spans="1:27" x14ac:dyDescent="0.15">
      <c r="A1953" s="32" t="s">
        <v>41</v>
      </c>
      <c r="B1953" s="26"/>
      <c r="C1953" s="47"/>
      <c r="D1953" s="27"/>
      <c r="E1953" s="34">
        <v>2</v>
      </c>
      <c r="F1953" s="35">
        <f t="shared" si="1634"/>
        <v>2</v>
      </c>
      <c r="G1953" s="26"/>
      <c r="H1953" s="47">
        <v>1</v>
      </c>
      <c r="I1953" s="27">
        <v>2</v>
      </c>
      <c r="J1953" s="34"/>
      <c r="K1953" s="35">
        <f t="shared" si="1635"/>
        <v>3</v>
      </c>
      <c r="L1953" s="11">
        <f t="shared" si="1624"/>
        <v>5</v>
      </c>
      <c r="M1953" s="99">
        <v>45740</v>
      </c>
      <c r="N1953" s="12" t="s">
        <v>1617</v>
      </c>
      <c r="O1953" s="26"/>
      <c r="P1953" s="47">
        <v>1</v>
      </c>
      <c r="Q1953" s="27"/>
      <c r="R1953" s="34"/>
      <c r="S1953" s="35">
        <f t="shared" si="1636"/>
        <v>1</v>
      </c>
      <c r="T1953" s="26"/>
      <c r="U1953" s="47"/>
      <c r="V1953" s="27"/>
      <c r="W1953" s="34"/>
      <c r="X1953" s="35">
        <f t="shared" si="1637"/>
        <v>0</v>
      </c>
      <c r="Y1953" s="11">
        <f t="shared" si="1633"/>
        <v>1</v>
      </c>
      <c r="Z1953" s="99">
        <v>45733</v>
      </c>
      <c r="AA1953" s="58"/>
    </row>
    <row r="1954" spans="1:27" x14ac:dyDescent="0.15">
      <c r="A1954" s="79" t="s">
        <v>1626</v>
      </c>
      <c r="B1954" s="26">
        <v>1</v>
      </c>
      <c r="C1954" s="47"/>
      <c r="D1954" s="27"/>
      <c r="E1954" s="34"/>
      <c r="F1954" s="35">
        <f t="shared" si="1634"/>
        <v>1</v>
      </c>
      <c r="G1954" s="26"/>
      <c r="H1954" s="47"/>
      <c r="I1954" s="27"/>
      <c r="J1954" s="34"/>
      <c r="K1954" s="35">
        <f t="shared" si="1635"/>
        <v>0</v>
      </c>
      <c r="L1954" s="11">
        <f t="shared" si="1624"/>
        <v>1</v>
      </c>
      <c r="M1954" s="99">
        <v>45740</v>
      </c>
      <c r="N1954" s="12" t="s">
        <v>1618</v>
      </c>
      <c r="O1954" s="26"/>
      <c r="P1954" s="47"/>
      <c r="Q1954" s="27"/>
      <c r="R1954" s="34">
        <v>1</v>
      </c>
      <c r="S1954" s="35">
        <f t="shared" ref="S1954" si="1638">SUM(O1954:R1954)</f>
        <v>1</v>
      </c>
      <c r="T1954" s="26"/>
      <c r="U1954" s="47"/>
      <c r="V1954" s="27"/>
      <c r="W1954" s="34">
        <v>1</v>
      </c>
      <c r="X1954" s="35">
        <f t="shared" ref="X1954" si="1639">SUM(T1954:W1954)</f>
        <v>1</v>
      </c>
      <c r="Y1954" s="11">
        <f t="shared" si="1627"/>
        <v>2</v>
      </c>
      <c r="Z1954" s="99">
        <v>45735</v>
      </c>
      <c r="AA1954" s="58"/>
    </row>
    <row r="1955" spans="1:27" x14ac:dyDescent="0.15">
      <c r="A1955" s="12" t="s">
        <v>1627</v>
      </c>
      <c r="B1955" s="26"/>
      <c r="C1955" s="47"/>
      <c r="D1955" s="27"/>
      <c r="E1955" s="34"/>
      <c r="F1955" s="35">
        <f t="shared" si="1634"/>
        <v>0</v>
      </c>
      <c r="G1955" s="26"/>
      <c r="H1955" s="47">
        <v>1</v>
      </c>
      <c r="I1955" s="27"/>
      <c r="J1955" s="34"/>
      <c r="K1955" s="35">
        <f t="shared" si="1635"/>
        <v>1</v>
      </c>
      <c r="L1955" s="11">
        <f t="shared" si="1624"/>
        <v>1</v>
      </c>
      <c r="M1955" s="99">
        <v>45743</v>
      </c>
      <c r="N1955" s="12" t="s">
        <v>1620</v>
      </c>
      <c r="O1955" s="26"/>
      <c r="P1955" s="47">
        <v>2</v>
      </c>
      <c r="Q1955" s="27">
        <v>3</v>
      </c>
      <c r="R1955" s="50"/>
      <c r="S1955" s="9">
        <f>SUM(O1955:R1955)</f>
        <v>5</v>
      </c>
      <c r="T1955" s="47"/>
      <c r="U1955" s="47">
        <v>2</v>
      </c>
      <c r="V1955" s="27">
        <v>3</v>
      </c>
      <c r="W1955" s="50"/>
      <c r="X1955" s="9">
        <f>SUM(T1955:W1955)</f>
        <v>5</v>
      </c>
      <c r="Y1955" s="11">
        <f t="shared" si="1627"/>
        <v>10</v>
      </c>
      <c r="Z1955" s="99">
        <v>45740</v>
      </c>
      <c r="AA1955" s="58"/>
    </row>
    <row r="1956" spans="1:27" x14ac:dyDescent="0.15">
      <c r="A1956" s="32" t="s">
        <v>41</v>
      </c>
      <c r="B1956" s="26"/>
      <c r="C1956" s="47"/>
      <c r="D1956" s="27"/>
      <c r="E1956" s="34"/>
      <c r="F1956" s="35">
        <f t="shared" si="1634"/>
        <v>0</v>
      </c>
      <c r="G1956" s="26"/>
      <c r="H1956" s="47"/>
      <c r="I1956" s="27"/>
      <c r="J1956" s="34">
        <v>2</v>
      </c>
      <c r="K1956" s="35">
        <f t="shared" si="1635"/>
        <v>2</v>
      </c>
      <c r="L1956" s="11">
        <f t="shared" si="1624"/>
        <v>2</v>
      </c>
      <c r="M1956" s="99">
        <v>45742</v>
      </c>
      <c r="N1956" s="12" t="s">
        <v>1621</v>
      </c>
      <c r="O1956" s="26">
        <v>4</v>
      </c>
      <c r="P1956" s="47">
        <v>18</v>
      </c>
      <c r="Q1956" s="27">
        <v>2</v>
      </c>
      <c r="R1956" s="34"/>
      <c r="S1956" s="35">
        <f t="shared" ref="S1956:S1973" si="1640">SUM(O1956:R1956)</f>
        <v>24</v>
      </c>
      <c r="T1956" s="26"/>
      <c r="U1956" s="47"/>
      <c r="V1956" s="27"/>
      <c r="W1956" s="34"/>
      <c r="X1956" s="35">
        <f t="shared" ref="X1956:X1973" si="1641">SUM(T1956:W1956)</f>
        <v>0</v>
      </c>
      <c r="Y1956" s="11">
        <f t="shared" si="1627"/>
        <v>24</v>
      </c>
      <c r="Z1956" s="99">
        <v>45740</v>
      </c>
      <c r="AA1956" s="58"/>
    </row>
    <row r="1957" spans="1:27" x14ac:dyDescent="0.15">
      <c r="A1957" s="12" t="s">
        <v>1629</v>
      </c>
      <c r="B1957" s="26">
        <v>1</v>
      </c>
      <c r="C1957" s="47"/>
      <c r="D1957" s="27"/>
      <c r="E1957" s="34"/>
      <c r="F1957" s="35">
        <f t="shared" si="1634"/>
        <v>1</v>
      </c>
      <c r="G1957" s="26"/>
      <c r="H1957" s="47"/>
      <c r="I1957" s="27"/>
      <c r="J1957" s="34"/>
      <c r="K1957" s="35">
        <f t="shared" si="1635"/>
        <v>0</v>
      </c>
      <c r="L1957" s="11">
        <f t="shared" si="1624"/>
        <v>1</v>
      </c>
      <c r="M1957" s="99">
        <v>45749</v>
      </c>
      <c r="N1957" s="57" t="s">
        <v>1622</v>
      </c>
      <c r="O1957" s="26"/>
      <c r="P1957" s="47">
        <v>2</v>
      </c>
      <c r="Q1957" s="27">
        <v>7</v>
      </c>
      <c r="R1957" s="34">
        <v>2</v>
      </c>
      <c r="S1957" s="35">
        <f t="shared" si="1640"/>
        <v>11</v>
      </c>
      <c r="T1957" s="26">
        <v>2</v>
      </c>
      <c r="U1957" s="47">
        <v>2</v>
      </c>
      <c r="V1957" s="27"/>
      <c r="W1957" s="34">
        <v>7</v>
      </c>
      <c r="X1957" s="35">
        <f t="shared" si="1641"/>
        <v>11</v>
      </c>
      <c r="Y1957" s="11">
        <f t="shared" si="1627"/>
        <v>22</v>
      </c>
      <c r="Z1957" s="99">
        <v>45736</v>
      </c>
      <c r="AA1957" s="58"/>
    </row>
    <row r="1958" spans="1:27" x14ac:dyDescent="0.15">
      <c r="A1958" s="32" t="s">
        <v>41</v>
      </c>
      <c r="B1958" s="26"/>
      <c r="C1958" s="47"/>
      <c r="D1958" s="27"/>
      <c r="E1958" s="34"/>
      <c r="F1958" s="35">
        <f t="shared" si="1634"/>
        <v>0</v>
      </c>
      <c r="G1958" s="26"/>
      <c r="H1958" s="47"/>
      <c r="I1958" s="27">
        <v>1</v>
      </c>
      <c r="J1958" s="34"/>
      <c r="K1958" s="35">
        <f t="shared" si="1635"/>
        <v>1</v>
      </c>
      <c r="L1958" s="11">
        <f t="shared" si="1624"/>
        <v>1</v>
      </c>
      <c r="M1958" s="99">
        <v>45747</v>
      </c>
      <c r="N1958" s="57" t="s">
        <v>1624</v>
      </c>
      <c r="O1958" s="26"/>
      <c r="P1958" s="47"/>
      <c r="Q1958" s="27">
        <v>5</v>
      </c>
      <c r="R1958" s="34"/>
      <c r="S1958" s="35">
        <f t="shared" si="1640"/>
        <v>5</v>
      </c>
      <c r="T1958" s="26"/>
      <c r="U1958" s="47"/>
      <c r="V1958" s="27">
        <v>5</v>
      </c>
      <c r="W1958" s="34"/>
      <c r="X1958" s="35">
        <f t="shared" si="1641"/>
        <v>5</v>
      </c>
      <c r="Y1958" s="11">
        <f t="shared" si="1627"/>
        <v>10</v>
      </c>
      <c r="Z1958" s="99">
        <v>45738</v>
      </c>
      <c r="AA1958" s="58"/>
    </row>
    <row r="1959" spans="1:27" x14ac:dyDescent="0.15">
      <c r="A1959" s="32" t="s">
        <v>41</v>
      </c>
      <c r="B1959" s="26">
        <v>1</v>
      </c>
      <c r="C1959" s="47"/>
      <c r="D1959" s="27"/>
      <c r="E1959" s="34"/>
      <c r="F1959" s="35">
        <f t="shared" si="1634"/>
        <v>1</v>
      </c>
      <c r="G1959" s="26"/>
      <c r="H1959" s="47"/>
      <c r="I1959" s="27"/>
      <c r="J1959" s="34"/>
      <c r="K1959" s="35">
        <f t="shared" si="1635"/>
        <v>0</v>
      </c>
      <c r="L1959" s="11">
        <f t="shared" si="1624"/>
        <v>1</v>
      </c>
      <c r="M1959" s="126">
        <v>45748</v>
      </c>
      <c r="N1959" s="12" t="s">
        <v>34</v>
      </c>
      <c r="O1959" s="26">
        <v>3</v>
      </c>
      <c r="P1959" s="47"/>
      <c r="Q1959" s="27"/>
      <c r="R1959" s="34">
        <v>3</v>
      </c>
      <c r="S1959" s="35">
        <f>SUM(O1959:R1959)</f>
        <v>6</v>
      </c>
      <c r="T1959" s="26"/>
      <c r="U1959" s="47"/>
      <c r="V1959" s="27">
        <v>3</v>
      </c>
      <c r="W1959" s="34">
        <v>3</v>
      </c>
      <c r="X1959" s="35">
        <f>SUM(T1959:W1959)</f>
        <v>6</v>
      </c>
      <c r="Y1959" s="11">
        <f t="shared" si="1627"/>
        <v>12</v>
      </c>
      <c r="Z1959" s="99">
        <v>45743</v>
      </c>
      <c r="AA1959" s="58"/>
    </row>
    <row r="1960" spans="1:27" x14ac:dyDescent="0.15">
      <c r="A1960" s="12" t="s">
        <v>1632</v>
      </c>
      <c r="B1960" s="26">
        <v>1</v>
      </c>
      <c r="C1960" s="47"/>
      <c r="D1960" s="27"/>
      <c r="E1960" s="34"/>
      <c r="F1960" s="35">
        <f t="shared" si="1634"/>
        <v>1</v>
      </c>
      <c r="G1960" s="26"/>
      <c r="H1960" s="47"/>
      <c r="I1960" s="27"/>
      <c r="J1960" s="34"/>
      <c r="K1960" s="35">
        <f t="shared" si="1635"/>
        <v>0</v>
      </c>
      <c r="L1960" s="11">
        <f t="shared" si="1624"/>
        <v>1</v>
      </c>
      <c r="M1960" s="99">
        <v>45751</v>
      </c>
      <c r="N1960" s="57" t="s">
        <v>1628</v>
      </c>
      <c r="O1960" s="26">
        <v>10</v>
      </c>
      <c r="P1960" s="47"/>
      <c r="Q1960" s="27"/>
      <c r="R1960" s="34"/>
      <c r="S1960" s="35">
        <f t="shared" si="1640"/>
        <v>10</v>
      </c>
      <c r="T1960" s="26"/>
      <c r="U1960" s="47"/>
      <c r="V1960" s="27"/>
      <c r="W1960" s="34"/>
      <c r="X1960" s="35">
        <f t="shared" si="1641"/>
        <v>0</v>
      </c>
      <c r="Y1960" s="11">
        <f t="shared" si="1627"/>
        <v>10</v>
      </c>
      <c r="Z1960" s="99">
        <v>45748</v>
      </c>
      <c r="AA1960" s="58"/>
    </row>
    <row r="1961" spans="1:27" x14ac:dyDescent="0.15">
      <c r="A1961" s="32" t="s">
        <v>41</v>
      </c>
      <c r="B1961" s="26"/>
      <c r="C1961" s="47"/>
      <c r="D1961" s="27"/>
      <c r="E1961" s="34">
        <v>1</v>
      </c>
      <c r="F1961" s="35">
        <f t="shared" si="1634"/>
        <v>1</v>
      </c>
      <c r="G1961" s="26"/>
      <c r="H1961" s="47"/>
      <c r="I1961" s="27"/>
      <c r="J1961" s="34"/>
      <c r="K1961" s="35">
        <f t="shared" si="1635"/>
        <v>0</v>
      </c>
      <c r="L1961" s="11">
        <f t="shared" si="1624"/>
        <v>1</v>
      </c>
      <c r="M1961" s="99">
        <v>45749</v>
      </c>
      <c r="N1961" s="57" t="s">
        <v>1633</v>
      </c>
      <c r="O1961" s="26"/>
      <c r="P1961" s="47"/>
      <c r="Q1961" s="27"/>
      <c r="R1961" s="34"/>
      <c r="S1961" s="35">
        <f t="shared" si="1640"/>
        <v>0</v>
      </c>
      <c r="T1961" s="26"/>
      <c r="U1961" s="47">
        <v>5</v>
      </c>
      <c r="V1961" s="27"/>
      <c r="W1961" s="34"/>
      <c r="X1961" s="35">
        <f t="shared" si="1641"/>
        <v>5</v>
      </c>
      <c r="Y1961" s="11">
        <f t="shared" si="1627"/>
        <v>5</v>
      </c>
      <c r="Z1961" s="99">
        <v>45750</v>
      </c>
    </row>
    <row r="1962" spans="1:27" x14ac:dyDescent="0.15">
      <c r="A1962" s="15" t="s">
        <v>1634</v>
      </c>
      <c r="B1962" s="26">
        <v>-3</v>
      </c>
      <c r="C1962" s="47"/>
      <c r="D1962" s="27"/>
      <c r="E1962" s="34"/>
      <c r="F1962" s="35">
        <f t="shared" si="1634"/>
        <v>-3</v>
      </c>
      <c r="G1962" s="26"/>
      <c r="H1962" s="47"/>
      <c r="I1962" s="27"/>
      <c r="J1962" s="34"/>
      <c r="K1962" s="35">
        <f t="shared" si="1635"/>
        <v>0</v>
      </c>
      <c r="L1962" s="11">
        <f t="shared" si="1624"/>
        <v>-3</v>
      </c>
      <c r="M1962" s="99">
        <v>45750</v>
      </c>
      <c r="N1962" s="12" t="s">
        <v>34</v>
      </c>
      <c r="O1962" s="26">
        <v>3</v>
      </c>
      <c r="P1962" s="47"/>
      <c r="Q1962" s="27"/>
      <c r="R1962" s="34"/>
      <c r="S1962" s="35">
        <f t="shared" si="1640"/>
        <v>3</v>
      </c>
      <c r="T1962" s="26"/>
      <c r="U1962" s="47"/>
      <c r="V1962" s="27"/>
      <c r="W1962" s="34"/>
      <c r="X1962" s="35">
        <f t="shared" si="1641"/>
        <v>0</v>
      </c>
      <c r="Y1962" s="11">
        <f t="shared" si="1627"/>
        <v>3</v>
      </c>
      <c r="Z1962" s="99">
        <v>45750</v>
      </c>
    </row>
    <row r="1963" spans="1:27" x14ac:dyDescent="0.15">
      <c r="A1963" s="12" t="s">
        <v>1635</v>
      </c>
      <c r="B1963" s="26"/>
      <c r="C1963" s="47"/>
      <c r="D1963" s="27"/>
      <c r="E1963" s="34"/>
      <c r="F1963" s="35">
        <f t="shared" si="1634"/>
        <v>0</v>
      </c>
      <c r="G1963" s="26">
        <v>1</v>
      </c>
      <c r="H1963" s="47"/>
      <c r="I1963" s="27"/>
      <c r="J1963" s="34"/>
      <c r="K1963" s="35">
        <f t="shared" si="1635"/>
        <v>1</v>
      </c>
      <c r="L1963" s="11">
        <f t="shared" si="1624"/>
        <v>1</v>
      </c>
      <c r="M1963" s="99">
        <v>45751</v>
      </c>
      <c r="N1963" s="12" t="s">
        <v>1636</v>
      </c>
      <c r="O1963" s="26"/>
      <c r="P1963" s="47"/>
      <c r="Q1963" s="27"/>
      <c r="R1963" s="34"/>
      <c r="S1963" s="35">
        <f t="shared" si="1640"/>
        <v>0</v>
      </c>
      <c r="T1963" s="26"/>
      <c r="U1963" s="47">
        <v>5</v>
      </c>
      <c r="V1963" s="27"/>
      <c r="W1963" s="34"/>
      <c r="X1963" s="35">
        <f t="shared" si="1641"/>
        <v>5</v>
      </c>
      <c r="Y1963" s="11">
        <f t="shared" si="1627"/>
        <v>5</v>
      </c>
      <c r="Z1963" s="99">
        <v>45757</v>
      </c>
    </row>
    <row r="1964" spans="1:27" x14ac:dyDescent="0.15">
      <c r="A1964" s="32" t="s">
        <v>41</v>
      </c>
      <c r="B1964" s="26"/>
      <c r="C1964" s="47"/>
      <c r="D1964" s="27"/>
      <c r="E1964" s="34"/>
      <c r="F1964" s="35">
        <f t="shared" si="1634"/>
        <v>0</v>
      </c>
      <c r="G1964" s="26"/>
      <c r="H1964" s="47"/>
      <c r="I1964" s="27">
        <v>1</v>
      </c>
      <c r="J1964" s="34"/>
      <c r="K1964" s="35">
        <f t="shared" si="1635"/>
        <v>1</v>
      </c>
      <c r="L1964" s="11">
        <f t="shared" si="1624"/>
        <v>1</v>
      </c>
      <c r="M1964" s="99">
        <v>45750</v>
      </c>
      <c r="N1964" s="57" t="s">
        <v>1637</v>
      </c>
      <c r="O1964" s="26"/>
      <c r="P1964" s="47"/>
      <c r="Q1964" s="27"/>
      <c r="R1964" s="34"/>
      <c r="S1964" s="35">
        <f t="shared" si="1640"/>
        <v>0</v>
      </c>
      <c r="T1964" s="26"/>
      <c r="U1964" s="47"/>
      <c r="V1964" s="27">
        <v>5</v>
      </c>
      <c r="W1964" s="34">
        <v>10</v>
      </c>
      <c r="X1964" s="35">
        <f t="shared" si="1641"/>
        <v>15</v>
      </c>
      <c r="Y1964" s="11">
        <f t="shared" si="1627"/>
        <v>15</v>
      </c>
      <c r="Z1964" s="99">
        <v>45751</v>
      </c>
    </row>
    <row r="1965" spans="1:27" x14ac:dyDescent="0.15">
      <c r="A1965" s="12" t="s">
        <v>1639</v>
      </c>
      <c r="B1965" s="26"/>
      <c r="C1965" s="47"/>
      <c r="D1965" s="27"/>
      <c r="E1965" s="34"/>
      <c r="F1965" s="35">
        <f t="shared" si="1634"/>
        <v>0</v>
      </c>
      <c r="G1965" s="26"/>
      <c r="H1965" s="47"/>
      <c r="I1965" s="27">
        <v>1</v>
      </c>
      <c r="J1965" s="34"/>
      <c r="K1965" s="35">
        <f t="shared" si="1635"/>
        <v>1</v>
      </c>
      <c r="L1965" s="11">
        <f t="shared" si="1624"/>
        <v>1</v>
      </c>
      <c r="M1965" s="99">
        <v>45756</v>
      </c>
      <c r="N1965" s="57" t="s">
        <v>1638</v>
      </c>
      <c r="O1965" s="26">
        <v>3</v>
      </c>
      <c r="P1965" s="47"/>
      <c r="Q1965" s="27"/>
      <c r="R1965" s="34"/>
      <c r="S1965" s="35">
        <f t="shared" si="1640"/>
        <v>3</v>
      </c>
      <c r="T1965" s="26"/>
      <c r="U1965" s="47"/>
      <c r="V1965" s="27"/>
      <c r="W1965" s="34"/>
      <c r="X1965" s="35">
        <f t="shared" si="1641"/>
        <v>0</v>
      </c>
      <c r="Y1965" s="11">
        <f t="shared" si="1627"/>
        <v>3</v>
      </c>
      <c r="Z1965" s="99">
        <v>45752</v>
      </c>
    </row>
    <row r="1966" spans="1:27" x14ac:dyDescent="0.15">
      <c r="A1966" s="32" t="s">
        <v>41</v>
      </c>
      <c r="B1966" s="26"/>
      <c r="C1966" s="47"/>
      <c r="D1966" s="27"/>
      <c r="E1966" s="34"/>
      <c r="F1966" s="35">
        <f t="shared" si="1634"/>
        <v>0</v>
      </c>
      <c r="G1966" s="26">
        <v>1</v>
      </c>
      <c r="H1966" s="47"/>
      <c r="I1966" s="27"/>
      <c r="J1966" s="34"/>
      <c r="K1966" s="35">
        <f t="shared" si="1635"/>
        <v>1</v>
      </c>
      <c r="L1966" s="11">
        <f t="shared" si="1624"/>
        <v>1</v>
      </c>
      <c r="M1966" s="99">
        <v>45754</v>
      </c>
      <c r="N1966" s="57" t="s">
        <v>1640</v>
      </c>
      <c r="O1966" s="26"/>
      <c r="P1966" s="47">
        <v>1</v>
      </c>
      <c r="Q1966" s="27"/>
      <c r="R1966" s="34"/>
      <c r="S1966" s="35">
        <f t="shared" ref="S1966" si="1642">SUM(O1966:R1966)</f>
        <v>1</v>
      </c>
      <c r="T1966" s="26"/>
      <c r="U1966" s="47"/>
      <c r="V1966" s="27"/>
      <c r="W1966" s="34"/>
      <c r="X1966" s="35">
        <f t="shared" ref="X1966" si="1643">SUM(T1966:W1966)</f>
        <v>0</v>
      </c>
      <c r="Y1966" s="11">
        <f t="shared" ref="Y1966" si="1644">S1966+X1966</f>
        <v>1</v>
      </c>
      <c r="Z1966" s="99">
        <v>45755</v>
      </c>
    </row>
    <row r="1967" spans="1:27" x14ac:dyDescent="0.15">
      <c r="A1967" s="32" t="s">
        <v>1641</v>
      </c>
      <c r="B1967" s="26"/>
      <c r="C1967" s="47"/>
      <c r="D1967" s="27"/>
      <c r="E1967" s="34"/>
      <c r="F1967" s="35">
        <f t="shared" si="1634"/>
        <v>0</v>
      </c>
      <c r="G1967" s="26"/>
      <c r="H1967" s="47"/>
      <c r="I1967" s="27">
        <v>-3</v>
      </c>
      <c r="J1967" s="34"/>
      <c r="K1967" s="35">
        <f t="shared" si="1635"/>
        <v>-3</v>
      </c>
      <c r="L1967" s="11">
        <f t="shared" si="1624"/>
        <v>-3</v>
      </c>
      <c r="M1967" s="99">
        <v>45755</v>
      </c>
      <c r="N1967" s="57"/>
      <c r="O1967" s="26"/>
      <c r="P1967" s="47"/>
      <c r="Q1967" s="27"/>
      <c r="R1967" s="34"/>
      <c r="S1967" s="35">
        <f t="shared" ref="S1967:S1968" si="1645">SUM(O1967:R1967)</f>
        <v>0</v>
      </c>
      <c r="T1967" s="26"/>
      <c r="U1967" s="47"/>
      <c r="V1967" s="27"/>
      <c r="W1967" s="34"/>
      <c r="X1967" s="35">
        <f t="shared" ref="X1967:X1968" si="1646">SUM(T1967:W1967)</f>
        <v>0</v>
      </c>
      <c r="Y1967" s="11">
        <f t="shared" ref="Y1967:Y1968" si="1647">S1967+X1967</f>
        <v>0</v>
      </c>
      <c r="Z1967" s="101"/>
    </row>
    <row r="1968" spans="1:27" x14ac:dyDescent="0.15">
      <c r="A1968" s="12" t="s">
        <v>1642</v>
      </c>
      <c r="B1968" s="26"/>
      <c r="C1968" s="47"/>
      <c r="D1968" s="27"/>
      <c r="E1968" s="34">
        <v>1</v>
      </c>
      <c r="F1968" s="35">
        <f t="shared" si="1634"/>
        <v>1</v>
      </c>
      <c r="G1968" s="26"/>
      <c r="H1968" s="47"/>
      <c r="I1968" s="27"/>
      <c r="J1968" s="34">
        <v>1</v>
      </c>
      <c r="K1968" s="35">
        <f t="shared" si="1635"/>
        <v>1</v>
      </c>
      <c r="L1968" s="11">
        <f t="shared" si="1624"/>
        <v>2</v>
      </c>
      <c r="M1968" s="99">
        <v>45757</v>
      </c>
      <c r="N1968" s="57"/>
      <c r="O1968" s="26"/>
      <c r="P1968" s="47"/>
      <c r="Q1968" s="27"/>
      <c r="R1968" s="34"/>
      <c r="S1968" s="35">
        <f t="shared" si="1645"/>
        <v>0</v>
      </c>
      <c r="T1968" s="26"/>
      <c r="U1968" s="47"/>
      <c r="V1968" s="27"/>
      <c r="W1968" s="34"/>
      <c r="X1968" s="35">
        <f t="shared" si="1646"/>
        <v>0</v>
      </c>
      <c r="Y1968" s="11">
        <f t="shared" si="1647"/>
        <v>0</v>
      </c>
      <c r="Z1968" s="101"/>
    </row>
    <row r="1969" spans="1:26" x14ac:dyDescent="0.15">
      <c r="A1969" s="57" t="s">
        <v>1643</v>
      </c>
      <c r="B1969" s="26"/>
      <c r="C1969" s="47">
        <v>1</v>
      </c>
      <c r="D1969" s="27"/>
      <c r="E1969" s="34"/>
      <c r="F1969" s="35">
        <f t="shared" si="1634"/>
        <v>1</v>
      </c>
      <c r="G1969" s="26"/>
      <c r="H1969" s="47"/>
      <c r="I1969" s="27"/>
      <c r="J1969" s="34"/>
      <c r="K1969" s="35">
        <f t="shared" si="1635"/>
        <v>0</v>
      </c>
      <c r="L1969" s="11">
        <f t="shared" si="1624"/>
        <v>1</v>
      </c>
      <c r="M1969" s="99">
        <v>45758</v>
      </c>
      <c r="N1969" s="173" t="s">
        <v>1555</v>
      </c>
      <c r="O1969" s="154"/>
      <c r="P1969" s="155"/>
      <c r="Q1969" s="156"/>
      <c r="R1969" s="157"/>
      <c r="S1969" s="158">
        <f t="shared" si="1640"/>
        <v>0</v>
      </c>
      <c r="T1969" s="154"/>
      <c r="U1969" s="155"/>
      <c r="V1969" s="156"/>
      <c r="W1969" s="157"/>
      <c r="X1969" s="158">
        <f t="shared" si="1641"/>
        <v>0</v>
      </c>
      <c r="Y1969" s="179">
        <f t="shared" si="1627"/>
        <v>0</v>
      </c>
      <c r="Z1969" s="101"/>
    </row>
    <row r="1970" spans="1:26" x14ac:dyDescent="0.15">
      <c r="A1970" s="32" t="s">
        <v>1647</v>
      </c>
      <c r="B1970" s="26">
        <v>1</v>
      </c>
      <c r="C1970" s="47">
        <v>1</v>
      </c>
      <c r="D1970" s="27"/>
      <c r="E1970" s="34"/>
      <c r="F1970" s="35">
        <f t="shared" si="1634"/>
        <v>2</v>
      </c>
      <c r="G1970" s="26"/>
      <c r="H1970" s="47"/>
      <c r="I1970" s="27">
        <v>1</v>
      </c>
      <c r="J1970" s="34"/>
      <c r="K1970" s="35">
        <f t="shared" si="1635"/>
        <v>1</v>
      </c>
      <c r="L1970" s="11">
        <f t="shared" si="1624"/>
        <v>3</v>
      </c>
      <c r="M1970" s="99">
        <v>45758</v>
      </c>
      <c r="N1970" s="57" t="s">
        <v>1539</v>
      </c>
      <c r="O1970" s="26"/>
      <c r="P1970" s="47"/>
      <c r="Q1970" s="27"/>
      <c r="R1970" s="34"/>
      <c r="S1970" s="35">
        <f t="shared" si="1640"/>
        <v>0</v>
      </c>
      <c r="T1970" s="26"/>
      <c r="U1970" s="47"/>
      <c r="V1970" s="27"/>
      <c r="W1970" s="34"/>
      <c r="X1970" s="35">
        <f t="shared" si="1641"/>
        <v>0</v>
      </c>
      <c r="Y1970" s="11">
        <f t="shared" si="1627"/>
        <v>0</v>
      </c>
      <c r="Z1970" s="101" t="s">
        <v>1540</v>
      </c>
    </row>
    <row r="1971" spans="1:26" x14ac:dyDescent="0.15">
      <c r="A1971" s="32" t="s">
        <v>41</v>
      </c>
      <c r="B1971" s="26"/>
      <c r="C1971" s="47"/>
      <c r="D1971" s="27"/>
      <c r="E1971" s="34"/>
      <c r="F1971" s="35">
        <f t="shared" si="1634"/>
        <v>0</v>
      </c>
      <c r="G1971" s="26">
        <v>1</v>
      </c>
      <c r="H1971" s="47"/>
      <c r="I1971" s="27"/>
      <c r="J1971" s="34"/>
      <c r="K1971" s="35">
        <f t="shared" si="1635"/>
        <v>1</v>
      </c>
      <c r="L1971" s="11">
        <f t="shared" si="1624"/>
        <v>1</v>
      </c>
      <c r="M1971" s="99">
        <v>45756</v>
      </c>
      <c r="N1971" s="57" t="s">
        <v>1611</v>
      </c>
      <c r="O1971" s="26"/>
      <c r="P1971" s="47"/>
      <c r="Q1971" s="27"/>
      <c r="R1971" s="34"/>
      <c r="S1971" s="35">
        <f t="shared" si="1640"/>
        <v>0</v>
      </c>
      <c r="T1971" s="26"/>
      <c r="U1971" s="47"/>
      <c r="V1971" s="27"/>
      <c r="W1971" s="34"/>
      <c r="X1971" s="35">
        <f t="shared" si="1641"/>
        <v>0</v>
      </c>
      <c r="Y1971" s="11">
        <f t="shared" si="1627"/>
        <v>0</v>
      </c>
      <c r="Z1971" s="101" t="s">
        <v>1612</v>
      </c>
    </row>
    <row r="1972" spans="1:26" ht="14.25" thickBot="1" x14ac:dyDescent="0.2">
      <c r="A1972" s="13" t="s">
        <v>49</v>
      </c>
      <c r="B1972" s="62"/>
      <c r="C1972" s="63"/>
      <c r="D1972" s="64">
        <v>-1</v>
      </c>
      <c r="E1972" s="65"/>
      <c r="F1972" s="35">
        <f t="shared" si="1634"/>
        <v>-1</v>
      </c>
      <c r="G1972" s="62">
        <v>-1</v>
      </c>
      <c r="H1972" s="63"/>
      <c r="I1972" s="64">
        <v>-1</v>
      </c>
      <c r="J1972" s="65"/>
      <c r="K1972" s="35">
        <f t="shared" si="1635"/>
        <v>-2</v>
      </c>
      <c r="L1972" s="14">
        <f t="shared" si="1624"/>
        <v>-3</v>
      </c>
      <c r="M1972" s="126">
        <v>45757</v>
      </c>
      <c r="N1972" s="135" t="s">
        <v>1537</v>
      </c>
      <c r="O1972" s="62"/>
      <c r="P1972" s="63"/>
      <c r="Q1972" s="64"/>
      <c r="R1972" s="65"/>
      <c r="S1972" s="120">
        <f t="shared" si="1640"/>
        <v>0</v>
      </c>
      <c r="T1972" s="62"/>
      <c r="U1972" s="63"/>
      <c r="V1972" s="64"/>
      <c r="W1972" s="65"/>
      <c r="X1972" s="120">
        <f t="shared" si="1641"/>
        <v>0</v>
      </c>
      <c r="Y1972" s="121">
        <f t="shared" si="1627"/>
        <v>0</v>
      </c>
      <c r="Z1972" s="101" t="s">
        <v>1538</v>
      </c>
    </row>
    <row r="1973" spans="1:26" ht="14.25" thickBot="1" x14ac:dyDescent="0.2">
      <c r="A1973" s="17" t="s">
        <v>10</v>
      </c>
      <c r="B1973" s="38">
        <f>SUM(B1948:B1972)</f>
        <v>4</v>
      </c>
      <c r="C1973" s="48">
        <f>SUM(C1948:C1972)</f>
        <v>2</v>
      </c>
      <c r="D1973" s="39">
        <f>SUM(D1948:D1972)</f>
        <v>5</v>
      </c>
      <c r="E1973" s="40">
        <f>SUM(E1948:E1972)</f>
        <v>4</v>
      </c>
      <c r="F1973" s="36">
        <f>SUM(B1973:E1973)</f>
        <v>15</v>
      </c>
      <c r="G1973" s="38">
        <f>SUM(G1948:G1972)</f>
        <v>3</v>
      </c>
      <c r="H1973" s="48">
        <f>SUM(H1948:H1972)</f>
        <v>2</v>
      </c>
      <c r="I1973" s="39">
        <f>SUM(I1948:I1972)</f>
        <v>3</v>
      </c>
      <c r="J1973" s="40">
        <f>SUM(J1948:J1972)</f>
        <v>3</v>
      </c>
      <c r="K1973" s="36">
        <f>SUM(G1973:J1973)</f>
        <v>11</v>
      </c>
      <c r="L1973" s="37">
        <f t="shared" si="1624"/>
        <v>26</v>
      </c>
      <c r="N1973" s="133" t="s">
        <v>10</v>
      </c>
      <c r="O1973" s="38">
        <f>SUM(O1948:O1972)</f>
        <v>58</v>
      </c>
      <c r="P1973" s="48">
        <f>SUM(P1948:P1972)</f>
        <v>84</v>
      </c>
      <c r="Q1973" s="39">
        <f>SUM(Q1948:Q1972)</f>
        <v>62</v>
      </c>
      <c r="R1973" s="40">
        <f>SUM(R1948:R1972)</f>
        <v>36</v>
      </c>
      <c r="S1973" s="118">
        <f t="shared" si="1640"/>
        <v>240</v>
      </c>
      <c r="T1973" s="38">
        <f>SUM(T1948:T1972)</f>
        <v>15</v>
      </c>
      <c r="U1973" s="48">
        <f>SUM(U1948:U1972)</f>
        <v>24</v>
      </c>
      <c r="V1973" s="39">
        <f>SUM(V1948:V1972)</f>
        <v>26</v>
      </c>
      <c r="W1973" s="40">
        <f>SUM(W1948:W1972)</f>
        <v>33</v>
      </c>
      <c r="X1973" s="118">
        <f t="shared" si="1641"/>
        <v>98</v>
      </c>
      <c r="Y1973" s="119">
        <f t="shared" si="1627"/>
        <v>338</v>
      </c>
    </row>
    <row r="1974" spans="1:26" ht="14.25" thickBot="1" x14ac:dyDescent="0.2">
      <c r="A1974" s="22" t="s">
        <v>11</v>
      </c>
      <c r="B1974" s="41">
        <f>B1947-B1973</f>
        <v>5</v>
      </c>
      <c r="C1974" s="49">
        <f>C1947-C1973</f>
        <v>13</v>
      </c>
      <c r="D1974" s="42">
        <f t="shared" ref="D1974:K1974" si="1648">D1947-D1973</f>
        <v>7</v>
      </c>
      <c r="E1974" s="43">
        <f t="shared" si="1648"/>
        <v>7</v>
      </c>
      <c r="F1974" s="61">
        <f t="shared" si="1648"/>
        <v>28</v>
      </c>
      <c r="G1974" s="41">
        <f t="shared" si="1648"/>
        <v>10</v>
      </c>
      <c r="H1974" s="49">
        <f t="shared" si="1648"/>
        <v>9</v>
      </c>
      <c r="I1974" s="42">
        <f t="shared" si="1648"/>
        <v>6</v>
      </c>
      <c r="J1974" s="43">
        <f t="shared" si="1648"/>
        <v>5</v>
      </c>
      <c r="K1974" s="61">
        <f t="shared" si="1648"/>
        <v>30</v>
      </c>
      <c r="L1974" s="21">
        <f t="shared" si="1624"/>
        <v>58</v>
      </c>
      <c r="N1974" s="17" t="s">
        <v>11</v>
      </c>
      <c r="O1974" s="41">
        <f>O1947-O1973</f>
        <v>697</v>
      </c>
      <c r="P1974" s="49">
        <f t="shared" ref="P1974:Q1974" si="1649">P1947-P1973</f>
        <v>816</v>
      </c>
      <c r="Q1974" s="42">
        <f t="shared" si="1649"/>
        <v>566</v>
      </c>
      <c r="R1974" s="43">
        <f>R1947-R1973</f>
        <v>450</v>
      </c>
      <c r="S1974" s="61">
        <f t="shared" ref="S1974:X1974" si="1650">S1947-S1973</f>
        <v>2529</v>
      </c>
      <c r="T1974" s="41">
        <f t="shared" si="1650"/>
        <v>581</v>
      </c>
      <c r="U1974" s="49">
        <f t="shared" si="1650"/>
        <v>702</v>
      </c>
      <c r="V1974" s="42">
        <f t="shared" si="1650"/>
        <v>432</v>
      </c>
      <c r="W1974" s="43">
        <f t="shared" si="1650"/>
        <v>337</v>
      </c>
      <c r="X1974" s="61">
        <f t="shared" si="1650"/>
        <v>2052</v>
      </c>
      <c r="Y1974" s="21">
        <f t="shared" si="1627"/>
        <v>4581</v>
      </c>
    </row>
    <row r="1975" spans="1:26" x14ac:dyDescent="0.15">
      <c r="O1975" s="125">
        <f>O1974/$S$1974*100</f>
        <v>27.560300514037166</v>
      </c>
      <c r="P1975" s="125">
        <f t="shared" ref="P1975:S1975" si="1651">P1974/$S$1974*100</f>
        <v>32.265717674970347</v>
      </c>
      <c r="Q1975" s="125">
        <f t="shared" si="1651"/>
        <v>22.380387504942664</v>
      </c>
      <c r="R1975" s="125">
        <f t="shared" si="1651"/>
        <v>17.793594306049823</v>
      </c>
      <c r="S1975" s="125">
        <f t="shared" si="1651"/>
        <v>100</v>
      </c>
      <c r="T1975" s="125">
        <f>T1974/$X$1974*100</f>
        <v>28.313840155945417</v>
      </c>
      <c r="U1975" s="125">
        <f t="shared" ref="U1975:X1975" si="1652">U1974/$X$1974*100</f>
        <v>34.210526315789473</v>
      </c>
      <c r="V1975" s="125">
        <f t="shared" si="1652"/>
        <v>21.052631578947366</v>
      </c>
      <c r="W1975" s="125">
        <f t="shared" si="1652"/>
        <v>16.42300194931774</v>
      </c>
      <c r="X1975" s="125">
        <f t="shared" si="1652"/>
        <v>100</v>
      </c>
    </row>
    <row r="1976" spans="1:26" x14ac:dyDescent="0.15">
      <c r="O1976" s="215">
        <v>28.7</v>
      </c>
      <c r="P1976" s="215">
        <v>35.299999999999997</v>
      </c>
      <c r="Q1976" s="215">
        <v>21.9</v>
      </c>
      <c r="R1976" s="211">
        <v>14.1</v>
      </c>
      <c r="S1976" s="215">
        <f>SUM(O1976:R1976)</f>
        <v>100</v>
      </c>
      <c r="T1976" s="215">
        <v>27.2</v>
      </c>
      <c r="U1976" s="215">
        <v>32.9</v>
      </c>
      <c r="V1976" s="215">
        <v>23.2</v>
      </c>
      <c r="W1976" s="215">
        <v>16.7</v>
      </c>
      <c r="X1976" s="215">
        <f>SUM(T1976:W1976)</f>
        <v>100</v>
      </c>
    </row>
    <row r="1977" spans="1:26" ht="19.5" thickBot="1" x14ac:dyDescent="0.25">
      <c r="A1977" s="2" t="s">
        <v>106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1036</v>
      </c>
      <c r="O1977" s="270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6" ht="14.25" thickBot="1" x14ac:dyDescent="0.2">
      <c r="A1978" s="5" t="s">
        <v>0</v>
      </c>
      <c r="B1978" s="342" t="s">
        <v>18</v>
      </c>
      <c r="C1978" s="350"/>
      <c r="D1978" s="350"/>
      <c r="E1978" s="350"/>
      <c r="F1978" s="351"/>
      <c r="G1978" s="345" t="s">
        <v>12</v>
      </c>
      <c r="H1978" s="352"/>
      <c r="I1978" s="352"/>
      <c r="J1978" s="352"/>
      <c r="K1978" s="353"/>
      <c r="L1978" s="354" t="s">
        <v>1</v>
      </c>
      <c r="N1978" s="5" t="s">
        <v>0</v>
      </c>
      <c r="O1978" s="342" t="s">
        <v>18</v>
      </c>
      <c r="P1978" s="343"/>
      <c r="Q1978" s="343"/>
      <c r="R1978" s="343"/>
      <c r="S1978" s="344"/>
      <c r="T1978" s="345" t="s">
        <v>12</v>
      </c>
      <c r="U1978" s="346"/>
      <c r="V1978" s="346"/>
      <c r="W1978" s="346"/>
      <c r="X1978" s="347"/>
      <c r="Y1978" s="348" t="s">
        <v>1</v>
      </c>
    </row>
    <row r="1979" spans="1:26" ht="14.25" thickBot="1" x14ac:dyDescent="0.2">
      <c r="A1979" s="5" t="s">
        <v>2</v>
      </c>
      <c r="B1979" s="3" t="s">
        <v>13</v>
      </c>
      <c r="C1979" s="44" t="s">
        <v>14</v>
      </c>
      <c r="D1979" s="4" t="s">
        <v>15</v>
      </c>
      <c r="E1979" s="23" t="s">
        <v>16</v>
      </c>
      <c r="F1979" s="31" t="s">
        <v>3</v>
      </c>
      <c r="G1979" s="3" t="s">
        <v>13</v>
      </c>
      <c r="H1979" s="44" t="s">
        <v>14</v>
      </c>
      <c r="I1979" s="4" t="s">
        <v>15</v>
      </c>
      <c r="J1979" s="23" t="s">
        <v>16</v>
      </c>
      <c r="K1979" s="31" t="s">
        <v>3</v>
      </c>
      <c r="L1979" s="355"/>
      <c r="N1979" s="5" t="s">
        <v>2</v>
      </c>
      <c r="O1979" s="3" t="s">
        <v>13</v>
      </c>
      <c r="P1979" s="44" t="s">
        <v>14</v>
      </c>
      <c r="Q1979" s="4" t="s">
        <v>15</v>
      </c>
      <c r="R1979" s="23" t="s">
        <v>16</v>
      </c>
      <c r="S1979" s="31" t="s">
        <v>3</v>
      </c>
      <c r="T1979" s="3" t="s">
        <v>13</v>
      </c>
      <c r="U1979" s="44" t="s">
        <v>14</v>
      </c>
      <c r="V1979" s="4" t="s">
        <v>15</v>
      </c>
      <c r="W1979" s="23" t="s">
        <v>16</v>
      </c>
      <c r="X1979" s="31" t="s">
        <v>3</v>
      </c>
      <c r="Y1979" s="349"/>
    </row>
    <row r="1980" spans="1:26" x14ac:dyDescent="0.15">
      <c r="A1980" s="71" t="s">
        <v>17</v>
      </c>
      <c r="B1980" s="72">
        <f>B1974</f>
        <v>5</v>
      </c>
      <c r="C1980" s="73">
        <f t="shared" ref="C1980:L1980" si="1653">C1974</f>
        <v>13</v>
      </c>
      <c r="D1980" s="73">
        <f t="shared" si="1653"/>
        <v>7</v>
      </c>
      <c r="E1980" s="74">
        <f t="shared" si="1653"/>
        <v>7</v>
      </c>
      <c r="F1980" s="76">
        <f t="shared" si="1653"/>
        <v>28</v>
      </c>
      <c r="G1980" s="72">
        <f t="shared" si="1653"/>
        <v>10</v>
      </c>
      <c r="H1980" s="73">
        <f t="shared" si="1653"/>
        <v>9</v>
      </c>
      <c r="I1980" s="73">
        <f t="shared" si="1653"/>
        <v>6</v>
      </c>
      <c r="J1980" s="74">
        <f t="shared" si="1653"/>
        <v>5</v>
      </c>
      <c r="K1980" s="75">
        <f t="shared" si="1653"/>
        <v>30</v>
      </c>
      <c r="L1980" s="16">
        <f t="shared" si="1653"/>
        <v>58</v>
      </c>
      <c r="N1980" s="71" t="s">
        <v>17</v>
      </c>
      <c r="O1980" s="72">
        <f>O1974</f>
        <v>697</v>
      </c>
      <c r="P1980" s="73">
        <f t="shared" ref="P1980:Y1980" si="1654">P1974</f>
        <v>816</v>
      </c>
      <c r="Q1980" s="73">
        <f t="shared" si="1654"/>
        <v>566</v>
      </c>
      <c r="R1980" s="74">
        <f t="shared" si="1654"/>
        <v>450</v>
      </c>
      <c r="S1980" s="76">
        <f t="shared" si="1654"/>
        <v>2529</v>
      </c>
      <c r="T1980" s="72">
        <f t="shared" si="1654"/>
        <v>581</v>
      </c>
      <c r="U1980" s="73">
        <f t="shared" si="1654"/>
        <v>702</v>
      </c>
      <c r="V1980" s="73">
        <f t="shared" si="1654"/>
        <v>432</v>
      </c>
      <c r="W1980" s="74">
        <f t="shared" si="1654"/>
        <v>337</v>
      </c>
      <c r="X1980" s="75">
        <f t="shared" si="1654"/>
        <v>2052</v>
      </c>
      <c r="Y1980" s="16">
        <f t="shared" si="1654"/>
        <v>4581</v>
      </c>
    </row>
    <row r="1981" spans="1:26" x14ac:dyDescent="0.15">
      <c r="A1981" s="13" t="s">
        <v>191</v>
      </c>
      <c r="B1981" s="26">
        <v>10</v>
      </c>
      <c r="C1981" s="47">
        <v>14</v>
      </c>
      <c r="D1981" s="27">
        <v>8</v>
      </c>
      <c r="E1981" s="50">
        <v>3</v>
      </c>
      <c r="F1981" s="9">
        <f>SUM(B1981:E1981)</f>
        <v>35</v>
      </c>
      <c r="G1981" s="47">
        <v>6</v>
      </c>
      <c r="H1981" s="47">
        <v>1</v>
      </c>
      <c r="I1981" s="27">
        <v>2</v>
      </c>
      <c r="J1981" s="50">
        <v>2</v>
      </c>
      <c r="K1981" s="9">
        <f>SUM(G1981:J1981)</f>
        <v>11</v>
      </c>
      <c r="L1981" s="108">
        <f t="shared" ref="L1981:L1984" si="1655">F1981+K1981</f>
        <v>46</v>
      </c>
      <c r="M1981" s="99">
        <v>45763</v>
      </c>
      <c r="N1981" s="13" t="s">
        <v>565</v>
      </c>
      <c r="O1981" s="26"/>
      <c r="P1981" s="47"/>
      <c r="Q1981" s="27">
        <v>6</v>
      </c>
      <c r="R1981" s="34"/>
      <c r="S1981" s="77">
        <f>SUM(O1981:R1981)</f>
        <v>6</v>
      </c>
      <c r="T1981" s="26">
        <v>4</v>
      </c>
      <c r="U1981" s="47">
        <v>3</v>
      </c>
      <c r="V1981" s="27">
        <v>8</v>
      </c>
      <c r="W1981" s="34">
        <v>14</v>
      </c>
      <c r="X1981" s="9">
        <f>SUM(T1981:W1981)</f>
        <v>29</v>
      </c>
      <c r="Y1981" s="11">
        <f t="shared" ref="Y1981:Y1982" si="1656">S1981+X1981</f>
        <v>35</v>
      </c>
      <c r="Z1981" s="126">
        <v>45766</v>
      </c>
    </row>
    <row r="1982" spans="1:26" x14ac:dyDescent="0.15">
      <c r="A1982" s="13" t="s">
        <v>166</v>
      </c>
      <c r="B1982" s="26">
        <v>1</v>
      </c>
      <c r="C1982" s="47"/>
      <c r="D1982" s="27">
        <v>6</v>
      </c>
      <c r="E1982" s="50">
        <v>1</v>
      </c>
      <c r="F1982" s="9">
        <f>SUM(B1982:E1982)</f>
        <v>8</v>
      </c>
      <c r="G1982" s="47">
        <v>4</v>
      </c>
      <c r="H1982" s="47">
        <v>3</v>
      </c>
      <c r="I1982" s="27">
        <v>8</v>
      </c>
      <c r="J1982" s="50">
        <v>14</v>
      </c>
      <c r="K1982" s="9">
        <f>SUM(G1982:J1982)</f>
        <v>29</v>
      </c>
      <c r="L1982" s="11">
        <f t="shared" si="1655"/>
        <v>37</v>
      </c>
      <c r="M1982" s="126">
        <v>45765</v>
      </c>
      <c r="N1982" s="13" t="s">
        <v>565</v>
      </c>
      <c r="O1982" s="26">
        <v>9</v>
      </c>
      <c r="P1982" s="47">
        <v>19</v>
      </c>
      <c r="Q1982" s="27">
        <v>7</v>
      </c>
      <c r="R1982" s="34">
        <v>4</v>
      </c>
      <c r="S1982" s="77">
        <f t="shared" ref="S1982" si="1657">SUM(O1982:R1982)</f>
        <v>39</v>
      </c>
      <c r="T1982" s="26">
        <v>11</v>
      </c>
      <c r="U1982" s="47">
        <v>5</v>
      </c>
      <c r="V1982" s="27">
        <v>2</v>
      </c>
      <c r="W1982" s="34">
        <v>1</v>
      </c>
      <c r="X1982" s="9">
        <f t="shared" ref="X1982" si="1658">SUM(T1982:W1982)</f>
        <v>19</v>
      </c>
      <c r="Y1982" s="11">
        <f t="shared" si="1656"/>
        <v>58</v>
      </c>
      <c r="Z1982" s="126">
        <v>45766</v>
      </c>
    </row>
    <row r="1983" spans="1:26" x14ac:dyDescent="0.15">
      <c r="A1983" s="13" t="s">
        <v>49</v>
      </c>
      <c r="B1983" s="26">
        <v>1</v>
      </c>
      <c r="C1983" s="47"/>
      <c r="D1983" s="27"/>
      <c r="E1983" s="50"/>
      <c r="F1983" s="9">
        <f>SUM(B1983:E1983)</f>
        <v>1</v>
      </c>
      <c r="G1983" s="47"/>
      <c r="H1983" s="47"/>
      <c r="I1983" s="27"/>
      <c r="J1983" s="50"/>
      <c r="K1983" s="9">
        <f>SUM(G1983:J1983)</f>
        <v>0</v>
      </c>
      <c r="L1983" s="11">
        <f t="shared" si="1655"/>
        <v>1</v>
      </c>
      <c r="M1983" s="126">
        <v>45772</v>
      </c>
      <c r="N1983" s="13" t="s">
        <v>7</v>
      </c>
      <c r="O1983" s="26"/>
      <c r="P1983" s="47"/>
      <c r="Q1983" s="27"/>
      <c r="R1983" s="34"/>
      <c r="S1983" s="77">
        <f t="shared" ref="S1983:S1984" si="1659">SUM(O1983:R1983)</f>
        <v>0</v>
      </c>
      <c r="T1983" s="26"/>
      <c r="U1983" s="47"/>
      <c r="V1983" s="27"/>
      <c r="W1983" s="34"/>
      <c r="X1983" s="9">
        <f t="shared" ref="X1983:X1984" si="1660">SUM(T1983:W1983)</f>
        <v>0</v>
      </c>
      <c r="Y1983" s="11">
        <f t="shared" ref="Y1983:Y2012" si="1661">S1983+X1983</f>
        <v>0</v>
      </c>
    </row>
    <row r="1984" spans="1:26" ht="14.25" thickBot="1" x14ac:dyDescent="0.2">
      <c r="A1984" s="250" t="s">
        <v>5</v>
      </c>
      <c r="B1984" s="62"/>
      <c r="C1984" s="63">
        <v>5</v>
      </c>
      <c r="D1984" s="64">
        <v>5</v>
      </c>
      <c r="E1984" s="261"/>
      <c r="F1984" s="10">
        <f>SUM(B1984:E1984)</f>
        <v>10</v>
      </c>
      <c r="G1984" s="63"/>
      <c r="H1984" s="63">
        <v>5</v>
      </c>
      <c r="I1984" s="64">
        <v>5</v>
      </c>
      <c r="J1984" s="261"/>
      <c r="K1984" s="10">
        <f>SUM(G1984:J1984)</f>
        <v>10</v>
      </c>
      <c r="L1984" s="121">
        <f t="shared" si="1655"/>
        <v>20</v>
      </c>
      <c r="M1984" s="99">
        <v>45777</v>
      </c>
      <c r="N1984" s="13" t="s">
        <v>8</v>
      </c>
      <c r="O1984" s="26"/>
      <c r="P1984" s="47"/>
      <c r="Q1984" s="27"/>
      <c r="R1984" s="34"/>
      <c r="S1984" s="77">
        <f t="shared" si="1659"/>
        <v>0</v>
      </c>
      <c r="T1984" s="26"/>
      <c r="U1984" s="47"/>
      <c r="V1984" s="27"/>
      <c r="W1984" s="34"/>
      <c r="X1984" s="9">
        <f t="shared" si="1660"/>
        <v>0</v>
      </c>
      <c r="Y1984" s="11">
        <f t="shared" si="1661"/>
        <v>0</v>
      </c>
    </row>
    <row r="1985" spans="1:27" ht="14.25" thickBot="1" x14ac:dyDescent="0.2">
      <c r="A1985" s="245" t="s">
        <v>9</v>
      </c>
      <c r="B1985" s="246">
        <f t="shared" ref="B1985:K1985" si="1662">SUM(B1980:B1984)</f>
        <v>17</v>
      </c>
      <c r="C1985" s="247">
        <f t="shared" si="1662"/>
        <v>32</v>
      </c>
      <c r="D1985" s="248">
        <f t="shared" si="1662"/>
        <v>26</v>
      </c>
      <c r="E1985" s="249">
        <f t="shared" si="1662"/>
        <v>11</v>
      </c>
      <c r="F1985" s="28">
        <f t="shared" si="1662"/>
        <v>82</v>
      </c>
      <c r="G1985" s="246">
        <f t="shared" si="1662"/>
        <v>20</v>
      </c>
      <c r="H1985" s="247">
        <f t="shared" si="1662"/>
        <v>18</v>
      </c>
      <c r="I1985" s="248">
        <f t="shared" si="1662"/>
        <v>21</v>
      </c>
      <c r="J1985" s="249">
        <f t="shared" si="1662"/>
        <v>21</v>
      </c>
      <c r="K1985" s="28">
        <f t="shared" si="1662"/>
        <v>80</v>
      </c>
      <c r="L1985" s="137">
        <f t="shared" ref="L1985:L2012" si="1663">F1985+K1985</f>
        <v>162</v>
      </c>
      <c r="N1985" s="17" t="s">
        <v>9</v>
      </c>
      <c r="O1985" s="41">
        <f>SUM(O1980:O1984)</f>
        <v>706</v>
      </c>
      <c r="P1985" s="49">
        <f t="shared" ref="P1985:V1985" si="1664">SUM(P1980:P1984)</f>
        <v>835</v>
      </c>
      <c r="Q1985" s="42">
        <f t="shared" si="1664"/>
        <v>579</v>
      </c>
      <c r="R1985" s="92">
        <f t="shared" si="1664"/>
        <v>454</v>
      </c>
      <c r="S1985" s="93">
        <f t="shared" si="1664"/>
        <v>2574</v>
      </c>
      <c r="T1985" s="41">
        <f t="shared" si="1664"/>
        <v>596</v>
      </c>
      <c r="U1985" s="49">
        <f t="shared" si="1664"/>
        <v>710</v>
      </c>
      <c r="V1985" s="42">
        <f t="shared" si="1664"/>
        <v>442</v>
      </c>
      <c r="W1985" s="92">
        <f>SUM(W1980:W1984)</f>
        <v>352</v>
      </c>
      <c r="X1985" s="93">
        <f t="shared" ref="X1985" si="1665">SUM(X1980:X1984)</f>
        <v>2100</v>
      </c>
      <c r="Y1985" s="56">
        <f t="shared" si="1661"/>
        <v>4674</v>
      </c>
    </row>
    <row r="1986" spans="1:27" x14ac:dyDescent="0.15">
      <c r="A1986" s="32" t="s">
        <v>41</v>
      </c>
      <c r="B1986" s="24"/>
      <c r="C1986" s="46"/>
      <c r="D1986" s="25"/>
      <c r="E1986" s="33"/>
      <c r="F1986" s="35">
        <f>SUM(B1986:E1986)</f>
        <v>0</v>
      </c>
      <c r="G1986" s="24"/>
      <c r="H1986" s="46"/>
      <c r="I1986" s="25">
        <v>1</v>
      </c>
      <c r="J1986" s="33"/>
      <c r="K1986" s="35">
        <f>SUM(G1986:J1986)</f>
        <v>1</v>
      </c>
      <c r="L1986" s="11">
        <f t="shared" si="1663"/>
        <v>1</v>
      </c>
      <c r="M1986" s="126">
        <v>45761</v>
      </c>
      <c r="N1986" s="12" t="s">
        <v>34</v>
      </c>
      <c r="O1986" s="26"/>
      <c r="P1986" s="47"/>
      <c r="Q1986" s="27"/>
      <c r="R1986" s="34"/>
      <c r="S1986" s="35">
        <f t="shared" ref="S1986" si="1666">SUM(O1986:R1986)</f>
        <v>0</v>
      </c>
      <c r="T1986" s="26"/>
      <c r="U1986" s="47"/>
      <c r="V1986" s="27">
        <v>3</v>
      </c>
      <c r="W1986" s="34"/>
      <c r="X1986" s="35">
        <f t="shared" ref="X1986" si="1667">SUM(T1986:W1986)</f>
        <v>3</v>
      </c>
      <c r="Y1986" s="11">
        <f t="shared" si="1661"/>
        <v>3</v>
      </c>
      <c r="Z1986" s="99">
        <v>45755</v>
      </c>
    </row>
    <row r="1987" spans="1:27" x14ac:dyDescent="0.15">
      <c r="A1987" s="32" t="s">
        <v>41</v>
      </c>
      <c r="B1987" s="26"/>
      <c r="C1987" s="47"/>
      <c r="D1987" s="27">
        <v>1</v>
      </c>
      <c r="E1987" s="34"/>
      <c r="F1987" s="35">
        <f>SUM(B1987:E1987)</f>
        <v>1</v>
      </c>
      <c r="G1987" s="26"/>
      <c r="H1987" s="47"/>
      <c r="I1987" s="27"/>
      <c r="J1987" s="34"/>
      <c r="K1987" s="35">
        <f>SUM(G1987:J1987)</f>
        <v>0</v>
      </c>
      <c r="L1987" s="11">
        <f t="shared" si="1663"/>
        <v>1</v>
      </c>
      <c r="M1987" s="126">
        <v>45762</v>
      </c>
      <c r="N1987" s="12" t="s">
        <v>1644</v>
      </c>
      <c r="O1987" s="26"/>
      <c r="P1987" s="47">
        <v>1</v>
      </c>
      <c r="Q1987" s="27">
        <v>1</v>
      </c>
      <c r="R1987" s="34"/>
      <c r="S1987" s="35">
        <f t="shared" ref="S1987:S1992" si="1668">SUM(O1987:R1987)</f>
        <v>2</v>
      </c>
      <c r="T1987" s="26"/>
      <c r="U1987" s="47">
        <v>1</v>
      </c>
      <c r="V1987" s="27">
        <v>1</v>
      </c>
      <c r="W1987" s="34"/>
      <c r="X1987" s="35">
        <f t="shared" ref="X1987:X1992" si="1669">SUM(T1987:W1987)</f>
        <v>2</v>
      </c>
      <c r="Y1987" s="11">
        <f t="shared" si="1661"/>
        <v>4</v>
      </c>
      <c r="Z1987" s="99">
        <v>45761</v>
      </c>
      <c r="AA1987" s="58"/>
    </row>
    <row r="1988" spans="1:27" x14ac:dyDescent="0.15">
      <c r="A1988" s="32" t="s">
        <v>1654</v>
      </c>
      <c r="B1988" s="26">
        <v>2</v>
      </c>
      <c r="C1988" s="47">
        <v>2</v>
      </c>
      <c r="D1988" s="27"/>
      <c r="E1988" s="34">
        <v>2</v>
      </c>
      <c r="F1988" s="35">
        <f t="shared" ref="F1988:F2010" si="1670">SUM(B1988:E1988)</f>
        <v>6</v>
      </c>
      <c r="G1988" s="26"/>
      <c r="H1988" s="47"/>
      <c r="I1988" s="27"/>
      <c r="J1988" s="34">
        <v>1</v>
      </c>
      <c r="K1988" s="35">
        <f t="shared" ref="K1988:K2010" si="1671">SUM(G1988:J1988)</f>
        <v>1</v>
      </c>
      <c r="L1988" s="11">
        <f t="shared" si="1663"/>
        <v>7</v>
      </c>
      <c r="M1988" s="99">
        <v>45765</v>
      </c>
      <c r="N1988" s="12" t="s">
        <v>1645</v>
      </c>
      <c r="O1988" s="26">
        <v>8</v>
      </c>
      <c r="P1988" s="47">
        <v>6</v>
      </c>
      <c r="Q1988" s="27">
        <v>2</v>
      </c>
      <c r="R1988" s="34">
        <v>2</v>
      </c>
      <c r="S1988" s="35">
        <f t="shared" si="1668"/>
        <v>18</v>
      </c>
      <c r="T1988" s="26"/>
      <c r="U1988" s="47"/>
      <c r="V1988" s="27"/>
      <c r="W1988" s="34">
        <v>2</v>
      </c>
      <c r="X1988" s="35">
        <f t="shared" si="1669"/>
        <v>2</v>
      </c>
      <c r="Y1988" s="11">
        <f t="shared" si="1661"/>
        <v>20</v>
      </c>
      <c r="Z1988" s="99">
        <v>45761</v>
      </c>
      <c r="AA1988" s="58"/>
    </row>
    <row r="1989" spans="1:27" x14ac:dyDescent="0.15">
      <c r="A1989" s="32" t="s">
        <v>1655</v>
      </c>
      <c r="B1989" s="66"/>
      <c r="C1989" s="67">
        <v>1</v>
      </c>
      <c r="D1989" s="68"/>
      <c r="E1989" s="69"/>
      <c r="F1989" s="70">
        <f t="shared" si="1670"/>
        <v>1</v>
      </c>
      <c r="G1989" s="66"/>
      <c r="H1989" s="67"/>
      <c r="I1989" s="68"/>
      <c r="J1989" s="69"/>
      <c r="K1989" s="70">
        <f t="shared" si="1671"/>
        <v>0</v>
      </c>
      <c r="L1989" s="11">
        <f t="shared" si="1663"/>
        <v>1</v>
      </c>
      <c r="M1989" s="99">
        <v>45768</v>
      </c>
      <c r="N1989" s="12" t="s">
        <v>1646</v>
      </c>
      <c r="O1989" s="26"/>
      <c r="P1989" s="47"/>
      <c r="Q1989" s="27"/>
      <c r="R1989" s="34"/>
      <c r="S1989" s="35">
        <f t="shared" si="1668"/>
        <v>0</v>
      </c>
      <c r="T1989" s="26"/>
      <c r="U1989" s="47">
        <v>6</v>
      </c>
      <c r="V1989" s="27"/>
      <c r="W1989" s="34"/>
      <c r="X1989" s="35">
        <f t="shared" si="1669"/>
        <v>6</v>
      </c>
      <c r="Y1989" s="11">
        <f t="shared" si="1661"/>
        <v>6</v>
      </c>
      <c r="Z1989" s="99">
        <v>45762</v>
      </c>
    </row>
    <row r="1990" spans="1:27" x14ac:dyDescent="0.15">
      <c r="A1990" s="32" t="s">
        <v>41</v>
      </c>
      <c r="B1990" s="26"/>
      <c r="C1990" s="47"/>
      <c r="D1990" s="27">
        <v>2</v>
      </c>
      <c r="E1990" s="34"/>
      <c r="F1990" s="35">
        <f t="shared" si="1670"/>
        <v>2</v>
      </c>
      <c r="G1990" s="26"/>
      <c r="H1990" s="47"/>
      <c r="I1990" s="27"/>
      <c r="J1990" s="34"/>
      <c r="K1990" s="35">
        <f t="shared" si="1671"/>
        <v>0</v>
      </c>
      <c r="L1990" s="11">
        <f t="shared" si="1663"/>
        <v>2</v>
      </c>
      <c r="M1990" s="99">
        <v>45765</v>
      </c>
      <c r="N1990" s="32" t="s">
        <v>1648</v>
      </c>
      <c r="O1990" s="26"/>
      <c r="P1990" s="47">
        <v>1</v>
      </c>
      <c r="Q1990" s="27">
        <v>5</v>
      </c>
      <c r="R1990" s="34">
        <v>2</v>
      </c>
      <c r="S1990" s="35">
        <f t="shared" si="1668"/>
        <v>8</v>
      </c>
      <c r="T1990" s="26"/>
      <c r="U1990" s="47"/>
      <c r="V1990" s="27"/>
      <c r="W1990" s="34"/>
      <c r="X1990" s="35">
        <f t="shared" si="1669"/>
        <v>0</v>
      </c>
      <c r="Y1990" s="11">
        <f t="shared" si="1661"/>
        <v>8</v>
      </c>
      <c r="Z1990" s="99">
        <v>45758</v>
      </c>
      <c r="AA1990" s="58"/>
    </row>
    <row r="1991" spans="1:27" x14ac:dyDescent="0.15">
      <c r="A1991" s="13" t="s">
        <v>1656</v>
      </c>
      <c r="B1991" s="26"/>
      <c r="C1991" s="47"/>
      <c r="D1991" s="27">
        <v>6</v>
      </c>
      <c r="E1991" s="34"/>
      <c r="F1991" s="35">
        <f>SUM(B1991:E1991)</f>
        <v>6</v>
      </c>
      <c r="G1991" s="26">
        <v>4</v>
      </c>
      <c r="H1991" s="47">
        <v>3</v>
      </c>
      <c r="I1991" s="27">
        <v>8</v>
      </c>
      <c r="J1991" s="34">
        <v>14</v>
      </c>
      <c r="K1991" s="35">
        <f>SUM(G1991:J1991)</f>
        <v>29</v>
      </c>
      <c r="L1991" s="11">
        <f t="shared" ref="L1991" si="1672">F1991+K1991</f>
        <v>35</v>
      </c>
      <c r="M1991" s="99">
        <v>45766</v>
      </c>
      <c r="N1991" s="32" t="s">
        <v>1651</v>
      </c>
      <c r="O1991" s="26"/>
      <c r="P1991" s="47">
        <v>5</v>
      </c>
      <c r="Q1991" s="27"/>
      <c r="R1991" s="34"/>
      <c r="S1991" s="35">
        <f t="shared" si="1668"/>
        <v>5</v>
      </c>
      <c r="T1991" s="26"/>
      <c r="U1991" s="47">
        <v>5</v>
      </c>
      <c r="V1991" s="27"/>
      <c r="W1991" s="34"/>
      <c r="X1991" s="35">
        <f t="shared" si="1669"/>
        <v>5</v>
      </c>
      <c r="Y1991" s="11">
        <f t="shared" si="1661"/>
        <v>10</v>
      </c>
      <c r="Z1991" s="99">
        <v>45763</v>
      </c>
      <c r="AA1991" s="58"/>
    </row>
    <row r="1992" spans="1:27" x14ac:dyDescent="0.15">
      <c r="A1992" s="13" t="s">
        <v>284</v>
      </c>
      <c r="B1992" s="26">
        <v>9</v>
      </c>
      <c r="C1992" s="47">
        <v>19</v>
      </c>
      <c r="D1992" s="27">
        <v>7</v>
      </c>
      <c r="E1992" s="34">
        <v>4</v>
      </c>
      <c r="F1992" s="35">
        <f t="shared" ref="F1992:F1993" si="1673">SUM(B1992:E1992)</f>
        <v>39</v>
      </c>
      <c r="G1992" s="26">
        <v>11</v>
      </c>
      <c r="H1992" s="47">
        <v>5</v>
      </c>
      <c r="I1992" s="27">
        <v>2</v>
      </c>
      <c r="J1992" s="34">
        <v>1</v>
      </c>
      <c r="K1992" s="35">
        <f t="shared" ref="K1992:K1993" si="1674">SUM(G1992:J1992)</f>
        <v>19</v>
      </c>
      <c r="L1992" s="11">
        <f t="shared" ref="L1992:L1993" si="1675">F1992+K1992</f>
        <v>58</v>
      </c>
      <c r="M1992" s="99">
        <v>45766</v>
      </c>
      <c r="N1992" s="32" t="s">
        <v>1652</v>
      </c>
      <c r="O1992" s="26">
        <v>5</v>
      </c>
      <c r="P1992" s="47">
        <v>1</v>
      </c>
      <c r="Q1992" s="27"/>
      <c r="R1992" s="34"/>
      <c r="S1992" s="35">
        <f t="shared" si="1668"/>
        <v>6</v>
      </c>
      <c r="T1992" s="26"/>
      <c r="U1992" s="47"/>
      <c r="V1992" s="27">
        <v>4</v>
      </c>
      <c r="W1992" s="34"/>
      <c r="X1992" s="35">
        <f t="shared" si="1669"/>
        <v>4</v>
      </c>
      <c r="Y1992" s="11">
        <f t="shared" si="1661"/>
        <v>10</v>
      </c>
      <c r="Z1992" s="99">
        <v>45764</v>
      </c>
      <c r="AA1992" s="58"/>
    </row>
    <row r="1993" spans="1:27" x14ac:dyDescent="0.15">
      <c r="A1993" s="32" t="s">
        <v>1657</v>
      </c>
      <c r="B1993" s="26"/>
      <c r="C1993" s="47"/>
      <c r="D1993" s="27"/>
      <c r="E1993" s="34"/>
      <c r="F1993" s="35">
        <f t="shared" si="1673"/>
        <v>0</v>
      </c>
      <c r="G1993" s="26"/>
      <c r="H1993" s="47"/>
      <c r="I1993" s="27">
        <v>1</v>
      </c>
      <c r="J1993" s="34"/>
      <c r="K1993" s="35">
        <f t="shared" si="1674"/>
        <v>1</v>
      </c>
      <c r="L1993" s="11">
        <f t="shared" si="1675"/>
        <v>1</v>
      </c>
      <c r="M1993" s="99">
        <v>45770</v>
      </c>
      <c r="N1993" s="32" t="s">
        <v>1653</v>
      </c>
      <c r="O1993" s="26"/>
      <c r="P1993" s="47"/>
      <c r="Q1993" s="27"/>
      <c r="R1993" s="50">
        <v>1</v>
      </c>
      <c r="S1993" s="9">
        <f>SUM(O1993:R1993)</f>
        <v>1</v>
      </c>
      <c r="T1993" s="47"/>
      <c r="U1993" s="47"/>
      <c r="V1993" s="27"/>
      <c r="W1993" s="50"/>
      <c r="X1993" s="9">
        <f>SUM(T1993:W1993)</f>
        <v>0</v>
      </c>
      <c r="Y1993" s="11">
        <f t="shared" si="1661"/>
        <v>1</v>
      </c>
      <c r="Z1993" s="99">
        <v>45765</v>
      </c>
    </row>
    <row r="1994" spans="1:27" x14ac:dyDescent="0.15">
      <c r="A1994" s="32" t="s">
        <v>41</v>
      </c>
      <c r="B1994" s="26"/>
      <c r="C1994" s="47"/>
      <c r="D1994" s="27"/>
      <c r="E1994" s="34"/>
      <c r="F1994" s="35">
        <f t="shared" si="1670"/>
        <v>0</v>
      </c>
      <c r="G1994" s="26"/>
      <c r="H1994" s="47">
        <v>1</v>
      </c>
      <c r="I1994" s="27">
        <v>1</v>
      </c>
      <c r="J1994" s="34"/>
      <c r="K1994" s="35">
        <f t="shared" si="1671"/>
        <v>2</v>
      </c>
      <c r="L1994" s="11">
        <f t="shared" si="1663"/>
        <v>2</v>
      </c>
      <c r="M1994" s="99">
        <v>45768</v>
      </c>
      <c r="N1994" s="32" t="s">
        <v>1661</v>
      </c>
      <c r="O1994" s="26"/>
      <c r="P1994" s="47"/>
      <c r="Q1994" s="27">
        <v>1</v>
      </c>
      <c r="R1994" s="34"/>
      <c r="S1994" s="35">
        <f t="shared" ref="S1994:S2011" si="1676">SUM(O1994:R1994)</f>
        <v>1</v>
      </c>
      <c r="T1994" s="26">
        <v>1</v>
      </c>
      <c r="U1994" s="47"/>
      <c r="V1994" s="27"/>
      <c r="W1994" s="34"/>
      <c r="X1994" s="35">
        <f t="shared" ref="X1994:X2011" si="1677">SUM(T1994:W1994)</f>
        <v>1</v>
      </c>
      <c r="Y1994" s="11">
        <f t="shared" si="1661"/>
        <v>2</v>
      </c>
      <c r="Z1994" s="99">
        <v>45772</v>
      </c>
    </row>
    <row r="1995" spans="1:27" x14ac:dyDescent="0.15">
      <c r="A1995" s="32" t="s">
        <v>1658</v>
      </c>
      <c r="B1995" s="26"/>
      <c r="C1995" s="47"/>
      <c r="D1995" s="27"/>
      <c r="E1995" s="34"/>
      <c r="F1995" s="35">
        <f t="shared" si="1670"/>
        <v>0</v>
      </c>
      <c r="G1995" s="26"/>
      <c r="H1995" s="47">
        <v>1</v>
      </c>
      <c r="I1995" s="27"/>
      <c r="J1995" s="34"/>
      <c r="K1995" s="35">
        <f t="shared" si="1671"/>
        <v>1</v>
      </c>
      <c r="L1995" s="11">
        <f t="shared" si="1663"/>
        <v>1</v>
      </c>
      <c r="M1995" s="99">
        <v>45771</v>
      </c>
      <c r="N1995" s="12" t="s">
        <v>34</v>
      </c>
      <c r="O1995" s="26"/>
      <c r="P1995" s="47">
        <v>5</v>
      </c>
      <c r="Q1995" s="27">
        <v>5</v>
      </c>
      <c r="R1995" s="34"/>
      <c r="S1995" s="35">
        <f>SUM(O1995:R1995)</f>
        <v>10</v>
      </c>
      <c r="T1995" s="26"/>
      <c r="U1995" s="47">
        <v>5</v>
      </c>
      <c r="V1995" s="27">
        <v>5</v>
      </c>
      <c r="W1995" s="34"/>
      <c r="X1995" s="35">
        <f>SUM(T1995:W1995)</f>
        <v>10</v>
      </c>
      <c r="Y1995" s="11">
        <f t="shared" si="1661"/>
        <v>20</v>
      </c>
      <c r="Z1995" s="99">
        <v>45777</v>
      </c>
    </row>
    <row r="1996" spans="1:27" x14ac:dyDescent="0.15">
      <c r="A1996" s="32" t="s">
        <v>41</v>
      </c>
      <c r="B1996" s="26">
        <f>1+1</f>
        <v>2</v>
      </c>
      <c r="C1996" s="47">
        <v>1</v>
      </c>
      <c r="D1996" s="27"/>
      <c r="E1996" s="34">
        <v>1</v>
      </c>
      <c r="F1996" s="35">
        <f t="shared" si="1670"/>
        <v>4</v>
      </c>
      <c r="G1996" s="26">
        <v>1</v>
      </c>
      <c r="H1996" s="47"/>
      <c r="I1996" s="27"/>
      <c r="J1996" s="34"/>
      <c r="K1996" s="35">
        <f t="shared" si="1671"/>
        <v>1</v>
      </c>
      <c r="L1996" s="11">
        <f t="shared" si="1663"/>
        <v>5</v>
      </c>
      <c r="M1996" s="99">
        <v>45769</v>
      </c>
      <c r="N1996" s="12" t="s">
        <v>1667</v>
      </c>
      <c r="O1996" s="26"/>
      <c r="P1996" s="47">
        <v>2</v>
      </c>
      <c r="Q1996" s="27"/>
      <c r="R1996" s="34"/>
      <c r="S1996" s="35">
        <f t="shared" si="1676"/>
        <v>2</v>
      </c>
      <c r="T1996" s="26"/>
      <c r="U1996" s="47">
        <v>2</v>
      </c>
      <c r="V1996" s="27"/>
      <c r="W1996" s="34"/>
      <c r="X1996" s="35">
        <f t="shared" si="1677"/>
        <v>2</v>
      </c>
      <c r="Y1996" s="11">
        <f t="shared" si="1661"/>
        <v>4</v>
      </c>
      <c r="Z1996" s="99">
        <v>45779</v>
      </c>
    </row>
    <row r="1997" spans="1:27" x14ac:dyDescent="0.15">
      <c r="A1997" s="32" t="s">
        <v>1662</v>
      </c>
      <c r="B1997" s="26"/>
      <c r="C1997" s="47"/>
      <c r="D1997" s="27">
        <v>2</v>
      </c>
      <c r="E1997" s="34"/>
      <c r="F1997" s="35">
        <f t="shared" si="1670"/>
        <v>2</v>
      </c>
      <c r="G1997" s="26"/>
      <c r="H1997" s="47"/>
      <c r="I1997" s="27"/>
      <c r="J1997" s="34"/>
      <c r="K1997" s="35">
        <f t="shared" si="1671"/>
        <v>0</v>
      </c>
      <c r="L1997" s="11">
        <f t="shared" si="1663"/>
        <v>2</v>
      </c>
      <c r="M1997" s="99">
        <v>45775</v>
      </c>
      <c r="N1997" s="12" t="s">
        <v>1668</v>
      </c>
      <c r="O1997" s="26">
        <v>10</v>
      </c>
      <c r="P1997" s="47">
        <v>4</v>
      </c>
      <c r="Q1997" s="27"/>
      <c r="R1997" s="34"/>
      <c r="S1997" s="35">
        <f t="shared" si="1676"/>
        <v>14</v>
      </c>
      <c r="T1997" s="26">
        <v>4</v>
      </c>
      <c r="U1997" s="47"/>
      <c r="V1997" s="27"/>
      <c r="W1997" s="34"/>
      <c r="X1997" s="35">
        <f t="shared" si="1677"/>
        <v>4</v>
      </c>
      <c r="Y1997" s="11">
        <f t="shared" si="1661"/>
        <v>18</v>
      </c>
      <c r="Z1997" s="99">
        <v>45779</v>
      </c>
    </row>
    <row r="1998" spans="1:27" x14ac:dyDescent="0.15">
      <c r="A1998" s="32" t="s">
        <v>1664</v>
      </c>
      <c r="B1998" s="26"/>
      <c r="C1998" s="47"/>
      <c r="D1998" s="27">
        <v>1</v>
      </c>
      <c r="E1998" s="34"/>
      <c r="F1998" s="35">
        <f t="shared" si="1670"/>
        <v>1</v>
      </c>
      <c r="G1998" s="26"/>
      <c r="H1998" s="47"/>
      <c r="I1998" s="27"/>
      <c r="J1998" s="34"/>
      <c r="K1998" s="35">
        <f t="shared" si="1671"/>
        <v>0</v>
      </c>
      <c r="L1998" s="11">
        <f t="shared" si="1663"/>
        <v>1</v>
      </c>
      <c r="M1998" s="99">
        <v>45777</v>
      </c>
      <c r="N1998" s="12" t="s">
        <v>1671</v>
      </c>
      <c r="O1998" s="26"/>
      <c r="P1998" s="47"/>
      <c r="Q1998" s="27"/>
      <c r="R1998" s="34"/>
      <c r="S1998" s="35">
        <f t="shared" ref="S1998:S1999" si="1678">SUM(O1998:R1998)</f>
        <v>0</v>
      </c>
      <c r="T1998" s="26"/>
      <c r="U1998" s="47">
        <v>7</v>
      </c>
      <c r="V1998" s="27"/>
      <c r="W1998" s="34"/>
      <c r="X1998" s="35">
        <f t="shared" ref="X1998:X1999" si="1679">SUM(T1998:W1998)</f>
        <v>7</v>
      </c>
      <c r="Y1998" s="11">
        <f t="shared" ref="Y1998:Y1999" si="1680">S1998+X1998</f>
        <v>7</v>
      </c>
      <c r="Z1998" s="99">
        <v>45790</v>
      </c>
    </row>
    <row r="1999" spans="1:27" x14ac:dyDescent="0.15">
      <c r="A1999" s="32" t="s">
        <v>41</v>
      </c>
      <c r="B1999" s="26"/>
      <c r="C1999" s="47">
        <f>2+1</f>
        <v>3</v>
      </c>
      <c r="D1999" s="27">
        <v>1</v>
      </c>
      <c r="E1999" s="34"/>
      <c r="F1999" s="35">
        <f t="shared" si="1670"/>
        <v>4</v>
      </c>
      <c r="G1999" s="26"/>
      <c r="H1999" s="47"/>
      <c r="I1999" s="27">
        <v>1</v>
      </c>
      <c r="J1999" s="34"/>
      <c r="K1999" s="35">
        <f t="shared" si="1671"/>
        <v>1</v>
      </c>
      <c r="L1999" s="11">
        <f t="shared" si="1663"/>
        <v>5</v>
      </c>
      <c r="M1999" s="99">
        <v>45775</v>
      </c>
      <c r="N1999" s="57"/>
      <c r="O1999" s="26"/>
      <c r="P1999" s="47"/>
      <c r="Q1999" s="27"/>
      <c r="R1999" s="34"/>
      <c r="S1999" s="35">
        <f t="shared" si="1678"/>
        <v>0</v>
      </c>
      <c r="T1999" s="26"/>
      <c r="U1999" s="47"/>
      <c r="V1999" s="27"/>
      <c r="W1999" s="34"/>
      <c r="X1999" s="35">
        <f t="shared" si="1679"/>
        <v>0</v>
      </c>
      <c r="Y1999" s="11">
        <f t="shared" si="1680"/>
        <v>0</v>
      </c>
      <c r="Z1999" s="101"/>
    </row>
    <row r="2000" spans="1:27" x14ac:dyDescent="0.15">
      <c r="A2000" s="32" t="s">
        <v>41</v>
      </c>
      <c r="B2000" s="26"/>
      <c r="C2000" s="47"/>
      <c r="D2000" s="27">
        <v>2</v>
      </c>
      <c r="E2000" s="34"/>
      <c r="F2000" s="35">
        <f t="shared" si="1670"/>
        <v>2</v>
      </c>
      <c r="G2000" s="26"/>
      <c r="H2000" s="47"/>
      <c r="I2000" s="27"/>
      <c r="J2000" s="34"/>
      <c r="K2000" s="35">
        <f t="shared" si="1671"/>
        <v>0</v>
      </c>
      <c r="L2000" s="11">
        <f t="shared" si="1663"/>
        <v>2</v>
      </c>
      <c r="M2000" s="99">
        <v>45777</v>
      </c>
      <c r="N2000" s="57"/>
      <c r="O2000" s="26"/>
      <c r="P2000" s="47"/>
      <c r="Q2000" s="27"/>
      <c r="R2000" s="34"/>
      <c r="S2000" s="35">
        <f t="shared" si="1676"/>
        <v>0</v>
      </c>
      <c r="T2000" s="26"/>
      <c r="U2000" s="47"/>
      <c r="V2000" s="27"/>
      <c r="W2000" s="34"/>
      <c r="X2000" s="35">
        <f t="shared" si="1677"/>
        <v>0</v>
      </c>
      <c r="Y2000" s="11">
        <f t="shared" si="1661"/>
        <v>0</v>
      </c>
    </row>
    <row r="2001" spans="1:26" x14ac:dyDescent="0.15">
      <c r="A2001" s="32" t="s">
        <v>41</v>
      </c>
      <c r="B2001" s="26"/>
      <c r="C2001" s="47">
        <v>2</v>
      </c>
      <c r="D2001" s="27"/>
      <c r="E2001" s="34"/>
      <c r="F2001" s="35">
        <f t="shared" si="1670"/>
        <v>2</v>
      </c>
      <c r="G2001" s="26">
        <v>1</v>
      </c>
      <c r="H2001" s="47">
        <v>1</v>
      </c>
      <c r="I2001" s="27"/>
      <c r="J2001" s="34"/>
      <c r="K2001" s="35">
        <f t="shared" si="1671"/>
        <v>2</v>
      </c>
      <c r="L2001" s="11">
        <f t="shared" si="1663"/>
        <v>4</v>
      </c>
      <c r="M2001" s="99">
        <v>45778</v>
      </c>
      <c r="N2001" s="12"/>
      <c r="O2001" s="26"/>
      <c r="P2001" s="47"/>
      <c r="Q2001" s="27"/>
      <c r="R2001" s="34"/>
      <c r="S2001" s="35">
        <f t="shared" si="1676"/>
        <v>0</v>
      </c>
      <c r="T2001" s="26"/>
      <c r="U2001" s="47"/>
      <c r="V2001" s="27"/>
      <c r="W2001" s="34"/>
      <c r="X2001" s="35">
        <f t="shared" si="1677"/>
        <v>0</v>
      </c>
      <c r="Y2001" s="11">
        <f t="shared" si="1661"/>
        <v>0</v>
      </c>
    </row>
    <row r="2002" spans="1:26" x14ac:dyDescent="0.15">
      <c r="A2002" s="32" t="s">
        <v>686</v>
      </c>
      <c r="B2002" s="26"/>
      <c r="C2002" s="47">
        <v>-2</v>
      </c>
      <c r="D2002" s="27"/>
      <c r="E2002" s="34"/>
      <c r="F2002" s="35">
        <f t="shared" ref="F2002" si="1681">SUM(B2002:E2002)</f>
        <v>-2</v>
      </c>
      <c r="G2002" s="26"/>
      <c r="H2002" s="47"/>
      <c r="I2002" s="27"/>
      <c r="J2002" s="34"/>
      <c r="K2002" s="35">
        <f t="shared" ref="K2002" si="1682">SUM(G2002:J2002)</f>
        <v>0</v>
      </c>
      <c r="L2002" s="11">
        <f t="shared" ref="L2002" si="1683">F2002+K2002</f>
        <v>-2</v>
      </c>
      <c r="M2002" s="99">
        <v>45778</v>
      </c>
      <c r="N2002" s="57"/>
      <c r="O2002" s="26"/>
      <c r="P2002" s="47"/>
      <c r="Q2002" s="27"/>
      <c r="R2002" s="34"/>
      <c r="S2002" s="35">
        <f t="shared" si="1676"/>
        <v>0</v>
      </c>
      <c r="T2002" s="26"/>
      <c r="U2002" s="47"/>
      <c r="V2002" s="27"/>
      <c r="W2002" s="34"/>
      <c r="X2002" s="35">
        <f t="shared" si="1677"/>
        <v>0</v>
      </c>
      <c r="Y2002" s="11">
        <f t="shared" si="1661"/>
        <v>0</v>
      </c>
    </row>
    <row r="2003" spans="1:26" x14ac:dyDescent="0.15">
      <c r="A2003" s="32" t="s">
        <v>1672</v>
      </c>
      <c r="B2003" s="26"/>
      <c r="C2003" s="47">
        <v>1</v>
      </c>
      <c r="D2003" s="27"/>
      <c r="E2003" s="34"/>
      <c r="F2003" s="35">
        <f t="shared" si="1670"/>
        <v>1</v>
      </c>
      <c r="G2003" s="26"/>
      <c r="H2003" s="47"/>
      <c r="I2003" s="27"/>
      <c r="J2003" s="34"/>
      <c r="K2003" s="35">
        <f t="shared" si="1671"/>
        <v>0</v>
      </c>
      <c r="L2003" s="11">
        <f t="shared" si="1663"/>
        <v>1</v>
      </c>
      <c r="M2003" s="99">
        <v>45784</v>
      </c>
      <c r="N2003" s="57"/>
      <c r="O2003" s="26"/>
      <c r="P2003" s="47"/>
      <c r="Q2003" s="27"/>
      <c r="R2003" s="34"/>
      <c r="S2003" s="35">
        <f t="shared" si="1676"/>
        <v>0</v>
      </c>
      <c r="T2003" s="26"/>
      <c r="U2003" s="47"/>
      <c r="V2003" s="27"/>
      <c r="W2003" s="34"/>
      <c r="X2003" s="35">
        <f t="shared" si="1677"/>
        <v>0</v>
      </c>
      <c r="Y2003" s="11">
        <f t="shared" si="1661"/>
        <v>0</v>
      </c>
    </row>
    <row r="2004" spans="1:26" x14ac:dyDescent="0.15">
      <c r="A2004" s="32" t="s">
        <v>41</v>
      </c>
      <c r="B2004" s="26"/>
      <c r="C2004" s="47"/>
      <c r="D2004" s="27">
        <v>1</v>
      </c>
      <c r="E2004" s="34"/>
      <c r="F2004" s="35">
        <f t="shared" si="1670"/>
        <v>1</v>
      </c>
      <c r="G2004" s="26"/>
      <c r="H2004" s="47"/>
      <c r="I2004" s="27"/>
      <c r="J2004" s="34">
        <v>1</v>
      </c>
      <c r="K2004" s="35">
        <f t="shared" si="1671"/>
        <v>1</v>
      </c>
      <c r="L2004" s="11">
        <f t="shared" si="1663"/>
        <v>2</v>
      </c>
      <c r="M2004" s="99">
        <v>45789</v>
      </c>
      <c r="N2004" s="57"/>
      <c r="O2004" s="26"/>
      <c r="P2004" s="47"/>
      <c r="Q2004" s="27"/>
      <c r="R2004" s="34"/>
      <c r="S2004" s="35">
        <f t="shared" ref="S2004:S2005" si="1684">SUM(O2004:R2004)</f>
        <v>0</v>
      </c>
      <c r="T2004" s="26"/>
      <c r="U2004" s="47"/>
      <c r="V2004" s="27"/>
      <c r="W2004" s="34"/>
      <c r="X2004" s="35">
        <f t="shared" ref="X2004:X2005" si="1685">SUM(T2004:W2004)</f>
        <v>0</v>
      </c>
      <c r="Y2004" s="11">
        <f t="shared" ref="Y2004:Y2005" si="1686">S2004+X2004</f>
        <v>0</v>
      </c>
    </row>
    <row r="2005" spans="1:26" x14ac:dyDescent="0.15">
      <c r="A2005" s="32" t="s">
        <v>1682</v>
      </c>
      <c r="B2005" s="26"/>
      <c r="C2005" s="47">
        <v>-1</v>
      </c>
      <c r="D2005" s="27"/>
      <c r="E2005" s="34"/>
      <c r="F2005" s="35">
        <f t="shared" si="1670"/>
        <v>-1</v>
      </c>
      <c r="G2005" s="26"/>
      <c r="H2005" s="47">
        <v>-1</v>
      </c>
      <c r="I2005" s="27"/>
      <c r="J2005" s="34"/>
      <c r="K2005" s="35">
        <f t="shared" si="1671"/>
        <v>-1</v>
      </c>
      <c r="L2005" s="11">
        <f t="shared" si="1663"/>
        <v>-2</v>
      </c>
      <c r="M2005" s="126">
        <v>45789</v>
      </c>
      <c r="N2005" s="57"/>
      <c r="O2005" s="26"/>
      <c r="P2005" s="47"/>
      <c r="Q2005" s="27"/>
      <c r="R2005" s="34"/>
      <c r="S2005" s="35">
        <f t="shared" si="1684"/>
        <v>0</v>
      </c>
      <c r="T2005" s="26"/>
      <c r="U2005" s="47"/>
      <c r="V2005" s="27"/>
      <c r="W2005" s="34"/>
      <c r="X2005" s="35">
        <f t="shared" si="1685"/>
        <v>0</v>
      </c>
      <c r="Y2005" s="11">
        <f t="shared" si="1686"/>
        <v>0</v>
      </c>
    </row>
    <row r="2006" spans="1:26" x14ac:dyDescent="0.15">
      <c r="A2006" s="32" t="s">
        <v>1784</v>
      </c>
      <c r="B2006" s="26">
        <v>-8</v>
      </c>
      <c r="C2006" s="47">
        <v>-1</v>
      </c>
      <c r="D2006" s="27">
        <v>-1</v>
      </c>
      <c r="E2006" s="34"/>
      <c r="F2006" s="35">
        <f t="shared" si="1670"/>
        <v>-10</v>
      </c>
      <c r="G2006" s="26">
        <v>-1</v>
      </c>
      <c r="H2006" s="47">
        <v>-1</v>
      </c>
      <c r="I2006" s="27"/>
      <c r="J2006" s="34">
        <v>-1</v>
      </c>
      <c r="K2006" s="35">
        <f t="shared" si="1671"/>
        <v>-3</v>
      </c>
      <c r="L2006" s="11">
        <f t="shared" si="1663"/>
        <v>-13</v>
      </c>
      <c r="N2006" s="57"/>
      <c r="O2006" s="26"/>
      <c r="P2006" s="47"/>
      <c r="Q2006" s="27"/>
      <c r="R2006" s="34"/>
      <c r="S2006" s="35">
        <f t="shared" ref="S2006:S2008" si="1687">SUM(O2006:R2006)</f>
        <v>0</v>
      </c>
      <c r="T2006" s="26"/>
      <c r="U2006" s="47"/>
      <c r="V2006" s="27"/>
      <c r="W2006" s="34"/>
      <c r="X2006" s="35">
        <f t="shared" ref="X2006:X2008" si="1688">SUM(T2006:W2006)</f>
        <v>0</v>
      </c>
      <c r="Y2006" s="11">
        <f t="shared" ref="Y2006:Y2008" si="1689">S2006+X2006</f>
        <v>0</v>
      </c>
    </row>
    <row r="2007" spans="1:26" x14ac:dyDescent="0.15">
      <c r="A2007" s="12"/>
      <c r="B2007" s="26"/>
      <c r="C2007" s="47"/>
      <c r="D2007" s="27"/>
      <c r="E2007" s="34"/>
      <c r="F2007" s="35">
        <f t="shared" si="1670"/>
        <v>0</v>
      </c>
      <c r="G2007" s="26"/>
      <c r="H2007" s="47"/>
      <c r="I2007" s="27"/>
      <c r="J2007" s="34"/>
      <c r="K2007" s="35">
        <f t="shared" si="1671"/>
        <v>0</v>
      </c>
      <c r="L2007" s="11">
        <f t="shared" si="1663"/>
        <v>0</v>
      </c>
      <c r="N2007" s="57"/>
      <c r="O2007" s="26"/>
      <c r="P2007" s="47"/>
      <c r="Q2007" s="27"/>
      <c r="R2007" s="34"/>
      <c r="S2007" s="35">
        <f t="shared" si="1687"/>
        <v>0</v>
      </c>
      <c r="T2007" s="26"/>
      <c r="U2007" s="47"/>
      <c r="V2007" s="27"/>
      <c r="W2007" s="34"/>
      <c r="X2007" s="35">
        <f t="shared" si="1688"/>
        <v>0</v>
      </c>
      <c r="Y2007" s="11">
        <f t="shared" si="1689"/>
        <v>0</v>
      </c>
    </row>
    <row r="2008" spans="1:26" x14ac:dyDescent="0.15">
      <c r="A2008" s="79"/>
      <c r="B2008" s="26"/>
      <c r="C2008" s="47"/>
      <c r="D2008" s="27"/>
      <c r="E2008" s="34"/>
      <c r="F2008" s="35">
        <f t="shared" si="1670"/>
        <v>0</v>
      </c>
      <c r="G2008" s="26"/>
      <c r="H2008" s="47"/>
      <c r="I2008" s="27"/>
      <c r="J2008" s="34"/>
      <c r="K2008" s="35">
        <f t="shared" si="1671"/>
        <v>0</v>
      </c>
      <c r="L2008" s="11">
        <f t="shared" si="1663"/>
        <v>0</v>
      </c>
      <c r="N2008" s="57"/>
      <c r="O2008" s="26"/>
      <c r="P2008" s="47"/>
      <c r="Q2008" s="27"/>
      <c r="R2008" s="34"/>
      <c r="S2008" s="35">
        <f t="shared" si="1687"/>
        <v>0</v>
      </c>
      <c r="T2008" s="26"/>
      <c r="U2008" s="47"/>
      <c r="V2008" s="27"/>
      <c r="W2008" s="34"/>
      <c r="X2008" s="35">
        <f t="shared" si="1688"/>
        <v>0</v>
      </c>
      <c r="Y2008" s="11">
        <f t="shared" si="1689"/>
        <v>0</v>
      </c>
    </row>
    <row r="2009" spans="1:26" x14ac:dyDescent="0.15">
      <c r="A2009" s="57"/>
      <c r="B2009" s="26"/>
      <c r="C2009" s="47"/>
      <c r="D2009" s="27"/>
      <c r="E2009" s="34"/>
      <c r="F2009" s="35">
        <f t="shared" si="1670"/>
        <v>0</v>
      </c>
      <c r="G2009" s="26"/>
      <c r="H2009" s="47"/>
      <c r="I2009" s="27"/>
      <c r="J2009" s="34"/>
      <c r="K2009" s="35">
        <f t="shared" si="1671"/>
        <v>0</v>
      </c>
      <c r="L2009" s="11">
        <f t="shared" si="1663"/>
        <v>0</v>
      </c>
      <c r="N2009" s="12" t="s">
        <v>1565</v>
      </c>
      <c r="O2009" s="26"/>
      <c r="P2009" s="47"/>
      <c r="Q2009" s="27"/>
      <c r="R2009" s="34"/>
      <c r="S2009" s="35">
        <f t="shared" si="1676"/>
        <v>0</v>
      </c>
      <c r="T2009" s="26"/>
      <c r="U2009" s="47"/>
      <c r="V2009" s="27"/>
      <c r="W2009" s="34"/>
      <c r="X2009" s="35">
        <f t="shared" si="1677"/>
        <v>0</v>
      </c>
      <c r="Y2009" s="108">
        <f t="shared" si="1661"/>
        <v>0</v>
      </c>
      <c r="Z2009" s="101" t="s">
        <v>123</v>
      </c>
    </row>
    <row r="2010" spans="1:26" ht="14.25" thickBot="1" x14ac:dyDescent="0.2">
      <c r="A2010" s="90"/>
      <c r="B2010" s="62"/>
      <c r="C2010" s="63"/>
      <c r="D2010" s="64"/>
      <c r="E2010" s="65"/>
      <c r="F2010" s="35">
        <f t="shared" si="1670"/>
        <v>0</v>
      </c>
      <c r="G2010" s="62"/>
      <c r="H2010" s="63"/>
      <c r="I2010" s="64"/>
      <c r="J2010" s="65"/>
      <c r="K2010" s="35">
        <f t="shared" si="1671"/>
        <v>0</v>
      </c>
      <c r="L2010" s="14">
        <f t="shared" si="1663"/>
        <v>0</v>
      </c>
      <c r="N2010" s="135" t="s">
        <v>1454</v>
      </c>
      <c r="O2010" s="62"/>
      <c r="P2010" s="63"/>
      <c r="Q2010" s="64"/>
      <c r="R2010" s="65"/>
      <c r="S2010" s="120">
        <f t="shared" si="1676"/>
        <v>0</v>
      </c>
      <c r="T2010" s="62"/>
      <c r="U2010" s="63"/>
      <c r="V2010" s="64"/>
      <c r="W2010" s="65"/>
      <c r="X2010" s="120">
        <f t="shared" si="1677"/>
        <v>0</v>
      </c>
      <c r="Y2010" s="121">
        <f t="shared" si="1661"/>
        <v>0</v>
      </c>
      <c r="Z2010" s="101" t="s">
        <v>1455</v>
      </c>
    </row>
    <row r="2011" spans="1:26" ht="14.25" thickBot="1" x14ac:dyDescent="0.2">
      <c r="A2011" s="17" t="s">
        <v>10</v>
      </c>
      <c r="B2011" s="38">
        <f>SUM(B1986:B2010)</f>
        <v>5</v>
      </c>
      <c r="C2011" s="48">
        <f>SUM(C1986:C2010)</f>
        <v>25</v>
      </c>
      <c r="D2011" s="39">
        <f>SUM(D1986:D2010)</f>
        <v>22</v>
      </c>
      <c r="E2011" s="40">
        <f>SUM(E1986:E2010)</f>
        <v>7</v>
      </c>
      <c r="F2011" s="36">
        <f>SUM(B2011:E2011)</f>
        <v>59</v>
      </c>
      <c r="G2011" s="38">
        <f>SUM(G1986:G2010)</f>
        <v>16</v>
      </c>
      <c r="H2011" s="48">
        <f>SUM(H1986:H2010)</f>
        <v>9</v>
      </c>
      <c r="I2011" s="39">
        <f>SUM(I1986:I2010)</f>
        <v>14</v>
      </c>
      <c r="J2011" s="40">
        <f>SUM(J1986:J2010)</f>
        <v>16</v>
      </c>
      <c r="K2011" s="36">
        <f>SUM(G2011:J2011)</f>
        <v>55</v>
      </c>
      <c r="L2011" s="37">
        <f t="shared" si="1663"/>
        <v>114</v>
      </c>
      <c r="N2011" s="133" t="s">
        <v>10</v>
      </c>
      <c r="O2011" s="38">
        <f>SUM(O1986:O2010)</f>
        <v>23</v>
      </c>
      <c r="P2011" s="48">
        <f>SUM(P1986:P2010)</f>
        <v>25</v>
      </c>
      <c r="Q2011" s="39">
        <f>SUM(Q1986:Q2010)</f>
        <v>14</v>
      </c>
      <c r="R2011" s="40">
        <f>SUM(R1986:R2010)</f>
        <v>5</v>
      </c>
      <c r="S2011" s="118">
        <f t="shared" si="1676"/>
        <v>67</v>
      </c>
      <c r="T2011" s="38">
        <f>SUM(T1986:T2010)</f>
        <v>5</v>
      </c>
      <c r="U2011" s="48">
        <f>SUM(U1986:U2010)</f>
        <v>26</v>
      </c>
      <c r="V2011" s="39">
        <f>SUM(V1986:V2010)</f>
        <v>13</v>
      </c>
      <c r="W2011" s="40">
        <f>SUM(W1986:W2010)</f>
        <v>2</v>
      </c>
      <c r="X2011" s="118">
        <f t="shared" si="1677"/>
        <v>46</v>
      </c>
      <c r="Y2011" s="119">
        <f t="shared" si="1661"/>
        <v>113</v>
      </c>
    </row>
    <row r="2012" spans="1:26" ht="14.25" thickBot="1" x14ac:dyDescent="0.2">
      <c r="A2012" s="22" t="s">
        <v>11</v>
      </c>
      <c r="B2012" s="41">
        <f>B1985-B2011</f>
        <v>12</v>
      </c>
      <c r="C2012" s="49">
        <f>C1985-C2011</f>
        <v>7</v>
      </c>
      <c r="D2012" s="42">
        <f t="shared" ref="D2012:K2012" si="1690">D1985-D2011</f>
        <v>4</v>
      </c>
      <c r="E2012" s="43">
        <f t="shared" si="1690"/>
        <v>4</v>
      </c>
      <c r="F2012" s="61">
        <f t="shared" si="1690"/>
        <v>23</v>
      </c>
      <c r="G2012" s="41">
        <f t="shared" si="1690"/>
        <v>4</v>
      </c>
      <c r="H2012" s="49">
        <f t="shared" si="1690"/>
        <v>9</v>
      </c>
      <c r="I2012" s="42">
        <f t="shared" si="1690"/>
        <v>7</v>
      </c>
      <c r="J2012" s="43">
        <f t="shared" si="1690"/>
        <v>5</v>
      </c>
      <c r="K2012" s="61">
        <f t="shared" si="1690"/>
        <v>25</v>
      </c>
      <c r="L2012" s="21">
        <f t="shared" si="1663"/>
        <v>48</v>
      </c>
      <c r="N2012" s="17" t="s">
        <v>11</v>
      </c>
      <c r="O2012" s="41">
        <f>O1985-O2011</f>
        <v>683</v>
      </c>
      <c r="P2012" s="49">
        <f t="shared" ref="P2012:Q2012" si="1691">P1985-P2011</f>
        <v>810</v>
      </c>
      <c r="Q2012" s="42">
        <f t="shared" si="1691"/>
        <v>565</v>
      </c>
      <c r="R2012" s="43">
        <f>R1985-R2011</f>
        <v>449</v>
      </c>
      <c r="S2012" s="61">
        <f t="shared" ref="S2012:X2012" si="1692">S1985-S2011</f>
        <v>2507</v>
      </c>
      <c r="T2012" s="41">
        <f t="shared" si="1692"/>
        <v>591</v>
      </c>
      <c r="U2012" s="49">
        <f t="shared" si="1692"/>
        <v>684</v>
      </c>
      <c r="V2012" s="42">
        <f t="shared" si="1692"/>
        <v>429</v>
      </c>
      <c r="W2012" s="43">
        <f t="shared" si="1692"/>
        <v>350</v>
      </c>
      <c r="X2012" s="61">
        <f t="shared" si="1692"/>
        <v>2054</v>
      </c>
      <c r="Y2012" s="21">
        <f t="shared" si="1661"/>
        <v>4561</v>
      </c>
    </row>
    <row r="2015" spans="1:26" ht="19.5" thickBot="1" x14ac:dyDescent="0.25">
      <c r="A2015" s="2" t="s">
        <v>106</v>
      </c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N2015" s="2" t="s">
        <v>1036</v>
      </c>
      <c r="O2015" s="270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6" ht="14.25" thickBot="1" x14ac:dyDescent="0.2">
      <c r="A2016" s="5" t="s">
        <v>0</v>
      </c>
      <c r="B2016" s="342" t="s">
        <v>18</v>
      </c>
      <c r="C2016" s="350"/>
      <c r="D2016" s="350"/>
      <c r="E2016" s="350"/>
      <c r="F2016" s="351"/>
      <c r="G2016" s="345" t="s">
        <v>12</v>
      </c>
      <c r="H2016" s="352"/>
      <c r="I2016" s="352"/>
      <c r="J2016" s="352"/>
      <c r="K2016" s="353"/>
      <c r="L2016" s="354" t="s">
        <v>1</v>
      </c>
      <c r="N2016" s="5" t="s">
        <v>0</v>
      </c>
      <c r="O2016" s="342" t="s">
        <v>18</v>
      </c>
      <c r="P2016" s="343"/>
      <c r="Q2016" s="343"/>
      <c r="R2016" s="343"/>
      <c r="S2016" s="344"/>
      <c r="T2016" s="345" t="s">
        <v>12</v>
      </c>
      <c r="U2016" s="346"/>
      <c r="V2016" s="346"/>
      <c r="W2016" s="346"/>
      <c r="X2016" s="347"/>
      <c r="Y2016" s="348" t="s">
        <v>1</v>
      </c>
    </row>
    <row r="2017" spans="1:27" ht="14.25" thickBot="1" x14ac:dyDescent="0.2">
      <c r="A2017" s="5" t="s">
        <v>2</v>
      </c>
      <c r="B2017" s="3" t="s">
        <v>13</v>
      </c>
      <c r="C2017" s="44" t="s">
        <v>14</v>
      </c>
      <c r="D2017" s="4" t="s">
        <v>15</v>
      </c>
      <c r="E2017" s="23" t="s">
        <v>16</v>
      </c>
      <c r="F2017" s="31" t="s">
        <v>3</v>
      </c>
      <c r="G2017" s="3" t="s">
        <v>13</v>
      </c>
      <c r="H2017" s="44" t="s">
        <v>14</v>
      </c>
      <c r="I2017" s="4" t="s">
        <v>15</v>
      </c>
      <c r="J2017" s="23" t="s">
        <v>16</v>
      </c>
      <c r="K2017" s="31" t="s">
        <v>3</v>
      </c>
      <c r="L2017" s="355"/>
      <c r="N2017" s="5" t="s">
        <v>2</v>
      </c>
      <c r="O2017" s="3" t="s">
        <v>13</v>
      </c>
      <c r="P2017" s="44" t="s">
        <v>14</v>
      </c>
      <c r="Q2017" s="4" t="s">
        <v>15</v>
      </c>
      <c r="R2017" s="23" t="s">
        <v>16</v>
      </c>
      <c r="S2017" s="31" t="s">
        <v>3</v>
      </c>
      <c r="T2017" s="3" t="s">
        <v>13</v>
      </c>
      <c r="U2017" s="44" t="s">
        <v>14</v>
      </c>
      <c r="V2017" s="4" t="s">
        <v>15</v>
      </c>
      <c r="W2017" s="23" t="s">
        <v>16</v>
      </c>
      <c r="X2017" s="31" t="s">
        <v>3</v>
      </c>
      <c r="Y2017" s="349"/>
    </row>
    <row r="2018" spans="1:27" x14ac:dyDescent="0.15">
      <c r="A2018" s="71" t="s">
        <v>17</v>
      </c>
      <c r="B2018" s="72">
        <f>B2012</f>
        <v>12</v>
      </c>
      <c r="C2018" s="73">
        <f t="shared" ref="C2018:L2018" si="1693">C2012</f>
        <v>7</v>
      </c>
      <c r="D2018" s="73">
        <f t="shared" si="1693"/>
        <v>4</v>
      </c>
      <c r="E2018" s="74">
        <f t="shared" si="1693"/>
        <v>4</v>
      </c>
      <c r="F2018" s="76">
        <f t="shared" si="1693"/>
        <v>23</v>
      </c>
      <c r="G2018" s="72">
        <f t="shared" si="1693"/>
        <v>4</v>
      </c>
      <c r="H2018" s="73">
        <f t="shared" si="1693"/>
        <v>9</v>
      </c>
      <c r="I2018" s="73">
        <f t="shared" si="1693"/>
        <v>7</v>
      </c>
      <c r="J2018" s="74">
        <f t="shared" si="1693"/>
        <v>5</v>
      </c>
      <c r="K2018" s="75">
        <f t="shared" si="1693"/>
        <v>25</v>
      </c>
      <c r="L2018" s="16">
        <f t="shared" si="1693"/>
        <v>48</v>
      </c>
      <c r="N2018" s="71" t="s">
        <v>17</v>
      </c>
      <c r="O2018" s="72">
        <f>O2012</f>
        <v>683</v>
      </c>
      <c r="P2018" s="73">
        <f t="shared" ref="P2018:Y2018" si="1694">P2012</f>
        <v>810</v>
      </c>
      <c r="Q2018" s="73">
        <f t="shared" si="1694"/>
        <v>565</v>
      </c>
      <c r="R2018" s="74">
        <f t="shared" si="1694"/>
        <v>449</v>
      </c>
      <c r="S2018" s="76">
        <f t="shared" si="1694"/>
        <v>2507</v>
      </c>
      <c r="T2018" s="72">
        <f t="shared" si="1694"/>
        <v>591</v>
      </c>
      <c r="U2018" s="73">
        <f t="shared" si="1694"/>
        <v>684</v>
      </c>
      <c r="V2018" s="73">
        <f t="shared" si="1694"/>
        <v>429</v>
      </c>
      <c r="W2018" s="74">
        <f t="shared" si="1694"/>
        <v>350</v>
      </c>
      <c r="X2018" s="75">
        <f t="shared" si="1694"/>
        <v>2054</v>
      </c>
      <c r="Y2018" s="16">
        <f t="shared" si="1694"/>
        <v>4561</v>
      </c>
    </row>
    <row r="2019" spans="1:27" x14ac:dyDescent="0.15">
      <c r="A2019" s="13" t="s">
        <v>6</v>
      </c>
      <c r="B2019" s="26">
        <v>10</v>
      </c>
      <c r="C2019" s="47">
        <v>10</v>
      </c>
      <c r="D2019" s="27">
        <v>5</v>
      </c>
      <c r="E2019" s="50">
        <v>8</v>
      </c>
      <c r="F2019" s="9">
        <f>SUM(B2019:E2019)</f>
        <v>33</v>
      </c>
      <c r="G2019" s="47">
        <v>10</v>
      </c>
      <c r="H2019" s="47">
        <v>5</v>
      </c>
      <c r="I2019" s="27">
        <v>5</v>
      </c>
      <c r="J2019" s="50">
        <v>5</v>
      </c>
      <c r="K2019" s="9">
        <f>SUM(G2019:J2019)</f>
        <v>25</v>
      </c>
      <c r="L2019" s="11">
        <f t="shared" ref="L2019:L2020" si="1695">F2019+K2019</f>
        <v>58</v>
      </c>
      <c r="M2019" s="99">
        <v>45784</v>
      </c>
      <c r="N2019" s="13" t="s">
        <v>5</v>
      </c>
      <c r="O2019" s="26"/>
      <c r="P2019" s="47"/>
      <c r="Q2019" s="27"/>
      <c r="R2019" s="34"/>
      <c r="S2019" s="77">
        <f t="shared" ref="S2019:S2022" si="1696">SUM(O2019:R2019)</f>
        <v>0</v>
      </c>
      <c r="T2019" s="26"/>
      <c r="U2019" s="47"/>
      <c r="V2019" s="27"/>
      <c r="W2019" s="34"/>
      <c r="X2019" s="9">
        <f t="shared" ref="X2019:X2022" si="1697">SUM(T2019:W2019)</f>
        <v>0</v>
      </c>
      <c r="Y2019" s="11">
        <f t="shared" ref="Y2019:Y2050" si="1698">S2019+X2019</f>
        <v>0</v>
      </c>
    </row>
    <row r="2020" spans="1:27" x14ac:dyDescent="0.15">
      <c r="A2020" s="13" t="s">
        <v>49</v>
      </c>
      <c r="B2020" s="26"/>
      <c r="C2020" s="47">
        <v>1</v>
      </c>
      <c r="D2020" s="27"/>
      <c r="E2020" s="50">
        <v>1</v>
      </c>
      <c r="F2020" s="9">
        <f>SUM(B2020:E2020)</f>
        <v>2</v>
      </c>
      <c r="G2020" s="47"/>
      <c r="H2020" s="47"/>
      <c r="I2020" s="27"/>
      <c r="J2020" s="50"/>
      <c r="K2020" s="9">
        <f>SUM(G2020:J2020)</f>
        <v>0</v>
      </c>
      <c r="L2020" s="11">
        <f t="shared" si="1695"/>
        <v>2</v>
      </c>
      <c r="M2020" s="99">
        <v>45792</v>
      </c>
      <c r="N2020" s="13" t="s">
        <v>1813</v>
      </c>
      <c r="O2020" s="26">
        <v>700</v>
      </c>
      <c r="P2020" s="47">
        <v>1000</v>
      </c>
      <c r="Q2020" s="27">
        <v>500</v>
      </c>
      <c r="R2020" s="34">
        <v>300</v>
      </c>
      <c r="S2020" s="77">
        <f t="shared" si="1696"/>
        <v>2500</v>
      </c>
      <c r="T2020" s="26">
        <v>400</v>
      </c>
      <c r="U2020" s="47">
        <v>450</v>
      </c>
      <c r="V2020" s="27">
        <v>400</v>
      </c>
      <c r="W2020" s="34">
        <v>250</v>
      </c>
      <c r="X2020" s="9">
        <f t="shared" si="1697"/>
        <v>1500</v>
      </c>
      <c r="Y2020" s="11">
        <f t="shared" si="1698"/>
        <v>4000</v>
      </c>
      <c r="Z2020" s="99" t="s">
        <v>1703</v>
      </c>
    </row>
    <row r="2021" spans="1:27" x14ac:dyDescent="0.15">
      <c r="A2021" s="13" t="s">
        <v>166</v>
      </c>
      <c r="B2021" s="26">
        <v>3</v>
      </c>
      <c r="C2021" s="47">
        <v>4</v>
      </c>
      <c r="D2021" s="27">
        <v>4</v>
      </c>
      <c r="E2021" s="50">
        <v>3</v>
      </c>
      <c r="F2021" s="9">
        <f>SUM(B2021:E2021)</f>
        <v>14</v>
      </c>
      <c r="G2021" s="47">
        <v>1</v>
      </c>
      <c r="H2021" s="47"/>
      <c r="I2021" s="27">
        <v>2</v>
      </c>
      <c r="J2021" s="50"/>
      <c r="K2021" s="9">
        <f>SUM(G2021:J2021)</f>
        <v>3</v>
      </c>
      <c r="L2021" s="11">
        <f t="shared" ref="L2021:L2050" si="1699">F2021+K2021</f>
        <v>17</v>
      </c>
      <c r="M2021" s="99">
        <v>45796</v>
      </c>
      <c r="N2021" s="13" t="s">
        <v>7</v>
      </c>
      <c r="O2021" s="26"/>
      <c r="P2021" s="47"/>
      <c r="Q2021" s="27"/>
      <c r="R2021" s="34"/>
      <c r="S2021" s="77">
        <f t="shared" si="1696"/>
        <v>0</v>
      </c>
      <c r="T2021" s="26"/>
      <c r="U2021" s="47"/>
      <c r="V2021" s="27"/>
      <c r="W2021" s="34"/>
      <c r="X2021" s="9">
        <f t="shared" si="1697"/>
        <v>0</v>
      </c>
      <c r="Y2021" s="11">
        <f t="shared" si="1698"/>
        <v>0</v>
      </c>
      <c r="Z2021" s="101" t="s">
        <v>1673</v>
      </c>
    </row>
    <row r="2022" spans="1:27" ht="14.25" thickBot="1" x14ac:dyDescent="0.2">
      <c r="A2022" s="13" t="s">
        <v>8</v>
      </c>
      <c r="B2022" s="26"/>
      <c r="C2022" s="47"/>
      <c r="D2022" s="27">
        <v>3</v>
      </c>
      <c r="E2022" s="50"/>
      <c r="F2022" s="10">
        <f>SUM(B2022:E2022)</f>
        <v>3</v>
      </c>
      <c r="G2022" s="47"/>
      <c r="H2022" s="47">
        <v>3</v>
      </c>
      <c r="I2022" s="27"/>
      <c r="J2022" s="50">
        <v>3</v>
      </c>
      <c r="K2022" s="10">
        <f>SUM(G2022:J2022)</f>
        <v>6</v>
      </c>
      <c r="L2022" s="14">
        <f t="shared" si="1699"/>
        <v>9</v>
      </c>
      <c r="M2022" s="99">
        <v>45796</v>
      </c>
      <c r="N2022" s="13" t="s">
        <v>8</v>
      </c>
      <c r="O2022" s="26"/>
      <c r="P2022" s="47"/>
      <c r="Q2022" s="27"/>
      <c r="R2022" s="34"/>
      <c r="S2022" s="77">
        <f t="shared" si="1696"/>
        <v>0</v>
      </c>
      <c r="T2022" s="26"/>
      <c r="U2022" s="47"/>
      <c r="V2022" s="27"/>
      <c r="W2022" s="34"/>
      <c r="X2022" s="9">
        <f t="shared" si="1697"/>
        <v>0</v>
      </c>
      <c r="Y2022" s="11">
        <f t="shared" si="1698"/>
        <v>0</v>
      </c>
    </row>
    <row r="2023" spans="1:27" ht="14.25" thickBot="1" x14ac:dyDescent="0.2">
      <c r="A2023" s="22" t="s">
        <v>9</v>
      </c>
      <c r="B2023" s="41">
        <f t="shared" ref="B2023:K2023" si="1700">SUM(B2018:B2022)</f>
        <v>25</v>
      </c>
      <c r="C2023" s="49">
        <f t="shared" si="1700"/>
        <v>22</v>
      </c>
      <c r="D2023" s="42">
        <f t="shared" si="1700"/>
        <v>16</v>
      </c>
      <c r="E2023" s="92">
        <f t="shared" si="1700"/>
        <v>16</v>
      </c>
      <c r="F2023" s="132">
        <f t="shared" si="1700"/>
        <v>75</v>
      </c>
      <c r="G2023" s="41">
        <f t="shared" si="1700"/>
        <v>15</v>
      </c>
      <c r="H2023" s="49">
        <f t="shared" si="1700"/>
        <v>17</v>
      </c>
      <c r="I2023" s="42">
        <f t="shared" si="1700"/>
        <v>14</v>
      </c>
      <c r="J2023" s="92">
        <f t="shared" si="1700"/>
        <v>13</v>
      </c>
      <c r="K2023" s="132">
        <f t="shared" si="1700"/>
        <v>59</v>
      </c>
      <c r="L2023" s="21">
        <f t="shared" si="1699"/>
        <v>134</v>
      </c>
      <c r="N2023" s="17" t="s">
        <v>9</v>
      </c>
      <c r="O2023" s="41">
        <f>SUM(O2018:O2022)</f>
        <v>1383</v>
      </c>
      <c r="P2023" s="49">
        <f t="shared" ref="P2023:V2023" si="1701">SUM(P2018:P2022)</f>
        <v>1810</v>
      </c>
      <c r="Q2023" s="42">
        <f t="shared" si="1701"/>
        <v>1065</v>
      </c>
      <c r="R2023" s="92">
        <f t="shared" si="1701"/>
        <v>749</v>
      </c>
      <c r="S2023" s="93">
        <f t="shared" si="1701"/>
        <v>5007</v>
      </c>
      <c r="T2023" s="41">
        <f t="shared" si="1701"/>
        <v>991</v>
      </c>
      <c r="U2023" s="49">
        <f t="shared" si="1701"/>
        <v>1134</v>
      </c>
      <c r="V2023" s="42">
        <f t="shared" si="1701"/>
        <v>829</v>
      </c>
      <c r="W2023" s="92">
        <f>SUM(W2018:W2022)</f>
        <v>600</v>
      </c>
      <c r="X2023" s="93">
        <f t="shared" ref="X2023" si="1702">SUM(X2018:X2022)</f>
        <v>3554</v>
      </c>
      <c r="Y2023" s="56">
        <f t="shared" si="1698"/>
        <v>8561</v>
      </c>
    </row>
    <row r="2024" spans="1:27" x14ac:dyDescent="0.15">
      <c r="A2024" s="57" t="s">
        <v>1669</v>
      </c>
      <c r="B2024" s="66">
        <v>4</v>
      </c>
      <c r="C2024" s="67">
        <v>6</v>
      </c>
      <c r="D2024" s="68">
        <v>4</v>
      </c>
      <c r="E2024" s="69">
        <v>4</v>
      </c>
      <c r="F2024" s="70">
        <f t="shared" ref="F2024" si="1703">SUM(B2024:E2024)</f>
        <v>18</v>
      </c>
      <c r="G2024" s="66">
        <v>4</v>
      </c>
      <c r="H2024" s="67">
        <v>6</v>
      </c>
      <c r="I2024" s="68">
        <v>4</v>
      </c>
      <c r="J2024" s="69">
        <v>4</v>
      </c>
      <c r="K2024" s="70">
        <f t="shared" ref="K2024" si="1704">SUM(G2024:J2024)</f>
        <v>18</v>
      </c>
      <c r="L2024" s="11">
        <f t="shared" si="1699"/>
        <v>36</v>
      </c>
      <c r="M2024" s="99">
        <v>45785</v>
      </c>
      <c r="N2024" s="12" t="s">
        <v>1670</v>
      </c>
      <c r="O2024" s="26">
        <v>5</v>
      </c>
      <c r="P2024" s="47">
        <v>5</v>
      </c>
      <c r="Q2024" s="27">
        <v>5</v>
      </c>
      <c r="R2024" s="34">
        <v>5</v>
      </c>
      <c r="S2024" s="35">
        <f t="shared" ref="S2024:S2030" si="1705">SUM(O2024:R2024)</f>
        <v>20</v>
      </c>
      <c r="T2024" s="26">
        <v>5</v>
      </c>
      <c r="U2024" s="47">
        <v>5</v>
      </c>
      <c r="V2024" s="27">
        <v>5</v>
      </c>
      <c r="W2024" s="34">
        <v>5</v>
      </c>
      <c r="X2024" s="35">
        <f t="shared" ref="X2024:X2030" si="1706">SUM(T2024:W2024)</f>
        <v>20</v>
      </c>
      <c r="Y2024" s="11">
        <f t="shared" si="1698"/>
        <v>40</v>
      </c>
      <c r="Z2024" s="99">
        <v>45784</v>
      </c>
    </row>
    <row r="2025" spans="1:27" x14ac:dyDescent="0.15">
      <c r="A2025" s="57" t="s">
        <v>1674</v>
      </c>
      <c r="B2025" s="26">
        <v>4</v>
      </c>
      <c r="C2025" s="47">
        <v>2</v>
      </c>
      <c r="D2025" s="27"/>
      <c r="E2025" s="34">
        <v>2</v>
      </c>
      <c r="F2025" s="35">
        <f>SUM(B2025:E2025)</f>
        <v>8</v>
      </c>
      <c r="G2025" s="26">
        <v>2</v>
      </c>
      <c r="H2025" s="47">
        <v>2</v>
      </c>
      <c r="I2025" s="27"/>
      <c r="J2025" s="34">
        <v>2</v>
      </c>
      <c r="K2025" s="35">
        <f>SUM(G2025:J2025)</f>
        <v>6</v>
      </c>
      <c r="L2025" s="11">
        <f t="shared" si="1699"/>
        <v>14</v>
      </c>
      <c r="M2025" s="99">
        <v>45786</v>
      </c>
      <c r="N2025" s="12" t="s">
        <v>34</v>
      </c>
      <c r="O2025" s="26">
        <v>5</v>
      </c>
      <c r="P2025" s="47">
        <v>5</v>
      </c>
      <c r="Q2025" s="27"/>
      <c r="R2025" s="34">
        <v>3</v>
      </c>
      <c r="S2025" s="35">
        <f>SUM(O2025:R2025)</f>
        <v>13</v>
      </c>
      <c r="T2025" s="26">
        <v>5</v>
      </c>
      <c r="U2025" s="47"/>
      <c r="V2025" s="27"/>
      <c r="W2025" s="34"/>
      <c r="X2025" s="35">
        <f>SUM(T2025:W2025)</f>
        <v>5</v>
      </c>
      <c r="Y2025" s="11">
        <f t="shared" si="1698"/>
        <v>18</v>
      </c>
      <c r="Z2025" s="99">
        <v>45785</v>
      </c>
    </row>
    <row r="2026" spans="1:27" x14ac:dyDescent="0.15">
      <c r="A2026" s="32" t="s">
        <v>41</v>
      </c>
      <c r="B2026" s="26"/>
      <c r="C2026" s="47"/>
      <c r="D2026" s="27">
        <v>1</v>
      </c>
      <c r="E2026" s="34"/>
      <c r="F2026" s="35">
        <f t="shared" ref="F2026:F2048" si="1707">SUM(B2026:E2026)</f>
        <v>1</v>
      </c>
      <c r="G2026" s="26"/>
      <c r="H2026" s="47"/>
      <c r="I2026" s="27"/>
      <c r="J2026" s="34"/>
      <c r="K2026" s="35">
        <f t="shared" ref="K2026:K2048" si="1708">SUM(G2026:J2026)</f>
        <v>0</v>
      </c>
      <c r="L2026" s="11">
        <f t="shared" si="1699"/>
        <v>1</v>
      </c>
      <c r="M2026" s="99">
        <v>45784</v>
      </c>
      <c r="N2026" s="12" t="s">
        <v>1675</v>
      </c>
      <c r="O2026" s="26"/>
      <c r="P2026" s="47">
        <v>10</v>
      </c>
      <c r="Q2026" s="27"/>
      <c r="R2026" s="34"/>
      <c r="S2026" s="35">
        <f t="shared" si="1705"/>
        <v>10</v>
      </c>
      <c r="T2026" s="26"/>
      <c r="U2026" s="47"/>
      <c r="V2026" s="27"/>
      <c r="W2026" s="34"/>
      <c r="X2026" s="35">
        <f t="shared" si="1706"/>
        <v>0</v>
      </c>
      <c r="Y2026" s="11">
        <f t="shared" si="1698"/>
        <v>10</v>
      </c>
      <c r="Z2026" s="99">
        <v>45793</v>
      </c>
    </row>
    <row r="2027" spans="1:27" x14ac:dyDescent="0.15">
      <c r="A2027" s="32" t="s">
        <v>41</v>
      </c>
      <c r="B2027" s="66"/>
      <c r="C2027" s="67"/>
      <c r="D2027" s="68"/>
      <c r="E2027" s="69"/>
      <c r="F2027" s="70">
        <f t="shared" si="1707"/>
        <v>0</v>
      </c>
      <c r="G2027" s="66">
        <v>1</v>
      </c>
      <c r="H2027" s="67"/>
      <c r="I2027" s="68"/>
      <c r="J2027" s="69"/>
      <c r="K2027" s="70">
        <f t="shared" si="1708"/>
        <v>1</v>
      </c>
      <c r="L2027" s="11">
        <f t="shared" si="1699"/>
        <v>1</v>
      </c>
      <c r="M2027" s="126">
        <v>45785</v>
      </c>
      <c r="N2027" s="12" t="s">
        <v>1676</v>
      </c>
      <c r="O2027" s="26">
        <v>30</v>
      </c>
      <c r="P2027" s="47">
        <v>60</v>
      </c>
      <c r="Q2027" s="27">
        <v>30</v>
      </c>
      <c r="R2027" s="34">
        <v>40</v>
      </c>
      <c r="S2027" s="35">
        <f t="shared" si="1705"/>
        <v>160</v>
      </c>
      <c r="T2027" s="26">
        <v>5</v>
      </c>
      <c r="U2027" s="47">
        <v>15</v>
      </c>
      <c r="V2027" s="27">
        <v>10</v>
      </c>
      <c r="W2027" s="34">
        <v>10</v>
      </c>
      <c r="X2027" s="35">
        <f t="shared" si="1706"/>
        <v>40</v>
      </c>
      <c r="Y2027" s="11">
        <f t="shared" si="1698"/>
        <v>200</v>
      </c>
      <c r="Z2027" s="99">
        <v>45793</v>
      </c>
      <c r="AA2027" s="58"/>
    </row>
    <row r="2028" spans="1:27" x14ac:dyDescent="0.15">
      <c r="A2028" s="32" t="s">
        <v>41</v>
      </c>
      <c r="B2028" s="26"/>
      <c r="C2028" s="47">
        <v>1</v>
      </c>
      <c r="D2028" s="27"/>
      <c r="E2028" s="34"/>
      <c r="F2028" s="35">
        <f t="shared" si="1707"/>
        <v>1</v>
      </c>
      <c r="G2028" s="26"/>
      <c r="H2028" s="47"/>
      <c r="I2028" s="27"/>
      <c r="J2028" s="34"/>
      <c r="K2028" s="35">
        <f t="shared" si="1708"/>
        <v>0</v>
      </c>
      <c r="L2028" s="11">
        <f t="shared" si="1699"/>
        <v>1</v>
      </c>
      <c r="M2028" s="126">
        <v>45786</v>
      </c>
      <c r="N2028" s="12" t="s">
        <v>1678</v>
      </c>
      <c r="O2028" s="26">
        <v>2</v>
      </c>
      <c r="P2028" s="47"/>
      <c r="Q2028" s="27"/>
      <c r="R2028" s="34"/>
      <c r="S2028" s="35">
        <f t="shared" si="1705"/>
        <v>2</v>
      </c>
      <c r="T2028" s="26">
        <v>2</v>
      </c>
      <c r="U2028" s="47"/>
      <c r="V2028" s="27"/>
      <c r="W2028" s="34"/>
      <c r="X2028" s="35">
        <f t="shared" si="1706"/>
        <v>2</v>
      </c>
      <c r="Y2028" s="11">
        <f t="shared" si="1698"/>
        <v>4</v>
      </c>
      <c r="Z2028" s="99">
        <v>45797</v>
      </c>
    </row>
    <row r="2029" spans="1:27" x14ac:dyDescent="0.15">
      <c r="A2029" s="32" t="s">
        <v>1677</v>
      </c>
      <c r="B2029" s="26"/>
      <c r="C2029" s="47">
        <v>1</v>
      </c>
      <c r="D2029" s="27"/>
      <c r="E2029" s="34"/>
      <c r="F2029" s="35">
        <f t="shared" si="1707"/>
        <v>1</v>
      </c>
      <c r="G2029" s="26"/>
      <c r="H2029" s="47"/>
      <c r="I2029" s="27"/>
      <c r="J2029" s="34"/>
      <c r="K2029" s="35">
        <f t="shared" si="1708"/>
        <v>0</v>
      </c>
      <c r="L2029" s="11">
        <f t="shared" si="1699"/>
        <v>1</v>
      </c>
      <c r="M2029" s="99">
        <v>45792</v>
      </c>
      <c r="N2029" s="12" t="s">
        <v>34</v>
      </c>
      <c r="O2029" s="26"/>
      <c r="P2029" s="47"/>
      <c r="Q2029" s="27">
        <v>3</v>
      </c>
      <c r="R2029" s="34"/>
      <c r="S2029" s="35">
        <f>SUM(O2029:R2029)</f>
        <v>3</v>
      </c>
      <c r="T2029" s="26"/>
      <c r="U2029" s="47">
        <v>3</v>
      </c>
      <c r="V2029" s="27"/>
      <c r="W2029" s="34">
        <v>3</v>
      </c>
      <c r="X2029" s="35">
        <f>SUM(T2029:W2029)</f>
        <v>6</v>
      </c>
      <c r="Y2029" s="11">
        <f t="shared" si="1698"/>
        <v>9</v>
      </c>
      <c r="Z2029" s="99">
        <v>45796</v>
      </c>
    </row>
    <row r="2030" spans="1:27" x14ac:dyDescent="0.15">
      <c r="A2030" s="32" t="s">
        <v>41</v>
      </c>
      <c r="B2030" s="26"/>
      <c r="C2030" s="47">
        <v>1</v>
      </c>
      <c r="D2030" s="27"/>
      <c r="E2030" s="34"/>
      <c r="F2030" s="35">
        <f t="shared" si="1707"/>
        <v>1</v>
      </c>
      <c r="G2030" s="26"/>
      <c r="H2030" s="47"/>
      <c r="I2030" s="27"/>
      <c r="J2030" s="34"/>
      <c r="K2030" s="35">
        <f t="shared" si="1708"/>
        <v>0</v>
      </c>
      <c r="L2030" s="11">
        <f t="shared" si="1699"/>
        <v>1</v>
      </c>
      <c r="M2030" s="99">
        <v>45790</v>
      </c>
      <c r="N2030" s="12" t="s">
        <v>1681</v>
      </c>
      <c r="O2030" s="26">
        <v>5</v>
      </c>
      <c r="P2030" s="47">
        <v>5</v>
      </c>
      <c r="Q2030" s="27">
        <v>5</v>
      </c>
      <c r="R2030" s="34">
        <v>5</v>
      </c>
      <c r="S2030" s="35">
        <f t="shared" si="1705"/>
        <v>20</v>
      </c>
      <c r="T2030" s="26">
        <v>5</v>
      </c>
      <c r="U2030" s="47">
        <v>10</v>
      </c>
      <c r="V2030" s="27"/>
      <c r="W2030" s="34"/>
      <c r="X2030" s="35">
        <f t="shared" si="1706"/>
        <v>15</v>
      </c>
      <c r="Y2030" s="11">
        <f t="shared" si="1698"/>
        <v>35</v>
      </c>
      <c r="Z2030" s="99">
        <v>45811</v>
      </c>
    </row>
    <row r="2031" spans="1:27" x14ac:dyDescent="0.15">
      <c r="A2031" s="32" t="s">
        <v>1679</v>
      </c>
      <c r="B2031" s="26"/>
      <c r="C2031" s="47">
        <v>1</v>
      </c>
      <c r="D2031" s="27"/>
      <c r="E2031" s="34"/>
      <c r="F2031" s="35">
        <f t="shared" si="1707"/>
        <v>1</v>
      </c>
      <c r="G2031" s="26"/>
      <c r="H2031" s="47">
        <v>1</v>
      </c>
      <c r="I2031" s="27"/>
      <c r="J2031" s="34"/>
      <c r="K2031" s="35">
        <f t="shared" si="1708"/>
        <v>1</v>
      </c>
      <c r="L2031" s="11">
        <f t="shared" si="1699"/>
        <v>2</v>
      </c>
      <c r="M2031" s="99">
        <v>45793</v>
      </c>
      <c r="N2031" s="12" t="s">
        <v>1684</v>
      </c>
      <c r="O2031" s="26">
        <v>40</v>
      </c>
      <c r="P2031" s="47">
        <v>50</v>
      </c>
      <c r="Q2031" s="27">
        <v>45</v>
      </c>
      <c r="R2031" s="50"/>
      <c r="S2031" s="9">
        <f>SUM(O2031:R2031)</f>
        <v>135</v>
      </c>
      <c r="T2031" s="47"/>
      <c r="U2031" s="47"/>
      <c r="V2031" s="27">
        <v>5</v>
      </c>
      <c r="W2031" s="50">
        <v>5</v>
      </c>
      <c r="X2031" s="9">
        <f>SUM(T2031:W2031)</f>
        <v>10</v>
      </c>
      <c r="Y2031" s="11">
        <f t="shared" si="1698"/>
        <v>145</v>
      </c>
      <c r="Z2031" s="99">
        <v>45799</v>
      </c>
      <c r="AA2031" s="58"/>
    </row>
    <row r="2032" spans="1:27" x14ac:dyDescent="0.15">
      <c r="A2032" s="32" t="s">
        <v>41</v>
      </c>
      <c r="B2032" s="26">
        <v>1</v>
      </c>
      <c r="C2032" s="47"/>
      <c r="D2032" s="27"/>
      <c r="E2032" s="34">
        <v>1</v>
      </c>
      <c r="F2032" s="35">
        <f t="shared" si="1707"/>
        <v>2</v>
      </c>
      <c r="G2032" s="26"/>
      <c r="H2032" s="47"/>
      <c r="I2032" s="27"/>
      <c r="J2032" s="34"/>
      <c r="K2032" s="35">
        <f t="shared" si="1708"/>
        <v>0</v>
      </c>
      <c r="L2032" s="11">
        <f t="shared" si="1699"/>
        <v>2</v>
      </c>
      <c r="M2032" s="99">
        <v>45793</v>
      </c>
      <c r="N2032" s="32" t="s">
        <v>1685</v>
      </c>
      <c r="O2032" s="26"/>
      <c r="P2032" s="47">
        <v>3</v>
      </c>
      <c r="Q2032" s="27">
        <v>1</v>
      </c>
      <c r="R2032" s="34"/>
      <c r="S2032" s="35">
        <f t="shared" ref="S2032:S2049" si="1709">SUM(O2032:R2032)</f>
        <v>4</v>
      </c>
      <c r="T2032" s="26"/>
      <c r="U2032" s="47"/>
      <c r="V2032" s="27"/>
      <c r="W2032" s="34"/>
      <c r="X2032" s="35">
        <f t="shared" ref="X2032:X2049" si="1710">SUM(T2032:W2032)</f>
        <v>0</v>
      </c>
      <c r="Y2032" s="11">
        <f t="shared" si="1698"/>
        <v>4</v>
      </c>
      <c r="Z2032" s="99">
        <v>45800</v>
      </c>
      <c r="AA2032" s="58"/>
    </row>
    <row r="2033" spans="1:27" x14ac:dyDescent="0.15">
      <c r="A2033" s="32" t="s">
        <v>1680</v>
      </c>
      <c r="B2033" s="26">
        <v>1</v>
      </c>
      <c r="C2033" s="47"/>
      <c r="D2033" s="27"/>
      <c r="E2033" s="34"/>
      <c r="F2033" s="35">
        <f t="shared" si="1707"/>
        <v>1</v>
      </c>
      <c r="G2033" s="26"/>
      <c r="H2033" s="47">
        <v>1</v>
      </c>
      <c r="I2033" s="27"/>
      <c r="J2033" s="34"/>
      <c r="K2033" s="35">
        <f t="shared" si="1708"/>
        <v>1</v>
      </c>
      <c r="L2033" s="11">
        <f t="shared" si="1699"/>
        <v>2</v>
      </c>
      <c r="M2033" s="99">
        <v>45798</v>
      </c>
      <c r="N2033" s="12" t="s">
        <v>1686</v>
      </c>
      <c r="O2033" s="26">
        <v>25</v>
      </c>
      <c r="P2033" s="47">
        <v>30</v>
      </c>
      <c r="Q2033" s="27">
        <v>15</v>
      </c>
      <c r="R2033" s="34"/>
      <c r="S2033" s="35">
        <f t="shared" si="1709"/>
        <v>70</v>
      </c>
      <c r="T2033" s="26"/>
      <c r="U2033" s="47">
        <v>5</v>
      </c>
      <c r="V2033" s="27"/>
      <c r="W2033" s="34"/>
      <c r="X2033" s="35">
        <f t="shared" si="1710"/>
        <v>5</v>
      </c>
      <c r="Y2033" s="11">
        <f t="shared" si="1698"/>
        <v>75</v>
      </c>
      <c r="Z2033" s="99">
        <v>45800</v>
      </c>
      <c r="AA2033" s="58"/>
    </row>
    <row r="2034" spans="1:27" x14ac:dyDescent="0.15">
      <c r="A2034" s="32" t="s">
        <v>41</v>
      </c>
      <c r="B2034" s="26"/>
      <c r="C2034" s="47"/>
      <c r="D2034" s="27"/>
      <c r="E2034" s="34">
        <v>1</v>
      </c>
      <c r="F2034" s="35">
        <f t="shared" si="1707"/>
        <v>1</v>
      </c>
      <c r="G2034" s="26"/>
      <c r="H2034" s="47"/>
      <c r="I2034" s="27"/>
      <c r="J2034" s="34"/>
      <c r="K2034" s="35">
        <f t="shared" si="1708"/>
        <v>0</v>
      </c>
      <c r="L2034" s="11">
        <f t="shared" si="1699"/>
        <v>1</v>
      </c>
      <c r="M2034" s="99">
        <v>45796</v>
      </c>
      <c r="N2034" s="12" t="s">
        <v>1688</v>
      </c>
      <c r="O2034" s="26"/>
      <c r="P2034" s="47">
        <v>5</v>
      </c>
      <c r="Q2034" s="27">
        <v>5</v>
      </c>
      <c r="R2034" s="34">
        <v>5</v>
      </c>
      <c r="S2034" s="35">
        <f t="shared" si="1709"/>
        <v>15</v>
      </c>
      <c r="T2034" s="26"/>
      <c r="U2034" s="47"/>
      <c r="V2034" s="27">
        <v>5</v>
      </c>
      <c r="W2034" s="34"/>
      <c r="X2034" s="35">
        <f t="shared" si="1710"/>
        <v>5</v>
      </c>
      <c r="Y2034" s="11">
        <f t="shared" si="1698"/>
        <v>20</v>
      </c>
      <c r="Z2034" s="99">
        <v>45801</v>
      </c>
    </row>
    <row r="2035" spans="1:27" x14ac:dyDescent="0.15">
      <c r="A2035" s="32" t="s">
        <v>1683</v>
      </c>
      <c r="B2035" s="26">
        <v>1</v>
      </c>
      <c r="C2035" s="47"/>
      <c r="D2035" s="27"/>
      <c r="E2035" s="34"/>
      <c r="F2035" s="35">
        <f t="shared" si="1707"/>
        <v>1</v>
      </c>
      <c r="G2035" s="26"/>
      <c r="H2035" s="47"/>
      <c r="I2035" s="27"/>
      <c r="J2035" s="34"/>
      <c r="K2035" s="35">
        <f t="shared" si="1708"/>
        <v>0</v>
      </c>
      <c r="L2035" s="11">
        <f t="shared" si="1699"/>
        <v>1</v>
      </c>
      <c r="M2035" s="99">
        <v>45799</v>
      </c>
      <c r="N2035" s="12" t="s">
        <v>1689</v>
      </c>
      <c r="O2035" s="26">
        <v>25</v>
      </c>
      <c r="P2035" s="47">
        <v>50</v>
      </c>
      <c r="Q2035" s="27">
        <v>20</v>
      </c>
      <c r="R2035" s="34">
        <v>15</v>
      </c>
      <c r="S2035" s="35">
        <f t="shared" si="1709"/>
        <v>110</v>
      </c>
      <c r="T2035" s="26">
        <v>10</v>
      </c>
      <c r="U2035" s="47">
        <v>25</v>
      </c>
      <c r="V2035" s="27">
        <v>10</v>
      </c>
      <c r="W2035" s="34">
        <v>10</v>
      </c>
      <c r="X2035" s="35">
        <f t="shared" si="1710"/>
        <v>55</v>
      </c>
      <c r="Y2035" s="11">
        <f t="shared" si="1698"/>
        <v>165</v>
      </c>
      <c r="Z2035" s="99">
        <v>45801</v>
      </c>
    </row>
    <row r="2036" spans="1:27" x14ac:dyDescent="0.15">
      <c r="A2036" s="32" t="s">
        <v>41</v>
      </c>
      <c r="B2036" s="26"/>
      <c r="C2036" s="47"/>
      <c r="D2036" s="27"/>
      <c r="E2036" s="34"/>
      <c r="F2036" s="35">
        <f t="shared" si="1707"/>
        <v>0</v>
      </c>
      <c r="G2036" s="26">
        <v>1</v>
      </c>
      <c r="H2036" s="47"/>
      <c r="I2036" s="27"/>
      <c r="J2036" s="34"/>
      <c r="K2036" s="35">
        <f t="shared" si="1708"/>
        <v>1</v>
      </c>
      <c r="L2036" s="11">
        <f t="shared" si="1699"/>
        <v>1</v>
      </c>
      <c r="M2036" s="99">
        <v>45797</v>
      </c>
      <c r="N2036" s="57" t="s">
        <v>1690</v>
      </c>
      <c r="O2036" s="26">
        <v>10</v>
      </c>
      <c r="P2036" s="47">
        <v>10</v>
      </c>
      <c r="Q2036" s="27">
        <v>6</v>
      </c>
      <c r="R2036" s="34">
        <v>4</v>
      </c>
      <c r="S2036" s="35">
        <f t="shared" si="1709"/>
        <v>30</v>
      </c>
      <c r="T2036" s="26">
        <v>2</v>
      </c>
      <c r="U2036" s="47"/>
      <c r="V2036" s="27">
        <v>6</v>
      </c>
      <c r="W2036" s="34"/>
      <c r="X2036" s="35">
        <f t="shared" si="1710"/>
        <v>8</v>
      </c>
      <c r="Y2036" s="11">
        <f t="shared" si="1698"/>
        <v>38</v>
      </c>
      <c r="Z2036" s="99">
        <v>45805</v>
      </c>
    </row>
    <row r="2037" spans="1:27" x14ac:dyDescent="0.15">
      <c r="A2037" s="32" t="s">
        <v>41</v>
      </c>
      <c r="B2037" s="26"/>
      <c r="C2037" s="47"/>
      <c r="D2037" s="27"/>
      <c r="E2037" s="34"/>
      <c r="F2037" s="35">
        <f t="shared" si="1707"/>
        <v>0</v>
      </c>
      <c r="G2037" s="26">
        <v>1</v>
      </c>
      <c r="H2037" s="47"/>
      <c r="I2037" s="27"/>
      <c r="J2037" s="34"/>
      <c r="K2037" s="35">
        <f t="shared" si="1708"/>
        <v>1</v>
      </c>
      <c r="L2037" s="11">
        <f t="shared" si="1699"/>
        <v>1</v>
      </c>
      <c r="M2037" s="99">
        <v>45798</v>
      </c>
      <c r="N2037" s="12" t="s">
        <v>1693</v>
      </c>
      <c r="O2037" s="26"/>
      <c r="P2037" s="47"/>
      <c r="Q2037" s="27"/>
      <c r="R2037" s="34">
        <v>15</v>
      </c>
      <c r="S2037" s="35">
        <f t="shared" si="1709"/>
        <v>15</v>
      </c>
      <c r="T2037" s="26"/>
      <c r="U2037" s="47"/>
      <c r="V2037" s="27"/>
      <c r="W2037" s="34"/>
      <c r="X2037" s="35">
        <f t="shared" si="1710"/>
        <v>0</v>
      </c>
      <c r="Y2037" s="11">
        <f t="shared" si="1698"/>
        <v>15</v>
      </c>
      <c r="Z2037" s="99">
        <v>45804</v>
      </c>
      <c r="AA2037" s="58"/>
    </row>
    <row r="2038" spans="1:27" x14ac:dyDescent="0.15">
      <c r="A2038" s="32" t="s">
        <v>41</v>
      </c>
      <c r="B2038" s="26"/>
      <c r="C2038" s="47">
        <v>1</v>
      </c>
      <c r="D2038" s="27"/>
      <c r="E2038" s="34"/>
      <c r="F2038" s="35">
        <f t="shared" si="1707"/>
        <v>1</v>
      </c>
      <c r="G2038" s="26"/>
      <c r="H2038" s="47"/>
      <c r="I2038" s="27">
        <v>1</v>
      </c>
      <c r="J2038" s="34"/>
      <c r="K2038" s="35">
        <f t="shared" si="1708"/>
        <v>1</v>
      </c>
      <c r="L2038" s="11">
        <f t="shared" si="1699"/>
        <v>2</v>
      </c>
      <c r="M2038" s="99">
        <v>45799</v>
      </c>
      <c r="N2038" s="12" t="s">
        <v>1695</v>
      </c>
      <c r="O2038" s="26"/>
      <c r="P2038" s="47"/>
      <c r="Q2038" s="27"/>
      <c r="R2038" s="34">
        <v>10</v>
      </c>
      <c r="S2038" s="35">
        <f t="shared" si="1709"/>
        <v>10</v>
      </c>
      <c r="T2038" s="26">
        <v>10</v>
      </c>
      <c r="U2038" s="47">
        <v>5</v>
      </c>
      <c r="V2038" s="27"/>
      <c r="W2038" s="34"/>
      <c r="X2038" s="35">
        <f t="shared" si="1710"/>
        <v>15</v>
      </c>
      <c r="Y2038" s="11">
        <f t="shared" si="1698"/>
        <v>25</v>
      </c>
      <c r="Z2038" s="99">
        <v>45805</v>
      </c>
      <c r="AA2038" s="58"/>
    </row>
    <row r="2039" spans="1:27" x14ac:dyDescent="0.15">
      <c r="A2039" s="32" t="s">
        <v>1687</v>
      </c>
      <c r="B2039" s="26"/>
      <c r="C2039" s="47">
        <v>1</v>
      </c>
      <c r="D2039" s="27"/>
      <c r="E2039" s="34"/>
      <c r="F2039" s="35">
        <f t="shared" si="1707"/>
        <v>1</v>
      </c>
      <c r="G2039" s="26"/>
      <c r="H2039" s="47"/>
      <c r="I2039" s="27"/>
      <c r="J2039" s="34"/>
      <c r="K2039" s="35">
        <f t="shared" si="1708"/>
        <v>0</v>
      </c>
      <c r="L2039" s="11">
        <f t="shared" si="1699"/>
        <v>1</v>
      </c>
      <c r="M2039" s="99">
        <v>45803</v>
      </c>
      <c r="N2039" s="12" t="s">
        <v>1696</v>
      </c>
      <c r="O2039" s="26">
        <v>10</v>
      </c>
      <c r="P2039" s="47"/>
      <c r="Q2039" s="27"/>
      <c r="R2039" s="34">
        <v>30</v>
      </c>
      <c r="S2039" s="35">
        <f t="shared" si="1709"/>
        <v>40</v>
      </c>
      <c r="T2039" s="26"/>
      <c r="U2039" s="47"/>
      <c r="V2039" s="27"/>
      <c r="W2039" s="34"/>
      <c r="X2039" s="35">
        <f t="shared" si="1710"/>
        <v>0</v>
      </c>
      <c r="Y2039" s="11">
        <f t="shared" si="1698"/>
        <v>40</v>
      </c>
      <c r="Z2039" s="99">
        <v>45807</v>
      </c>
      <c r="AA2039" s="58"/>
    </row>
    <row r="2040" spans="1:27" x14ac:dyDescent="0.15">
      <c r="A2040" s="32" t="s">
        <v>41</v>
      </c>
      <c r="B2040" s="26"/>
      <c r="C2040" s="47"/>
      <c r="D2040" s="27"/>
      <c r="E2040" s="34"/>
      <c r="F2040" s="35">
        <f t="shared" si="1707"/>
        <v>0</v>
      </c>
      <c r="G2040" s="26"/>
      <c r="H2040" s="47"/>
      <c r="I2040" s="27">
        <v>1</v>
      </c>
      <c r="J2040" s="34"/>
      <c r="K2040" s="35">
        <f t="shared" si="1708"/>
        <v>1</v>
      </c>
      <c r="L2040" s="11">
        <f t="shared" si="1699"/>
        <v>1</v>
      </c>
      <c r="M2040" s="99">
        <v>45800</v>
      </c>
      <c r="N2040" s="12" t="s">
        <v>1697</v>
      </c>
      <c r="O2040" s="26"/>
      <c r="P2040" s="47"/>
      <c r="Q2040" s="27"/>
      <c r="R2040" s="34"/>
      <c r="S2040" s="35">
        <f t="shared" si="1709"/>
        <v>0</v>
      </c>
      <c r="T2040" s="26"/>
      <c r="U2040" s="47"/>
      <c r="V2040" s="27"/>
      <c r="W2040" s="34">
        <v>5</v>
      </c>
      <c r="X2040" s="35">
        <f t="shared" si="1710"/>
        <v>5</v>
      </c>
      <c r="Y2040" s="11">
        <f t="shared" si="1698"/>
        <v>5</v>
      </c>
      <c r="Z2040" s="99">
        <v>45814</v>
      </c>
      <c r="AA2040" s="58"/>
    </row>
    <row r="2041" spans="1:27" x14ac:dyDescent="0.15">
      <c r="A2041" s="32" t="s">
        <v>1691</v>
      </c>
      <c r="B2041" s="26"/>
      <c r="C2041" s="47"/>
      <c r="D2041" s="27"/>
      <c r="E2041" s="34">
        <v>1</v>
      </c>
      <c r="F2041" s="35">
        <f t="shared" si="1707"/>
        <v>1</v>
      </c>
      <c r="G2041" s="26">
        <v>1</v>
      </c>
      <c r="H2041" s="47"/>
      <c r="I2041" s="27"/>
      <c r="J2041" s="34"/>
      <c r="K2041" s="35">
        <f t="shared" si="1708"/>
        <v>1</v>
      </c>
      <c r="L2041" s="11">
        <f t="shared" si="1699"/>
        <v>2</v>
      </c>
      <c r="M2041" s="99">
        <v>45805</v>
      </c>
      <c r="N2041" s="12" t="s">
        <v>1700</v>
      </c>
      <c r="O2041" s="26">
        <v>10</v>
      </c>
      <c r="P2041" s="47">
        <v>20</v>
      </c>
      <c r="Q2041" s="27"/>
      <c r="R2041" s="34"/>
      <c r="S2041" s="35">
        <f t="shared" si="1709"/>
        <v>30</v>
      </c>
      <c r="T2041" s="26"/>
      <c r="U2041" s="47"/>
      <c r="V2041" s="27"/>
      <c r="W2041" s="34"/>
      <c r="X2041" s="35">
        <f t="shared" si="1710"/>
        <v>0</v>
      </c>
      <c r="Y2041" s="11">
        <f t="shared" si="1698"/>
        <v>30</v>
      </c>
      <c r="Z2041" s="99">
        <v>45808</v>
      </c>
    </row>
    <row r="2042" spans="1:27" x14ac:dyDescent="0.15">
      <c r="A2042" s="13" t="s">
        <v>1692</v>
      </c>
      <c r="B2042" s="26">
        <v>1</v>
      </c>
      <c r="C2042" s="47"/>
      <c r="D2042" s="27">
        <v>1</v>
      </c>
      <c r="E2042" s="34"/>
      <c r="F2042" s="35">
        <f t="shared" si="1707"/>
        <v>2</v>
      </c>
      <c r="G2042" s="26"/>
      <c r="H2042" s="47">
        <v>1</v>
      </c>
      <c r="I2042" s="27"/>
      <c r="J2042" s="34">
        <v>1</v>
      </c>
      <c r="K2042" s="35">
        <f t="shared" si="1708"/>
        <v>2</v>
      </c>
      <c r="L2042" s="11">
        <f t="shared" si="1699"/>
        <v>4</v>
      </c>
      <c r="M2042" s="126">
        <v>45804</v>
      </c>
      <c r="N2042" s="12" t="s">
        <v>1705</v>
      </c>
      <c r="O2042" s="26">
        <v>5</v>
      </c>
      <c r="P2042" s="47"/>
      <c r="Q2042" s="27"/>
      <c r="R2042" s="34"/>
      <c r="S2042" s="35">
        <f t="shared" si="1709"/>
        <v>5</v>
      </c>
      <c r="T2042" s="26"/>
      <c r="U2042" s="47">
        <v>5</v>
      </c>
      <c r="V2042" s="27"/>
      <c r="W2042" s="34"/>
      <c r="X2042" s="35">
        <f t="shared" si="1710"/>
        <v>5</v>
      </c>
      <c r="Y2042" s="11">
        <f t="shared" si="1698"/>
        <v>10</v>
      </c>
      <c r="Z2042" s="99">
        <v>45812</v>
      </c>
    </row>
    <row r="2043" spans="1:27" x14ac:dyDescent="0.15">
      <c r="A2043" s="32" t="s">
        <v>41</v>
      </c>
      <c r="B2043" s="26"/>
      <c r="C2043" s="47"/>
      <c r="D2043" s="27"/>
      <c r="E2043" s="34"/>
      <c r="F2043" s="35">
        <f t="shared" si="1707"/>
        <v>0</v>
      </c>
      <c r="G2043" s="26"/>
      <c r="H2043" s="47"/>
      <c r="I2043" s="27">
        <v>1</v>
      </c>
      <c r="J2043" s="34"/>
      <c r="K2043" s="35">
        <f t="shared" si="1708"/>
        <v>1</v>
      </c>
      <c r="L2043" s="11">
        <f t="shared" si="1699"/>
        <v>1</v>
      </c>
      <c r="M2043" s="99">
        <v>45803</v>
      </c>
      <c r="N2043" s="57"/>
      <c r="O2043" s="26"/>
      <c r="P2043" s="47"/>
      <c r="Q2043" s="27"/>
      <c r="R2043" s="34"/>
      <c r="S2043" s="35">
        <f t="shared" si="1709"/>
        <v>0</v>
      </c>
      <c r="T2043" s="26"/>
      <c r="U2043" s="47"/>
      <c r="V2043" s="27"/>
      <c r="W2043" s="34"/>
      <c r="X2043" s="35">
        <f t="shared" si="1710"/>
        <v>0</v>
      </c>
      <c r="Y2043" s="11">
        <f t="shared" si="1698"/>
        <v>0</v>
      </c>
      <c r="Z2043" s="101"/>
    </row>
    <row r="2044" spans="1:27" x14ac:dyDescent="0.15">
      <c r="A2044" s="32" t="s">
        <v>1694</v>
      </c>
      <c r="B2044" s="26">
        <v>1</v>
      </c>
      <c r="C2044" s="47"/>
      <c r="D2044" s="27"/>
      <c r="E2044" s="34"/>
      <c r="F2044" s="35">
        <f t="shared" si="1707"/>
        <v>1</v>
      </c>
      <c r="G2044" s="26"/>
      <c r="H2044" s="47"/>
      <c r="I2044" s="27"/>
      <c r="J2044" s="34"/>
      <c r="K2044" s="35">
        <f t="shared" si="1708"/>
        <v>0</v>
      </c>
      <c r="L2044" s="11">
        <f t="shared" si="1699"/>
        <v>1</v>
      </c>
      <c r="M2044" s="99">
        <v>45806</v>
      </c>
      <c r="N2044" s="57" t="s">
        <v>1650</v>
      </c>
      <c r="O2044" s="26"/>
      <c r="P2044" s="47"/>
      <c r="Q2044" s="27"/>
      <c r="R2044" s="34"/>
      <c r="S2044" s="35">
        <f t="shared" si="1709"/>
        <v>0</v>
      </c>
      <c r="T2044" s="26"/>
      <c r="U2044" s="47"/>
      <c r="V2044" s="27"/>
      <c r="W2044" s="34"/>
      <c r="X2044" s="35">
        <f t="shared" si="1710"/>
        <v>0</v>
      </c>
      <c r="Y2044" s="11">
        <f t="shared" si="1698"/>
        <v>0</v>
      </c>
      <c r="Z2044" s="101" t="s">
        <v>1649</v>
      </c>
    </row>
    <row r="2045" spans="1:27" x14ac:dyDescent="0.15">
      <c r="A2045" s="32" t="s">
        <v>41</v>
      </c>
      <c r="B2045" s="26"/>
      <c r="C2045" s="47"/>
      <c r="D2045" s="27"/>
      <c r="E2045" s="34">
        <v>1</v>
      </c>
      <c r="F2045" s="35">
        <f t="shared" si="1707"/>
        <v>1</v>
      </c>
      <c r="G2045" s="26"/>
      <c r="H2045" s="47"/>
      <c r="I2045" s="27"/>
      <c r="J2045" s="34"/>
      <c r="K2045" s="35">
        <f t="shared" si="1708"/>
        <v>0</v>
      </c>
      <c r="L2045" s="11">
        <f t="shared" si="1699"/>
        <v>1</v>
      </c>
      <c r="M2045" s="99">
        <v>45805</v>
      </c>
      <c r="N2045" s="57" t="s">
        <v>1663</v>
      </c>
      <c r="O2045" s="26"/>
      <c r="P2045" s="47"/>
      <c r="Q2045" s="27"/>
      <c r="R2045" s="34"/>
      <c r="S2045" s="35">
        <f t="shared" ref="S2045" si="1711">SUM(O2045:R2045)</f>
        <v>0</v>
      </c>
      <c r="T2045" s="26"/>
      <c r="U2045" s="47"/>
      <c r="V2045" s="27"/>
      <c r="W2045" s="34"/>
      <c r="X2045" s="35">
        <f t="shared" ref="X2045" si="1712">SUM(T2045:W2045)</f>
        <v>0</v>
      </c>
      <c r="Y2045" s="11">
        <f t="shared" ref="Y2045" si="1713">S2045+X2045</f>
        <v>0</v>
      </c>
      <c r="Z2045" s="101" t="s">
        <v>162</v>
      </c>
    </row>
    <row r="2046" spans="1:27" x14ac:dyDescent="0.15">
      <c r="A2046" s="32" t="s">
        <v>41</v>
      </c>
      <c r="B2046" s="26">
        <v>1</v>
      </c>
      <c r="C2046" s="47"/>
      <c r="D2046" s="27"/>
      <c r="E2046" s="34"/>
      <c r="F2046" s="35">
        <f t="shared" si="1707"/>
        <v>1</v>
      </c>
      <c r="G2046" s="26"/>
      <c r="H2046" s="47"/>
      <c r="I2046" s="27"/>
      <c r="J2046" s="34">
        <v>1</v>
      </c>
      <c r="K2046" s="35">
        <f t="shared" si="1708"/>
        <v>1</v>
      </c>
      <c r="L2046" s="11">
        <f t="shared" si="1699"/>
        <v>2</v>
      </c>
      <c r="M2046" s="126">
        <v>45806</v>
      </c>
      <c r="N2046" s="12" t="s">
        <v>1607</v>
      </c>
      <c r="O2046" s="26"/>
      <c r="P2046" s="47"/>
      <c r="Q2046" s="27"/>
      <c r="R2046" s="34"/>
      <c r="S2046" s="35">
        <f t="shared" si="1709"/>
        <v>0</v>
      </c>
      <c r="T2046" s="26"/>
      <c r="U2046" s="47"/>
      <c r="V2046" s="27"/>
      <c r="W2046" s="34"/>
      <c r="X2046" s="35">
        <f t="shared" si="1710"/>
        <v>0</v>
      </c>
      <c r="Y2046" s="11">
        <f t="shared" si="1698"/>
        <v>0</v>
      </c>
      <c r="Z2046" s="101" t="s">
        <v>1608</v>
      </c>
      <c r="AA2046" s="58"/>
    </row>
    <row r="2047" spans="1:27" x14ac:dyDescent="0.15">
      <c r="A2047" s="57" t="s">
        <v>1698</v>
      </c>
      <c r="B2047" s="26"/>
      <c r="C2047" s="47">
        <v>-1</v>
      </c>
      <c r="D2047" s="27">
        <v>-1</v>
      </c>
      <c r="E2047" s="34"/>
      <c r="F2047" s="35">
        <f t="shared" si="1707"/>
        <v>-2</v>
      </c>
      <c r="G2047" s="26"/>
      <c r="H2047" s="47"/>
      <c r="I2047" s="27"/>
      <c r="J2047" s="34"/>
      <c r="K2047" s="35">
        <f t="shared" si="1708"/>
        <v>0</v>
      </c>
      <c r="L2047" s="11">
        <f t="shared" si="1699"/>
        <v>-2</v>
      </c>
      <c r="M2047" s="99">
        <v>45806</v>
      </c>
      <c r="N2047" s="173" t="s">
        <v>1577</v>
      </c>
      <c r="O2047" s="174"/>
      <c r="P2047" s="175"/>
      <c r="Q2047" s="176"/>
      <c r="R2047" s="177"/>
      <c r="S2047" s="178">
        <f t="shared" si="1709"/>
        <v>0</v>
      </c>
      <c r="T2047" s="174"/>
      <c r="U2047" s="175"/>
      <c r="V2047" s="176"/>
      <c r="W2047" s="177"/>
      <c r="X2047" s="178">
        <f t="shared" si="1710"/>
        <v>0</v>
      </c>
      <c r="Y2047" s="179">
        <f t="shared" si="1698"/>
        <v>0</v>
      </c>
      <c r="Z2047" s="101"/>
      <c r="AA2047" s="58"/>
    </row>
    <row r="2048" spans="1:27" ht="15" thickBot="1" x14ac:dyDescent="0.2">
      <c r="A2048" s="32" t="s">
        <v>1699</v>
      </c>
      <c r="B2048" s="62"/>
      <c r="C2048" s="63"/>
      <c r="D2048" s="64"/>
      <c r="E2048" s="65">
        <v>1</v>
      </c>
      <c r="F2048" s="35">
        <f t="shared" si="1707"/>
        <v>1</v>
      </c>
      <c r="G2048" s="62"/>
      <c r="H2048" s="63"/>
      <c r="I2048" s="64"/>
      <c r="J2048" s="65"/>
      <c r="K2048" s="35">
        <f t="shared" si="1708"/>
        <v>0</v>
      </c>
      <c r="L2048" s="14">
        <f t="shared" si="1699"/>
        <v>1</v>
      </c>
      <c r="M2048" s="99">
        <v>45810</v>
      </c>
      <c r="N2048" s="220" t="s">
        <v>1575</v>
      </c>
      <c r="O2048" s="109"/>
      <c r="P2048" s="284"/>
      <c r="Q2048" s="111"/>
      <c r="R2048" s="112"/>
      <c r="S2048" s="134">
        <f t="shared" si="1709"/>
        <v>0</v>
      </c>
      <c r="T2048" s="109"/>
      <c r="U2048" s="110"/>
      <c r="V2048" s="111"/>
      <c r="W2048" s="112"/>
      <c r="X2048" s="134">
        <f t="shared" si="1710"/>
        <v>0</v>
      </c>
      <c r="Y2048" s="119">
        <f t="shared" si="1698"/>
        <v>0</v>
      </c>
      <c r="Z2048" s="101" t="s">
        <v>1576</v>
      </c>
      <c r="AA2048" s="58"/>
    </row>
    <row r="2049" spans="1:26" ht="14.25" thickBot="1" x14ac:dyDescent="0.2">
      <c r="A2049" s="17" t="s">
        <v>10</v>
      </c>
      <c r="B2049" s="38">
        <f>SUM(B2024:B2048)</f>
        <v>14</v>
      </c>
      <c r="C2049" s="48">
        <f>SUM(C2024:C2048)</f>
        <v>13</v>
      </c>
      <c r="D2049" s="39">
        <f>SUM(D2024:D2048)</f>
        <v>5</v>
      </c>
      <c r="E2049" s="40">
        <f>SUM(E2024:E2048)</f>
        <v>11</v>
      </c>
      <c r="F2049" s="36">
        <f>SUM(B2049:E2049)</f>
        <v>43</v>
      </c>
      <c r="G2049" s="38">
        <f>SUM(G2024:G2048)</f>
        <v>10</v>
      </c>
      <c r="H2049" s="48">
        <f>SUM(H2024:H2048)</f>
        <v>11</v>
      </c>
      <c r="I2049" s="39">
        <f>SUM(I2024:I2048)</f>
        <v>7</v>
      </c>
      <c r="J2049" s="40">
        <f>SUM(J2024:J2048)</f>
        <v>8</v>
      </c>
      <c r="K2049" s="36">
        <f>SUM(G2049:J2049)</f>
        <v>36</v>
      </c>
      <c r="L2049" s="37">
        <f t="shared" si="1699"/>
        <v>79</v>
      </c>
      <c r="N2049" s="133" t="s">
        <v>10</v>
      </c>
      <c r="O2049" s="38">
        <f>SUM(O2024:O2048)</f>
        <v>172</v>
      </c>
      <c r="P2049" s="48">
        <f>SUM(P2024:P2048)</f>
        <v>253</v>
      </c>
      <c r="Q2049" s="39">
        <f>SUM(Q2024:Q2048)</f>
        <v>135</v>
      </c>
      <c r="R2049" s="40">
        <f>SUM(R2024:R2048)</f>
        <v>132</v>
      </c>
      <c r="S2049" s="118">
        <f t="shared" si="1709"/>
        <v>692</v>
      </c>
      <c r="T2049" s="38">
        <f>SUM(T2024:T2048)</f>
        <v>44</v>
      </c>
      <c r="U2049" s="48">
        <f>SUM(U2024:U2048)</f>
        <v>73</v>
      </c>
      <c r="V2049" s="39">
        <f>SUM(V2024:V2048)</f>
        <v>41</v>
      </c>
      <c r="W2049" s="40">
        <f>SUM(W2024:W2048)</f>
        <v>38</v>
      </c>
      <c r="X2049" s="118">
        <f t="shared" si="1710"/>
        <v>196</v>
      </c>
      <c r="Y2049" s="119">
        <f t="shared" si="1698"/>
        <v>888</v>
      </c>
    </row>
    <row r="2050" spans="1:26" ht="14.25" thickBot="1" x14ac:dyDescent="0.2">
      <c r="A2050" s="22" t="s">
        <v>11</v>
      </c>
      <c r="B2050" s="41">
        <f>B2023-B2049</f>
        <v>11</v>
      </c>
      <c r="C2050" s="49">
        <f>C2023-C2049</f>
        <v>9</v>
      </c>
      <c r="D2050" s="42">
        <f t="shared" ref="D2050:K2050" si="1714">D2023-D2049</f>
        <v>11</v>
      </c>
      <c r="E2050" s="43">
        <f t="shared" si="1714"/>
        <v>5</v>
      </c>
      <c r="F2050" s="61">
        <f t="shared" si="1714"/>
        <v>32</v>
      </c>
      <c r="G2050" s="41">
        <f t="shared" si="1714"/>
        <v>5</v>
      </c>
      <c r="H2050" s="49">
        <f t="shared" si="1714"/>
        <v>6</v>
      </c>
      <c r="I2050" s="42">
        <f t="shared" si="1714"/>
        <v>7</v>
      </c>
      <c r="J2050" s="43">
        <f t="shared" si="1714"/>
        <v>5</v>
      </c>
      <c r="K2050" s="61">
        <f t="shared" si="1714"/>
        <v>23</v>
      </c>
      <c r="L2050" s="21">
        <f t="shared" si="1699"/>
        <v>55</v>
      </c>
      <c r="N2050" s="17" t="s">
        <v>11</v>
      </c>
      <c r="O2050" s="41">
        <f>O2023-O2049</f>
        <v>1211</v>
      </c>
      <c r="P2050" s="49">
        <f t="shared" ref="P2050:Q2050" si="1715">P2023-P2049</f>
        <v>1557</v>
      </c>
      <c r="Q2050" s="42">
        <f t="shared" si="1715"/>
        <v>930</v>
      </c>
      <c r="R2050" s="43">
        <f>R2023-R2049</f>
        <v>617</v>
      </c>
      <c r="S2050" s="61">
        <f t="shared" ref="S2050:X2050" si="1716">S2023-S2049</f>
        <v>4315</v>
      </c>
      <c r="T2050" s="41">
        <f t="shared" si="1716"/>
        <v>947</v>
      </c>
      <c r="U2050" s="49">
        <f t="shared" si="1716"/>
        <v>1061</v>
      </c>
      <c r="V2050" s="42">
        <f t="shared" si="1716"/>
        <v>788</v>
      </c>
      <c r="W2050" s="43">
        <f t="shared" si="1716"/>
        <v>562</v>
      </c>
      <c r="X2050" s="61">
        <f t="shared" si="1716"/>
        <v>3358</v>
      </c>
      <c r="Y2050" s="21">
        <f t="shared" si="1698"/>
        <v>7673</v>
      </c>
    </row>
    <row r="2053" spans="1:26" ht="19.5" thickBot="1" x14ac:dyDescent="0.25">
      <c r="A2053" s="2" t="s">
        <v>106</v>
      </c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N2053" s="2" t="s">
        <v>1036</v>
      </c>
      <c r="O2053" s="270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6" ht="14.25" thickBot="1" x14ac:dyDescent="0.2">
      <c r="A2054" s="5" t="s">
        <v>0</v>
      </c>
      <c r="B2054" s="342" t="s">
        <v>18</v>
      </c>
      <c r="C2054" s="350"/>
      <c r="D2054" s="350"/>
      <c r="E2054" s="350"/>
      <c r="F2054" s="351"/>
      <c r="G2054" s="345" t="s">
        <v>12</v>
      </c>
      <c r="H2054" s="352"/>
      <c r="I2054" s="352"/>
      <c r="J2054" s="352"/>
      <c r="K2054" s="353"/>
      <c r="L2054" s="354" t="s">
        <v>1</v>
      </c>
      <c r="N2054" s="5" t="s">
        <v>0</v>
      </c>
      <c r="O2054" s="342" t="s">
        <v>18</v>
      </c>
      <c r="P2054" s="343"/>
      <c r="Q2054" s="343"/>
      <c r="R2054" s="343"/>
      <c r="S2054" s="344"/>
      <c r="T2054" s="345" t="s">
        <v>12</v>
      </c>
      <c r="U2054" s="346"/>
      <c r="V2054" s="346"/>
      <c r="W2054" s="346"/>
      <c r="X2054" s="347"/>
      <c r="Y2054" s="348" t="s">
        <v>1</v>
      </c>
    </row>
    <row r="2055" spans="1:26" ht="14.25" thickBot="1" x14ac:dyDescent="0.2">
      <c r="A2055" s="5" t="s">
        <v>2</v>
      </c>
      <c r="B2055" s="3" t="s">
        <v>13</v>
      </c>
      <c r="C2055" s="44" t="s">
        <v>14</v>
      </c>
      <c r="D2055" s="4" t="s">
        <v>15</v>
      </c>
      <c r="E2055" s="23" t="s">
        <v>16</v>
      </c>
      <c r="F2055" s="31" t="s">
        <v>3</v>
      </c>
      <c r="G2055" s="3" t="s">
        <v>13</v>
      </c>
      <c r="H2055" s="44" t="s">
        <v>14</v>
      </c>
      <c r="I2055" s="4" t="s">
        <v>15</v>
      </c>
      <c r="J2055" s="23" t="s">
        <v>16</v>
      </c>
      <c r="K2055" s="31" t="s">
        <v>3</v>
      </c>
      <c r="L2055" s="355"/>
      <c r="N2055" s="5" t="s">
        <v>2</v>
      </c>
      <c r="O2055" s="3" t="s">
        <v>13</v>
      </c>
      <c r="P2055" s="44" t="s">
        <v>14</v>
      </c>
      <c r="Q2055" s="4" t="s">
        <v>15</v>
      </c>
      <c r="R2055" s="23" t="s">
        <v>16</v>
      </c>
      <c r="S2055" s="31" t="s">
        <v>3</v>
      </c>
      <c r="T2055" s="3" t="s">
        <v>13</v>
      </c>
      <c r="U2055" s="44" t="s">
        <v>14</v>
      </c>
      <c r="V2055" s="4" t="s">
        <v>15</v>
      </c>
      <c r="W2055" s="23" t="s">
        <v>16</v>
      </c>
      <c r="X2055" s="31" t="s">
        <v>3</v>
      </c>
      <c r="Y2055" s="349"/>
    </row>
    <row r="2056" spans="1:26" x14ac:dyDescent="0.15">
      <c r="A2056" s="71" t="s">
        <v>17</v>
      </c>
      <c r="B2056" s="72">
        <f>B2050</f>
        <v>11</v>
      </c>
      <c r="C2056" s="73">
        <f t="shared" ref="C2056:L2056" si="1717">C2050</f>
        <v>9</v>
      </c>
      <c r="D2056" s="73">
        <f t="shared" si="1717"/>
        <v>11</v>
      </c>
      <c r="E2056" s="74">
        <f t="shared" si="1717"/>
        <v>5</v>
      </c>
      <c r="F2056" s="76">
        <f t="shared" si="1717"/>
        <v>32</v>
      </c>
      <c r="G2056" s="72">
        <f t="shared" si="1717"/>
        <v>5</v>
      </c>
      <c r="H2056" s="73">
        <f t="shared" si="1717"/>
        <v>6</v>
      </c>
      <c r="I2056" s="73">
        <f t="shared" si="1717"/>
        <v>7</v>
      </c>
      <c r="J2056" s="74">
        <f t="shared" si="1717"/>
        <v>5</v>
      </c>
      <c r="K2056" s="75">
        <f t="shared" si="1717"/>
        <v>23</v>
      </c>
      <c r="L2056" s="16">
        <f t="shared" si="1717"/>
        <v>55</v>
      </c>
      <c r="N2056" s="71" t="s">
        <v>17</v>
      </c>
      <c r="O2056" s="72">
        <f>O2050</f>
        <v>1211</v>
      </c>
      <c r="P2056" s="73">
        <f t="shared" ref="P2056:Y2056" si="1718">P2050</f>
        <v>1557</v>
      </c>
      <c r="Q2056" s="73">
        <f t="shared" si="1718"/>
        <v>930</v>
      </c>
      <c r="R2056" s="74">
        <f t="shared" si="1718"/>
        <v>617</v>
      </c>
      <c r="S2056" s="76">
        <f t="shared" si="1718"/>
        <v>4315</v>
      </c>
      <c r="T2056" s="72">
        <f t="shared" si="1718"/>
        <v>947</v>
      </c>
      <c r="U2056" s="73">
        <f t="shared" si="1718"/>
        <v>1061</v>
      </c>
      <c r="V2056" s="73">
        <f t="shared" si="1718"/>
        <v>788</v>
      </c>
      <c r="W2056" s="74">
        <f t="shared" si="1718"/>
        <v>562</v>
      </c>
      <c r="X2056" s="75">
        <f t="shared" si="1718"/>
        <v>3358</v>
      </c>
      <c r="Y2056" s="16">
        <f t="shared" si="1718"/>
        <v>7673</v>
      </c>
    </row>
    <row r="2057" spans="1:26" x14ac:dyDescent="0.15">
      <c r="A2057" s="13" t="s">
        <v>191</v>
      </c>
      <c r="B2057" s="26">
        <f>7-1</f>
        <v>6</v>
      </c>
      <c r="C2057" s="47">
        <f>5-1</f>
        <v>4</v>
      </c>
      <c r="D2057" s="27">
        <f>12-1</f>
        <v>11</v>
      </c>
      <c r="E2057" s="50">
        <v>5</v>
      </c>
      <c r="F2057" s="9">
        <f>SUM(B2057:E2057)</f>
        <v>26</v>
      </c>
      <c r="G2057" s="47">
        <v>1</v>
      </c>
      <c r="H2057" s="47">
        <v>2</v>
      </c>
      <c r="I2057" s="27">
        <v>1</v>
      </c>
      <c r="J2057" s="50">
        <v>1</v>
      </c>
      <c r="K2057" s="9">
        <f>SUM(G2057:J2057)</f>
        <v>5</v>
      </c>
      <c r="L2057" s="11">
        <f t="shared" ref="L2057:L2088" si="1719">F2057+K2057</f>
        <v>31</v>
      </c>
      <c r="M2057" s="126">
        <v>45797</v>
      </c>
      <c r="N2057" s="13" t="s">
        <v>305</v>
      </c>
      <c r="O2057" s="26">
        <v>6</v>
      </c>
      <c r="P2057" s="47">
        <v>4</v>
      </c>
      <c r="Q2057" s="27">
        <f>4+11</f>
        <v>15</v>
      </c>
      <c r="R2057" s="34">
        <v>5</v>
      </c>
      <c r="S2057" s="35">
        <f>SUM(O2057:R2057)</f>
        <v>30</v>
      </c>
      <c r="T2057" s="26"/>
      <c r="U2057" s="47"/>
      <c r="V2057" s="27">
        <v>2</v>
      </c>
      <c r="W2057" s="34"/>
      <c r="X2057" s="35">
        <f>SUM(T2057:W2057)</f>
        <v>2</v>
      </c>
      <c r="Y2057" s="11">
        <f t="shared" ref="Y2057" si="1720">S2057+X2057</f>
        <v>32</v>
      </c>
      <c r="Z2057" s="126">
        <v>45808</v>
      </c>
    </row>
    <row r="2058" spans="1:26" x14ac:dyDescent="0.15">
      <c r="A2058" s="13" t="s">
        <v>49</v>
      </c>
      <c r="B2058" s="26"/>
      <c r="C2058" s="47">
        <v>1</v>
      </c>
      <c r="D2058" s="27">
        <v>1</v>
      </c>
      <c r="E2058" s="50"/>
      <c r="F2058" s="9">
        <f>SUM(B2058:E2058)</f>
        <v>2</v>
      </c>
      <c r="G2058" s="47">
        <v>1</v>
      </c>
      <c r="H2058" s="47">
        <v>1</v>
      </c>
      <c r="I2058" s="27"/>
      <c r="J2058" s="50"/>
      <c r="K2058" s="9">
        <f>SUM(G2058:J2058)</f>
        <v>2</v>
      </c>
      <c r="L2058" s="11">
        <f t="shared" si="1719"/>
        <v>4</v>
      </c>
      <c r="M2058" s="126">
        <v>45804</v>
      </c>
      <c r="N2058" s="13" t="s">
        <v>6</v>
      </c>
      <c r="O2058" s="26"/>
      <c r="P2058" s="47"/>
      <c r="Q2058" s="27"/>
      <c r="R2058" s="34"/>
      <c r="S2058" s="77">
        <f t="shared" ref="S2058:S2060" si="1721">SUM(O2058:R2058)</f>
        <v>0</v>
      </c>
      <c r="T2058" s="26"/>
      <c r="U2058" s="47"/>
      <c r="V2058" s="27"/>
      <c r="W2058" s="34"/>
      <c r="X2058" s="9">
        <f t="shared" ref="X2058:X2060" si="1722">SUM(T2058:W2058)</f>
        <v>0</v>
      </c>
      <c r="Y2058" s="11">
        <f t="shared" ref="Y2058:Y2060" si="1723">S2058+X2058</f>
        <v>0</v>
      </c>
    </row>
    <row r="2059" spans="1:26" x14ac:dyDescent="0.15">
      <c r="A2059" s="13" t="s">
        <v>7</v>
      </c>
      <c r="B2059" s="26">
        <v>5</v>
      </c>
      <c r="C2059" s="47"/>
      <c r="D2059" s="27"/>
      <c r="E2059" s="50"/>
      <c r="F2059" s="9">
        <f>SUM(B2059:E2059)</f>
        <v>5</v>
      </c>
      <c r="G2059" s="47"/>
      <c r="H2059" s="47"/>
      <c r="I2059" s="27"/>
      <c r="J2059" s="50"/>
      <c r="K2059" s="9">
        <f>SUM(G2059:J2059)</f>
        <v>0</v>
      </c>
      <c r="L2059" s="11">
        <f t="shared" si="1719"/>
        <v>5</v>
      </c>
      <c r="M2059" s="99">
        <v>45811</v>
      </c>
      <c r="N2059" s="13" t="s">
        <v>7</v>
      </c>
      <c r="O2059" s="26"/>
      <c r="P2059" s="47"/>
      <c r="Q2059" s="27"/>
      <c r="R2059" s="34"/>
      <c r="S2059" s="77">
        <f t="shared" si="1721"/>
        <v>0</v>
      </c>
      <c r="T2059" s="26"/>
      <c r="U2059" s="47"/>
      <c r="V2059" s="27"/>
      <c r="W2059" s="34"/>
      <c r="X2059" s="9">
        <f t="shared" si="1722"/>
        <v>0</v>
      </c>
      <c r="Y2059" s="11">
        <f t="shared" si="1723"/>
        <v>0</v>
      </c>
    </row>
    <row r="2060" spans="1:26" ht="14.25" thickBot="1" x14ac:dyDescent="0.2">
      <c r="A2060" s="13" t="s">
        <v>8</v>
      </c>
      <c r="B2060" s="26">
        <v>5</v>
      </c>
      <c r="C2060" s="47"/>
      <c r="D2060" s="27">
        <v>5</v>
      </c>
      <c r="E2060" s="50"/>
      <c r="F2060" s="10">
        <f>SUM(B2060:E2060)</f>
        <v>10</v>
      </c>
      <c r="G2060" s="47"/>
      <c r="H2060" s="47"/>
      <c r="I2060" s="27"/>
      <c r="J2060" s="50"/>
      <c r="K2060" s="10">
        <f>SUM(G2060:J2060)</f>
        <v>0</v>
      </c>
      <c r="L2060" s="14">
        <f t="shared" si="1719"/>
        <v>10</v>
      </c>
      <c r="M2060" s="99">
        <v>45814</v>
      </c>
      <c r="N2060" s="13" t="s">
        <v>8</v>
      </c>
      <c r="O2060" s="26"/>
      <c r="P2060" s="47"/>
      <c r="Q2060" s="27"/>
      <c r="R2060" s="34"/>
      <c r="S2060" s="77">
        <f t="shared" si="1721"/>
        <v>0</v>
      </c>
      <c r="T2060" s="26"/>
      <c r="U2060" s="47"/>
      <c r="V2060" s="27"/>
      <c r="W2060" s="34"/>
      <c r="X2060" s="9">
        <f t="shared" si="1722"/>
        <v>0</v>
      </c>
      <c r="Y2060" s="11">
        <f t="shared" si="1723"/>
        <v>0</v>
      </c>
    </row>
    <row r="2061" spans="1:26" ht="14.25" thickBot="1" x14ac:dyDescent="0.2">
      <c r="A2061" s="22" t="s">
        <v>9</v>
      </c>
      <c r="B2061" s="51">
        <f t="shared" ref="B2061:K2061" si="1724">SUM(B2056:B2060)</f>
        <v>27</v>
      </c>
      <c r="C2061" s="52">
        <f t="shared" si="1724"/>
        <v>14</v>
      </c>
      <c r="D2061" s="53">
        <f t="shared" si="1724"/>
        <v>28</v>
      </c>
      <c r="E2061" s="54">
        <f t="shared" si="1724"/>
        <v>10</v>
      </c>
      <c r="F2061" s="28">
        <f t="shared" si="1724"/>
        <v>75</v>
      </c>
      <c r="G2061" s="51">
        <f t="shared" si="1724"/>
        <v>7</v>
      </c>
      <c r="H2061" s="52">
        <f t="shared" si="1724"/>
        <v>9</v>
      </c>
      <c r="I2061" s="53">
        <f t="shared" si="1724"/>
        <v>8</v>
      </c>
      <c r="J2061" s="54">
        <f t="shared" si="1724"/>
        <v>6</v>
      </c>
      <c r="K2061" s="28">
        <f t="shared" si="1724"/>
        <v>30</v>
      </c>
      <c r="L2061" s="21">
        <f t="shared" si="1719"/>
        <v>105</v>
      </c>
      <c r="N2061" s="17" t="s">
        <v>9</v>
      </c>
      <c r="O2061" s="41">
        <f>SUM(O2056:O2060)</f>
        <v>1217</v>
      </c>
      <c r="P2061" s="49">
        <f t="shared" ref="P2061:V2061" si="1725">SUM(P2056:P2060)</f>
        <v>1561</v>
      </c>
      <c r="Q2061" s="42">
        <f t="shared" si="1725"/>
        <v>945</v>
      </c>
      <c r="R2061" s="92">
        <f t="shared" si="1725"/>
        <v>622</v>
      </c>
      <c r="S2061" s="93">
        <f t="shared" si="1725"/>
        <v>4345</v>
      </c>
      <c r="T2061" s="41">
        <f t="shared" si="1725"/>
        <v>947</v>
      </c>
      <c r="U2061" s="49">
        <f t="shared" si="1725"/>
        <v>1061</v>
      </c>
      <c r="V2061" s="42">
        <f t="shared" si="1725"/>
        <v>790</v>
      </c>
      <c r="W2061" s="92">
        <f>SUM(W2056:W2060)</f>
        <v>562</v>
      </c>
      <c r="X2061" s="93">
        <f t="shared" ref="X2061" si="1726">SUM(X2056:X2060)</f>
        <v>3360</v>
      </c>
      <c r="Y2061" s="56">
        <f t="shared" ref="Y2061:Y2088" si="1727">S2061+X2061</f>
        <v>7705</v>
      </c>
    </row>
    <row r="2062" spans="1:26" x14ac:dyDescent="0.15">
      <c r="A2062" s="32" t="s">
        <v>41</v>
      </c>
      <c r="B2062" s="24"/>
      <c r="C2062" s="46"/>
      <c r="D2062" s="25">
        <v>1</v>
      </c>
      <c r="E2062" s="33">
        <v>1</v>
      </c>
      <c r="F2062" s="35">
        <f>SUM(B2062:E2062)</f>
        <v>2</v>
      </c>
      <c r="G2062" s="24"/>
      <c r="H2062" s="46">
        <v>1</v>
      </c>
      <c r="I2062" s="25"/>
      <c r="J2062" s="33"/>
      <c r="K2062" s="35">
        <f>SUM(G2062:J2062)</f>
        <v>1</v>
      </c>
      <c r="L2062" s="11">
        <f t="shared" si="1719"/>
        <v>3</v>
      </c>
      <c r="M2062" s="126">
        <v>45807</v>
      </c>
      <c r="N2062" s="32" t="s">
        <v>1702</v>
      </c>
      <c r="O2062" s="26">
        <v>1</v>
      </c>
      <c r="P2062" s="47">
        <v>1</v>
      </c>
      <c r="Q2062" s="27">
        <v>7</v>
      </c>
      <c r="R2062" s="34">
        <v>4</v>
      </c>
      <c r="S2062" s="35">
        <f t="shared" ref="S2062:S2068" si="1728">SUM(O2062:R2062)</f>
        <v>13</v>
      </c>
      <c r="T2062" s="26">
        <v>1</v>
      </c>
      <c r="U2062" s="47">
        <v>2</v>
      </c>
      <c r="V2062" s="27"/>
      <c r="W2062" s="34"/>
      <c r="X2062" s="35">
        <f t="shared" ref="X2062:X2068" si="1729">SUM(T2062:W2062)</f>
        <v>3</v>
      </c>
      <c r="Y2062" s="11">
        <f t="shared" si="1727"/>
        <v>16</v>
      </c>
      <c r="Z2062" s="99">
        <v>45812</v>
      </c>
    </row>
    <row r="2063" spans="1:26" x14ac:dyDescent="0.15">
      <c r="A2063" s="32" t="s">
        <v>1701</v>
      </c>
      <c r="B2063" s="26">
        <v>6</v>
      </c>
      <c r="C2063" s="47">
        <v>4</v>
      </c>
      <c r="D2063" s="27">
        <f>4+11</f>
        <v>15</v>
      </c>
      <c r="E2063" s="34">
        <v>5</v>
      </c>
      <c r="F2063" s="35">
        <f>SUM(B2063:E2063)</f>
        <v>30</v>
      </c>
      <c r="G2063" s="26"/>
      <c r="H2063" s="47"/>
      <c r="I2063" s="27">
        <v>2</v>
      </c>
      <c r="J2063" s="34"/>
      <c r="K2063" s="35">
        <f>SUM(G2063:J2063)</f>
        <v>2</v>
      </c>
      <c r="L2063" s="11">
        <f t="shared" si="1719"/>
        <v>32</v>
      </c>
      <c r="M2063" s="126">
        <v>45808</v>
      </c>
      <c r="N2063" s="12" t="s">
        <v>34</v>
      </c>
      <c r="O2063" s="26">
        <v>5</v>
      </c>
      <c r="P2063" s="47"/>
      <c r="Q2063" s="27"/>
      <c r="R2063" s="34"/>
      <c r="S2063" s="35">
        <f>SUM(O2063:R2063)</f>
        <v>5</v>
      </c>
      <c r="T2063" s="26"/>
      <c r="U2063" s="47"/>
      <c r="V2063" s="27"/>
      <c r="W2063" s="34"/>
      <c r="X2063" s="35">
        <f>SUM(T2063:W2063)</f>
        <v>0</v>
      </c>
      <c r="Y2063" s="11">
        <f t="shared" si="1727"/>
        <v>5</v>
      </c>
      <c r="Z2063" s="99">
        <v>45811</v>
      </c>
    </row>
    <row r="2064" spans="1:26" x14ac:dyDescent="0.15">
      <c r="A2064" s="32" t="s">
        <v>41</v>
      </c>
      <c r="B2064" s="26"/>
      <c r="C2064" s="47"/>
      <c r="D2064" s="27">
        <v>1</v>
      </c>
      <c r="E2064" s="34"/>
      <c r="F2064" s="35">
        <f t="shared" ref="F2064:F2086" si="1730">SUM(B2064:E2064)</f>
        <v>1</v>
      </c>
      <c r="G2064" s="26"/>
      <c r="H2064" s="47"/>
      <c r="I2064" s="27"/>
      <c r="J2064" s="34"/>
      <c r="K2064" s="35">
        <f t="shared" ref="K2064:K2086" si="1731">SUM(G2064:J2064)</f>
        <v>0</v>
      </c>
      <c r="L2064" s="11">
        <f t="shared" si="1719"/>
        <v>1</v>
      </c>
      <c r="M2064" s="99">
        <v>45810</v>
      </c>
      <c r="N2064" s="32" t="s">
        <v>1708</v>
      </c>
      <c r="O2064" s="26"/>
      <c r="P2064" s="47">
        <v>9</v>
      </c>
      <c r="Q2064" s="27">
        <v>4</v>
      </c>
      <c r="R2064" s="34">
        <v>1</v>
      </c>
      <c r="S2064" s="35">
        <f t="shared" si="1728"/>
        <v>14</v>
      </c>
      <c r="T2064" s="26"/>
      <c r="U2064" s="47"/>
      <c r="V2064" s="27"/>
      <c r="W2064" s="34"/>
      <c r="X2064" s="35">
        <f t="shared" si="1729"/>
        <v>0</v>
      </c>
      <c r="Y2064" s="11">
        <f t="shared" si="1727"/>
        <v>14</v>
      </c>
      <c r="Z2064" s="99">
        <v>45813</v>
      </c>
    </row>
    <row r="2065" spans="1:27" x14ac:dyDescent="0.15">
      <c r="A2065" s="32" t="s">
        <v>1704</v>
      </c>
      <c r="B2065" s="66">
        <v>2</v>
      </c>
      <c r="C2065" s="67"/>
      <c r="D2065" s="68">
        <v>1</v>
      </c>
      <c r="E2065" s="69"/>
      <c r="F2065" s="70">
        <f t="shared" si="1730"/>
        <v>3</v>
      </c>
      <c r="G2065" s="66"/>
      <c r="H2065" s="67"/>
      <c r="I2065" s="68"/>
      <c r="J2065" s="69"/>
      <c r="K2065" s="70">
        <f t="shared" si="1731"/>
        <v>0</v>
      </c>
      <c r="L2065" s="11">
        <f t="shared" si="1719"/>
        <v>3</v>
      </c>
      <c r="M2065" s="99">
        <v>45810</v>
      </c>
      <c r="N2065" s="32" t="s">
        <v>1709</v>
      </c>
      <c r="O2065" s="26">
        <v>5</v>
      </c>
      <c r="P2065" s="47">
        <v>3</v>
      </c>
      <c r="Q2065" s="27">
        <v>1</v>
      </c>
      <c r="R2065" s="34"/>
      <c r="S2065" s="35">
        <f t="shared" si="1728"/>
        <v>9</v>
      </c>
      <c r="T2065" s="26"/>
      <c r="U2065" s="47"/>
      <c r="V2065" s="27"/>
      <c r="W2065" s="34"/>
      <c r="X2065" s="35">
        <f t="shared" si="1729"/>
        <v>0</v>
      </c>
      <c r="Y2065" s="11">
        <f t="shared" si="1727"/>
        <v>9</v>
      </c>
      <c r="Z2065" s="99">
        <v>45814</v>
      </c>
    </row>
    <row r="2066" spans="1:27" x14ac:dyDescent="0.15">
      <c r="A2066" s="32" t="s">
        <v>41</v>
      </c>
      <c r="B2066" s="26"/>
      <c r="C2066" s="47">
        <v>1</v>
      </c>
      <c r="D2066" s="27"/>
      <c r="E2066" s="34"/>
      <c r="F2066" s="35">
        <f t="shared" si="1730"/>
        <v>1</v>
      </c>
      <c r="G2066" s="26"/>
      <c r="H2066" s="47"/>
      <c r="I2066" s="27"/>
      <c r="J2066" s="34"/>
      <c r="K2066" s="35">
        <f t="shared" si="1731"/>
        <v>0</v>
      </c>
      <c r="L2066" s="11">
        <f t="shared" si="1719"/>
        <v>1</v>
      </c>
      <c r="M2066" s="99">
        <v>45812</v>
      </c>
      <c r="N2066" s="12" t="s">
        <v>1710</v>
      </c>
      <c r="O2066" s="26"/>
      <c r="P2066" s="47"/>
      <c r="Q2066" s="27"/>
      <c r="R2066" s="34"/>
      <c r="S2066" s="35">
        <f t="shared" si="1728"/>
        <v>0</v>
      </c>
      <c r="T2066" s="26"/>
      <c r="U2066" s="47"/>
      <c r="V2066" s="27">
        <v>5</v>
      </c>
      <c r="W2066" s="34"/>
      <c r="X2066" s="35">
        <f t="shared" si="1729"/>
        <v>5</v>
      </c>
      <c r="Y2066" s="11">
        <f t="shared" si="1727"/>
        <v>5</v>
      </c>
      <c r="Z2066" s="99">
        <v>45821</v>
      </c>
    </row>
    <row r="2067" spans="1:27" x14ac:dyDescent="0.15">
      <c r="A2067" s="32" t="s">
        <v>1711</v>
      </c>
      <c r="B2067" s="26">
        <v>4</v>
      </c>
      <c r="C2067" s="47">
        <v>3</v>
      </c>
      <c r="D2067" s="27">
        <v>2</v>
      </c>
      <c r="E2067" s="34"/>
      <c r="F2067" s="35">
        <f t="shared" si="1730"/>
        <v>9</v>
      </c>
      <c r="G2067" s="26"/>
      <c r="H2067" s="47">
        <v>2</v>
      </c>
      <c r="I2067" s="27"/>
      <c r="J2067" s="34"/>
      <c r="K2067" s="35">
        <f t="shared" si="1731"/>
        <v>2</v>
      </c>
      <c r="L2067" s="11">
        <f t="shared" si="1719"/>
        <v>11</v>
      </c>
      <c r="M2067" s="99">
        <v>45814</v>
      </c>
      <c r="N2067" s="12" t="s">
        <v>34</v>
      </c>
      <c r="O2067" s="26">
        <v>5</v>
      </c>
      <c r="P2067" s="47"/>
      <c r="Q2067" s="27">
        <v>5</v>
      </c>
      <c r="R2067" s="34"/>
      <c r="S2067" s="35">
        <f>SUM(O2067:R2067)</f>
        <v>10</v>
      </c>
      <c r="T2067" s="26"/>
      <c r="U2067" s="47"/>
      <c r="V2067" s="27"/>
      <c r="W2067" s="34"/>
      <c r="X2067" s="35">
        <f>SUM(T2067:W2067)</f>
        <v>0</v>
      </c>
      <c r="Y2067" s="11">
        <f t="shared" si="1727"/>
        <v>10</v>
      </c>
      <c r="Z2067" s="99">
        <v>45814</v>
      </c>
    </row>
    <row r="2068" spans="1:27" x14ac:dyDescent="0.15">
      <c r="A2068" s="32" t="s">
        <v>41</v>
      </c>
      <c r="B2068" s="26"/>
      <c r="C2068" s="47"/>
      <c r="D2068" s="27">
        <v>1</v>
      </c>
      <c r="E2068" s="34"/>
      <c r="F2068" s="35">
        <f t="shared" si="1730"/>
        <v>1</v>
      </c>
      <c r="G2068" s="26"/>
      <c r="H2068" s="47"/>
      <c r="I2068" s="27"/>
      <c r="J2068" s="34"/>
      <c r="K2068" s="35">
        <f t="shared" si="1731"/>
        <v>0</v>
      </c>
      <c r="L2068" s="11">
        <f t="shared" si="1719"/>
        <v>1</v>
      </c>
      <c r="M2068" s="99">
        <v>45813</v>
      </c>
      <c r="N2068" s="57" t="s">
        <v>1690</v>
      </c>
      <c r="O2068" s="26"/>
      <c r="P2068" s="47">
        <v>12</v>
      </c>
      <c r="Q2068" s="27"/>
      <c r="R2068" s="34"/>
      <c r="S2068" s="35">
        <f t="shared" si="1728"/>
        <v>12</v>
      </c>
      <c r="T2068" s="26"/>
      <c r="U2068" s="47"/>
      <c r="V2068" s="27"/>
      <c r="W2068" s="34"/>
      <c r="X2068" s="35">
        <f t="shared" si="1729"/>
        <v>0</v>
      </c>
      <c r="Y2068" s="11">
        <f t="shared" si="1727"/>
        <v>12</v>
      </c>
      <c r="Z2068" s="99">
        <v>45817</v>
      </c>
    </row>
    <row r="2069" spans="1:27" x14ac:dyDescent="0.15">
      <c r="A2069" s="32" t="s">
        <v>1712</v>
      </c>
      <c r="B2069" s="26">
        <v>2</v>
      </c>
      <c r="C2069" s="47">
        <v>1</v>
      </c>
      <c r="D2069" s="27">
        <v>1</v>
      </c>
      <c r="E2069" s="34"/>
      <c r="F2069" s="35">
        <f t="shared" si="1730"/>
        <v>4</v>
      </c>
      <c r="G2069" s="26"/>
      <c r="H2069" s="47"/>
      <c r="I2069" s="27">
        <v>1</v>
      </c>
      <c r="J2069" s="34"/>
      <c r="K2069" s="35">
        <f t="shared" si="1731"/>
        <v>1</v>
      </c>
      <c r="L2069" s="11">
        <f t="shared" si="1719"/>
        <v>5</v>
      </c>
      <c r="M2069" s="99">
        <v>45817</v>
      </c>
      <c r="N2069" s="32" t="s">
        <v>1713</v>
      </c>
      <c r="O2069" s="26">
        <v>3</v>
      </c>
      <c r="P2069" s="47">
        <v>2</v>
      </c>
      <c r="Q2069" s="27">
        <v>3</v>
      </c>
      <c r="R2069" s="50"/>
      <c r="S2069" s="9">
        <f>SUM(O2069:R2069)</f>
        <v>8</v>
      </c>
      <c r="T2069" s="47"/>
      <c r="U2069" s="47"/>
      <c r="V2069" s="27"/>
      <c r="W2069" s="50"/>
      <c r="X2069" s="9">
        <f>SUM(T2069:W2069)</f>
        <v>0</v>
      </c>
      <c r="Y2069" s="11">
        <f t="shared" si="1727"/>
        <v>8</v>
      </c>
      <c r="Z2069" s="99">
        <v>45819</v>
      </c>
    </row>
    <row r="2070" spans="1:27" x14ac:dyDescent="0.15">
      <c r="A2070" s="32" t="s">
        <v>1721</v>
      </c>
      <c r="B2070" s="26"/>
      <c r="C2070" s="47"/>
      <c r="D2070" s="27">
        <v>2</v>
      </c>
      <c r="E2070" s="34">
        <v>1</v>
      </c>
      <c r="F2070" s="35">
        <f t="shared" si="1730"/>
        <v>3</v>
      </c>
      <c r="G2070" s="26"/>
      <c r="H2070" s="47"/>
      <c r="I2070" s="27"/>
      <c r="J2070" s="34">
        <v>3</v>
      </c>
      <c r="K2070" s="35">
        <f t="shared" si="1731"/>
        <v>3</v>
      </c>
      <c r="L2070" s="11">
        <f t="shared" si="1719"/>
        <v>6</v>
      </c>
      <c r="M2070" s="99">
        <v>45820</v>
      </c>
      <c r="N2070" s="32" t="s">
        <v>1723</v>
      </c>
      <c r="O2070" s="26">
        <v>5</v>
      </c>
      <c r="P2070" s="47">
        <v>5</v>
      </c>
      <c r="Q2070" s="27"/>
      <c r="R2070" s="34">
        <v>1</v>
      </c>
      <c r="S2070" s="35">
        <f t="shared" ref="S2070:S2087" si="1732">SUM(O2070:R2070)</f>
        <v>11</v>
      </c>
      <c r="T2070" s="26"/>
      <c r="U2070" s="47"/>
      <c r="V2070" s="27"/>
      <c r="W2070" s="34"/>
      <c r="X2070" s="35">
        <f t="shared" ref="X2070:X2087" si="1733">SUM(T2070:W2070)</f>
        <v>0</v>
      </c>
      <c r="Y2070" s="11">
        <f t="shared" si="1727"/>
        <v>11</v>
      </c>
      <c r="Z2070" s="99">
        <v>45821</v>
      </c>
    </row>
    <row r="2071" spans="1:27" x14ac:dyDescent="0.15">
      <c r="A2071" s="32" t="s">
        <v>1716</v>
      </c>
      <c r="B2071" s="26"/>
      <c r="C2071" s="47"/>
      <c r="D2071" s="27"/>
      <c r="E2071" s="34"/>
      <c r="F2071" s="35">
        <f t="shared" si="1730"/>
        <v>0</v>
      </c>
      <c r="G2071" s="26">
        <v>1</v>
      </c>
      <c r="H2071" s="47"/>
      <c r="I2071" s="27"/>
      <c r="J2071" s="34"/>
      <c r="K2071" s="35">
        <f t="shared" si="1731"/>
        <v>1</v>
      </c>
      <c r="L2071" s="11">
        <f t="shared" si="1719"/>
        <v>1</v>
      </c>
      <c r="M2071" s="99">
        <v>45821</v>
      </c>
      <c r="N2071" s="12" t="s">
        <v>34</v>
      </c>
      <c r="O2071" s="26"/>
      <c r="P2071" s="47">
        <v>5</v>
      </c>
      <c r="Q2071" s="27">
        <v>3</v>
      </c>
      <c r="R2071" s="34">
        <v>3</v>
      </c>
      <c r="S2071" s="35">
        <f t="shared" si="1732"/>
        <v>11</v>
      </c>
      <c r="T2071" s="26">
        <v>3</v>
      </c>
      <c r="U2071" s="47"/>
      <c r="V2071" s="27"/>
      <c r="W2071" s="34">
        <v>3</v>
      </c>
      <c r="X2071" s="35">
        <f t="shared" si="1733"/>
        <v>6</v>
      </c>
      <c r="Y2071" s="11">
        <f t="shared" si="1727"/>
        <v>17</v>
      </c>
      <c r="Z2071" s="99">
        <v>45821</v>
      </c>
    </row>
    <row r="2072" spans="1:27" x14ac:dyDescent="0.15">
      <c r="A2072" s="32" t="s">
        <v>41</v>
      </c>
      <c r="B2072" s="26"/>
      <c r="C2072" s="47"/>
      <c r="D2072" s="27"/>
      <c r="E2072" s="34"/>
      <c r="F2072" s="35">
        <f t="shared" si="1730"/>
        <v>0</v>
      </c>
      <c r="G2072" s="26">
        <v>1</v>
      </c>
      <c r="H2072" s="47"/>
      <c r="I2072" s="27"/>
      <c r="J2072" s="34"/>
      <c r="K2072" s="35">
        <f t="shared" si="1731"/>
        <v>1</v>
      </c>
      <c r="L2072" s="11">
        <f t="shared" si="1719"/>
        <v>1</v>
      </c>
      <c r="M2072" s="99">
        <v>45818</v>
      </c>
      <c r="N2072" s="12" t="s">
        <v>34</v>
      </c>
      <c r="O2072" s="26">
        <v>5</v>
      </c>
      <c r="P2072" s="47"/>
      <c r="Q2072" s="27"/>
      <c r="R2072" s="34"/>
      <c r="S2072" s="35">
        <f t="shared" si="1732"/>
        <v>5</v>
      </c>
      <c r="T2072" s="26"/>
      <c r="U2072" s="47"/>
      <c r="V2072" s="27"/>
      <c r="W2072" s="34"/>
      <c r="X2072" s="35">
        <f t="shared" si="1733"/>
        <v>0</v>
      </c>
      <c r="Y2072" s="11">
        <f t="shared" si="1727"/>
        <v>5</v>
      </c>
      <c r="Z2072" s="99">
        <v>45825</v>
      </c>
    </row>
    <row r="2073" spans="1:27" x14ac:dyDescent="0.15">
      <c r="A2073" s="32" t="s">
        <v>1722</v>
      </c>
      <c r="B2073" s="26"/>
      <c r="C2073" s="47">
        <v>1</v>
      </c>
      <c r="D2073" s="27"/>
      <c r="E2073" s="34"/>
      <c r="F2073" s="35">
        <f t="shared" si="1730"/>
        <v>1</v>
      </c>
      <c r="G2073" s="26"/>
      <c r="H2073" s="47"/>
      <c r="I2073" s="27"/>
      <c r="J2073" s="34"/>
      <c r="K2073" s="35">
        <f t="shared" si="1731"/>
        <v>0</v>
      </c>
      <c r="L2073" s="11">
        <f t="shared" si="1719"/>
        <v>1</v>
      </c>
      <c r="M2073" s="99">
        <v>45821</v>
      </c>
      <c r="N2073" s="12" t="s">
        <v>1731</v>
      </c>
      <c r="O2073" s="26">
        <v>10</v>
      </c>
      <c r="P2073" s="47">
        <v>20</v>
      </c>
      <c r="Q2073" s="27">
        <v>15</v>
      </c>
      <c r="R2073" s="34">
        <v>10</v>
      </c>
      <c r="S2073" s="35">
        <f t="shared" si="1732"/>
        <v>55</v>
      </c>
      <c r="T2073" s="26">
        <v>3</v>
      </c>
      <c r="U2073" s="47">
        <v>5</v>
      </c>
      <c r="V2073" s="27">
        <v>5</v>
      </c>
      <c r="W2073" s="34">
        <v>5</v>
      </c>
      <c r="X2073" s="35">
        <f t="shared" si="1733"/>
        <v>18</v>
      </c>
      <c r="Y2073" s="11">
        <f t="shared" si="1727"/>
        <v>73</v>
      </c>
      <c r="Z2073" s="99">
        <v>45832</v>
      </c>
    </row>
    <row r="2074" spans="1:27" x14ac:dyDescent="0.15">
      <c r="A2074" s="32" t="s">
        <v>41</v>
      </c>
      <c r="B2074" s="26"/>
      <c r="C2074" s="47"/>
      <c r="D2074" s="27"/>
      <c r="E2074" s="34"/>
      <c r="F2074" s="35">
        <f t="shared" si="1730"/>
        <v>0</v>
      </c>
      <c r="G2074" s="26">
        <v>1</v>
      </c>
      <c r="H2074" s="47"/>
      <c r="I2074" s="27"/>
      <c r="J2074" s="34"/>
      <c r="K2074" s="35">
        <f t="shared" si="1731"/>
        <v>1</v>
      </c>
      <c r="L2074" s="11">
        <f t="shared" si="1719"/>
        <v>1</v>
      </c>
      <c r="M2074" s="99">
        <v>45819</v>
      </c>
      <c r="N2074" s="12" t="s">
        <v>34</v>
      </c>
      <c r="O2074" s="26"/>
      <c r="P2074" s="47">
        <v>5</v>
      </c>
      <c r="Q2074" s="27">
        <v>3</v>
      </c>
      <c r="R2074" s="34"/>
      <c r="S2074" s="35">
        <f>SUM(O2074:R2074)</f>
        <v>8</v>
      </c>
      <c r="T2074" s="26"/>
      <c r="U2074" s="47">
        <v>5</v>
      </c>
      <c r="V2074" s="27">
        <v>3</v>
      </c>
      <c r="W2074" s="34"/>
      <c r="X2074" s="35">
        <f>SUM(T2074:W2074)</f>
        <v>8</v>
      </c>
      <c r="Y2074" s="11">
        <f t="shared" si="1727"/>
        <v>16</v>
      </c>
      <c r="Z2074" s="99">
        <v>45833</v>
      </c>
      <c r="AA2074" s="58"/>
    </row>
    <row r="2075" spans="1:27" x14ac:dyDescent="0.15">
      <c r="A2075" s="32" t="s">
        <v>1626</v>
      </c>
      <c r="B2075" s="26"/>
      <c r="C2075" s="47">
        <v>2</v>
      </c>
      <c r="D2075" s="27"/>
      <c r="E2075" s="34"/>
      <c r="F2075" s="35">
        <f t="shared" si="1730"/>
        <v>2</v>
      </c>
      <c r="G2075" s="26"/>
      <c r="H2075" s="47"/>
      <c r="I2075" s="27"/>
      <c r="J2075" s="34"/>
      <c r="K2075" s="35">
        <f t="shared" si="1731"/>
        <v>0</v>
      </c>
      <c r="L2075" s="11">
        <f t="shared" si="1719"/>
        <v>2</v>
      </c>
      <c r="M2075" s="99">
        <v>45821</v>
      </c>
      <c r="N2075" s="12" t="s">
        <v>1734</v>
      </c>
      <c r="O2075" s="26">
        <v>3</v>
      </c>
      <c r="P2075" s="47">
        <v>10</v>
      </c>
      <c r="Q2075" s="27"/>
      <c r="R2075" s="34"/>
      <c r="S2075" s="35">
        <f t="shared" si="1732"/>
        <v>13</v>
      </c>
      <c r="T2075" s="26">
        <v>8</v>
      </c>
      <c r="U2075" s="47">
        <v>6</v>
      </c>
      <c r="V2075" s="27">
        <v>6</v>
      </c>
      <c r="W2075" s="34">
        <v>2</v>
      </c>
      <c r="X2075" s="35">
        <f t="shared" si="1733"/>
        <v>22</v>
      </c>
      <c r="Y2075" s="11">
        <f t="shared" si="1727"/>
        <v>35</v>
      </c>
      <c r="Z2075" s="99">
        <v>45834</v>
      </c>
    </row>
    <row r="2076" spans="1:27" x14ac:dyDescent="0.15">
      <c r="A2076" s="32" t="s">
        <v>41</v>
      </c>
      <c r="B2076" s="26"/>
      <c r="C2076" s="47">
        <v>1</v>
      </c>
      <c r="D2076" s="27"/>
      <c r="E2076" s="34"/>
      <c r="F2076" s="35">
        <f t="shared" si="1730"/>
        <v>1</v>
      </c>
      <c r="G2076" s="26"/>
      <c r="H2076" s="47"/>
      <c r="I2076" s="27"/>
      <c r="J2076" s="34"/>
      <c r="K2076" s="35">
        <f t="shared" si="1731"/>
        <v>0</v>
      </c>
      <c r="L2076" s="11">
        <f t="shared" si="1719"/>
        <v>1</v>
      </c>
      <c r="M2076" s="99">
        <v>45820</v>
      </c>
      <c r="N2076" s="12" t="s">
        <v>1735</v>
      </c>
      <c r="O2076" s="26"/>
      <c r="P2076" s="47"/>
      <c r="Q2076" s="27">
        <v>5</v>
      </c>
      <c r="R2076" s="34"/>
      <c r="S2076" s="35">
        <f t="shared" si="1732"/>
        <v>5</v>
      </c>
      <c r="T2076" s="26"/>
      <c r="U2076" s="47"/>
      <c r="V2076" s="27"/>
      <c r="W2076" s="34"/>
      <c r="X2076" s="35">
        <f t="shared" si="1733"/>
        <v>0</v>
      </c>
      <c r="Y2076" s="11">
        <f t="shared" si="1727"/>
        <v>5</v>
      </c>
      <c r="Z2076" s="99">
        <v>45841</v>
      </c>
    </row>
    <row r="2077" spans="1:27" x14ac:dyDescent="0.15">
      <c r="A2077" s="13" t="s">
        <v>1724</v>
      </c>
      <c r="B2077" s="26"/>
      <c r="C2077" s="47">
        <v>-5</v>
      </c>
      <c r="D2077" s="27">
        <v>-3</v>
      </c>
      <c r="E2077" s="34">
        <v>-3</v>
      </c>
      <c r="F2077" s="35">
        <f t="shared" si="1730"/>
        <v>-11</v>
      </c>
      <c r="G2077" s="26">
        <v>-3</v>
      </c>
      <c r="H2077" s="47"/>
      <c r="I2077" s="27"/>
      <c r="J2077" s="34">
        <v>-3</v>
      </c>
      <c r="K2077" s="35">
        <f t="shared" si="1731"/>
        <v>-6</v>
      </c>
      <c r="L2077" s="11">
        <f t="shared" si="1719"/>
        <v>-17</v>
      </c>
      <c r="M2077" s="99">
        <v>45821</v>
      </c>
      <c r="N2077" s="12" t="s">
        <v>1737</v>
      </c>
      <c r="O2077" s="26">
        <v>12</v>
      </c>
      <c r="P2077" s="47">
        <v>5</v>
      </c>
      <c r="Q2077" s="27">
        <v>5</v>
      </c>
      <c r="R2077" s="34">
        <v>10</v>
      </c>
      <c r="S2077" s="35">
        <f t="shared" si="1732"/>
        <v>32</v>
      </c>
      <c r="T2077" s="26">
        <v>10</v>
      </c>
      <c r="U2077" s="47">
        <v>10</v>
      </c>
      <c r="V2077" s="27">
        <v>10</v>
      </c>
      <c r="W2077" s="34">
        <v>15</v>
      </c>
      <c r="X2077" s="35">
        <f t="shared" si="1733"/>
        <v>45</v>
      </c>
      <c r="Y2077" s="11">
        <f t="shared" si="1727"/>
        <v>77</v>
      </c>
      <c r="Z2077" s="99">
        <v>45835</v>
      </c>
    </row>
    <row r="2078" spans="1:27" x14ac:dyDescent="0.15">
      <c r="A2078" s="15" t="s">
        <v>1725</v>
      </c>
      <c r="B2078" s="26"/>
      <c r="C2078" s="47"/>
      <c r="D2078" s="27"/>
      <c r="E2078" s="34"/>
      <c r="F2078" s="35">
        <f t="shared" si="1730"/>
        <v>0</v>
      </c>
      <c r="G2078" s="26">
        <v>-1</v>
      </c>
      <c r="H2078" s="47">
        <v>-1</v>
      </c>
      <c r="I2078" s="27"/>
      <c r="J2078" s="34"/>
      <c r="K2078" s="35">
        <f t="shared" si="1731"/>
        <v>-2</v>
      </c>
      <c r="L2078" s="11">
        <f t="shared" si="1719"/>
        <v>-2</v>
      </c>
      <c r="M2078" s="99">
        <v>45821</v>
      </c>
      <c r="N2078" s="12" t="s">
        <v>34</v>
      </c>
      <c r="O2078" s="26"/>
      <c r="P2078" s="47">
        <v>3</v>
      </c>
      <c r="Q2078" s="27"/>
      <c r="R2078" s="34"/>
      <c r="S2078" s="35">
        <f>SUM(O2078:R2078)</f>
        <v>3</v>
      </c>
      <c r="T2078" s="26"/>
      <c r="U2078" s="47"/>
      <c r="V2078" s="27"/>
      <c r="W2078" s="34"/>
      <c r="X2078" s="35">
        <f>SUM(T2078:W2078)</f>
        <v>0</v>
      </c>
      <c r="Y2078" s="11">
        <f t="shared" si="1727"/>
        <v>3</v>
      </c>
      <c r="Z2078" s="99">
        <v>45835</v>
      </c>
    </row>
    <row r="2079" spans="1:27" x14ac:dyDescent="0.15">
      <c r="A2079" s="32" t="s">
        <v>1726</v>
      </c>
      <c r="B2079" s="26">
        <v>2</v>
      </c>
      <c r="C2079" s="47">
        <v>1</v>
      </c>
      <c r="D2079" s="27">
        <v>2</v>
      </c>
      <c r="E2079" s="34"/>
      <c r="F2079" s="35">
        <f t="shared" si="1730"/>
        <v>5</v>
      </c>
      <c r="G2079" s="26">
        <v>1</v>
      </c>
      <c r="H2079" s="47"/>
      <c r="I2079" s="27"/>
      <c r="J2079" s="34"/>
      <c r="K2079" s="35">
        <f t="shared" si="1731"/>
        <v>1</v>
      </c>
      <c r="L2079" s="11">
        <f t="shared" si="1719"/>
        <v>6</v>
      </c>
      <c r="M2079" s="99">
        <v>45826</v>
      </c>
      <c r="N2079" s="12" t="s">
        <v>34</v>
      </c>
      <c r="O2079" s="26">
        <v>3</v>
      </c>
      <c r="P2079" s="47">
        <v>3</v>
      </c>
      <c r="Q2079" s="27">
        <v>3</v>
      </c>
      <c r="R2079" s="34"/>
      <c r="S2079" s="35">
        <f>SUM(O2079:R2079)</f>
        <v>9</v>
      </c>
      <c r="T2079" s="26"/>
      <c r="U2079" s="47"/>
      <c r="V2079" s="27"/>
      <c r="W2079" s="34"/>
      <c r="X2079" s="35">
        <f>SUM(T2079:W2079)</f>
        <v>0</v>
      </c>
      <c r="Y2079" s="11">
        <f t="shared" si="1727"/>
        <v>9</v>
      </c>
      <c r="Z2079" s="99">
        <v>45841</v>
      </c>
    </row>
    <row r="2080" spans="1:27" x14ac:dyDescent="0.15">
      <c r="A2080" s="32" t="s">
        <v>41</v>
      </c>
      <c r="B2080" s="26">
        <v>2</v>
      </c>
      <c r="C2080" s="47"/>
      <c r="D2080" s="27"/>
      <c r="E2080" s="34"/>
      <c r="F2080" s="35">
        <f t="shared" si="1730"/>
        <v>2</v>
      </c>
      <c r="G2080" s="26"/>
      <c r="H2080" s="47"/>
      <c r="I2080" s="27"/>
      <c r="J2080" s="34"/>
      <c r="K2080" s="35">
        <f t="shared" si="1731"/>
        <v>0</v>
      </c>
      <c r="L2080" s="11">
        <f t="shared" si="1719"/>
        <v>2</v>
      </c>
      <c r="M2080" s="99">
        <v>45824</v>
      </c>
      <c r="N2080" s="57"/>
      <c r="O2080" s="26"/>
      <c r="P2080" s="47"/>
      <c r="Q2080" s="27"/>
      <c r="R2080" s="34"/>
      <c r="S2080" s="35">
        <f t="shared" si="1732"/>
        <v>0</v>
      </c>
      <c r="T2080" s="26"/>
      <c r="U2080" s="47"/>
      <c r="V2080" s="27"/>
      <c r="W2080" s="34"/>
      <c r="X2080" s="35">
        <f t="shared" si="1733"/>
        <v>0</v>
      </c>
      <c r="Y2080" s="11">
        <f t="shared" si="1727"/>
        <v>0</v>
      </c>
      <c r="Z2080" s="101"/>
    </row>
    <row r="2081" spans="1:26" x14ac:dyDescent="0.15">
      <c r="A2081" s="13" t="s">
        <v>62</v>
      </c>
      <c r="B2081" s="26">
        <v>-5</v>
      </c>
      <c r="C2081" s="47"/>
      <c r="D2081" s="27"/>
      <c r="E2081" s="34"/>
      <c r="F2081" s="35">
        <f t="shared" si="1730"/>
        <v>-5</v>
      </c>
      <c r="G2081" s="26"/>
      <c r="H2081" s="47"/>
      <c r="I2081" s="27"/>
      <c r="J2081" s="34"/>
      <c r="K2081" s="35">
        <f t="shared" si="1731"/>
        <v>0</v>
      </c>
      <c r="L2081" s="11">
        <f t="shared" si="1719"/>
        <v>-5</v>
      </c>
      <c r="M2081" s="99">
        <v>45825</v>
      </c>
      <c r="N2081" s="57"/>
      <c r="O2081" s="26"/>
      <c r="P2081" s="47"/>
      <c r="Q2081" s="27"/>
      <c r="R2081" s="34"/>
      <c r="S2081" s="35">
        <f t="shared" si="1732"/>
        <v>0</v>
      </c>
      <c r="T2081" s="26"/>
      <c r="U2081" s="47"/>
      <c r="V2081" s="27"/>
      <c r="W2081" s="34"/>
      <c r="X2081" s="35">
        <f t="shared" si="1733"/>
        <v>0</v>
      </c>
      <c r="Y2081" s="11">
        <f t="shared" si="1727"/>
        <v>0</v>
      </c>
    </row>
    <row r="2082" spans="1:26" x14ac:dyDescent="0.15">
      <c r="A2082" s="32" t="s">
        <v>1727</v>
      </c>
      <c r="B2082" s="26"/>
      <c r="C2082" s="47"/>
      <c r="D2082" s="27"/>
      <c r="E2082" s="34"/>
      <c r="F2082" s="35">
        <f t="shared" si="1730"/>
        <v>0</v>
      </c>
      <c r="G2082" s="26"/>
      <c r="H2082" s="47">
        <v>1</v>
      </c>
      <c r="I2082" s="27"/>
      <c r="J2082" s="34"/>
      <c r="K2082" s="35">
        <f t="shared" si="1731"/>
        <v>1</v>
      </c>
      <c r="L2082" s="11">
        <f t="shared" si="1719"/>
        <v>1</v>
      </c>
      <c r="M2082" s="99">
        <v>45827</v>
      </c>
      <c r="N2082" s="57"/>
      <c r="O2082" s="26"/>
      <c r="P2082" s="47"/>
      <c r="Q2082" s="27"/>
      <c r="R2082" s="34"/>
      <c r="S2082" s="35">
        <f t="shared" si="1732"/>
        <v>0</v>
      </c>
      <c r="T2082" s="26"/>
      <c r="U2082" s="47"/>
      <c r="V2082" s="27"/>
      <c r="W2082" s="34"/>
      <c r="X2082" s="35">
        <f t="shared" si="1733"/>
        <v>0</v>
      </c>
      <c r="Y2082" s="11">
        <f t="shared" si="1727"/>
        <v>0</v>
      </c>
    </row>
    <row r="2083" spans="1:26" x14ac:dyDescent="0.15">
      <c r="A2083" s="32" t="s">
        <v>1728</v>
      </c>
      <c r="B2083" s="26"/>
      <c r="C2083" s="47"/>
      <c r="D2083" s="27">
        <v>1</v>
      </c>
      <c r="E2083" s="34"/>
      <c r="F2083" s="35">
        <f>SUM(B2083:E2083)</f>
        <v>1</v>
      </c>
      <c r="G2083" s="26"/>
      <c r="H2083" s="47">
        <v>1</v>
      </c>
      <c r="I2083" s="27"/>
      <c r="J2083" s="34"/>
      <c r="K2083" s="35">
        <f t="shared" si="1731"/>
        <v>1</v>
      </c>
      <c r="L2083" s="11">
        <f t="shared" si="1719"/>
        <v>2</v>
      </c>
      <c r="M2083" s="99">
        <v>45828</v>
      </c>
      <c r="N2083" s="57"/>
      <c r="O2083" s="26"/>
      <c r="P2083" s="47"/>
      <c r="Q2083" s="27"/>
      <c r="R2083" s="34"/>
      <c r="S2083" s="35">
        <f t="shared" ref="S2083:S2084" si="1734">SUM(O2083:R2083)</f>
        <v>0</v>
      </c>
      <c r="T2083" s="26"/>
      <c r="U2083" s="47"/>
      <c r="V2083" s="27"/>
      <c r="W2083" s="34"/>
      <c r="X2083" s="35">
        <f t="shared" ref="X2083:X2084" si="1735">SUM(T2083:W2083)</f>
        <v>0</v>
      </c>
      <c r="Y2083" s="11">
        <f t="shared" ref="Y2083:Y2084" si="1736">S2083+X2083</f>
        <v>0</v>
      </c>
    </row>
    <row r="2084" spans="1:26" x14ac:dyDescent="0.15">
      <c r="A2084" s="32" t="s">
        <v>41</v>
      </c>
      <c r="B2084" s="26">
        <v>1</v>
      </c>
      <c r="C2084" s="47"/>
      <c r="D2084" s="27"/>
      <c r="E2084" s="34"/>
      <c r="F2084" s="35">
        <f t="shared" si="1730"/>
        <v>1</v>
      </c>
      <c r="G2084" s="26">
        <v>1</v>
      </c>
      <c r="H2084" s="47"/>
      <c r="I2084" s="27"/>
      <c r="J2084" s="34"/>
      <c r="K2084" s="35">
        <f t="shared" si="1731"/>
        <v>1</v>
      </c>
      <c r="L2084" s="11">
        <f t="shared" si="1719"/>
        <v>2</v>
      </c>
      <c r="M2084" s="99">
        <v>45826</v>
      </c>
      <c r="N2084" s="57"/>
      <c r="O2084" s="26"/>
      <c r="P2084" s="47"/>
      <c r="Q2084" s="27"/>
      <c r="R2084" s="34"/>
      <c r="S2084" s="35">
        <f t="shared" si="1734"/>
        <v>0</v>
      </c>
      <c r="T2084" s="26"/>
      <c r="U2084" s="47"/>
      <c r="V2084" s="27"/>
      <c r="W2084" s="34"/>
      <c r="X2084" s="35">
        <f t="shared" si="1735"/>
        <v>0</v>
      </c>
      <c r="Y2084" s="11">
        <f t="shared" si="1736"/>
        <v>0</v>
      </c>
    </row>
    <row r="2085" spans="1:26" x14ac:dyDescent="0.15">
      <c r="A2085" s="32" t="s">
        <v>41</v>
      </c>
      <c r="B2085" s="26"/>
      <c r="C2085" s="47"/>
      <c r="D2085" s="27"/>
      <c r="E2085" s="34"/>
      <c r="F2085" s="35">
        <f>SUM(B2085:E2085)</f>
        <v>0</v>
      </c>
      <c r="G2085" s="26"/>
      <c r="H2085" s="47">
        <v>2</v>
      </c>
      <c r="I2085" s="27">
        <f>1+1</f>
        <v>2</v>
      </c>
      <c r="J2085" s="34"/>
      <c r="K2085" s="35">
        <f t="shared" si="1731"/>
        <v>4</v>
      </c>
      <c r="L2085" s="11">
        <f t="shared" si="1719"/>
        <v>4</v>
      </c>
      <c r="M2085" s="99">
        <v>45831</v>
      </c>
      <c r="N2085" s="153" t="s">
        <v>1720</v>
      </c>
      <c r="O2085" s="154"/>
      <c r="P2085" s="155"/>
      <c r="Q2085" s="156"/>
      <c r="R2085" s="157"/>
      <c r="S2085" s="158">
        <f t="shared" ref="S2085" si="1737">SUM(O2085:R2085)</f>
        <v>0</v>
      </c>
      <c r="T2085" s="154"/>
      <c r="U2085" s="155"/>
      <c r="V2085" s="156"/>
      <c r="W2085" s="157"/>
      <c r="X2085" s="158">
        <f t="shared" ref="X2085" si="1738">SUM(T2085:W2085)</f>
        <v>0</v>
      </c>
      <c r="Y2085" s="179">
        <f t="shared" ref="Y2085" si="1739">S2085+X2085</f>
        <v>0</v>
      </c>
      <c r="Z2085" s="160"/>
    </row>
    <row r="2086" spans="1:26" ht="14.25" thickBot="1" x14ac:dyDescent="0.2">
      <c r="A2086" s="32" t="s">
        <v>1732</v>
      </c>
      <c r="B2086" s="62"/>
      <c r="C2086" s="63">
        <v>3</v>
      </c>
      <c r="D2086" s="64"/>
      <c r="E2086" s="65"/>
      <c r="F2086" s="35">
        <f t="shared" si="1730"/>
        <v>3</v>
      </c>
      <c r="G2086" s="62"/>
      <c r="H2086" s="63">
        <v>1</v>
      </c>
      <c r="I2086" s="64"/>
      <c r="J2086" s="65"/>
      <c r="K2086" s="35">
        <f t="shared" si="1731"/>
        <v>1</v>
      </c>
      <c r="L2086" s="14">
        <f t="shared" si="1719"/>
        <v>4</v>
      </c>
      <c r="M2086" s="99">
        <v>45834</v>
      </c>
      <c r="N2086" s="220" t="s">
        <v>1659</v>
      </c>
      <c r="O2086" s="109"/>
      <c r="P2086" s="110"/>
      <c r="Q2086" s="111"/>
      <c r="R2086" s="112"/>
      <c r="S2086" s="134">
        <f t="shared" si="1732"/>
        <v>0</v>
      </c>
      <c r="T2086" s="109"/>
      <c r="U2086" s="110"/>
      <c r="V2086" s="111"/>
      <c r="W2086" s="112"/>
      <c r="X2086" s="134">
        <f t="shared" si="1733"/>
        <v>0</v>
      </c>
      <c r="Y2086" s="119">
        <f t="shared" si="1727"/>
        <v>0</v>
      </c>
      <c r="Z2086" s="101" t="s">
        <v>1660</v>
      </c>
    </row>
    <row r="2087" spans="1:26" ht="14.25" thickBot="1" x14ac:dyDescent="0.2">
      <c r="A2087" s="17" t="s">
        <v>10</v>
      </c>
      <c r="B2087" s="38">
        <f>SUM(B2062:B2086)</f>
        <v>14</v>
      </c>
      <c r="C2087" s="48">
        <f>SUM(C2062:C2086)</f>
        <v>12</v>
      </c>
      <c r="D2087" s="39">
        <f>SUM(D2062:D2086)</f>
        <v>24</v>
      </c>
      <c r="E2087" s="40">
        <f>SUM(E2062:E2086)</f>
        <v>4</v>
      </c>
      <c r="F2087" s="36">
        <f>SUM(B2087:E2087)</f>
        <v>54</v>
      </c>
      <c r="G2087" s="38">
        <f>SUM(G2062:G2086)</f>
        <v>1</v>
      </c>
      <c r="H2087" s="48">
        <f>SUM(H2062:H2086)</f>
        <v>7</v>
      </c>
      <c r="I2087" s="39">
        <f>SUM(I2062:I2086)</f>
        <v>5</v>
      </c>
      <c r="J2087" s="40">
        <f>SUM(J2062:J2086)</f>
        <v>0</v>
      </c>
      <c r="K2087" s="36">
        <f>SUM(G2087:J2087)</f>
        <v>13</v>
      </c>
      <c r="L2087" s="37">
        <f t="shared" si="1719"/>
        <v>67</v>
      </c>
      <c r="N2087" s="133" t="s">
        <v>10</v>
      </c>
      <c r="O2087" s="38">
        <f>SUM(O2062:O2086)</f>
        <v>57</v>
      </c>
      <c r="P2087" s="48">
        <f>SUM(P2062:P2086)</f>
        <v>83</v>
      </c>
      <c r="Q2087" s="39">
        <f>SUM(Q2062:Q2086)</f>
        <v>54</v>
      </c>
      <c r="R2087" s="40">
        <f>SUM(R2062:R2086)</f>
        <v>29</v>
      </c>
      <c r="S2087" s="118">
        <f t="shared" si="1732"/>
        <v>223</v>
      </c>
      <c r="T2087" s="38">
        <f>SUM(T2062:T2086)</f>
        <v>25</v>
      </c>
      <c r="U2087" s="48">
        <f>SUM(U2062:U2086)</f>
        <v>28</v>
      </c>
      <c r="V2087" s="39">
        <f>SUM(V2062:V2086)</f>
        <v>29</v>
      </c>
      <c r="W2087" s="40">
        <f>SUM(W2062:W2086)</f>
        <v>25</v>
      </c>
      <c r="X2087" s="118">
        <f t="shared" si="1733"/>
        <v>107</v>
      </c>
      <c r="Y2087" s="119">
        <f t="shared" si="1727"/>
        <v>330</v>
      </c>
    </row>
    <row r="2088" spans="1:26" ht="14.25" thickBot="1" x14ac:dyDescent="0.2">
      <c r="A2088" s="22" t="s">
        <v>11</v>
      </c>
      <c r="B2088" s="41">
        <f>B2061-B2087</f>
        <v>13</v>
      </c>
      <c r="C2088" s="49">
        <f>C2061-C2087</f>
        <v>2</v>
      </c>
      <c r="D2088" s="42">
        <f t="shared" ref="D2088:K2088" si="1740">D2061-D2087</f>
        <v>4</v>
      </c>
      <c r="E2088" s="43">
        <f t="shared" si="1740"/>
        <v>6</v>
      </c>
      <c r="F2088" s="61">
        <f t="shared" si="1740"/>
        <v>21</v>
      </c>
      <c r="G2088" s="41">
        <f t="shared" si="1740"/>
        <v>6</v>
      </c>
      <c r="H2088" s="49">
        <f t="shared" si="1740"/>
        <v>2</v>
      </c>
      <c r="I2088" s="42">
        <f t="shared" si="1740"/>
        <v>3</v>
      </c>
      <c r="J2088" s="43">
        <f t="shared" si="1740"/>
        <v>6</v>
      </c>
      <c r="K2088" s="61">
        <f t="shared" si="1740"/>
        <v>17</v>
      </c>
      <c r="L2088" s="21">
        <f t="shared" si="1719"/>
        <v>38</v>
      </c>
      <c r="N2088" s="17" t="s">
        <v>11</v>
      </c>
      <c r="O2088" s="41">
        <f>O2061-O2087</f>
        <v>1160</v>
      </c>
      <c r="P2088" s="49">
        <f t="shared" ref="P2088:Q2088" si="1741">P2061-P2087</f>
        <v>1478</v>
      </c>
      <c r="Q2088" s="42">
        <f t="shared" si="1741"/>
        <v>891</v>
      </c>
      <c r="R2088" s="43">
        <f>R2061-R2087</f>
        <v>593</v>
      </c>
      <c r="S2088" s="61">
        <f t="shared" ref="S2088:X2088" si="1742">S2061-S2087</f>
        <v>4122</v>
      </c>
      <c r="T2088" s="41">
        <f t="shared" si="1742"/>
        <v>922</v>
      </c>
      <c r="U2088" s="49">
        <f t="shared" si="1742"/>
        <v>1033</v>
      </c>
      <c r="V2088" s="42">
        <f t="shared" si="1742"/>
        <v>761</v>
      </c>
      <c r="W2088" s="43">
        <f t="shared" si="1742"/>
        <v>537</v>
      </c>
      <c r="X2088" s="61">
        <f t="shared" si="1742"/>
        <v>3253</v>
      </c>
      <c r="Y2088" s="21">
        <f t="shared" si="1727"/>
        <v>7375</v>
      </c>
    </row>
    <row r="2091" spans="1:26" ht="19.5" thickBot="1" x14ac:dyDescent="0.25">
      <c r="A2091" s="2" t="s">
        <v>106</v>
      </c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N2091" s="2" t="s">
        <v>1036</v>
      </c>
      <c r="O2091" s="270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6" ht="14.25" thickBot="1" x14ac:dyDescent="0.2">
      <c r="A2092" s="5" t="s">
        <v>0</v>
      </c>
      <c r="B2092" s="342" t="s">
        <v>18</v>
      </c>
      <c r="C2092" s="350"/>
      <c r="D2092" s="350"/>
      <c r="E2092" s="350"/>
      <c r="F2092" s="351"/>
      <c r="G2092" s="345" t="s">
        <v>12</v>
      </c>
      <c r="H2092" s="352"/>
      <c r="I2092" s="352"/>
      <c r="J2092" s="352"/>
      <c r="K2092" s="353"/>
      <c r="L2092" s="354" t="s">
        <v>1</v>
      </c>
      <c r="N2092" s="5" t="s">
        <v>0</v>
      </c>
      <c r="O2092" s="342" t="s">
        <v>18</v>
      </c>
      <c r="P2092" s="343"/>
      <c r="Q2092" s="343"/>
      <c r="R2092" s="343"/>
      <c r="S2092" s="344"/>
      <c r="T2092" s="345" t="s">
        <v>12</v>
      </c>
      <c r="U2092" s="346"/>
      <c r="V2092" s="346"/>
      <c r="W2092" s="346"/>
      <c r="X2092" s="347"/>
      <c r="Y2092" s="348" t="s">
        <v>1</v>
      </c>
    </row>
    <row r="2093" spans="1:26" ht="14.25" thickBot="1" x14ac:dyDescent="0.2">
      <c r="A2093" s="5" t="s">
        <v>2</v>
      </c>
      <c r="B2093" s="3" t="s">
        <v>13</v>
      </c>
      <c r="C2093" s="44" t="s">
        <v>14</v>
      </c>
      <c r="D2093" s="4" t="s">
        <v>15</v>
      </c>
      <c r="E2093" s="23" t="s">
        <v>16</v>
      </c>
      <c r="F2093" s="31" t="s">
        <v>3</v>
      </c>
      <c r="G2093" s="3" t="s">
        <v>13</v>
      </c>
      <c r="H2093" s="44" t="s">
        <v>14</v>
      </c>
      <c r="I2093" s="4" t="s">
        <v>15</v>
      </c>
      <c r="J2093" s="23" t="s">
        <v>16</v>
      </c>
      <c r="K2093" s="31" t="s">
        <v>3</v>
      </c>
      <c r="L2093" s="355"/>
      <c r="N2093" s="5" t="s">
        <v>2</v>
      </c>
      <c r="O2093" s="3" t="s">
        <v>13</v>
      </c>
      <c r="P2093" s="44" t="s">
        <v>14</v>
      </c>
      <c r="Q2093" s="4" t="s">
        <v>15</v>
      </c>
      <c r="R2093" s="23" t="s">
        <v>16</v>
      </c>
      <c r="S2093" s="31" t="s">
        <v>3</v>
      </c>
      <c r="T2093" s="3" t="s">
        <v>13</v>
      </c>
      <c r="U2093" s="44" t="s">
        <v>14</v>
      </c>
      <c r="V2093" s="4" t="s">
        <v>15</v>
      </c>
      <c r="W2093" s="23" t="s">
        <v>16</v>
      </c>
      <c r="X2093" s="31" t="s">
        <v>3</v>
      </c>
      <c r="Y2093" s="349"/>
    </row>
    <row r="2094" spans="1:26" x14ac:dyDescent="0.15">
      <c r="A2094" s="71" t="s">
        <v>17</v>
      </c>
      <c r="B2094" s="72">
        <f>B2088</f>
        <v>13</v>
      </c>
      <c r="C2094" s="73">
        <f t="shared" ref="C2094:L2094" si="1743">C2088</f>
        <v>2</v>
      </c>
      <c r="D2094" s="73">
        <f t="shared" si="1743"/>
        <v>4</v>
      </c>
      <c r="E2094" s="74">
        <f t="shared" si="1743"/>
        <v>6</v>
      </c>
      <c r="F2094" s="76">
        <f t="shared" si="1743"/>
        <v>21</v>
      </c>
      <c r="G2094" s="72">
        <f t="shared" si="1743"/>
        <v>6</v>
      </c>
      <c r="H2094" s="73">
        <f t="shared" si="1743"/>
        <v>2</v>
      </c>
      <c r="I2094" s="73">
        <f t="shared" si="1743"/>
        <v>3</v>
      </c>
      <c r="J2094" s="74">
        <f t="shared" si="1743"/>
        <v>6</v>
      </c>
      <c r="K2094" s="75">
        <f t="shared" si="1743"/>
        <v>17</v>
      </c>
      <c r="L2094" s="16">
        <f t="shared" si="1743"/>
        <v>38</v>
      </c>
      <c r="N2094" s="71" t="s">
        <v>17</v>
      </c>
      <c r="O2094" s="72">
        <f>O2088</f>
        <v>1160</v>
      </c>
      <c r="P2094" s="73">
        <f t="shared" ref="P2094:Y2094" si="1744">P2088</f>
        <v>1478</v>
      </c>
      <c r="Q2094" s="73">
        <f t="shared" si="1744"/>
        <v>891</v>
      </c>
      <c r="R2094" s="74">
        <f t="shared" si="1744"/>
        <v>593</v>
      </c>
      <c r="S2094" s="76">
        <f t="shared" si="1744"/>
        <v>4122</v>
      </c>
      <c r="T2094" s="72">
        <f t="shared" si="1744"/>
        <v>922</v>
      </c>
      <c r="U2094" s="73">
        <f t="shared" si="1744"/>
        <v>1033</v>
      </c>
      <c r="V2094" s="73">
        <f t="shared" si="1744"/>
        <v>761</v>
      </c>
      <c r="W2094" s="74">
        <f t="shared" si="1744"/>
        <v>537</v>
      </c>
      <c r="X2094" s="75">
        <f t="shared" si="1744"/>
        <v>3253</v>
      </c>
      <c r="Y2094" s="16">
        <f t="shared" si="1744"/>
        <v>7375</v>
      </c>
    </row>
    <row r="2095" spans="1:26" x14ac:dyDescent="0.15">
      <c r="A2095" s="13" t="s">
        <v>5</v>
      </c>
      <c r="B2095" s="26"/>
      <c r="C2095" s="47">
        <v>5</v>
      </c>
      <c r="D2095" s="27">
        <v>3</v>
      </c>
      <c r="E2095" s="50"/>
      <c r="F2095" s="9">
        <f>SUM(B2095:E2095)</f>
        <v>8</v>
      </c>
      <c r="G2095" s="47"/>
      <c r="H2095" s="47">
        <v>5</v>
      </c>
      <c r="I2095" s="27">
        <v>3</v>
      </c>
      <c r="J2095" s="50"/>
      <c r="K2095" s="9">
        <f>SUM(G2095:J2095)</f>
        <v>8</v>
      </c>
      <c r="L2095" s="11">
        <f t="shared" ref="L2095:L2126" si="1745">F2095+K2095</f>
        <v>16</v>
      </c>
      <c r="M2095" s="99">
        <v>45833</v>
      </c>
      <c r="N2095" s="13" t="s">
        <v>191</v>
      </c>
      <c r="O2095" s="26"/>
      <c r="P2095" s="47"/>
      <c r="Q2095" s="27">
        <v>19</v>
      </c>
      <c r="R2095" s="34">
        <v>21</v>
      </c>
      <c r="S2095" s="77">
        <f t="shared" ref="S2095:S2098" si="1746">SUM(O2095:R2095)</f>
        <v>40</v>
      </c>
      <c r="T2095" s="26">
        <v>4</v>
      </c>
      <c r="U2095" s="47"/>
      <c r="V2095" s="27">
        <v>11</v>
      </c>
      <c r="W2095" s="34">
        <v>9</v>
      </c>
      <c r="X2095" s="9">
        <f t="shared" ref="X2095:X2098" si="1747">SUM(T2095:W2095)</f>
        <v>24</v>
      </c>
      <c r="Y2095" s="11">
        <f t="shared" ref="Y2095:Y2126" si="1748">S2095+X2095</f>
        <v>64</v>
      </c>
      <c r="Z2095" s="126">
        <v>45856</v>
      </c>
    </row>
    <row r="2096" spans="1:26" x14ac:dyDescent="0.15">
      <c r="A2096" s="13" t="s">
        <v>6</v>
      </c>
      <c r="B2096" s="26"/>
      <c r="C2096" s="47">
        <v>3</v>
      </c>
      <c r="D2096" s="27"/>
      <c r="E2096" s="50"/>
      <c r="F2096" s="9">
        <f>SUM(B2096:E2096)</f>
        <v>3</v>
      </c>
      <c r="G2096" s="47"/>
      <c r="H2096" s="47"/>
      <c r="I2096" s="27"/>
      <c r="J2096" s="50"/>
      <c r="K2096" s="9">
        <f>SUM(G2096:J2096)</f>
        <v>0</v>
      </c>
      <c r="L2096" s="11">
        <f t="shared" si="1745"/>
        <v>3</v>
      </c>
      <c r="M2096" s="99">
        <v>45835</v>
      </c>
      <c r="N2096" s="13" t="s">
        <v>191</v>
      </c>
      <c r="O2096" s="26">
        <v>2</v>
      </c>
      <c r="P2096" s="47"/>
      <c r="Q2096" s="27"/>
      <c r="R2096" s="34">
        <v>3</v>
      </c>
      <c r="S2096" s="77">
        <f t="shared" si="1746"/>
        <v>5</v>
      </c>
      <c r="T2096" s="26">
        <v>17</v>
      </c>
      <c r="U2096" s="47">
        <v>3</v>
      </c>
      <c r="V2096" s="27">
        <v>1</v>
      </c>
      <c r="W2096" s="34">
        <v>12</v>
      </c>
      <c r="X2096" s="9">
        <f t="shared" si="1747"/>
        <v>33</v>
      </c>
      <c r="Y2096" s="11">
        <f t="shared" si="1748"/>
        <v>38</v>
      </c>
      <c r="Z2096" s="99">
        <v>45856</v>
      </c>
    </row>
    <row r="2097" spans="1:27" x14ac:dyDescent="0.15">
      <c r="A2097" s="13" t="s">
        <v>7</v>
      </c>
      <c r="B2097" s="26">
        <v>3</v>
      </c>
      <c r="C2097" s="47">
        <v>3</v>
      </c>
      <c r="D2097" s="27">
        <v>3</v>
      </c>
      <c r="E2097" s="50"/>
      <c r="F2097" s="9">
        <f>SUM(B2097:E2097)</f>
        <v>9</v>
      </c>
      <c r="G2097" s="47"/>
      <c r="H2097" s="47"/>
      <c r="I2097" s="27"/>
      <c r="J2097" s="50"/>
      <c r="K2097" s="9">
        <f>SUM(G2097:J2097)</f>
        <v>0</v>
      </c>
      <c r="L2097" s="11">
        <f t="shared" si="1745"/>
        <v>9</v>
      </c>
      <c r="M2097" s="99">
        <v>45841</v>
      </c>
      <c r="N2097" s="13" t="s">
        <v>7</v>
      </c>
      <c r="O2097" s="26">
        <v>9</v>
      </c>
      <c r="P2097" s="47">
        <v>5</v>
      </c>
      <c r="Q2097" s="27">
        <v>7</v>
      </c>
      <c r="R2097" s="34">
        <v>6</v>
      </c>
      <c r="S2097" s="77">
        <f t="shared" si="1746"/>
        <v>27</v>
      </c>
      <c r="T2097" s="26">
        <v>8</v>
      </c>
      <c r="U2097" s="47">
        <v>5</v>
      </c>
      <c r="V2097" s="27">
        <v>3</v>
      </c>
      <c r="W2097" s="34">
        <v>5</v>
      </c>
      <c r="X2097" s="9">
        <f t="shared" si="1747"/>
        <v>21</v>
      </c>
      <c r="Y2097" s="11">
        <f t="shared" si="1748"/>
        <v>48</v>
      </c>
      <c r="Z2097" s="99">
        <v>45871</v>
      </c>
    </row>
    <row r="2098" spans="1:27" ht="14.25" thickBot="1" x14ac:dyDescent="0.2">
      <c r="A2098" s="13" t="s">
        <v>49</v>
      </c>
      <c r="B2098" s="26">
        <v>2</v>
      </c>
      <c r="C2098" s="47">
        <v>4</v>
      </c>
      <c r="D2098" s="27">
        <v>1</v>
      </c>
      <c r="E2098" s="50"/>
      <c r="F2098" s="10">
        <f>SUM(B2098:E2098)</f>
        <v>7</v>
      </c>
      <c r="G2098" s="47"/>
      <c r="H2098" s="47"/>
      <c r="I2098" s="27"/>
      <c r="J2098" s="50"/>
      <c r="K2098" s="10">
        <f>SUM(G2098:J2098)</f>
        <v>0</v>
      </c>
      <c r="L2098" s="14">
        <f t="shared" si="1745"/>
        <v>7</v>
      </c>
      <c r="M2098" s="126">
        <v>45840</v>
      </c>
      <c r="N2098" s="13" t="s">
        <v>8</v>
      </c>
      <c r="O2098" s="26"/>
      <c r="P2098" s="47"/>
      <c r="Q2098" s="27"/>
      <c r="R2098" s="34"/>
      <c r="S2098" s="77">
        <f t="shared" si="1746"/>
        <v>0</v>
      </c>
      <c r="T2098" s="26"/>
      <c r="U2098" s="47"/>
      <c r="V2098" s="27"/>
      <c r="W2098" s="34"/>
      <c r="X2098" s="9">
        <f t="shared" si="1747"/>
        <v>0</v>
      </c>
      <c r="Y2098" s="11">
        <f t="shared" si="1748"/>
        <v>0</v>
      </c>
    </row>
    <row r="2099" spans="1:27" ht="14.25" thickBot="1" x14ac:dyDescent="0.2">
      <c r="A2099" s="22" t="s">
        <v>9</v>
      </c>
      <c r="B2099" s="51">
        <f t="shared" ref="B2099:K2099" si="1749">SUM(B2094:B2098)</f>
        <v>18</v>
      </c>
      <c r="C2099" s="52">
        <f t="shared" si="1749"/>
        <v>17</v>
      </c>
      <c r="D2099" s="53">
        <f t="shared" si="1749"/>
        <v>11</v>
      </c>
      <c r="E2099" s="54">
        <f t="shared" si="1749"/>
        <v>6</v>
      </c>
      <c r="F2099" s="28">
        <f t="shared" si="1749"/>
        <v>48</v>
      </c>
      <c r="G2099" s="51">
        <f t="shared" si="1749"/>
        <v>6</v>
      </c>
      <c r="H2099" s="52">
        <f t="shared" si="1749"/>
        <v>7</v>
      </c>
      <c r="I2099" s="53">
        <f t="shared" si="1749"/>
        <v>6</v>
      </c>
      <c r="J2099" s="54">
        <f t="shared" si="1749"/>
        <v>6</v>
      </c>
      <c r="K2099" s="28">
        <f t="shared" si="1749"/>
        <v>25</v>
      </c>
      <c r="L2099" s="21">
        <f t="shared" si="1745"/>
        <v>73</v>
      </c>
      <c r="N2099" s="17" t="s">
        <v>9</v>
      </c>
      <c r="O2099" s="41">
        <f>SUM(O2094:O2098)</f>
        <v>1171</v>
      </c>
      <c r="P2099" s="49">
        <f t="shared" ref="P2099:V2099" si="1750">SUM(P2094:P2098)</f>
        <v>1483</v>
      </c>
      <c r="Q2099" s="42">
        <f t="shared" si="1750"/>
        <v>917</v>
      </c>
      <c r="R2099" s="92">
        <f t="shared" si="1750"/>
        <v>623</v>
      </c>
      <c r="S2099" s="93">
        <f t="shared" si="1750"/>
        <v>4194</v>
      </c>
      <c r="T2099" s="41">
        <f t="shared" si="1750"/>
        <v>951</v>
      </c>
      <c r="U2099" s="49">
        <f t="shared" si="1750"/>
        <v>1041</v>
      </c>
      <c r="V2099" s="42">
        <f t="shared" si="1750"/>
        <v>776</v>
      </c>
      <c r="W2099" s="92">
        <f>SUM(W2094:W2098)</f>
        <v>563</v>
      </c>
      <c r="X2099" s="93">
        <f t="shared" ref="X2099" si="1751">SUM(X2094:X2098)</f>
        <v>3331</v>
      </c>
      <c r="Y2099" s="56">
        <f t="shared" si="1748"/>
        <v>7525</v>
      </c>
    </row>
    <row r="2100" spans="1:27" x14ac:dyDescent="0.15">
      <c r="A2100" s="32" t="s">
        <v>1733</v>
      </c>
      <c r="B2100" s="24"/>
      <c r="C2100" s="46"/>
      <c r="D2100" s="25">
        <v>2</v>
      </c>
      <c r="E2100" s="33"/>
      <c r="F2100" s="35">
        <f>SUM(B2100:E2100)</f>
        <v>2</v>
      </c>
      <c r="G2100" s="24"/>
      <c r="H2100" s="46"/>
      <c r="I2100" s="25"/>
      <c r="J2100" s="33"/>
      <c r="K2100" s="35">
        <f>SUM(G2100:J2100)</f>
        <v>0</v>
      </c>
      <c r="L2100" s="11">
        <f t="shared" si="1745"/>
        <v>2</v>
      </c>
      <c r="M2100" s="99">
        <v>45835</v>
      </c>
      <c r="N2100" s="12" t="s">
        <v>1778</v>
      </c>
      <c r="O2100" s="26"/>
      <c r="P2100" s="47"/>
      <c r="Q2100" s="27"/>
      <c r="R2100" s="34"/>
      <c r="S2100" s="35">
        <f t="shared" ref="S2100:S2106" si="1752">SUM(O2100:R2100)</f>
        <v>0</v>
      </c>
      <c r="T2100" s="26">
        <v>5</v>
      </c>
      <c r="U2100" s="47"/>
      <c r="V2100" s="27"/>
      <c r="W2100" s="34"/>
      <c r="X2100" s="35">
        <f t="shared" ref="X2100:X2106" si="1753">SUM(T2100:W2100)</f>
        <v>5</v>
      </c>
      <c r="Y2100" s="11">
        <f t="shared" si="1748"/>
        <v>5</v>
      </c>
      <c r="Z2100" s="99">
        <v>45853</v>
      </c>
    </row>
    <row r="2101" spans="1:27" x14ac:dyDescent="0.15">
      <c r="A2101" s="32" t="s">
        <v>41</v>
      </c>
      <c r="B2101" s="26"/>
      <c r="C2101" s="47"/>
      <c r="D2101" s="27">
        <v>1</v>
      </c>
      <c r="E2101" s="34"/>
      <c r="F2101" s="35">
        <f>SUM(B2101:E2101)</f>
        <v>1</v>
      </c>
      <c r="G2101" s="26"/>
      <c r="H2101" s="47"/>
      <c r="I2101" s="27"/>
      <c r="J2101" s="34"/>
      <c r="K2101" s="35">
        <f>SUM(G2101:J2101)</f>
        <v>0</v>
      </c>
      <c r="L2101" s="11">
        <f t="shared" si="1745"/>
        <v>1</v>
      </c>
      <c r="M2101" s="99">
        <v>45833</v>
      </c>
      <c r="N2101" s="12" t="s">
        <v>34</v>
      </c>
      <c r="O2101" s="26">
        <v>5</v>
      </c>
      <c r="P2101" s="47"/>
      <c r="Q2101" s="27">
        <v>3</v>
      </c>
      <c r="R2101" s="34"/>
      <c r="S2101" s="35">
        <f t="shared" si="1752"/>
        <v>8</v>
      </c>
      <c r="T2101" s="26"/>
      <c r="U2101" s="47">
        <v>3</v>
      </c>
      <c r="V2101" s="27"/>
      <c r="W2101" s="34"/>
      <c r="X2101" s="35">
        <f t="shared" si="1753"/>
        <v>3</v>
      </c>
      <c r="Y2101" s="11">
        <f t="shared" si="1748"/>
        <v>11</v>
      </c>
      <c r="Z2101" s="99">
        <v>45852</v>
      </c>
    </row>
    <row r="2102" spans="1:27" x14ac:dyDescent="0.15">
      <c r="A2102" s="32" t="s">
        <v>1736</v>
      </c>
      <c r="B2102" s="26"/>
      <c r="C2102" s="47">
        <v>4</v>
      </c>
      <c r="D2102" s="27"/>
      <c r="E2102" s="34"/>
      <c r="F2102" s="35">
        <f t="shared" ref="F2102:F2124" si="1754">SUM(B2102:E2102)</f>
        <v>4</v>
      </c>
      <c r="G2102" s="26"/>
      <c r="H2102" s="47"/>
      <c r="I2102" s="27"/>
      <c r="J2102" s="34"/>
      <c r="K2102" s="35">
        <f t="shared" ref="K2102:K2124" si="1755">SUM(G2102:J2102)</f>
        <v>0</v>
      </c>
      <c r="L2102" s="11">
        <f t="shared" si="1745"/>
        <v>4</v>
      </c>
      <c r="M2102" s="99">
        <v>45835</v>
      </c>
      <c r="N2102" s="32" t="s">
        <v>1756</v>
      </c>
      <c r="O2102" s="26">
        <v>6</v>
      </c>
      <c r="P2102" s="47">
        <v>4</v>
      </c>
      <c r="Q2102" s="27"/>
      <c r="R2102" s="34"/>
      <c r="S2102" s="35">
        <f t="shared" si="1752"/>
        <v>10</v>
      </c>
      <c r="T2102" s="26"/>
      <c r="U2102" s="47"/>
      <c r="V2102" s="27"/>
      <c r="W2102" s="34"/>
      <c r="X2102" s="35">
        <f t="shared" si="1753"/>
        <v>0</v>
      </c>
      <c r="Y2102" s="11">
        <f t="shared" si="1748"/>
        <v>10</v>
      </c>
      <c r="Z2102" s="99">
        <v>45855</v>
      </c>
    </row>
    <row r="2103" spans="1:27" x14ac:dyDescent="0.15">
      <c r="A2103" s="32" t="s">
        <v>1738</v>
      </c>
      <c r="B2103" s="66">
        <v>-1</v>
      </c>
      <c r="C2103" s="67"/>
      <c r="D2103" s="68">
        <v>-1</v>
      </c>
      <c r="E2103" s="69"/>
      <c r="F2103" s="70">
        <f t="shared" si="1754"/>
        <v>-2</v>
      </c>
      <c r="G2103" s="66"/>
      <c r="H2103" s="67"/>
      <c r="I2103" s="68"/>
      <c r="J2103" s="69"/>
      <c r="K2103" s="70">
        <f t="shared" si="1755"/>
        <v>0</v>
      </c>
      <c r="L2103" s="11">
        <f t="shared" si="1745"/>
        <v>-2</v>
      </c>
      <c r="M2103" s="99">
        <v>45832</v>
      </c>
      <c r="N2103" s="32" t="s">
        <v>1757</v>
      </c>
      <c r="O2103" s="26">
        <v>4</v>
      </c>
      <c r="P2103" s="47"/>
      <c r="Q2103" s="27">
        <v>5</v>
      </c>
      <c r="R2103" s="34">
        <v>2</v>
      </c>
      <c r="S2103" s="35">
        <f t="shared" si="1752"/>
        <v>11</v>
      </c>
      <c r="T2103" s="26">
        <v>1</v>
      </c>
      <c r="U2103" s="47">
        <v>1</v>
      </c>
      <c r="V2103" s="27">
        <v>1</v>
      </c>
      <c r="W2103" s="34">
        <v>1</v>
      </c>
      <c r="X2103" s="35">
        <f t="shared" si="1753"/>
        <v>4</v>
      </c>
      <c r="Y2103" s="11">
        <f t="shared" si="1748"/>
        <v>15</v>
      </c>
      <c r="Z2103" s="99">
        <v>45856</v>
      </c>
    </row>
    <row r="2104" spans="1:27" x14ac:dyDescent="0.15">
      <c r="A2104" s="32" t="s">
        <v>1739</v>
      </c>
      <c r="B2104" s="26"/>
      <c r="C2104" s="47">
        <v>1</v>
      </c>
      <c r="D2104" s="27"/>
      <c r="E2104" s="34"/>
      <c r="F2104" s="35">
        <f t="shared" si="1754"/>
        <v>1</v>
      </c>
      <c r="G2104" s="26"/>
      <c r="H2104" s="47"/>
      <c r="I2104" s="27"/>
      <c r="J2104" s="34"/>
      <c r="K2104" s="35">
        <f t="shared" si="1755"/>
        <v>0</v>
      </c>
      <c r="L2104" s="11">
        <f t="shared" si="1745"/>
        <v>1</v>
      </c>
      <c r="M2104" s="99">
        <v>45838</v>
      </c>
      <c r="N2104" s="12" t="s">
        <v>34</v>
      </c>
      <c r="O2104" s="26"/>
      <c r="P2104" s="47"/>
      <c r="Q2104" s="27"/>
      <c r="R2104" s="34"/>
      <c r="S2104" s="35">
        <f t="shared" si="1752"/>
        <v>0</v>
      </c>
      <c r="T2104" s="26">
        <v>3</v>
      </c>
      <c r="U2104" s="47">
        <v>3</v>
      </c>
      <c r="V2104" s="27">
        <v>3</v>
      </c>
      <c r="W2104" s="34"/>
      <c r="X2104" s="35">
        <f t="shared" si="1753"/>
        <v>9</v>
      </c>
      <c r="Y2104" s="11">
        <f t="shared" si="1748"/>
        <v>9</v>
      </c>
      <c r="Z2104" s="99">
        <v>45855</v>
      </c>
    </row>
    <row r="2105" spans="1:27" x14ac:dyDescent="0.15">
      <c r="A2105" s="32" t="s">
        <v>41</v>
      </c>
      <c r="B2105" s="26"/>
      <c r="C2105" s="47"/>
      <c r="D2105" s="27">
        <v>1</v>
      </c>
      <c r="E2105" s="34"/>
      <c r="F2105" s="35">
        <f t="shared" si="1754"/>
        <v>1</v>
      </c>
      <c r="G2105" s="26"/>
      <c r="H2105" s="47"/>
      <c r="I2105" s="27">
        <v>1</v>
      </c>
      <c r="J2105" s="34"/>
      <c r="K2105" s="35">
        <f t="shared" si="1755"/>
        <v>1</v>
      </c>
      <c r="L2105" s="11">
        <f t="shared" si="1745"/>
        <v>2</v>
      </c>
      <c r="M2105" s="99">
        <v>45835</v>
      </c>
      <c r="N2105" s="32" t="s">
        <v>1758</v>
      </c>
      <c r="O2105" s="26"/>
      <c r="P2105" s="47"/>
      <c r="Q2105" s="27">
        <v>1</v>
      </c>
      <c r="R2105" s="34">
        <v>4</v>
      </c>
      <c r="S2105" s="35">
        <f t="shared" si="1752"/>
        <v>5</v>
      </c>
      <c r="T2105" s="26"/>
      <c r="U2105" s="47">
        <v>3</v>
      </c>
      <c r="V2105" s="27"/>
      <c r="W2105" s="34"/>
      <c r="X2105" s="35">
        <f t="shared" si="1753"/>
        <v>3</v>
      </c>
      <c r="Y2105" s="11">
        <f t="shared" si="1748"/>
        <v>8</v>
      </c>
      <c r="Z2105" s="99">
        <v>45856</v>
      </c>
    </row>
    <row r="2106" spans="1:27" x14ac:dyDescent="0.15">
      <c r="A2106" s="32" t="s">
        <v>1740</v>
      </c>
      <c r="B2106" s="26"/>
      <c r="C2106" s="47">
        <v>1</v>
      </c>
      <c r="D2106" s="27"/>
      <c r="E2106" s="34"/>
      <c r="F2106" s="35">
        <f t="shared" si="1754"/>
        <v>1</v>
      </c>
      <c r="G2106" s="26"/>
      <c r="H2106" s="47"/>
      <c r="I2106" s="27"/>
      <c r="J2106" s="34"/>
      <c r="K2106" s="35">
        <f t="shared" si="1755"/>
        <v>0</v>
      </c>
      <c r="L2106" s="11">
        <f t="shared" si="1745"/>
        <v>1</v>
      </c>
      <c r="M2106" s="99">
        <v>45840</v>
      </c>
      <c r="N2106" s="12" t="s">
        <v>1777</v>
      </c>
      <c r="O2106" s="26"/>
      <c r="P2106" s="47"/>
      <c r="Q2106" s="27">
        <v>5</v>
      </c>
      <c r="R2106" s="34">
        <v>5</v>
      </c>
      <c r="S2106" s="35">
        <f t="shared" si="1752"/>
        <v>10</v>
      </c>
      <c r="T2106" s="26">
        <v>10</v>
      </c>
      <c r="U2106" s="47"/>
      <c r="V2106" s="27"/>
      <c r="W2106" s="34"/>
      <c r="X2106" s="35">
        <f t="shared" si="1753"/>
        <v>10</v>
      </c>
      <c r="Y2106" s="11">
        <f t="shared" si="1748"/>
        <v>20</v>
      </c>
      <c r="Z2106" s="99">
        <v>45863</v>
      </c>
      <c r="AA2106" s="58"/>
    </row>
    <row r="2107" spans="1:27" x14ac:dyDescent="0.15">
      <c r="A2107" s="32" t="s">
        <v>41</v>
      </c>
      <c r="B2107" s="26"/>
      <c r="C2107" s="47"/>
      <c r="D2107" s="27"/>
      <c r="E2107" s="34"/>
      <c r="F2107" s="35">
        <f t="shared" si="1754"/>
        <v>0</v>
      </c>
      <c r="G2107" s="26"/>
      <c r="H2107" s="47"/>
      <c r="I2107" s="27"/>
      <c r="J2107" s="34">
        <v>1</v>
      </c>
      <c r="K2107" s="35">
        <f t="shared" si="1755"/>
        <v>1</v>
      </c>
      <c r="L2107" s="11">
        <f t="shared" si="1745"/>
        <v>1</v>
      </c>
      <c r="M2107" s="99">
        <v>45838</v>
      </c>
      <c r="N2107" s="12" t="s">
        <v>1762</v>
      </c>
      <c r="O2107" s="26"/>
      <c r="P2107" s="47">
        <v>1</v>
      </c>
      <c r="Q2107" s="27">
        <v>1</v>
      </c>
      <c r="R2107" s="50"/>
      <c r="S2107" s="9">
        <f>SUM(O2107:R2107)</f>
        <v>2</v>
      </c>
      <c r="T2107" s="47"/>
      <c r="U2107" s="47">
        <v>1</v>
      </c>
      <c r="V2107" s="27">
        <v>1</v>
      </c>
      <c r="W2107" s="50"/>
      <c r="X2107" s="9">
        <f>SUM(T2107:W2107)</f>
        <v>2</v>
      </c>
      <c r="Y2107" s="11">
        <f t="shared" si="1748"/>
        <v>4</v>
      </c>
      <c r="Z2107" s="99">
        <v>45860</v>
      </c>
      <c r="AA2107" s="58"/>
    </row>
    <row r="2108" spans="1:27" x14ac:dyDescent="0.15">
      <c r="A2108" s="32" t="s">
        <v>1744</v>
      </c>
      <c r="B2108" s="26">
        <v>2</v>
      </c>
      <c r="C2108" s="47"/>
      <c r="D2108" s="27">
        <v>1</v>
      </c>
      <c r="E2108" s="34"/>
      <c r="F2108" s="35">
        <f t="shared" si="1754"/>
        <v>3</v>
      </c>
      <c r="G2108" s="26"/>
      <c r="H2108" s="47">
        <v>1</v>
      </c>
      <c r="I2108" s="27"/>
      <c r="J2108" s="34"/>
      <c r="K2108" s="35">
        <f t="shared" si="1755"/>
        <v>1</v>
      </c>
      <c r="L2108" s="11">
        <f t="shared" si="1745"/>
        <v>4</v>
      </c>
      <c r="M2108" s="99">
        <v>45841</v>
      </c>
      <c r="N2108" s="12" t="s">
        <v>1763</v>
      </c>
      <c r="O2108" s="26">
        <v>10</v>
      </c>
      <c r="P2108" s="47">
        <v>12</v>
      </c>
      <c r="Q2108" s="27">
        <v>4</v>
      </c>
      <c r="R2108" s="34">
        <v>2</v>
      </c>
      <c r="S2108" s="35">
        <f t="shared" ref="S2108:S2125" si="1756">SUM(O2108:R2108)</f>
        <v>28</v>
      </c>
      <c r="T2108" s="26">
        <v>2</v>
      </c>
      <c r="U2108" s="47"/>
      <c r="V2108" s="27"/>
      <c r="W2108" s="34"/>
      <c r="X2108" s="35">
        <f t="shared" ref="X2108:X2125" si="1757">SUM(T2108:W2108)</f>
        <v>2</v>
      </c>
      <c r="Y2108" s="11">
        <f t="shared" si="1748"/>
        <v>30</v>
      </c>
      <c r="Z2108" s="99">
        <v>45860</v>
      </c>
      <c r="AA2108" s="58"/>
    </row>
    <row r="2109" spans="1:27" x14ac:dyDescent="0.15">
      <c r="A2109" s="32" t="s">
        <v>41</v>
      </c>
      <c r="B2109" s="26">
        <v>2</v>
      </c>
      <c r="C2109" s="47"/>
      <c r="D2109" s="27"/>
      <c r="E2109" s="34"/>
      <c r="F2109" s="35">
        <f t="shared" si="1754"/>
        <v>2</v>
      </c>
      <c r="G2109" s="26"/>
      <c r="H2109" s="47"/>
      <c r="I2109" s="27"/>
      <c r="J2109" s="34"/>
      <c r="K2109" s="35">
        <f t="shared" si="1755"/>
        <v>0</v>
      </c>
      <c r="L2109" s="11">
        <f t="shared" si="1745"/>
        <v>2</v>
      </c>
      <c r="M2109" s="99">
        <v>45839</v>
      </c>
      <c r="N2109" s="32" t="s">
        <v>1766</v>
      </c>
      <c r="O2109" s="26"/>
      <c r="P2109" s="47">
        <v>5</v>
      </c>
      <c r="Q2109" s="27">
        <v>2</v>
      </c>
      <c r="R2109" s="34"/>
      <c r="S2109" s="35">
        <f t="shared" si="1756"/>
        <v>7</v>
      </c>
      <c r="T2109" s="26"/>
      <c r="U2109" s="47"/>
      <c r="V2109" s="27"/>
      <c r="W2109" s="34">
        <v>7</v>
      </c>
      <c r="X2109" s="35">
        <f t="shared" si="1757"/>
        <v>7</v>
      </c>
      <c r="Y2109" s="11">
        <f t="shared" si="1748"/>
        <v>14</v>
      </c>
      <c r="Z2109" s="99">
        <v>45862</v>
      </c>
      <c r="AA2109" s="58"/>
    </row>
    <row r="2110" spans="1:27" x14ac:dyDescent="0.15">
      <c r="A2110" s="32" t="s">
        <v>1745</v>
      </c>
      <c r="B2110" s="26"/>
      <c r="C2110" s="47">
        <v>1</v>
      </c>
      <c r="D2110" s="27"/>
      <c r="E2110" s="34"/>
      <c r="F2110" s="35">
        <f t="shared" si="1754"/>
        <v>1</v>
      </c>
      <c r="G2110" s="26"/>
      <c r="H2110" s="47"/>
      <c r="I2110" s="27"/>
      <c r="J2110" s="34"/>
      <c r="K2110" s="35">
        <f t="shared" si="1755"/>
        <v>0</v>
      </c>
      <c r="L2110" s="11">
        <f t="shared" si="1745"/>
        <v>1</v>
      </c>
      <c r="M2110" s="99">
        <v>45842</v>
      </c>
      <c r="N2110" s="12" t="s">
        <v>34</v>
      </c>
      <c r="O2110" s="26"/>
      <c r="P2110" s="47"/>
      <c r="Q2110" s="27">
        <v>3</v>
      </c>
      <c r="R2110" s="34">
        <v>3</v>
      </c>
      <c r="S2110" s="35">
        <f t="shared" si="1756"/>
        <v>6</v>
      </c>
      <c r="T2110" s="26">
        <v>3</v>
      </c>
      <c r="U2110" s="47"/>
      <c r="V2110" s="27"/>
      <c r="W2110" s="34"/>
      <c r="X2110" s="35">
        <f t="shared" si="1757"/>
        <v>3</v>
      </c>
      <c r="Y2110" s="11">
        <f t="shared" si="1748"/>
        <v>9</v>
      </c>
      <c r="Z2110" s="99">
        <v>45861</v>
      </c>
      <c r="AA2110" s="58"/>
    </row>
    <row r="2111" spans="1:27" x14ac:dyDescent="0.15">
      <c r="A2111" s="13" t="s">
        <v>1746</v>
      </c>
      <c r="B2111" s="26"/>
      <c r="C2111" s="47"/>
      <c r="D2111" s="27"/>
      <c r="E2111" s="34">
        <v>2</v>
      </c>
      <c r="F2111" s="35">
        <f t="shared" si="1754"/>
        <v>2</v>
      </c>
      <c r="G2111" s="26"/>
      <c r="H2111" s="47"/>
      <c r="I2111" s="27"/>
      <c r="J2111" s="34">
        <v>-2</v>
      </c>
      <c r="K2111" s="35">
        <f t="shared" si="1755"/>
        <v>-2</v>
      </c>
      <c r="L2111" s="11">
        <f t="shared" si="1745"/>
        <v>0</v>
      </c>
      <c r="M2111" s="99">
        <v>45840</v>
      </c>
      <c r="N2111" s="32" t="s">
        <v>1769</v>
      </c>
      <c r="O2111" s="26"/>
      <c r="P2111" s="47">
        <v>2</v>
      </c>
      <c r="Q2111" s="27"/>
      <c r="R2111" s="34"/>
      <c r="S2111" s="35">
        <f t="shared" ref="S2111" si="1758">SUM(O2111:R2111)</f>
        <v>2</v>
      </c>
      <c r="T2111" s="26">
        <v>2</v>
      </c>
      <c r="U2111" s="47"/>
      <c r="V2111" s="27">
        <v>2</v>
      </c>
      <c r="W2111" s="34"/>
      <c r="X2111" s="35">
        <f t="shared" ref="X2111" si="1759">SUM(T2111:W2111)</f>
        <v>4</v>
      </c>
      <c r="Y2111" s="11">
        <f t="shared" ref="Y2111:Y2112" si="1760">S2111+X2111</f>
        <v>6</v>
      </c>
      <c r="Z2111" s="99">
        <v>45863</v>
      </c>
      <c r="AA2111" s="58"/>
    </row>
    <row r="2112" spans="1:27" x14ac:dyDescent="0.15">
      <c r="A2112" s="286" t="s">
        <v>1747</v>
      </c>
      <c r="B2112" s="26"/>
      <c r="C2112" s="47">
        <v>-1</v>
      </c>
      <c r="D2112" s="27"/>
      <c r="E2112" s="34">
        <f>-1+1</f>
        <v>0</v>
      </c>
      <c r="F2112" s="35">
        <f t="shared" si="1754"/>
        <v>-1</v>
      </c>
      <c r="G2112" s="26"/>
      <c r="H2112" s="47"/>
      <c r="I2112" s="27">
        <v>-1</v>
      </c>
      <c r="J2112" s="34"/>
      <c r="K2112" s="35">
        <f t="shared" si="1755"/>
        <v>-1</v>
      </c>
      <c r="L2112" s="11">
        <f t="shared" si="1745"/>
        <v>-2</v>
      </c>
      <c r="M2112" s="99">
        <v>45843</v>
      </c>
      <c r="N2112" s="12" t="s">
        <v>34</v>
      </c>
      <c r="O2112" s="26">
        <v>3</v>
      </c>
      <c r="P2112" s="47"/>
      <c r="Q2112" s="27"/>
      <c r="R2112" s="34">
        <v>3</v>
      </c>
      <c r="S2112" s="35">
        <f>SUM(O2112:R2112)</f>
        <v>6</v>
      </c>
      <c r="T2112" s="26"/>
      <c r="U2112" s="47">
        <v>3</v>
      </c>
      <c r="V2112" s="27"/>
      <c r="W2112" s="34"/>
      <c r="X2112" s="35">
        <f>SUM(T2112:W2112)</f>
        <v>3</v>
      </c>
      <c r="Y2112" s="11">
        <f t="shared" si="1760"/>
        <v>9</v>
      </c>
      <c r="Z2112" s="99">
        <v>45866</v>
      </c>
      <c r="AA2112" s="58"/>
    </row>
    <row r="2113" spans="1:27" x14ac:dyDescent="0.15">
      <c r="A2113" s="32" t="s">
        <v>1748</v>
      </c>
      <c r="B2113" s="26"/>
      <c r="C2113" s="47"/>
      <c r="D2113" s="27">
        <v>1</v>
      </c>
      <c r="E2113" s="34"/>
      <c r="F2113" s="35">
        <f t="shared" si="1754"/>
        <v>1</v>
      </c>
      <c r="G2113" s="26"/>
      <c r="H2113" s="47"/>
      <c r="I2113" s="27"/>
      <c r="J2113" s="34"/>
      <c r="K2113" s="35">
        <f t="shared" si="1755"/>
        <v>0</v>
      </c>
      <c r="L2113" s="11">
        <f t="shared" si="1745"/>
        <v>1</v>
      </c>
      <c r="M2113" s="99">
        <v>45847</v>
      </c>
      <c r="N2113" s="12"/>
      <c r="O2113" s="26"/>
      <c r="P2113" s="47"/>
      <c r="Q2113" s="27"/>
      <c r="R2113" s="34"/>
      <c r="S2113" s="35">
        <f t="shared" si="1756"/>
        <v>0</v>
      </c>
      <c r="T2113" s="26"/>
      <c r="U2113" s="47"/>
      <c r="V2113" s="27"/>
      <c r="W2113" s="34"/>
      <c r="X2113" s="35">
        <f t="shared" si="1757"/>
        <v>0</v>
      </c>
      <c r="Y2113" s="11">
        <f t="shared" si="1748"/>
        <v>0</v>
      </c>
      <c r="Z2113" s="101"/>
      <c r="AA2113" s="58"/>
    </row>
    <row r="2114" spans="1:27" x14ac:dyDescent="0.15">
      <c r="A2114" s="32" t="s">
        <v>41</v>
      </c>
      <c r="B2114" s="26">
        <v>1</v>
      </c>
      <c r="C2114" s="47">
        <v>1</v>
      </c>
      <c r="D2114" s="27"/>
      <c r="E2114" s="34"/>
      <c r="F2114" s="35">
        <f t="shared" si="1754"/>
        <v>2</v>
      </c>
      <c r="G2114" s="26"/>
      <c r="H2114" s="47"/>
      <c r="I2114" s="27">
        <v>1</v>
      </c>
      <c r="J2114" s="34"/>
      <c r="K2114" s="35">
        <f t="shared" si="1755"/>
        <v>1</v>
      </c>
      <c r="L2114" s="11">
        <f t="shared" si="1745"/>
        <v>3</v>
      </c>
      <c r="M2114" s="126">
        <v>45845</v>
      </c>
      <c r="N2114" s="57"/>
      <c r="O2114" s="26"/>
      <c r="P2114" s="47"/>
      <c r="Q2114" s="27"/>
      <c r="R2114" s="34"/>
      <c r="S2114" s="35">
        <f t="shared" si="1756"/>
        <v>0</v>
      </c>
      <c r="T2114" s="26"/>
      <c r="U2114" s="47"/>
      <c r="V2114" s="27"/>
      <c r="W2114" s="34"/>
      <c r="X2114" s="35">
        <f t="shared" si="1757"/>
        <v>0</v>
      </c>
      <c r="Y2114" s="11">
        <f t="shared" si="1748"/>
        <v>0</v>
      </c>
      <c r="Z2114" s="101"/>
      <c r="AA2114" s="58"/>
    </row>
    <row r="2115" spans="1:27" x14ac:dyDescent="0.15">
      <c r="A2115" s="32" t="s">
        <v>41</v>
      </c>
      <c r="B2115" s="26"/>
      <c r="C2115" s="47"/>
      <c r="D2115" s="27">
        <v>1</v>
      </c>
      <c r="E2115" s="34"/>
      <c r="F2115" s="35">
        <f t="shared" si="1754"/>
        <v>1</v>
      </c>
      <c r="G2115" s="26"/>
      <c r="H2115" s="47"/>
      <c r="I2115" s="27">
        <v>1</v>
      </c>
      <c r="J2115" s="34"/>
      <c r="K2115" s="35">
        <f t="shared" si="1755"/>
        <v>1</v>
      </c>
      <c r="L2115" s="11">
        <f t="shared" si="1745"/>
        <v>2</v>
      </c>
      <c r="M2115" s="126">
        <v>45847</v>
      </c>
      <c r="N2115" s="12"/>
      <c r="O2115" s="26"/>
      <c r="P2115" s="47"/>
      <c r="Q2115" s="27"/>
      <c r="R2115" s="34"/>
      <c r="S2115" s="35">
        <f t="shared" si="1756"/>
        <v>0</v>
      </c>
      <c r="T2115" s="26"/>
      <c r="U2115" s="47"/>
      <c r="V2115" s="27"/>
      <c r="W2115" s="34"/>
      <c r="X2115" s="35">
        <f t="shared" si="1757"/>
        <v>0</v>
      </c>
      <c r="Y2115" s="11">
        <f t="shared" si="1748"/>
        <v>0</v>
      </c>
    </row>
    <row r="2116" spans="1:27" x14ac:dyDescent="0.15">
      <c r="A2116" s="32" t="s">
        <v>1752</v>
      </c>
      <c r="B2116" s="26">
        <v>2</v>
      </c>
      <c r="C2116" s="47"/>
      <c r="D2116" s="27">
        <v>1</v>
      </c>
      <c r="E2116" s="34"/>
      <c r="F2116" s="35">
        <f t="shared" si="1754"/>
        <v>3</v>
      </c>
      <c r="G2116" s="26"/>
      <c r="H2116" s="47"/>
      <c r="I2116" s="27"/>
      <c r="J2116" s="34">
        <v>1</v>
      </c>
      <c r="K2116" s="35">
        <f t="shared" si="1755"/>
        <v>1</v>
      </c>
      <c r="L2116" s="11">
        <f t="shared" si="1745"/>
        <v>4</v>
      </c>
      <c r="M2116" s="99">
        <v>45849</v>
      </c>
      <c r="N2116" s="57"/>
      <c r="O2116" s="26"/>
      <c r="P2116" s="47"/>
      <c r="Q2116" s="27"/>
      <c r="R2116" s="34"/>
      <c r="S2116" s="35">
        <f t="shared" si="1756"/>
        <v>0</v>
      </c>
      <c r="T2116" s="26"/>
      <c r="U2116" s="47"/>
      <c r="V2116" s="27"/>
      <c r="W2116" s="34"/>
      <c r="X2116" s="35">
        <f t="shared" si="1757"/>
        <v>0</v>
      </c>
      <c r="Y2116" s="11">
        <f t="shared" si="1748"/>
        <v>0</v>
      </c>
    </row>
    <row r="2117" spans="1:27" x14ac:dyDescent="0.15">
      <c r="A2117" s="32" t="s">
        <v>41</v>
      </c>
      <c r="B2117" s="26"/>
      <c r="C2117" s="47"/>
      <c r="D2117" s="27"/>
      <c r="E2117" s="34"/>
      <c r="F2117" s="35">
        <f t="shared" si="1754"/>
        <v>0</v>
      </c>
      <c r="G2117" s="26"/>
      <c r="H2117" s="47">
        <v>1</v>
      </c>
      <c r="I2117" s="27"/>
      <c r="J2117" s="34"/>
      <c r="K2117" s="35">
        <f t="shared" si="1755"/>
        <v>1</v>
      </c>
      <c r="L2117" s="11">
        <f t="shared" si="1745"/>
        <v>1</v>
      </c>
      <c r="M2117" s="99">
        <v>45848</v>
      </c>
      <c r="N2117" s="57"/>
      <c r="O2117" s="26"/>
      <c r="P2117" s="47"/>
      <c r="Q2117" s="27"/>
      <c r="R2117" s="34"/>
      <c r="S2117" s="35">
        <f t="shared" ref="S2117:S2119" si="1761">SUM(O2117:R2117)</f>
        <v>0</v>
      </c>
      <c r="T2117" s="26"/>
      <c r="U2117" s="47"/>
      <c r="V2117" s="27"/>
      <c r="W2117" s="34"/>
      <c r="X2117" s="35">
        <f t="shared" ref="X2117:X2119" si="1762">SUM(T2117:W2117)</f>
        <v>0</v>
      </c>
      <c r="Y2117" s="11">
        <f t="shared" ref="Y2117:Y2119" si="1763">S2117+X2117</f>
        <v>0</v>
      </c>
    </row>
    <row r="2118" spans="1:27" x14ac:dyDescent="0.15">
      <c r="A2118" s="32" t="s">
        <v>1753</v>
      </c>
      <c r="B2118" s="26"/>
      <c r="C2118" s="47">
        <v>1</v>
      </c>
      <c r="D2118" s="27"/>
      <c r="E2118" s="34"/>
      <c r="F2118" s="35">
        <f t="shared" si="1754"/>
        <v>1</v>
      </c>
      <c r="G2118" s="26">
        <v>1</v>
      </c>
      <c r="H2118" s="47">
        <v>1</v>
      </c>
      <c r="I2118" s="27"/>
      <c r="J2118" s="34"/>
      <c r="K2118" s="35">
        <f t="shared" si="1755"/>
        <v>2</v>
      </c>
      <c r="L2118" s="11">
        <f t="shared" si="1745"/>
        <v>3</v>
      </c>
      <c r="M2118" s="99">
        <v>45852</v>
      </c>
      <c r="N2118" s="57"/>
      <c r="O2118" s="26"/>
      <c r="P2118" s="47"/>
      <c r="Q2118" s="27"/>
      <c r="R2118" s="34"/>
      <c r="S2118" s="35">
        <f t="shared" si="1761"/>
        <v>0</v>
      </c>
      <c r="T2118" s="26"/>
      <c r="U2118" s="47"/>
      <c r="V2118" s="27"/>
      <c r="W2118" s="34"/>
      <c r="X2118" s="35">
        <f t="shared" si="1762"/>
        <v>0</v>
      </c>
      <c r="Y2118" s="11">
        <f t="shared" si="1763"/>
        <v>0</v>
      </c>
    </row>
    <row r="2119" spans="1:27" x14ac:dyDescent="0.15">
      <c r="A2119" s="32" t="s">
        <v>41</v>
      </c>
      <c r="B2119" s="26">
        <v>1</v>
      </c>
      <c r="C2119" s="47"/>
      <c r="D2119" s="27"/>
      <c r="E2119" s="34"/>
      <c r="F2119" s="35">
        <f t="shared" si="1754"/>
        <v>1</v>
      </c>
      <c r="G2119" s="26"/>
      <c r="H2119" s="47"/>
      <c r="I2119" s="27"/>
      <c r="J2119" s="34"/>
      <c r="K2119" s="35">
        <f t="shared" si="1755"/>
        <v>0</v>
      </c>
      <c r="L2119" s="11">
        <f t="shared" si="1745"/>
        <v>1</v>
      </c>
      <c r="M2119" s="99">
        <v>45849</v>
      </c>
      <c r="N2119" s="57"/>
      <c r="O2119" s="26"/>
      <c r="P2119" s="47"/>
      <c r="Q2119" s="27"/>
      <c r="R2119" s="34"/>
      <c r="S2119" s="35">
        <f t="shared" si="1761"/>
        <v>0</v>
      </c>
      <c r="T2119" s="26"/>
      <c r="U2119" s="47"/>
      <c r="V2119" s="27"/>
      <c r="W2119" s="34"/>
      <c r="X2119" s="35">
        <f t="shared" si="1762"/>
        <v>0</v>
      </c>
      <c r="Y2119" s="11">
        <f t="shared" si="1763"/>
        <v>0</v>
      </c>
    </row>
    <row r="2120" spans="1:27" x14ac:dyDescent="0.15">
      <c r="A2120" s="32" t="s">
        <v>1754</v>
      </c>
      <c r="B2120" s="26">
        <v>-5</v>
      </c>
      <c r="C2120" s="47"/>
      <c r="D2120" s="27">
        <v>-3</v>
      </c>
      <c r="E2120" s="34"/>
      <c r="F2120" s="35">
        <f t="shared" si="1754"/>
        <v>-8</v>
      </c>
      <c r="G2120" s="26"/>
      <c r="H2120" s="47">
        <v>-3</v>
      </c>
      <c r="I2120" s="27"/>
      <c r="J2120" s="34"/>
      <c r="K2120" s="35">
        <f t="shared" si="1755"/>
        <v>-3</v>
      </c>
      <c r="L2120" s="11">
        <f t="shared" si="1745"/>
        <v>-11</v>
      </c>
      <c r="M2120" s="99">
        <v>45852</v>
      </c>
      <c r="N2120" s="57"/>
      <c r="O2120" s="26"/>
      <c r="P2120" s="47"/>
      <c r="Q2120" s="27"/>
      <c r="R2120" s="34"/>
      <c r="S2120" s="35">
        <f t="shared" ref="S2120:S2124" si="1764">SUM(O2120:R2120)</f>
        <v>0</v>
      </c>
      <c r="T2120" s="26"/>
      <c r="U2120" s="47"/>
      <c r="V2120" s="27"/>
      <c r="W2120" s="34"/>
      <c r="X2120" s="35">
        <f t="shared" ref="X2120:X2124" si="1765">SUM(T2120:W2120)</f>
        <v>0</v>
      </c>
      <c r="Y2120" s="11">
        <f t="shared" ref="Y2120:Y2124" si="1766">S2120+X2120</f>
        <v>0</v>
      </c>
    </row>
    <row r="2121" spans="1:27" x14ac:dyDescent="0.15">
      <c r="A2121" s="32" t="s">
        <v>1755</v>
      </c>
      <c r="B2121" s="26"/>
      <c r="C2121" s="47">
        <v>1</v>
      </c>
      <c r="D2121" s="27">
        <v>1</v>
      </c>
      <c r="E2121" s="34"/>
      <c r="F2121" s="35">
        <f t="shared" si="1754"/>
        <v>2</v>
      </c>
      <c r="G2121" s="26"/>
      <c r="H2121" s="47"/>
      <c r="I2121" s="27">
        <v>1</v>
      </c>
      <c r="J2121" s="34"/>
      <c r="K2121" s="35">
        <f t="shared" si="1755"/>
        <v>1</v>
      </c>
      <c r="L2121" s="11">
        <f t="shared" si="1745"/>
        <v>3</v>
      </c>
      <c r="M2121" s="99">
        <v>45854</v>
      </c>
      <c r="N2121" s="57"/>
      <c r="O2121" s="26"/>
      <c r="P2121" s="47"/>
      <c r="Q2121" s="27"/>
      <c r="R2121" s="34"/>
      <c r="S2121" s="35">
        <f t="shared" si="1764"/>
        <v>0</v>
      </c>
      <c r="T2121" s="26"/>
      <c r="U2121" s="47"/>
      <c r="V2121" s="27"/>
      <c r="W2121" s="34"/>
      <c r="X2121" s="35">
        <f t="shared" si="1765"/>
        <v>0</v>
      </c>
      <c r="Y2121" s="11">
        <f t="shared" si="1766"/>
        <v>0</v>
      </c>
    </row>
    <row r="2122" spans="1:27" x14ac:dyDescent="0.15">
      <c r="A2122" s="32" t="s">
        <v>41</v>
      </c>
      <c r="B2122" s="26">
        <v>1</v>
      </c>
      <c r="C2122" s="47">
        <v>1</v>
      </c>
      <c r="D2122" s="27"/>
      <c r="E2122" s="34"/>
      <c r="F2122" s="35">
        <f t="shared" si="1754"/>
        <v>2</v>
      </c>
      <c r="G2122" s="26">
        <v>1</v>
      </c>
      <c r="H2122" s="47">
        <v>1</v>
      </c>
      <c r="I2122" s="27"/>
      <c r="J2122" s="34"/>
      <c r="K2122" s="35">
        <f t="shared" si="1755"/>
        <v>2</v>
      </c>
      <c r="L2122" s="11">
        <f t="shared" si="1745"/>
        <v>4</v>
      </c>
      <c r="M2122" s="126">
        <v>45852</v>
      </c>
      <c r="N2122" s="57"/>
      <c r="O2122" s="26"/>
      <c r="P2122" s="47"/>
      <c r="Q2122" s="27"/>
      <c r="R2122" s="34"/>
      <c r="S2122" s="35">
        <f t="shared" si="1764"/>
        <v>0</v>
      </c>
      <c r="T2122" s="26"/>
      <c r="U2122" s="47"/>
      <c r="V2122" s="27"/>
      <c r="W2122" s="34"/>
      <c r="X2122" s="35">
        <f t="shared" si="1765"/>
        <v>0</v>
      </c>
      <c r="Y2122" s="11">
        <f t="shared" si="1766"/>
        <v>0</v>
      </c>
    </row>
    <row r="2123" spans="1:27" x14ac:dyDescent="0.15">
      <c r="A2123" s="32" t="s">
        <v>41</v>
      </c>
      <c r="B2123" s="26"/>
      <c r="C2123" s="47"/>
      <c r="D2123" s="27"/>
      <c r="E2123" s="34"/>
      <c r="F2123" s="35">
        <f t="shared" si="1754"/>
        <v>0</v>
      </c>
      <c r="G2123" s="26"/>
      <c r="H2123" s="47">
        <v>1</v>
      </c>
      <c r="I2123" s="27"/>
      <c r="J2123" s="34"/>
      <c r="K2123" s="35">
        <f t="shared" si="1755"/>
        <v>1</v>
      </c>
      <c r="L2123" s="11">
        <f t="shared" si="1745"/>
        <v>1</v>
      </c>
      <c r="M2123" s="126">
        <v>45853</v>
      </c>
      <c r="N2123" s="57" t="s">
        <v>1706</v>
      </c>
      <c r="O2123" s="26"/>
      <c r="P2123" s="47"/>
      <c r="Q2123" s="27"/>
      <c r="R2123" s="34"/>
      <c r="S2123" s="35">
        <f t="shared" si="1764"/>
        <v>0</v>
      </c>
      <c r="T2123" s="26"/>
      <c r="U2123" s="47"/>
      <c r="V2123" s="27"/>
      <c r="W2123" s="34"/>
      <c r="X2123" s="35">
        <f t="shared" si="1765"/>
        <v>0</v>
      </c>
      <c r="Y2123" s="11">
        <f t="shared" si="1766"/>
        <v>0</v>
      </c>
      <c r="Z2123" s="101" t="s">
        <v>1707</v>
      </c>
    </row>
    <row r="2124" spans="1:27" ht="14.25" thickBot="1" x14ac:dyDescent="0.2">
      <c r="A2124" s="32" t="s">
        <v>41</v>
      </c>
      <c r="B2124" s="62"/>
      <c r="C2124" s="63"/>
      <c r="D2124" s="64">
        <v>1</v>
      </c>
      <c r="E2124" s="65"/>
      <c r="F2124" s="35">
        <f t="shared" si="1754"/>
        <v>1</v>
      </c>
      <c r="G2124" s="62">
        <v>1</v>
      </c>
      <c r="H2124" s="63">
        <v>1</v>
      </c>
      <c r="I2124" s="64"/>
      <c r="J2124" s="65"/>
      <c r="K2124" s="35">
        <f t="shared" si="1755"/>
        <v>2</v>
      </c>
      <c r="L2124" s="14">
        <f t="shared" si="1745"/>
        <v>3</v>
      </c>
      <c r="M2124" s="126">
        <v>45854</v>
      </c>
      <c r="N2124" s="135" t="s">
        <v>1741</v>
      </c>
      <c r="O2124" s="62"/>
      <c r="P2124" s="63"/>
      <c r="Q2124" s="64"/>
      <c r="R2124" s="65"/>
      <c r="S2124" s="120">
        <f t="shared" si="1764"/>
        <v>0</v>
      </c>
      <c r="T2124" s="62"/>
      <c r="U2124" s="63"/>
      <c r="V2124" s="64"/>
      <c r="W2124" s="65"/>
      <c r="X2124" s="120">
        <f t="shared" si="1765"/>
        <v>0</v>
      </c>
      <c r="Y2124" s="121">
        <f t="shared" si="1766"/>
        <v>0</v>
      </c>
      <c r="Z2124" s="101" t="s">
        <v>691</v>
      </c>
    </row>
    <row r="2125" spans="1:27" ht="14.25" thickBot="1" x14ac:dyDescent="0.2">
      <c r="A2125" s="17" t="s">
        <v>10</v>
      </c>
      <c r="B2125" s="38">
        <f>SUM(B2100:B2124)</f>
        <v>3</v>
      </c>
      <c r="C2125" s="48">
        <f>SUM(C2100:C2124)</f>
        <v>10</v>
      </c>
      <c r="D2125" s="39">
        <f>SUM(D2100:D2124)</f>
        <v>6</v>
      </c>
      <c r="E2125" s="40">
        <f>SUM(E2100:E2124)</f>
        <v>2</v>
      </c>
      <c r="F2125" s="36">
        <f>SUM(B2125:E2125)</f>
        <v>21</v>
      </c>
      <c r="G2125" s="38">
        <f>SUM(G2100:G2124)</f>
        <v>3</v>
      </c>
      <c r="H2125" s="48">
        <f>SUM(H2100:H2124)</f>
        <v>3</v>
      </c>
      <c r="I2125" s="39">
        <f>SUM(I2100:I2124)</f>
        <v>3</v>
      </c>
      <c r="J2125" s="40">
        <f>SUM(J2100:J2124)</f>
        <v>0</v>
      </c>
      <c r="K2125" s="36">
        <f>SUM(G2125:J2125)</f>
        <v>9</v>
      </c>
      <c r="L2125" s="37">
        <f t="shared" si="1745"/>
        <v>30</v>
      </c>
      <c r="N2125" s="133" t="s">
        <v>10</v>
      </c>
      <c r="O2125" s="38">
        <f>SUM(O2100:O2124)</f>
        <v>28</v>
      </c>
      <c r="P2125" s="48">
        <f>SUM(P2100:P2124)</f>
        <v>24</v>
      </c>
      <c r="Q2125" s="39">
        <f>SUM(Q2100:Q2124)</f>
        <v>24</v>
      </c>
      <c r="R2125" s="40">
        <f>SUM(R2100:R2124)</f>
        <v>19</v>
      </c>
      <c r="S2125" s="118">
        <f t="shared" si="1756"/>
        <v>95</v>
      </c>
      <c r="T2125" s="38">
        <f>SUM(T2100:T2124)</f>
        <v>26</v>
      </c>
      <c r="U2125" s="48">
        <f>SUM(U2100:U2124)</f>
        <v>14</v>
      </c>
      <c r="V2125" s="39">
        <f>SUM(V2100:V2124)</f>
        <v>7</v>
      </c>
      <c r="W2125" s="40">
        <f>SUM(W2100:W2124)</f>
        <v>8</v>
      </c>
      <c r="X2125" s="118">
        <f t="shared" si="1757"/>
        <v>55</v>
      </c>
      <c r="Y2125" s="119">
        <f t="shared" si="1748"/>
        <v>150</v>
      </c>
    </row>
    <row r="2126" spans="1:27" ht="14.25" thickBot="1" x14ac:dyDescent="0.2">
      <c r="A2126" s="22" t="s">
        <v>11</v>
      </c>
      <c r="B2126" s="41">
        <f>B2099-B2125</f>
        <v>15</v>
      </c>
      <c r="C2126" s="49">
        <f>C2099-C2125</f>
        <v>7</v>
      </c>
      <c r="D2126" s="42">
        <f t="shared" ref="D2126:K2126" si="1767">D2099-D2125</f>
        <v>5</v>
      </c>
      <c r="E2126" s="43">
        <f t="shared" si="1767"/>
        <v>4</v>
      </c>
      <c r="F2126" s="61">
        <f t="shared" si="1767"/>
        <v>27</v>
      </c>
      <c r="G2126" s="41">
        <f t="shared" si="1767"/>
        <v>3</v>
      </c>
      <c r="H2126" s="49">
        <f t="shared" si="1767"/>
        <v>4</v>
      </c>
      <c r="I2126" s="42">
        <f t="shared" si="1767"/>
        <v>3</v>
      </c>
      <c r="J2126" s="43">
        <f t="shared" si="1767"/>
        <v>6</v>
      </c>
      <c r="K2126" s="61">
        <f t="shared" si="1767"/>
        <v>16</v>
      </c>
      <c r="L2126" s="21">
        <f t="shared" si="1745"/>
        <v>43</v>
      </c>
      <c r="N2126" s="17" t="s">
        <v>11</v>
      </c>
      <c r="O2126" s="41">
        <f>O2099-O2125</f>
        <v>1143</v>
      </c>
      <c r="P2126" s="49">
        <f t="shared" ref="P2126:Q2126" si="1768">P2099-P2125</f>
        <v>1459</v>
      </c>
      <c r="Q2126" s="42">
        <f t="shared" si="1768"/>
        <v>893</v>
      </c>
      <c r="R2126" s="43">
        <f>R2099-R2125</f>
        <v>604</v>
      </c>
      <c r="S2126" s="61">
        <f t="shared" ref="S2126:X2126" si="1769">S2099-S2125</f>
        <v>4099</v>
      </c>
      <c r="T2126" s="41">
        <f t="shared" si="1769"/>
        <v>925</v>
      </c>
      <c r="U2126" s="49">
        <f t="shared" si="1769"/>
        <v>1027</v>
      </c>
      <c r="V2126" s="42">
        <f t="shared" si="1769"/>
        <v>769</v>
      </c>
      <c r="W2126" s="43">
        <f t="shared" si="1769"/>
        <v>555</v>
      </c>
      <c r="X2126" s="61">
        <f t="shared" si="1769"/>
        <v>3276</v>
      </c>
      <c r="Y2126" s="21">
        <f t="shared" si="1748"/>
        <v>7375</v>
      </c>
    </row>
    <row r="2129" spans="1:26" ht="19.5" thickBot="1" x14ac:dyDescent="0.25">
      <c r="A2129" s="2" t="s">
        <v>106</v>
      </c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N2129" s="2" t="s">
        <v>1036</v>
      </c>
      <c r="O2129" s="270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6" ht="14.25" thickBot="1" x14ac:dyDescent="0.2">
      <c r="A2130" s="5" t="s">
        <v>0</v>
      </c>
      <c r="B2130" s="342" t="s">
        <v>18</v>
      </c>
      <c r="C2130" s="350"/>
      <c r="D2130" s="350"/>
      <c r="E2130" s="350"/>
      <c r="F2130" s="351"/>
      <c r="G2130" s="345" t="s">
        <v>12</v>
      </c>
      <c r="H2130" s="352"/>
      <c r="I2130" s="352"/>
      <c r="J2130" s="352"/>
      <c r="K2130" s="353"/>
      <c r="L2130" s="354" t="s">
        <v>1</v>
      </c>
      <c r="N2130" s="5" t="s">
        <v>0</v>
      </c>
      <c r="O2130" s="342" t="s">
        <v>18</v>
      </c>
      <c r="P2130" s="343"/>
      <c r="Q2130" s="343"/>
      <c r="R2130" s="343"/>
      <c r="S2130" s="344"/>
      <c r="T2130" s="345" t="s">
        <v>12</v>
      </c>
      <c r="U2130" s="346"/>
      <c r="V2130" s="346"/>
      <c r="W2130" s="346"/>
      <c r="X2130" s="347"/>
      <c r="Y2130" s="348" t="s">
        <v>1</v>
      </c>
    </row>
    <row r="2131" spans="1:26" ht="14.25" thickBot="1" x14ac:dyDescent="0.2">
      <c r="A2131" s="5" t="s">
        <v>2</v>
      </c>
      <c r="B2131" s="3" t="s">
        <v>13</v>
      </c>
      <c r="C2131" s="44" t="s">
        <v>14</v>
      </c>
      <c r="D2131" s="4" t="s">
        <v>15</v>
      </c>
      <c r="E2131" s="23" t="s">
        <v>16</v>
      </c>
      <c r="F2131" s="31" t="s">
        <v>3</v>
      </c>
      <c r="G2131" s="3" t="s">
        <v>13</v>
      </c>
      <c r="H2131" s="44" t="s">
        <v>14</v>
      </c>
      <c r="I2131" s="4" t="s">
        <v>15</v>
      </c>
      <c r="J2131" s="23" t="s">
        <v>16</v>
      </c>
      <c r="K2131" s="31" t="s">
        <v>3</v>
      </c>
      <c r="L2131" s="355"/>
      <c r="N2131" s="5" t="s">
        <v>2</v>
      </c>
      <c r="O2131" s="3" t="s">
        <v>13</v>
      </c>
      <c r="P2131" s="44" t="s">
        <v>14</v>
      </c>
      <c r="Q2131" s="4" t="s">
        <v>15</v>
      </c>
      <c r="R2131" s="23" t="s">
        <v>16</v>
      </c>
      <c r="S2131" s="31" t="s">
        <v>3</v>
      </c>
      <c r="T2131" s="3" t="s">
        <v>13</v>
      </c>
      <c r="U2131" s="44" t="s">
        <v>14</v>
      </c>
      <c r="V2131" s="4" t="s">
        <v>15</v>
      </c>
      <c r="W2131" s="23" t="s">
        <v>16</v>
      </c>
      <c r="X2131" s="31" t="s">
        <v>3</v>
      </c>
      <c r="Y2131" s="349"/>
    </row>
    <row r="2132" spans="1:26" x14ac:dyDescent="0.15">
      <c r="A2132" s="71" t="s">
        <v>17</v>
      </c>
      <c r="B2132" s="72">
        <f>B2126</f>
        <v>15</v>
      </c>
      <c r="C2132" s="73">
        <f t="shared" ref="C2132:L2132" si="1770">C2126</f>
        <v>7</v>
      </c>
      <c r="D2132" s="73">
        <f t="shared" si="1770"/>
        <v>5</v>
      </c>
      <c r="E2132" s="74">
        <f t="shared" si="1770"/>
        <v>4</v>
      </c>
      <c r="F2132" s="76">
        <f t="shared" si="1770"/>
        <v>27</v>
      </c>
      <c r="G2132" s="72">
        <f t="shared" si="1770"/>
        <v>3</v>
      </c>
      <c r="H2132" s="73">
        <f t="shared" si="1770"/>
        <v>4</v>
      </c>
      <c r="I2132" s="73">
        <f t="shared" si="1770"/>
        <v>3</v>
      </c>
      <c r="J2132" s="74">
        <f t="shared" si="1770"/>
        <v>6</v>
      </c>
      <c r="K2132" s="75">
        <f t="shared" si="1770"/>
        <v>16</v>
      </c>
      <c r="L2132" s="16">
        <f t="shared" si="1770"/>
        <v>43</v>
      </c>
      <c r="N2132" s="71" t="s">
        <v>17</v>
      </c>
      <c r="O2132" s="72">
        <f>O2126</f>
        <v>1143</v>
      </c>
      <c r="P2132" s="73">
        <f t="shared" ref="P2132:Y2132" si="1771">P2126</f>
        <v>1459</v>
      </c>
      <c r="Q2132" s="73">
        <f t="shared" si="1771"/>
        <v>893</v>
      </c>
      <c r="R2132" s="74">
        <f t="shared" si="1771"/>
        <v>604</v>
      </c>
      <c r="S2132" s="76">
        <f t="shared" si="1771"/>
        <v>4099</v>
      </c>
      <c r="T2132" s="72">
        <f t="shared" si="1771"/>
        <v>925</v>
      </c>
      <c r="U2132" s="73">
        <f t="shared" si="1771"/>
        <v>1027</v>
      </c>
      <c r="V2132" s="73">
        <f t="shared" si="1771"/>
        <v>769</v>
      </c>
      <c r="W2132" s="74">
        <f t="shared" si="1771"/>
        <v>555</v>
      </c>
      <c r="X2132" s="75">
        <f t="shared" si="1771"/>
        <v>3276</v>
      </c>
      <c r="Y2132" s="16">
        <f t="shared" si="1771"/>
        <v>7375</v>
      </c>
    </row>
    <row r="2133" spans="1:26" x14ac:dyDescent="0.15">
      <c r="A2133" s="13" t="s">
        <v>5</v>
      </c>
      <c r="B2133" s="26"/>
      <c r="C2133" s="47"/>
      <c r="D2133" s="27"/>
      <c r="E2133" s="50"/>
      <c r="F2133" s="9">
        <f t="shared" ref="F2133:F2134" si="1772">SUM(B2133:E2133)</f>
        <v>0</v>
      </c>
      <c r="G2133" s="47">
        <v>3</v>
      </c>
      <c r="H2133" s="47">
        <v>3</v>
      </c>
      <c r="I2133" s="27">
        <v>3</v>
      </c>
      <c r="J2133" s="50"/>
      <c r="K2133" s="9">
        <f t="shared" ref="K2133:K2134" si="1773">SUM(G2133:J2133)</f>
        <v>9</v>
      </c>
      <c r="L2133" s="11">
        <f t="shared" ref="L2133:L2134" si="1774">F2133+K2133</f>
        <v>9</v>
      </c>
      <c r="M2133" s="99">
        <v>45855</v>
      </c>
      <c r="N2133" s="13" t="s">
        <v>5</v>
      </c>
      <c r="O2133" s="26"/>
      <c r="P2133" s="47"/>
      <c r="Q2133" s="27"/>
      <c r="R2133" s="34"/>
      <c r="S2133" s="77">
        <f t="shared" ref="S2133:S2136" si="1775">SUM(O2133:R2133)</f>
        <v>0</v>
      </c>
      <c r="T2133" s="26"/>
      <c r="U2133" s="47"/>
      <c r="V2133" s="27"/>
      <c r="W2133" s="34"/>
      <c r="X2133" s="9">
        <f t="shared" ref="X2133:X2136" si="1776">SUM(T2133:W2133)</f>
        <v>0</v>
      </c>
      <c r="Y2133" s="11">
        <f t="shared" ref="Y2133:Y2164" si="1777">S2133+X2133</f>
        <v>0</v>
      </c>
    </row>
    <row r="2134" spans="1:26" x14ac:dyDescent="0.15">
      <c r="A2134" s="13" t="s">
        <v>6</v>
      </c>
      <c r="B2134" s="26"/>
      <c r="C2134" s="47"/>
      <c r="D2134" s="27">
        <v>3</v>
      </c>
      <c r="E2134" s="50">
        <v>3</v>
      </c>
      <c r="F2134" s="9">
        <f t="shared" si="1772"/>
        <v>6</v>
      </c>
      <c r="G2134" s="47">
        <v>3</v>
      </c>
      <c r="H2134" s="47"/>
      <c r="I2134" s="27"/>
      <c r="J2134" s="50"/>
      <c r="K2134" s="9">
        <f t="shared" si="1773"/>
        <v>3</v>
      </c>
      <c r="L2134" s="11">
        <f t="shared" si="1774"/>
        <v>9</v>
      </c>
      <c r="M2134" s="99">
        <v>45861</v>
      </c>
      <c r="N2134" s="13" t="s">
        <v>6</v>
      </c>
      <c r="O2134" s="26"/>
      <c r="P2134" s="47"/>
      <c r="Q2134" s="27"/>
      <c r="R2134" s="34"/>
      <c r="S2134" s="77">
        <f t="shared" si="1775"/>
        <v>0</v>
      </c>
      <c r="T2134" s="26"/>
      <c r="U2134" s="47"/>
      <c r="V2134" s="27"/>
      <c r="W2134" s="34"/>
      <c r="X2134" s="9">
        <f t="shared" si="1776"/>
        <v>0</v>
      </c>
      <c r="Y2134" s="11">
        <f t="shared" si="1777"/>
        <v>0</v>
      </c>
    </row>
    <row r="2135" spans="1:26" x14ac:dyDescent="0.15">
      <c r="A2135" s="13" t="s">
        <v>7</v>
      </c>
      <c r="B2135" s="26">
        <v>3</v>
      </c>
      <c r="C2135" s="47"/>
      <c r="D2135" s="27"/>
      <c r="E2135" s="50">
        <v>3</v>
      </c>
      <c r="F2135" s="9">
        <f>SUM(B2135:E2135)</f>
        <v>6</v>
      </c>
      <c r="G2135" s="47"/>
      <c r="H2135" s="47">
        <v>3</v>
      </c>
      <c r="I2135" s="27"/>
      <c r="J2135" s="50"/>
      <c r="K2135" s="9">
        <f>SUM(G2135:J2135)</f>
        <v>3</v>
      </c>
      <c r="L2135" s="11">
        <f t="shared" ref="L2135:L2164" si="1778">F2135+K2135</f>
        <v>9</v>
      </c>
      <c r="M2135" s="99">
        <v>45866</v>
      </c>
      <c r="N2135" s="13" t="s">
        <v>7</v>
      </c>
      <c r="O2135" s="26"/>
      <c r="P2135" s="47"/>
      <c r="Q2135" s="27"/>
      <c r="R2135" s="34"/>
      <c r="S2135" s="77">
        <f t="shared" si="1775"/>
        <v>0</v>
      </c>
      <c r="T2135" s="26"/>
      <c r="U2135" s="47"/>
      <c r="V2135" s="27"/>
      <c r="W2135" s="34"/>
      <c r="X2135" s="9">
        <f t="shared" si="1776"/>
        <v>0</v>
      </c>
      <c r="Y2135" s="11">
        <f t="shared" si="1777"/>
        <v>0</v>
      </c>
    </row>
    <row r="2136" spans="1:26" ht="14.25" thickBot="1" x14ac:dyDescent="0.2">
      <c r="A2136" s="13" t="s">
        <v>936</v>
      </c>
      <c r="B2136" s="26">
        <f>1*2</f>
        <v>2</v>
      </c>
      <c r="C2136" s="47">
        <f>4*2</f>
        <v>8</v>
      </c>
      <c r="D2136" s="27">
        <f>5*2</f>
        <v>10</v>
      </c>
      <c r="E2136" s="50">
        <f>5*2</f>
        <v>10</v>
      </c>
      <c r="F2136" s="10">
        <f>SUM(B2136:E2136)</f>
        <v>30</v>
      </c>
      <c r="G2136" s="47">
        <f>3*2</f>
        <v>6</v>
      </c>
      <c r="H2136" s="47">
        <f>2*2</f>
        <v>4</v>
      </c>
      <c r="I2136" s="27">
        <f>3*2</f>
        <v>6</v>
      </c>
      <c r="J2136" s="50">
        <f>3*2</f>
        <v>6</v>
      </c>
      <c r="K2136" s="10">
        <f>SUM(G2136:J2136)</f>
        <v>22</v>
      </c>
      <c r="L2136" s="14">
        <f t="shared" si="1778"/>
        <v>52</v>
      </c>
      <c r="M2136" s="99">
        <v>45856</v>
      </c>
      <c r="N2136" s="13" t="s">
        <v>8</v>
      </c>
      <c r="O2136" s="26"/>
      <c r="P2136" s="47"/>
      <c r="Q2136" s="27"/>
      <c r="R2136" s="34"/>
      <c r="S2136" s="77">
        <f t="shared" si="1775"/>
        <v>0</v>
      </c>
      <c r="T2136" s="26"/>
      <c r="U2136" s="47"/>
      <c r="V2136" s="27"/>
      <c r="W2136" s="34"/>
      <c r="X2136" s="9">
        <f t="shared" si="1776"/>
        <v>0</v>
      </c>
      <c r="Y2136" s="11">
        <f t="shared" si="1777"/>
        <v>0</v>
      </c>
    </row>
    <row r="2137" spans="1:26" ht="14.25" thickBot="1" x14ac:dyDescent="0.2">
      <c r="A2137" s="22" t="s">
        <v>9</v>
      </c>
      <c r="B2137" s="41">
        <f t="shared" ref="B2137:K2137" si="1779">SUM(B2132:B2136)</f>
        <v>20</v>
      </c>
      <c r="C2137" s="49">
        <f t="shared" si="1779"/>
        <v>15</v>
      </c>
      <c r="D2137" s="42">
        <f t="shared" si="1779"/>
        <v>18</v>
      </c>
      <c r="E2137" s="92">
        <f t="shared" si="1779"/>
        <v>20</v>
      </c>
      <c r="F2137" s="132">
        <f t="shared" si="1779"/>
        <v>69</v>
      </c>
      <c r="G2137" s="41">
        <f t="shared" si="1779"/>
        <v>15</v>
      </c>
      <c r="H2137" s="49">
        <f t="shared" si="1779"/>
        <v>14</v>
      </c>
      <c r="I2137" s="42">
        <f t="shared" si="1779"/>
        <v>12</v>
      </c>
      <c r="J2137" s="92">
        <f t="shared" si="1779"/>
        <v>12</v>
      </c>
      <c r="K2137" s="132">
        <f t="shared" si="1779"/>
        <v>53</v>
      </c>
      <c r="L2137" s="21">
        <f t="shared" si="1778"/>
        <v>122</v>
      </c>
      <c r="N2137" s="17" t="s">
        <v>9</v>
      </c>
      <c r="O2137" s="41">
        <f>SUM(O2132:O2136)</f>
        <v>1143</v>
      </c>
      <c r="P2137" s="49">
        <f t="shared" ref="P2137:V2137" si="1780">SUM(P2132:P2136)</f>
        <v>1459</v>
      </c>
      <c r="Q2137" s="42">
        <f t="shared" si="1780"/>
        <v>893</v>
      </c>
      <c r="R2137" s="92">
        <f t="shared" si="1780"/>
        <v>604</v>
      </c>
      <c r="S2137" s="93">
        <f t="shared" si="1780"/>
        <v>4099</v>
      </c>
      <c r="T2137" s="41">
        <f t="shared" si="1780"/>
        <v>925</v>
      </c>
      <c r="U2137" s="49">
        <f t="shared" si="1780"/>
        <v>1027</v>
      </c>
      <c r="V2137" s="42">
        <f t="shared" si="1780"/>
        <v>769</v>
      </c>
      <c r="W2137" s="92">
        <f>SUM(W2132:W2136)</f>
        <v>555</v>
      </c>
      <c r="X2137" s="93">
        <f t="shared" ref="X2137" si="1781">SUM(X2132:X2136)</f>
        <v>3276</v>
      </c>
      <c r="Y2137" s="56">
        <f t="shared" si="1777"/>
        <v>7375</v>
      </c>
    </row>
    <row r="2138" spans="1:26" x14ac:dyDescent="0.15">
      <c r="A2138" s="32" t="s">
        <v>1761</v>
      </c>
      <c r="B2138" s="26">
        <v>1</v>
      </c>
      <c r="C2138" s="47"/>
      <c r="D2138" s="27"/>
      <c r="E2138" s="34">
        <v>1</v>
      </c>
      <c r="F2138" s="35">
        <f t="shared" ref="F2138" si="1782">SUM(B2138:E2138)</f>
        <v>2</v>
      </c>
      <c r="G2138" s="26"/>
      <c r="H2138" s="47"/>
      <c r="I2138" s="27"/>
      <c r="J2138" s="34"/>
      <c r="K2138" s="35">
        <f t="shared" ref="K2138" si="1783">SUM(G2138:J2138)</f>
        <v>0</v>
      </c>
      <c r="L2138" s="11">
        <f t="shared" si="1778"/>
        <v>2</v>
      </c>
      <c r="M2138" s="99">
        <v>45860</v>
      </c>
      <c r="N2138" s="12" t="s">
        <v>1779</v>
      </c>
      <c r="O2138" s="26"/>
      <c r="P2138" s="47">
        <v>5</v>
      </c>
      <c r="Q2138" s="27"/>
      <c r="R2138" s="34"/>
      <c r="S2138" s="35">
        <f t="shared" ref="S2138:S2144" si="1784">SUM(O2138:R2138)</f>
        <v>5</v>
      </c>
      <c r="T2138" s="26"/>
      <c r="U2138" s="47">
        <v>10</v>
      </c>
      <c r="V2138" s="27">
        <v>5</v>
      </c>
      <c r="W2138" s="34">
        <v>10</v>
      </c>
      <c r="X2138" s="35">
        <f t="shared" ref="X2138:X2144" si="1785">SUM(T2138:W2138)</f>
        <v>25</v>
      </c>
      <c r="Y2138" s="11">
        <f t="shared" si="1777"/>
        <v>30</v>
      </c>
      <c r="Z2138" s="99">
        <v>45874</v>
      </c>
    </row>
    <row r="2139" spans="1:26" x14ac:dyDescent="0.15">
      <c r="A2139" s="32" t="s">
        <v>41</v>
      </c>
      <c r="B2139" s="26">
        <v>1</v>
      </c>
      <c r="C2139" s="47"/>
      <c r="D2139" s="27"/>
      <c r="E2139" s="34"/>
      <c r="F2139" s="35">
        <f t="shared" ref="F2139:F2147" si="1786">SUM(B2139:E2139)</f>
        <v>1</v>
      </c>
      <c r="G2139" s="26"/>
      <c r="H2139" s="47"/>
      <c r="I2139" s="27"/>
      <c r="J2139" s="34"/>
      <c r="K2139" s="35">
        <f t="shared" ref="K2139:K2147" si="1787">SUM(G2139:J2139)</f>
        <v>0</v>
      </c>
      <c r="L2139" s="11">
        <f t="shared" ref="L2139:L2147" si="1788">F2139+K2139</f>
        <v>1</v>
      </c>
      <c r="M2139" s="99">
        <v>45856</v>
      </c>
      <c r="N2139" s="32" t="s">
        <v>1782</v>
      </c>
      <c r="O2139" s="26">
        <v>6</v>
      </c>
      <c r="P2139" s="47">
        <v>4</v>
      </c>
      <c r="Q2139" s="27">
        <v>1</v>
      </c>
      <c r="R2139" s="34"/>
      <c r="S2139" s="35">
        <f t="shared" si="1784"/>
        <v>11</v>
      </c>
      <c r="T2139" s="26">
        <v>1</v>
      </c>
      <c r="U2139" s="47"/>
      <c r="V2139" s="27">
        <v>1</v>
      </c>
      <c r="W2139" s="34"/>
      <c r="X2139" s="35">
        <f t="shared" si="1785"/>
        <v>2</v>
      </c>
      <c r="Y2139" s="11">
        <f t="shared" si="1777"/>
        <v>13</v>
      </c>
      <c r="Z2139" s="99">
        <v>45875</v>
      </c>
    </row>
    <row r="2140" spans="1:26" x14ac:dyDescent="0.15">
      <c r="A2140" s="32" t="s">
        <v>41</v>
      </c>
      <c r="B2140" s="26"/>
      <c r="C2140" s="47">
        <v>1</v>
      </c>
      <c r="D2140" s="27"/>
      <c r="E2140" s="34"/>
      <c r="F2140" s="35">
        <f t="shared" si="1786"/>
        <v>1</v>
      </c>
      <c r="G2140" s="26">
        <v>2</v>
      </c>
      <c r="H2140" s="47"/>
      <c r="I2140" s="27">
        <v>1</v>
      </c>
      <c r="J2140" s="34"/>
      <c r="K2140" s="35">
        <f t="shared" si="1787"/>
        <v>3</v>
      </c>
      <c r="L2140" s="11">
        <f t="shared" si="1788"/>
        <v>4</v>
      </c>
      <c r="M2140" s="99">
        <v>45860</v>
      </c>
      <c r="N2140" s="32" t="s">
        <v>1783</v>
      </c>
      <c r="O2140" s="26"/>
      <c r="P2140" s="47">
        <v>4</v>
      </c>
      <c r="Q2140" s="27"/>
      <c r="R2140" s="34"/>
      <c r="S2140" s="35">
        <f t="shared" si="1784"/>
        <v>4</v>
      </c>
      <c r="T2140" s="26"/>
      <c r="U2140" s="47"/>
      <c r="V2140" s="27"/>
      <c r="W2140" s="34"/>
      <c r="X2140" s="35">
        <f t="shared" si="1785"/>
        <v>0</v>
      </c>
      <c r="Y2140" s="11">
        <f t="shared" si="1777"/>
        <v>4</v>
      </c>
      <c r="Z2140" s="99">
        <v>45876</v>
      </c>
    </row>
    <row r="2141" spans="1:26" x14ac:dyDescent="0.15">
      <c r="A2141" s="57" t="s">
        <v>1768</v>
      </c>
      <c r="B2141" s="26">
        <v>2</v>
      </c>
      <c r="C2141" s="47"/>
      <c r="D2141" s="27"/>
      <c r="E2141" s="34"/>
      <c r="F2141" s="35">
        <f t="shared" si="1786"/>
        <v>2</v>
      </c>
      <c r="G2141" s="26"/>
      <c r="H2141" s="47"/>
      <c r="I2141" s="27"/>
      <c r="J2141" s="34"/>
      <c r="K2141" s="35">
        <f t="shared" si="1787"/>
        <v>0</v>
      </c>
      <c r="L2141" s="11">
        <f t="shared" si="1788"/>
        <v>2</v>
      </c>
      <c r="M2141" s="99">
        <v>45862</v>
      </c>
      <c r="N2141" s="32" t="s">
        <v>1785</v>
      </c>
      <c r="O2141" s="26">
        <v>1</v>
      </c>
      <c r="P2141" s="47">
        <v>5</v>
      </c>
      <c r="Q2141" s="27"/>
      <c r="R2141" s="34"/>
      <c r="S2141" s="35">
        <f t="shared" si="1784"/>
        <v>6</v>
      </c>
      <c r="T2141" s="26">
        <v>2</v>
      </c>
      <c r="U2141" s="47">
        <v>2</v>
      </c>
      <c r="V2141" s="27"/>
      <c r="W2141" s="34"/>
      <c r="X2141" s="35">
        <f t="shared" si="1785"/>
        <v>4</v>
      </c>
      <c r="Y2141" s="11">
        <f t="shared" si="1777"/>
        <v>10</v>
      </c>
      <c r="Z2141" s="99">
        <v>45877</v>
      </c>
    </row>
    <row r="2142" spans="1:26" x14ac:dyDescent="0.15">
      <c r="A2142" s="32" t="s">
        <v>41</v>
      </c>
      <c r="B2142" s="26">
        <v>1</v>
      </c>
      <c r="C2142" s="47"/>
      <c r="D2142" s="27">
        <v>1</v>
      </c>
      <c r="E2142" s="34"/>
      <c r="F2142" s="35">
        <f t="shared" si="1786"/>
        <v>2</v>
      </c>
      <c r="G2142" s="26"/>
      <c r="H2142" s="47"/>
      <c r="I2142" s="27"/>
      <c r="J2142" s="34"/>
      <c r="K2142" s="35">
        <f t="shared" si="1787"/>
        <v>0</v>
      </c>
      <c r="L2142" s="11">
        <f t="shared" si="1788"/>
        <v>2</v>
      </c>
      <c r="M2142" s="99">
        <v>45861</v>
      </c>
      <c r="N2142" s="12" t="s">
        <v>34</v>
      </c>
      <c r="O2142" s="26">
        <v>3</v>
      </c>
      <c r="P2142" s="47">
        <v>3</v>
      </c>
      <c r="Q2142" s="27">
        <v>3</v>
      </c>
      <c r="R2142" s="34"/>
      <c r="S2142" s="35">
        <f t="shared" si="1784"/>
        <v>9</v>
      </c>
      <c r="T2142" s="26">
        <v>3</v>
      </c>
      <c r="U2142" s="47"/>
      <c r="V2142" s="27"/>
      <c r="W2142" s="34"/>
      <c r="X2142" s="35">
        <f t="shared" si="1785"/>
        <v>3</v>
      </c>
      <c r="Y2142" s="11">
        <f t="shared" si="1777"/>
        <v>12</v>
      </c>
      <c r="Z2142" s="99">
        <v>45877</v>
      </c>
    </row>
    <row r="2143" spans="1:26" x14ac:dyDescent="0.15">
      <c r="A2143" s="15" t="s">
        <v>1770</v>
      </c>
      <c r="B2143" s="26"/>
      <c r="C2143" s="47">
        <v>-2</v>
      </c>
      <c r="D2143" s="27"/>
      <c r="E2143" s="34"/>
      <c r="F2143" s="35">
        <f t="shared" si="1786"/>
        <v>-2</v>
      </c>
      <c r="G2143" s="26"/>
      <c r="H2143" s="47"/>
      <c r="I2143" s="27"/>
      <c r="J2143" s="34"/>
      <c r="K2143" s="35">
        <f t="shared" si="1787"/>
        <v>0</v>
      </c>
      <c r="L2143" s="11">
        <f t="shared" si="1788"/>
        <v>-2</v>
      </c>
      <c r="M2143" s="99">
        <v>45855</v>
      </c>
      <c r="N2143" s="12" t="s">
        <v>1790</v>
      </c>
      <c r="O2143" s="26">
        <v>2</v>
      </c>
      <c r="P2143" s="47">
        <v>1</v>
      </c>
      <c r="Q2143" s="27">
        <v>1</v>
      </c>
      <c r="R2143" s="34">
        <v>1</v>
      </c>
      <c r="S2143" s="35">
        <f t="shared" si="1784"/>
        <v>5</v>
      </c>
      <c r="T2143" s="26">
        <v>2</v>
      </c>
      <c r="U2143" s="47">
        <v>1</v>
      </c>
      <c r="V2143" s="27">
        <v>1</v>
      </c>
      <c r="W2143" s="34">
        <v>1</v>
      </c>
      <c r="X2143" s="35">
        <f t="shared" si="1785"/>
        <v>5</v>
      </c>
      <c r="Y2143" s="11">
        <f t="shared" si="1777"/>
        <v>10</v>
      </c>
      <c r="Z2143" s="99">
        <v>45881</v>
      </c>
    </row>
    <row r="2144" spans="1:26" x14ac:dyDescent="0.15">
      <c r="A2144" s="15" t="s">
        <v>1088</v>
      </c>
      <c r="B2144" s="26"/>
      <c r="C2144" s="47"/>
      <c r="D2144" s="27"/>
      <c r="E2144" s="34"/>
      <c r="F2144" s="35">
        <f t="shared" si="1786"/>
        <v>0</v>
      </c>
      <c r="G2144" s="26">
        <v>-1</v>
      </c>
      <c r="H2144" s="47">
        <v>1</v>
      </c>
      <c r="I2144" s="27"/>
      <c r="J2144" s="34"/>
      <c r="K2144" s="35">
        <f t="shared" si="1787"/>
        <v>0</v>
      </c>
      <c r="L2144" s="11">
        <f t="shared" si="1788"/>
        <v>0</v>
      </c>
      <c r="M2144" s="99">
        <v>45862</v>
      </c>
      <c r="N2144" s="12" t="s">
        <v>1763</v>
      </c>
      <c r="O2144" s="26">
        <v>8</v>
      </c>
      <c r="P2144" s="47">
        <v>10</v>
      </c>
      <c r="Q2144" s="27">
        <v>4</v>
      </c>
      <c r="R2144" s="34">
        <v>4</v>
      </c>
      <c r="S2144" s="35">
        <f t="shared" si="1784"/>
        <v>26</v>
      </c>
      <c r="T2144" s="26"/>
      <c r="U2144" s="47"/>
      <c r="V2144" s="27"/>
      <c r="W2144" s="34"/>
      <c r="X2144" s="35">
        <f t="shared" si="1785"/>
        <v>0</v>
      </c>
      <c r="Y2144" s="11">
        <f t="shared" si="1777"/>
        <v>26</v>
      </c>
      <c r="Z2144" s="99">
        <v>45881</v>
      </c>
    </row>
    <row r="2145" spans="1:27" x14ac:dyDescent="0.15">
      <c r="A2145" s="15" t="s">
        <v>1771</v>
      </c>
      <c r="B2145" s="26"/>
      <c r="C2145" s="47"/>
      <c r="D2145" s="27"/>
      <c r="E2145" s="34">
        <v>2</v>
      </c>
      <c r="F2145" s="35">
        <f t="shared" si="1786"/>
        <v>2</v>
      </c>
      <c r="G2145" s="26"/>
      <c r="H2145" s="47"/>
      <c r="I2145" s="27"/>
      <c r="J2145" s="34"/>
      <c r="K2145" s="35">
        <f t="shared" si="1787"/>
        <v>0</v>
      </c>
      <c r="L2145" s="11">
        <f t="shared" si="1788"/>
        <v>2</v>
      </c>
      <c r="M2145" s="99">
        <v>45862</v>
      </c>
      <c r="N2145" s="32" t="s">
        <v>1791</v>
      </c>
      <c r="O2145" s="26">
        <v>2</v>
      </c>
      <c r="P2145" s="47">
        <v>4</v>
      </c>
      <c r="Q2145" s="27"/>
      <c r="R2145" s="50"/>
      <c r="S2145" s="9">
        <f>SUM(O2145:R2145)</f>
        <v>6</v>
      </c>
      <c r="T2145" s="47"/>
      <c r="U2145" s="47"/>
      <c r="V2145" s="27"/>
      <c r="W2145" s="50"/>
      <c r="X2145" s="9">
        <f>SUM(T2145:W2145)</f>
        <v>0</v>
      </c>
      <c r="Y2145" s="11">
        <f t="shared" si="1777"/>
        <v>6</v>
      </c>
      <c r="Z2145" s="99">
        <v>45885</v>
      </c>
    </row>
    <row r="2146" spans="1:27" x14ac:dyDescent="0.15">
      <c r="A2146" s="32" t="s">
        <v>1772</v>
      </c>
      <c r="B2146" s="26"/>
      <c r="C2146" s="47"/>
      <c r="D2146" s="27"/>
      <c r="E2146" s="34"/>
      <c r="F2146" s="35">
        <f t="shared" si="1786"/>
        <v>0</v>
      </c>
      <c r="G2146" s="26">
        <v>2</v>
      </c>
      <c r="H2146" s="47"/>
      <c r="I2146" s="27"/>
      <c r="J2146" s="34"/>
      <c r="K2146" s="35">
        <f t="shared" si="1787"/>
        <v>2</v>
      </c>
      <c r="L2146" s="11">
        <f t="shared" si="1788"/>
        <v>2</v>
      </c>
      <c r="M2146" s="99">
        <v>45866</v>
      </c>
      <c r="N2146" s="12" t="s">
        <v>1794</v>
      </c>
      <c r="O2146" s="26"/>
      <c r="P2146" s="47">
        <v>3</v>
      </c>
      <c r="Q2146" s="27">
        <v>3</v>
      </c>
      <c r="R2146" s="34"/>
      <c r="S2146" s="35">
        <f t="shared" ref="S2146:S2163" si="1789">SUM(O2146:R2146)</f>
        <v>6</v>
      </c>
      <c r="T2146" s="26"/>
      <c r="U2146" s="47">
        <v>3</v>
      </c>
      <c r="V2146" s="27">
        <v>3</v>
      </c>
      <c r="W2146" s="34"/>
      <c r="X2146" s="35">
        <f t="shared" ref="X2146:X2163" si="1790">SUM(T2146:W2146)</f>
        <v>6</v>
      </c>
      <c r="Y2146" s="11">
        <f t="shared" si="1777"/>
        <v>12</v>
      </c>
      <c r="Z2146" s="99">
        <v>45889</v>
      </c>
    </row>
    <row r="2147" spans="1:27" x14ac:dyDescent="0.15">
      <c r="A2147" s="15" t="s">
        <v>41</v>
      </c>
      <c r="B2147" s="26"/>
      <c r="C2147" s="47"/>
      <c r="D2147" s="27"/>
      <c r="E2147" s="34">
        <v>1</v>
      </c>
      <c r="F2147" s="35">
        <f t="shared" si="1786"/>
        <v>1</v>
      </c>
      <c r="G2147" s="26"/>
      <c r="H2147" s="47">
        <v>2</v>
      </c>
      <c r="I2147" s="27"/>
      <c r="J2147" s="34"/>
      <c r="K2147" s="35">
        <f t="shared" si="1787"/>
        <v>2</v>
      </c>
      <c r="L2147" s="11">
        <f t="shared" si="1788"/>
        <v>3</v>
      </c>
      <c r="M2147" s="126">
        <v>45863</v>
      </c>
      <c r="N2147" s="12" t="s">
        <v>1795</v>
      </c>
      <c r="O2147" s="26">
        <v>8</v>
      </c>
      <c r="P2147" s="47"/>
      <c r="Q2147" s="27"/>
      <c r="R2147" s="34">
        <v>4</v>
      </c>
      <c r="S2147" s="35">
        <f t="shared" si="1789"/>
        <v>12</v>
      </c>
      <c r="T2147" s="26">
        <v>4</v>
      </c>
      <c r="U2147" s="47"/>
      <c r="V2147" s="27"/>
      <c r="W2147" s="34"/>
      <c r="X2147" s="35">
        <f t="shared" si="1790"/>
        <v>4</v>
      </c>
      <c r="Y2147" s="11">
        <f t="shared" si="1777"/>
        <v>16</v>
      </c>
      <c r="Z2147" s="99">
        <v>45889</v>
      </c>
    </row>
    <row r="2148" spans="1:27" x14ac:dyDescent="0.15">
      <c r="A2148" s="32" t="s">
        <v>1773</v>
      </c>
      <c r="B2148" s="26"/>
      <c r="C2148" s="47">
        <v>1</v>
      </c>
      <c r="D2148" s="27"/>
      <c r="E2148" s="34"/>
      <c r="F2148" s="35">
        <f t="shared" ref="F2148:F2162" si="1791">SUM(B2148:E2148)</f>
        <v>1</v>
      </c>
      <c r="G2148" s="26"/>
      <c r="H2148" s="47"/>
      <c r="I2148" s="27"/>
      <c r="J2148" s="34"/>
      <c r="K2148" s="35">
        <f t="shared" ref="K2148:K2162" si="1792">SUM(G2148:J2148)</f>
        <v>0</v>
      </c>
      <c r="L2148" s="11">
        <f t="shared" si="1778"/>
        <v>1</v>
      </c>
      <c r="M2148" s="99">
        <v>45868</v>
      </c>
      <c r="N2148" s="32" t="s">
        <v>1796</v>
      </c>
      <c r="O2148" s="26"/>
      <c r="P2148" s="47">
        <v>4</v>
      </c>
      <c r="Q2148" s="27">
        <v>1</v>
      </c>
      <c r="R2148" s="34"/>
      <c r="S2148" s="35">
        <f t="shared" si="1789"/>
        <v>5</v>
      </c>
      <c r="T2148" s="26"/>
      <c r="U2148" s="47">
        <v>2</v>
      </c>
      <c r="V2148" s="27"/>
      <c r="W2148" s="34"/>
      <c r="X2148" s="35">
        <f t="shared" si="1790"/>
        <v>2</v>
      </c>
      <c r="Y2148" s="11">
        <f t="shared" si="1777"/>
        <v>7</v>
      </c>
      <c r="Z2148" s="99">
        <v>45890</v>
      </c>
    </row>
    <row r="2149" spans="1:27" x14ac:dyDescent="0.15">
      <c r="A2149" s="15" t="s">
        <v>41</v>
      </c>
      <c r="B2149" s="26"/>
      <c r="C2149" s="47"/>
      <c r="D2149" s="27">
        <v>1</v>
      </c>
      <c r="E2149" s="34">
        <v>1</v>
      </c>
      <c r="F2149" s="35">
        <f t="shared" si="1791"/>
        <v>2</v>
      </c>
      <c r="G2149" s="26"/>
      <c r="H2149" s="47"/>
      <c r="I2149" s="27"/>
      <c r="J2149" s="34">
        <v>5</v>
      </c>
      <c r="K2149" s="35">
        <f t="shared" si="1792"/>
        <v>5</v>
      </c>
      <c r="L2149" s="11">
        <f t="shared" si="1778"/>
        <v>7</v>
      </c>
      <c r="M2149" s="99">
        <v>45866</v>
      </c>
      <c r="N2149" s="12" t="s">
        <v>34</v>
      </c>
      <c r="O2149" s="26"/>
      <c r="P2149" s="47">
        <v>5</v>
      </c>
      <c r="Q2149" s="27"/>
      <c r="R2149" s="34"/>
      <c r="S2149" s="35">
        <f t="shared" si="1789"/>
        <v>5</v>
      </c>
      <c r="T2149" s="26"/>
      <c r="U2149" s="47">
        <v>5</v>
      </c>
      <c r="V2149" s="27"/>
      <c r="W2149" s="34">
        <v>5</v>
      </c>
      <c r="X2149" s="35">
        <f t="shared" si="1790"/>
        <v>10</v>
      </c>
      <c r="Y2149" s="11">
        <f t="shared" si="1777"/>
        <v>15</v>
      </c>
      <c r="Z2149" s="99">
        <v>45889</v>
      </c>
    </row>
    <row r="2150" spans="1:27" x14ac:dyDescent="0.15">
      <c r="A2150" s="15" t="s">
        <v>1774</v>
      </c>
      <c r="B2150" s="26"/>
      <c r="C2150" s="47"/>
      <c r="D2150" s="27"/>
      <c r="E2150" s="34">
        <v>1</v>
      </c>
      <c r="F2150" s="35">
        <f t="shared" si="1791"/>
        <v>1</v>
      </c>
      <c r="G2150" s="26"/>
      <c r="H2150" s="47"/>
      <c r="I2150" s="27"/>
      <c r="J2150" s="34"/>
      <c r="K2150" s="35">
        <f t="shared" si="1792"/>
        <v>0</v>
      </c>
      <c r="L2150" s="11">
        <f t="shared" si="1778"/>
        <v>1</v>
      </c>
      <c r="M2150" s="99">
        <v>45867</v>
      </c>
      <c r="N2150" s="32" t="s">
        <v>1797</v>
      </c>
      <c r="O2150" s="26"/>
      <c r="P2150" s="47"/>
      <c r="Q2150" s="27">
        <v>2</v>
      </c>
      <c r="R2150" s="34"/>
      <c r="S2150" s="35">
        <f t="shared" si="1789"/>
        <v>2</v>
      </c>
      <c r="T2150" s="26"/>
      <c r="U2150" s="47">
        <v>1</v>
      </c>
      <c r="V2150" s="27"/>
      <c r="W2150" s="34"/>
      <c r="X2150" s="35">
        <f t="shared" si="1790"/>
        <v>1</v>
      </c>
      <c r="Y2150" s="11">
        <f t="shared" si="1777"/>
        <v>3</v>
      </c>
      <c r="Z2150" s="99">
        <v>45891</v>
      </c>
    </row>
    <row r="2151" spans="1:27" x14ac:dyDescent="0.15">
      <c r="A2151" s="32" t="s">
        <v>1775</v>
      </c>
      <c r="B2151" s="26"/>
      <c r="C2151" s="47">
        <v>3</v>
      </c>
      <c r="D2151" s="27"/>
      <c r="E2151" s="34">
        <v>1</v>
      </c>
      <c r="F2151" s="35">
        <f t="shared" si="1791"/>
        <v>4</v>
      </c>
      <c r="G2151" s="26"/>
      <c r="H2151" s="47"/>
      <c r="I2151" s="27"/>
      <c r="J2151" s="34"/>
      <c r="K2151" s="35">
        <f t="shared" si="1792"/>
        <v>0</v>
      </c>
      <c r="L2151" s="11">
        <f t="shared" si="1778"/>
        <v>4</v>
      </c>
      <c r="M2151" s="99">
        <v>45870</v>
      </c>
      <c r="N2151" s="12" t="s">
        <v>1800</v>
      </c>
      <c r="O2151" s="26"/>
      <c r="P2151" s="47"/>
      <c r="Q2151" s="27"/>
      <c r="R2151" s="34">
        <v>5</v>
      </c>
      <c r="S2151" s="35">
        <f t="shared" si="1789"/>
        <v>5</v>
      </c>
      <c r="T2151" s="26"/>
      <c r="U2151" s="47"/>
      <c r="V2151" s="27"/>
      <c r="W2151" s="34"/>
      <c r="X2151" s="35">
        <f t="shared" si="1790"/>
        <v>0</v>
      </c>
      <c r="Y2151" s="11">
        <f t="shared" si="1777"/>
        <v>5</v>
      </c>
      <c r="Z2151" s="99">
        <v>45896</v>
      </c>
      <c r="AA2151" s="58"/>
    </row>
    <row r="2152" spans="1:27" x14ac:dyDescent="0.15">
      <c r="A2152" s="32" t="s">
        <v>1776</v>
      </c>
      <c r="B2152" s="26">
        <v>1</v>
      </c>
      <c r="C2152" s="47">
        <v>2</v>
      </c>
      <c r="D2152" s="27">
        <v>3</v>
      </c>
      <c r="E2152" s="34">
        <v>2</v>
      </c>
      <c r="F2152" s="35">
        <f t="shared" si="1791"/>
        <v>8</v>
      </c>
      <c r="G2152" s="26"/>
      <c r="H2152" s="47"/>
      <c r="I2152" s="27">
        <v>2</v>
      </c>
      <c r="J2152" s="34"/>
      <c r="K2152" s="35">
        <f t="shared" si="1792"/>
        <v>2</v>
      </c>
      <c r="L2152" s="11">
        <f t="shared" si="1778"/>
        <v>10</v>
      </c>
      <c r="M2152" s="99">
        <v>45870</v>
      </c>
      <c r="N2152" s="12" t="s">
        <v>1801</v>
      </c>
      <c r="O2152" s="26">
        <v>10</v>
      </c>
      <c r="P2152" s="47">
        <v>10</v>
      </c>
      <c r="Q2152" s="27">
        <v>10</v>
      </c>
      <c r="R2152" s="34">
        <v>5</v>
      </c>
      <c r="S2152" s="35">
        <f t="shared" si="1789"/>
        <v>35</v>
      </c>
      <c r="T2152" s="26">
        <v>5</v>
      </c>
      <c r="U2152" s="47">
        <v>5</v>
      </c>
      <c r="V2152" s="27">
        <v>7</v>
      </c>
      <c r="W2152" s="34">
        <v>5</v>
      </c>
      <c r="X2152" s="35">
        <f t="shared" si="1790"/>
        <v>22</v>
      </c>
      <c r="Y2152" s="11">
        <f t="shared" si="1777"/>
        <v>57</v>
      </c>
      <c r="Z2152" s="99">
        <v>45894</v>
      </c>
    </row>
    <row r="2153" spans="1:27" x14ac:dyDescent="0.15">
      <c r="A2153" s="15" t="s">
        <v>41</v>
      </c>
      <c r="B2153" s="26"/>
      <c r="C2153" s="47"/>
      <c r="D2153" s="27"/>
      <c r="E2153" s="34"/>
      <c r="F2153" s="35">
        <f t="shared" si="1791"/>
        <v>0</v>
      </c>
      <c r="G2153" s="26"/>
      <c r="H2153" s="47"/>
      <c r="I2153" s="27">
        <v>1</v>
      </c>
      <c r="J2153" s="34">
        <v>-2</v>
      </c>
      <c r="K2153" s="35">
        <f t="shared" si="1792"/>
        <v>-1</v>
      </c>
      <c r="L2153" s="11">
        <f t="shared" si="1778"/>
        <v>-1</v>
      </c>
      <c r="M2153" s="99">
        <v>45869</v>
      </c>
      <c r="N2153" s="12" t="s">
        <v>1802</v>
      </c>
      <c r="O2153" s="26">
        <v>3</v>
      </c>
      <c r="P2153" s="47"/>
      <c r="Q2153" s="27"/>
      <c r="R2153" s="34"/>
      <c r="S2153" s="35">
        <f t="shared" si="1789"/>
        <v>3</v>
      </c>
      <c r="T2153" s="26">
        <v>3</v>
      </c>
      <c r="U2153" s="47"/>
      <c r="V2153" s="27"/>
      <c r="W2153" s="34"/>
      <c r="X2153" s="35">
        <f t="shared" si="1790"/>
        <v>3</v>
      </c>
      <c r="Y2153" s="11">
        <f t="shared" si="1777"/>
        <v>6</v>
      </c>
      <c r="Z2153" s="99">
        <v>45894</v>
      </c>
    </row>
    <row r="2154" spans="1:27" x14ac:dyDescent="0.15">
      <c r="A2154" s="32" t="s">
        <v>1780</v>
      </c>
      <c r="B2154" s="26"/>
      <c r="C2154" s="47"/>
      <c r="D2154" s="27">
        <v>1</v>
      </c>
      <c r="E2154" s="34"/>
      <c r="F2154" s="35">
        <f t="shared" si="1791"/>
        <v>1</v>
      </c>
      <c r="G2154" s="26">
        <v>1</v>
      </c>
      <c r="H2154" s="47"/>
      <c r="I2154" s="27"/>
      <c r="J2154" s="34"/>
      <c r="K2154" s="35">
        <f t="shared" si="1792"/>
        <v>1</v>
      </c>
      <c r="L2154" s="11">
        <f t="shared" si="1778"/>
        <v>2</v>
      </c>
      <c r="M2154" s="99">
        <v>45873</v>
      </c>
      <c r="N2154" s="12" t="s">
        <v>1803</v>
      </c>
      <c r="O2154" s="26"/>
      <c r="P2154" s="47">
        <v>6</v>
      </c>
      <c r="Q2154" s="27">
        <v>4</v>
      </c>
      <c r="R2154" s="34">
        <v>6</v>
      </c>
      <c r="S2154" s="35">
        <f t="shared" si="1789"/>
        <v>16</v>
      </c>
      <c r="T2154" s="26"/>
      <c r="U2154" s="47"/>
      <c r="V2154" s="27"/>
      <c r="W2154" s="34">
        <v>6</v>
      </c>
      <c r="X2154" s="35">
        <f t="shared" si="1790"/>
        <v>6</v>
      </c>
      <c r="Y2154" s="11">
        <f t="shared" si="1777"/>
        <v>22</v>
      </c>
      <c r="Z2154" s="99">
        <v>45894</v>
      </c>
    </row>
    <row r="2155" spans="1:27" x14ac:dyDescent="0.15">
      <c r="A2155" s="15" t="s">
        <v>41</v>
      </c>
      <c r="B2155" s="26"/>
      <c r="C2155" s="47"/>
      <c r="D2155" s="27"/>
      <c r="E2155" s="34"/>
      <c r="F2155" s="35">
        <f t="shared" si="1791"/>
        <v>0</v>
      </c>
      <c r="G2155" s="26"/>
      <c r="H2155" s="47">
        <v>2</v>
      </c>
      <c r="I2155" s="27"/>
      <c r="J2155" s="34"/>
      <c r="K2155" s="35">
        <f t="shared" si="1792"/>
        <v>2</v>
      </c>
      <c r="L2155" s="11">
        <f t="shared" si="1778"/>
        <v>2</v>
      </c>
      <c r="M2155" s="99">
        <v>45870</v>
      </c>
      <c r="N2155" s="12" t="s">
        <v>1806</v>
      </c>
      <c r="O2155" s="26">
        <v>3</v>
      </c>
      <c r="P2155" s="47">
        <v>3</v>
      </c>
      <c r="Q2155" s="27">
        <v>3</v>
      </c>
      <c r="R2155" s="34">
        <v>15</v>
      </c>
      <c r="S2155" s="35">
        <f t="shared" ref="S2155:S2162" si="1793">SUM(O2155:R2155)</f>
        <v>24</v>
      </c>
      <c r="T2155" s="26">
        <v>6</v>
      </c>
      <c r="U2155" s="47">
        <v>10</v>
      </c>
      <c r="V2155" s="27"/>
      <c r="W2155" s="34">
        <v>6</v>
      </c>
      <c r="X2155" s="35">
        <f t="shared" ref="X2155:X2162" si="1794">SUM(T2155:W2155)</f>
        <v>22</v>
      </c>
      <c r="Y2155" s="11">
        <f t="shared" ref="Y2155:Y2162" si="1795">S2155+X2155</f>
        <v>46</v>
      </c>
      <c r="Z2155" s="99">
        <v>45897</v>
      </c>
    </row>
    <row r="2156" spans="1:27" x14ac:dyDescent="0.15">
      <c r="A2156" s="13" t="s">
        <v>1781</v>
      </c>
      <c r="B2156" s="26">
        <v>9</v>
      </c>
      <c r="C2156" s="47">
        <v>5</v>
      </c>
      <c r="D2156" s="27">
        <v>7</v>
      </c>
      <c r="E2156" s="34">
        <v>6</v>
      </c>
      <c r="F2156" s="35">
        <f t="shared" si="1791"/>
        <v>27</v>
      </c>
      <c r="G2156" s="26">
        <v>8</v>
      </c>
      <c r="H2156" s="47">
        <v>5</v>
      </c>
      <c r="I2156" s="27">
        <v>3</v>
      </c>
      <c r="J2156" s="34">
        <v>5</v>
      </c>
      <c r="K2156" s="35">
        <f t="shared" si="1792"/>
        <v>21</v>
      </c>
      <c r="L2156" s="11">
        <f t="shared" si="1778"/>
        <v>48</v>
      </c>
      <c r="M2156" s="99">
        <v>45871</v>
      </c>
      <c r="N2156" s="12" t="s">
        <v>1807</v>
      </c>
      <c r="O2156" s="26"/>
      <c r="P2156" s="47">
        <v>5</v>
      </c>
      <c r="Q2156" s="27"/>
      <c r="R2156" s="34">
        <v>3</v>
      </c>
      <c r="S2156" s="35">
        <f t="shared" si="1793"/>
        <v>8</v>
      </c>
      <c r="T2156" s="26"/>
      <c r="U2156" s="47"/>
      <c r="V2156" s="27"/>
      <c r="W2156" s="34"/>
      <c r="X2156" s="35">
        <f t="shared" si="1794"/>
        <v>0</v>
      </c>
      <c r="Y2156" s="11">
        <f t="shared" si="1795"/>
        <v>8</v>
      </c>
      <c r="Z2156" s="99">
        <v>45897</v>
      </c>
    </row>
    <row r="2157" spans="1:27" x14ac:dyDescent="0.15">
      <c r="A2157" s="15" t="s">
        <v>41</v>
      </c>
      <c r="B2157" s="26">
        <v>1</v>
      </c>
      <c r="C2157" s="47"/>
      <c r="D2157" s="27"/>
      <c r="E2157" s="34"/>
      <c r="F2157" s="35">
        <f t="shared" ref="F2157" si="1796">SUM(B2157:E2157)</f>
        <v>1</v>
      </c>
      <c r="G2157" s="26"/>
      <c r="H2157" s="47"/>
      <c r="I2157" s="27"/>
      <c r="J2157" s="34"/>
      <c r="K2157" s="35">
        <f t="shared" ref="K2157" si="1797">SUM(G2157:J2157)</f>
        <v>0</v>
      </c>
      <c r="L2157" s="11">
        <f t="shared" ref="L2157" si="1798">F2157+K2157</f>
        <v>1</v>
      </c>
      <c r="M2157" s="99">
        <v>45873</v>
      </c>
      <c r="N2157" s="57"/>
      <c r="O2157" s="26"/>
      <c r="P2157" s="47"/>
      <c r="Q2157" s="27"/>
      <c r="R2157" s="34"/>
      <c r="S2157" s="35">
        <f t="shared" si="1793"/>
        <v>0</v>
      </c>
      <c r="T2157" s="26"/>
      <c r="U2157" s="47"/>
      <c r="V2157" s="27"/>
      <c r="W2157" s="34"/>
      <c r="X2157" s="35">
        <f t="shared" si="1794"/>
        <v>0</v>
      </c>
      <c r="Y2157" s="11">
        <f t="shared" si="1795"/>
        <v>0</v>
      </c>
    </row>
    <row r="2158" spans="1:27" x14ac:dyDescent="0.15">
      <c r="A2158" s="32" t="s">
        <v>1788</v>
      </c>
      <c r="B2158" s="26">
        <v>1</v>
      </c>
      <c r="C2158" s="47">
        <v>1</v>
      </c>
      <c r="D2158" s="27">
        <v>2</v>
      </c>
      <c r="E2158" s="34"/>
      <c r="F2158" s="35">
        <f t="shared" si="1791"/>
        <v>4</v>
      </c>
      <c r="G2158" s="26">
        <v>1</v>
      </c>
      <c r="H2158" s="47"/>
      <c r="I2158" s="27"/>
      <c r="J2158" s="34"/>
      <c r="K2158" s="35">
        <f t="shared" si="1792"/>
        <v>1</v>
      </c>
      <c r="L2158" s="11">
        <f t="shared" si="1778"/>
        <v>5</v>
      </c>
      <c r="M2158" s="99">
        <v>45877</v>
      </c>
      <c r="N2158" s="12" t="s">
        <v>1742</v>
      </c>
      <c r="O2158" s="26"/>
      <c r="P2158" s="47"/>
      <c r="Q2158" s="27"/>
      <c r="R2158" s="34"/>
      <c r="S2158" s="35">
        <f t="shared" si="1793"/>
        <v>0</v>
      </c>
      <c r="T2158" s="26"/>
      <c r="U2158" s="47"/>
      <c r="V2158" s="27"/>
      <c r="W2158" s="34"/>
      <c r="X2158" s="35">
        <f t="shared" si="1794"/>
        <v>0</v>
      </c>
      <c r="Y2158" s="11">
        <f t="shared" si="1795"/>
        <v>0</v>
      </c>
      <c r="Z2158" s="101" t="s">
        <v>1743</v>
      </c>
    </row>
    <row r="2159" spans="1:27" x14ac:dyDescent="0.15">
      <c r="A2159" s="15" t="s">
        <v>41</v>
      </c>
      <c r="B2159" s="26"/>
      <c r="C2159" s="47">
        <v>1</v>
      </c>
      <c r="D2159" s="27"/>
      <c r="E2159" s="34">
        <v>1</v>
      </c>
      <c r="F2159" s="35">
        <f t="shared" si="1791"/>
        <v>2</v>
      </c>
      <c r="G2159" s="26"/>
      <c r="H2159" s="47"/>
      <c r="I2159" s="27"/>
      <c r="J2159" s="34"/>
      <c r="K2159" s="35">
        <f t="shared" si="1792"/>
        <v>0</v>
      </c>
      <c r="L2159" s="11">
        <f t="shared" si="1778"/>
        <v>2</v>
      </c>
      <c r="M2159" s="99">
        <v>45876</v>
      </c>
      <c r="N2159" s="153" t="s">
        <v>1729</v>
      </c>
      <c r="O2159" s="154"/>
      <c r="P2159" s="155"/>
      <c r="Q2159" s="156"/>
      <c r="R2159" s="157"/>
      <c r="S2159" s="158">
        <f t="shared" si="1793"/>
        <v>0</v>
      </c>
      <c r="T2159" s="154"/>
      <c r="U2159" s="155"/>
      <c r="V2159" s="156"/>
      <c r="W2159" s="157"/>
      <c r="X2159" s="158">
        <f t="shared" si="1794"/>
        <v>0</v>
      </c>
      <c r="Y2159" s="179">
        <f t="shared" si="1795"/>
        <v>0</v>
      </c>
      <c r="Z2159" s="101"/>
    </row>
    <row r="2160" spans="1:27" x14ac:dyDescent="0.15">
      <c r="A2160" s="79" t="s">
        <v>1789</v>
      </c>
      <c r="B2160" s="26">
        <v>-3</v>
      </c>
      <c r="C2160" s="47">
        <v>-3</v>
      </c>
      <c r="D2160" s="27">
        <v>-3</v>
      </c>
      <c r="E2160" s="34"/>
      <c r="F2160" s="35">
        <f t="shared" si="1791"/>
        <v>-9</v>
      </c>
      <c r="G2160" s="26">
        <v>-3</v>
      </c>
      <c r="H2160" s="47"/>
      <c r="I2160" s="27"/>
      <c r="J2160" s="34"/>
      <c r="K2160" s="35">
        <f t="shared" si="1792"/>
        <v>-3</v>
      </c>
      <c r="L2160" s="11">
        <f t="shared" si="1778"/>
        <v>-12</v>
      </c>
      <c r="M2160" s="99">
        <v>45877</v>
      </c>
      <c r="N2160" s="12" t="s">
        <v>1730</v>
      </c>
      <c r="O2160" s="26"/>
      <c r="P2160" s="47"/>
      <c r="Q2160" s="27"/>
      <c r="R2160" s="34"/>
      <c r="S2160" s="35">
        <f t="shared" si="1793"/>
        <v>0</v>
      </c>
      <c r="T2160" s="26"/>
      <c r="U2160" s="47"/>
      <c r="V2160" s="27"/>
      <c r="W2160" s="34"/>
      <c r="X2160" s="35">
        <f t="shared" si="1794"/>
        <v>0</v>
      </c>
      <c r="Y2160" s="11">
        <f t="shared" si="1795"/>
        <v>0</v>
      </c>
      <c r="Z2160" s="101" t="s">
        <v>1718</v>
      </c>
    </row>
    <row r="2161" spans="1:27" x14ac:dyDescent="0.15">
      <c r="A2161" s="57" t="s">
        <v>1792</v>
      </c>
      <c r="B2161" s="26"/>
      <c r="C2161" s="47">
        <v>-1</v>
      </c>
      <c r="D2161" s="27"/>
      <c r="E2161" s="34"/>
      <c r="F2161" s="35">
        <f t="shared" si="1791"/>
        <v>-1</v>
      </c>
      <c r="G2161" s="26"/>
      <c r="H2161" s="47"/>
      <c r="I2161" s="27"/>
      <c r="J2161" s="34"/>
      <c r="K2161" s="35">
        <f t="shared" si="1792"/>
        <v>0</v>
      </c>
      <c r="L2161" s="11">
        <f t="shared" si="1778"/>
        <v>-1</v>
      </c>
      <c r="M2161" s="126">
        <v>45874</v>
      </c>
      <c r="N2161" s="173" t="s">
        <v>1719</v>
      </c>
      <c r="O2161" s="154"/>
      <c r="P2161" s="155"/>
      <c r="Q2161" s="156"/>
      <c r="R2161" s="157"/>
      <c r="S2161" s="158">
        <f t="shared" si="1793"/>
        <v>0</v>
      </c>
      <c r="T2161" s="154"/>
      <c r="U2161" s="155"/>
      <c r="V2161" s="156"/>
      <c r="W2161" s="157"/>
      <c r="X2161" s="158">
        <f t="shared" si="1794"/>
        <v>0</v>
      </c>
      <c r="Y2161" s="179">
        <f t="shared" si="1795"/>
        <v>0</v>
      </c>
      <c r="Z2161" s="160"/>
    </row>
    <row r="2162" spans="1:27" ht="14.25" thickBot="1" x14ac:dyDescent="0.2">
      <c r="A2162" s="15" t="s">
        <v>41</v>
      </c>
      <c r="B2162" s="62"/>
      <c r="C2162" s="63">
        <v>1</v>
      </c>
      <c r="D2162" s="64"/>
      <c r="E2162" s="65"/>
      <c r="F2162" s="35">
        <f t="shared" si="1791"/>
        <v>1</v>
      </c>
      <c r="G2162" s="62"/>
      <c r="H2162" s="63">
        <v>1</v>
      </c>
      <c r="I2162" s="64"/>
      <c r="J2162" s="65"/>
      <c r="K2162" s="35">
        <f t="shared" si="1792"/>
        <v>1</v>
      </c>
      <c r="L2162" s="14">
        <f t="shared" si="1778"/>
        <v>2</v>
      </c>
      <c r="M2162" s="126">
        <v>45878</v>
      </c>
      <c r="N2162" s="135" t="s">
        <v>1717</v>
      </c>
      <c r="O2162" s="62"/>
      <c r="P2162" s="63"/>
      <c r="Q2162" s="64"/>
      <c r="R2162" s="65"/>
      <c r="S2162" s="120">
        <f t="shared" si="1793"/>
        <v>0</v>
      </c>
      <c r="T2162" s="62"/>
      <c r="U2162" s="63"/>
      <c r="V2162" s="64"/>
      <c r="W2162" s="65"/>
      <c r="X2162" s="120">
        <f t="shared" si="1794"/>
        <v>0</v>
      </c>
      <c r="Y2162" s="121">
        <f t="shared" si="1795"/>
        <v>0</v>
      </c>
      <c r="Z2162" s="101" t="s">
        <v>1718</v>
      </c>
    </row>
    <row r="2163" spans="1:27" ht="14.25" thickBot="1" x14ac:dyDescent="0.2">
      <c r="A2163" s="17" t="s">
        <v>10</v>
      </c>
      <c r="B2163" s="38">
        <f>SUM(B2138:B2162)</f>
        <v>14</v>
      </c>
      <c r="C2163" s="48">
        <f>SUM(C2138:C2162)</f>
        <v>9</v>
      </c>
      <c r="D2163" s="39">
        <f>SUM(D2138:D2162)</f>
        <v>12</v>
      </c>
      <c r="E2163" s="40">
        <f>SUM(E2138:E2162)</f>
        <v>16</v>
      </c>
      <c r="F2163" s="36">
        <f>SUM(B2163:E2163)</f>
        <v>51</v>
      </c>
      <c r="G2163" s="38">
        <f>SUM(G2138:G2162)</f>
        <v>10</v>
      </c>
      <c r="H2163" s="48">
        <f>SUM(H2138:H2162)</f>
        <v>11</v>
      </c>
      <c r="I2163" s="39">
        <f>SUM(I2138:I2162)</f>
        <v>7</v>
      </c>
      <c r="J2163" s="40">
        <f>SUM(J2138:J2162)</f>
        <v>8</v>
      </c>
      <c r="K2163" s="36">
        <f>SUM(G2163:J2163)</f>
        <v>36</v>
      </c>
      <c r="L2163" s="37">
        <f t="shared" si="1778"/>
        <v>87</v>
      </c>
      <c r="N2163" s="133" t="s">
        <v>10</v>
      </c>
      <c r="O2163" s="38">
        <f>SUM(O2138:O2162)</f>
        <v>46</v>
      </c>
      <c r="P2163" s="48">
        <f>SUM(P2138:P2162)</f>
        <v>72</v>
      </c>
      <c r="Q2163" s="39">
        <f>SUM(Q2138:Q2162)</f>
        <v>32</v>
      </c>
      <c r="R2163" s="40">
        <f>SUM(R2138:R2162)</f>
        <v>43</v>
      </c>
      <c r="S2163" s="118">
        <f t="shared" si="1789"/>
        <v>193</v>
      </c>
      <c r="T2163" s="38">
        <f>SUM(T2138:T2162)</f>
        <v>26</v>
      </c>
      <c r="U2163" s="48">
        <f>SUM(U2138:U2162)</f>
        <v>39</v>
      </c>
      <c r="V2163" s="39">
        <f>SUM(V2138:V2162)</f>
        <v>17</v>
      </c>
      <c r="W2163" s="40">
        <f>SUM(W2138:W2162)</f>
        <v>33</v>
      </c>
      <c r="X2163" s="118">
        <f t="shared" si="1790"/>
        <v>115</v>
      </c>
      <c r="Y2163" s="119">
        <f t="shared" si="1777"/>
        <v>308</v>
      </c>
    </row>
    <row r="2164" spans="1:27" ht="14.25" thickBot="1" x14ac:dyDescent="0.2">
      <c r="A2164" s="22" t="s">
        <v>11</v>
      </c>
      <c r="B2164" s="41">
        <f>B2137-B2163</f>
        <v>6</v>
      </c>
      <c r="C2164" s="49">
        <f>C2137-C2163</f>
        <v>6</v>
      </c>
      <c r="D2164" s="42">
        <f t="shared" ref="D2164:K2164" si="1799">D2137-D2163</f>
        <v>6</v>
      </c>
      <c r="E2164" s="43">
        <f t="shared" si="1799"/>
        <v>4</v>
      </c>
      <c r="F2164" s="61">
        <f t="shared" si="1799"/>
        <v>18</v>
      </c>
      <c r="G2164" s="41">
        <f t="shared" si="1799"/>
        <v>5</v>
      </c>
      <c r="H2164" s="49">
        <f t="shared" si="1799"/>
        <v>3</v>
      </c>
      <c r="I2164" s="42">
        <f t="shared" si="1799"/>
        <v>5</v>
      </c>
      <c r="J2164" s="43">
        <f t="shared" si="1799"/>
        <v>4</v>
      </c>
      <c r="K2164" s="61">
        <f t="shared" si="1799"/>
        <v>17</v>
      </c>
      <c r="L2164" s="21">
        <f t="shared" si="1778"/>
        <v>35</v>
      </c>
      <c r="N2164" s="17" t="s">
        <v>11</v>
      </c>
      <c r="O2164" s="41">
        <f>O2137-O2163</f>
        <v>1097</v>
      </c>
      <c r="P2164" s="49">
        <f t="shared" ref="P2164:Q2164" si="1800">P2137-P2163</f>
        <v>1387</v>
      </c>
      <c r="Q2164" s="42">
        <f t="shared" si="1800"/>
        <v>861</v>
      </c>
      <c r="R2164" s="43">
        <f>R2137-R2163</f>
        <v>561</v>
      </c>
      <c r="S2164" s="61">
        <f t="shared" ref="S2164:X2164" si="1801">S2137-S2163</f>
        <v>3906</v>
      </c>
      <c r="T2164" s="41">
        <f t="shared" si="1801"/>
        <v>899</v>
      </c>
      <c r="U2164" s="49">
        <f t="shared" si="1801"/>
        <v>988</v>
      </c>
      <c r="V2164" s="42">
        <f t="shared" si="1801"/>
        <v>752</v>
      </c>
      <c r="W2164" s="43">
        <f t="shared" si="1801"/>
        <v>522</v>
      </c>
      <c r="X2164" s="61">
        <f t="shared" si="1801"/>
        <v>3161</v>
      </c>
      <c r="Y2164" s="21">
        <f t="shared" si="1777"/>
        <v>7067</v>
      </c>
    </row>
    <row r="2167" spans="1:27" ht="19.5" thickBot="1" x14ac:dyDescent="0.25">
      <c r="A2167" s="2" t="s">
        <v>106</v>
      </c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N2167" s="2" t="s">
        <v>1036</v>
      </c>
      <c r="O2167" s="270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7" ht="14.25" thickBot="1" x14ac:dyDescent="0.2">
      <c r="A2168" s="5" t="s">
        <v>0</v>
      </c>
      <c r="B2168" s="342" t="s">
        <v>18</v>
      </c>
      <c r="C2168" s="350"/>
      <c r="D2168" s="350"/>
      <c r="E2168" s="350"/>
      <c r="F2168" s="351"/>
      <c r="G2168" s="345" t="s">
        <v>12</v>
      </c>
      <c r="H2168" s="352"/>
      <c r="I2168" s="352"/>
      <c r="J2168" s="352"/>
      <c r="K2168" s="353"/>
      <c r="L2168" s="354" t="s">
        <v>1</v>
      </c>
      <c r="N2168" s="5" t="s">
        <v>0</v>
      </c>
      <c r="O2168" s="342" t="s">
        <v>18</v>
      </c>
      <c r="P2168" s="343"/>
      <c r="Q2168" s="343"/>
      <c r="R2168" s="343"/>
      <c r="S2168" s="344"/>
      <c r="T2168" s="345" t="s">
        <v>12</v>
      </c>
      <c r="U2168" s="346"/>
      <c r="V2168" s="346"/>
      <c r="W2168" s="346"/>
      <c r="X2168" s="347"/>
      <c r="Y2168" s="348" t="s">
        <v>1</v>
      </c>
    </row>
    <row r="2169" spans="1:27" ht="14.25" thickBot="1" x14ac:dyDescent="0.2">
      <c r="A2169" s="5" t="s">
        <v>2</v>
      </c>
      <c r="B2169" s="3" t="s">
        <v>13</v>
      </c>
      <c r="C2169" s="44" t="s">
        <v>14</v>
      </c>
      <c r="D2169" s="4" t="s">
        <v>15</v>
      </c>
      <c r="E2169" s="23" t="s">
        <v>16</v>
      </c>
      <c r="F2169" s="31" t="s">
        <v>3</v>
      </c>
      <c r="G2169" s="3" t="s">
        <v>13</v>
      </c>
      <c r="H2169" s="44" t="s">
        <v>14</v>
      </c>
      <c r="I2169" s="4" t="s">
        <v>15</v>
      </c>
      <c r="J2169" s="23" t="s">
        <v>16</v>
      </c>
      <c r="K2169" s="31" t="s">
        <v>3</v>
      </c>
      <c r="L2169" s="355"/>
      <c r="N2169" s="5" t="s">
        <v>2</v>
      </c>
      <c r="O2169" s="3" t="s">
        <v>13</v>
      </c>
      <c r="P2169" s="44" t="s">
        <v>14</v>
      </c>
      <c r="Q2169" s="4" t="s">
        <v>15</v>
      </c>
      <c r="R2169" s="23" t="s">
        <v>16</v>
      </c>
      <c r="S2169" s="31" t="s">
        <v>3</v>
      </c>
      <c r="T2169" s="3" t="s">
        <v>13</v>
      </c>
      <c r="U2169" s="44" t="s">
        <v>14</v>
      </c>
      <c r="V2169" s="4" t="s">
        <v>15</v>
      </c>
      <c r="W2169" s="23" t="s">
        <v>16</v>
      </c>
      <c r="X2169" s="31" t="s">
        <v>3</v>
      </c>
      <c r="Y2169" s="349"/>
    </row>
    <row r="2170" spans="1:27" x14ac:dyDescent="0.15">
      <c r="A2170" s="71" t="s">
        <v>17</v>
      </c>
      <c r="B2170" s="72">
        <f>B2164</f>
        <v>6</v>
      </c>
      <c r="C2170" s="73">
        <f t="shared" ref="C2170:L2170" si="1802">C2164</f>
        <v>6</v>
      </c>
      <c r="D2170" s="73">
        <f t="shared" si="1802"/>
        <v>6</v>
      </c>
      <c r="E2170" s="74">
        <f t="shared" si="1802"/>
        <v>4</v>
      </c>
      <c r="F2170" s="76">
        <f t="shared" si="1802"/>
        <v>18</v>
      </c>
      <c r="G2170" s="72">
        <f t="shared" si="1802"/>
        <v>5</v>
      </c>
      <c r="H2170" s="73">
        <f t="shared" si="1802"/>
        <v>3</v>
      </c>
      <c r="I2170" s="73">
        <f t="shared" si="1802"/>
        <v>5</v>
      </c>
      <c r="J2170" s="74">
        <f t="shared" si="1802"/>
        <v>4</v>
      </c>
      <c r="K2170" s="75">
        <f t="shared" si="1802"/>
        <v>17</v>
      </c>
      <c r="L2170" s="16">
        <f t="shared" si="1802"/>
        <v>35</v>
      </c>
      <c r="N2170" s="71" t="s">
        <v>17</v>
      </c>
      <c r="O2170" s="72">
        <f>O2164</f>
        <v>1097</v>
      </c>
      <c r="P2170" s="73">
        <f t="shared" ref="P2170:Y2170" si="1803">P2164</f>
        <v>1387</v>
      </c>
      <c r="Q2170" s="73">
        <f t="shared" si="1803"/>
        <v>861</v>
      </c>
      <c r="R2170" s="74">
        <f t="shared" si="1803"/>
        <v>561</v>
      </c>
      <c r="S2170" s="76">
        <f t="shared" si="1803"/>
        <v>3906</v>
      </c>
      <c r="T2170" s="72">
        <f t="shared" si="1803"/>
        <v>899</v>
      </c>
      <c r="U2170" s="73">
        <f t="shared" si="1803"/>
        <v>988</v>
      </c>
      <c r="V2170" s="73">
        <f t="shared" si="1803"/>
        <v>752</v>
      </c>
      <c r="W2170" s="74">
        <f t="shared" si="1803"/>
        <v>522</v>
      </c>
      <c r="X2170" s="75">
        <f t="shared" si="1803"/>
        <v>3161</v>
      </c>
      <c r="Y2170" s="16">
        <f t="shared" si="1803"/>
        <v>7067</v>
      </c>
    </row>
    <row r="2171" spans="1:27" x14ac:dyDescent="0.15">
      <c r="A2171" s="13" t="s">
        <v>5</v>
      </c>
      <c r="B2171" s="26"/>
      <c r="C2171" s="47">
        <v>5</v>
      </c>
      <c r="D2171" s="27"/>
      <c r="E2171" s="50"/>
      <c r="F2171" s="9">
        <f t="shared" ref="F2171:F2172" si="1804">SUM(B2171:E2171)</f>
        <v>5</v>
      </c>
      <c r="G2171" s="47"/>
      <c r="H2171" s="47">
        <v>5</v>
      </c>
      <c r="I2171" s="27"/>
      <c r="J2171" s="50">
        <v>5</v>
      </c>
      <c r="K2171" s="9">
        <f t="shared" ref="K2171:K2172" si="1805">SUM(G2171:J2171)</f>
        <v>10</v>
      </c>
      <c r="L2171" s="11">
        <f t="shared" ref="L2171:L2202" si="1806">F2171+K2171</f>
        <v>15</v>
      </c>
      <c r="M2171" s="99">
        <v>45889</v>
      </c>
      <c r="N2171" s="13" t="s">
        <v>5</v>
      </c>
      <c r="O2171" s="26"/>
      <c r="P2171" s="47"/>
      <c r="Q2171" s="27"/>
      <c r="R2171" s="34"/>
      <c r="S2171" s="77">
        <f t="shared" ref="S2171:S2174" si="1807">SUM(O2171:R2171)</f>
        <v>0</v>
      </c>
      <c r="T2171" s="26"/>
      <c r="U2171" s="47"/>
      <c r="V2171" s="27"/>
      <c r="W2171" s="34"/>
      <c r="X2171" s="9">
        <f t="shared" ref="X2171:X2174" si="1808">SUM(T2171:W2171)</f>
        <v>0</v>
      </c>
      <c r="Y2171" s="11">
        <f t="shared" ref="Y2171:Y2202" si="1809">S2171+X2171</f>
        <v>0</v>
      </c>
    </row>
    <row r="2172" spans="1:27" x14ac:dyDescent="0.15">
      <c r="A2172" s="13" t="s">
        <v>727</v>
      </c>
      <c r="B2172" s="26">
        <v>0</v>
      </c>
      <c r="C2172" s="47">
        <v>0</v>
      </c>
      <c r="D2172" s="27">
        <v>0</v>
      </c>
      <c r="E2172" s="50">
        <v>0</v>
      </c>
      <c r="F2172" s="9">
        <f t="shared" si="1804"/>
        <v>0</v>
      </c>
      <c r="G2172" s="47">
        <v>0</v>
      </c>
      <c r="H2172" s="47">
        <v>0</v>
      </c>
      <c r="I2172" s="27">
        <v>0</v>
      </c>
      <c r="J2172" s="50">
        <v>0</v>
      </c>
      <c r="K2172" s="9">
        <f t="shared" si="1805"/>
        <v>0</v>
      </c>
      <c r="L2172" s="11">
        <f t="shared" si="1806"/>
        <v>0</v>
      </c>
      <c r="M2172" s="99">
        <v>45888</v>
      </c>
      <c r="N2172" s="13" t="s">
        <v>6</v>
      </c>
      <c r="O2172" s="26"/>
      <c r="P2172" s="47"/>
      <c r="Q2172" s="27"/>
      <c r="R2172" s="34"/>
      <c r="S2172" s="77">
        <f t="shared" si="1807"/>
        <v>0</v>
      </c>
      <c r="T2172" s="26"/>
      <c r="U2172" s="47"/>
      <c r="V2172" s="27"/>
      <c r="W2172" s="34"/>
      <c r="X2172" s="9">
        <f t="shared" si="1808"/>
        <v>0</v>
      </c>
      <c r="Y2172" s="11">
        <f t="shared" si="1809"/>
        <v>0</v>
      </c>
    </row>
    <row r="2173" spans="1:27" x14ac:dyDescent="0.15">
      <c r="A2173" s="13" t="s">
        <v>166</v>
      </c>
      <c r="B2173" s="26">
        <v>2</v>
      </c>
      <c r="C2173" s="47">
        <v>6</v>
      </c>
      <c r="D2173" s="27">
        <v>2</v>
      </c>
      <c r="E2173" s="50">
        <v>5</v>
      </c>
      <c r="F2173" s="9">
        <f>SUM(B2173:E2173)</f>
        <v>15</v>
      </c>
      <c r="G2173" s="47">
        <v>3</v>
      </c>
      <c r="H2173" s="47">
        <v>3</v>
      </c>
      <c r="I2173" s="27">
        <v>2</v>
      </c>
      <c r="J2173" s="50">
        <v>3</v>
      </c>
      <c r="K2173" s="9">
        <f>SUM(G2173:J2173)</f>
        <v>11</v>
      </c>
      <c r="L2173" s="11">
        <f t="shared" si="1806"/>
        <v>26</v>
      </c>
      <c r="M2173" s="126">
        <v>45887</v>
      </c>
      <c r="N2173" s="13" t="s">
        <v>7</v>
      </c>
      <c r="O2173" s="26"/>
      <c r="P2173" s="47"/>
      <c r="Q2173" s="27"/>
      <c r="R2173" s="34"/>
      <c r="S2173" s="77">
        <f t="shared" si="1807"/>
        <v>0</v>
      </c>
      <c r="T2173" s="26"/>
      <c r="U2173" s="47"/>
      <c r="V2173" s="27"/>
      <c r="W2173" s="34"/>
      <c r="X2173" s="9">
        <f t="shared" si="1808"/>
        <v>0</v>
      </c>
      <c r="Y2173" s="11">
        <f t="shared" si="1809"/>
        <v>0</v>
      </c>
    </row>
    <row r="2174" spans="1:27" ht="14.25" thickBot="1" x14ac:dyDescent="0.2">
      <c r="A2174" s="13" t="s">
        <v>8</v>
      </c>
      <c r="B2174" s="26"/>
      <c r="C2174" s="47"/>
      <c r="D2174" s="27"/>
      <c r="E2174" s="50"/>
      <c r="F2174" s="10">
        <f>SUM(B2174:E2174)</f>
        <v>0</v>
      </c>
      <c r="G2174" s="47"/>
      <c r="H2174" s="47">
        <v>3</v>
      </c>
      <c r="I2174" s="27"/>
      <c r="J2174" s="50"/>
      <c r="K2174" s="10">
        <f>SUM(G2174:J2174)</f>
        <v>3</v>
      </c>
      <c r="L2174" s="14">
        <f t="shared" si="1806"/>
        <v>3</v>
      </c>
      <c r="M2174" s="99">
        <v>45899</v>
      </c>
      <c r="N2174" s="13" t="s">
        <v>8</v>
      </c>
      <c r="O2174" s="26"/>
      <c r="P2174" s="47"/>
      <c r="Q2174" s="27"/>
      <c r="R2174" s="34"/>
      <c r="S2174" s="77">
        <f t="shared" si="1807"/>
        <v>0</v>
      </c>
      <c r="T2174" s="26"/>
      <c r="U2174" s="47"/>
      <c r="V2174" s="27"/>
      <c r="W2174" s="34"/>
      <c r="X2174" s="9">
        <f t="shared" si="1808"/>
        <v>0</v>
      </c>
      <c r="Y2174" s="11">
        <f t="shared" si="1809"/>
        <v>0</v>
      </c>
    </row>
    <row r="2175" spans="1:27" ht="14.25" thickBot="1" x14ac:dyDescent="0.2">
      <c r="A2175" s="22" t="s">
        <v>9</v>
      </c>
      <c r="B2175" s="41">
        <f t="shared" ref="B2175:K2175" si="1810">SUM(B2170:B2174)</f>
        <v>8</v>
      </c>
      <c r="C2175" s="49">
        <f t="shared" si="1810"/>
        <v>17</v>
      </c>
      <c r="D2175" s="42">
        <f t="shared" si="1810"/>
        <v>8</v>
      </c>
      <c r="E2175" s="92">
        <f t="shared" si="1810"/>
        <v>9</v>
      </c>
      <c r="F2175" s="132">
        <f t="shared" si="1810"/>
        <v>38</v>
      </c>
      <c r="G2175" s="41">
        <f t="shared" si="1810"/>
        <v>8</v>
      </c>
      <c r="H2175" s="49">
        <f t="shared" si="1810"/>
        <v>14</v>
      </c>
      <c r="I2175" s="42">
        <f t="shared" si="1810"/>
        <v>7</v>
      </c>
      <c r="J2175" s="92">
        <f t="shared" si="1810"/>
        <v>12</v>
      </c>
      <c r="K2175" s="132">
        <f t="shared" si="1810"/>
        <v>41</v>
      </c>
      <c r="L2175" s="21">
        <f t="shared" si="1806"/>
        <v>79</v>
      </c>
      <c r="N2175" s="17" t="s">
        <v>9</v>
      </c>
      <c r="O2175" s="41">
        <f>SUM(O2170:O2174)</f>
        <v>1097</v>
      </c>
      <c r="P2175" s="49">
        <f t="shared" ref="P2175:V2175" si="1811">SUM(P2170:P2174)</f>
        <v>1387</v>
      </c>
      <c r="Q2175" s="42">
        <f t="shared" si="1811"/>
        <v>861</v>
      </c>
      <c r="R2175" s="92">
        <f t="shared" si="1811"/>
        <v>561</v>
      </c>
      <c r="S2175" s="93">
        <f t="shared" si="1811"/>
        <v>3906</v>
      </c>
      <c r="T2175" s="41">
        <f t="shared" si="1811"/>
        <v>899</v>
      </c>
      <c r="U2175" s="49">
        <f t="shared" si="1811"/>
        <v>988</v>
      </c>
      <c r="V2175" s="42">
        <f t="shared" si="1811"/>
        <v>752</v>
      </c>
      <c r="W2175" s="92">
        <f>SUM(W2170:W2174)</f>
        <v>522</v>
      </c>
      <c r="X2175" s="93">
        <f t="shared" ref="X2175" si="1812">SUM(X2170:X2174)</f>
        <v>3161</v>
      </c>
      <c r="Y2175" s="56">
        <f t="shared" si="1809"/>
        <v>7067</v>
      </c>
    </row>
    <row r="2176" spans="1:27" x14ac:dyDescent="0.15">
      <c r="A2176" s="32" t="s">
        <v>1793</v>
      </c>
      <c r="B2176" s="66"/>
      <c r="C2176" s="67"/>
      <c r="D2176" s="68">
        <v>1</v>
      </c>
      <c r="E2176" s="69">
        <v>1</v>
      </c>
      <c r="F2176" s="70">
        <f t="shared" ref="F2176:F2200" si="1813">SUM(B2176:E2176)</f>
        <v>2</v>
      </c>
      <c r="G2176" s="66"/>
      <c r="H2176" s="67"/>
      <c r="I2176" s="68"/>
      <c r="J2176" s="69">
        <v>1</v>
      </c>
      <c r="K2176" s="70">
        <f t="shared" ref="K2176:K2200" si="1814">SUM(G2176:J2176)</f>
        <v>1</v>
      </c>
      <c r="L2176" s="11">
        <f t="shared" si="1806"/>
        <v>3</v>
      </c>
      <c r="M2176" s="99">
        <v>45889</v>
      </c>
      <c r="N2176" s="12" t="s">
        <v>1809</v>
      </c>
      <c r="O2176" s="26">
        <v>10</v>
      </c>
      <c r="P2176" s="47">
        <v>5</v>
      </c>
      <c r="Q2176" s="27">
        <v>5</v>
      </c>
      <c r="R2176" s="34">
        <v>5</v>
      </c>
      <c r="S2176" s="35">
        <f t="shared" ref="S2176:S2179" si="1815">SUM(O2176:R2176)</f>
        <v>25</v>
      </c>
      <c r="T2176" s="26"/>
      <c r="U2176" s="47">
        <v>5</v>
      </c>
      <c r="V2176" s="27"/>
      <c r="W2176" s="34"/>
      <c r="X2176" s="35">
        <f t="shared" ref="X2176:X2179" si="1816">SUM(T2176:W2176)</f>
        <v>5</v>
      </c>
      <c r="Y2176" s="11">
        <f t="shared" si="1809"/>
        <v>30</v>
      </c>
      <c r="Z2176" s="99">
        <v>45898</v>
      </c>
      <c r="AA2176" s="58"/>
    </row>
    <row r="2177" spans="1:27" x14ac:dyDescent="0.15">
      <c r="A2177" s="15" t="s">
        <v>41</v>
      </c>
      <c r="B2177" s="26">
        <v>1</v>
      </c>
      <c r="C2177" s="47">
        <f>2+3</f>
        <v>5</v>
      </c>
      <c r="D2177" s="27">
        <v>1</v>
      </c>
      <c r="E2177" s="34"/>
      <c r="F2177" s="35">
        <f t="shared" si="1813"/>
        <v>7</v>
      </c>
      <c r="G2177" s="26"/>
      <c r="H2177" s="47">
        <f>1+2</f>
        <v>3</v>
      </c>
      <c r="I2177" s="27">
        <f>1+1</f>
        <v>2</v>
      </c>
      <c r="J2177" s="34">
        <f>1+2</f>
        <v>3</v>
      </c>
      <c r="K2177" s="35">
        <f t="shared" si="1814"/>
        <v>8</v>
      </c>
      <c r="L2177" s="11">
        <f t="shared" si="1806"/>
        <v>15</v>
      </c>
      <c r="M2177" s="126">
        <v>45887</v>
      </c>
      <c r="N2177" s="12" t="s">
        <v>1810</v>
      </c>
      <c r="O2177" s="26">
        <v>5</v>
      </c>
      <c r="P2177" s="47">
        <v>5</v>
      </c>
      <c r="Q2177" s="27">
        <v>5</v>
      </c>
      <c r="R2177" s="34"/>
      <c r="S2177" s="35">
        <f t="shared" si="1815"/>
        <v>15</v>
      </c>
      <c r="T2177" s="26">
        <v>3</v>
      </c>
      <c r="U2177" s="47">
        <v>3</v>
      </c>
      <c r="V2177" s="27">
        <v>3</v>
      </c>
      <c r="W2177" s="34">
        <v>12</v>
      </c>
      <c r="X2177" s="35">
        <f t="shared" si="1816"/>
        <v>21</v>
      </c>
      <c r="Y2177" s="11">
        <f t="shared" si="1809"/>
        <v>36</v>
      </c>
      <c r="Z2177" s="99">
        <v>45898</v>
      </c>
      <c r="AA2177" s="58"/>
    </row>
    <row r="2178" spans="1:27" x14ac:dyDescent="0.15">
      <c r="A2178" s="15" t="s">
        <v>41</v>
      </c>
      <c r="B2178" s="26"/>
      <c r="C2178" s="47"/>
      <c r="D2178" s="27"/>
      <c r="E2178" s="34"/>
      <c r="F2178" s="35">
        <f t="shared" si="1813"/>
        <v>0</v>
      </c>
      <c r="G2178" s="26">
        <v>1</v>
      </c>
      <c r="H2178" s="47"/>
      <c r="I2178" s="27"/>
      <c r="J2178" s="34"/>
      <c r="K2178" s="35">
        <f t="shared" si="1814"/>
        <v>1</v>
      </c>
      <c r="L2178" s="11">
        <f t="shared" si="1806"/>
        <v>1</v>
      </c>
      <c r="M2178" s="126">
        <v>45888</v>
      </c>
      <c r="N2178" s="12" t="s">
        <v>1816</v>
      </c>
      <c r="O2178" s="26"/>
      <c r="P2178" s="47">
        <v>15</v>
      </c>
      <c r="Q2178" s="27">
        <v>5</v>
      </c>
      <c r="R2178" s="34"/>
      <c r="S2178" s="35">
        <f t="shared" si="1815"/>
        <v>20</v>
      </c>
      <c r="T2178" s="26">
        <v>5</v>
      </c>
      <c r="U2178" s="47">
        <v>5</v>
      </c>
      <c r="V2178" s="27"/>
      <c r="W2178" s="34"/>
      <c r="X2178" s="35">
        <f t="shared" si="1816"/>
        <v>10</v>
      </c>
      <c r="Y2178" s="11">
        <f t="shared" si="1809"/>
        <v>30</v>
      </c>
      <c r="Z2178" s="99">
        <v>45899</v>
      </c>
      <c r="AA2178" s="58"/>
    </row>
    <row r="2179" spans="1:27" x14ac:dyDescent="0.15">
      <c r="A2179" s="15" t="s">
        <v>41</v>
      </c>
      <c r="B2179" s="26"/>
      <c r="C2179" s="47"/>
      <c r="D2179" s="27">
        <v>1</v>
      </c>
      <c r="E2179" s="34"/>
      <c r="F2179" s="35">
        <f t="shared" si="1813"/>
        <v>1</v>
      </c>
      <c r="G2179" s="26"/>
      <c r="H2179" s="47"/>
      <c r="I2179" s="27"/>
      <c r="J2179" s="34">
        <v>1</v>
      </c>
      <c r="K2179" s="35">
        <f t="shared" si="1814"/>
        <v>1</v>
      </c>
      <c r="L2179" s="11">
        <f t="shared" si="1806"/>
        <v>2</v>
      </c>
      <c r="M2179" s="126">
        <v>45889</v>
      </c>
      <c r="N2179" s="12" t="s">
        <v>1817</v>
      </c>
      <c r="O2179" s="26"/>
      <c r="P2179" s="47"/>
      <c r="Q2179" s="27"/>
      <c r="R2179" s="34"/>
      <c r="S2179" s="35">
        <f t="shared" si="1815"/>
        <v>0</v>
      </c>
      <c r="T2179" s="26">
        <v>5</v>
      </c>
      <c r="U2179" s="47"/>
      <c r="V2179" s="27">
        <v>1</v>
      </c>
      <c r="W2179" s="34"/>
      <c r="X2179" s="35">
        <f t="shared" si="1816"/>
        <v>6</v>
      </c>
      <c r="Y2179" s="11">
        <f t="shared" si="1809"/>
        <v>6</v>
      </c>
      <c r="Z2179" s="99">
        <v>45899</v>
      </c>
      <c r="AA2179" s="58"/>
    </row>
    <row r="2180" spans="1:27" x14ac:dyDescent="0.15">
      <c r="A2180" s="32" t="s">
        <v>1799</v>
      </c>
      <c r="B2180" s="26"/>
      <c r="C2180" s="47"/>
      <c r="D2180" s="27"/>
      <c r="E2180" s="34"/>
      <c r="F2180" s="35">
        <f t="shared" si="1813"/>
        <v>0</v>
      </c>
      <c r="G2180" s="26"/>
      <c r="H2180" s="47">
        <v>1</v>
      </c>
      <c r="I2180" s="27"/>
      <c r="J2180" s="34"/>
      <c r="K2180" s="35">
        <f t="shared" si="1814"/>
        <v>1</v>
      </c>
      <c r="L2180" s="11">
        <f t="shared" si="1806"/>
        <v>1</v>
      </c>
      <c r="M2180" s="99">
        <v>45891</v>
      </c>
      <c r="N2180" s="12" t="s">
        <v>34</v>
      </c>
      <c r="O2180" s="26"/>
      <c r="P2180" s="47"/>
      <c r="Q2180" s="27"/>
      <c r="R2180" s="34"/>
      <c r="S2180" s="35">
        <f>SUM(O2180:R2180)</f>
        <v>0</v>
      </c>
      <c r="T2180" s="26"/>
      <c r="U2180" s="47">
        <v>3</v>
      </c>
      <c r="V2180" s="27"/>
      <c r="W2180" s="34"/>
      <c r="X2180" s="35">
        <f>SUM(T2180:W2180)</f>
        <v>3</v>
      </c>
      <c r="Y2180" s="11">
        <f t="shared" si="1809"/>
        <v>3</v>
      </c>
      <c r="Z2180" s="99">
        <v>45899</v>
      </c>
    </row>
    <row r="2181" spans="1:27" x14ac:dyDescent="0.15">
      <c r="A2181" s="15" t="s">
        <v>41</v>
      </c>
      <c r="B2181" s="26"/>
      <c r="C2181" s="47"/>
      <c r="D2181" s="27"/>
      <c r="E2181" s="34"/>
      <c r="F2181" s="35">
        <f t="shared" si="1813"/>
        <v>0</v>
      </c>
      <c r="G2181" s="26">
        <v>1</v>
      </c>
      <c r="H2181" s="47"/>
      <c r="I2181" s="27"/>
      <c r="J2181" s="34"/>
      <c r="K2181" s="35">
        <f t="shared" si="1814"/>
        <v>1</v>
      </c>
      <c r="L2181" s="11">
        <f t="shared" si="1806"/>
        <v>1</v>
      </c>
      <c r="M2181" s="99">
        <v>45891</v>
      </c>
      <c r="N2181" s="12"/>
      <c r="O2181" s="26"/>
      <c r="P2181" s="47"/>
      <c r="Q2181" s="27"/>
      <c r="R2181" s="50"/>
      <c r="S2181" s="9">
        <f t="shared" ref="S2181" si="1817">SUM(O2181:R2181)</f>
        <v>0</v>
      </c>
      <c r="T2181" s="47"/>
      <c r="U2181" s="47"/>
      <c r="V2181" s="27"/>
      <c r="W2181" s="50"/>
      <c r="X2181" s="9">
        <f t="shared" ref="X2181" si="1818">SUM(T2181:W2181)</f>
        <v>0</v>
      </c>
      <c r="Y2181" s="11">
        <f t="shared" si="1809"/>
        <v>0</v>
      </c>
    </row>
    <row r="2182" spans="1:27" x14ac:dyDescent="0.15">
      <c r="A2182" s="32" t="s">
        <v>1804</v>
      </c>
      <c r="B2182" s="26">
        <v>1</v>
      </c>
      <c r="C2182" s="47">
        <v>1</v>
      </c>
      <c r="D2182" s="27"/>
      <c r="E2182" s="34"/>
      <c r="F2182" s="35">
        <f t="shared" si="1813"/>
        <v>2</v>
      </c>
      <c r="G2182" s="26"/>
      <c r="H2182" s="47">
        <v>1</v>
      </c>
      <c r="I2182" s="27"/>
      <c r="J2182" s="34"/>
      <c r="K2182" s="35">
        <f t="shared" si="1814"/>
        <v>1</v>
      </c>
      <c r="L2182" s="11">
        <f t="shared" si="1806"/>
        <v>3</v>
      </c>
      <c r="M2182" s="99">
        <v>45896</v>
      </c>
      <c r="N2182" s="12"/>
      <c r="O2182" s="26"/>
      <c r="P2182" s="47"/>
      <c r="Q2182" s="27"/>
      <c r="R2182" s="50"/>
      <c r="S2182" s="9">
        <f t="shared" ref="S2182" si="1819">SUM(O2182:R2182)</f>
        <v>0</v>
      </c>
      <c r="T2182" s="47"/>
      <c r="U2182" s="47"/>
      <c r="V2182" s="27"/>
      <c r="W2182" s="50"/>
      <c r="X2182" s="9">
        <f t="shared" ref="X2182" si="1820">SUM(T2182:W2182)</f>
        <v>0</v>
      </c>
      <c r="Y2182" s="11">
        <f t="shared" ref="Y2182" si="1821">S2182+X2182</f>
        <v>0</v>
      </c>
    </row>
    <row r="2183" spans="1:27" x14ac:dyDescent="0.15">
      <c r="A2183" s="15" t="s">
        <v>41</v>
      </c>
      <c r="B2183" s="26"/>
      <c r="C2183" s="47">
        <v>1</v>
      </c>
      <c r="D2183" s="27"/>
      <c r="E2183" s="34"/>
      <c r="F2183" s="35">
        <f t="shared" si="1813"/>
        <v>1</v>
      </c>
      <c r="G2183" s="26"/>
      <c r="H2183" s="47"/>
      <c r="I2183" s="27"/>
      <c r="J2183" s="34">
        <v>2</v>
      </c>
      <c r="K2183" s="35">
        <f t="shared" si="1814"/>
        <v>2</v>
      </c>
      <c r="L2183" s="11">
        <f t="shared" si="1806"/>
        <v>3</v>
      </c>
      <c r="M2183" s="99">
        <v>45894</v>
      </c>
      <c r="N2183" s="12"/>
      <c r="O2183" s="26"/>
      <c r="P2183" s="47"/>
      <c r="Q2183" s="27"/>
      <c r="R2183" s="50"/>
      <c r="S2183" s="9">
        <f>SUM(O2183:R2183)</f>
        <v>0</v>
      </c>
      <c r="T2183" s="47"/>
      <c r="U2183" s="47"/>
      <c r="V2183" s="27"/>
      <c r="W2183" s="50"/>
      <c r="X2183" s="9">
        <f>SUM(T2183:W2183)</f>
        <v>0</v>
      </c>
      <c r="Y2183" s="11">
        <f t="shared" si="1809"/>
        <v>0</v>
      </c>
    </row>
    <row r="2184" spans="1:27" x14ac:dyDescent="0.15">
      <c r="A2184" s="32" t="s">
        <v>1805</v>
      </c>
      <c r="B2184" s="26"/>
      <c r="C2184" s="47"/>
      <c r="D2184" s="27"/>
      <c r="E2184" s="34"/>
      <c r="F2184" s="35">
        <f t="shared" si="1813"/>
        <v>0</v>
      </c>
      <c r="G2184" s="26"/>
      <c r="H2184" s="47">
        <v>1</v>
      </c>
      <c r="I2184" s="27"/>
      <c r="J2184" s="34"/>
      <c r="K2184" s="35">
        <f t="shared" si="1814"/>
        <v>1</v>
      </c>
      <c r="L2184" s="11">
        <f t="shared" si="1806"/>
        <v>1</v>
      </c>
      <c r="M2184" s="99">
        <v>45897</v>
      </c>
      <c r="N2184" s="12"/>
      <c r="O2184" s="26"/>
      <c r="P2184" s="47"/>
      <c r="Q2184" s="27"/>
      <c r="R2184" s="34"/>
      <c r="S2184" s="35">
        <f t="shared" ref="S2184:S2201" si="1822">SUM(O2184:R2184)</f>
        <v>0</v>
      </c>
      <c r="T2184" s="26"/>
      <c r="U2184" s="47"/>
      <c r="V2184" s="27"/>
      <c r="W2184" s="34"/>
      <c r="X2184" s="35">
        <f t="shared" ref="X2184:X2201" si="1823">SUM(T2184:W2184)</f>
        <v>0</v>
      </c>
      <c r="Y2184" s="11">
        <f t="shared" si="1809"/>
        <v>0</v>
      </c>
    </row>
    <row r="2185" spans="1:27" x14ac:dyDescent="0.15">
      <c r="A2185" s="15" t="s">
        <v>41</v>
      </c>
      <c r="B2185" s="26"/>
      <c r="C2185" s="47"/>
      <c r="D2185" s="27"/>
      <c r="E2185" s="34"/>
      <c r="F2185" s="35">
        <f t="shared" si="1813"/>
        <v>0</v>
      </c>
      <c r="G2185" s="26"/>
      <c r="H2185" s="47"/>
      <c r="I2185" s="27">
        <v>1</v>
      </c>
      <c r="J2185" s="34"/>
      <c r="K2185" s="35">
        <f t="shared" si="1814"/>
        <v>1</v>
      </c>
      <c r="L2185" s="11">
        <f t="shared" si="1806"/>
        <v>1</v>
      </c>
      <c r="M2185" s="99">
        <v>45895</v>
      </c>
      <c r="N2185" s="12"/>
      <c r="O2185" s="26"/>
      <c r="P2185" s="47"/>
      <c r="Q2185" s="27"/>
      <c r="R2185" s="34"/>
      <c r="S2185" s="35">
        <f t="shared" si="1822"/>
        <v>0</v>
      </c>
      <c r="T2185" s="26"/>
      <c r="U2185" s="47"/>
      <c r="V2185" s="27"/>
      <c r="W2185" s="34"/>
      <c r="X2185" s="35">
        <f t="shared" si="1823"/>
        <v>0</v>
      </c>
      <c r="Y2185" s="11">
        <f t="shared" si="1809"/>
        <v>0</v>
      </c>
    </row>
    <row r="2186" spans="1:27" x14ac:dyDescent="0.15">
      <c r="A2186" s="15" t="s">
        <v>41</v>
      </c>
      <c r="B2186" s="26"/>
      <c r="C2186" s="47"/>
      <c r="D2186" s="27"/>
      <c r="E2186" s="34">
        <v>2</v>
      </c>
      <c r="F2186" s="35">
        <f t="shared" si="1813"/>
        <v>2</v>
      </c>
      <c r="G2186" s="26">
        <v>1</v>
      </c>
      <c r="H2186" s="47"/>
      <c r="I2186" s="27"/>
      <c r="J2186" s="34">
        <v>1</v>
      </c>
      <c r="K2186" s="35">
        <f t="shared" si="1814"/>
        <v>2</v>
      </c>
      <c r="L2186" s="11">
        <f t="shared" si="1806"/>
        <v>4</v>
      </c>
      <c r="M2186" s="99">
        <v>45896</v>
      </c>
      <c r="N2186" s="12"/>
      <c r="O2186" s="26"/>
      <c r="P2186" s="47"/>
      <c r="Q2186" s="27"/>
      <c r="R2186" s="34"/>
      <c r="S2186" s="35">
        <f t="shared" si="1822"/>
        <v>0</v>
      </c>
      <c r="T2186" s="26"/>
      <c r="U2186" s="47"/>
      <c r="V2186" s="27"/>
      <c r="W2186" s="34"/>
      <c r="X2186" s="35">
        <f t="shared" si="1823"/>
        <v>0</v>
      </c>
      <c r="Y2186" s="11">
        <f t="shared" si="1809"/>
        <v>0</v>
      </c>
    </row>
    <row r="2187" spans="1:27" x14ac:dyDescent="0.15">
      <c r="A2187" s="32" t="s">
        <v>1808</v>
      </c>
      <c r="B2187" s="26"/>
      <c r="C2187" s="47">
        <v>3</v>
      </c>
      <c r="D2187" s="27"/>
      <c r="E2187" s="34"/>
      <c r="F2187" s="35">
        <f t="shared" si="1813"/>
        <v>3</v>
      </c>
      <c r="G2187" s="26"/>
      <c r="H2187" s="47">
        <v>1</v>
      </c>
      <c r="I2187" s="27"/>
      <c r="J2187" s="34"/>
      <c r="K2187" s="35">
        <f t="shared" si="1814"/>
        <v>1</v>
      </c>
      <c r="L2187" s="11">
        <f t="shared" si="1806"/>
        <v>4</v>
      </c>
      <c r="M2187" s="99">
        <v>45898</v>
      </c>
      <c r="N2187" s="12"/>
      <c r="O2187" s="26"/>
      <c r="P2187" s="47"/>
      <c r="Q2187" s="27"/>
      <c r="R2187" s="34"/>
      <c r="S2187" s="35">
        <f t="shared" si="1822"/>
        <v>0</v>
      </c>
      <c r="T2187" s="26"/>
      <c r="U2187" s="47"/>
      <c r="V2187" s="27"/>
      <c r="W2187" s="34"/>
      <c r="X2187" s="35">
        <f t="shared" si="1823"/>
        <v>0</v>
      </c>
      <c r="Y2187" s="11">
        <f t="shared" si="1809"/>
        <v>0</v>
      </c>
    </row>
    <row r="2188" spans="1:27" x14ac:dyDescent="0.15">
      <c r="A2188" s="15" t="s">
        <v>1811</v>
      </c>
      <c r="B2188" s="26">
        <v>-2</v>
      </c>
      <c r="C2188" s="47"/>
      <c r="D2188" s="27"/>
      <c r="E2188" s="34"/>
      <c r="F2188" s="35">
        <f t="shared" si="1813"/>
        <v>-2</v>
      </c>
      <c r="G2188" s="26"/>
      <c r="H2188" s="47"/>
      <c r="I2188" s="27"/>
      <c r="J2188" s="34"/>
      <c r="K2188" s="35">
        <f t="shared" si="1814"/>
        <v>0</v>
      </c>
      <c r="L2188" s="11">
        <f t="shared" si="1806"/>
        <v>-2</v>
      </c>
      <c r="M2188" s="99">
        <v>45895</v>
      </c>
      <c r="N2188" s="12"/>
      <c r="O2188" s="26"/>
      <c r="P2188" s="47"/>
      <c r="Q2188" s="27"/>
      <c r="R2188" s="34"/>
      <c r="S2188" s="35">
        <f t="shared" si="1822"/>
        <v>0</v>
      </c>
      <c r="T2188" s="26"/>
      <c r="U2188" s="47"/>
      <c r="V2188" s="27"/>
      <c r="W2188" s="34"/>
      <c r="X2188" s="35">
        <f t="shared" si="1823"/>
        <v>0</v>
      </c>
      <c r="Y2188" s="11">
        <f t="shared" si="1809"/>
        <v>0</v>
      </c>
    </row>
    <row r="2189" spans="1:27" x14ac:dyDescent="0.15">
      <c r="A2189" s="13" t="s">
        <v>1812</v>
      </c>
      <c r="B2189" s="26">
        <v>-1</v>
      </c>
      <c r="C2189" s="47">
        <v>-2</v>
      </c>
      <c r="D2189" s="27"/>
      <c r="E2189" s="34"/>
      <c r="F2189" s="35">
        <f t="shared" si="1813"/>
        <v>-3</v>
      </c>
      <c r="G2189" s="26"/>
      <c r="H2189" s="47">
        <v>-1</v>
      </c>
      <c r="I2189" s="27"/>
      <c r="J2189" s="34"/>
      <c r="K2189" s="35">
        <f t="shared" si="1814"/>
        <v>-1</v>
      </c>
      <c r="L2189" s="11">
        <f t="shared" si="1806"/>
        <v>-4</v>
      </c>
      <c r="M2189" s="126">
        <v>45895</v>
      </c>
      <c r="N2189" s="12"/>
      <c r="O2189" s="26"/>
      <c r="P2189" s="47"/>
      <c r="Q2189" s="27"/>
      <c r="R2189" s="34"/>
      <c r="S2189" s="35">
        <f t="shared" si="1822"/>
        <v>0</v>
      </c>
      <c r="T2189" s="26"/>
      <c r="U2189" s="47"/>
      <c r="V2189" s="27"/>
      <c r="W2189" s="34"/>
      <c r="X2189" s="35">
        <f t="shared" si="1823"/>
        <v>0</v>
      </c>
      <c r="Y2189" s="11">
        <f t="shared" si="1809"/>
        <v>0</v>
      </c>
    </row>
    <row r="2190" spans="1:27" x14ac:dyDescent="0.15">
      <c r="A2190" s="15" t="s">
        <v>41</v>
      </c>
      <c r="B2190" s="26"/>
      <c r="C2190" s="47"/>
      <c r="D2190" s="27"/>
      <c r="E2190" s="34"/>
      <c r="F2190" s="35">
        <f t="shared" ref="F2190:F2192" si="1824">SUM(B2190:E2190)</f>
        <v>0</v>
      </c>
      <c r="G2190" s="26">
        <v>1</v>
      </c>
      <c r="H2190" s="47">
        <v>3</v>
      </c>
      <c r="I2190" s="27"/>
      <c r="J2190" s="34"/>
      <c r="K2190" s="35">
        <f t="shared" ref="K2190:K2192" si="1825">SUM(G2190:J2190)</f>
        <v>4</v>
      </c>
      <c r="L2190" s="11">
        <f t="shared" ref="L2190:L2192" si="1826">F2190+K2190</f>
        <v>4</v>
      </c>
      <c r="M2190" s="126">
        <v>45898</v>
      </c>
      <c r="N2190" s="57"/>
      <c r="O2190" s="26"/>
      <c r="P2190" s="47"/>
      <c r="Q2190" s="27"/>
      <c r="R2190" s="34"/>
      <c r="S2190" s="35">
        <f t="shared" si="1822"/>
        <v>0</v>
      </c>
      <c r="T2190" s="26"/>
      <c r="U2190" s="47"/>
      <c r="V2190" s="27"/>
      <c r="W2190" s="34"/>
      <c r="X2190" s="35">
        <f t="shared" si="1823"/>
        <v>0</v>
      </c>
      <c r="Y2190" s="11">
        <f t="shared" si="1809"/>
        <v>0</v>
      </c>
    </row>
    <row r="2191" spans="1:27" x14ac:dyDescent="0.15">
      <c r="A2191" s="15" t="s">
        <v>41</v>
      </c>
      <c r="B2191" s="26">
        <v>1</v>
      </c>
      <c r="C2191" s="47"/>
      <c r="D2191" s="27"/>
      <c r="E2191" s="34"/>
      <c r="F2191" s="35">
        <f t="shared" si="1824"/>
        <v>1</v>
      </c>
      <c r="G2191" s="26">
        <v>1</v>
      </c>
      <c r="H2191" s="47"/>
      <c r="I2191" s="27">
        <v>1</v>
      </c>
      <c r="J2191" s="34"/>
      <c r="K2191" s="35">
        <f t="shared" si="1825"/>
        <v>2</v>
      </c>
      <c r="L2191" s="11">
        <f t="shared" si="1826"/>
        <v>3</v>
      </c>
      <c r="M2191" s="126">
        <v>45899</v>
      </c>
      <c r="N2191" s="12"/>
      <c r="O2191" s="26"/>
      <c r="P2191" s="47"/>
      <c r="Q2191" s="27"/>
      <c r="R2191" s="34"/>
      <c r="S2191" s="35">
        <f t="shared" si="1822"/>
        <v>0</v>
      </c>
      <c r="T2191" s="26"/>
      <c r="U2191" s="47"/>
      <c r="V2191" s="27"/>
      <c r="W2191" s="34"/>
      <c r="X2191" s="35">
        <f t="shared" si="1823"/>
        <v>0</v>
      </c>
      <c r="Y2191" s="11">
        <f t="shared" si="1809"/>
        <v>0</v>
      </c>
    </row>
    <row r="2192" spans="1:27" x14ac:dyDescent="0.15">
      <c r="A2192" s="13"/>
      <c r="B2192" s="26"/>
      <c r="C2192" s="47"/>
      <c r="D2192" s="27"/>
      <c r="E2192" s="34"/>
      <c r="F2192" s="35">
        <f t="shared" si="1824"/>
        <v>0</v>
      </c>
      <c r="G2192" s="26"/>
      <c r="H2192" s="47"/>
      <c r="I2192" s="27"/>
      <c r="J2192" s="34"/>
      <c r="K2192" s="35">
        <f t="shared" si="1825"/>
        <v>0</v>
      </c>
      <c r="L2192" s="11">
        <f t="shared" si="1826"/>
        <v>0</v>
      </c>
      <c r="N2192" s="57"/>
      <c r="O2192" s="26"/>
      <c r="P2192" s="47"/>
      <c r="Q2192" s="27"/>
      <c r="R2192" s="34"/>
      <c r="S2192" s="35">
        <f t="shared" si="1822"/>
        <v>0</v>
      </c>
      <c r="T2192" s="26"/>
      <c r="U2192" s="47"/>
      <c r="V2192" s="27"/>
      <c r="W2192" s="34"/>
      <c r="X2192" s="35">
        <f t="shared" si="1823"/>
        <v>0</v>
      </c>
      <c r="Y2192" s="11">
        <f t="shared" si="1809"/>
        <v>0</v>
      </c>
    </row>
    <row r="2193" spans="1:25" x14ac:dyDescent="0.15">
      <c r="A2193" s="15"/>
      <c r="B2193" s="26"/>
      <c r="C2193" s="47"/>
      <c r="D2193" s="27"/>
      <c r="E2193" s="34"/>
      <c r="F2193" s="35">
        <f t="shared" si="1813"/>
        <v>0</v>
      </c>
      <c r="G2193" s="26"/>
      <c r="H2193" s="47"/>
      <c r="I2193" s="27"/>
      <c r="J2193" s="34"/>
      <c r="K2193" s="35">
        <f t="shared" si="1814"/>
        <v>0</v>
      </c>
      <c r="L2193" s="11">
        <f t="shared" si="1806"/>
        <v>0</v>
      </c>
      <c r="N2193" s="57"/>
      <c r="O2193" s="26"/>
      <c r="P2193" s="47"/>
      <c r="Q2193" s="27"/>
      <c r="R2193" s="34"/>
      <c r="S2193" s="35">
        <f t="shared" si="1822"/>
        <v>0</v>
      </c>
      <c r="T2193" s="26"/>
      <c r="U2193" s="47"/>
      <c r="V2193" s="27"/>
      <c r="W2193" s="34"/>
      <c r="X2193" s="35">
        <f t="shared" si="1823"/>
        <v>0</v>
      </c>
      <c r="Y2193" s="11">
        <f t="shared" si="1809"/>
        <v>0</v>
      </c>
    </row>
    <row r="2194" spans="1:25" x14ac:dyDescent="0.15">
      <c r="A2194" s="13"/>
      <c r="B2194" s="26"/>
      <c r="C2194" s="47"/>
      <c r="D2194" s="27"/>
      <c r="E2194" s="34"/>
      <c r="F2194" s="35">
        <f t="shared" si="1813"/>
        <v>0</v>
      </c>
      <c r="G2194" s="26"/>
      <c r="H2194" s="47"/>
      <c r="I2194" s="27"/>
      <c r="J2194" s="34"/>
      <c r="K2194" s="35">
        <f t="shared" si="1814"/>
        <v>0</v>
      </c>
      <c r="L2194" s="11">
        <f t="shared" si="1806"/>
        <v>0</v>
      </c>
      <c r="N2194" s="57"/>
      <c r="O2194" s="26"/>
      <c r="P2194" s="47"/>
      <c r="Q2194" s="27"/>
      <c r="R2194" s="34"/>
      <c r="S2194" s="35">
        <f t="shared" si="1822"/>
        <v>0</v>
      </c>
      <c r="T2194" s="26"/>
      <c r="U2194" s="47"/>
      <c r="V2194" s="27"/>
      <c r="W2194" s="34"/>
      <c r="X2194" s="35">
        <f t="shared" si="1823"/>
        <v>0</v>
      </c>
      <c r="Y2194" s="11">
        <f t="shared" si="1809"/>
        <v>0</v>
      </c>
    </row>
    <row r="2195" spans="1:25" x14ac:dyDescent="0.15">
      <c r="A2195" s="32"/>
      <c r="B2195" s="26"/>
      <c r="C2195" s="47"/>
      <c r="D2195" s="27"/>
      <c r="E2195" s="34"/>
      <c r="F2195" s="35">
        <f t="shared" si="1813"/>
        <v>0</v>
      </c>
      <c r="G2195" s="26"/>
      <c r="H2195" s="47"/>
      <c r="I2195" s="27"/>
      <c r="J2195" s="34"/>
      <c r="K2195" s="35">
        <f t="shared" si="1814"/>
        <v>0</v>
      </c>
      <c r="L2195" s="11">
        <f t="shared" si="1806"/>
        <v>0</v>
      </c>
      <c r="N2195" s="57"/>
      <c r="O2195" s="26"/>
      <c r="P2195" s="47"/>
      <c r="Q2195" s="27"/>
      <c r="R2195" s="34"/>
      <c r="S2195" s="35">
        <f t="shared" si="1822"/>
        <v>0</v>
      </c>
      <c r="T2195" s="26"/>
      <c r="U2195" s="47"/>
      <c r="V2195" s="27"/>
      <c r="W2195" s="34"/>
      <c r="X2195" s="35">
        <f t="shared" si="1823"/>
        <v>0</v>
      </c>
      <c r="Y2195" s="11">
        <f t="shared" si="1809"/>
        <v>0</v>
      </c>
    </row>
    <row r="2196" spans="1:25" x14ac:dyDescent="0.15">
      <c r="A2196" s="32"/>
      <c r="B2196" s="26"/>
      <c r="C2196" s="47"/>
      <c r="D2196" s="27"/>
      <c r="E2196" s="34"/>
      <c r="F2196" s="35">
        <f t="shared" si="1813"/>
        <v>0</v>
      </c>
      <c r="G2196" s="26"/>
      <c r="H2196" s="47"/>
      <c r="I2196" s="27"/>
      <c r="J2196" s="34"/>
      <c r="K2196" s="35">
        <f t="shared" si="1814"/>
        <v>0</v>
      </c>
      <c r="L2196" s="11">
        <f t="shared" si="1806"/>
        <v>0</v>
      </c>
      <c r="N2196" s="57"/>
      <c r="O2196" s="26"/>
      <c r="P2196" s="47"/>
      <c r="Q2196" s="27"/>
      <c r="R2196" s="34"/>
      <c r="S2196" s="35">
        <f t="shared" ref="S2196:S2197" si="1827">SUM(O2196:R2196)</f>
        <v>0</v>
      </c>
      <c r="T2196" s="26"/>
      <c r="U2196" s="47"/>
      <c r="V2196" s="27"/>
      <c r="W2196" s="34"/>
      <c r="X2196" s="35">
        <f t="shared" ref="X2196:X2197" si="1828">SUM(T2196:W2196)</f>
        <v>0</v>
      </c>
      <c r="Y2196" s="11">
        <f t="shared" ref="Y2196:Y2197" si="1829">S2196+X2196</f>
        <v>0</v>
      </c>
    </row>
    <row r="2197" spans="1:25" x14ac:dyDescent="0.15">
      <c r="A2197" s="12"/>
      <c r="B2197" s="26"/>
      <c r="C2197" s="47"/>
      <c r="D2197" s="27"/>
      <c r="E2197" s="34"/>
      <c r="F2197" s="35">
        <f t="shared" si="1813"/>
        <v>0</v>
      </c>
      <c r="G2197" s="26"/>
      <c r="H2197" s="47"/>
      <c r="I2197" s="27"/>
      <c r="J2197" s="34"/>
      <c r="K2197" s="35">
        <f t="shared" si="1814"/>
        <v>0</v>
      </c>
      <c r="L2197" s="11">
        <f t="shared" si="1806"/>
        <v>0</v>
      </c>
      <c r="N2197" s="57"/>
      <c r="O2197" s="26"/>
      <c r="P2197" s="47"/>
      <c r="Q2197" s="27"/>
      <c r="R2197" s="34"/>
      <c r="S2197" s="35">
        <f t="shared" si="1827"/>
        <v>0</v>
      </c>
      <c r="T2197" s="26"/>
      <c r="U2197" s="47"/>
      <c r="V2197" s="27"/>
      <c r="W2197" s="34"/>
      <c r="X2197" s="35">
        <f t="shared" si="1828"/>
        <v>0</v>
      </c>
      <c r="Y2197" s="11">
        <f t="shared" si="1829"/>
        <v>0</v>
      </c>
    </row>
    <row r="2198" spans="1:25" x14ac:dyDescent="0.15">
      <c r="A2198" s="79"/>
      <c r="B2198" s="26"/>
      <c r="C2198" s="47"/>
      <c r="D2198" s="27"/>
      <c r="E2198" s="34"/>
      <c r="F2198" s="35">
        <f t="shared" si="1813"/>
        <v>0</v>
      </c>
      <c r="G2198" s="26"/>
      <c r="H2198" s="47"/>
      <c r="I2198" s="27"/>
      <c r="J2198" s="34"/>
      <c r="K2198" s="35">
        <f t="shared" si="1814"/>
        <v>0</v>
      </c>
      <c r="L2198" s="11">
        <f t="shared" si="1806"/>
        <v>0</v>
      </c>
      <c r="N2198" s="57"/>
      <c r="O2198" s="26"/>
      <c r="P2198" s="47"/>
      <c r="Q2198" s="27"/>
      <c r="R2198" s="34"/>
      <c r="S2198" s="35">
        <f t="shared" ref="S2198:S2200" si="1830">SUM(O2198:R2198)</f>
        <v>0</v>
      </c>
      <c r="T2198" s="26"/>
      <c r="U2198" s="47"/>
      <c r="V2198" s="27"/>
      <c r="W2198" s="34"/>
      <c r="X2198" s="35">
        <f t="shared" ref="X2198:X2200" si="1831">SUM(T2198:W2198)</f>
        <v>0</v>
      </c>
      <c r="Y2198" s="11">
        <f t="shared" ref="Y2198:Y2200" si="1832">S2198+X2198</f>
        <v>0</v>
      </c>
    </row>
    <row r="2199" spans="1:25" x14ac:dyDescent="0.15">
      <c r="A2199" s="57"/>
      <c r="B2199" s="26"/>
      <c r="C2199" s="47"/>
      <c r="D2199" s="27"/>
      <c r="E2199" s="34"/>
      <c r="F2199" s="35">
        <f t="shared" si="1813"/>
        <v>0</v>
      </c>
      <c r="G2199" s="26"/>
      <c r="H2199" s="47"/>
      <c r="I2199" s="27"/>
      <c r="J2199" s="34"/>
      <c r="K2199" s="35">
        <f t="shared" si="1814"/>
        <v>0</v>
      </c>
      <c r="L2199" s="11">
        <f t="shared" si="1806"/>
        <v>0</v>
      </c>
      <c r="N2199" s="57"/>
      <c r="O2199" s="26"/>
      <c r="P2199" s="47"/>
      <c r="Q2199" s="27"/>
      <c r="R2199" s="34"/>
      <c r="S2199" s="35">
        <f t="shared" si="1830"/>
        <v>0</v>
      </c>
      <c r="T2199" s="26"/>
      <c r="U2199" s="47"/>
      <c r="V2199" s="27"/>
      <c r="W2199" s="34"/>
      <c r="X2199" s="35">
        <f t="shared" si="1831"/>
        <v>0</v>
      </c>
      <c r="Y2199" s="11">
        <f t="shared" si="1832"/>
        <v>0</v>
      </c>
    </row>
    <row r="2200" spans="1:25" ht="14.25" thickBot="1" x14ac:dyDescent="0.2">
      <c r="A2200" s="90"/>
      <c r="B2200" s="62"/>
      <c r="C2200" s="63"/>
      <c r="D2200" s="64"/>
      <c r="E2200" s="65"/>
      <c r="F2200" s="35">
        <f t="shared" si="1813"/>
        <v>0</v>
      </c>
      <c r="G2200" s="62"/>
      <c r="H2200" s="63"/>
      <c r="I2200" s="64"/>
      <c r="J2200" s="65"/>
      <c r="K2200" s="35">
        <f t="shared" si="1814"/>
        <v>0</v>
      </c>
      <c r="L2200" s="14">
        <f t="shared" si="1806"/>
        <v>0</v>
      </c>
      <c r="N2200" s="135"/>
      <c r="O2200" s="62"/>
      <c r="P2200" s="63"/>
      <c r="Q2200" s="64"/>
      <c r="R2200" s="65"/>
      <c r="S2200" s="120">
        <f t="shared" si="1830"/>
        <v>0</v>
      </c>
      <c r="T2200" s="62"/>
      <c r="U2200" s="63"/>
      <c r="V2200" s="64"/>
      <c r="W2200" s="65"/>
      <c r="X2200" s="120">
        <f t="shared" si="1831"/>
        <v>0</v>
      </c>
      <c r="Y2200" s="121">
        <f t="shared" si="1832"/>
        <v>0</v>
      </c>
    </row>
    <row r="2201" spans="1:25" ht="14.25" thickBot="1" x14ac:dyDescent="0.2">
      <c r="A2201" s="17" t="s">
        <v>10</v>
      </c>
      <c r="B2201" s="38">
        <f>SUM(B2176:B2200)</f>
        <v>0</v>
      </c>
      <c r="C2201" s="48">
        <f>SUM(C2176:C2200)</f>
        <v>8</v>
      </c>
      <c r="D2201" s="39">
        <f>SUM(D2176:D2200)</f>
        <v>3</v>
      </c>
      <c r="E2201" s="40">
        <f>SUM(E2176:E2200)</f>
        <v>3</v>
      </c>
      <c r="F2201" s="36">
        <f>SUM(B2201:E2201)</f>
        <v>14</v>
      </c>
      <c r="G2201" s="38">
        <f>SUM(G2176:G2200)</f>
        <v>5</v>
      </c>
      <c r="H2201" s="48">
        <f>SUM(H2176:H2200)</f>
        <v>9</v>
      </c>
      <c r="I2201" s="39">
        <f>SUM(I2176:I2200)</f>
        <v>4</v>
      </c>
      <c r="J2201" s="40">
        <f>SUM(J2176:J2200)</f>
        <v>8</v>
      </c>
      <c r="K2201" s="36">
        <f>SUM(G2201:J2201)</f>
        <v>26</v>
      </c>
      <c r="L2201" s="37">
        <f t="shared" si="1806"/>
        <v>40</v>
      </c>
      <c r="N2201" s="133" t="s">
        <v>10</v>
      </c>
      <c r="O2201" s="38">
        <f>SUM(O2176:O2200)</f>
        <v>15</v>
      </c>
      <c r="P2201" s="48">
        <f>SUM(P2176:P2200)</f>
        <v>25</v>
      </c>
      <c r="Q2201" s="39">
        <f>SUM(Q2176:Q2200)</f>
        <v>15</v>
      </c>
      <c r="R2201" s="40">
        <f>SUM(R2176:R2200)</f>
        <v>5</v>
      </c>
      <c r="S2201" s="118">
        <f t="shared" si="1822"/>
        <v>60</v>
      </c>
      <c r="T2201" s="38">
        <f>SUM(T2176:T2200)</f>
        <v>13</v>
      </c>
      <c r="U2201" s="48">
        <f>SUM(U2176:U2200)</f>
        <v>16</v>
      </c>
      <c r="V2201" s="39">
        <f>SUM(V2176:V2200)</f>
        <v>4</v>
      </c>
      <c r="W2201" s="40">
        <f>SUM(W2176:W2200)</f>
        <v>12</v>
      </c>
      <c r="X2201" s="118">
        <f t="shared" si="1823"/>
        <v>45</v>
      </c>
      <c r="Y2201" s="119">
        <f t="shared" si="1809"/>
        <v>105</v>
      </c>
    </row>
    <row r="2202" spans="1:25" ht="14.25" thickBot="1" x14ac:dyDescent="0.2">
      <c r="A2202" s="22" t="s">
        <v>11</v>
      </c>
      <c r="B2202" s="41">
        <f>B2175-B2201</f>
        <v>8</v>
      </c>
      <c r="C2202" s="49">
        <f>C2175-C2201</f>
        <v>9</v>
      </c>
      <c r="D2202" s="42">
        <f t="shared" ref="D2202:K2202" si="1833">D2175-D2201</f>
        <v>5</v>
      </c>
      <c r="E2202" s="43">
        <f t="shared" si="1833"/>
        <v>6</v>
      </c>
      <c r="F2202" s="61">
        <f t="shared" si="1833"/>
        <v>24</v>
      </c>
      <c r="G2202" s="41">
        <f t="shared" si="1833"/>
        <v>3</v>
      </c>
      <c r="H2202" s="49">
        <f t="shared" si="1833"/>
        <v>5</v>
      </c>
      <c r="I2202" s="42">
        <f t="shared" si="1833"/>
        <v>3</v>
      </c>
      <c r="J2202" s="43">
        <f t="shared" si="1833"/>
        <v>4</v>
      </c>
      <c r="K2202" s="61">
        <f t="shared" si="1833"/>
        <v>15</v>
      </c>
      <c r="L2202" s="21">
        <f t="shared" si="1806"/>
        <v>39</v>
      </c>
      <c r="N2202" s="17" t="s">
        <v>11</v>
      </c>
      <c r="O2202" s="41">
        <f>O2175-O2201</f>
        <v>1082</v>
      </c>
      <c r="P2202" s="49">
        <f t="shared" ref="P2202:Q2202" si="1834">P2175-P2201</f>
        <v>1362</v>
      </c>
      <c r="Q2202" s="42">
        <f t="shared" si="1834"/>
        <v>846</v>
      </c>
      <c r="R2202" s="43">
        <f>R2175-R2201</f>
        <v>556</v>
      </c>
      <c r="S2202" s="61">
        <f t="shared" ref="S2202:X2202" si="1835">S2175-S2201</f>
        <v>3846</v>
      </c>
      <c r="T2202" s="41">
        <f t="shared" si="1835"/>
        <v>886</v>
      </c>
      <c r="U2202" s="49">
        <f t="shared" si="1835"/>
        <v>972</v>
      </c>
      <c r="V2202" s="42">
        <f t="shared" si="1835"/>
        <v>748</v>
      </c>
      <c r="W2202" s="43">
        <f t="shared" si="1835"/>
        <v>510</v>
      </c>
      <c r="X2202" s="61">
        <f t="shared" si="1835"/>
        <v>3116</v>
      </c>
      <c r="Y2202" s="21">
        <f t="shared" si="1809"/>
        <v>6962</v>
      </c>
    </row>
    <row r="2205" spans="1:25" ht="19.5" thickBot="1" x14ac:dyDescent="0.25">
      <c r="A2205" s="2" t="s">
        <v>106</v>
      </c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N2205" s="2" t="s">
        <v>1036</v>
      </c>
      <c r="O2205" s="270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5" ht="14.25" thickBot="1" x14ac:dyDescent="0.2">
      <c r="A2206" s="5" t="s">
        <v>0</v>
      </c>
      <c r="B2206" s="342" t="s">
        <v>18</v>
      </c>
      <c r="C2206" s="350"/>
      <c r="D2206" s="350"/>
      <c r="E2206" s="350"/>
      <c r="F2206" s="351"/>
      <c r="G2206" s="345" t="s">
        <v>12</v>
      </c>
      <c r="H2206" s="352"/>
      <c r="I2206" s="352"/>
      <c r="J2206" s="352"/>
      <c r="K2206" s="353"/>
      <c r="L2206" s="354" t="s">
        <v>1</v>
      </c>
      <c r="N2206" s="5" t="s">
        <v>0</v>
      </c>
      <c r="O2206" s="342" t="s">
        <v>18</v>
      </c>
      <c r="P2206" s="343"/>
      <c r="Q2206" s="343"/>
      <c r="R2206" s="343"/>
      <c r="S2206" s="344"/>
      <c r="T2206" s="345" t="s">
        <v>12</v>
      </c>
      <c r="U2206" s="346"/>
      <c r="V2206" s="346"/>
      <c r="W2206" s="346"/>
      <c r="X2206" s="347"/>
      <c r="Y2206" s="348" t="s">
        <v>1</v>
      </c>
    </row>
    <row r="2207" spans="1:25" ht="14.25" thickBot="1" x14ac:dyDescent="0.2">
      <c r="A2207" s="5" t="s">
        <v>2</v>
      </c>
      <c r="B2207" s="3" t="s">
        <v>13</v>
      </c>
      <c r="C2207" s="44" t="s">
        <v>14</v>
      </c>
      <c r="D2207" s="4" t="s">
        <v>15</v>
      </c>
      <c r="E2207" s="23" t="s">
        <v>16</v>
      </c>
      <c r="F2207" s="31" t="s">
        <v>3</v>
      </c>
      <c r="G2207" s="3" t="s">
        <v>13</v>
      </c>
      <c r="H2207" s="44" t="s">
        <v>14</v>
      </c>
      <c r="I2207" s="4" t="s">
        <v>15</v>
      </c>
      <c r="J2207" s="23" t="s">
        <v>16</v>
      </c>
      <c r="K2207" s="31" t="s">
        <v>3</v>
      </c>
      <c r="L2207" s="355"/>
      <c r="N2207" s="5" t="s">
        <v>2</v>
      </c>
      <c r="O2207" s="3" t="s">
        <v>13</v>
      </c>
      <c r="P2207" s="44" t="s">
        <v>14</v>
      </c>
      <c r="Q2207" s="4" t="s">
        <v>15</v>
      </c>
      <c r="R2207" s="23" t="s">
        <v>16</v>
      </c>
      <c r="S2207" s="31" t="s">
        <v>3</v>
      </c>
      <c r="T2207" s="3" t="s">
        <v>13</v>
      </c>
      <c r="U2207" s="44" t="s">
        <v>14</v>
      </c>
      <c r="V2207" s="4" t="s">
        <v>15</v>
      </c>
      <c r="W2207" s="23" t="s">
        <v>16</v>
      </c>
      <c r="X2207" s="31" t="s">
        <v>3</v>
      </c>
      <c r="Y2207" s="349"/>
    </row>
    <row r="2208" spans="1:25" x14ac:dyDescent="0.15">
      <c r="A2208" s="71" t="s">
        <v>17</v>
      </c>
      <c r="B2208" s="72">
        <f>B2202</f>
        <v>8</v>
      </c>
      <c r="C2208" s="73">
        <f t="shared" ref="C2208:L2208" si="1836">C2202</f>
        <v>9</v>
      </c>
      <c r="D2208" s="73">
        <f t="shared" si="1836"/>
        <v>5</v>
      </c>
      <c r="E2208" s="74">
        <f t="shared" si="1836"/>
        <v>6</v>
      </c>
      <c r="F2208" s="76">
        <f t="shared" si="1836"/>
        <v>24</v>
      </c>
      <c r="G2208" s="72">
        <f t="shared" si="1836"/>
        <v>3</v>
      </c>
      <c r="H2208" s="73">
        <f t="shared" si="1836"/>
        <v>5</v>
      </c>
      <c r="I2208" s="73">
        <f t="shared" si="1836"/>
        <v>3</v>
      </c>
      <c r="J2208" s="74">
        <f t="shared" si="1836"/>
        <v>4</v>
      </c>
      <c r="K2208" s="75">
        <f t="shared" si="1836"/>
        <v>15</v>
      </c>
      <c r="L2208" s="16">
        <f t="shared" si="1836"/>
        <v>39</v>
      </c>
      <c r="N2208" s="71" t="s">
        <v>17</v>
      </c>
      <c r="O2208" s="72">
        <f>O2202</f>
        <v>1082</v>
      </c>
      <c r="P2208" s="73">
        <f t="shared" ref="P2208:Y2208" si="1837">P2202</f>
        <v>1362</v>
      </c>
      <c r="Q2208" s="73">
        <f t="shared" si="1837"/>
        <v>846</v>
      </c>
      <c r="R2208" s="74">
        <f t="shared" si="1837"/>
        <v>556</v>
      </c>
      <c r="S2208" s="76">
        <f t="shared" si="1837"/>
        <v>3846</v>
      </c>
      <c r="T2208" s="72">
        <f t="shared" si="1837"/>
        <v>886</v>
      </c>
      <c r="U2208" s="73">
        <f t="shared" si="1837"/>
        <v>972</v>
      </c>
      <c r="V2208" s="73">
        <f t="shared" si="1837"/>
        <v>748</v>
      </c>
      <c r="W2208" s="74">
        <f t="shared" si="1837"/>
        <v>510</v>
      </c>
      <c r="X2208" s="75">
        <f t="shared" si="1837"/>
        <v>3116</v>
      </c>
      <c r="Y2208" s="16">
        <f t="shared" si="1837"/>
        <v>6962</v>
      </c>
    </row>
    <row r="2209" spans="1:27" x14ac:dyDescent="0.15">
      <c r="A2209" s="13" t="s">
        <v>5</v>
      </c>
      <c r="B2209" s="26">
        <v>5</v>
      </c>
      <c r="C2209" s="47"/>
      <c r="D2209" s="27">
        <v>3</v>
      </c>
      <c r="E2209" s="50"/>
      <c r="F2209" s="9">
        <f t="shared" ref="F2209:F2210" si="1838">SUM(B2209:E2209)</f>
        <v>8</v>
      </c>
      <c r="G2209" s="47"/>
      <c r="H2209" s="47"/>
      <c r="I2209" s="27"/>
      <c r="J2209" s="50"/>
      <c r="K2209" s="9">
        <f t="shared" ref="K2209:K2210" si="1839">SUM(G2209:J2209)</f>
        <v>0</v>
      </c>
      <c r="L2209" s="11">
        <f t="shared" ref="L2209:L2240" si="1840">F2209+K2209</f>
        <v>8</v>
      </c>
      <c r="M2209" s="99">
        <v>45902</v>
      </c>
      <c r="N2209" s="13" t="s">
        <v>305</v>
      </c>
      <c r="O2209" s="26"/>
      <c r="P2209" s="47">
        <v>8</v>
      </c>
      <c r="Q2209" s="27">
        <v>10</v>
      </c>
      <c r="R2209" s="34">
        <v>5</v>
      </c>
      <c r="S2209" s="77">
        <f t="shared" ref="S2209:S2212" si="1841">SUM(O2209:R2209)</f>
        <v>23</v>
      </c>
      <c r="T2209" s="26"/>
      <c r="U2209" s="47"/>
      <c r="V2209" s="27">
        <v>5</v>
      </c>
      <c r="W2209" s="34"/>
      <c r="X2209" s="9">
        <f t="shared" ref="X2209:X2212" si="1842">SUM(T2209:W2209)</f>
        <v>5</v>
      </c>
      <c r="Y2209" s="11">
        <f t="shared" ref="Y2209:Y2240" si="1843">S2209+X2209</f>
        <v>28</v>
      </c>
      <c r="Z2209" s="126">
        <v>45906</v>
      </c>
    </row>
    <row r="2210" spans="1:27" x14ac:dyDescent="0.15">
      <c r="A2210" s="13" t="s">
        <v>6</v>
      </c>
      <c r="B2210" s="26"/>
      <c r="C2210" s="47"/>
      <c r="D2210" s="27"/>
      <c r="E2210" s="50"/>
      <c r="F2210" s="9">
        <f t="shared" si="1838"/>
        <v>0</v>
      </c>
      <c r="G2210" s="47">
        <v>8</v>
      </c>
      <c r="H2210" s="47"/>
      <c r="I2210" s="27">
        <v>3</v>
      </c>
      <c r="J2210" s="50"/>
      <c r="K2210" s="9">
        <f t="shared" si="1839"/>
        <v>11</v>
      </c>
      <c r="L2210" s="11">
        <f t="shared" si="1840"/>
        <v>11</v>
      </c>
      <c r="M2210" s="99">
        <v>45904</v>
      </c>
      <c r="N2210" s="13" t="s">
        <v>1851</v>
      </c>
      <c r="O2210" s="26">
        <v>6</v>
      </c>
      <c r="P2210" s="47">
        <v>9</v>
      </c>
      <c r="Q2210" s="27">
        <v>5</v>
      </c>
      <c r="R2210" s="34">
        <v>10</v>
      </c>
      <c r="S2210" s="77">
        <f>SUM(O2210:R2210)</f>
        <v>30</v>
      </c>
      <c r="T2210" s="26">
        <v>17</v>
      </c>
      <c r="U2210" s="47">
        <v>10</v>
      </c>
      <c r="V2210" s="27">
        <v>16</v>
      </c>
      <c r="W2210" s="34">
        <v>10</v>
      </c>
      <c r="X2210" s="9">
        <f>SUM(T2210:W2210)</f>
        <v>53</v>
      </c>
      <c r="Y2210" s="11">
        <f t="shared" si="1843"/>
        <v>83</v>
      </c>
      <c r="Z2210" s="126">
        <v>45909</v>
      </c>
    </row>
    <row r="2211" spans="1:27" x14ac:dyDescent="0.15">
      <c r="A2211" s="13" t="s">
        <v>7</v>
      </c>
      <c r="B2211" s="26">
        <v>5</v>
      </c>
      <c r="C2211" s="47"/>
      <c r="D2211" s="27"/>
      <c r="E2211" s="50"/>
      <c r="F2211" s="9">
        <f>SUM(B2211:E2211)</f>
        <v>5</v>
      </c>
      <c r="G2211" s="47"/>
      <c r="H2211" s="47"/>
      <c r="I2211" s="27"/>
      <c r="J2211" s="50"/>
      <c r="K2211" s="9">
        <f>SUM(G2211:J2211)</f>
        <v>0</v>
      </c>
      <c r="L2211" s="11">
        <f t="shared" si="1840"/>
        <v>5</v>
      </c>
      <c r="M2211" s="99">
        <v>45905</v>
      </c>
      <c r="N2211" s="13" t="s">
        <v>7</v>
      </c>
      <c r="O2211" s="26"/>
      <c r="P2211" s="47"/>
      <c r="Q2211" s="27"/>
      <c r="R2211" s="34"/>
      <c r="S2211" s="77">
        <f t="shared" si="1841"/>
        <v>0</v>
      </c>
      <c r="T2211" s="26"/>
      <c r="U2211" s="47"/>
      <c r="V2211" s="27"/>
      <c r="W2211" s="34"/>
      <c r="X2211" s="9">
        <f t="shared" si="1842"/>
        <v>0</v>
      </c>
      <c r="Y2211" s="11">
        <f t="shared" si="1843"/>
        <v>0</v>
      </c>
    </row>
    <row r="2212" spans="1:27" ht="14.25" thickBot="1" x14ac:dyDescent="0.2">
      <c r="A2212" s="13" t="s">
        <v>1833</v>
      </c>
      <c r="B2212" s="26">
        <v>3</v>
      </c>
      <c r="C2212" s="47">
        <v>10</v>
      </c>
      <c r="D2212" s="27">
        <v>11</v>
      </c>
      <c r="E2212" s="50">
        <v>4</v>
      </c>
      <c r="F2212" s="10">
        <f>SUM(B2212:E2212)</f>
        <v>28</v>
      </c>
      <c r="G2212" s="47">
        <v>1</v>
      </c>
      <c r="H2212" s="47">
        <v>1</v>
      </c>
      <c r="I2212" s="27">
        <v>5</v>
      </c>
      <c r="J2212" s="50">
        <v>1</v>
      </c>
      <c r="K2212" s="10">
        <f>SUM(G2212:J2212)</f>
        <v>8</v>
      </c>
      <c r="L2212" s="14">
        <f t="shared" si="1840"/>
        <v>36</v>
      </c>
      <c r="M2212" s="99">
        <v>45903</v>
      </c>
      <c r="N2212" s="13" t="s">
        <v>8</v>
      </c>
      <c r="O2212" s="26"/>
      <c r="P2212" s="47"/>
      <c r="Q2212" s="27"/>
      <c r="R2212" s="34"/>
      <c r="S2212" s="77">
        <f t="shared" si="1841"/>
        <v>0</v>
      </c>
      <c r="T2212" s="26"/>
      <c r="U2212" s="47"/>
      <c r="V2212" s="27"/>
      <c r="W2212" s="34"/>
      <c r="X2212" s="9">
        <f t="shared" si="1842"/>
        <v>0</v>
      </c>
      <c r="Y2212" s="11">
        <f t="shared" si="1843"/>
        <v>0</v>
      </c>
    </row>
    <row r="2213" spans="1:27" ht="14.25" thickBot="1" x14ac:dyDescent="0.2">
      <c r="A2213" s="22" t="s">
        <v>9</v>
      </c>
      <c r="B2213" s="41">
        <f t="shared" ref="B2213:K2213" si="1844">SUM(B2208:B2212)</f>
        <v>21</v>
      </c>
      <c r="C2213" s="49">
        <f t="shared" si="1844"/>
        <v>19</v>
      </c>
      <c r="D2213" s="42">
        <f t="shared" si="1844"/>
        <v>19</v>
      </c>
      <c r="E2213" s="92">
        <f t="shared" si="1844"/>
        <v>10</v>
      </c>
      <c r="F2213" s="132">
        <f t="shared" si="1844"/>
        <v>65</v>
      </c>
      <c r="G2213" s="41">
        <f t="shared" si="1844"/>
        <v>12</v>
      </c>
      <c r="H2213" s="49">
        <f t="shared" si="1844"/>
        <v>6</v>
      </c>
      <c r="I2213" s="42">
        <f t="shared" si="1844"/>
        <v>11</v>
      </c>
      <c r="J2213" s="92">
        <f t="shared" si="1844"/>
        <v>5</v>
      </c>
      <c r="K2213" s="132">
        <f t="shared" si="1844"/>
        <v>34</v>
      </c>
      <c r="L2213" s="21">
        <f t="shared" si="1840"/>
        <v>99</v>
      </c>
      <c r="N2213" s="17" t="s">
        <v>9</v>
      </c>
      <c r="O2213" s="41">
        <f>SUM(O2208:O2212)</f>
        <v>1088</v>
      </c>
      <c r="P2213" s="49">
        <f t="shared" ref="P2213:V2213" si="1845">SUM(P2208:P2212)</f>
        <v>1379</v>
      </c>
      <c r="Q2213" s="42">
        <f t="shared" si="1845"/>
        <v>861</v>
      </c>
      <c r="R2213" s="92">
        <f t="shared" si="1845"/>
        <v>571</v>
      </c>
      <c r="S2213" s="93">
        <f t="shared" si="1845"/>
        <v>3899</v>
      </c>
      <c r="T2213" s="41">
        <f t="shared" si="1845"/>
        <v>903</v>
      </c>
      <c r="U2213" s="49">
        <f t="shared" si="1845"/>
        <v>982</v>
      </c>
      <c r="V2213" s="42">
        <f t="shared" si="1845"/>
        <v>769</v>
      </c>
      <c r="W2213" s="92">
        <f>SUM(W2208:W2212)</f>
        <v>520</v>
      </c>
      <c r="X2213" s="93">
        <f t="shared" ref="X2213" si="1846">SUM(X2208:X2212)</f>
        <v>3174</v>
      </c>
      <c r="Y2213" s="56">
        <f t="shared" si="1843"/>
        <v>7073</v>
      </c>
    </row>
    <row r="2214" spans="1:27" x14ac:dyDescent="0.15">
      <c r="A2214" s="32" t="s">
        <v>1814</v>
      </c>
      <c r="B2214" s="26"/>
      <c r="C2214" s="47">
        <v>1</v>
      </c>
      <c r="D2214" s="27">
        <v>1</v>
      </c>
      <c r="E2214" s="34">
        <v>1</v>
      </c>
      <c r="F2214" s="35">
        <f t="shared" ref="F2214:F2215" si="1847">SUM(B2214:E2214)</f>
        <v>3</v>
      </c>
      <c r="G2214" s="26"/>
      <c r="H2214" s="47"/>
      <c r="I2214" s="27"/>
      <c r="J2214" s="34"/>
      <c r="K2214" s="35">
        <f t="shared" ref="K2214:K2215" si="1848">SUM(G2214:J2214)</f>
        <v>0</v>
      </c>
      <c r="L2214" s="11">
        <f t="shared" si="1840"/>
        <v>3</v>
      </c>
      <c r="M2214" s="99">
        <v>45901</v>
      </c>
      <c r="N2214" s="32" t="s">
        <v>1821</v>
      </c>
      <c r="O2214" s="26">
        <v>5</v>
      </c>
      <c r="P2214" s="47">
        <v>7</v>
      </c>
      <c r="Q2214" s="27">
        <v>2</v>
      </c>
      <c r="R2214" s="34">
        <v>1</v>
      </c>
      <c r="S2214" s="35">
        <f t="shared" ref="S2214:S2216" si="1849">SUM(O2214:R2214)</f>
        <v>15</v>
      </c>
      <c r="T2214" s="26">
        <v>1</v>
      </c>
      <c r="U2214" s="47">
        <v>1</v>
      </c>
      <c r="V2214" s="27">
        <v>1</v>
      </c>
      <c r="W2214" s="34">
        <v>1</v>
      </c>
      <c r="X2214" s="35">
        <f t="shared" ref="X2214:X2216" si="1850">SUM(T2214:W2214)</f>
        <v>4</v>
      </c>
      <c r="Y2214" s="11">
        <f t="shared" si="1843"/>
        <v>19</v>
      </c>
      <c r="Z2214" s="99">
        <v>45903</v>
      </c>
    </row>
    <row r="2215" spans="1:27" x14ac:dyDescent="0.15">
      <c r="A2215" s="13" t="s">
        <v>1815</v>
      </c>
      <c r="B2215" s="26">
        <v>1</v>
      </c>
      <c r="C2215" s="47"/>
      <c r="D2215" s="27"/>
      <c r="E2215" s="34"/>
      <c r="F2215" s="35">
        <f t="shared" si="1847"/>
        <v>1</v>
      </c>
      <c r="G2215" s="26">
        <v>1</v>
      </c>
      <c r="H2215" s="47"/>
      <c r="I2215" s="27"/>
      <c r="J2215" s="34"/>
      <c r="K2215" s="35">
        <f t="shared" si="1848"/>
        <v>1</v>
      </c>
      <c r="L2215" s="11">
        <f t="shared" si="1840"/>
        <v>2</v>
      </c>
      <c r="M2215" s="99">
        <v>45901</v>
      </c>
      <c r="N2215" s="12" t="s">
        <v>1818</v>
      </c>
      <c r="O2215" s="26">
        <v>4</v>
      </c>
      <c r="P2215" s="47">
        <v>3</v>
      </c>
      <c r="Q2215" s="27"/>
      <c r="R2215" s="50">
        <v>5</v>
      </c>
      <c r="S2215" s="9">
        <f t="shared" si="1849"/>
        <v>12</v>
      </c>
      <c r="T2215" s="47"/>
      <c r="U2215" s="47"/>
      <c r="V2215" s="27"/>
      <c r="W2215" s="50"/>
      <c r="X2215" s="9">
        <f t="shared" si="1850"/>
        <v>0</v>
      </c>
      <c r="Y2215" s="11">
        <f t="shared" si="1843"/>
        <v>12</v>
      </c>
      <c r="Z2215" s="99">
        <v>45902</v>
      </c>
      <c r="AA2215" s="58"/>
    </row>
    <row r="2216" spans="1:27" x14ac:dyDescent="0.15">
      <c r="A2216" s="13" t="s">
        <v>1815</v>
      </c>
      <c r="B2216" s="26">
        <v>1</v>
      </c>
      <c r="C2216" s="47"/>
      <c r="D2216" s="27"/>
      <c r="E2216" s="34"/>
      <c r="F2216" s="35">
        <f t="shared" ref="F2216:F2238" si="1851">SUM(B2216:E2216)</f>
        <v>1</v>
      </c>
      <c r="G2216" s="26">
        <v>1</v>
      </c>
      <c r="H2216" s="47"/>
      <c r="I2216" s="27"/>
      <c r="J2216" s="34"/>
      <c r="K2216" s="35">
        <f t="shared" ref="K2216:K2238" si="1852">SUM(G2216:J2216)</f>
        <v>1</v>
      </c>
      <c r="L2216" s="11">
        <f t="shared" si="1840"/>
        <v>2</v>
      </c>
      <c r="M2216" s="99">
        <v>45903</v>
      </c>
      <c r="N2216" s="12" t="s">
        <v>34</v>
      </c>
      <c r="O2216" s="26">
        <v>5</v>
      </c>
      <c r="P2216" s="47"/>
      <c r="Q2216" s="27">
        <v>3</v>
      </c>
      <c r="R2216" s="34"/>
      <c r="S2216" s="35">
        <f t="shared" si="1849"/>
        <v>8</v>
      </c>
      <c r="T2216" s="26"/>
      <c r="U2216" s="47"/>
      <c r="V2216" s="27"/>
      <c r="W2216" s="34"/>
      <c r="X2216" s="35">
        <f t="shared" si="1850"/>
        <v>0</v>
      </c>
      <c r="Y2216" s="11">
        <f t="shared" si="1843"/>
        <v>8</v>
      </c>
      <c r="Z2216" s="99">
        <v>45902</v>
      </c>
    </row>
    <row r="2217" spans="1:27" x14ac:dyDescent="0.15">
      <c r="A2217" s="15" t="s">
        <v>41</v>
      </c>
      <c r="B2217" s="26"/>
      <c r="C2217" s="47"/>
      <c r="D2217" s="27"/>
      <c r="E2217" s="34"/>
      <c r="F2217" s="35">
        <f t="shared" si="1851"/>
        <v>0</v>
      </c>
      <c r="G2217" s="26"/>
      <c r="H2217" s="47">
        <v>1</v>
      </c>
      <c r="I2217" s="27"/>
      <c r="J2217" s="34"/>
      <c r="K2217" s="35">
        <f t="shared" si="1852"/>
        <v>1</v>
      </c>
      <c r="L2217" s="11">
        <f t="shared" si="1840"/>
        <v>1</v>
      </c>
      <c r="M2217" s="126">
        <v>45901</v>
      </c>
      <c r="N2217" s="12" t="s">
        <v>1764</v>
      </c>
      <c r="O2217" s="26">
        <v>7</v>
      </c>
      <c r="P2217" s="47">
        <v>7</v>
      </c>
      <c r="Q2217" s="27">
        <v>7</v>
      </c>
      <c r="R2217" s="34">
        <v>7</v>
      </c>
      <c r="S2217" s="35">
        <f t="shared" ref="S2217:S2220" si="1853">SUM(O2217:R2217)</f>
        <v>28</v>
      </c>
      <c r="T2217" s="26">
        <v>7</v>
      </c>
      <c r="U2217" s="47">
        <v>7</v>
      </c>
      <c r="V2217" s="27">
        <v>7</v>
      </c>
      <c r="W2217" s="34">
        <v>7</v>
      </c>
      <c r="X2217" s="35">
        <f t="shared" ref="X2217:X2220" si="1854">SUM(T2217:W2217)</f>
        <v>28</v>
      </c>
      <c r="Y2217" s="11">
        <f t="shared" si="1843"/>
        <v>56</v>
      </c>
      <c r="Z2217" s="99">
        <v>45904</v>
      </c>
    </row>
    <row r="2218" spans="1:27" x14ac:dyDescent="0.15">
      <c r="A2218" s="32" t="s">
        <v>1822</v>
      </c>
      <c r="B2218" s="26">
        <v>1</v>
      </c>
      <c r="C2218" s="47"/>
      <c r="D2218" s="27"/>
      <c r="E2218" s="34"/>
      <c r="F2218" s="35">
        <f t="shared" si="1851"/>
        <v>1</v>
      </c>
      <c r="G2218" s="26"/>
      <c r="H2218" s="47"/>
      <c r="I2218" s="27"/>
      <c r="J2218" s="34"/>
      <c r="K2218" s="35">
        <f t="shared" si="1852"/>
        <v>0</v>
      </c>
      <c r="L2218" s="11">
        <f t="shared" si="1840"/>
        <v>1</v>
      </c>
      <c r="M2218" s="99">
        <v>45904</v>
      </c>
      <c r="N2218" s="12" t="s">
        <v>1823</v>
      </c>
      <c r="O2218" s="26">
        <v>45</v>
      </c>
      <c r="P2218" s="47">
        <v>50</v>
      </c>
      <c r="Q2218" s="27">
        <v>40</v>
      </c>
      <c r="R2218" s="34">
        <v>30</v>
      </c>
      <c r="S2218" s="35">
        <f t="shared" si="1853"/>
        <v>165</v>
      </c>
      <c r="T2218" s="26">
        <v>25</v>
      </c>
      <c r="U2218" s="47">
        <v>25</v>
      </c>
      <c r="V2218" s="27">
        <v>20</v>
      </c>
      <c r="W2218" s="34">
        <v>20</v>
      </c>
      <c r="X2218" s="35">
        <f t="shared" si="1854"/>
        <v>90</v>
      </c>
      <c r="Y2218" s="11">
        <f t="shared" si="1843"/>
        <v>255</v>
      </c>
      <c r="Z2218" s="99">
        <v>45911</v>
      </c>
    </row>
    <row r="2219" spans="1:27" x14ac:dyDescent="0.15">
      <c r="A2219" s="15" t="s">
        <v>41</v>
      </c>
      <c r="B2219" s="26"/>
      <c r="C2219" s="47"/>
      <c r="D2219" s="27"/>
      <c r="E2219" s="34"/>
      <c r="F2219" s="35">
        <f t="shared" si="1851"/>
        <v>0</v>
      </c>
      <c r="G2219" s="26">
        <v>1</v>
      </c>
      <c r="H2219" s="47"/>
      <c r="I2219" s="27">
        <v>1</v>
      </c>
      <c r="J2219" s="34"/>
      <c r="K2219" s="35">
        <f t="shared" si="1852"/>
        <v>2</v>
      </c>
      <c r="L2219" s="11">
        <f t="shared" si="1840"/>
        <v>2</v>
      </c>
      <c r="M2219" s="99">
        <v>45902</v>
      </c>
      <c r="N2219" s="57" t="s">
        <v>1826</v>
      </c>
      <c r="O2219" s="26"/>
      <c r="P2219" s="47"/>
      <c r="Q2219" s="27"/>
      <c r="R2219" s="34"/>
      <c r="S2219" s="35">
        <f t="shared" si="1853"/>
        <v>0</v>
      </c>
      <c r="T2219" s="26">
        <v>8</v>
      </c>
      <c r="U2219" s="47"/>
      <c r="V2219" s="27">
        <v>3</v>
      </c>
      <c r="W2219" s="34"/>
      <c r="X2219" s="35">
        <f t="shared" si="1854"/>
        <v>11</v>
      </c>
      <c r="Y2219" s="11">
        <f t="shared" si="1843"/>
        <v>11</v>
      </c>
      <c r="Z2219" s="99">
        <v>45904</v>
      </c>
    </row>
    <row r="2220" spans="1:27" x14ac:dyDescent="0.15">
      <c r="A2220" s="32" t="s">
        <v>1825</v>
      </c>
      <c r="B2220" s="26">
        <v>1</v>
      </c>
      <c r="C2220" s="47"/>
      <c r="D2220" s="27"/>
      <c r="E2220" s="34"/>
      <c r="F2220" s="35">
        <f t="shared" si="1851"/>
        <v>1</v>
      </c>
      <c r="G2220" s="26"/>
      <c r="H2220" s="47"/>
      <c r="I2220" s="27"/>
      <c r="J2220" s="34"/>
      <c r="K2220" s="35">
        <f t="shared" si="1852"/>
        <v>0</v>
      </c>
      <c r="L2220" s="11">
        <f t="shared" si="1840"/>
        <v>1</v>
      </c>
      <c r="M2220" s="99">
        <v>45905</v>
      </c>
      <c r="N2220" s="12" t="s">
        <v>1827</v>
      </c>
      <c r="O2220" s="26">
        <v>5</v>
      </c>
      <c r="P2220" s="47"/>
      <c r="Q2220" s="27"/>
      <c r="R2220" s="34"/>
      <c r="S2220" s="35">
        <f t="shared" si="1853"/>
        <v>5</v>
      </c>
      <c r="T2220" s="26">
        <v>5</v>
      </c>
      <c r="U2220" s="47"/>
      <c r="V2220" s="27"/>
      <c r="W2220" s="34"/>
      <c r="X2220" s="35">
        <f t="shared" si="1854"/>
        <v>5</v>
      </c>
      <c r="Y2220" s="11">
        <f t="shared" si="1843"/>
        <v>10</v>
      </c>
      <c r="Z2220" s="99">
        <v>45908</v>
      </c>
    </row>
    <row r="2221" spans="1:27" x14ac:dyDescent="0.15">
      <c r="A2221" s="13" t="s">
        <v>1815</v>
      </c>
      <c r="B2221" s="26">
        <v>3</v>
      </c>
      <c r="C2221" s="47"/>
      <c r="D2221" s="27"/>
      <c r="E2221" s="34"/>
      <c r="F2221" s="35">
        <f t="shared" si="1851"/>
        <v>3</v>
      </c>
      <c r="G2221" s="26">
        <v>3</v>
      </c>
      <c r="H2221" s="47"/>
      <c r="I2221" s="27"/>
      <c r="J2221" s="34"/>
      <c r="K2221" s="35">
        <f t="shared" si="1852"/>
        <v>3</v>
      </c>
      <c r="L2221" s="11">
        <f t="shared" si="1840"/>
        <v>6</v>
      </c>
      <c r="M2221" s="99">
        <v>45905</v>
      </c>
      <c r="N2221" s="12" t="s">
        <v>1828</v>
      </c>
      <c r="O2221" s="26">
        <v>10</v>
      </c>
      <c r="P2221" s="47"/>
      <c r="Q2221" s="27"/>
      <c r="R2221" s="50"/>
      <c r="S2221" s="9">
        <f>SUM(O2221:R2221)</f>
        <v>10</v>
      </c>
      <c r="T2221" s="47"/>
      <c r="U2221" s="47"/>
      <c r="V2221" s="27"/>
      <c r="W2221" s="50"/>
      <c r="X2221" s="9">
        <f>SUM(T2221:W2221)</f>
        <v>0</v>
      </c>
      <c r="Y2221" s="11">
        <f t="shared" si="1843"/>
        <v>10</v>
      </c>
      <c r="Z2221" s="99">
        <v>45908</v>
      </c>
    </row>
    <row r="2222" spans="1:27" x14ac:dyDescent="0.15">
      <c r="A2222" s="32" t="s">
        <v>1829</v>
      </c>
      <c r="B2222" s="26">
        <v>3</v>
      </c>
      <c r="C2222" s="47"/>
      <c r="D2222" s="27"/>
      <c r="E2222" s="34"/>
      <c r="F2222" s="35">
        <f t="shared" si="1851"/>
        <v>3</v>
      </c>
      <c r="G2222" s="26"/>
      <c r="H2222" s="47"/>
      <c r="I2222" s="27"/>
      <c r="J2222" s="34"/>
      <c r="K2222" s="35">
        <f t="shared" si="1852"/>
        <v>0</v>
      </c>
      <c r="L2222" s="11">
        <f t="shared" si="1840"/>
        <v>3</v>
      </c>
      <c r="M2222" s="99">
        <v>45905</v>
      </c>
      <c r="N2222" s="12" t="s">
        <v>1830</v>
      </c>
      <c r="O2222" s="26"/>
      <c r="P2222" s="47"/>
      <c r="Q2222" s="27">
        <v>5</v>
      </c>
      <c r="R2222" s="34">
        <v>5</v>
      </c>
      <c r="S2222" s="35">
        <f t="shared" ref="S2222:S2239" si="1855">SUM(O2222:R2222)</f>
        <v>10</v>
      </c>
      <c r="T2222" s="26"/>
      <c r="U2222" s="47"/>
      <c r="V2222" s="27">
        <v>5</v>
      </c>
      <c r="W2222" s="34"/>
      <c r="X2222" s="35">
        <f t="shared" ref="X2222:X2239" si="1856">SUM(T2222:W2222)</f>
        <v>5</v>
      </c>
      <c r="Y2222" s="11">
        <f t="shared" si="1843"/>
        <v>15</v>
      </c>
      <c r="Z2222" s="99">
        <v>45909</v>
      </c>
    </row>
    <row r="2223" spans="1:27" x14ac:dyDescent="0.15">
      <c r="A2223" s="13" t="s">
        <v>1815</v>
      </c>
      <c r="B2223" s="26">
        <v>1</v>
      </c>
      <c r="C2223" s="47"/>
      <c r="D2223" s="27"/>
      <c r="E2223" s="34"/>
      <c r="F2223" s="35">
        <f t="shared" si="1851"/>
        <v>1</v>
      </c>
      <c r="G2223" s="26">
        <v>1</v>
      </c>
      <c r="H2223" s="47"/>
      <c r="I2223" s="27"/>
      <c r="J2223" s="34"/>
      <c r="K2223" s="35">
        <f t="shared" si="1852"/>
        <v>1</v>
      </c>
      <c r="L2223" s="11">
        <f t="shared" si="1840"/>
        <v>2</v>
      </c>
      <c r="M2223" s="99">
        <v>45905</v>
      </c>
      <c r="N2223" s="57" t="s">
        <v>34</v>
      </c>
      <c r="O2223" s="26">
        <v>5</v>
      </c>
      <c r="P2223" s="47"/>
      <c r="Q2223" s="27"/>
      <c r="R2223" s="34"/>
      <c r="S2223" s="35">
        <f>SUM(O2223:R2223)</f>
        <v>5</v>
      </c>
      <c r="T2223" s="26"/>
      <c r="U2223" s="47"/>
      <c r="V2223" s="27"/>
      <c r="W2223" s="34"/>
      <c r="X2223" s="35">
        <f>SUM(T2223:W2223)</f>
        <v>0</v>
      </c>
      <c r="Y2223" s="11">
        <f t="shared" si="1843"/>
        <v>5</v>
      </c>
      <c r="Z2223" s="99">
        <v>45905</v>
      </c>
    </row>
    <row r="2224" spans="1:27" x14ac:dyDescent="0.15">
      <c r="A2224" s="12" t="s">
        <v>1831</v>
      </c>
      <c r="B2224" s="26">
        <v>1</v>
      </c>
      <c r="C2224" s="47"/>
      <c r="D2224" s="27"/>
      <c r="E2224" s="34"/>
      <c r="F2224" s="35">
        <f t="shared" si="1851"/>
        <v>1</v>
      </c>
      <c r="G2224" s="26">
        <v>1</v>
      </c>
      <c r="H2224" s="47"/>
      <c r="I2224" s="27"/>
      <c r="J2224" s="34"/>
      <c r="K2224" s="35">
        <f t="shared" si="1852"/>
        <v>1</v>
      </c>
      <c r="L2224" s="11">
        <f t="shared" si="1840"/>
        <v>2</v>
      </c>
      <c r="M2224" s="99">
        <v>45908</v>
      </c>
      <c r="N2224" s="57" t="s">
        <v>34</v>
      </c>
      <c r="O2224" s="26"/>
      <c r="P2224" s="47"/>
      <c r="Q2224" s="27"/>
      <c r="R2224" s="34"/>
      <c r="S2224" s="35">
        <f t="shared" ref="S2224" si="1857">SUM(O2224:R2224)</f>
        <v>0</v>
      </c>
      <c r="T2224" s="26">
        <v>5</v>
      </c>
      <c r="U2224" s="47"/>
      <c r="V2224" s="27"/>
      <c r="W2224" s="34"/>
      <c r="X2224" s="35">
        <f t="shared" ref="X2224" si="1858">SUM(T2224:W2224)</f>
        <v>5</v>
      </c>
      <c r="Y2224" s="11">
        <f t="shared" si="1843"/>
        <v>5</v>
      </c>
      <c r="Z2224" s="99">
        <v>45906</v>
      </c>
    </row>
    <row r="2225" spans="1:28" x14ac:dyDescent="0.15">
      <c r="A2225" s="32" t="s">
        <v>1832</v>
      </c>
      <c r="B2225" s="26"/>
      <c r="C2225" s="47">
        <v>2</v>
      </c>
      <c r="D2225" s="27"/>
      <c r="E2225" s="34"/>
      <c r="F2225" s="35">
        <f t="shared" si="1851"/>
        <v>2</v>
      </c>
      <c r="G2225" s="26">
        <v>2</v>
      </c>
      <c r="H2225" s="47"/>
      <c r="I2225" s="27"/>
      <c r="J2225" s="34"/>
      <c r="K2225" s="35">
        <f t="shared" si="1852"/>
        <v>2</v>
      </c>
      <c r="L2225" s="11">
        <f t="shared" si="1840"/>
        <v>4</v>
      </c>
      <c r="M2225" s="99">
        <v>45908</v>
      </c>
      <c r="N2225" s="32" t="s">
        <v>1837</v>
      </c>
      <c r="O2225" s="26"/>
      <c r="P2225" s="47">
        <v>2</v>
      </c>
      <c r="Q2225" s="27">
        <v>4</v>
      </c>
      <c r="R2225" s="34"/>
      <c r="S2225" s="35">
        <f t="shared" si="1855"/>
        <v>6</v>
      </c>
      <c r="T2225" s="26"/>
      <c r="U2225" s="47"/>
      <c r="V2225" s="27">
        <v>3</v>
      </c>
      <c r="W2225" s="34"/>
      <c r="X2225" s="35">
        <f t="shared" si="1856"/>
        <v>3</v>
      </c>
      <c r="Y2225" s="11">
        <f t="shared" si="1843"/>
        <v>9</v>
      </c>
      <c r="Z2225" s="99">
        <v>45910</v>
      </c>
    </row>
    <row r="2226" spans="1:28" x14ac:dyDescent="0.15">
      <c r="A2226" s="13" t="s">
        <v>1815</v>
      </c>
      <c r="B2226" s="26">
        <v>1</v>
      </c>
      <c r="C2226" s="47"/>
      <c r="D2226" s="27"/>
      <c r="E2226" s="34">
        <v>1</v>
      </c>
      <c r="F2226" s="35">
        <f t="shared" si="1851"/>
        <v>2</v>
      </c>
      <c r="G2226" s="26">
        <v>1</v>
      </c>
      <c r="H2226" s="47"/>
      <c r="I2226" s="27"/>
      <c r="J2226" s="34">
        <v>1</v>
      </c>
      <c r="K2226" s="35">
        <f t="shared" si="1852"/>
        <v>2</v>
      </c>
      <c r="L2226" s="11">
        <f t="shared" si="1840"/>
        <v>4</v>
      </c>
      <c r="M2226" s="99">
        <v>45908</v>
      </c>
      <c r="N2226" s="57" t="s">
        <v>34</v>
      </c>
      <c r="O2226" s="26"/>
      <c r="P2226" s="47"/>
      <c r="Q2226" s="27"/>
      <c r="R2226" s="34">
        <v>5</v>
      </c>
      <c r="S2226" s="35">
        <f t="shared" si="1855"/>
        <v>5</v>
      </c>
      <c r="T2226" s="26"/>
      <c r="U2226" s="47">
        <v>5</v>
      </c>
      <c r="V2226" s="27"/>
      <c r="W2226" s="34"/>
      <c r="X2226" s="35">
        <f t="shared" si="1856"/>
        <v>5</v>
      </c>
      <c r="Y2226" s="11">
        <f t="shared" si="1843"/>
        <v>10</v>
      </c>
      <c r="Z2226" s="99">
        <v>45909</v>
      </c>
    </row>
    <row r="2227" spans="1:28" x14ac:dyDescent="0.15">
      <c r="A2227" s="15" t="s">
        <v>41</v>
      </c>
      <c r="B2227" s="26"/>
      <c r="C2227" s="47">
        <v>1</v>
      </c>
      <c r="D2227" s="27">
        <v>1</v>
      </c>
      <c r="E2227" s="34"/>
      <c r="F2227" s="35">
        <f t="shared" si="1851"/>
        <v>2</v>
      </c>
      <c r="G2227" s="26"/>
      <c r="H2227" s="47"/>
      <c r="I2227" s="27"/>
      <c r="J2227" s="34"/>
      <c r="K2227" s="35">
        <f t="shared" si="1852"/>
        <v>0</v>
      </c>
      <c r="L2227" s="11">
        <f t="shared" si="1840"/>
        <v>2</v>
      </c>
      <c r="M2227" s="99">
        <v>45905</v>
      </c>
      <c r="N2227" s="32" t="s">
        <v>1840</v>
      </c>
      <c r="O2227" s="26">
        <v>1</v>
      </c>
      <c r="P2227" s="47">
        <v>4</v>
      </c>
      <c r="Q2227" s="27"/>
      <c r="R2227" s="34">
        <v>7</v>
      </c>
      <c r="S2227" s="35">
        <f t="shared" si="1855"/>
        <v>12</v>
      </c>
      <c r="T2227" s="26"/>
      <c r="U2227" s="47"/>
      <c r="V2227" s="27"/>
      <c r="W2227" s="34">
        <v>2</v>
      </c>
      <c r="X2227" s="35">
        <f t="shared" si="1856"/>
        <v>2</v>
      </c>
      <c r="Y2227" s="11">
        <f t="shared" si="1843"/>
        <v>14</v>
      </c>
      <c r="Z2227" s="99">
        <v>45912</v>
      </c>
    </row>
    <row r="2228" spans="1:28" x14ac:dyDescent="0.15">
      <c r="A2228" s="15" t="s">
        <v>1834</v>
      </c>
      <c r="B2228" s="26"/>
      <c r="C2228" s="47"/>
      <c r="D2228" s="27"/>
      <c r="E2228" s="34"/>
      <c r="F2228" s="35">
        <f t="shared" si="1851"/>
        <v>0</v>
      </c>
      <c r="G2228" s="26">
        <v>-5</v>
      </c>
      <c r="H2228" s="47"/>
      <c r="I2228" s="27"/>
      <c r="J2228" s="34"/>
      <c r="K2228" s="35">
        <f t="shared" si="1852"/>
        <v>-5</v>
      </c>
      <c r="L2228" s="11">
        <f t="shared" si="1840"/>
        <v>-5</v>
      </c>
      <c r="M2228" s="99">
        <v>45906</v>
      </c>
      <c r="N2228" s="57" t="s">
        <v>34</v>
      </c>
      <c r="O2228" s="26">
        <v>5</v>
      </c>
      <c r="P2228" s="47">
        <v>5</v>
      </c>
      <c r="Q2228" s="27">
        <v>5</v>
      </c>
      <c r="R2228" s="34">
        <v>5</v>
      </c>
      <c r="S2228" s="35">
        <f t="shared" si="1855"/>
        <v>20</v>
      </c>
      <c r="T2228" s="26">
        <v>5</v>
      </c>
      <c r="U2228" s="47">
        <v>5</v>
      </c>
      <c r="V2228" s="27">
        <v>5</v>
      </c>
      <c r="W2228" s="34">
        <v>5</v>
      </c>
      <c r="X2228" s="35">
        <f t="shared" si="1856"/>
        <v>20</v>
      </c>
      <c r="Y2228" s="11">
        <f t="shared" si="1843"/>
        <v>40</v>
      </c>
      <c r="Z2228" s="99">
        <v>45911</v>
      </c>
    </row>
    <row r="2229" spans="1:28" x14ac:dyDescent="0.15">
      <c r="A2229" s="13" t="s">
        <v>1835</v>
      </c>
      <c r="B2229" s="26"/>
      <c r="C2229" s="47"/>
      <c r="D2229" s="27">
        <v>1</v>
      </c>
      <c r="E2229" s="34"/>
      <c r="F2229" s="35">
        <f t="shared" si="1851"/>
        <v>1</v>
      </c>
      <c r="G2229" s="26"/>
      <c r="H2229" s="47"/>
      <c r="I2229" s="27"/>
      <c r="J2229" s="34"/>
      <c r="K2229" s="35">
        <f t="shared" si="1852"/>
        <v>0</v>
      </c>
      <c r="L2229" s="11">
        <f t="shared" si="1840"/>
        <v>1</v>
      </c>
      <c r="M2229" s="99">
        <v>45908</v>
      </c>
      <c r="N2229" s="12" t="s">
        <v>1842</v>
      </c>
      <c r="O2229" s="26"/>
      <c r="P2229" s="47"/>
      <c r="Q2229" s="27"/>
      <c r="R2229" s="34"/>
      <c r="S2229" s="35">
        <f t="shared" si="1855"/>
        <v>0</v>
      </c>
      <c r="T2229" s="26"/>
      <c r="U2229" s="47"/>
      <c r="V2229" s="27">
        <v>5</v>
      </c>
      <c r="W2229" s="34"/>
      <c r="X2229" s="35">
        <f t="shared" si="1856"/>
        <v>5</v>
      </c>
      <c r="Y2229" s="11">
        <f t="shared" si="1843"/>
        <v>5</v>
      </c>
      <c r="Z2229" s="99">
        <v>45918</v>
      </c>
    </row>
    <row r="2230" spans="1:28" x14ac:dyDescent="0.15">
      <c r="A2230" s="15" t="s">
        <v>1836</v>
      </c>
      <c r="B2230" s="26"/>
      <c r="C2230" s="47">
        <v>8</v>
      </c>
      <c r="D2230" s="27">
        <v>10</v>
      </c>
      <c r="E2230" s="34">
        <v>5</v>
      </c>
      <c r="F2230" s="35">
        <f t="shared" si="1851"/>
        <v>23</v>
      </c>
      <c r="G2230" s="26"/>
      <c r="H2230" s="47"/>
      <c r="I2230" s="27">
        <v>5</v>
      </c>
      <c r="J2230" s="34"/>
      <c r="K2230" s="35">
        <f t="shared" si="1852"/>
        <v>5</v>
      </c>
      <c r="L2230" s="11">
        <f t="shared" si="1840"/>
        <v>28</v>
      </c>
      <c r="M2230" s="99">
        <v>45906</v>
      </c>
      <c r="N2230" s="57" t="s">
        <v>34</v>
      </c>
      <c r="O2230" s="26"/>
      <c r="P2230" s="47">
        <v>5</v>
      </c>
      <c r="Q2230" s="27"/>
      <c r="R2230" s="34"/>
      <c r="S2230" s="35">
        <f t="shared" si="1855"/>
        <v>5</v>
      </c>
      <c r="T2230" s="26"/>
      <c r="U2230" s="47"/>
      <c r="V2230" s="27"/>
      <c r="W2230" s="34"/>
      <c r="X2230" s="35">
        <f t="shared" si="1856"/>
        <v>0</v>
      </c>
      <c r="Y2230" s="11">
        <f t="shared" si="1843"/>
        <v>5</v>
      </c>
      <c r="Z2230" s="99">
        <v>45916</v>
      </c>
    </row>
    <row r="2231" spans="1:28" x14ac:dyDescent="0.15">
      <c r="A2231" s="15" t="s">
        <v>41</v>
      </c>
      <c r="B2231" s="26"/>
      <c r="C2231" s="47"/>
      <c r="D2231" s="27"/>
      <c r="E2231" s="34">
        <v>1</v>
      </c>
      <c r="F2231" s="35">
        <f t="shared" si="1851"/>
        <v>1</v>
      </c>
      <c r="G2231" s="26"/>
      <c r="H2231" s="47"/>
      <c r="I2231" s="27"/>
      <c r="J2231" s="34"/>
      <c r="K2231" s="35">
        <f t="shared" si="1852"/>
        <v>0</v>
      </c>
      <c r="L2231" s="11">
        <f t="shared" si="1840"/>
        <v>1</v>
      </c>
      <c r="M2231" s="99">
        <v>45906</v>
      </c>
      <c r="N2231" s="57"/>
      <c r="O2231" s="26"/>
      <c r="P2231" s="47"/>
      <c r="Q2231" s="27"/>
      <c r="R2231" s="34"/>
      <c r="S2231" s="35">
        <f t="shared" si="1855"/>
        <v>0</v>
      </c>
      <c r="T2231" s="26"/>
      <c r="U2231" s="47"/>
      <c r="V2231" s="27"/>
      <c r="W2231" s="34"/>
      <c r="X2231" s="35">
        <f t="shared" si="1856"/>
        <v>0</v>
      </c>
      <c r="Y2231" s="11">
        <f t="shared" si="1843"/>
        <v>0</v>
      </c>
    </row>
    <row r="2232" spans="1:28" x14ac:dyDescent="0.15">
      <c r="A2232" s="13" t="s">
        <v>1815</v>
      </c>
      <c r="B2232" s="26"/>
      <c r="C2232" s="47">
        <v>1</v>
      </c>
      <c r="D2232" s="27"/>
      <c r="E2232" s="34"/>
      <c r="F2232" s="35">
        <f t="shared" si="1851"/>
        <v>1</v>
      </c>
      <c r="G2232" s="26"/>
      <c r="H2232" s="47">
        <v>1</v>
      </c>
      <c r="I2232" s="27"/>
      <c r="J2232" s="34"/>
      <c r="K2232" s="35">
        <f t="shared" si="1852"/>
        <v>1</v>
      </c>
      <c r="L2232" s="11">
        <f t="shared" si="1840"/>
        <v>2</v>
      </c>
      <c r="M2232" s="99">
        <v>45910</v>
      </c>
      <c r="N2232" s="57" t="s">
        <v>1824</v>
      </c>
      <c r="O2232" s="26"/>
      <c r="P2232" s="47"/>
      <c r="Q2232" s="27"/>
      <c r="R2232" s="34"/>
      <c r="S2232" s="35">
        <f t="shared" si="1855"/>
        <v>0</v>
      </c>
      <c r="T2232" s="26"/>
      <c r="U2232" s="47"/>
      <c r="V2232" s="27"/>
      <c r="W2232" s="34"/>
      <c r="X2232" s="35">
        <f t="shared" si="1856"/>
        <v>0</v>
      </c>
      <c r="Y2232" s="11">
        <f t="shared" si="1843"/>
        <v>0</v>
      </c>
      <c r="Z2232" s="101" t="s">
        <v>1751</v>
      </c>
    </row>
    <row r="2233" spans="1:28" x14ac:dyDescent="0.15">
      <c r="A2233" s="15" t="s">
        <v>41</v>
      </c>
      <c r="B2233" s="26"/>
      <c r="C2233" s="47"/>
      <c r="D2233" s="27"/>
      <c r="E2233" s="34"/>
      <c r="F2233" s="35">
        <f t="shared" si="1851"/>
        <v>0</v>
      </c>
      <c r="G2233" s="26">
        <v>1</v>
      </c>
      <c r="H2233" s="47">
        <v>1</v>
      </c>
      <c r="I2233" s="27"/>
      <c r="J2233" s="34"/>
      <c r="K2233" s="35">
        <f t="shared" si="1852"/>
        <v>2</v>
      </c>
      <c r="L2233" s="11">
        <f t="shared" si="1840"/>
        <v>2</v>
      </c>
      <c r="M2233" s="99">
        <v>45908</v>
      </c>
      <c r="N2233" s="12" t="s">
        <v>1764</v>
      </c>
      <c r="O2233" s="26"/>
      <c r="P2233" s="47"/>
      <c r="Q2233" s="27"/>
      <c r="R2233" s="34"/>
      <c r="S2233" s="35">
        <f t="shared" ref="S2233:S2235" si="1859">SUM(O2233:R2233)</f>
        <v>0</v>
      </c>
      <c r="T2233" s="26"/>
      <c r="U2233" s="47"/>
      <c r="V2233" s="27"/>
      <c r="W2233" s="34"/>
      <c r="X2233" s="35">
        <f t="shared" ref="X2233:X2235" si="1860">SUM(T2233:W2233)</f>
        <v>0</v>
      </c>
      <c r="Y2233" s="108">
        <f t="shared" ref="Y2233:Y2235" si="1861">S2233+X2233</f>
        <v>0</v>
      </c>
      <c r="Z2233" s="101" t="s">
        <v>1765</v>
      </c>
    </row>
    <row r="2234" spans="1:28" x14ac:dyDescent="0.15">
      <c r="A2234" s="32" t="s">
        <v>1838</v>
      </c>
      <c r="B2234" s="26"/>
      <c r="C2234" s="47"/>
      <c r="D2234" s="27"/>
      <c r="E2234" s="34">
        <v>-5</v>
      </c>
      <c r="F2234" s="35">
        <f t="shared" si="1851"/>
        <v>-5</v>
      </c>
      <c r="G2234" s="26"/>
      <c r="H2234" s="47">
        <v>-5</v>
      </c>
      <c r="I2234" s="27"/>
      <c r="J2234" s="34"/>
      <c r="K2234" s="35">
        <f t="shared" si="1852"/>
        <v>-5</v>
      </c>
      <c r="L2234" s="11">
        <f t="shared" si="1840"/>
        <v>-10</v>
      </c>
      <c r="M2234" s="99">
        <v>45909</v>
      </c>
      <c r="N2234" s="57" t="s">
        <v>731</v>
      </c>
      <c r="O2234" s="66"/>
      <c r="P2234" s="67"/>
      <c r="Q2234" s="68"/>
      <c r="R2234" s="69"/>
      <c r="S2234" s="70">
        <f t="shared" si="1859"/>
        <v>0</v>
      </c>
      <c r="T2234" s="66"/>
      <c r="U2234" s="67"/>
      <c r="V2234" s="68"/>
      <c r="W2234" s="69"/>
      <c r="X2234" s="70">
        <f t="shared" si="1860"/>
        <v>0</v>
      </c>
      <c r="Y2234" s="11">
        <f t="shared" si="1861"/>
        <v>0</v>
      </c>
      <c r="Z2234" s="101" t="s">
        <v>732</v>
      </c>
    </row>
    <row r="2235" spans="1:28" x14ac:dyDescent="0.15">
      <c r="A2235" s="32" t="s">
        <v>1839</v>
      </c>
      <c r="B2235" s="26"/>
      <c r="C2235" s="47">
        <v>3</v>
      </c>
      <c r="D2235" s="27"/>
      <c r="E2235" s="34"/>
      <c r="F2235" s="35">
        <f t="shared" si="1851"/>
        <v>3</v>
      </c>
      <c r="G2235" s="26"/>
      <c r="H2235" s="47">
        <v>1</v>
      </c>
      <c r="I2235" s="27"/>
      <c r="J2235" s="34"/>
      <c r="K2235" s="35">
        <f t="shared" si="1852"/>
        <v>1</v>
      </c>
      <c r="L2235" s="11">
        <f t="shared" si="1840"/>
        <v>4</v>
      </c>
      <c r="M2235" s="99">
        <v>45911</v>
      </c>
      <c r="N2235" s="12" t="s">
        <v>1749</v>
      </c>
      <c r="O2235" s="26"/>
      <c r="P2235" s="47"/>
      <c r="Q2235" s="27"/>
      <c r="R2235" s="34"/>
      <c r="S2235" s="35">
        <f t="shared" si="1859"/>
        <v>0</v>
      </c>
      <c r="T2235" s="26"/>
      <c r="U2235" s="47"/>
      <c r="V2235" s="27"/>
      <c r="W2235" s="34"/>
      <c r="X2235" s="35">
        <f t="shared" si="1860"/>
        <v>0</v>
      </c>
      <c r="Y2235" s="108">
        <f t="shared" si="1861"/>
        <v>0</v>
      </c>
      <c r="Z2235" s="101" t="s">
        <v>1750</v>
      </c>
    </row>
    <row r="2236" spans="1:28" x14ac:dyDescent="0.15">
      <c r="A2236" s="15" t="s">
        <v>41</v>
      </c>
      <c r="B2236" s="26"/>
      <c r="C2236" s="47"/>
      <c r="D2236" s="27"/>
      <c r="E2236" s="34">
        <v>1</v>
      </c>
      <c r="F2236" s="35">
        <f t="shared" si="1851"/>
        <v>1</v>
      </c>
      <c r="G2236" s="26"/>
      <c r="H2236" s="47"/>
      <c r="I2236" s="27">
        <f>1+1</f>
        <v>2</v>
      </c>
      <c r="J2236" s="34"/>
      <c r="K2236" s="35">
        <f t="shared" si="1852"/>
        <v>2</v>
      </c>
      <c r="L2236" s="11">
        <f t="shared" si="1840"/>
        <v>3</v>
      </c>
      <c r="M2236" s="99">
        <v>45909</v>
      </c>
      <c r="N2236" s="12" t="s">
        <v>1759</v>
      </c>
      <c r="O2236" s="26"/>
      <c r="P2236" s="47"/>
      <c r="Q2236" s="27"/>
      <c r="R2236" s="34"/>
      <c r="S2236" s="35">
        <f t="shared" ref="S2236:S2238" si="1862">SUM(O2236:R2236)</f>
        <v>0</v>
      </c>
      <c r="T2236" s="26"/>
      <c r="U2236" s="47"/>
      <c r="V2236" s="27"/>
      <c r="W2236" s="34"/>
      <c r="X2236" s="35">
        <f t="shared" ref="X2236:X2238" si="1863">SUM(T2236:W2236)</f>
        <v>0</v>
      </c>
      <c r="Y2236" s="108">
        <f t="shared" ref="Y2236:Y2238" si="1864">S2236+X2236</f>
        <v>0</v>
      </c>
      <c r="Z2236" s="101" t="s">
        <v>1760</v>
      </c>
    </row>
    <row r="2237" spans="1:28" x14ac:dyDescent="0.15">
      <c r="A2237" s="15" t="s">
        <v>41</v>
      </c>
      <c r="B2237" s="26"/>
      <c r="C2237" s="47">
        <v>1</v>
      </c>
      <c r="D2237" s="27"/>
      <c r="E2237" s="34"/>
      <c r="F2237" s="35">
        <f t="shared" si="1851"/>
        <v>1</v>
      </c>
      <c r="G2237" s="26"/>
      <c r="H2237" s="47"/>
      <c r="I2237" s="27"/>
      <c r="J2237" s="34"/>
      <c r="K2237" s="35">
        <f t="shared" si="1852"/>
        <v>0</v>
      </c>
      <c r="L2237" s="11">
        <f t="shared" si="1840"/>
        <v>1</v>
      </c>
      <c r="M2237" s="99">
        <v>45910</v>
      </c>
      <c r="N2237" s="173" t="s">
        <v>1715</v>
      </c>
      <c r="O2237" s="174"/>
      <c r="P2237" s="175"/>
      <c r="Q2237" s="176"/>
      <c r="R2237" s="177"/>
      <c r="S2237" s="178">
        <f t="shared" si="1862"/>
        <v>0</v>
      </c>
      <c r="T2237" s="174"/>
      <c r="U2237" s="175"/>
      <c r="V2237" s="176"/>
      <c r="W2237" s="177"/>
      <c r="X2237" s="178">
        <f t="shared" si="1863"/>
        <v>0</v>
      </c>
      <c r="Y2237" s="179">
        <f t="shared" si="1864"/>
        <v>0</v>
      </c>
      <c r="Z2237" s="101"/>
      <c r="AA2237" s="58"/>
      <c r="AB2237" s="58"/>
    </row>
    <row r="2238" spans="1:28" ht="14.25" thickBot="1" x14ac:dyDescent="0.2">
      <c r="A2238" s="32" t="s">
        <v>1841</v>
      </c>
      <c r="B2238" s="62"/>
      <c r="C2238" s="63"/>
      <c r="D2238" s="64">
        <v>1</v>
      </c>
      <c r="E2238" s="65"/>
      <c r="F2238" s="35">
        <f t="shared" si="1851"/>
        <v>1</v>
      </c>
      <c r="G2238" s="62"/>
      <c r="H2238" s="63"/>
      <c r="I2238" s="64">
        <v>1</v>
      </c>
      <c r="J2238" s="65"/>
      <c r="K2238" s="35">
        <f t="shared" si="1852"/>
        <v>1</v>
      </c>
      <c r="L2238" s="14">
        <f t="shared" si="1840"/>
        <v>2</v>
      </c>
      <c r="M2238" s="99">
        <v>45912</v>
      </c>
      <c r="N2238" s="135" t="s">
        <v>1714</v>
      </c>
      <c r="O2238" s="62"/>
      <c r="P2238" s="63"/>
      <c r="Q2238" s="64"/>
      <c r="R2238" s="65"/>
      <c r="S2238" s="120">
        <f t="shared" si="1862"/>
        <v>0</v>
      </c>
      <c r="T2238" s="62"/>
      <c r="U2238" s="63"/>
      <c r="V2238" s="64"/>
      <c r="W2238" s="65"/>
      <c r="X2238" s="120">
        <f t="shared" si="1863"/>
        <v>0</v>
      </c>
      <c r="Y2238" s="121">
        <f t="shared" si="1864"/>
        <v>0</v>
      </c>
      <c r="Z2238" s="101" t="s">
        <v>1767</v>
      </c>
      <c r="AA2238" s="58"/>
      <c r="AB2238" s="58"/>
    </row>
    <row r="2239" spans="1:28" ht="14.25" thickBot="1" x14ac:dyDescent="0.2">
      <c r="A2239" s="17" t="s">
        <v>10</v>
      </c>
      <c r="B2239" s="38">
        <f>SUM(B2214:B2238)</f>
        <v>13</v>
      </c>
      <c r="C2239" s="48">
        <f>SUM(C2214:C2238)</f>
        <v>17</v>
      </c>
      <c r="D2239" s="39">
        <f>SUM(D2214:D2238)</f>
        <v>14</v>
      </c>
      <c r="E2239" s="40">
        <f>SUM(E2214:E2238)</f>
        <v>4</v>
      </c>
      <c r="F2239" s="36">
        <f>SUM(B2239:E2239)</f>
        <v>48</v>
      </c>
      <c r="G2239" s="38">
        <f>SUM(G2214:G2238)</f>
        <v>7</v>
      </c>
      <c r="H2239" s="48">
        <f>SUM(H2214:H2238)</f>
        <v>-1</v>
      </c>
      <c r="I2239" s="39">
        <f>SUM(I2214:I2238)</f>
        <v>9</v>
      </c>
      <c r="J2239" s="40">
        <f>SUM(J2214:J2238)</f>
        <v>1</v>
      </c>
      <c r="K2239" s="36">
        <f>SUM(G2239:J2239)</f>
        <v>16</v>
      </c>
      <c r="L2239" s="37">
        <f t="shared" si="1840"/>
        <v>64</v>
      </c>
      <c r="N2239" s="133" t="s">
        <v>10</v>
      </c>
      <c r="O2239" s="38">
        <f>SUM(O2214:O2238)</f>
        <v>92</v>
      </c>
      <c r="P2239" s="48">
        <f>SUM(P2214:P2238)</f>
        <v>83</v>
      </c>
      <c r="Q2239" s="39">
        <f>SUM(Q2214:Q2238)</f>
        <v>66</v>
      </c>
      <c r="R2239" s="40">
        <f>SUM(R2214:R2238)</f>
        <v>65</v>
      </c>
      <c r="S2239" s="118">
        <f t="shared" si="1855"/>
        <v>306</v>
      </c>
      <c r="T2239" s="38">
        <f>SUM(T2214:T2238)</f>
        <v>56</v>
      </c>
      <c r="U2239" s="48">
        <f>SUM(U2214:U2238)</f>
        <v>43</v>
      </c>
      <c r="V2239" s="39">
        <f>SUM(V2214:V2238)</f>
        <v>49</v>
      </c>
      <c r="W2239" s="40">
        <f>SUM(W2214:W2238)</f>
        <v>35</v>
      </c>
      <c r="X2239" s="118">
        <f t="shared" si="1856"/>
        <v>183</v>
      </c>
      <c r="Y2239" s="119">
        <f t="shared" si="1843"/>
        <v>489</v>
      </c>
    </row>
    <row r="2240" spans="1:28" ht="14.25" thickBot="1" x14ac:dyDescent="0.2">
      <c r="A2240" s="22" t="s">
        <v>11</v>
      </c>
      <c r="B2240" s="41">
        <f>B2213-B2239</f>
        <v>8</v>
      </c>
      <c r="C2240" s="49">
        <f>C2213-C2239</f>
        <v>2</v>
      </c>
      <c r="D2240" s="42">
        <f t="shared" ref="D2240:K2240" si="1865">D2213-D2239</f>
        <v>5</v>
      </c>
      <c r="E2240" s="43">
        <f t="shared" si="1865"/>
        <v>6</v>
      </c>
      <c r="F2240" s="61">
        <f t="shared" si="1865"/>
        <v>17</v>
      </c>
      <c r="G2240" s="41">
        <f t="shared" si="1865"/>
        <v>5</v>
      </c>
      <c r="H2240" s="49">
        <f t="shared" si="1865"/>
        <v>7</v>
      </c>
      <c r="I2240" s="42">
        <f t="shared" si="1865"/>
        <v>2</v>
      </c>
      <c r="J2240" s="43">
        <f t="shared" si="1865"/>
        <v>4</v>
      </c>
      <c r="K2240" s="61">
        <f t="shared" si="1865"/>
        <v>18</v>
      </c>
      <c r="L2240" s="21">
        <f t="shared" si="1840"/>
        <v>35</v>
      </c>
      <c r="N2240" s="17" t="s">
        <v>11</v>
      </c>
      <c r="O2240" s="41">
        <f>O2213-O2239</f>
        <v>996</v>
      </c>
      <c r="P2240" s="49">
        <f t="shared" ref="P2240:Q2240" si="1866">P2213-P2239</f>
        <v>1296</v>
      </c>
      <c r="Q2240" s="42">
        <f t="shared" si="1866"/>
        <v>795</v>
      </c>
      <c r="R2240" s="43">
        <f>R2213-R2239</f>
        <v>506</v>
      </c>
      <c r="S2240" s="61">
        <f t="shared" ref="S2240:X2240" si="1867">S2213-S2239</f>
        <v>3593</v>
      </c>
      <c r="T2240" s="41">
        <f t="shared" si="1867"/>
        <v>847</v>
      </c>
      <c r="U2240" s="49">
        <f t="shared" si="1867"/>
        <v>939</v>
      </c>
      <c r="V2240" s="42">
        <f t="shared" si="1867"/>
        <v>720</v>
      </c>
      <c r="W2240" s="43">
        <f t="shared" si="1867"/>
        <v>485</v>
      </c>
      <c r="X2240" s="61">
        <f t="shared" si="1867"/>
        <v>2991</v>
      </c>
      <c r="Y2240" s="21">
        <f t="shared" si="1843"/>
        <v>6584</v>
      </c>
    </row>
    <row r="2243" spans="1:27" ht="19.5" thickBot="1" x14ac:dyDescent="0.25">
      <c r="A2243" s="2" t="s">
        <v>106</v>
      </c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N2243" s="2" t="s">
        <v>1036</v>
      </c>
      <c r="O2243" s="270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7" ht="14.25" thickBot="1" x14ac:dyDescent="0.2">
      <c r="A2244" s="5" t="s">
        <v>0</v>
      </c>
      <c r="B2244" s="342" t="s">
        <v>18</v>
      </c>
      <c r="C2244" s="350"/>
      <c r="D2244" s="350"/>
      <c r="E2244" s="350"/>
      <c r="F2244" s="351"/>
      <c r="G2244" s="345" t="s">
        <v>12</v>
      </c>
      <c r="H2244" s="352"/>
      <c r="I2244" s="352"/>
      <c r="J2244" s="352"/>
      <c r="K2244" s="353"/>
      <c r="L2244" s="354" t="s">
        <v>1</v>
      </c>
      <c r="N2244" s="5" t="s">
        <v>0</v>
      </c>
      <c r="O2244" s="342" t="s">
        <v>18</v>
      </c>
      <c r="P2244" s="343"/>
      <c r="Q2244" s="343"/>
      <c r="R2244" s="343"/>
      <c r="S2244" s="344"/>
      <c r="T2244" s="345" t="s">
        <v>12</v>
      </c>
      <c r="U2244" s="346"/>
      <c r="V2244" s="346"/>
      <c r="W2244" s="346"/>
      <c r="X2244" s="347"/>
      <c r="Y2244" s="348" t="s">
        <v>1</v>
      </c>
    </row>
    <row r="2245" spans="1:27" ht="14.25" thickBot="1" x14ac:dyDescent="0.2">
      <c r="A2245" s="5" t="s">
        <v>2</v>
      </c>
      <c r="B2245" s="3" t="s">
        <v>13</v>
      </c>
      <c r="C2245" s="44" t="s">
        <v>14</v>
      </c>
      <c r="D2245" s="4" t="s">
        <v>15</v>
      </c>
      <c r="E2245" s="23" t="s">
        <v>16</v>
      </c>
      <c r="F2245" s="31" t="s">
        <v>3</v>
      </c>
      <c r="G2245" s="3" t="s">
        <v>13</v>
      </c>
      <c r="H2245" s="44" t="s">
        <v>14</v>
      </c>
      <c r="I2245" s="4" t="s">
        <v>15</v>
      </c>
      <c r="J2245" s="23" t="s">
        <v>16</v>
      </c>
      <c r="K2245" s="31" t="s">
        <v>3</v>
      </c>
      <c r="L2245" s="355"/>
      <c r="N2245" s="5" t="s">
        <v>2</v>
      </c>
      <c r="O2245" s="3" t="s">
        <v>13</v>
      </c>
      <c r="P2245" s="44" t="s">
        <v>14</v>
      </c>
      <c r="Q2245" s="4" t="s">
        <v>15</v>
      </c>
      <c r="R2245" s="23" t="s">
        <v>16</v>
      </c>
      <c r="S2245" s="31" t="s">
        <v>3</v>
      </c>
      <c r="T2245" s="3" t="s">
        <v>13</v>
      </c>
      <c r="U2245" s="44" t="s">
        <v>14</v>
      </c>
      <c r="V2245" s="4" t="s">
        <v>15</v>
      </c>
      <c r="W2245" s="23" t="s">
        <v>16</v>
      </c>
      <c r="X2245" s="31" t="s">
        <v>3</v>
      </c>
      <c r="Y2245" s="349"/>
    </row>
    <row r="2246" spans="1:27" x14ac:dyDescent="0.15">
      <c r="A2246" s="71" t="s">
        <v>17</v>
      </c>
      <c r="B2246" s="72">
        <f>B2240</f>
        <v>8</v>
      </c>
      <c r="C2246" s="73">
        <f t="shared" ref="C2246:L2246" si="1868">C2240</f>
        <v>2</v>
      </c>
      <c r="D2246" s="73">
        <f t="shared" si="1868"/>
        <v>5</v>
      </c>
      <c r="E2246" s="74">
        <f t="shared" si="1868"/>
        <v>6</v>
      </c>
      <c r="F2246" s="76">
        <f t="shared" si="1868"/>
        <v>17</v>
      </c>
      <c r="G2246" s="72">
        <f t="shared" si="1868"/>
        <v>5</v>
      </c>
      <c r="H2246" s="73">
        <f t="shared" si="1868"/>
        <v>7</v>
      </c>
      <c r="I2246" s="73">
        <f t="shared" si="1868"/>
        <v>2</v>
      </c>
      <c r="J2246" s="74">
        <f t="shared" si="1868"/>
        <v>4</v>
      </c>
      <c r="K2246" s="75">
        <f t="shared" si="1868"/>
        <v>18</v>
      </c>
      <c r="L2246" s="16">
        <f t="shared" si="1868"/>
        <v>35</v>
      </c>
      <c r="N2246" s="71" t="s">
        <v>17</v>
      </c>
      <c r="O2246" s="72">
        <f>O2240</f>
        <v>996</v>
      </c>
      <c r="P2246" s="73">
        <f t="shared" ref="P2246:Y2246" si="1869">P2240</f>
        <v>1296</v>
      </c>
      <c r="Q2246" s="73">
        <f t="shared" si="1869"/>
        <v>795</v>
      </c>
      <c r="R2246" s="74">
        <f t="shared" si="1869"/>
        <v>506</v>
      </c>
      <c r="S2246" s="76">
        <f t="shared" si="1869"/>
        <v>3593</v>
      </c>
      <c r="T2246" s="72">
        <f t="shared" si="1869"/>
        <v>847</v>
      </c>
      <c r="U2246" s="73">
        <f t="shared" si="1869"/>
        <v>939</v>
      </c>
      <c r="V2246" s="73">
        <f t="shared" si="1869"/>
        <v>720</v>
      </c>
      <c r="W2246" s="74">
        <f t="shared" si="1869"/>
        <v>485</v>
      </c>
      <c r="X2246" s="75">
        <f t="shared" si="1869"/>
        <v>2991</v>
      </c>
      <c r="Y2246" s="16">
        <f t="shared" si="1869"/>
        <v>6584</v>
      </c>
    </row>
    <row r="2247" spans="1:27" x14ac:dyDescent="0.15">
      <c r="A2247" s="13" t="s">
        <v>5</v>
      </c>
      <c r="B2247" s="26">
        <v>5</v>
      </c>
      <c r="C2247" s="47">
        <v>5</v>
      </c>
      <c r="D2247" s="27">
        <v>5</v>
      </c>
      <c r="E2247" s="50">
        <v>5</v>
      </c>
      <c r="F2247" s="9">
        <f t="shared" ref="F2247:F2248" si="1870">SUM(B2247:E2247)</f>
        <v>20</v>
      </c>
      <c r="G2247" s="47">
        <v>5</v>
      </c>
      <c r="H2247" s="47">
        <v>5</v>
      </c>
      <c r="I2247" s="27">
        <v>5</v>
      </c>
      <c r="J2247" s="50">
        <v>5</v>
      </c>
      <c r="K2247" s="9">
        <f t="shared" ref="K2247:K2248" si="1871">SUM(G2247:J2247)</f>
        <v>20</v>
      </c>
      <c r="L2247" s="11">
        <f t="shared" ref="L2247:L2278" si="1872">F2247+K2247</f>
        <v>40</v>
      </c>
      <c r="M2247" s="99">
        <v>45911</v>
      </c>
      <c r="N2247" s="13" t="s">
        <v>305</v>
      </c>
      <c r="O2247" s="26">
        <v>8</v>
      </c>
      <c r="P2247" s="47"/>
      <c r="Q2247" s="27"/>
      <c r="R2247" s="34">
        <v>7</v>
      </c>
      <c r="S2247" s="77">
        <f t="shared" ref="S2247" si="1873">SUM(O2247:R2247)</f>
        <v>15</v>
      </c>
      <c r="T2247" s="26"/>
      <c r="U2247" s="47"/>
      <c r="V2247" s="27"/>
      <c r="W2247" s="34"/>
      <c r="X2247" s="9">
        <f t="shared" ref="X2247" si="1874">SUM(T2247:W2247)</f>
        <v>0</v>
      </c>
      <c r="Y2247" s="11">
        <f t="shared" ref="Y2247" si="1875">S2247+X2247</f>
        <v>15</v>
      </c>
      <c r="Z2247" s="126">
        <v>45920</v>
      </c>
    </row>
    <row r="2248" spans="1:27" x14ac:dyDescent="0.15">
      <c r="A2248" s="13" t="s">
        <v>6</v>
      </c>
      <c r="B2248" s="26"/>
      <c r="C2248" s="47">
        <v>5</v>
      </c>
      <c r="D2248" s="27"/>
      <c r="E2248" s="50"/>
      <c r="F2248" s="9">
        <f t="shared" si="1870"/>
        <v>5</v>
      </c>
      <c r="G2248" s="47"/>
      <c r="H2248" s="47"/>
      <c r="I2248" s="27"/>
      <c r="J2248" s="50"/>
      <c r="K2248" s="9">
        <f t="shared" si="1871"/>
        <v>0</v>
      </c>
      <c r="L2248" s="11">
        <f t="shared" si="1872"/>
        <v>5</v>
      </c>
      <c r="M2248" s="99">
        <v>45916</v>
      </c>
      <c r="N2248" s="13" t="s">
        <v>6</v>
      </c>
      <c r="O2248" s="26"/>
      <c r="P2248" s="47"/>
      <c r="Q2248" s="27"/>
      <c r="R2248" s="34"/>
      <c r="S2248" s="77">
        <f t="shared" ref="S2248:S2250" si="1876">SUM(O2248:R2248)</f>
        <v>0</v>
      </c>
      <c r="T2248" s="26"/>
      <c r="U2248" s="47"/>
      <c r="V2248" s="27"/>
      <c r="W2248" s="34"/>
      <c r="X2248" s="9">
        <f t="shared" ref="X2248:X2250" si="1877">SUM(T2248:W2248)</f>
        <v>0</v>
      </c>
      <c r="Y2248" s="11">
        <f t="shared" ref="Y2248:Y2278" si="1878">S2248+X2248</f>
        <v>0</v>
      </c>
    </row>
    <row r="2249" spans="1:27" x14ac:dyDescent="0.15">
      <c r="A2249" s="13" t="s">
        <v>49</v>
      </c>
      <c r="B2249" s="26">
        <v>-2</v>
      </c>
      <c r="C2249" s="47">
        <v>-1</v>
      </c>
      <c r="D2249" s="27">
        <v>-2</v>
      </c>
      <c r="E2249" s="50"/>
      <c r="F2249" s="9">
        <f>SUM(B2249:E2249)</f>
        <v>-5</v>
      </c>
      <c r="G2249" s="47">
        <v>-1</v>
      </c>
      <c r="H2249" s="47"/>
      <c r="I2249" s="27"/>
      <c r="J2249" s="50"/>
      <c r="K2249" s="9">
        <f>SUM(G2249:J2249)</f>
        <v>-1</v>
      </c>
      <c r="L2249" s="11">
        <f t="shared" si="1872"/>
        <v>-6</v>
      </c>
      <c r="M2249" s="99">
        <v>45910</v>
      </c>
      <c r="N2249" s="13" t="s">
        <v>7</v>
      </c>
      <c r="O2249" s="26"/>
      <c r="P2249" s="47"/>
      <c r="Q2249" s="27"/>
      <c r="R2249" s="34"/>
      <c r="S2249" s="77">
        <f t="shared" si="1876"/>
        <v>0</v>
      </c>
      <c r="T2249" s="26"/>
      <c r="U2249" s="47"/>
      <c r="V2249" s="27"/>
      <c r="W2249" s="34"/>
      <c r="X2249" s="9">
        <f t="shared" si="1877"/>
        <v>0</v>
      </c>
      <c r="Y2249" s="11">
        <f t="shared" si="1878"/>
        <v>0</v>
      </c>
    </row>
    <row r="2250" spans="1:27" ht="14.25" thickBot="1" x14ac:dyDescent="0.2">
      <c r="A2250" s="13" t="s">
        <v>8</v>
      </c>
      <c r="B2250" s="26"/>
      <c r="C2250" s="47"/>
      <c r="D2250" s="27">
        <v>5</v>
      </c>
      <c r="E2250" s="50"/>
      <c r="F2250" s="10">
        <f>SUM(B2250:E2250)</f>
        <v>5</v>
      </c>
      <c r="G2250" s="47"/>
      <c r="H2250" s="47"/>
      <c r="I2250" s="27"/>
      <c r="J2250" s="50"/>
      <c r="K2250" s="10">
        <f>SUM(G2250:J2250)</f>
        <v>0</v>
      </c>
      <c r="L2250" s="14">
        <f t="shared" si="1872"/>
        <v>5</v>
      </c>
      <c r="M2250" s="99">
        <v>45920</v>
      </c>
      <c r="N2250" s="13" t="s">
        <v>8</v>
      </c>
      <c r="O2250" s="26"/>
      <c r="P2250" s="47"/>
      <c r="Q2250" s="27"/>
      <c r="R2250" s="34"/>
      <c r="S2250" s="77">
        <f t="shared" si="1876"/>
        <v>0</v>
      </c>
      <c r="T2250" s="26"/>
      <c r="U2250" s="47"/>
      <c r="V2250" s="27"/>
      <c r="W2250" s="34"/>
      <c r="X2250" s="9">
        <f t="shared" si="1877"/>
        <v>0</v>
      </c>
      <c r="Y2250" s="11">
        <f t="shared" si="1878"/>
        <v>0</v>
      </c>
    </row>
    <row r="2251" spans="1:27" ht="14.25" thickBot="1" x14ac:dyDescent="0.2">
      <c r="A2251" s="22" t="s">
        <v>9</v>
      </c>
      <c r="B2251" s="41">
        <f t="shared" ref="B2251:K2251" si="1879">SUM(B2246:B2250)</f>
        <v>11</v>
      </c>
      <c r="C2251" s="49">
        <f t="shared" si="1879"/>
        <v>11</v>
      </c>
      <c r="D2251" s="42">
        <f t="shared" si="1879"/>
        <v>13</v>
      </c>
      <c r="E2251" s="92">
        <f t="shared" si="1879"/>
        <v>11</v>
      </c>
      <c r="F2251" s="132">
        <f t="shared" si="1879"/>
        <v>42</v>
      </c>
      <c r="G2251" s="41">
        <f t="shared" si="1879"/>
        <v>9</v>
      </c>
      <c r="H2251" s="49">
        <f t="shared" si="1879"/>
        <v>12</v>
      </c>
      <c r="I2251" s="42">
        <f t="shared" si="1879"/>
        <v>7</v>
      </c>
      <c r="J2251" s="92">
        <f t="shared" si="1879"/>
        <v>9</v>
      </c>
      <c r="K2251" s="132">
        <f t="shared" si="1879"/>
        <v>37</v>
      </c>
      <c r="L2251" s="21">
        <f t="shared" si="1872"/>
        <v>79</v>
      </c>
      <c r="N2251" s="17" t="s">
        <v>9</v>
      </c>
      <c r="O2251" s="41">
        <f>SUM(O2246:O2250)</f>
        <v>1004</v>
      </c>
      <c r="P2251" s="49">
        <f t="shared" ref="P2251:V2251" si="1880">SUM(P2246:P2250)</f>
        <v>1296</v>
      </c>
      <c r="Q2251" s="42">
        <f t="shared" si="1880"/>
        <v>795</v>
      </c>
      <c r="R2251" s="92">
        <f t="shared" si="1880"/>
        <v>513</v>
      </c>
      <c r="S2251" s="93">
        <f t="shared" si="1880"/>
        <v>3608</v>
      </c>
      <c r="T2251" s="41">
        <f t="shared" si="1880"/>
        <v>847</v>
      </c>
      <c r="U2251" s="49">
        <f t="shared" si="1880"/>
        <v>939</v>
      </c>
      <c r="V2251" s="42">
        <f t="shared" si="1880"/>
        <v>720</v>
      </c>
      <c r="W2251" s="92">
        <f>SUM(W2246:W2250)</f>
        <v>485</v>
      </c>
      <c r="X2251" s="93">
        <f t="shared" ref="X2251" si="1881">SUM(X2246:X2250)</f>
        <v>2991</v>
      </c>
      <c r="Y2251" s="56">
        <f t="shared" si="1878"/>
        <v>6599</v>
      </c>
    </row>
    <row r="2252" spans="1:27" x14ac:dyDescent="0.15">
      <c r="A2252" s="15" t="s">
        <v>41</v>
      </c>
      <c r="B2252" s="26">
        <v>1</v>
      </c>
      <c r="C2252" s="47">
        <v>1</v>
      </c>
      <c r="D2252" s="27"/>
      <c r="E2252" s="34"/>
      <c r="F2252" s="35">
        <f t="shared" ref="F2252:F2253" si="1882">SUM(B2252:E2252)</f>
        <v>2</v>
      </c>
      <c r="G2252" s="26"/>
      <c r="H2252" s="47"/>
      <c r="I2252" s="27"/>
      <c r="J2252" s="34"/>
      <c r="K2252" s="35">
        <f t="shared" ref="K2252:K2253" si="1883">SUM(G2252:J2252)</f>
        <v>0</v>
      </c>
      <c r="L2252" s="11">
        <f t="shared" ref="L2252:L2253" si="1884">F2252+K2252</f>
        <v>2</v>
      </c>
      <c r="M2252" s="126">
        <v>45911</v>
      </c>
      <c r="N2252" s="32" t="s">
        <v>1849</v>
      </c>
      <c r="O2252" s="26">
        <v>3</v>
      </c>
      <c r="P2252" s="47">
        <v>2</v>
      </c>
      <c r="Q2252" s="27"/>
      <c r="R2252" s="34">
        <v>4</v>
      </c>
      <c r="S2252" s="35">
        <f t="shared" ref="S2252:S2257" si="1885">SUM(O2252:R2252)</f>
        <v>9</v>
      </c>
      <c r="T2252" s="26"/>
      <c r="U2252" s="47">
        <v>2</v>
      </c>
      <c r="V2252" s="27"/>
      <c r="W2252" s="34"/>
      <c r="X2252" s="35">
        <f t="shared" ref="X2252:X2257" si="1886">SUM(T2252:W2252)</f>
        <v>2</v>
      </c>
      <c r="Y2252" s="11">
        <f t="shared" si="1878"/>
        <v>11</v>
      </c>
      <c r="Z2252" s="99">
        <v>45919</v>
      </c>
    </row>
    <row r="2253" spans="1:27" x14ac:dyDescent="0.15">
      <c r="A2253" s="32" t="s">
        <v>1843</v>
      </c>
      <c r="B2253" s="26">
        <v>3</v>
      </c>
      <c r="C2253" s="47">
        <v>4</v>
      </c>
      <c r="D2253" s="27"/>
      <c r="E2253" s="34"/>
      <c r="F2253" s="35">
        <f t="shared" si="1882"/>
        <v>7</v>
      </c>
      <c r="G2253" s="26"/>
      <c r="H2253" s="47">
        <v>1</v>
      </c>
      <c r="I2253" s="27"/>
      <c r="J2253" s="34"/>
      <c r="K2253" s="35">
        <f t="shared" si="1883"/>
        <v>1</v>
      </c>
      <c r="L2253" s="11">
        <f t="shared" si="1884"/>
        <v>8</v>
      </c>
      <c r="M2253" s="99">
        <v>45916</v>
      </c>
      <c r="N2253" s="12" t="s">
        <v>1852</v>
      </c>
      <c r="O2253" s="26"/>
      <c r="P2253" s="47">
        <v>2</v>
      </c>
      <c r="Q2253" s="27">
        <v>2</v>
      </c>
      <c r="R2253" s="34"/>
      <c r="S2253" s="35">
        <f t="shared" si="1885"/>
        <v>4</v>
      </c>
      <c r="T2253" s="26"/>
      <c r="U2253" s="47">
        <v>2</v>
      </c>
      <c r="V2253" s="27">
        <v>2</v>
      </c>
      <c r="W2253" s="34"/>
      <c r="X2253" s="35">
        <f t="shared" si="1886"/>
        <v>4</v>
      </c>
      <c r="Y2253" s="11">
        <f t="shared" si="1878"/>
        <v>8</v>
      </c>
      <c r="Z2253" s="99">
        <v>45922</v>
      </c>
    </row>
    <row r="2254" spans="1:27" x14ac:dyDescent="0.15">
      <c r="A2254" s="15" t="s">
        <v>41</v>
      </c>
      <c r="B2254" s="26"/>
      <c r="C2254" s="47"/>
      <c r="D2254" s="27"/>
      <c r="E2254" s="34">
        <v>1</v>
      </c>
      <c r="F2254" s="35">
        <f t="shared" ref="F2254:F2276" si="1887">SUM(B2254:E2254)</f>
        <v>1</v>
      </c>
      <c r="G2254" s="26"/>
      <c r="H2254" s="47"/>
      <c r="I2254" s="27"/>
      <c r="J2254" s="34"/>
      <c r="K2254" s="35">
        <f t="shared" ref="K2254:K2276" si="1888">SUM(G2254:J2254)</f>
        <v>0</v>
      </c>
      <c r="L2254" s="11">
        <f t="shared" si="1872"/>
        <v>1</v>
      </c>
      <c r="M2254" s="99">
        <v>45912</v>
      </c>
      <c r="N2254" s="12" t="s">
        <v>1853</v>
      </c>
      <c r="O2254" s="26"/>
      <c r="P2254" s="47">
        <v>16</v>
      </c>
      <c r="Q2254" s="27"/>
      <c r="R2254" s="34">
        <v>4</v>
      </c>
      <c r="S2254" s="35">
        <f t="shared" si="1885"/>
        <v>20</v>
      </c>
      <c r="T2254" s="26"/>
      <c r="U2254" s="47"/>
      <c r="V2254" s="27"/>
      <c r="W2254" s="34"/>
      <c r="X2254" s="35">
        <f t="shared" si="1886"/>
        <v>0</v>
      </c>
      <c r="Y2254" s="11">
        <f t="shared" si="1878"/>
        <v>20</v>
      </c>
      <c r="Z2254" s="99">
        <v>45922</v>
      </c>
    </row>
    <row r="2255" spans="1:27" x14ac:dyDescent="0.15">
      <c r="A2255" s="32" t="s">
        <v>1846</v>
      </c>
      <c r="B2255" s="26"/>
      <c r="C2255" s="47"/>
      <c r="D2255" s="27">
        <v>5</v>
      </c>
      <c r="E2255" s="34">
        <v>1</v>
      </c>
      <c r="F2255" s="35">
        <f t="shared" si="1887"/>
        <v>6</v>
      </c>
      <c r="G2255" s="26"/>
      <c r="H2255" s="47">
        <v>1</v>
      </c>
      <c r="I2255" s="27">
        <v>1</v>
      </c>
      <c r="J2255" s="34"/>
      <c r="K2255" s="35">
        <f t="shared" si="1888"/>
        <v>2</v>
      </c>
      <c r="L2255" s="11">
        <f t="shared" si="1872"/>
        <v>8</v>
      </c>
      <c r="M2255" s="99">
        <v>45918</v>
      </c>
      <c r="N2255" s="12" t="s">
        <v>1854</v>
      </c>
      <c r="O2255" s="26"/>
      <c r="P2255" s="47"/>
      <c r="Q2255" s="27"/>
      <c r="R2255" s="34">
        <v>5</v>
      </c>
      <c r="S2255" s="35">
        <f t="shared" si="1885"/>
        <v>5</v>
      </c>
      <c r="T2255" s="26"/>
      <c r="U2255" s="47"/>
      <c r="V2255" s="27"/>
      <c r="W2255" s="34"/>
      <c r="X2255" s="35">
        <f t="shared" si="1886"/>
        <v>0</v>
      </c>
      <c r="Y2255" s="11">
        <f t="shared" si="1878"/>
        <v>5</v>
      </c>
      <c r="Z2255" s="99">
        <v>45933</v>
      </c>
    </row>
    <row r="2256" spans="1:27" x14ac:dyDescent="0.15">
      <c r="A2256" s="90" t="s">
        <v>1847</v>
      </c>
      <c r="B2256" s="26"/>
      <c r="C2256" s="47"/>
      <c r="D2256" s="27"/>
      <c r="E2256" s="34">
        <v>1</v>
      </c>
      <c r="F2256" s="35">
        <f t="shared" si="1887"/>
        <v>1</v>
      </c>
      <c r="G2256" s="26"/>
      <c r="H2256" s="47"/>
      <c r="I2256" s="27"/>
      <c r="J2256" s="34"/>
      <c r="K2256" s="35">
        <f t="shared" si="1888"/>
        <v>0</v>
      </c>
      <c r="L2256" s="11">
        <f t="shared" si="1872"/>
        <v>1</v>
      </c>
      <c r="M2256" s="99">
        <v>45919</v>
      </c>
      <c r="N2256" s="12" t="s">
        <v>1855</v>
      </c>
      <c r="O2256" s="26"/>
      <c r="P2256" s="47"/>
      <c r="Q2256" s="27"/>
      <c r="R2256" s="34">
        <v>2</v>
      </c>
      <c r="S2256" s="35">
        <f t="shared" si="1885"/>
        <v>2</v>
      </c>
      <c r="T2256" s="26"/>
      <c r="U2256" s="47"/>
      <c r="V2256" s="27"/>
      <c r="W2256" s="34">
        <v>2</v>
      </c>
      <c r="X2256" s="35">
        <f t="shared" si="1886"/>
        <v>2</v>
      </c>
      <c r="Y2256" s="11">
        <f t="shared" si="1878"/>
        <v>4</v>
      </c>
      <c r="Z2256" s="99">
        <v>45922</v>
      </c>
      <c r="AA2256" s="58"/>
    </row>
    <row r="2257" spans="1:27" x14ac:dyDescent="0.15">
      <c r="A2257" s="15" t="s">
        <v>1848</v>
      </c>
      <c r="B2257" s="26"/>
      <c r="C2257" s="47">
        <v>1</v>
      </c>
      <c r="D2257" s="27"/>
      <c r="E2257" s="34"/>
      <c r="F2257" s="35">
        <f t="shared" si="1887"/>
        <v>1</v>
      </c>
      <c r="G2257" s="26"/>
      <c r="H2257" s="47"/>
      <c r="I2257" s="27"/>
      <c r="J2257" s="34"/>
      <c r="K2257" s="35">
        <f t="shared" si="1888"/>
        <v>0</v>
      </c>
      <c r="L2257" s="11">
        <f t="shared" si="1872"/>
        <v>1</v>
      </c>
      <c r="M2257" s="99">
        <v>45917</v>
      </c>
      <c r="N2257" s="12" t="s">
        <v>1856</v>
      </c>
      <c r="O2257" s="26">
        <v>10</v>
      </c>
      <c r="P2257" s="47">
        <v>10</v>
      </c>
      <c r="Q2257" s="27"/>
      <c r="R2257" s="34"/>
      <c r="S2257" s="35">
        <f t="shared" si="1885"/>
        <v>20</v>
      </c>
      <c r="T2257" s="26"/>
      <c r="U2257" s="47"/>
      <c r="V2257" s="27"/>
      <c r="W2257" s="34"/>
      <c r="X2257" s="35">
        <f t="shared" si="1886"/>
        <v>0</v>
      </c>
      <c r="Y2257" s="11">
        <f t="shared" si="1878"/>
        <v>20</v>
      </c>
      <c r="Z2257" s="99">
        <v>45922</v>
      </c>
      <c r="AA2257" s="58"/>
    </row>
    <row r="2258" spans="1:27" x14ac:dyDescent="0.15">
      <c r="A2258" s="15" t="s">
        <v>41</v>
      </c>
      <c r="B2258" s="26"/>
      <c r="C2258" s="47"/>
      <c r="D2258" s="27">
        <f>1+1</f>
        <v>2</v>
      </c>
      <c r="E2258" s="34"/>
      <c r="F2258" s="35">
        <f t="shared" si="1887"/>
        <v>2</v>
      </c>
      <c r="G2258" s="26"/>
      <c r="H2258" s="47">
        <v>1</v>
      </c>
      <c r="I2258" s="27"/>
      <c r="J2258" s="34">
        <v>1</v>
      </c>
      <c r="K2258" s="35">
        <f t="shared" si="1888"/>
        <v>2</v>
      </c>
      <c r="L2258" s="11">
        <f t="shared" si="1872"/>
        <v>4</v>
      </c>
      <c r="M2258" s="99">
        <v>45916</v>
      </c>
      <c r="N2258" s="57" t="s">
        <v>34</v>
      </c>
      <c r="O2258" s="26"/>
      <c r="P2258" s="47"/>
      <c r="Q2258" s="27">
        <v>5</v>
      </c>
      <c r="R2258" s="34"/>
      <c r="S2258" s="35">
        <f>SUM(O2258:R2258)</f>
        <v>5</v>
      </c>
      <c r="T2258" s="26"/>
      <c r="U2258" s="47"/>
      <c r="V2258" s="27"/>
      <c r="W2258" s="34"/>
      <c r="X2258" s="35">
        <f>SUM(T2258:W2258)</f>
        <v>0</v>
      </c>
      <c r="Y2258" s="11">
        <f t="shared" si="1878"/>
        <v>5</v>
      </c>
      <c r="Z2258" s="99">
        <v>45920</v>
      </c>
    </row>
    <row r="2259" spans="1:27" x14ac:dyDescent="0.15">
      <c r="A2259" s="13" t="s">
        <v>1815</v>
      </c>
      <c r="B2259" s="26"/>
      <c r="C2259" s="47">
        <v>1</v>
      </c>
      <c r="D2259" s="27"/>
      <c r="E2259" s="34"/>
      <c r="F2259" s="35">
        <f t="shared" si="1887"/>
        <v>1</v>
      </c>
      <c r="G2259" s="26"/>
      <c r="H2259" s="47">
        <v>1</v>
      </c>
      <c r="I2259" s="27"/>
      <c r="J2259" s="34"/>
      <c r="K2259" s="35">
        <f t="shared" si="1888"/>
        <v>1</v>
      </c>
      <c r="L2259" s="11">
        <f t="shared" si="1872"/>
        <v>2</v>
      </c>
      <c r="M2259" s="99">
        <v>45919</v>
      </c>
      <c r="N2259" s="12" t="s">
        <v>1862</v>
      </c>
      <c r="O2259" s="26"/>
      <c r="P2259" s="47"/>
      <c r="Q2259" s="27">
        <v>10</v>
      </c>
      <c r="R2259" s="50"/>
      <c r="S2259" s="9">
        <f>SUM(O2259:R2259)</f>
        <v>10</v>
      </c>
      <c r="T2259" s="47"/>
      <c r="U2259" s="47"/>
      <c r="V2259" s="27"/>
      <c r="W2259" s="50"/>
      <c r="X2259" s="9">
        <f>SUM(T2259:W2259)</f>
        <v>0</v>
      </c>
      <c r="Y2259" s="11">
        <f t="shared" si="1878"/>
        <v>10</v>
      </c>
      <c r="Z2259" s="99">
        <v>45926</v>
      </c>
      <c r="AA2259" s="58"/>
    </row>
    <row r="2260" spans="1:27" x14ac:dyDescent="0.15">
      <c r="A2260" s="15" t="s">
        <v>1850</v>
      </c>
      <c r="B2260" s="26">
        <v>-7</v>
      </c>
      <c r="C2260" s="47">
        <v>-3</v>
      </c>
      <c r="D2260" s="27">
        <v>-2</v>
      </c>
      <c r="E2260" s="34">
        <v>-10</v>
      </c>
      <c r="F2260" s="35">
        <f t="shared" si="1887"/>
        <v>-22</v>
      </c>
      <c r="G2260" s="26">
        <v>-2</v>
      </c>
      <c r="H2260" s="47">
        <v>-3</v>
      </c>
      <c r="I2260" s="27"/>
      <c r="J2260" s="34">
        <v>-1</v>
      </c>
      <c r="K2260" s="35">
        <f t="shared" si="1888"/>
        <v>-6</v>
      </c>
      <c r="L2260" s="11">
        <f t="shared" si="1872"/>
        <v>-28</v>
      </c>
      <c r="M2260" s="99">
        <v>45917</v>
      </c>
      <c r="N2260" s="173" t="s">
        <v>1864</v>
      </c>
      <c r="O2260" s="26">
        <v>32</v>
      </c>
      <c r="P2260" s="47">
        <v>37</v>
      </c>
      <c r="Q2260" s="27">
        <v>21</v>
      </c>
      <c r="R2260" s="34">
        <v>13</v>
      </c>
      <c r="S2260" s="35">
        <f t="shared" ref="S2260:S2261" si="1889">SUM(O2260:R2260)</f>
        <v>103</v>
      </c>
      <c r="T2260" s="26">
        <v>9</v>
      </c>
      <c r="U2260" s="47">
        <v>11</v>
      </c>
      <c r="V2260" s="27">
        <v>8</v>
      </c>
      <c r="W2260" s="34">
        <v>5</v>
      </c>
      <c r="X2260" s="35">
        <f t="shared" ref="X2260:X2261" si="1890">SUM(T2260:W2260)</f>
        <v>33</v>
      </c>
      <c r="Y2260" s="11">
        <f t="shared" ref="Y2260:Y2261" si="1891">S2260+X2260</f>
        <v>136</v>
      </c>
      <c r="Z2260" s="99">
        <v>45929</v>
      </c>
    </row>
    <row r="2261" spans="1:27" x14ac:dyDescent="0.15">
      <c r="A2261" s="32" t="s">
        <v>1849</v>
      </c>
      <c r="B2261" s="26">
        <v>1</v>
      </c>
      <c r="C2261" s="47">
        <v>1</v>
      </c>
      <c r="D2261" s="27">
        <v>1</v>
      </c>
      <c r="E2261" s="34"/>
      <c r="F2261" s="35">
        <f t="shared" si="1887"/>
        <v>3</v>
      </c>
      <c r="G2261" s="26"/>
      <c r="H2261" s="47"/>
      <c r="I2261" s="27"/>
      <c r="J2261" s="34"/>
      <c r="K2261" s="35">
        <f t="shared" si="1888"/>
        <v>0</v>
      </c>
      <c r="L2261" s="11">
        <f t="shared" si="1872"/>
        <v>3</v>
      </c>
      <c r="M2261" s="99">
        <v>45922</v>
      </c>
      <c r="N2261" s="12" t="s">
        <v>1865</v>
      </c>
      <c r="O2261" s="26"/>
      <c r="P2261" s="47">
        <v>15</v>
      </c>
      <c r="Q2261" s="27"/>
      <c r="R2261" s="34"/>
      <c r="S2261" s="35">
        <f t="shared" si="1889"/>
        <v>15</v>
      </c>
      <c r="T2261" s="26"/>
      <c r="U2261" s="47"/>
      <c r="V2261" s="27"/>
      <c r="W2261" s="34"/>
      <c r="X2261" s="35">
        <f t="shared" si="1890"/>
        <v>0</v>
      </c>
      <c r="Y2261" s="11">
        <f t="shared" si="1891"/>
        <v>15</v>
      </c>
      <c r="Z2261" s="99">
        <v>45927</v>
      </c>
    </row>
    <row r="2262" spans="1:27" x14ac:dyDescent="0.15">
      <c r="A2262" s="15" t="s">
        <v>1857</v>
      </c>
      <c r="B2262" s="26">
        <v>8</v>
      </c>
      <c r="C2262" s="47"/>
      <c r="D2262" s="27"/>
      <c r="E2262" s="34">
        <v>7</v>
      </c>
      <c r="F2262" s="35">
        <f t="shared" si="1887"/>
        <v>15</v>
      </c>
      <c r="G2262" s="26"/>
      <c r="H2262" s="47"/>
      <c r="I2262" s="27"/>
      <c r="J2262" s="34"/>
      <c r="K2262" s="35">
        <f t="shared" si="1888"/>
        <v>0</v>
      </c>
      <c r="L2262" s="11">
        <f t="shared" si="1872"/>
        <v>15</v>
      </c>
      <c r="M2262" s="126">
        <v>45920</v>
      </c>
      <c r="N2262" s="173" t="s">
        <v>1873</v>
      </c>
      <c r="O2262" s="26"/>
      <c r="P2262" s="47">
        <v>12</v>
      </c>
      <c r="Q2262" s="27">
        <v>5</v>
      </c>
      <c r="R2262" s="34"/>
      <c r="S2262" s="35">
        <f t="shared" ref="S2262:S2277" si="1892">SUM(O2262:R2262)</f>
        <v>17</v>
      </c>
      <c r="T2262" s="26">
        <v>1</v>
      </c>
      <c r="U2262" s="47"/>
      <c r="V2262" s="27"/>
      <c r="W2262" s="34"/>
      <c r="X2262" s="35">
        <f t="shared" ref="X2262:X2277" si="1893">SUM(T2262:W2262)</f>
        <v>1</v>
      </c>
      <c r="Y2262" s="11">
        <f t="shared" si="1878"/>
        <v>18</v>
      </c>
      <c r="Z2262" s="99">
        <v>45933</v>
      </c>
    </row>
    <row r="2263" spans="1:27" x14ac:dyDescent="0.15">
      <c r="A2263" s="32" t="s">
        <v>1859</v>
      </c>
      <c r="B2263" s="26"/>
      <c r="C2263" s="47"/>
      <c r="D2263" s="27">
        <v>1</v>
      </c>
      <c r="E2263" s="34"/>
      <c r="F2263" s="35">
        <f t="shared" si="1887"/>
        <v>1</v>
      </c>
      <c r="G2263" s="26"/>
      <c r="H2263" s="47"/>
      <c r="I2263" s="27"/>
      <c r="J2263" s="34"/>
      <c r="K2263" s="35">
        <f t="shared" si="1888"/>
        <v>0</v>
      </c>
      <c r="L2263" s="11">
        <f t="shared" si="1872"/>
        <v>1</v>
      </c>
      <c r="M2263" s="99">
        <v>45924</v>
      </c>
      <c r="N2263" s="12" t="s">
        <v>1874</v>
      </c>
      <c r="O2263" s="26">
        <v>5</v>
      </c>
      <c r="P2263" s="47"/>
      <c r="Q2263" s="27"/>
      <c r="R2263" s="34"/>
      <c r="S2263" s="35">
        <f t="shared" si="1892"/>
        <v>5</v>
      </c>
      <c r="T2263" s="26"/>
      <c r="U2263" s="47"/>
      <c r="V2263" s="27"/>
      <c r="W2263" s="34"/>
      <c r="X2263" s="35">
        <f t="shared" si="1893"/>
        <v>0</v>
      </c>
      <c r="Y2263" s="11">
        <f t="shared" si="1878"/>
        <v>5</v>
      </c>
      <c r="Z2263" s="99">
        <v>45940</v>
      </c>
    </row>
    <row r="2264" spans="1:27" x14ac:dyDescent="0.15">
      <c r="A2264" s="15" t="s">
        <v>41</v>
      </c>
      <c r="B2264" s="26"/>
      <c r="C2264" s="47">
        <v>2</v>
      </c>
      <c r="D2264" s="27"/>
      <c r="E2264" s="34"/>
      <c r="F2264" s="35">
        <f t="shared" si="1887"/>
        <v>2</v>
      </c>
      <c r="G2264" s="26"/>
      <c r="H2264" s="47">
        <v>3</v>
      </c>
      <c r="I2264" s="27"/>
      <c r="J2264" s="34">
        <v>1</v>
      </c>
      <c r="K2264" s="35">
        <f t="shared" si="1888"/>
        <v>4</v>
      </c>
      <c r="L2264" s="11">
        <f t="shared" si="1872"/>
        <v>6</v>
      </c>
      <c r="M2264" s="99">
        <v>45922</v>
      </c>
      <c r="N2264" s="173" t="s">
        <v>1875</v>
      </c>
      <c r="O2264" s="26"/>
      <c r="P2264" s="47">
        <v>15</v>
      </c>
      <c r="Q2264" s="27">
        <v>7</v>
      </c>
      <c r="R2264" s="34"/>
      <c r="S2264" s="35">
        <f t="shared" si="1892"/>
        <v>22</v>
      </c>
      <c r="T2264" s="26">
        <v>7</v>
      </c>
      <c r="U2264" s="47">
        <v>1</v>
      </c>
      <c r="V2264" s="27">
        <v>1</v>
      </c>
      <c r="W2264" s="34">
        <v>1</v>
      </c>
      <c r="X2264" s="35">
        <f t="shared" si="1893"/>
        <v>10</v>
      </c>
      <c r="Y2264" s="11">
        <f t="shared" si="1878"/>
        <v>32</v>
      </c>
      <c r="Z2264" s="99">
        <v>45933</v>
      </c>
    </row>
    <row r="2265" spans="1:27" x14ac:dyDescent="0.15">
      <c r="A2265" s="32" t="s">
        <v>1860</v>
      </c>
      <c r="B2265" s="26"/>
      <c r="C2265" s="47"/>
      <c r="D2265" s="27">
        <v>1</v>
      </c>
      <c r="E2265" s="34"/>
      <c r="F2265" s="35">
        <f t="shared" si="1887"/>
        <v>1</v>
      </c>
      <c r="G2265" s="26"/>
      <c r="H2265" s="47"/>
      <c r="I2265" s="27"/>
      <c r="J2265" s="34"/>
      <c r="K2265" s="35">
        <f t="shared" si="1888"/>
        <v>0</v>
      </c>
      <c r="L2265" s="11">
        <f t="shared" si="1872"/>
        <v>1</v>
      </c>
      <c r="M2265" s="99">
        <v>45926</v>
      </c>
      <c r="N2265" s="12"/>
      <c r="O2265" s="26"/>
      <c r="P2265" s="47"/>
      <c r="Q2265" s="27"/>
      <c r="R2265" s="34"/>
      <c r="S2265" s="35">
        <f t="shared" si="1892"/>
        <v>0</v>
      </c>
      <c r="T2265" s="26"/>
      <c r="U2265" s="47"/>
      <c r="V2265" s="27"/>
      <c r="W2265" s="34"/>
      <c r="X2265" s="35">
        <f t="shared" si="1893"/>
        <v>0</v>
      </c>
      <c r="Y2265" s="11">
        <f t="shared" si="1878"/>
        <v>0</v>
      </c>
    </row>
    <row r="2266" spans="1:27" x14ac:dyDescent="0.15">
      <c r="A2266" s="32" t="s">
        <v>1861</v>
      </c>
      <c r="B2266" s="26"/>
      <c r="C2266" s="47"/>
      <c r="D2266" s="27">
        <v>1</v>
      </c>
      <c r="E2266" s="34"/>
      <c r="F2266" s="35">
        <f t="shared" si="1887"/>
        <v>1</v>
      </c>
      <c r="G2266" s="26"/>
      <c r="H2266" s="47"/>
      <c r="I2266" s="27"/>
      <c r="J2266" s="34"/>
      <c r="K2266" s="35">
        <f t="shared" si="1888"/>
        <v>0</v>
      </c>
      <c r="L2266" s="11">
        <f t="shared" si="1872"/>
        <v>1</v>
      </c>
      <c r="M2266" s="99">
        <v>45926</v>
      </c>
      <c r="N2266" s="57"/>
      <c r="O2266" s="26"/>
      <c r="P2266" s="47"/>
      <c r="Q2266" s="27"/>
      <c r="R2266" s="34"/>
      <c r="S2266" s="35">
        <f t="shared" si="1892"/>
        <v>0</v>
      </c>
      <c r="T2266" s="26"/>
      <c r="U2266" s="47"/>
      <c r="V2266" s="27"/>
      <c r="W2266" s="34"/>
      <c r="X2266" s="35">
        <f t="shared" si="1893"/>
        <v>0</v>
      </c>
      <c r="Y2266" s="11">
        <f t="shared" si="1878"/>
        <v>0</v>
      </c>
    </row>
    <row r="2267" spans="1:27" x14ac:dyDescent="0.15">
      <c r="A2267" s="13" t="s">
        <v>60</v>
      </c>
      <c r="B2267" s="26">
        <v>-1</v>
      </c>
      <c r="C2267" s="47"/>
      <c r="D2267" s="27"/>
      <c r="E2267" s="34"/>
      <c r="F2267" s="35">
        <f t="shared" si="1887"/>
        <v>-1</v>
      </c>
      <c r="G2267" s="26">
        <v>-1</v>
      </c>
      <c r="H2267" s="47"/>
      <c r="I2267" s="27"/>
      <c r="J2267" s="34"/>
      <c r="K2267" s="35">
        <f t="shared" si="1888"/>
        <v>-1</v>
      </c>
      <c r="L2267" s="11">
        <f t="shared" si="1872"/>
        <v>-2</v>
      </c>
      <c r="M2267" s="126">
        <v>45924</v>
      </c>
      <c r="N2267" s="12"/>
      <c r="O2267" s="26"/>
      <c r="P2267" s="47"/>
      <c r="Q2267" s="27"/>
      <c r="R2267" s="34"/>
      <c r="S2267" s="35">
        <f t="shared" si="1892"/>
        <v>0</v>
      </c>
      <c r="T2267" s="26"/>
      <c r="U2267" s="47"/>
      <c r="V2267" s="27"/>
      <c r="W2267" s="34"/>
      <c r="X2267" s="35">
        <f t="shared" si="1893"/>
        <v>0</v>
      </c>
      <c r="Y2267" s="11">
        <f t="shared" si="1878"/>
        <v>0</v>
      </c>
    </row>
    <row r="2268" spans="1:27" x14ac:dyDescent="0.15">
      <c r="A2268" s="15" t="s">
        <v>1866</v>
      </c>
      <c r="B2268" s="26">
        <v>-2</v>
      </c>
      <c r="C2268" s="47"/>
      <c r="D2268" s="27"/>
      <c r="E2268" s="34"/>
      <c r="F2268" s="35">
        <f t="shared" si="1887"/>
        <v>-2</v>
      </c>
      <c r="G2268" s="26"/>
      <c r="H2268" s="47"/>
      <c r="I2268" s="27">
        <v>2</v>
      </c>
      <c r="J2268" s="34"/>
      <c r="K2268" s="35">
        <f t="shared" si="1888"/>
        <v>2</v>
      </c>
      <c r="L2268" s="11">
        <f t="shared" si="1872"/>
        <v>0</v>
      </c>
      <c r="M2268" s="126">
        <v>45924</v>
      </c>
      <c r="N2268" s="57"/>
      <c r="O2268" s="26"/>
      <c r="P2268" s="47"/>
      <c r="Q2268" s="27"/>
      <c r="R2268" s="34"/>
      <c r="S2268" s="35">
        <f t="shared" si="1892"/>
        <v>0</v>
      </c>
      <c r="T2268" s="26"/>
      <c r="U2268" s="47"/>
      <c r="V2268" s="27"/>
      <c r="W2268" s="34"/>
      <c r="X2268" s="35">
        <f t="shared" si="1893"/>
        <v>0</v>
      </c>
      <c r="Y2268" s="11">
        <f t="shared" si="1878"/>
        <v>0</v>
      </c>
    </row>
    <row r="2269" spans="1:27" x14ac:dyDescent="0.15">
      <c r="A2269" s="32" t="s">
        <v>1867</v>
      </c>
      <c r="B2269" s="26"/>
      <c r="C2269" s="47">
        <v>1</v>
      </c>
      <c r="D2269" s="27"/>
      <c r="E2269" s="34"/>
      <c r="F2269" s="35">
        <f t="shared" si="1887"/>
        <v>1</v>
      </c>
      <c r="G2269" s="26"/>
      <c r="H2269" s="47"/>
      <c r="I2269" s="27"/>
      <c r="J2269" s="34"/>
      <c r="K2269" s="35">
        <f t="shared" si="1888"/>
        <v>0</v>
      </c>
      <c r="L2269" s="11">
        <f t="shared" si="1872"/>
        <v>1</v>
      </c>
      <c r="M2269" s="99">
        <v>45932</v>
      </c>
      <c r="N2269" s="57"/>
      <c r="O2269" s="26"/>
      <c r="P2269" s="47"/>
      <c r="Q2269" s="27"/>
      <c r="R2269" s="34"/>
      <c r="S2269" s="35">
        <f t="shared" si="1892"/>
        <v>0</v>
      </c>
      <c r="T2269" s="26"/>
      <c r="U2269" s="47"/>
      <c r="V2269" s="27"/>
      <c r="W2269" s="34"/>
      <c r="X2269" s="35">
        <f t="shared" si="1893"/>
        <v>0</v>
      </c>
      <c r="Y2269" s="11">
        <f t="shared" si="1878"/>
        <v>0</v>
      </c>
    </row>
    <row r="2270" spans="1:27" x14ac:dyDescent="0.15">
      <c r="A2270" s="13" t="s">
        <v>1868</v>
      </c>
      <c r="B2270" s="26"/>
      <c r="C2270" s="47">
        <v>1</v>
      </c>
      <c r="D2270" s="27"/>
      <c r="E2270" s="34"/>
      <c r="F2270" s="35">
        <f t="shared" si="1887"/>
        <v>1</v>
      </c>
      <c r="G2270" s="26"/>
      <c r="H2270" s="47"/>
      <c r="I2270" s="27"/>
      <c r="J2270" s="34"/>
      <c r="K2270" s="35">
        <f t="shared" si="1888"/>
        <v>0</v>
      </c>
      <c r="L2270" s="11">
        <f t="shared" si="1872"/>
        <v>1</v>
      </c>
      <c r="M2270" s="99">
        <v>45930</v>
      </c>
      <c r="N2270" s="57"/>
      <c r="O2270" s="26"/>
      <c r="P2270" s="47"/>
      <c r="Q2270" s="27"/>
      <c r="R2270" s="34"/>
      <c r="S2270" s="35">
        <f t="shared" ref="S2270" si="1894">SUM(O2270:R2270)</f>
        <v>0</v>
      </c>
      <c r="T2270" s="26"/>
      <c r="U2270" s="47"/>
      <c r="V2270" s="27"/>
      <c r="W2270" s="34"/>
      <c r="X2270" s="35">
        <f t="shared" ref="X2270" si="1895">SUM(T2270:W2270)</f>
        <v>0</v>
      </c>
      <c r="Y2270" s="11">
        <f t="shared" ref="Y2270" si="1896">S2270+X2270</f>
        <v>0</v>
      </c>
    </row>
    <row r="2271" spans="1:27" x14ac:dyDescent="0.15">
      <c r="A2271" s="32" t="s">
        <v>1869</v>
      </c>
      <c r="B2271" s="26"/>
      <c r="C2271" s="47">
        <v>-2</v>
      </c>
      <c r="D2271" s="27"/>
      <c r="E2271" s="34"/>
      <c r="F2271" s="35">
        <f t="shared" si="1887"/>
        <v>-2</v>
      </c>
      <c r="G2271" s="26"/>
      <c r="H2271" s="47"/>
      <c r="I2271" s="27"/>
      <c r="J2271" s="34"/>
      <c r="K2271" s="35">
        <f t="shared" si="1888"/>
        <v>0</v>
      </c>
      <c r="L2271" s="11">
        <f t="shared" si="1872"/>
        <v>-2</v>
      </c>
      <c r="M2271" s="126">
        <v>45926</v>
      </c>
      <c r="N2271" s="57"/>
      <c r="O2271" s="26"/>
      <c r="P2271" s="47"/>
      <c r="Q2271" s="27"/>
      <c r="R2271" s="34"/>
      <c r="S2271" s="35">
        <f t="shared" ref="S2271" si="1897">SUM(O2271:R2271)</f>
        <v>0</v>
      </c>
      <c r="T2271" s="26"/>
      <c r="U2271" s="47"/>
      <c r="V2271" s="27"/>
      <c r="W2271" s="34"/>
      <c r="X2271" s="35">
        <f t="shared" ref="X2271" si="1898">SUM(T2271:W2271)</f>
        <v>0</v>
      </c>
      <c r="Y2271" s="11">
        <f t="shared" ref="Y2271" si="1899">S2271+X2271</f>
        <v>0</v>
      </c>
    </row>
    <row r="2272" spans="1:27" x14ac:dyDescent="0.15">
      <c r="A2272" s="15" t="s">
        <v>41</v>
      </c>
      <c r="B2272" s="26"/>
      <c r="C2272" s="47"/>
      <c r="D2272" s="27"/>
      <c r="E2272" s="34"/>
      <c r="F2272" s="35">
        <f t="shared" si="1887"/>
        <v>0</v>
      </c>
      <c r="G2272" s="26">
        <v>1</v>
      </c>
      <c r="H2272" s="47"/>
      <c r="I2272" s="27"/>
      <c r="J2272" s="34"/>
      <c r="K2272" s="35">
        <f t="shared" si="1888"/>
        <v>1</v>
      </c>
      <c r="L2272" s="11">
        <f t="shared" si="1872"/>
        <v>1</v>
      </c>
      <c r="M2272" s="126">
        <v>45930</v>
      </c>
      <c r="N2272" s="57"/>
      <c r="O2272" s="26"/>
      <c r="P2272" s="47"/>
      <c r="Q2272" s="27"/>
      <c r="R2272" s="34"/>
      <c r="S2272" s="35">
        <f t="shared" ref="S2272:S2274" si="1900">SUM(O2272:R2272)</f>
        <v>0</v>
      </c>
      <c r="T2272" s="26"/>
      <c r="U2272" s="47"/>
      <c r="V2272" s="27"/>
      <c r="W2272" s="34"/>
      <c r="X2272" s="35">
        <f t="shared" ref="X2272:X2274" si="1901">SUM(T2272:W2272)</f>
        <v>0</v>
      </c>
      <c r="Y2272" s="11">
        <f t="shared" ref="Y2272:Y2274" si="1902">S2272+X2272</f>
        <v>0</v>
      </c>
    </row>
    <row r="2273" spans="1:26" x14ac:dyDescent="0.15">
      <c r="A2273" s="12" t="s">
        <v>1872</v>
      </c>
      <c r="B2273" s="26">
        <v>1</v>
      </c>
      <c r="C2273" s="47"/>
      <c r="D2273" s="27"/>
      <c r="E2273" s="34"/>
      <c r="F2273" s="35">
        <f t="shared" si="1887"/>
        <v>1</v>
      </c>
      <c r="G2273" s="26">
        <v>1</v>
      </c>
      <c r="H2273" s="47"/>
      <c r="I2273" s="27"/>
      <c r="J2273" s="34"/>
      <c r="K2273" s="35">
        <f t="shared" si="1888"/>
        <v>1</v>
      </c>
      <c r="L2273" s="11">
        <f t="shared" si="1872"/>
        <v>2</v>
      </c>
      <c r="M2273" s="126">
        <v>45933</v>
      </c>
      <c r="N2273" s="57"/>
      <c r="O2273" s="26"/>
      <c r="P2273" s="47"/>
      <c r="Q2273" s="27"/>
      <c r="R2273" s="34"/>
      <c r="S2273" s="35">
        <f t="shared" si="1900"/>
        <v>0</v>
      </c>
      <c r="T2273" s="26"/>
      <c r="U2273" s="47"/>
      <c r="V2273" s="27"/>
      <c r="W2273" s="34"/>
      <c r="X2273" s="35">
        <f t="shared" si="1901"/>
        <v>0</v>
      </c>
      <c r="Y2273" s="11">
        <f t="shared" si="1902"/>
        <v>0</v>
      </c>
    </row>
    <row r="2274" spans="1:26" x14ac:dyDescent="0.15">
      <c r="A2274" s="79" t="s">
        <v>1876</v>
      </c>
      <c r="B2274" s="26"/>
      <c r="C2274" s="47">
        <v>1</v>
      </c>
      <c r="D2274" s="27"/>
      <c r="E2274" s="34"/>
      <c r="F2274" s="35">
        <f t="shared" si="1887"/>
        <v>1</v>
      </c>
      <c r="G2274" s="26"/>
      <c r="H2274" s="47"/>
      <c r="I2274" s="27"/>
      <c r="J2274" s="34"/>
      <c r="K2274" s="35">
        <f t="shared" si="1888"/>
        <v>0</v>
      </c>
      <c r="L2274" s="11">
        <f t="shared" si="1872"/>
        <v>1</v>
      </c>
      <c r="M2274" s="99">
        <v>45933</v>
      </c>
      <c r="N2274" s="57"/>
      <c r="O2274" s="26"/>
      <c r="P2274" s="47"/>
      <c r="Q2274" s="27"/>
      <c r="R2274" s="34"/>
      <c r="S2274" s="35">
        <f t="shared" si="1900"/>
        <v>0</v>
      </c>
      <c r="T2274" s="26"/>
      <c r="U2274" s="47"/>
      <c r="V2274" s="27"/>
      <c r="W2274" s="34"/>
      <c r="X2274" s="35">
        <f t="shared" si="1901"/>
        <v>0</v>
      </c>
      <c r="Y2274" s="11">
        <f t="shared" si="1902"/>
        <v>0</v>
      </c>
    </row>
    <row r="2275" spans="1:26" x14ac:dyDescent="0.15">
      <c r="A2275" s="57" t="s">
        <v>41</v>
      </c>
      <c r="B2275" s="26">
        <v>1</v>
      </c>
      <c r="C2275" s="47"/>
      <c r="D2275" s="27"/>
      <c r="E2275" s="34"/>
      <c r="F2275" s="35">
        <f t="shared" si="1887"/>
        <v>1</v>
      </c>
      <c r="G2275" s="26"/>
      <c r="H2275" s="47"/>
      <c r="I2275" s="27"/>
      <c r="J2275" s="34"/>
      <c r="K2275" s="35">
        <f t="shared" si="1888"/>
        <v>0</v>
      </c>
      <c r="L2275" s="11">
        <f t="shared" si="1872"/>
        <v>1</v>
      </c>
      <c r="M2275" s="126">
        <v>45932</v>
      </c>
      <c r="N2275" s="12" t="s">
        <v>1786</v>
      </c>
      <c r="O2275" s="26"/>
      <c r="P2275" s="47"/>
      <c r="Q2275" s="27"/>
      <c r="R2275" s="34"/>
      <c r="S2275" s="35">
        <f t="shared" ref="S2275:S2276" si="1903">SUM(O2275:R2275)</f>
        <v>0</v>
      </c>
      <c r="T2275" s="26"/>
      <c r="U2275" s="47"/>
      <c r="V2275" s="27"/>
      <c r="W2275" s="34"/>
      <c r="X2275" s="35">
        <f t="shared" ref="X2275:X2276" si="1904">SUM(T2275:W2275)</f>
        <v>0</v>
      </c>
      <c r="Y2275" s="11">
        <f t="shared" ref="Y2275:Y2276" si="1905">S2275+X2275</f>
        <v>0</v>
      </c>
      <c r="Z2275" s="101" t="s">
        <v>1787</v>
      </c>
    </row>
    <row r="2276" spans="1:26" ht="14.25" thickBot="1" x14ac:dyDescent="0.2">
      <c r="A2276" s="57" t="s">
        <v>41</v>
      </c>
      <c r="B2276" s="62"/>
      <c r="C2276" s="63"/>
      <c r="D2276" s="64"/>
      <c r="E2276" s="65"/>
      <c r="F2276" s="35">
        <f t="shared" si="1887"/>
        <v>0</v>
      </c>
      <c r="G2276" s="62">
        <v>1</v>
      </c>
      <c r="H2276" s="63"/>
      <c r="I2276" s="64"/>
      <c r="J2276" s="65"/>
      <c r="K2276" s="35">
        <f t="shared" si="1888"/>
        <v>1</v>
      </c>
      <c r="L2276" s="14">
        <f t="shared" si="1872"/>
        <v>1</v>
      </c>
      <c r="M2276" s="126">
        <v>45934</v>
      </c>
      <c r="N2276" s="181" t="s">
        <v>1844</v>
      </c>
      <c r="O2276" s="182"/>
      <c r="P2276" s="183"/>
      <c r="Q2276" s="184"/>
      <c r="R2276" s="185"/>
      <c r="S2276" s="186">
        <f t="shared" si="1903"/>
        <v>0</v>
      </c>
      <c r="T2276" s="182"/>
      <c r="U2276" s="183"/>
      <c r="V2276" s="184"/>
      <c r="W2276" s="185"/>
      <c r="X2276" s="186">
        <f t="shared" si="1904"/>
        <v>0</v>
      </c>
      <c r="Y2276" s="187">
        <f t="shared" si="1905"/>
        <v>0</v>
      </c>
      <c r="Z2276" s="160" t="s">
        <v>1845</v>
      </c>
    </row>
    <row r="2277" spans="1:26" ht="14.25" thickBot="1" x14ac:dyDescent="0.2">
      <c r="A2277" s="17" t="s">
        <v>10</v>
      </c>
      <c r="B2277" s="38">
        <f>SUM(B2252:B2276)</f>
        <v>5</v>
      </c>
      <c r="C2277" s="48">
        <f>SUM(C2252:C2276)</f>
        <v>8</v>
      </c>
      <c r="D2277" s="39">
        <f>SUM(D2252:D2276)</f>
        <v>9</v>
      </c>
      <c r="E2277" s="40">
        <f>SUM(E2252:E2276)</f>
        <v>0</v>
      </c>
      <c r="F2277" s="36">
        <f>SUM(B2277:E2277)</f>
        <v>22</v>
      </c>
      <c r="G2277" s="38">
        <f>SUM(G2252:G2276)</f>
        <v>0</v>
      </c>
      <c r="H2277" s="48">
        <f>SUM(H2252:H2276)</f>
        <v>4</v>
      </c>
      <c r="I2277" s="39">
        <f>SUM(I2252:I2276)</f>
        <v>3</v>
      </c>
      <c r="J2277" s="40">
        <f>SUM(J2252:J2276)</f>
        <v>1</v>
      </c>
      <c r="K2277" s="36">
        <f>SUM(G2277:J2277)</f>
        <v>8</v>
      </c>
      <c r="L2277" s="37">
        <f t="shared" si="1872"/>
        <v>30</v>
      </c>
      <c r="N2277" s="133" t="s">
        <v>10</v>
      </c>
      <c r="O2277" s="38">
        <f>SUM(O2252:O2276)</f>
        <v>50</v>
      </c>
      <c r="P2277" s="48">
        <f>SUM(P2252:P2276)</f>
        <v>109</v>
      </c>
      <c r="Q2277" s="39">
        <f>SUM(Q2252:Q2276)</f>
        <v>50</v>
      </c>
      <c r="R2277" s="40">
        <f>SUM(R2252:R2276)</f>
        <v>28</v>
      </c>
      <c r="S2277" s="118">
        <f t="shared" si="1892"/>
        <v>237</v>
      </c>
      <c r="T2277" s="38">
        <f>SUM(T2252:T2276)</f>
        <v>17</v>
      </c>
      <c r="U2277" s="48">
        <f>SUM(U2252:U2276)</f>
        <v>16</v>
      </c>
      <c r="V2277" s="39">
        <f>SUM(V2252:V2276)</f>
        <v>11</v>
      </c>
      <c r="W2277" s="40">
        <f>SUM(W2252:W2276)</f>
        <v>8</v>
      </c>
      <c r="X2277" s="118">
        <f t="shared" si="1893"/>
        <v>52</v>
      </c>
      <c r="Y2277" s="119">
        <f t="shared" si="1878"/>
        <v>289</v>
      </c>
    </row>
    <row r="2278" spans="1:26" ht="14.25" thickBot="1" x14ac:dyDescent="0.2">
      <c r="A2278" s="22" t="s">
        <v>11</v>
      </c>
      <c r="B2278" s="41">
        <f>B2251-B2277</f>
        <v>6</v>
      </c>
      <c r="C2278" s="49">
        <f>C2251-C2277</f>
        <v>3</v>
      </c>
      <c r="D2278" s="42">
        <f t="shared" ref="D2278:K2278" si="1906">D2251-D2277</f>
        <v>4</v>
      </c>
      <c r="E2278" s="43">
        <f t="shared" si="1906"/>
        <v>11</v>
      </c>
      <c r="F2278" s="61">
        <f t="shared" si="1906"/>
        <v>20</v>
      </c>
      <c r="G2278" s="41">
        <f t="shared" si="1906"/>
        <v>9</v>
      </c>
      <c r="H2278" s="49">
        <f t="shared" si="1906"/>
        <v>8</v>
      </c>
      <c r="I2278" s="42">
        <f t="shared" si="1906"/>
        <v>4</v>
      </c>
      <c r="J2278" s="43">
        <f t="shared" si="1906"/>
        <v>8</v>
      </c>
      <c r="K2278" s="61">
        <f t="shared" si="1906"/>
        <v>29</v>
      </c>
      <c r="L2278" s="21">
        <f t="shared" si="1872"/>
        <v>49</v>
      </c>
      <c r="N2278" s="17" t="s">
        <v>11</v>
      </c>
      <c r="O2278" s="41">
        <f>O2251-O2277</f>
        <v>954</v>
      </c>
      <c r="P2278" s="49">
        <f t="shared" ref="P2278:Q2278" si="1907">P2251-P2277</f>
        <v>1187</v>
      </c>
      <c r="Q2278" s="42">
        <f t="shared" si="1907"/>
        <v>745</v>
      </c>
      <c r="R2278" s="43">
        <f>R2251-R2277</f>
        <v>485</v>
      </c>
      <c r="S2278" s="61">
        <f t="shared" ref="S2278:X2278" si="1908">S2251-S2277</f>
        <v>3371</v>
      </c>
      <c r="T2278" s="41">
        <f t="shared" si="1908"/>
        <v>830</v>
      </c>
      <c r="U2278" s="49">
        <f t="shared" si="1908"/>
        <v>923</v>
      </c>
      <c r="V2278" s="42">
        <f t="shared" si="1908"/>
        <v>709</v>
      </c>
      <c r="W2278" s="43">
        <f t="shared" si="1908"/>
        <v>477</v>
      </c>
      <c r="X2278" s="61">
        <f t="shared" si="1908"/>
        <v>2939</v>
      </c>
      <c r="Y2278" s="21">
        <f t="shared" si="1878"/>
        <v>6310</v>
      </c>
    </row>
    <row r="2281" spans="1:26" ht="19.5" thickBot="1" x14ac:dyDescent="0.25">
      <c r="A2281" s="2" t="s">
        <v>106</v>
      </c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N2281" s="2" t="s">
        <v>1036</v>
      </c>
      <c r="O2281" s="270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6" ht="14.25" thickBot="1" x14ac:dyDescent="0.2">
      <c r="A2282" s="5" t="s">
        <v>0</v>
      </c>
      <c r="B2282" s="342" t="s">
        <v>18</v>
      </c>
      <c r="C2282" s="350"/>
      <c r="D2282" s="350"/>
      <c r="E2282" s="350"/>
      <c r="F2282" s="351"/>
      <c r="G2282" s="345" t="s">
        <v>12</v>
      </c>
      <c r="H2282" s="352"/>
      <c r="I2282" s="352"/>
      <c r="J2282" s="352"/>
      <c r="K2282" s="353"/>
      <c r="L2282" s="354" t="s">
        <v>1</v>
      </c>
      <c r="N2282" s="5" t="s">
        <v>0</v>
      </c>
      <c r="O2282" s="342" t="s">
        <v>18</v>
      </c>
      <c r="P2282" s="343"/>
      <c r="Q2282" s="343"/>
      <c r="R2282" s="343"/>
      <c r="S2282" s="344"/>
      <c r="T2282" s="345" t="s">
        <v>12</v>
      </c>
      <c r="U2282" s="346"/>
      <c r="V2282" s="346"/>
      <c r="W2282" s="346"/>
      <c r="X2282" s="347"/>
      <c r="Y2282" s="348" t="s">
        <v>1</v>
      </c>
    </row>
    <row r="2283" spans="1:26" ht="14.25" thickBot="1" x14ac:dyDescent="0.2">
      <c r="A2283" s="5" t="s">
        <v>2</v>
      </c>
      <c r="B2283" s="3" t="s">
        <v>13</v>
      </c>
      <c r="C2283" s="44" t="s">
        <v>14</v>
      </c>
      <c r="D2283" s="4" t="s">
        <v>15</v>
      </c>
      <c r="E2283" s="23" t="s">
        <v>16</v>
      </c>
      <c r="F2283" s="31" t="s">
        <v>3</v>
      </c>
      <c r="G2283" s="3" t="s">
        <v>13</v>
      </c>
      <c r="H2283" s="44" t="s">
        <v>14</v>
      </c>
      <c r="I2283" s="4" t="s">
        <v>15</v>
      </c>
      <c r="J2283" s="23" t="s">
        <v>16</v>
      </c>
      <c r="K2283" s="31" t="s">
        <v>3</v>
      </c>
      <c r="L2283" s="355"/>
      <c r="N2283" s="5" t="s">
        <v>2</v>
      </c>
      <c r="O2283" s="3" t="s">
        <v>13</v>
      </c>
      <c r="P2283" s="44" t="s">
        <v>14</v>
      </c>
      <c r="Q2283" s="4" t="s">
        <v>15</v>
      </c>
      <c r="R2283" s="23" t="s">
        <v>16</v>
      </c>
      <c r="S2283" s="31" t="s">
        <v>3</v>
      </c>
      <c r="T2283" s="3" t="s">
        <v>13</v>
      </c>
      <c r="U2283" s="44" t="s">
        <v>14</v>
      </c>
      <c r="V2283" s="4" t="s">
        <v>15</v>
      </c>
      <c r="W2283" s="23" t="s">
        <v>16</v>
      </c>
      <c r="X2283" s="31" t="s">
        <v>3</v>
      </c>
      <c r="Y2283" s="349"/>
    </row>
    <row r="2284" spans="1:26" x14ac:dyDescent="0.15">
      <c r="A2284" s="71" t="s">
        <v>17</v>
      </c>
      <c r="B2284" s="72">
        <f>B2278</f>
        <v>6</v>
      </c>
      <c r="C2284" s="73">
        <f t="shared" ref="C2284:L2284" si="1909">C2278</f>
        <v>3</v>
      </c>
      <c r="D2284" s="73">
        <f t="shared" si="1909"/>
        <v>4</v>
      </c>
      <c r="E2284" s="74">
        <f t="shared" si="1909"/>
        <v>11</v>
      </c>
      <c r="F2284" s="76">
        <f t="shared" si="1909"/>
        <v>20</v>
      </c>
      <c r="G2284" s="72">
        <f t="shared" si="1909"/>
        <v>9</v>
      </c>
      <c r="H2284" s="73">
        <f t="shared" si="1909"/>
        <v>8</v>
      </c>
      <c r="I2284" s="73">
        <f t="shared" si="1909"/>
        <v>4</v>
      </c>
      <c r="J2284" s="74">
        <f t="shared" si="1909"/>
        <v>8</v>
      </c>
      <c r="K2284" s="75">
        <f t="shared" si="1909"/>
        <v>29</v>
      </c>
      <c r="L2284" s="16">
        <f t="shared" si="1909"/>
        <v>49</v>
      </c>
      <c r="N2284" s="71" t="s">
        <v>17</v>
      </c>
      <c r="O2284" s="72">
        <f>O2278</f>
        <v>954</v>
      </c>
      <c r="P2284" s="73">
        <f t="shared" ref="P2284:Y2284" si="1910">P2278</f>
        <v>1187</v>
      </c>
      <c r="Q2284" s="73">
        <f t="shared" si="1910"/>
        <v>745</v>
      </c>
      <c r="R2284" s="74">
        <f t="shared" si="1910"/>
        <v>485</v>
      </c>
      <c r="S2284" s="76">
        <f t="shared" si="1910"/>
        <v>3371</v>
      </c>
      <c r="T2284" s="72">
        <f t="shared" si="1910"/>
        <v>830</v>
      </c>
      <c r="U2284" s="73">
        <f t="shared" si="1910"/>
        <v>923</v>
      </c>
      <c r="V2284" s="73">
        <f t="shared" si="1910"/>
        <v>709</v>
      </c>
      <c r="W2284" s="74">
        <f t="shared" si="1910"/>
        <v>477</v>
      </c>
      <c r="X2284" s="75">
        <f t="shared" si="1910"/>
        <v>2939</v>
      </c>
      <c r="Y2284" s="16">
        <f t="shared" si="1910"/>
        <v>6310</v>
      </c>
    </row>
    <row r="2285" spans="1:26" x14ac:dyDescent="0.15">
      <c r="A2285" s="294" t="s">
        <v>5</v>
      </c>
      <c r="B2285" s="295"/>
      <c r="C2285" s="296">
        <v>5</v>
      </c>
      <c r="D2285" s="297">
        <v>5</v>
      </c>
      <c r="E2285" s="298"/>
      <c r="F2285" s="299">
        <f t="shared" ref="F2285:F2286" si="1911">SUM(B2285:E2285)</f>
        <v>10</v>
      </c>
      <c r="G2285" s="296"/>
      <c r="H2285" s="296"/>
      <c r="I2285" s="297">
        <v>5</v>
      </c>
      <c r="J2285" s="298"/>
      <c r="K2285" s="299">
        <f t="shared" ref="K2285:K2286" si="1912">SUM(G2285:J2285)</f>
        <v>5</v>
      </c>
      <c r="L2285" s="300">
        <f t="shared" ref="L2285:L2316" si="1913">F2285+K2285</f>
        <v>15</v>
      </c>
      <c r="M2285" s="301">
        <v>45938</v>
      </c>
      <c r="N2285" s="13" t="s">
        <v>305</v>
      </c>
      <c r="O2285" s="26">
        <v>4</v>
      </c>
      <c r="P2285" s="47"/>
      <c r="Q2285" s="27">
        <v>5</v>
      </c>
      <c r="R2285" s="34">
        <v>9</v>
      </c>
      <c r="S2285" s="77">
        <f t="shared" ref="S2285:S2288" si="1914">SUM(O2285:R2285)</f>
        <v>18</v>
      </c>
      <c r="T2285" s="26">
        <v>3</v>
      </c>
      <c r="U2285" s="47"/>
      <c r="V2285" s="27">
        <v>4</v>
      </c>
      <c r="W2285" s="34">
        <v>10</v>
      </c>
      <c r="X2285" s="9">
        <f t="shared" ref="X2285:X2288" si="1915">SUM(T2285:W2285)</f>
        <v>17</v>
      </c>
      <c r="Y2285" s="11">
        <f t="shared" ref="Y2285:Y2316" si="1916">S2285+X2285</f>
        <v>35</v>
      </c>
      <c r="Z2285" s="126">
        <v>45953</v>
      </c>
    </row>
    <row r="2286" spans="1:26" x14ac:dyDescent="0.15">
      <c r="A2286" s="13" t="s">
        <v>49</v>
      </c>
      <c r="B2286" s="26">
        <v>1</v>
      </c>
      <c r="C2286" s="47"/>
      <c r="D2286" s="27"/>
      <c r="E2286" s="50"/>
      <c r="F2286" s="9">
        <f t="shared" si="1911"/>
        <v>1</v>
      </c>
      <c r="G2286" s="47">
        <v>1</v>
      </c>
      <c r="H2286" s="47"/>
      <c r="I2286" s="27"/>
      <c r="J2286" s="50"/>
      <c r="K2286" s="9">
        <f t="shared" si="1912"/>
        <v>1</v>
      </c>
      <c r="L2286" s="11">
        <f t="shared" si="1913"/>
        <v>2</v>
      </c>
      <c r="M2286" s="126">
        <v>45936</v>
      </c>
      <c r="N2286" s="13" t="s">
        <v>6</v>
      </c>
      <c r="O2286" s="26"/>
      <c r="P2286" s="47"/>
      <c r="Q2286" s="27"/>
      <c r="R2286" s="34"/>
      <c r="S2286" s="77">
        <f t="shared" si="1914"/>
        <v>0</v>
      </c>
      <c r="T2286" s="26"/>
      <c r="U2286" s="47"/>
      <c r="V2286" s="27"/>
      <c r="W2286" s="34"/>
      <c r="X2286" s="9">
        <f t="shared" si="1915"/>
        <v>0</v>
      </c>
      <c r="Y2286" s="11">
        <f t="shared" si="1916"/>
        <v>0</v>
      </c>
    </row>
    <row r="2287" spans="1:26" x14ac:dyDescent="0.15">
      <c r="A2287" s="13" t="s">
        <v>49</v>
      </c>
      <c r="B2287" s="26">
        <v>2</v>
      </c>
      <c r="C2287" s="47">
        <v>2</v>
      </c>
      <c r="D2287" s="27">
        <v>2</v>
      </c>
      <c r="E2287" s="50">
        <v>1</v>
      </c>
      <c r="F2287" s="9">
        <f>SUM(B2287:E2287)</f>
        <v>7</v>
      </c>
      <c r="G2287" s="47"/>
      <c r="H2287" s="47"/>
      <c r="I2287" s="27"/>
      <c r="J2287" s="50"/>
      <c r="K2287" s="9">
        <f>SUM(G2287:J2287)</f>
        <v>0</v>
      </c>
      <c r="L2287" s="11">
        <f t="shared" si="1913"/>
        <v>7</v>
      </c>
      <c r="M2287" s="126">
        <v>45937</v>
      </c>
      <c r="N2287" s="13" t="s">
        <v>7</v>
      </c>
      <c r="O2287" s="26"/>
      <c r="P2287" s="47"/>
      <c r="Q2287" s="27"/>
      <c r="R2287" s="34"/>
      <c r="S2287" s="77">
        <f t="shared" si="1914"/>
        <v>0</v>
      </c>
      <c r="T2287" s="26"/>
      <c r="U2287" s="47"/>
      <c r="V2287" s="27"/>
      <c r="W2287" s="34"/>
      <c r="X2287" s="9">
        <f t="shared" si="1915"/>
        <v>0</v>
      </c>
      <c r="Y2287" s="11">
        <f t="shared" si="1916"/>
        <v>0</v>
      </c>
    </row>
    <row r="2288" spans="1:26" ht="14.25" thickBot="1" x14ac:dyDescent="0.2">
      <c r="A2288" s="13" t="s">
        <v>8</v>
      </c>
      <c r="B2288" s="26"/>
      <c r="C2288" s="47"/>
      <c r="D2288" s="27"/>
      <c r="E2288" s="50"/>
      <c r="F2288" s="10">
        <f>SUM(B2288:E2288)</f>
        <v>0</v>
      </c>
      <c r="G2288" s="47"/>
      <c r="H2288" s="47"/>
      <c r="I2288" s="27"/>
      <c r="J2288" s="50">
        <v>10</v>
      </c>
      <c r="K2288" s="10">
        <f>SUM(G2288:J2288)</f>
        <v>10</v>
      </c>
      <c r="L2288" s="14">
        <f t="shared" si="1913"/>
        <v>10</v>
      </c>
      <c r="M2288" s="126">
        <v>45945</v>
      </c>
      <c r="N2288" s="13" t="s">
        <v>8</v>
      </c>
      <c r="O2288" s="26"/>
      <c r="P2288" s="47"/>
      <c r="Q2288" s="27"/>
      <c r="R2288" s="34"/>
      <c r="S2288" s="77">
        <f t="shared" si="1914"/>
        <v>0</v>
      </c>
      <c r="T2288" s="26"/>
      <c r="U2288" s="47"/>
      <c r="V2288" s="27"/>
      <c r="W2288" s="34"/>
      <c r="X2288" s="9">
        <f t="shared" si="1915"/>
        <v>0</v>
      </c>
      <c r="Y2288" s="11">
        <f t="shared" si="1916"/>
        <v>0</v>
      </c>
    </row>
    <row r="2289" spans="1:27" ht="14.25" thickBot="1" x14ac:dyDescent="0.2">
      <c r="A2289" s="22" t="s">
        <v>9</v>
      </c>
      <c r="B2289" s="41">
        <f t="shared" ref="B2289:K2289" si="1917">SUM(B2284:B2288)</f>
        <v>9</v>
      </c>
      <c r="C2289" s="49">
        <f t="shared" si="1917"/>
        <v>10</v>
      </c>
      <c r="D2289" s="42">
        <f t="shared" si="1917"/>
        <v>11</v>
      </c>
      <c r="E2289" s="92">
        <f t="shared" si="1917"/>
        <v>12</v>
      </c>
      <c r="F2289" s="132">
        <f t="shared" si="1917"/>
        <v>38</v>
      </c>
      <c r="G2289" s="41">
        <f t="shared" si="1917"/>
        <v>10</v>
      </c>
      <c r="H2289" s="49">
        <f t="shared" si="1917"/>
        <v>8</v>
      </c>
      <c r="I2289" s="42">
        <f t="shared" si="1917"/>
        <v>9</v>
      </c>
      <c r="J2289" s="92">
        <f t="shared" si="1917"/>
        <v>18</v>
      </c>
      <c r="K2289" s="132">
        <f t="shared" si="1917"/>
        <v>45</v>
      </c>
      <c r="L2289" s="21">
        <f t="shared" si="1913"/>
        <v>83</v>
      </c>
      <c r="N2289" s="17" t="s">
        <v>9</v>
      </c>
      <c r="O2289" s="41">
        <f>SUM(O2284:O2288)</f>
        <v>958</v>
      </c>
      <c r="P2289" s="49">
        <f t="shared" ref="P2289:V2289" si="1918">SUM(P2284:P2288)</f>
        <v>1187</v>
      </c>
      <c r="Q2289" s="42">
        <f t="shared" si="1918"/>
        <v>750</v>
      </c>
      <c r="R2289" s="92">
        <f t="shared" si="1918"/>
        <v>494</v>
      </c>
      <c r="S2289" s="93">
        <f t="shared" si="1918"/>
        <v>3389</v>
      </c>
      <c r="T2289" s="41">
        <f t="shared" si="1918"/>
        <v>833</v>
      </c>
      <c r="U2289" s="49">
        <f t="shared" si="1918"/>
        <v>923</v>
      </c>
      <c r="V2289" s="42">
        <f t="shared" si="1918"/>
        <v>713</v>
      </c>
      <c r="W2289" s="92">
        <f>SUM(W2284:W2288)</f>
        <v>487</v>
      </c>
      <c r="X2289" s="93">
        <f t="shared" ref="X2289" si="1919">SUM(X2284:X2288)</f>
        <v>2956</v>
      </c>
      <c r="Y2289" s="56">
        <f t="shared" si="1916"/>
        <v>6345</v>
      </c>
    </row>
    <row r="2290" spans="1:27" x14ac:dyDescent="0.15">
      <c r="A2290" s="57" t="s">
        <v>41</v>
      </c>
      <c r="B2290" s="26"/>
      <c r="C2290" s="47"/>
      <c r="D2290" s="27"/>
      <c r="E2290" s="34">
        <v>1</v>
      </c>
      <c r="F2290" s="35">
        <f t="shared" ref="F2290:F2314" si="1920">SUM(B2290:E2290)</f>
        <v>1</v>
      </c>
      <c r="G2290" s="26">
        <v>1</v>
      </c>
      <c r="H2290" s="47"/>
      <c r="I2290" s="27"/>
      <c r="J2290" s="34"/>
      <c r="K2290" s="35">
        <f t="shared" ref="K2290:K2314" si="1921">SUM(G2290:J2290)</f>
        <v>1</v>
      </c>
      <c r="L2290" s="11">
        <f t="shared" si="1913"/>
        <v>2</v>
      </c>
      <c r="M2290" s="126">
        <v>45937</v>
      </c>
      <c r="N2290" s="173" t="s">
        <v>1877</v>
      </c>
      <c r="O2290" s="26">
        <v>32</v>
      </c>
      <c r="P2290" s="47">
        <v>46</v>
      </c>
      <c r="Q2290" s="27">
        <v>24</v>
      </c>
      <c r="R2290" s="34">
        <v>10</v>
      </c>
      <c r="S2290" s="35">
        <f t="shared" ref="S2290:S2296" si="1922">SUM(O2290:R2290)</f>
        <v>112</v>
      </c>
      <c r="T2290" s="26">
        <v>11</v>
      </c>
      <c r="U2290" s="47">
        <v>11</v>
      </c>
      <c r="V2290" s="27">
        <v>8</v>
      </c>
      <c r="W2290" s="34">
        <v>6</v>
      </c>
      <c r="X2290" s="35">
        <f t="shared" ref="X2290:X2296" si="1923">SUM(T2290:W2290)</f>
        <v>36</v>
      </c>
      <c r="Y2290" s="11">
        <f t="shared" si="1916"/>
        <v>148</v>
      </c>
      <c r="Z2290" s="99">
        <v>45936</v>
      </c>
    </row>
    <row r="2291" spans="1:27" x14ac:dyDescent="0.15">
      <c r="A2291" s="57" t="s">
        <v>41</v>
      </c>
      <c r="B2291" s="26"/>
      <c r="C2291" s="47"/>
      <c r="D2291" s="27">
        <v>2</v>
      </c>
      <c r="E2291" s="34"/>
      <c r="F2291" s="35">
        <f t="shared" si="1920"/>
        <v>2</v>
      </c>
      <c r="G2291" s="26"/>
      <c r="H2291" s="47">
        <v>1</v>
      </c>
      <c r="I2291" s="27"/>
      <c r="J2291" s="34"/>
      <c r="K2291" s="35">
        <f t="shared" si="1921"/>
        <v>1</v>
      </c>
      <c r="L2291" s="11">
        <f t="shared" si="1913"/>
        <v>3</v>
      </c>
      <c r="M2291" s="126">
        <v>45939</v>
      </c>
      <c r="N2291" s="12" t="s">
        <v>1884</v>
      </c>
      <c r="O2291" s="26"/>
      <c r="P2291" s="47">
        <v>5</v>
      </c>
      <c r="Q2291" s="27">
        <v>5</v>
      </c>
      <c r="R2291" s="34"/>
      <c r="S2291" s="35">
        <f t="shared" si="1922"/>
        <v>10</v>
      </c>
      <c r="T2291" s="26"/>
      <c r="U2291" s="47"/>
      <c r="V2291" s="27">
        <v>5</v>
      </c>
      <c r="W2291" s="34"/>
      <c r="X2291" s="35">
        <f t="shared" si="1923"/>
        <v>5</v>
      </c>
      <c r="Y2291" s="11">
        <f t="shared" si="1916"/>
        <v>15</v>
      </c>
      <c r="Z2291" s="99">
        <v>45938</v>
      </c>
    </row>
    <row r="2292" spans="1:27" x14ac:dyDescent="0.15">
      <c r="A2292" s="173" t="s">
        <v>1889</v>
      </c>
      <c r="B2292" s="26">
        <v>3</v>
      </c>
      <c r="C2292" s="47">
        <v>5</v>
      </c>
      <c r="D2292" s="27">
        <v>3</v>
      </c>
      <c r="E2292" s="34">
        <v>4</v>
      </c>
      <c r="F2292" s="35">
        <f t="shared" si="1920"/>
        <v>15</v>
      </c>
      <c r="G2292" s="26">
        <v>3</v>
      </c>
      <c r="H2292" s="47"/>
      <c r="I2292" s="27"/>
      <c r="J2292" s="34">
        <v>3</v>
      </c>
      <c r="K2292" s="35">
        <f t="shared" si="1921"/>
        <v>6</v>
      </c>
      <c r="L2292" s="11">
        <f t="shared" si="1913"/>
        <v>21</v>
      </c>
      <c r="M2292" s="99">
        <v>45944</v>
      </c>
      <c r="N2292" s="173" t="s">
        <v>1885</v>
      </c>
      <c r="O2292" s="26">
        <v>22</v>
      </c>
      <c r="P2292" s="47">
        <v>22</v>
      </c>
      <c r="Q2292" s="27">
        <v>2</v>
      </c>
      <c r="R2292" s="34">
        <v>1</v>
      </c>
      <c r="S2292" s="35">
        <f t="shared" si="1922"/>
        <v>47</v>
      </c>
      <c r="T2292" s="26">
        <v>10</v>
      </c>
      <c r="U2292" s="47">
        <v>13</v>
      </c>
      <c r="V2292" s="27"/>
      <c r="W2292" s="34">
        <v>1</v>
      </c>
      <c r="X2292" s="35">
        <f t="shared" si="1923"/>
        <v>24</v>
      </c>
      <c r="Y2292" s="11">
        <f t="shared" si="1916"/>
        <v>71</v>
      </c>
      <c r="Z2292" s="99">
        <v>45939</v>
      </c>
      <c r="AA2292" s="58"/>
    </row>
    <row r="2293" spans="1:27" x14ac:dyDescent="0.15">
      <c r="A2293" s="15" t="s">
        <v>1890</v>
      </c>
      <c r="B2293" s="26"/>
      <c r="C2293" s="47">
        <v>1</v>
      </c>
      <c r="D2293" s="27"/>
      <c r="E2293" s="34"/>
      <c r="F2293" s="35">
        <f t="shared" si="1920"/>
        <v>1</v>
      </c>
      <c r="G2293" s="26"/>
      <c r="H2293" s="47">
        <v>1</v>
      </c>
      <c r="I2293" s="27"/>
      <c r="J2293" s="34">
        <v>-2</v>
      </c>
      <c r="K2293" s="35">
        <f t="shared" si="1921"/>
        <v>-1</v>
      </c>
      <c r="L2293" s="11">
        <f t="shared" si="1913"/>
        <v>0</v>
      </c>
      <c r="M2293" s="99">
        <v>45938</v>
      </c>
      <c r="N2293" s="173" t="s">
        <v>1887</v>
      </c>
      <c r="O2293" s="26">
        <v>22</v>
      </c>
      <c r="P2293" s="47">
        <v>27</v>
      </c>
      <c r="Q2293" s="27">
        <v>23</v>
      </c>
      <c r="R2293" s="34">
        <v>3</v>
      </c>
      <c r="S2293" s="35">
        <f t="shared" si="1922"/>
        <v>75</v>
      </c>
      <c r="T2293" s="26">
        <v>8</v>
      </c>
      <c r="U2293" s="47">
        <v>7</v>
      </c>
      <c r="V2293" s="27"/>
      <c r="W2293" s="34">
        <v>7</v>
      </c>
      <c r="X2293" s="35">
        <f t="shared" si="1923"/>
        <v>22</v>
      </c>
      <c r="Y2293" s="11">
        <f t="shared" si="1916"/>
        <v>97</v>
      </c>
      <c r="Z2293" s="99">
        <v>45940</v>
      </c>
      <c r="AA2293" s="58"/>
    </row>
    <row r="2294" spans="1:27" x14ac:dyDescent="0.15">
      <c r="A2294" s="15" t="s">
        <v>41</v>
      </c>
      <c r="B2294" s="26"/>
      <c r="C2294" s="47">
        <v>1</v>
      </c>
      <c r="D2294" s="27"/>
      <c r="E2294" s="34"/>
      <c r="F2294" s="35">
        <f t="shared" si="1920"/>
        <v>1</v>
      </c>
      <c r="G2294" s="26"/>
      <c r="H2294" s="47">
        <v>1</v>
      </c>
      <c r="I2294" s="27"/>
      <c r="J2294" s="34"/>
      <c r="K2294" s="35">
        <f t="shared" si="1921"/>
        <v>1</v>
      </c>
      <c r="L2294" s="11">
        <f t="shared" si="1913"/>
        <v>2</v>
      </c>
      <c r="M2294" s="99">
        <v>45944</v>
      </c>
      <c r="N2294" s="173" t="s">
        <v>1888</v>
      </c>
      <c r="O2294" s="26">
        <v>6</v>
      </c>
      <c r="P2294" s="47">
        <v>11</v>
      </c>
      <c r="Q2294" s="27">
        <v>4</v>
      </c>
      <c r="R2294" s="34">
        <v>5</v>
      </c>
      <c r="S2294" s="35">
        <f t="shared" si="1922"/>
        <v>26</v>
      </c>
      <c r="T2294" s="26">
        <v>4</v>
      </c>
      <c r="U2294" s="47">
        <v>15</v>
      </c>
      <c r="V2294" s="27">
        <v>1</v>
      </c>
      <c r="W2294" s="34">
        <v>2</v>
      </c>
      <c r="X2294" s="35">
        <f t="shared" si="1923"/>
        <v>22</v>
      </c>
      <c r="Y2294" s="11">
        <f t="shared" si="1916"/>
        <v>48</v>
      </c>
      <c r="Z2294" s="99">
        <v>45940</v>
      </c>
    </row>
    <row r="2295" spans="1:27" x14ac:dyDescent="0.15">
      <c r="A2295" s="15" t="s">
        <v>1897</v>
      </c>
      <c r="B2295" s="26"/>
      <c r="C2295" s="47">
        <v>-5</v>
      </c>
      <c r="D2295" s="27"/>
      <c r="E2295" s="34"/>
      <c r="F2295" s="35">
        <f t="shared" si="1920"/>
        <v>-5</v>
      </c>
      <c r="G2295" s="26"/>
      <c r="H2295" s="47"/>
      <c r="I2295" s="27"/>
      <c r="J2295" s="34"/>
      <c r="K2295" s="35">
        <f t="shared" si="1921"/>
        <v>0</v>
      </c>
      <c r="L2295" s="11">
        <f t="shared" si="1913"/>
        <v>-5</v>
      </c>
      <c r="M2295" s="99">
        <v>45947</v>
      </c>
      <c r="N2295" s="173" t="s">
        <v>1892</v>
      </c>
      <c r="O2295" s="26">
        <v>26</v>
      </c>
      <c r="P2295" s="47">
        <v>15</v>
      </c>
      <c r="Q2295" s="27">
        <v>14</v>
      </c>
      <c r="R2295" s="34">
        <v>6</v>
      </c>
      <c r="S2295" s="35">
        <f t="shared" si="1922"/>
        <v>61</v>
      </c>
      <c r="T2295" s="26">
        <v>11</v>
      </c>
      <c r="U2295" s="47">
        <v>4</v>
      </c>
      <c r="V2295" s="27">
        <v>7</v>
      </c>
      <c r="W2295" s="34">
        <v>2</v>
      </c>
      <c r="X2295" s="35">
        <f t="shared" si="1923"/>
        <v>24</v>
      </c>
      <c r="Y2295" s="11">
        <f t="shared" si="1916"/>
        <v>85</v>
      </c>
      <c r="Z2295" s="99">
        <v>45946</v>
      </c>
    </row>
    <row r="2296" spans="1:27" x14ac:dyDescent="0.15">
      <c r="A2296" s="173" t="s">
        <v>1899</v>
      </c>
      <c r="B2296" s="26">
        <v>2</v>
      </c>
      <c r="C2296" s="47">
        <v>5</v>
      </c>
      <c r="D2296" s="27">
        <v>2</v>
      </c>
      <c r="E2296" s="34">
        <v>1</v>
      </c>
      <c r="F2296" s="35">
        <f t="shared" si="1920"/>
        <v>10</v>
      </c>
      <c r="G2296" s="26"/>
      <c r="H2296" s="47">
        <v>3</v>
      </c>
      <c r="I2296" s="27"/>
      <c r="J2296" s="34">
        <v>1</v>
      </c>
      <c r="K2296" s="35">
        <f t="shared" si="1921"/>
        <v>4</v>
      </c>
      <c r="L2296" s="11">
        <f t="shared" si="1913"/>
        <v>14</v>
      </c>
      <c r="M2296" s="99">
        <v>45950</v>
      </c>
      <c r="N2296" s="173" t="s">
        <v>1893</v>
      </c>
      <c r="O2296" s="26"/>
      <c r="P2296" s="47">
        <v>6</v>
      </c>
      <c r="Q2296" s="27">
        <v>16</v>
      </c>
      <c r="R2296" s="34">
        <v>8</v>
      </c>
      <c r="S2296" s="35">
        <f t="shared" si="1922"/>
        <v>30</v>
      </c>
      <c r="T2296" s="26">
        <v>2</v>
      </c>
      <c r="U2296" s="47">
        <v>8</v>
      </c>
      <c r="V2296" s="27">
        <v>2</v>
      </c>
      <c r="W2296" s="34">
        <v>2</v>
      </c>
      <c r="X2296" s="35">
        <f t="shared" si="1923"/>
        <v>14</v>
      </c>
      <c r="Y2296" s="11">
        <f t="shared" si="1916"/>
        <v>44</v>
      </c>
      <c r="Z2296" s="99">
        <v>45947</v>
      </c>
      <c r="AA2296" s="58"/>
    </row>
    <row r="2297" spans="1:27" x14ac:dyDescent="0.15">
      <c r="A2297" s="15" t="s">
        <v>1072</v>
      </c>
      <c r="B2297" s="26">
        <v>-1</v>
      </c>
      <c r="C2297" s="47">
        <v>1</v>
      </c>
      <c r="D2297" s="27"/>
      <c r="E2297" s="34"/>
      <c r="F2297" s="35">
        <f t="shared" si="1920"/>
        <v>0</v>
      </c>
      <c r="G2297" s="26">
        <v>-1</v>
      </c>
      <c r="H2297" s="47">
        <v>1</v>
      </c>
      <c r="I2297" s="27"/>
      <c r="J2297" s="34"/>
      <c r="K2297" s="35">
        <f t="shared" si="1921"/>
        <v>0</v>
      </c>
      <c r="L2297" s="11">
        <f t="shared" si="1913"/>
        <v>0</v>
      </c>
      <c r="M2297" s="126">
        <v>45950</v>
      </c>
      <c r="N2297" s="12" t="s">
        <v>34</v>
      </c>
      <c r="O2297" s="26"/>
      <c r="P2297" s="47"/>
      <c r="Q2297" s="27"/>
      <c r="R2297" s="50"/>
      <c r="S2297" s="9">
        <f>SUM(O2297:R2297)</f>
        <v>0</v>
      </c>
      <c r="T2297" s="47"/>
      <c r="U2297" s="47"/>
      <c r="V2297" s="27"/>
      <c r="W2297" s="50">
        <v>10</v>
      </c>
      <c r="X2297" s="9">
        <f>SUM(T2297:W2297)</f>
        <v>10</v>
      </c>
      <c r="Y2297" s="11">
        <f t="shared" si="1916"/>
        <v>10</v>
      </c>
      <c r="Z2297" s="99">
        <v>45945</v>
      </c>
    </row>
    <row r="2298" spans="1:27" x14ac:dyDescent="0.15">
      <c r="A2298" s="15" t="s">
        <v>1900</v>
      </c>
      <c r="B2298" s="26">
        <v>-4</v>
      </c>
      <c r="C2298" s="47">
        <v>-4</v>
      </c>
      <c r="D2298" s="27">
        <v>-7</v>
      </c>
      <c r="E2298" s="34">
        <v>-13</v>
      </c>
      <c r="F2298" s="35">
        <f t="shared" si="1920"/>
        <v>-28</v>
      </c>
      <c r="G2298" s="26">
        <v>-3</v>
      </c>
      <c r="H2298" s="47">
        <v>-6</v>
      </c>
      <c r="I2298" s="27">
        <v>-4</v>
      </c>
      <c r="J2298" s="34">
        <v>-5</v>
      </c>
      <c r="K2298" s="35">
        <f t="shared" si="1921"/>
        <v>-18</v>
      </c>
      <c r="L2298" s="11">
        <f t="shared" si="1913"/>
        <v>-46</v>
      </c>
      <c r="M2298" s="126">
        <v>45945</v>
      </c>
      <c r="N2298" s="173" t="s">
        <v>1896</v>
      </c>
      <c r="O2298" s="26">
        <v>5</v>
      </c>
      <c r="P2298" s="47">
        <v>6</v>
      </c>
      <c r="Q2298" s="27">
        <v>4</v>
      </c>
      <c r="R2298" s="34"/>
      <c r="S2298" s="35">
        <f t="shared" ref="S2298:S2315" si="1924">SUM(O2298:R2298)</f>
        <v>15</v>
      </c>
      <c r="T2298" s="26">
        <v>2</v>
      </c>
      <c r="U2298" s="47">
        <v>5</v>
      </c>
      <c r="V2298" s="27">
        <v>5</v>
      </c>
      <c r="W2298" s="34">
        <v>1</v>
      </c>
      <c r="X2298" s="35">
        <f t="shared" ref="X2298:X2315" si="1925">SUM(T2298:W2298)</f>
        <v>13</v>
      </c>
      <c r="Y2298" s="11">
        <f t="shared" si="1916"/>
        <v>28</v>
      </c>
      <c r="Z2298" s="99">
        <v>45947</v>
      </c>
    </row>
    <row r="2299" spans="1:27" x14ac:dyDescent="0.15">
      <c r="A2299" s="15" t="s">
        <v>41</v>
      </c>
      <c r="B2299" s="26"/>
      <c r="C2299" s="47"/>
      <c r="D2299" s="27"/>
      <c r="E2299" s="34"/>
      <c r="F2299" s="35">
        <f t="shared" si="1920"/>
        <v>0</v>
      </c>
      <c r="G2299" s="26">
        <v>1</v>
      </c>
      <c r="H2299" s="47"/>
      <c r="I2299" s="27"/>
      <c r="J2299" s="34"/>
      <c r="K2299" s="35">
        <f t="shared" si="1921"/>
        <v>1</v>
      </c>
      <c r="L2299" s="11">
        <f t="shared" si="1913"/>
        <v>1</v>
      </c>
      <c r="M2299" s="126">
        <v>45947</v>
      </c>
      <c r="N2299" s="12" t="s">
        <v>1898</v>
      </c>
      <c r="O2299" s="26"/>
      <c r="P2299" s="47">
        <v>5</v>
      </c>
      <c r="Q2299" s="27"/>
      <c r="R2299" s="34"/>
      <c r="S2299" s="35">
        <f t="shared" si="1924"/>
        <v>5</v>
      </c>
      <c r="T2299" s="26"/>
      <c r="U2299" s="47"/>
      <c r="V2299" s="27"/>
      <c r="W2299" s="34"/>
      <c r="X2299" s="35">
        <f t="shared" si="1925"/>
        <v>0</v>
      </c>
      <c r="Y2299" s="11">
        <f t="shared" si="1916"/>
        <v>5</v>
      </c>
      <c r="Z2299" s="99">
        <v>45947</v>
      </c>
    </row>
    <row r="2300" spans="1:27" x14ac:dyDescent="0.15">
      <c r="A2300" s="15" t="s">
        <v>41</v>
      </c>
      <c r="B2300" s="26"/>
      <c r="C2300" s="47"/>
      <c r="D2300" s="27"/>
      <c r="E2300" s="34"/>
      <c r="F2300" s="35">
        <f t="shared" si="1920"/>
        <v>0</v>
      </c>
      <c r="G2300" s="26"/>
      <c r="H2300" s="47"/>
      <c r="I2300" s="27">
        <v>1</v>
      </c>
      <c r="J2300" s="34"/>
      <c r="K2300" s="35">
        <f t="shared" si="1921"/>
        <v>1</v>
      </c>
      <c r="L2300" s="11">
        <f t="shared" si="1913"/>
        <v>1</v>
      </c>
      <c r="M2300" s="126">
        <v>45951</v>
      </c>
      <c r="N2300" s="173" t="s">
        <v>1902</v>
      </c>
      <c r="O2300" s="26">
        <v>16</v>
      </c>
      <c r="P2300" s="47">
        <v>8</v>
      </c>
      <c r="Q2300" s="27">
        <v>10</v>
      </c>
      <c r="R2300" s="34">
        <v>2</v>
      </c>
      <c r="S2300" s="35">
        <f t="shared" si="1924"/>
        <v>36</v>
      </c>
      <c r="T2300" s="26">
        <v>2</v>
      </c>
      <c r="U2300" s="47">
        <v>3</v>
      </c>
      <c r="V2300" s="27">
        <v>1</v>
      </c>
      <c r="W2300" s="34">
        <v>1</v>
      </c>
      <c r="X2300" s="35">
        <f t="shared" si="1925"/>
        <v>7</v>
      </c>
      <c r="Y2300" s="11">
        <f t="shared" si="1916"/>
        <v>43</v>
      </c>
      <c r="Z2300" s="99">
        <v>45952</v>
      </c>
      <c r="AA2300" s="58"/>
    </row>
    <row r="2301" spans="1:27" x14ac:dyDescent="0.15">
      <c r="A2301" s="15" t="s">
        <v>41</v>
      </c>
      <c r="B2301" s="26"/>
      <c r="C2301" s="47"/>
      <c r="D2301" s="27"/>
      <c r="E2301" s="34"/>
      <c r="F2301" s="35">
        <f t="shared" si="1920"/>
        <v>0</v>
      </c>
      <c r="G2301" s="26"/>
      <c r="H2301" s="47"/>
      <c r="I2301" s="27">
        <v>1</v>
      </c>
      <c r="J2301" s="34"/>
      <c r="K2301" s="35">
        <f t="shared" si="1921"/>
        <v>1</v>
      </c>
      <c r="L2301" s="11">
        <f t="shared" si="1913"/>
        <v>1</v>
      </c>
      <c r="M2301" s="126">
        <v>45952</v>
      </c>
      <c r="N2301" s="173" t="s">
        <v>1905</v>
      </c>
      <c r="O2301" s="26">
        <v>6</v>
      </c>
      <c r="P2301" s="47">
        <v>7</v>
      </c>
      <c r="Q2301" s="27"/>
      <c r="R2301" s="34">
        <v>8</v>
      </c>
      <c r="S2301" s="35">
        <f t="shared" si="1924"/>
        <v>21</v>
      </c>
      <c r="T2301" s="26">
        <v>1</v>
      </c>
      <c r="U2301" s="47"/>
      <c r="V2301" s="27"/>
      <c r="W2301" s="34">
        <v>2</v>
      </c>
      <c r="X2301" s="35">
        <f t="shared" si="1925"/>
        <v>3</v>
      </c>
      <c r="Y2301" s="11">
        <f t="shared" si="1916"/>
        <v>24</v>
      </c>
      <c r="Z2301" s="99">
        <v>45953</v>
      </c>
      <c r="AA2301" s="58"/>
    </row>
    <row r="2302" spans="1:27" x14ac:dyDescent="0.15">
      <c r="A2302" s="15" t="s">
        <v>1907</v>
      </c>
      <c r="B2302" s="26">
        <v>4</v>
      </c>
      <c r="C2302" s="47"/>
      <c r="D2302" s="27">
        <v>5</v>
      </c>
      <c r="E2302" s="34">
        <v>9</v>
      </c>
      <c r="F2302" s="35">
        <f t="shared" si="1920"/>
        <v>18</v>
      </c>
      <c r="G2302" s="26">
        <v>3</v>
      </c>
      <c r="H2302" s="47"/>
      <c r="I2302" s="27">
        <v>4</v>
      </c>
      <c r="J2302" s="34">
        <v>10</v>
      </c>
      <c r="K2302" s="35">
        <f t="shared" si="1921"/>
        <v>17</v>
      </c>
      <c r="L2302" s="11">
        <f t="shared" si="1913"/>
        <v>35</v>
      </c>
      <c r="M2302" s="126">
        <v>45953</v>
      </c>
      <c r="N2302" s="173" t="s">
        <v>1906</v>
      </c>
      <c r="O2302" s="26">
        <v>6</v>
      </c>
      <c r="P2302" s="47">
        <v>5</v>
      </c>
      <c r="Q2302" s="27">
        <v>6</v>
      </c>
      <c r="R2302" s="34">
        <v>4</v>
      </c>
      <c r="S2302" s="35">
        <f t="shared" si="1924"/>
        <v>21</v>
      </c>
      <c r="T2302" s="26">
        <v>3</v>
      </c>
      <c r="U2302" s="47">
        <v>2</v>
      </c>
      <c r="V2302" s="27">
        <v>2</v>
      </c>
      <c r="W2302" s="34"/>
      <c r="X2302" s="35">
        <f t="shared" si="1925"/>
        <v>7</v>
      </c>
      <c r="Y2302" s="11">
        <f t="shared" si="1916"/>
        <v>28</v>
      </c>
      <c r="Z2302" s="99">
        <v>45954</v>
      </c>
    </row>
    <row r="2303" spans="1:27" x14ac:dyDescent="0.15">
      <c r="A2303" s="15" t="s">
        <v>1072</v>
      </c>
      <c r="B2303" s="26"/>
      <c r="C2303" s="47"/>
      <c r="D2303" s="27"/>
      <c r="E2303" s="34">
        <v>-1</v>
      </c>
      <c r="F2303" s="35">
        <f t="shared" si="1920"/>
        <v>-1</v>
      </c>
      <c r="G2303" s="26"/>
      <c r="H2303" s="47"/>
      <c r="I2303" s="27"/>
      <c r="J2303" s="34">
        <v>1</v>
      </c>
      <c r="K2303" s="35">
        <f t="shared" si="1921"/>
        <v>1</v>
      </c>
      <c r="L2303" s="11">
        <f t="shared" si="1913"/>
        <v>0</v>
      </c>
      <c r="M2303" s="126">
        <v>45953</v>
      </c>
      <c r="N2303" s="173" t="s">
        <v>1908</v>
      </c>
      <c r="O2303" s="26">
        <v>5</v>
      </c>
      <c r="P2303" s="47"/>
      <c r="Q2303" s="27">
        <v>3</v>
      </c>
      <c r="R2303" s="34">
        <v>4</v>
      </c>
      <c r="S2303" s="35">
        <f t="shared" si="1924"/>
        <v>12</v>
      </c>
      <c r="T2303" s="26"/>
      <c r="U2303" s="47">
        <v>4</v>
      </c>
      <c r="V2303" s="27">
        <v>3</v>
      </c>
      <c r="W2303" s="34">
        <v>5</v>
      </c>
      <c r="X2303" s="35">
        <f t="shared" si="1925"/>
        <v>12</v>
      </c>
      <c r="Y2303" s="11">
        <f t="shared" si="1916"/>
        <v>24</v>
      </c>
      <c r="Z2303" s="99">
        <v>45954</v>
      </c>
    </row>
    <row r="2304" spans="1:27" x14ac:dyDescent="0.15">
      <c r="A2304" s="15" t="s">
        <v>41</v>
      </c>
      <c r="B2304" s="26"/>
      <c r="C2304" s="47"/>
      <c r="D2304" s="27"/>
      <c r="E2304" s="34">
        <v>1</v>
      </c>
      <c r="F2304" s="35">
        <f t="shared" si="1920"/>
        <v>1</v>
      </c>
      <c r="G2304" s="26"/>
      <c r="H2304" s="47"/>
      <c r="I2304" s="27"/>
      <c r="J2304" s="34"/>
      <c r="K2304" s="35">
        <f t="shared" si="1921"/>
        <v>0</v>
      </c>
      <c r="L2304" s="11">
        <f t="shared" si="1913"/>
        <v>1</v>
      </c>
      <c r="M2304" s="126">
        <v>45953</v>
      </c>
      <c r="N2304" s="57"/>
      <c r="O2304" s="26"/>
      <c r="P2304" s="47"/>
      <c r="Q2304" s="27"/>
      <c r="R2304" s="34"/>
      <c r="S2304" s="35">
        <f t="shared" si="1924"/>
        <v>0</v>
      </c>
      <c r="T2304" s="26"/>
      <c r="U2304" s="47"/>
      <c r="V2304" s="27"/>
      <c r="W2304" s="34"/>
      <c r="X2304" s="35">
        <f t="shared" si="1925"/>
        <v>0</v>
      </c>
      <c r="Y2304" s="11">
        <f t="shared" si="1916"/>
        <v>0</v>
      </c>
      <c r="Z2304" s="101"/>
    </row>
    <row r="2305" spans="1:26" x14ac:dyDescent="0.15">
      <c r="A2305" s="15" t="s">
        <v>41</v>
      </c>
      <c r="B2305" s="26"/>
      <c r="C2305" s="47">
        <v>1</v>
      </c>
      <c r="D2305" s="27"/>
      <c r="E2305" s="34"/>
      <c r="F2305" s="35">
        <f t="shared" si="1920"/>
        <v>1</v>
      </c>
      <c r="G2305" s="26"/>
      <c r="H2305" s="47">
        <v>2</v>
      </c>
      <c r="I2305" s="27"/>
      <c r="J2305" s="34"/>
      <c r="K2305" s="35">
        <f t="shared" si="1921"/>
        <v>2</v>
      </c>
      <c r="L2305" s="11">
        <f t="shared" si="1913"/>
        <v>3</v>
      </c>
      <c r="M2305" s="126">
        <v>45957</v>
      </c>
      <c r="N2305" s="12"/>
      <c r="O2305" s="26"/>
      <c r="P2305" s="47"/>
      <c r="Q2305" s="27"/>
      <c r="R2305" s="34"/>
      <c r="S2305" s="35">
        <f t="shared" si="1924"/>
        <v>0</v>
      </c>
      <c r="T2305" s="26"/>
      <c r="U2305" s="47"/>
      <c r="V2305" s="27"/>
      <c r="W2305" s="34"/>
      <c r="X2305" s="35">
        <f t="shared" si="1925"/>
        <v>0</v>
      </c>
      <c r="Y2305" s="11">
        <f t="shared" si="1916"/>
        <v>0</v>
      </c>
    </row>
    <row r="2306" spans="1:26" x14ac:dyDescent="0.15">
      <c r="A2306" s="15" t="s">
        <v>1913</v>
      </c>
      <c r="B2306" s="26"/>
      <c r="C2306" s="47"/>
      <c r="D2306" s="27">
        <v>-1</v>
      </c>
      <c r="E2306" s="34"/>
      <c r="F2306" s="35">
        <f t="shared" si="1920"/>
        <v>-1</v>
      </c>
      <c r="G2306" s="26"/>
      <c r="H2306" s="47"/>
      <c r="I2306" s="27">
        <v>-1</v>
      </c>
      <c r="J2306" s="34"/>
      <c r="K2306" s="35">
        <f t="shared" si="1921"/>
        <v>-1</v>
      </c>
      <c r="L2306" s="11">
        <f t="shared" si="1913"/>
        <v>-2</v>
      </c>
      <c r="M2306" s="126">
        <v>45953</v>
      </c>
      <c r="N2306" s="57"/>
      <c r="O2306" s="26"/>
      <c r="P2306" s="47"/>
      <c r="Q2306" s="27"/>
      <c r="R2306" s="34"/>
      <c r="S2306" s="35">
        <f t="shared" si="1924"/>
        <v>0</v>
      </c>
      <c r="T2306" s="26"/>
      <c r="U2306" s="47"/>
      <c r="V2306" s="27"/>
      <c r="W2306" s="34"/>
      <c r="X2306" s="35">
        <f t="shared" si="1925"/>
        <v>0</v>
      </c>
      <c r="Y2306" s="11">
        <f t="shared" si="1916"/>
        <v>0</v>
      </c>
    </row>
    <row r="2307" spans="1:26" x14ac:dyDescent="0.15">
      <c r="A2307" s="15"/>
      <c r="B2307" s="26"/>
      <c r="C2307" s="47"/>
      <c r="D2307" s="27"/>
      <c r="E2307" s="34"/>
      <c r="F2307" s="35">
        <f t="shared" si="1920"/>
        <v>0</v>
      </c>
      <c r="G2307" s="26"/>
      <c r="H2307" s="47"/>
      <c r="I2307" s="27"/>
      <c r="J2307" s="34"/>
      <c r="K2307" s="35">
        <f t="shared" si="1921"/>
        <v>0</v>
      </c>
      <c r="L2307" s="11">
        <f t="shared" si="1913"/>
        <v>0</v>
      </c>
      <c r="N2307" s="57"/>
      <c r="O2307" s="26"/>
      <c r="P2307" s="47"/>
      <c r="Q2307" s="27"/>
      <c r="R2307" s="34"/>
      <c r="S2307" s="35">
        <f t="shared" si="1924"/>
        <v>0</v>
      </c>
      <c r="T2307" s="26"/>
      <c r="U2307" s="47"/>
      <c r="V2307" s="27"/>
      <c r="W2307" s="34"/>
      <c r="X2307" s="35">
        <f t="shared" si="1925"/>
        <v>0</v>
      </c>
      <c r="Y2307" s="11">
        <f t="shared" si="1916"/>
        <v>0</v>
      </c>
    </row>
    <row r="2308" spans="1:26" x14ac:dyDescent="0.15">
      <c r="A2308" s="13"/>
      <c r="B2308" s="26"/>
      <c r="C2308" s="47"/>
      <c r="D2308" s="27"/>
      <c r="E2308" s="34"/>
      <c r="F2308" s="35">
        <f t="shared" si="1920"/>
        <v>0</v>
      </c>
      <c r="G2308" s="26"/>
      <c r="H2308" s="47"/>
      <c r="I2308" s="27"/>
      <c r="J2308" s="34"/>
      <c r="K2308" s="35">
        <f t="shared" si="1921"/>
        <v>0</v>
      </c>
      <c r="L2308" s="11">
        <f t="shared" si="1913"/>
        <v>0</v>
      </c>
      <c r="N2308" s="57"/>
      <c r="O2308" s="26"/>
      <c r="P2308" s="47"/>
      <c r="Q2308" s="27"/>
      <c r="R2308" s="34"/>
      <c r="S2308" s="35">
        <f t="shared" si="1924"/>
        <v>0</v>
      </c>
      <c r="T2308" s="26"/>
      <c r="U2308" s="47"/>
      <c r="V2308" s="27"/>
      <c r="W2308" s="34"/>
      <c r="X2308" s="35">
        <f t="shared" si="1925"/>
        <v>0</v>
      </c>
      <c r="Y2308" s="11">
        <f t="shared" si="1916"/>
        <v>0</v>
      </c>
    </row>
    <row r="2309" spans="1:26" x14ac:dyDescent="0.15">
      <c r="A2309" s="32"/>
      <c r="B2309" s="26"/>
      <c r="C2309" s="47"/>
      <c r="D2309" s="27"/>
      <c r="E2309" s="34"/>
      <c r="F2309" s="35">
        <f t="shared" si="1920"/>
        <v>0</v>
      </c>
      <c r="G2309" s="26"/>
      <c r="H2309" s="47"/>
      <c r="I2309" s="27"/>
      <c r="J2309" s="34"/>
      <c r="K2309" s="35">
        <f t="shared" si="1921"/>
        <v>0</v>
      </c>
      <c r="L2309" s="11">
        <f t="shared" si="1913"/>
        <v>0</v>
      </c>
      <c r="N2309" s="57"/>
      <c r="O2309" s="26"/>
      <c r="P2309" s="47"/>
      <c r="Q2309" s="27"/>
      <c r="R2309" s="34"/>
      <c r="S2309" s="35">
        <f t="shared" ref="S2309" si="1926">SUM(O2309:R2309)</f>
        <v>0</v>
      </c>
      <c r="T2309" s="26"/>
      <c r="U2309" s="47"/>
      <c r="V2309" s="27"/>
      <c r="W2309" s="34"/>
      <c r="X2309" s="35">
        <f t="shared" ref="X2309" si="1927">SUM(T2309:W2309)</f>
        <v>0</v>
      </c>
      <c r="Y2309" s="11">
        <f t="shared" ref="Y2309" si="1928">S2309+X2309</f>
        <v>0</v>
      </c>
    </row>
    <row r="2310" spans="1:26" x14ac:dyDescent="0.15">
      <c r="A2310" s="32"/>
      <c r="B2310" s="26"/>
      <c r="C2310" s="47"/>
      <c r="D2310" s="27"/>
      <c r="E2310" s="34"/>
      <c r="F2310" s="35">
        <f t="shared" si="1920"/>
        <v>0</v>
      </c>
      <c r="G2310" s="26"/>
      <c r="H2310" s="47"/>
      <c r="I2310" s="27"/>
      <c r="J2310" s="34"/>
      <c r="K2310" s="35">
        <f t="shared" si="1921"/>
        <v>0</v>
      </c>
      <c r="L2310" s="11">
        <f t="shared" si="1913"/>
        <v>0</v>
      </c>
      <c r="N2310" s="173" t="s">
        <v>1858</v>
      </c>
      <c r="O2310" s="154"/>
      <c r="P2310" s="155"/>
      <c r="Q2310" s="156"/>
      <c r="R2310" s="157"/>
      <c r="S2310" s="158">
        <f t="shared" ref="S2310" si="1929">SUM(O2310:R2310)</f>
        <v>0</v>
      </c>
      <c r="T2310" s="154"/>
      <c r="U2310" s="155"/>
      <c r="V2310" s="156"/>
      <c r="W2310" s="157"/>
      <c r="X2310" s="158">
        <f t="shared" ref="X2310" si="1930">SUM(T2310:W2310)</f>
        <v>0</v>
      </c>
      <c r="Y2310" s="179">
        <f t="shared" ref="Y2310" si="1931">S2310+X2310</f>
        <v>0</v>
      </c>
      <c r="Z2310" s="160" t="s">
        <v>814</v>
      </c>
    </row>
    <row r="2311" spans="1:26" x14ac:dyDescent="0.15">
      <c r="A2311" s="12"/>
      <c r="B2311" s="26"/>
      <c r="C2311" s="47"/>
      <c r="D2311" s="27"/>
      <c r="E2311" s="34"/>
      <c r="F2311" s="35">
        <f t="shared" si="1920"/>
        <v>0</v>
      </c>
      <c r="G2311" s="26"/>
      <c r="H2311" s="47"/>
      <c r="I2311" s="27"/>
      <c r="J2311" s="34"/>
      <c r="K2311" s="35">
        <f t="shared" si="1921"/>
        <v>0</v>
      </c>
      <c r="L2311" s="11">
        <f t="shared" si="1913"/>
        <v>0</v>
      </c>
      <c r="N2311" s="57" t="s">
        <v>1798</v>
      </c>
      <c r="O2311" s="26"/>
      <c r="P2311" s="47"/>
      <c r="Q2311" s="27"/>
      <c r="R2311" s="34"/>
      <c r="S2311" s="35">
        <f t="shared" si="1924"/>
        <v>0</v>
      </c>
      <c r="T2311" s="26"/>
      <c r="U2311" s="47"/>
      <c r="V2311" s="27"/>
      <c r="W2311" s="34"/>
      <c r="X2311" s="35">
        <f t="shared" si="1925"/>
        <v>0</v>
      </c>
      <c r="Y2311" s="11">
        <f t="shared" si="1916"/>
        <v>0</v>
      </c>
      <c r="Z2311" s="101" t="s">
        <v>291</v>
      </c>
    </row>
    <row r="2312" spans="1:26" x14ac:dyDescent="0.15">
      <c r="A2312" s="79"/>
      <c r="B2312" s="26"/>
      <c r="C2312" s="47"/>
      <c r="D2312" s="27"/>
      <c r="E2312" s="34"/>
      <c r="F2312" s="35">
        <f t="shared" si="1920"/>
        <v>0</v>
      </c>
      <c r="G2312" s="26"/>
      <c r="H2312" s="47"/>
      <c r="I2312" s="27"/>
      <c r="J2312" s="34"/>
      <c r="K2312" s="35">
        <f t="shared" si="1921"/>
        <v>0</v>
      </c>
      <c r="L2312" s="11">
        <f t="shared" si="1913"/>
        <v>0</v>
      </c>
      <c r="N2312" s="303" t="s">
        <v>1819</v>
      </c>
      <c r="O2312" s="223"/>
      <c r="P2312" s="224"/>
      <c r="Q2312" s="225"/>
      <c r="R2312" s="226"/>
      <c r="S2312" s="227">
        <f t="shared" si="1924"/>
        <v>0</v>
      </c>
      <c r="T2312" s="223"/>
      <c r="U2312" s="224"/>
      <c r="V2312" s="225"/>
      <c r="W2312" s="226"/>
      <c r="X2312" s="227">
        <f t="shared" si="1925"/>
        <v>0</v>
      </c>
      <c r="Y2312" s="304">
        <f t="shared" si="1916"/>
        <v>0</v>
      </c>
      <c r="Z2312" s="101" t="s">
        <v>1820</v>
      </c>
    </row>
    <row r="2313" spans="1:26" x14ac:dyDescent="0.15">
      <c r="A2313" s="57"/>
      <c r="B2313" s="26"/>
      <c r="C2313" s="47"/>
      <c r="D2313" s="27"/>
      <c r="E2313" s="34"/>
      <c r="F2313" s="35">
        <f t="shared" si="1920"/>
        <v>0</v>
      </c>
      <c r="G2313" s="26"/>
      <c r="H2313" s="47"/>
      <c r="I2313" s="27"/>
      <c r="J2313" s="34"/>
      <c r="K2313" s="35">
        <f t="shared" si="1921"/>
        <v>0</v>
      </c>
      <c r="L2313" s="11">
        <f t="shared" si="1913"/>
        <v>0</v>
      </c>
      <c r="N2313" s="12" t="s">
        <v>1863</v>
      </c>
      <c r="O2313" s="26"/>
      <c r="P2313" s="47"/>
      <c r="Q2313" s="27"/>
      <c r="R2313" s="34"/>
      <c r="S2313" s="35">
        <f t="shared" ref="S2313" si="1932">SUM(O2313:R2313)</f>
        <v>0</v>
      </c>
      <c r="T2313" s="26"/>
      <c r="U2313" s="47"/>
      <c r="V2313" s="27"/>
      <c r="W2313" s="34"/>
      <c r="X2313" s="35">
        <f t="shared" ref="X2313" si="1933">SUM(T2313:W2313)</f>
        <v>0</v>
      </c>
      <c r="Y2313" s="108">
        <f t="shared" ref="Y2313" si="1934">S2313+X2313</f>
        <v>0</v>
      </c>
      <c r="Z2313" s="101" t="s">
        <v>812</v>
      </c>
    </row>
    <row r="2314" spans="1:26" ht="14.25" thickBot="1" x14ac:dyDescent="0.2">
      <c r="A2314" s="90"/>
      <c r="B2314" s="62"/>
      <c r="C2314" s="63"/>
      <c r="D2314" s="64"/>
      <c r="E2314" s="65"/>
      <c r="F2314" s="35">
        <f t="shared" si="1920"/>
        <v>0</v>
      </c>
      <c r="G2314" s="62"/>
      <c r="H2314" s="63"/>
      <c r="I2314" s="64"/>
      <c r="J2314" s="65"/>
      <c r="K2314" s="35">
        <f t="shared" si="1921"/>
        <v>0</v>
      </c>
      <c r="L2314" s="14">
        <f t="shared" si="1913"/>
        <v>0</v>
      </c>
      <c r="N2314" s="220" t="s">
        <v>1665</v>
      </c>
      <c r="O2314" s="109"/>
      <c r="P2314" s="110"/>
      <c r="Q2314" s="111"/>
      <c r="R2314" s="112"/>
      <c r="S2314" s="134">
        <f t="shared" ref="S2314" si="1935">SUM(O2314:R2314)</f>
        <v>0</v>
      </c>
      <c r="T2314" s="109"/>
      <c r="U2314" s="110"/>
      <c r="V2314" s="111"/>
      <c r="W2314" s="112"/>
      <c r="X2314" s="134">
        <f t="shared" ref="X2314" si="1936">SUM(T2314:W2314)</f>
        <v>0</v>
      </c>
      <c r="Y2314" s="119">
        <f t="shared" ref="Y2314" si="1937">S2314+X2314</f>
        <v>0</v>
      </c>
      <c r="Z2314" s="101" t="s">
        <v>1666</v>
      </c>
    </row>
    <row r="2315" spans="1:26" ht="14.25" thickBot="1" x14ac:dyDescent="0.2">
      <c r="A2315" s="17" t="s">
        <v>10</v>
      </c>
      <c r="B2315" s="38">
        <f>SUM(B2290:B2314)</f>
        <v>4</v>
      </c>
      <c r="C2315" s="48">
        <f>SUM(C2290:C2314)</f>
        <v>5</v>
      </c>
      <c r="D2315" s="39">
        <f>SUM(D2290:D2314)</f>
        <v>4</v>
      </c>
      <c r="E2315" s="40">
        <f>SUM(E2290:E2314)</f>
        <v>2</v>
      </c>
      <c r="F2315" s="36">
        <f>SUM(B2315:E2315)</f>
        <v>15</v>
      </c>
      <c r="G2315" s="38">
        <f>SUM(G2290:G2314)</f>
        <v>4</v>
      </c>
      <c r="H2315" s="48">
        <f>SUM(H2290:H2314)</f>
        <v>3</v>
      </c>
      <c r="I2315" s="39">
        <f>SUM(I2290:I2314)</f>
        <v>1</v>
      </c>
      <c r="J2315" s="40">
        <f>SUM(J2290:J2314)</f>
        <v>8</v>
      </c>
      <c r="K2315" s="36">
        <f>SUM(G2315:J2315)</f>
        <v>16</v>
      </c>
      <c r="L2315" s="37">
        <f t="shared" si="1913"/>
        <v>31</v>
      </c>
      <c r="N2315" s="133" t="s">
        <v>10</v>
      </c>
      <c r="O2315" s="38">
        <f>SUM(O2290:O2314)</f>
        <v>146</v>
      </c>
      <c r="P2315" s="48">
        <f>SUM(P2290:P2314)</f>
        <v>163</v>
      </c>
      <c r="Q2315" s="39">
        <f>SUM(Q2290:Q2314)</f>
        <v>111</v>
      </c>
      <c r="R2315" s="40">
        <f>SUM(R2290:R2314)</f>
        <v>51</v>
      </c>
      <c r="S2315" s="118">
        <f t="shared" si="1924"/>
        <v>471</v>
      </c>
      <c r="T2315" s="38">
        <f>SUM(T2290:T2314)</f>
        <v>54</v>
      </c>
      <c r="U2315" s="48">
        <f>SUM(U2290:U2314)</f>
        <v>72</v>
      </c>
      <c r="V2315" s="39">
        <f>SUM(V2290:V2314)</f>
        <v>34</v>
      </c>
      <c r="W2315" s="40">
        <f>SUM(W2290:W2314)</f>
        <v>39</v>
      </c>
      <c r="X2315" s="118">
        <f t="shared" si="1925"/>
        <v>199</v>
      </c>
      <c r="Y2315" s="119">
        <f t="shared" si="1916"/>
        <v>670</v>
      </c>
    </row>
    <row r="2316" spans="1:26" ht="14.25" thickBot="1" x14ac:dyDescent="0.2">
      <c r="A2316" s="22" t="s">
        <v>11</v>
      </c>
      <c r="B2316" s="41">
        <f>B2289-B2315</f>
        <v>5</v>
      </c>
      <c r="C2316" s="49">
        <f>C2289-C2315</f>
        <v>5</v>
      </c>
      <c r="D2316" s="42">
        <f t="shared" ref="D2316:K2316" si="1938">D2289-D2315</f>
        <v>7</v>
      </c>
      <c r="E2316" s="43">
        <f t="shared" si="1938"/>
        <v>10</v>
      </c>
      <c r="F2316" s="61">
        <f t="shared" si="1938"/>
        <v>23</v>
      </c>
      <c r="G2316" s="41">
        <f t="shared" si="1938"/>
        <v>6</v>
      </c>
      <c r="H2316" s="49">
        <f t="shared" si="1938"/>
        <v>5</v>
      </c>
      <c r="I2316" s="42">
        <f t="shared" si="1938"/>
        <v>8</v>
      </c>
      <c r="J2316" s="43">
        <f t="shared" si="1938"/>
        <v>10</v>
      </c>
      <c r="K2316" s="61">
        <f t="shared" si="1938"/>
        <v>29</v>
      </c>
      <c r="L2316" s="21">
        <f t="shared" si="1913"/>
        <v>52</v>
      </c>
      <c r="N2316" s="17" t="s">
        <v>11</v>
      </c>
      <c r="O2316" s="41">
        <f>O2289-O2315</f>
        <v>812</v>
      </c>
      <c r="P2316" s="49">
        <f t="shared" ref="P2316:Q2316" si="1939">P2289-P2315</f>
        <v>1024</v>
      </c>
      <c r="Q2316" s="42">
        <f t="shared" si="1939"/>
        <v>639</v>
      </c>
      <c r="R2316" s="43">
        <f>R2289-R2315</f>
        <v>443</v>
      </c>
      <c r="S2316" s="61">
        <f t="shared" ref="S2316:X2316" si="1940">S2289-S2315</f>
        <v>2918</v>
      </c>
      <c r="T2316" s="41">
        <f t="shared" si="1940"/>
        <v>779</v>
      </c>
      <c r="U2316" s="49">
        <f t="shared" si="1940"/>
        <v>851</v>
      </c>
      <c r="V2316" s="42">
        <f t="shared" si="1940"/>
        <v>679</v>
      </c>
      <c r="W2316" s="43">
        <f t="shared" si="1940"/>
        <v>448</v>
      </c>
      <c r="X2316" s="61">
        <f t="shared" si="1940"/>
        <v>2757</v>
      </c>
      <c r="Y2316" s="21">
        <f t="shared" si="1916"/>
        <v>5675</v>
      </c>
    </row>
    <row r="2319" spans="1:26" ht="19.5" thickBot="1" x14ac:dyDescent="0.25">
      <c r="A2319" s="2" t="s">
        <v>106</v>
      </c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N2319" s="2" t="s">
        <v>1036</v>
      </c>
      <c r="O2319" s="270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6" ht="14.25" thickBot="1" x14ac:dyDescent="0.2">
      <c r="A2320" s="5" t="s">
        <v>0</v>
      </c>
      <c r="B2320" s="342" t="s">
        <v>18</v>
      </c>
      <c r="C2320" s="350"/>
      <c r="D2320" s="350"/>
      <c r="E2320" s="350"/>
      <c r="F2320" s="351"/>
      <c r="G2320" s="345" t="s">
        <v>12</v>
      </c>
      <c r="H2320" s="352"/>
      <c r="I2320" s="352"/>
      <c r="J2320" s="352"/>
      <c r="K2320" s="353"/>
      <c r="L2320" s="354" t="s">
        <v>1</v>
      </c>
      <c r="N2320" s="5" t="s">
        <v>0</v>
      </c>
      <c r="O2320" s="342" t="s">
        <v>18</v>
      </c>
      <c r="P2320" s="343"/>
      <c r="Q2320" s="343"/>
      <c r="R2320" s="343"/>
      <c r="S2320" s="344"/>
      <c r="T2320" s="345" t="s">
        <v>12</v>
      </c>
      <c r="U2320" s="346"/>
      <c r="V2320" s="346"/>
      <c r="W2320" s="346"/>
      <c r="X2320" s="347"/>
      <c r="Y2320" s="348" t="s">
        <v>1</v>
      </c>
    </row>
    <row r="2321" spans="1:26" ht="14.25" thickBot="1" x14ac:dyDescent="0.2">
      <c r="A2321" s="5" t="s">
        <v>2</v>
      </c>
      <c r="B2321" s="3" t="s">
        <v>13</v>
      </c>
      <c r="C2321" s="44" t="s">
        <v>14</v>
      </c>
      <c r="D2321" s="4" t="s">
        <v>15</v>
      </c>
      <c r="E2321" s="23" t="s">
        <v>16</v>
      </c>
      <c r="F2321" s="31" t="s">
        <v>3</v>
      </c>
      <c r="G2321" s="3" t="s">
        <v>13</v>
      </c>
      <c r="H2321" s="44" t="s">
        <v>14</v>
      </c>
      <c r="I2321" s="4" t="s">
        <v>15</v>
      </c>
      <c r="J2321" s="23" t="s">
        <v>16</v>
      </c>
      <c r="K2321" s="31" t="s">
        <v>3</v>
      </c>
      <c r="L2321" s="355"/>
      <c r="N2321" s="5" t="s">
        <v>2</v>
      </c>
      <c r="O2321" s="3" t="s">
        <v>13</v>
      </c>
      <c r="P2321" s="44" t="s">
        <v>14</v>
      </c>
      <c r="Q2321" s="4" t="s">
        <v>15</v>
      </c>
      <c r="R2321" s="23" t="s">
        <v>16</v>
      </c>
      <c r="S2321" s="31" t="s">
        <v>3</v>
      </c>
      <c r="T2321" s="3" t="s">
        <v>13</v>
      </c>
      <c r="U2321" s="44" t="s">
        <v>14</v>
      </c>
      <c r="V2321" s="4" t="s">
        <v>15</v>
      </c>
      <c r="W2321" s="23" t="s">
        <v>16</v>
      </c>
      <c r="X2321" s="31" t="s">
        <v>3</v>
      </c>
      <c r="Y2321" s="349"/>
    </row>
    <row r="2322" spans="1:26" x14ac:dyDescent="0.15">
      <c r="A2322" s="71" t="s">
        <v>17</v>
      </c>
      <c r="B2322" s="72">
        <f>B2316</f>
        <v>5</v>
      </c>
      <c r="C2322" s="73">
        <f t="shared" ref="C2322:L2322" si="1941">C2316</f>
        <v>5</v>
      </c>
      <c r="D2322" s="73">
        <f t="shared" si="1941"/>
        <v>7</v>
      </c>
      <c r="E2322" s="74">
        <f t="shared" si="1941"/>
        <v>10</v>
      </c>
      <c r="F2322" s="76">
        <f t="shared" si="1941"/>
        <v>23</v>
      </c>
      <c r="G2322" s="72">
        <f t="shared" si="1941"/>
        <v>6</v>
      </c>
      <c r="H2322" s="73">
        <f t="shared" si="1941"/>
        <v>5</v>
      </c>
      <c r="I2322" s="73">
        <f t="shared" si="1941"/>
        <v>8</v>
      </c>
      <c r="J2322" s="74">
        <f t="shared" si="1941"/>
        <v>10</v>
      </c>
      <c r="K2322" s="75">
        <f t="shared" si="1941"/>
        <v>29</v>
      </c>
      <c r="L2322" s="16">
        <f t="shared" si="1941"/>
        <v>52</v>
      </c>
      <c r="N2322" s="71" t="s">
        <v>17</v>
      </c>
      <c r="O2322" s="72">
        <f>O2316</f>
        <v>812</v>
      </c>
      <c r="P2322" s="73">
        <f t="shared" ref="P2322:Y2322" si="1942">P2316</f>
        <v>1024</v>
      </c>
      <c r="Q2322" s="73">
        <f t="shared" si="1942"/>
        <v>639</v>
      </c>
      <c r="R2322" s="74">
        <f t="shared" si="1942"/>
        <v>443</v>
      </c>
      <c r="S2322" s="76">
        <f t="shared" si="1942"/>
        <v>2918</v>
      </c>
      <c r="T2322" s="72">
        <f t="shared" si="1942"/>
        <v>779</v>
      </c>
      <c r="U2322" s="73">
        <f t="shared" si="1942"/>
        <v>851</v>
      </c>
      <c r="V2322" s="73">
        <f t="shared" si="1942"/>
        <v>679</v>
      </c>
      <c r="W2322" s="74">
        <f t="shared" si="1942"/>
        <v>448</v>
      </c>
      <c r="X2322" s="75">
        <f t="shared" si="1942"/>
        <v>2757</v>
      </c>
      <c r="Y2322" s="16">
        <f t="shared" si="1942"/>
        <v>5675</v>
      </c>
    </row>
    <row r="2323" spans="1:26" x14ac:dyDescent="0.15">
      <c r="A2323" s="13" t="s">
        <v>49</v>
      </c>
      <c r="B2323" s="26">
        <v>7</v>
      </c>
      <c r="C2323" s="47">
        <v>23</v>
      </c>
      <c r="D2323" s="27">
        <v>6</v>
      </c>
      <c r="E2323" s="50">
        <v>2</v>
      </c>
      <c r="F2323" s="9">
        <f t="shared" ref="F2323:F2324" si="1943">SUM(B2323:E2323)</f>
        <v>38</v>
      </c>
      <c r="G2323" s="47">
        <v>4</v>
      </c>
      <c r="H2323" s="47">
        <v>7</v>
      </c>
      <c r="I2323" s="27">
        <v>1</v>
      </c>
      <c r="J2323" s="50">
        <v>2</v>
      </c>
      <c r="K2323" s="9">
        <f t="shared" ref="K2323:K2324" si="1944">SUM(G2323:J2323)</f>
        <v>14</v>
      </c>
      <c r="L2323" s="11">
        <f t="shared" ref="L2323:L2354" si="1945">F2323+K2323</f>
        <v>52</v>
      </c>
      <c r="M2323" s="126">
        <v>45960</v>
      </c>
      <c r="N2323" s="13" t="s">
        <v>305</v>
      </c>
      <c r="O2323" s="26">
        <v>7</v>
      </c>
      <c r="P2323" s="47">
        <v>20</v>
      </c>
      <c r="Q2323" s="27">
        <v>6</v>
      </c>
      <c r="R2323" s="34">
        <v>2</v>
      </c>
      <c r="S2323" s="77">
        <f t="shared" ref="S2323:S2326" si="1946">SUM(O2323:R2323)</f>
        <v>35</v>
      </c>
      <c r="T2323" s="26">
        <v>4</v>
      </c>
      <c r="U2323" s="47">
        <v>4</v>
      </c>
      <c r="V2323" s="27">
        <v>1</v>
      </c>
      <c r="W2323" s="34">
        <v>2</v>
      </c>
      <c r="X2323" s="9">
        <f t="shared" ref="X2323:X2326" si="1947">SUM(T2323:W2323)</f>
        <v>11</v>
      </c>
      <c r="Y2323" s="11">
        <f t="shared" ref="Y2323:Y2354" si="1948">S2323+X2323</f>
        <v>46</v>
      </c>
      <c r="Z2323" s="126">
        <v>45962</v>
      </c>
    </row>
    <row r="2324" spans="1:26" x14ac:dyDescent="0.15">
      <c r="A2324" s="13" t="s">
        <v>49</v>
      </c>
      <c r="B2324" s="26">
        <v>1</v>
      </c>
      <c r="C2324" s="47"/>
      <c r="D2324" s="27"/>
      <c r="E2324" s="50"/>
      <c r="F2324" s="9">
        <f t="shared" si="1943"/>
        <v>1</v>
      </c>
      <c r="G2324" s="47">
        <v>1</v>
      </c>
      <c r="H2324" s="47"/>
      <c r="I2324" s="27"/>
      <c r="J2324" s="50"/>
      <c r="K2324" s="9">
        <f t="shared" si="1944"/>
        <v>1</v>
      </c>
      <c r="L2324" s="11">
        <f t="shared" si="1945"/>
        <v>2</v>
      </c>
      <c r="M2324" s="126">
        <v>45966</v>
      </c>
      <c r="N2324" s="13" t="s">
        <v>305</v>
      </c>
      <c r="O2324" s="26">
        <v>5</v>
      </c>
      <c r="P2324" s="47">
        <v>10</v>
      </c>
      <c r="Q2324" s="27">
        <v>6</v>
      </c>
      <c r="R2324" s="34"/>
      <c r="S2324" s="77">
        <f t="shared" si="1946"/>
        <v>21</v>
      </c>
      <c r="T2324" s="26"/>
      <c r="U2324" s="47"/>
      <c r="V2324" s="27"/>
      <c r="W2324" s="34"/>
      <c r="X2324" s="9">
        <f t="shared" si="1947"/>
        <v>0</v>
      </c>
      <c r="Y2324" s="11">
        <f t="shared" si="1948"/>
        <v>21</v>
      </c>
      <c r="Z2324" s="126">
        <v>45990</v>
      </c>
    </row>
    <row r="2325" spans="1:26" x14ac:dyDescent="0.15">
      <c r="A2325" s="13" t="s">
        <v>7</v>
      </c>
      <c r="B2325" s="26">
        <v>3</v>
      </c>
      <c r="C2325" s="47"/>
      <c r="D2325" s="27"/>
      <c r="E2325" s="50"/>
      <c r="F2325" s="9">
        <f>SUM(B2325:E2325)</f>
        <v>3</v>
      </c>
      <c r="G2325" s="47"/>
      <c r="H2325" s="47">
        <v>3</v>
      </c>
      <c r="I2325" s="27"/>
      <c r="J2325" s="50"/>
      <c r="K2325" s="9">
        <f>SUM(G2325:J2325)</f>
        <v>3</v>
      </c>
      <c r="L2325" s="11">
        <f t="shared" si="1945"/>
        <v>6</v>
      </c>
      <c r="M2325" s="99">
        <v>45971</v>
      </c>
      <c r="N2325" s="13" t="s">
        <v>7</v>
      </c>
      <c r="O2325" s="26"/>
      <c r="P2325" s="47"/>
      <c r="Q2325" s="27"/>
      <c r="R2325" s="34"/>
      <c r="S2325" s="77">
        <f t="shared" si="1946"/>
        <v>0</v>
      </c>
      <c r="T2325" s="26"/>
      <c r="U2325" s="47"/>
      <c r="V2325" s="27"/>
      <c r="W2325" s="34"/>
      <c r="X2325" s="9">
        <f t="shared" si="1947"/>
        <v>0</v>
      </c>
      <c r="Y2325" s="11">
        <f t="shared" si="1948"/>
        <v>0</v>
      </c>
    </row>
    <row r="2326" spans="1:26" ht="14.25" thickBot="1" x14ac:dyDescent="0.2">
      <c r="A2326" s="12" t="s">
        <v>1931</v>
      </c>
      <c r="B2326" s="26">
        <v>1</v>
      </c>
      <c r="C2326" s="47"/>
      <c r="D2326" s="27"/>
      <c r="E2326" s="34"/>
      <c r="F2326" s="35">
        <f t="shared" ref="F2326" si="1949">SUM(B2326:E2326)</f>
        <v>1</v>
      </c>
      <c r="G2326" s="26">
        <v>1</v>
      </c>
      <c r="H2326" s="47"/>
      <c r="I2326" s="27"/>
      <c r="J2326" s="34"/>
      <c r="K2326" s="35">
        <f t="shared" ref="K2326" si="1950">SUM(G2326:J2326)</f>
        <v>1</v>
      </c>
      <c r="L2326" s="11">
        <f t="shared" si="1945"/>
        <v>2</v>
      </c>
      <c r="M2326" s="99">
        <v>45972</v>
      </c>
      <c r="N2326" s="13" t="s">
        <v>8</v>
      </c>
      <c r="O2326" s="26"/>
      <c r="P2326" s="47"/>
      <c r="Q2326" s="27"/>
      <c r="R2326" s="34"/>
      <c r="S2326" s="77">
        <f t="shared" si="1946"/>
        <v>0</v>
      </c>
      <c r="T2326" s="26"/>
      <c r="U2326" s="47"/>
      <c r="V2326" s="27"/>
      <c r="W2326" s="34"/>
      <c r="X2326" s="9">
        <f t="shared" si="1947"/>
        <v>0</v>
      </c>
      <c r="Y2326" s="11">
        <f t="shared" si="1948"/>
        <v>0</v>
      </c>
    </row>
    <row r="2327" spans="1:26" ht="14.25" thickBot="1" x14ac:dyDescent="0.2">
      <c r="A2327" s="22" t="s">
        <v>9</v>
      </c>
      <c r="B2327" s="41">
        <f t="shared" ref="B2327:K2327" si="1951">SUM(B2322:B2326)</f>
        <v>17</v>
      </c>
      <c r="C2327" s="49">
        <f t="shared" si="1951"/>
        <v>28</v>
      </c>
      <c r="D2327" s="42">
        <f t="shared" si="1951"/>
        <v>13</v>
      </c>
      <c r="E2327" s="92">
        <f t="shared" si="1951"/>
        <v>12</v>
      </c>
      <c r="F2327" s="132">
        <f t="shared" si="1951"/>
        <v>66</v>
      </c>
      <c r="G2327" s="41">
        <f t="shared" si="1951"/>
        <v>12</v>
      </c>
      <c r="H2327" s="49">
        <f t="shared" si="1951"/>
        <v>15</v>
      </c>
      <c r="I2327" s="42">
        <f t="shared" si="1951"/>
        <v>9</v>
      </c>
      <c r="J2327" s="92">
        <f t="shared" si="1951"/>
        <v>12</v>
      </c>
      <c r="K2327" s="132">
        <f t="shared" si="1951"/>
        <v>48</v>
      </c>
      <c r="L2327" s="21">
        <f t="shared" si="1945"/>
        <v>114</v>
      </c>
      <c r="N2327" s="17" t="s">
        <v>9</v>
      </c>
      <c r="O2327" s="41">
        <f>SUM(O2322:O2326)</f>
        <v>824</v>
      </c>
      <c r="P2327" s="49">
        <f t="shared" ref="P2327:V2327" si="1952">SUM(P2322:P2326)</f>
        <v>1054</v>
      </c>
      <c r="Q2327" s="42">
        <f t="shared" si="1952"/>
        <v>651</v>
      </c>
      <c r="R2327" s="92">
        <f t="shared" si="1952"/>
        <v>445</v>
      </c>
      <c r="S2327" s="93">
        <f t="shared" si="1952"/>
        <v>2974</v>
      </c>
      <c r="T2327" s="41">
        <f t="shared" si="1952"/>
        <v>783</v>
      </c>
      <c r="U2327" s="49">
        <f t="shared" si="1952"/>
        <v>855</v>
      </c>
      <c r="V2327" s="42">
        <f t="shared" si="1952"/>
        <v>680</v>
      </c>
      <c r="W2327" s="92">
        <f>SUM(W2322:W2326)</f>
        <v>450</v>
      </c>
      <c r="X2327" s="93">
        <f t="shared" ref="X2327" si="1953">SUM(X2322:X2326)</f>
        <v>2768</v>
      </c>
      <c r="Y2327" s="56">
        <f t="shared" si="1948"/>
        <v>5742</v>
      </c>
    </row>
    <row r="2328" spans="1:26" x14ac:dyDescent="0.15">
      <c r="A2328" s="13" t="s">
        <v>1815</v>
      </c>
      <c r="B2328" s="26"/>
      <c r="C2328" s="47">
        <v>1</v>
      </c>
      <c r="D2328" s="27"/>
      <c r="E2328" s="34"/>
      <c r="F2328" s="35">
        <f t="shared" ref="F2328:F2352" si="1954">SUM(B2328:E2328)</f>
        <v>1</v>
      </c>
      <c r="G2328" s="26"/>
      <c r="H2328" s="47">
        <v>1</v>
      </c>
      <c r="I2328" s="27"/>
      <c r="J2328" s="34"/>
      <c r="K2328" s="35">
        <f t="shared" ref="K2328:K2352" si="1955">SUM(G2328:J2328)</f>
        <v>1</v>
      </c>
      <c r="L2328" s="11">
        <f t="shared" si="1945"/>
        <v>2</v>
      </c>
      <c r="M2328" s="99">
        <v>45961</v>
      </c>
      <c r="N2328" s="173" t="s">
        <v>1909</v>
      </c>
      <c r="O2328" s="26">
        <v>45</v>
      </c>
      <c r="P2328" s="47">
        <v>51</v>
      </c>
      <c r="Q2328" s="27">
        <v>31</v>
      </c>
      <c r="R2328" s="34">
        <v>13</v>
      </c>
      <c r="S2328" s="35">
        <f t="shared" ref="S2328:S2334" si="1956">SUM(O2328:R2328)</f>
        <v>140</v>
      </c>
      <c r="T2328" s="26">
        <v>15</v>
      </c>
      <c r="U2328" s="47">
        <v>17</v>
      </c>
      <c r="V2328" s="27">
        <v>9</v>
      </c>
      <c r="W2328" s="34">
        <v>7</v>
      </c>
      <c r="X2328" s="35">
        <f t="shared" ref="X2328:X2334" si="1957">SUM(T2328:W2328)</f>
        <v>48</v>
      </c>
      <c r="Y2328" s="11">
        <f t="shared" si="1948"/>
        <v>188</v>
      </c>
      <c r="Z2328" s="99">
        <v>45957</v>
      </c>
    </row>
    <row r="2329" spans="1:26" x14ac:dyDescent="0.15">
      <c r="A2329" s="15" t="s">
        <v>41</v>
      </c>
      <c r="B2329" s="26"/>
      <c r="C2329" s="47"/>
      <c r="D2329" s="27"/>
      <c r="E2329" s="34"/>
      <c r="F2329" s="35">
        <f t="shared" si="1954"/>
        <v>0</v>
      </c>
      <c r="G2329" s="26">
        <v>1</v>
      </c>
      <c r="H2329" s="47"/>
      <c r="I2329" s="27"/>
      <c r="J2329" s="34"/>
      <c r="K2329" s="35">
        <f t="shared" si="1955"/>
        <v>1</v>
      </c>
      <c r="L2329" s="11">
        <f t="shared" si="1945"/>
        <v>1</v>
      </c>
      <c r="M2329" s="126">
        <v>45959</v>
      </c>
      <c r="N2329" s="12" t="s">
        <v>1914</v>
      </c>
      <c r="O2329" s="26"/>
      <c r="P2329" s="47"/>
      <c r="Q2329" s="27">
        <v>5</v>
      </c>
      <c r="R2329" s="34">
        <v>5</v>
      </c>
      <c r="S2329" s="35">
        <f t="shared" si="1956"/>
        <v>10</v>
      </c>
      <c r="T2329" s="26"/>
      <c r="U2329" s="47">
        <v>5</v>
      </c>
      <c r="V2329" s="27">
        <v>6</v>
      </c>
      <c r="W2329" s="34">
        <v>5</v>
      </c>
      <c r="X2329" s="35">
        <f t="shared" si="1957"/>
        <v>16</v>
      </c>
      <c r="Y2329" s="11">
        <f t="shared" si="1948"/>
        <v>26</v>
      </c>
      <c r="Z2329" s="99">
        <v>45967</v>
      </c>
    </row>
    <row r="2330" spans="1:26" x14ac:dyDescent="0.15">
      <c r="A2330" s="15" t="s">
        <v>1920</v>
      </c>
      <c r="B2330" s="26"/>
      <c r="C2330" s="47">
        <v>1</v>
      </c>
      <c r="D2330" s="27">
        <v>-2</v>
      </c>
      <c r="E2330" s="34"/>
      <c r="F2330" s="35">
        <f t="shared" si="1954"/>
        <v>-1</v>
      </c>
      <c r="G2330" s="26"/>
      <c r="H2330" s="47">
        <v>1</v>
      </c>
      <c r="I2330" s="27"/>
      <c r="J2330" s="34"/>
      <c r="K2330" s="35">
        <f t="shared" si="1955"/>
        <v>1</v>
      </c>
      <c r="L2330" s="11">
        <f t="shared" si="1945"/>
        <v>0</v>
      </c>
      <c r="M2330" s="126">
        <v>45957</v>
      </c>
      <c r="N2330" s="173" t="s">
        <v>1915</v>
      </c>
      <c r="O2330" s="26">
        <v>30</v>
      </c>
      <c r="P2330" s="47">
        <v>82</v>
      </c>
      <c r="Q2330" s="27">
        <v>35</v>
      </c>
      <c r="R2330" s="34">
        <v>20</v>
      </c>
      <c r="S2330" s="35">
        <f t="shared" si="1956"/>
        <v>167</v>
      </c>
      <c r="T2330" s="26"/>
      <c r="U2330" s="47">
        <v>29</v>
      </c>
      <c r="V2330" s="27">
        <v>6</v>
      </c>
      <c r="W2330" s="34">
        <v>11</v>
      </c>
      <c r="X2330" s="35">
        <f t="shared" si="1957"/>
        <v>46</v>
      </c>
      <c r="Y2330" s="11">
        <f t="shared" si="1948"/>
        <v>213</v>
      </c>
      <c r="Z2330" s="99">
        <v>45961</v>
      </c>
    </row>
    <row r="2331" spans="1:26" x14ac:dyDescent="0.15">
      <c r="A2331" s="15" t="s">
        <v>1921</v>
      </c>
      <c r="B2331" s="26">
        <v>7</v>
      </c>
      <c r="C2331" s="47">
        <v>20</v>
      </c>
      <c r="D2331" s="27">
        <v>6</v>
      </c>
      <c r="E2331" s="34">
        <v>2</v>
      </c>
      <c r="F2331" s="35">
        <f t="shared" si="1954"/>
        <v>35</v>
      </c>
      <c r="G2331" s="26">
        <v>4</v>
      </c>
      <c r="H2331" s="47">
        <v>4</v>
      </c>
      <c r="I2331" s="27">
        <v>1</v>
      </c>
      <c r="J2331" s="34">
        <v>2</v>
      </c>
      <c r="K2331" s="35">
        <f t="shared" si="1955"/>
        <v>11</v>
      </c>
      <c r="L2331" s="11">
        <f t="shared" si="1945"/>
        <v>46</v>
      </c>
      <c r="M2331" s="99">
        <v>45962</v>
      </c>
      <c r="N2331" s="12" t="s">
        <v>1923</v>
      </c>
      <c r="O2331" s="26"/>
      <c r="P2331" s="47">
        <v>1</v>
      </c>
      <c r="Q2331" s="27">
        <v>2</v>
      </c>
      <c r="R2331" s="34"/>
      <c r="S2331" s="35">
        <f t="shared" si="1956"/>
        <v>3</v>
      </c>
      <c r="T2331" s="26"/>
      <c r="U2331" s="47">
        <v>1</v>
      </c>
      <c r="V2331" s="27">
        <v>2</v>
      </c>
      <c r="W2331" s="34"/>
      <c r="X2331" s="35">
        <f t="shared" si="1957"/>
        <v>3</v>
      </c>
      <c r="Y2331" s="11">
        <f t="shared" si="1948"/>
        <v>6</v>
      </c>
      <c r="Z2331" s="99">
        <v>45971</v>
      </c>
    </row>
    <row r="2332" spans="1:26" x14ac:dyDescent="0.15">
      <c r="A2332" s="173" t="s">
        <v>1922</v>
      </c>
      <c r="B2332" s="26"/>
      <c r="C2332" s="47"/>
      <c r="D2332" s="27"/>
      <c r="E2332" s="34"/>
      <c r="F2332" s="35">
        <f t="shared" si="1954"/>
        <v>0</v>
      </c>
      <c r="G2332" s="26"/>
      <c r="H2332" s="47"/>
      <c r="I2332" s="27">
        <v>1</v>
      </c>
      <c r="J2332" s="34"/>
      <c r="K2332" s="35">
        <f t="shared" si="1955"/>
        <v>1</v>
      </c>
      <c r="L2332" s="11">
        <f t="shared" si="1945"/>
        <v>1</v>
      </c>
      <c r="M2332" s="99">
        <v>45967</v>
      </c>
      <c r="N2332" s="12" t="s">
        <v>1924</v>
      </c>
      <c r="O2332" s="26">
        <v>6</v>
      </c>
      <c r="P2332" s="47">
        <v>6</v>
      </c>
      <c r="Q2332" s="27">
        <v>2</v>
      </c>
      <c r="R2332" s="34">
        <v>2</v>
      </c>
      <c r="S2332" s="35">
        <f t="shared" si="1956"/>
        <v>16</v>
      </c>
      <c r="T2332" s="26"/>
      <c r="U2332" s="47"/>
      <c r="V2332" s="27"/>
      <c r="W2332" s="34"/>
      <c r="X2332" s="35">
        <f t="shared" si="1957"/>
        <v>0</v>
      </c>
      <c r="Y2332" s="11">
        <f t="shared" si="1948"/>
        <v>16</v>
      </c>
      <c r="Z2332" s="99">
        <v>45971</v>
      </c>
    </row>
    <row r="2333" spans="1:26" x14ac:dyDescent="0.15">
      <c r="A2333" s="15" t="s">
        <v>41</v>
      </c>
      <c r="B2333" s="26"/>
      <c r="C2333" s="47"/>
      <c r="D2333" s="27"/>
      <c r="E2333" s="34"/>
      <c r="F2333" s="35">
        <f t="shared" si="1954"/>
        <v>0</v>
      </c>
      <c r="G2333" s="26"/>
      <c r="H2333" s="47">
        <v>1</v>
      </c>
      <c r="I2333" s="27"/>
      <c r="J2333" s="34"/>
      <c r="K2333" s="35">
        <f t="shared" si="1955"/>
        <v>1</v>
      </c>
      <c r="L2333" s="11">
        <f t="shared" si="1945"/>
        <v>1</v>
      </c>
      <c r="M2333" s="126">
        <v>45965</v>
      </c>
      <c r="N2333" s="173" t="s">
        <v>1925</v>
      </c>
      <c r="O2333" s="26">
        <v>12</v>
      </c>
      <c r="P2333" s="47"/>
      <c r="Q2333" s="27"/>
      <c r="R2333" s="34"/>
      <c r="S2333" s="35">
        <f t="shared" si="1956"/>
        <v>12</v>
      </c>
      <c r="T2333" s="26">
        <v>7</v>
      </c>
      <c r="U2333" s="47"/>
      <c r="V2333" s="27">
        <v>6</v>
      </c>
      <c r="W2333" s="34"/>
      <c r="X2333" s="35">
        <f t="shared" si="1957"/>
        <v>13</v>
      </c>
      <c r="Y2333" s="11">
        <f t="shared" si="1948"/>
        <v>25</v>
      </c>
      <c r="Z2333" s="99">
        <v>45968</v>
      </c>
    </row>
    <row r="2334" spans="1:26" x14ac:dyDescent="0.15">
      <c r="A2334" s="15" t="s">
        <v>41</v>
      </c>
      <c r="B2334" s="26"/>
      <c r="C2334" s="47"/>
      <c r="D2334" s="27"/>
      <c r="E2334" s="34"/>
      <c r="F2334" s="35">
        <f t="shared" si="1954"/>
        <v>0</v>
      </c>
      <c r="G2334" s="26"/>
      <c r="H2334" s="47">
        <v>2</v>
      </c>
      <c r="I2334" s="27"/>
      <c r="J2334" s="34"/>
      <c r="K2334" s="35">
        <f t="shared" si="1955"/>
        <v>2</v>
      </c>
      <c r="L2334" s="11">
        <f t="shared" si="1945"/>
        <v>2</v>
      </c>
      <c r="M2334" s="126">
        <v>45966</v>
      </c>
      <c r="N2334" s="173" t="s">
        <v>1926</v>
      </c>
      <c r="O2334" s="26">
        <v>18</v>
      </c>
      <c r="P2334" s="47"/>
      <c r="Q2334" s="27"/>
      <c r="R2334" s="34"/>
      <c r="S2334" s="35">
        <f t="shared" si="1956"/>
        <v>18</v>
      </c>
      <c r="T2334" s="26">
        <v>3</v>
      </c>
      <c r="U2334" s="47">
        <v>6</v>
      </c>
      <c r="V2334" s="27"/>
      <c r="W2334" s="34"/>
      <c r="X2334" s="35">
        <f t="shared" si="1957"/>
        <v>9</v>
      </c>
      <c r="Y2334" s="11">
        <f t="shared" si="1948"/>
        <v>27</v>
      </c>
      <c r="Z2334" s="99">
        <v>45968</v>
      </c>
    </row>
    <row r="2335" spans="1:26" x14ac:dyDescent="0.15">
      <c r="A2335" s="15" t="s">
        <v>1072</v>
      </c>
      <c r="B2335" s="26">
        <v>2</v>
      </c>
      <c r="C2335" s="47">
        <v>-2</v>
      </c>
      <c r="D2335" s="27"/>
      <c r="E2335" s="34"/>
      <c r="F2335" s="35">
        <f t="shared" si="1954"/>
        <v>0</v>
      </c>
      <c r="G2335" s="26"/>
      <c r="H2335" s="47"/>
      <c r="I2335" s="27"/>
      <c r="J2335" s="34"/>
      <c r="K2335" s="35">
        <f t="shared" si="1955"/>
        <v>0</v>
      </c>
      <c r="L2335" s="11">
        <f t="shared" si="1945"/>
        <v>0</v>
      </c>
      <c r="M2335" s="126">
        <v>45966</v>
      </c>
      <c r="N2335" s="12" t="s">
        <v>1928</v>
      </c>
      <c r="O2335" s="26"/>
      <c r="P2335" s="47">
        <v>5</v>
      </c>
      <c r="Q2335" s="27"/>
      <c r="R2335" s="50"/>
      <c r="S2335" s="9">
        <f>SUM(O2335:R2335)</f>
        <v>5</v>
      </c>
      <c r="T2335" s="47">
        <v>5</v>
      </c>
      <c r="U2335" s="47">
        <v>5</v>
      </c>
      <c r="V2335" s="27">
        <v>5</v>
      </c>
      <c r="W2335" s="50">
        <v>5</v>
      </c>
      <c r="X2335" s="9">
        <f>SUM(T2335:W2335)</f>
        <v>20</v>
      </c>
      <c r="Y2335" s="11">
        <f t="shared" si="1948"/>
        <v>25</v>
      </c>
      <c r="Z2335" s="99">
        <v>45975</v>
      </c>
    </row>
    <row r="2336" spans="1:26" x14ac:dyDescent="0.15">
      <c r="A2336" s="15" t="s">
        <v>1927</v>
      </c>
      <c r="B2336" s="26"/>
      <c r="C2336" s="47"/>
      <c r="D2336" s="27">
        <v>1</v>
      </c>
      <c r="E2336" s="34"/>
      <c r="F2336" s="35">
        <f t="shared" si="1954"/>
        <v>1</v>
      </c>
      <c r="G2336" s="26"/>
      <c r="H2336" s="47"/>
      <c r="I2336" s="27"/>
      <c r="J2336" s="34"/>
      <c r="K2336" s="35">
        <f t="shared" si="1955"/>
        <v>0</v>
      </c>
      <c r="L2336" s="11">
        <f t="shared" si="1945"/>
        <v>1</v>
      </c>
      <c r="M2336" s="99">
        <v>45968</v>
      </c>
      <c r="N2336" s="12" t="s">
        <v>350</v>
      </c>
      <c r="O2336" s="26">
        <v>3</v>
      </c>
      <c r="P2336" s="47"/>
      <c r="Q2336" s="27"/>
      <c r="R2336" s="34"/>
      <c r="S2336" s="35">
        <f t="shared" ref="S2336:S2353" si="1958">SUM(O2336:R2336)</f>
        <v>3</v>
      </c>
      <c r="T2336" s="26"/>
      <c r="U2336" s="47">
        <v>3</v>
      </c>
      <c r="V2336" s="27"/>
      <c r="W2336" s="34"/>
      <c r="X2336" s="35">
        <f t="shared" ref="X2336:X2353" si="1959">SUM(T2336:W2336)</f>
        <v>3</v>
      </c>
      <c r="Y2336" s="11">
        <f t="shared" si="1948"/>
        <v>6</v>
      </c>
      <c r="Z2336" s="99">
        <v>45971</v>
      </c>
    </row>
    <row r="2337" spans="1:27" x14ac:dyDescent="0.15">
      <c r="A2337" s="15" t="s">
        <v>41</v>
      </c>
      <c r="B2337" s="26">
        <v>1</v>
      </c>
      <c r="C2337" s="47"/>
      <c r="D2337" s="27"/>
      <c r="E2337" s="34"/>
      <c r="F2337" s="35">
        <f t="shared" si="1954"/>
        <v>1</v>
      </c>
      <c r="G2337" s="26"/>
      <c r="H2337" s="47"/>
      <c r="I2337" s="27"/>
      <c r="J2337" s="34"/>
      <c r="K2337" s="35">
        <f t="shared" si="1955"/>
        <v>0</v>
      </c>
      <c r="L2337" s="11">
        <f t="shared" si="1945"/>
        <v>1</v>
      </c>
      <c r="M2337" s="126">
        <v>45967</v>
      </c>
      <c r="N2337" s="173" t="s">
        <v>1929</v>
      </c>
      <c r="O2337" s="26">
        <v>17</v>
      </c>
      <c r="P2337" s="47">
        <v>13</v>
      </c>
      <c r="Q2337" s="27"/>
      <c r="R2337" s="34">
        <v>2</v>
      </c>
      <c r="S2337" s="35">
        <f t="shared" si="1958"/>
        <v>32</v>
      </c>
      <c r="T2337" s="26">
        <v>9</v>
      </c>
      <c r="U2337" s="47">
        <v>7</v>
      </c>
      <c r="V2337" s="27">
        <v>7</v>
      </c>
      <c r="W2337" s="34"/>
      <c r="X2337" s="35">
        <f t="shared" si="1959"/>
        <v>23</v>
      </c>
      <c r="Y2337" s="11">
        <f t="shared" si="1948"/>
        <v>55</v>
      </c>
      <c r="Z2337" s="99">
        <v>45973</v>
      </c>
    </row>
    <row r="2338" spans="1:27" x14ac:dyDescent="0.15">
      <c r="A2338" s="15" t="s">
        <v>41</v>
      </c>
      <c r="B2338" s="26"/>
      <c r="C2338" s="47">
        <v>1</v>
      </c>
      <c r="D2338" s="27">
        <v>1</v>
      </c>
      <c r="E2338" s="34"/>
      <c r="F2338" s="35">
        <f t="shared" si="1954"/>
        <v>2</v>
      </c>
      <c r="G2338" s="26"/>
      <c r="H2338" s="47"/>
      <c r="I2338" s="27"/>
      <c r="J2338" s="34"/>
      <c r="K2338" s="35">
        <f t="shared" si="1955"/>
        <v>0</v>
      </c>
      <c r="L2338" s="11">
        <f t="shared" si="1945"/>
        <v>2</v>
      </c>
      <c r="M2338" s="126">
        <v>45971</v>
      </c>
      <c r="N2338" s="173" t="s">
        <v>1930</v>
      </c>
      <c r="O2338" s="26">
        <v>14</v>
      </c>
      <c r="P2338" s="47">
        <v>5</v>
      </c>
      <c r="Q2338" s="27">
        <v>1</v>
      </c>
      <c r="R2338" s="34"/>
      <c r="S2338" s="35">
        <f t="shared" si="1958"/>
        <v>20</v>
      </c>
      <c r="T2338" s="26"/>
      <c r="U2338" s="47">
        <v>4</v>
      </c>
      <c r="V2338" s="27"/>
      <c r="W2338" s="34"/>
      <c r="X2338" s="35">
        <f t="shared" si="1959"/>
        <v>4</v>
      </c>
      <c r="Y2338" s="11">
        <f t="shared" si="1948"/>
        <v>24</v>
      </c>
      <c r="Z2338" s="99">
        <v>45974</v>
      </c>
    </row>
    <row r="2339" spans="1:27" x14ac:dyDescent="0.15">
      <c r="A2339" s="15" t="s">
        <v>1626</v>
      </c>
      <c r="B2339" s="26"/>
      <c r="C2339" s="47">
        <v>1</v>
      </c>
      <c r="D2339" s="27"/>
      <c r="E2339" s="34"/>
      <c r="F2339" s="35">
        <f t="shared" si="1954"/>
        <v>1</v>
      </c>
      <c r="G2339" s="26"/>
      <c r="H2339" s="47">
        <v>2</v>
      </c>
      <c r="I2339" s="27"/>
      <c r="J2339" s="34"/>
      <c r="K2339" s="35">
        <f t="shared" si="1955"/>
        <v>2</v>
      </c>
      <c r="L2339" s="11">
        <f t="shared" si="1945"/>
        <v>3</v>
      </c>
      <c r="M2339" s="99">
        <v>45972</v>
      </c>
      <c r="N2339" s="173" t="s">
        <v>1932</v>
      </c>
      <c r="O2339" s="26">
        <v>8</v>
      </c>
      <c r="P2339" s="47">
        <v>8</v>
      </c>
      <c r="Q2339" s="27">
        <v>7</v>
      </c>
      <c r="R2339" s="34">
        <v>3</v>
      </c>
      <c r="S2339" s="35">
        <f t="shared" si="1958"/>
        <v>26</v>
      </c>
      <c r="T2339" s="26">
        <v>5</v>
      </c>
      <c r="U2339" s="47">
        <v>2</v>
      </c>
      <c r="V2339" s="27">
        <v>1</v>
      </c>
      <c r="W2339" s="34"/>
      <c r="X2339" s="35">
        <f t="shared" si="1959"/>
        <v>8</v>
      </c>
      <c r="Y2339" s="11">
        <f t="shared" si="1948"/>
        <v>34</v>
      </c>
      <c r="Z2339" s="99">
        <v>45975</v>
      </c>
      <c r="AA2339" s="58"/>
    </row>
    <row r="2340" spans="1:27" x14ac:dyDescent="0.15">
      <c r="A2340" s="15" t="s">
        <v>41</v>
      </c>
      <c r="B2340" s="26"/>
      <c r="C2340" s="47"/>
      <c r="D2340" s="27">
        <v>1</v>
      </c>
      <c r="E2340" s="34"/>
      <c r="F2340" s="35">
        <f t="shared" si="1954"/>
        <v>1</v>
      </c>
      <c r="G2340" s="26"/>
      <c r="H2340" s="47"/>
      <c r="I2340" s="27"/>
      <c r="J2340" s="34"/>
      <c r="K2340" s="35">
        <f t="shared" si="1955"/>
        <v>0</v>
      </c>
      <c r="L2340" s="11">
        <f t="shared" si="1945"/>
        <v>1</v>
      </c>
      <c r="M2340" s="126">
        <v>45971</v>
      </c>
      <c r="N2340" s="173" t="s">
        <v>1935</v>
      </c>
      <c r="O2340" s="26">
        <v>4</v>
      </c>
      <c r="P2340" s="47">
        <v>5</v>
      </c>
      <c r="Q2340" s="27">
        <v>4</v>
      </c>
      <c r="R2340" s="34">
        <v>1</v>
      </c>
      <c r="S2340" s="35">
        <f t="shared" si="1958"/>
        <v>14</v>
      </c>
      <c r="T2340" s="26">
        <v>4</v>
      </c>
      <c r="U2340" s="47">
        <v>2</v>
      </c>
      <c r="V2340" s="27">
        <v>2</v>
      </c>
      <c r="W2340" s="34">
        <v>1</v>
      </c>
      <c r="X2340" s="35">
        <f t="shared" si="1959"/>
        <v>9</v>
      </c>
      <c r="Y2340" s="11">
        <f t="shared" si="1948"/>
        <v>23</v>
      </c>
      <c r="Z2340" s="99">
        <v>45980</v>
      </c>
    </row>
    <row r="2341" spans="1:27" x14ac:dyDescent="0.15">
      <c r="A2341" s="13" t="s">
        <v>60</v>
      </c>
      <c r="B2341" s="26">
        <v>-5</v>
      </c>
      <c r="C2341" s="47">
        <v>-7</v>
      </c>
      <c r="D2341" s="27">
        <v>-3</v>
      </c>
      <c r="E2341" s="34">
        <v>-3</v>
      </c>
      <c r="F2341" s="35">
        <f t="shared" si="1954"/>
        <v>-18</v>
      </c>
      <c r="G2341" s="26">
        <v>-3</v>
      </c>
      <c r="H2341" s="47">
        <v>-3</v>
      </c>
      <c r="I2341" s="27">
        <v>-1</v>
      </c>
      <c r="J2341" s="34">
        <v>-2</v>
      </c>
      <c r="K2341" s="35">
        <f t="shared" si="1955"/>
        <v>-9</v>
      </c>
      <c r="L2341" s="11">
        <f t="shared" si="1945"/>
        <v>-27</v>
      </c>
      <c r="M2341" s="126">
        <v>45973</v>
      </c>
      <c r="N2341" s="173" t="s">
        <v>1936</v>
      </c>
      <c r="O2341" s="26">
        <v>2</v>
      </c>
      <c r="P2341" s="47">
        <v>7</v>
      </c>
      <c r="Q2341" s="27">
        <v>8</v>
      </c>
      <c r="R2341" s="34">
        <v>3</v>
      </c>
      <c r="S2341" s="35">
        <f t="shared" si="1958"/>
        <v>20</v>
      </c>
      <c r="T2341" s="26"/>
      <c r="U2341" s="47"/>
      <c r="V2341" s="27">
        <v>3</v>
      </c>
      <c r="W2341" s="34">
        <v>1</v>
      </c>
      <c r="X2341" s="35">
        <f t="shared" si="1959"/>
        <v>4</v>
      </c>
      <c r="Y2341" s="11">
        <f t="shared" si="1948"/>
        <v>24</v>
      </c>
      <c r="Z2341" s="99">
        <v>45981</v>
      </c>
    </row>
    <row r="2342" spans="1:27" x14ac:dyDescent="0.15">
      <c r="A2342" s="173" t="s">
        <v>1933</v>
      </c>
      <c r="B2342" s="26">
        <v>2</v>
      </c>
      <c r="C2342" s="47">
        <v>2</v>
      </c>
      <c r="D2342" s="27">
        <v>2</v>
      </c>
      <c r="E2342" s="34">
        <v>1</v>
      </c>
      <c r="F2342" s="35">
        <f t="shared" si="1954"/>
        <v>7</v>
      </c>
      <c r="G2342" s="26">
        <v>1</v>
      </c>
      <c r="H2342" s="47">
        <v>1</v>
      </c>
      <c r="I2342" s="27"/>
      <c r="J2342" s="34"/>
      <c r="K2342" s="35">
        <f t="shared" si="1955"/>
        <v>2</v>
      </c>
      <c r="L2342" s="11">
        <f t="shared" si="1945"/>
        <v>9</v>
      </c>
      <c r="M2342" s="99">
        <v>45975</v>
      </c>
      <c r="N2342" s="173" t="s">
        <v>1937</v>
      </c>
      <c r="O2342" s="26">
        <v>11</v>
      </c>
      <c r="P2342" s="47">
        <v>8</v>
      </c>
      <c r="Q2342" s="27">
        <v>1</v>
      </c>
      <c r="R2342" s="34">
        <v>4</v>
      </c>
      <c r="S2342" s="35">
        <f t="shared" si="1958"/>
        <v>24</v>
      </c>
      <c r="T2342" s="26"/>
      <c r="U2342" s="47">
        <v>6</v>
      </c>
      <c r="V2342" s="27"/>
      <c r="W2342" s="34"/>
      <c r="X2342" s="35">
        <f t="shared" si="1959"/>
        <v>6</v>
      </c>
      <c r="Y2342" s="11">
        <f t="shared" si="1948"/>
        <v>30</v>
      </c>
      <c r="Z2342" s="99">
        <v>45982</v>
      </c>
      <c r="AA2342" s="58"/>
    </row>
    <row r="2343" spans="1:27" x14ac:dyDescent="0.15">
      <c r="A2343" s="173" t="s">
        <v>1934</v>
      </c>
      <c r="B2343" s="26">
        <v>5</v>
      </c>
      <c r="C2343" s="47">
        <v>5</v>
      </c>
      <c r="D2343" s="27">
        <v>1</v>
      </c>
      <c r="E2343" s="34">
        <v>4</v>
      </c>
      <c r="F2343" s="35">
        <f t="shared" si="1954"/>
        <v>15</v>
      </c>
      <c r="G2343" s="26">
        <v>2</v>
      </c>
      <c r="H2343" s="47"/>
      <c r="I2343" s="27"/>
      <c r="J2343" s="34"/>
      <c r="K2343" s="35">
        <f t="shared" si="1955"/>
        <v>2</v>
      </c>
      <c r="L2343" s="11">
        <f t="shared" si="1945"/>
        <v>17</v>
      </c>
      <c r="M2343" s="99">
        <v>45978</v>
      </c>
      <c r="N2343" s="173" t="s">
        <v>1938</v>
      </c>
      <c r="O2343" s="26">
        <v>3</v>
      </c>
      <c r="P2343" s="47">
        <v>11</v>
      </c>
      <c r="Q2343" s="27">
        <v>1</v>
      </c>
      <c r="R2343" s="34">
        <v>2</v>
      </c>
      <c r="S2343" s="35">
        <f t="shared" si="1958"/>
        <v>17</v>
      </c>
      <c r="T2343" s="26"/>
      <c r="U2343" s="47">
        <v>2</v>
      </c>
      <c r="V2343" s="27"/>
      <c r="W2343" s="34"/>
      <c r="X2343" s="35">
        <f t="shared" si="1959"/>
        <v>2</v>
      </c>
      <c r="Y2343" s="11">
        <f t="shared" si="1948"/>
        <v>19</v>
      </c>
      <c r="Z2343" s="99">
        <v>45982</v>
      </c>
    </row>
    <row r="2344" spans="1:27" x14ac:dyDescent="0.15">
      <c r="A2344" s="15" t="s">
        <v>41</v>
      </c>
      <c r="B2344" s="26"/>
      <c r="C2344" s="47"/>
      <c r="D2344" s="27"/>
      <c r="E2344" s="34"/>
      <c r="F2344" s="35">
        <f t="shared" si="1954"/>
        <v>0</v>
      </c>
      <c r="G2344" s="26"/>
      <c r="H2344" s="47"/>
      <c r="I2344" s="27"/>
      <c r="J2344" s="34">
        <v>1</v>
      </c>
      <c r="K2344" s="35">
        <f t="shared" si="1955"/>
        <v>1</v>
      </c>
      <c r="L2344" s="11">
        <f t="shared" si="1945"/>
        <v>1</v>
      </c>
      <c r="M2344" s="126">
        <v>45978</v>
      </c>
      <c r="N2344" s="173" t="s">
        <v>1940</v>
      </c>
      <c r="O2344" s="26">
        <v>3</v>
      </c>
      <c r="P2344" s="47">
        <v>6</v>
      </c>
      <c r="Q2344" s="27">
        <v>5</v>
      </c>
      <c r="R2344" s="34">
        <v>4</v>
      </c>
      <c r="S2344" s="35">
        <f t="shared" si="1958"/>
        <v>18</v>
      </c>
      <c r="T2344" s="26"/>
      <c r="U2344" s="47">
        <v>5</v>
      </c>
      <c r="V2344" s="27">
        <v>2</v>
      </c>
      <c r="W2344" s="34"/>
      <c r="X2344" s="35">
        <f t="shared" si="1959"/>
        <v>7</v>
      </c>
      <c r="Y2344" s="11">
        <f t="shared" si="1948"/>
        <v>25</v>
      </c>
      <c r="Z2344" s="99">
        <v>45988</v>
      </c>
    </row>
    <row r="2345" spans="1:27" x14ac:dyDescent="0.15">
      <c r="A2345" s="173" t="s">
        <v>1939</v>
      </c>
      <c r="B2345" s="26"/>
      <c r="C2345" s="47">
        <v>4</v>
      </c>
      <c r="D2345" s="27">
        <v>1</v>
      </c>
      <c r="E2345" s="34"/>
      <c r="F2345" s="35">
        <f t="shared" si="1954"/>
        <v>5</v>
      </c>
      <c r="G2345" s="26">
        <v>2</v>
      </c>
      <c r="H2345" s="47">
        <v>1</v>
      </c>
      <c r="I2345" s="27"/>
      <c r="J2345" s="34">
        <v>1</v>
      </c>
      <c r="K2345" s="35">
        <f t="shared" si="1955"/>
        <v>4</v>
      </c>
      <c r="L2345" s="11">
        <f t="shared" si="1945"/>
        <v>9</v>
      </c>
      <c r="M2345" s="99">
        <v>45986</v>
      </c>
      <c r="N2345" s="57" t="s">
        <v>1941</v>
      </c>
      <c r="O2345" s="26">
        <v>3</v>
      </c>
      <c r="P2345" s="47">
        <v>3</v>
      </c>
      <c r="Q2345" s="27"/>
      <c r="R2345" s="34"/>
      <c r="S2345" s="35">
        <f t="shared" si="1958"/>
        <v>6</v>
      </c>
      <c r="T2345" s="26"/>
      <c r="U2345" s="47"/>
      <c r="V2345" s="27"/>
      <c r="W2345" s="34"/>
      <c r="X2345" s="35">
        <f t="shared" si="1959"/>
        <v>0</v>
      </c>
      <c r="Y2345" s="11">
        <f t="shared" si="1948"/>
        <v>6</v>
      </c>
      <c r="Z2345" s="99">
        <v>45987</v>
      </c>
    </row>
    <row r="2346" spans="1:27" x14ac:dyDescent="0.15">
      <c r="A2346" s="13" t="s">
        <v>1626</v>
      </c>
      <c r="B2346" s="26"/>
      <c r="C2346" s="47"/>
      <c r="D2346" s="27"/>
      <c r="E2346" s="34">
        <v>1</v>
      </c>
      <c r="F2346" s="35">
        <f t="shared" si="1954"/>
        <v>1</v>
      </c>
      <c r="G2346" s="26"/>
      <c r="H2346" s="47"/>
      <c r="I2346" s="27"/>
      <c r="J2346" s="34"/>
      <c r="K2346" s="35">
        <f t="shared" si="1955"/>
        <v>0</v>
      </c>
      <c r="L2346" s="11">
        <f t="shared" si="1945"/>
        <v>1</v>
      </c>
      <c r="M2346" s="99">
        <v>45982</v>
      </c>
      <c r="N2346" s="173" t="s">
        <v>1945</v>
      </c>
      <c r="O2346" s="26">
        <v>6</v>
      </c>
      <c r="P2346" s="47">
        <v>10</v>
      </c>
      <c r="Q2346" s="27">
        <v>3</v>
      </c>
      <c r="R2346" s="34">
        <v>2</v>
      </c>
      <c r="S2346" s="35">
        <f t="shared" si="1958"/>
        <v>21</v>
      </c>
      <c r="T2346" s="26">
        <v>1</v>
      </c>
      <c r="U2346" s="47">
        <v>3</v>
      </c>
      <c r="V2346" s="27">
        <v>1</v>
      </c>
      <c r="W2346" s="34"/>
      <c r="X2346" s="35">
        <f t="shared" si="1959"/>
        <v>5</v>
      </c>
      <c r="Y2346" s="11">
        <f t="shared" si="1948"/>
        <v>26</v>
      </c>
      <c r="Z2346" s="99">
        <v>45989</v>
      </c>
    </row>
    <row r="2347" spans="1:27" x14ac:dyDescent="0.15">
      <c r="A2347" s="32" t="s">
        <v>41</v>
      </c>
      <c r="B2347" s="26">
        <v>2</v>
      </c>
      <c r="C2347" s="47"/>
      <c r="D2347" s="27"/>
      <c r="E2347" s="34"/>
      <c r="F2347" s="35">
        <f t="shared" si="1954"/>
        <v>2</v>
      </c>
      <c r="G2347" s="26">
        <v>1</v>
      </c>
      <c r="H2347" s="47"/>
      <c r="I2347" s="27">
        <v>1</v>
      </c>
      <c r="J2347" s="34">
        <v>1</v>
      </c>
      <c r="K2347" s="35">
        <f t="shared" si="1955"/>
        <v>3</v>
      </c>
      <c r="L2347" s="11">
        <f t="shared" si="1945"/>
        <v>5</v>
      </c>
      <c r="M2347" s="126">
        <v>45986</v>
      </c>
      <c r="N2347" s="173" t="s">
        <v>1946</v>
      </c>
      <c r="O2347" s="26">
        <v>2</v>
      </c>
      <c r="P2347" s="47">
        <v>4</v>
      </c>
      <c r="Q2347" s="27">
        <v>2</v>
      </c>
      <c r="R2347" s="34"/>
      <c r="S2347" s="35">
        <f t="shared" si="1958"/>
        <v>8</v>
      </c>
      <c r="T2347" s="26"/>
      <c r="U2347" s="47">
        <v>2</v>
      </c>
      <c r="V2347" s="27"/>
      <c r="W2347" s="34">
        <v>1</v>
      </c>
      <c r="X2347" s="35">
        <f t="shared" si="1959"/>
        <v>3</v>
      </c>
      <c r="Y2347" s="11">
        <f t="shared" si="1948"/>
        <v>11</v>
      </c>
      <c r="Z2347" s="99">
        <v>45989</v>
      </c>
    </row>
    <row r="2348" spans="1:27" x14ac:dyDescent="0.15">
      <c r="A2348" s="32" t="s">
        <v>470</v>
      </c>
      <c r="B2348" s="26">
        <v>-3</v>
      </c>
      <c r="C2348" s="47">
        <v>-3</v>
      </c>
      <c r="D2348" s="27"/>
      <c r="E2348" s="34"/>
      <c r="F2348" s="35">
        <f t="shared" si="1954"/>
        <v>-6</v>
      </c>
      <c r="G2348" s="26"/>
      <c r="H2348" s="47"/>
      <c r="I2348" s="27"/>
      <c r="J2348" s="34"/>
      <c r="K2348" s="35">
        <f t="shared" si="1955"/>
        <v>0</v>
      </c>
      <c r="L2348" s="11">
        <f t="shared" si="1945"/>
        <v>-6</v>
      </c>
      <c r="M2348" s="99">
        <v>45987</v>
      </c>
      <c r="N2348" s="57"/>
      <c r="O2348" s="26"/>
      <c r="P2348" s="47"/>
      <c r="Q2348" s="27"/>
      <c r="R2348" s="34"/>
      <c r="S2348" s="35">
        <f t="shared" si="1958"/>
        <v>0</v>
      </c>
      <c r="T2348" s="26"/>
      <c r="U2348" s="47"/>
      <c r="V2348" s="27"/>
      <c r="W2348" s="34"/>
      <c r="X2348" s="35">
        <f t="shared" si="1959"/>
        <v>0</v>
      </c>
      <c r="Y2348" s="11">
        <f t="shared" si="1948"/>
        <v>0</v>
      </c>
      <c r="Z2348" s="101"/>
    </row>
    <row r="2349" spans="1:27" x14ac:dyDescent="0.15">
      <c r="A2349" s="12" t="s">
        <v>1949</v>
      </c>
      <c r="B2349" s="26">
        <v>-8</v>
      </c>
      <c r="C2349" s="47">
        <v>-12</v>
      </c>
      <c r="D2349" s="27">
        <v>-6</v>
      </c>
      <c r="E2349" s="34">
        <v>-1</v>
      </c>
      <c r="F2349" s="35">
        <f t="shared" si="1954"/>
        <v>-27</v>
      </c>
      <c r="G2349" s="26">
        <v>-1</v>
      </c>
      <c r="H2349" s="47">
        <v>-4</v>
      </c>
      <c r="I2349" s="27"/>
      <c r="J2349" s="34">
        <v>-1</v>
      </c>
      <c r="K2349" s="35">
        <f t="shared" si="1955"/>
        <v>-6</v>
      </c>
      <c r="L2349" s="11">
        <f t="shared" si="1945"/>
        <v>-33</v>
      </c>
      <c r="M2349" s="99">
        <v>45986</v>
      </c>
      <c r="N2349" s="173" t="s">
        <v>1216</v>
      </c>
      <c r="O2349" s="154"/>
      <c r="P2349" s="155"/>
      <c r="Q2349" s="156"/>
      <c r="R2349" s="157"/>
      <c r="S2349" s="158">
        <f t="shared" si="1958"/>
        <v>0</v>
      </c>
      <c r="T2349" s="154"/>
      <c r="U2349" s="155"/>
      <c r="V2349" s="156"/>
      <c r="W2349" s="157"/>
      <c r="X2349" s="158">
        <f t="shared" si="1959"/>
        <v>0</v>
      </c>
      <c r="Y2349" s="179">
        <f t="shared" si="1948"/>
        <v>0</v>
      </c>
      <c r="Z2349" s="160" t="s">
        <v>1891</v>
      </c>
    </row>
    <row r="2350" spans="1:27" x14ac:dyDescent="0.15">
      <c r="A2350" s="173" t="s">
        <v>1951</v>
      </c>
      <c r="B2350" s="26">
        <v>3</v>
      </c>
      <c r="C2350" s="47">
        <v>2</v>
      </c>
      <c r="D2350" s="27"/>
      <c r="E2350" s="34"/>
      <c r="F2350" s="35">
        <f t="shared" si="1954"/>
        <v>5</v>
      </c>
      <c r="G2350" s="26">
        <v>3</v>
      </c>
      <c r="H2350" s="47">
        <v>2</v>
      </c>
      <c r="I2350" s="27"/>
      <c r="J2350" s="34"/>
      <c r="K2350" s="35">
        <f t="shared" si="1955"/>
        <v>5</v>
      </c>
      <c r="L2350" s="11">
        <f t="shared" si="1945"/>
        <v>10</v>
      </c>
      <c r="M2350" s="99">
        <v>45992</v>
      </c>
      <c r="N2350" s="173" t="s">
        <v>1901</v>
      </c>
      <c r="O2350" s="154"/>
      <c r="P2350" s="155"/>
      <c r="Q2350" s="156"/>
      <c r="R2350" s="157"/>
      <c r="S2350" s="158">
        <f t="shared" ref="S2350:S2352" si="1960">SUM(O2350:R2350)</f>
        <v>0</v>
      </c>
      <c r="T2350" s="154"/>
      <c r="U2350" s="155"/>
      <c r="V2350" s="156"/>
      <c r="W2350" s="157"/>
      <c r="X2350" s="158">
        <f t="shared" ref="X2350:X2352" si="1961">SUM(T2350:W2350)</f>
        <v>0</v>
      </c>
      <c r="Y2350" s="179">
        <f t="shared" ref="Y2350:Y2352" si="1962">S2350+X2350</f>
        <v>0</v>
      </c>
      <c r="Z2350" s="160" t="s">
        <v>346</v>
      </c>
    </row>
    <row r="2351" spans="1:27" x14ac:dyDescent="0.15">
      <c r="A2351" s="57" t="s">
        <v>41</v>
      </c>
      <c r="B2351" s="26"/>
      <c r="C2351" s="47"/>
      <c r="D2351" s="27"/>
      <c r="E2351" s="34"/>
      <c r="F2351" s="35">
        <f t="shared" si="1954"/>
        <v>0</v>
      </c>
      <c r="G2351" s="26">
        <v>1</v>
      </c>
      <c r="H2351" s="47"/>
      <c r="I2351" s="27"/>
      <c r="J2351" s="34"/>
      <c r="K2351" s="35">
        <f t="shared" si="1955"/>
        <v>1</v>
      </c>
      <c r="L2351" s="11">
        <f t="shared" si="1945"/>
        <v>1</v>
      </c>
      <c r="M2351" s="126">
        <v>45989</v>
      </c>
      <c r="N2351" s="12" t="s">
        <v>1886</v>
      </c>
      <c r="O2351" s="26"/>
      <c r="P2351" s="47"/>
      <c r="Q2351" s="27"/>
      <c r="R2351" s="34"/>
      <c r="S2351" s="35">
        <f t="shared" ref="S2351" si="1963">SUM(O2351:R2351)</f>
        <v>0</v>
      </c>
      <c r="T2351" s="26"/>
      <c r="U2351" s="47"/>
      <c r="V2351" s="27"/>
      <c r="W2351" s="34"/>
      <c r="X2351" s="35">
        <f t="shared" ref="X2351" si="1964">SUM(T2351:W2351)</f>
        <v>0</v>
      </c>
      <c r="Y2351" s="108">
        <f t="shared" ref="Y2351" si="1965">S2351+X2351</f>
        <v>0</v>
      </c>
      <c r="Z2351" s="101" t="s">
        <v>342</v>
      </c>
    </row>
    <row r="2352" spans="1:27" ht="14.25" thickBot="1" x14ac:dyDescent="0.2">
      <c r="A2352" s="90" t="s">
        <v>1954</v>
      </c>
      <c r="B2352" s="62">
        <v>5</v>
      </c>
      <c r="C2352" s="63">
        <v>10</v>
      </c>
      <c r="D2352" s="64">
        <v>6</v>
      </c>
      <c r="E2352" s="65"/>
      <c r="F2352" s="35">
        <f t="shared" si="1954"/>
        <v>21</v>
      </c>
      <c r="G2352" s="62"/>
      <c r="H2352" s="63"/>
      <c r="I2352" s="64"/>
      <c r="J2352" s="65"/>
      <c r="K2352" s="35">
        <f t="shared" si="1955"/>
        <v>0</v>
      </c>
      <c r="L2352" s="14">
        <f t="shared" si="1945"/>
        <v>21</v>
      </c>
      <c r="M2352" s="126">
        <v>45990</v>
      </c>
      <c r="N2352" s="220" t="s">
        <v>1883</v>
      </c>
      <c r="O2352" s="109"/>
      <c r="P2352" s="110"/>
      <c r="Q2352" s="111"/>
      <c r="R2352" s="112"/>
      <c r="S2352" s="134">
        <f t="shared" si="1960"/>
        <v>0</v>
      </c>
      <c r="T2352" s="109"/>
      <c r="U2352" s="110"/>
      <c r="V2352" s="111"/>
      <c r="W2352" s="112"/>
      <c r="X2352" s="134">
        <f t="shared" si="1961"/>
        <v>0</v>
      </c>
      <c r="Y2352" s="119">
        <f t="shared" si="1962"/>
        <v>0</v>
      </c>
      <c r="Z2352" s="101" t="s">
        <v>873</v>
      </c>
    </row>
    <row r="2353" spans="1:26" ht="14.25" thickBot="1" x14ac:dyDescent="0.2">
      <c r="A2353" s="17" t="s">
        <v>10</v>
      </c>
      <c r="B2353" s="38">
        <f>SUM(B2328:B2352)</f>
        <v>11</v>
      </c>
      <c r="C2353" s="48">
        <f>SUM(C2328:C2352)</f>
        <v>23</v>
      </c>
      <c r="D2353" s="39">
        <f>SUM(D2328:D2352)</f>
        <v>8</v>
      </c>
      <c r="E2353" s="40">
        <f>SUM(E2328:E2352)</f>
        <v>4</v>
      </c>
      <c r="F2353" s="36">
        <f>SUM(B2353:E2353)</f>
        <v>46</v>
      </c>
      <c r="G2353" s="38">
        <f>SUM(G2328:G2352)</f>
        <v>11</v>
      </c>
      <c r="H2353" s="48">
        <f>SUM(H2328:H2352)</f>
        <v>8</v>
      </c>
      <c r="I2353" s="39">
        <f>SUM(I2328:I2352)</f>
        <v>2</v>
      </c>
      <c r="J2353" s="40">
        <f>SUM(J2328:J2352)</f>
        <v>2</v>
      </c>
      <c r="K2353" s="36">
        <f>SUM(G2353:J2353)</f>
        <v>23</v>
      </c>
      <c r="L2353" s="37">
        <f t="shared" si="1945"/>
        <v>69</v>
      </c>
      <c r="N2353" s="133" t="s">
        <v>10</v>
      </c>
      <c r="O2353" s="38">
        <f>SUM(O2328:O2352)</f>
        <v>187</v>
      </c>
      <c r="P2353" s="48">
        <f>SUM(P2328:P2352)</f>
        <v>225</v>
      </c>
      <c r="Q2353" s="39">
        <f>SUM(Q2328:Q2352)</f>
        <v>107</v>
      </c>
      <c r="R2353" s="40">
        <f>SUM(R2328:R2352)</f>
        <v>61</v>
      </c>
      <c r="S2353" s="118">
        <f t="shared" si="1958"/>
        <v>580</v>
      </c>
      <c r="T2353" s="38">
        <f>SUM(T2328:T2352)</f>
        <v>49</v>
      </c>
      <c r="U2353" s="48">
        <f>SUM(U2328:U2352)</f>
        <v>99</v>
      </c>
      <c r="V2353" s="39">
        <f>SUM(V2328:V2352)</f>
        <v>50</v>
      </c>
      <c r="W2353" s="40">
        <f>SUM(W2328:W2352)</f>
        <v>31</v>
      </c>
      <c r="X2353" s="118">
        <f t="shared" si="1959"/>
        <v>229</v>
      </c>
      <c r="Y2353" s="119">
        <f t="shared" si="1948"/>
        <v>809</v>
      </c>
    </row>
    <row r="2354" spans="1:26" ht="14.25" thickBot="1" x14ac:dyDescent="0.2">
      <c r="A2354" s="22" t="s">
        <v>11</v>
      </c>
      <c r="B2354" s="41">
        <f>B2327-B2353</f>
        <v>6</v>
      </c>
      <c r="C2354" s="49">
        <f>C2327-C2353</f>
        <v>5</v>
      </c>
      <c r="D2354" s="42">
        <f t="shared" ref="D2354:K2354" si="1966">D2327-D2353</f>
        <v>5</v>
      </c>
      <c r="E2354" s="43">
        <f t="shared" si="1966"/>
        <v>8</v>
      </c>
      <c r="F2354" s="61">
        <f t="shared" si="1966"/>
        <v>20</v>
      </c>
      <c r="G2354" s="41">
        <f t="shared" si="1966"/>
        <v>1</v>
      </c>
      <c r="H2354" s="49">
        <f t="shared" si="1966"/>
        <v>7</v>
      </c>
      <c r="I2354" s="42">
        <f t="shared" si="1966"/>
        <v>7</v>
      </c>
      <c r="J2354" s="43">
        <f t="shared" si="1966"/>
        <v>10</v>
      </c>
      <c r="K2354" s="61">
        <f t="shared" si="1966"/>
        <v>25</v>
      </c>
      <c r="L2354" s="21">
        <f t="shared" si="1945"/>
        <v>45</v>
      </c>
      <c r="N2354" s="17" t="s">
        <v>11</v>
      </c>
      <c r="O2354" s="41">
        <f>O2327-O2353</f>
        <v>637</v>
      </c>
      <c r="P2354" s="49">
        <f t="shared" ref="P2354:Q2354" si="1967">P2327-P2353</f>
        <v>829</v>
      </c>
      <c r="Q2354" s="42">
        <f t="shared" si="1967"/>
        <v>544</v>
      </c>
      <c r="R2354" s="43">
        <f>R2327-R2353</f>
        <v>384</v>
      </c>
      <c r="S2354" s="61">
        <f t="shared" ref="S2354:X2354" si="1968">S2327-S2353</f>
        <v>2394</v>
      </c>
      <c r="T2354" s="41">
        <f t="shared" si="1968"/>
        <v>734</v>
      </c>
      <c r="U2354" s="49">
        <f t="shared" si="1968"/>
        <v>756</v>
      </c>
      <c r="V2354" s="42">
        <f t="shared" si="1968"/>
        <v>630</v>
      </c>
      <c r="W2354" s="43">
        <f t="shared" si="1968"/>
        <v>419</v>
      </c>
      <c r="X2354" s="61">
        <f t="shared" si="1968"/>
        <v>2539</v>
      </c>
      <c r="Y2354" s="21">
        <f t="shared" si="1948"/>
        <v>4933</v>
      </c>
    </row>
    <row r="2357" spans="1:26" ht="19.5" thickBot="1" x14ac:dyDescent="0.25">
      <c r="A2357" s="2" t="s">
        <v>106</v>
      </c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N2357" s="2" t="s">
        <v>1036</v>
      </c>
      <c r="O2357" s="270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6" ht="14.25" thickBot="1" x14ac:dyDescent="0.2">
      <c r="A2358" s="5" t="s">
        <v>0</v>
      </c>
      <c r="B2358" s="342" t="s">
        <v>18</v>
      </c>
      <c r="C2358" s="350"/>
      <c r="D2358" s="350"/>
      <c r="E2358" s="350"/>
      <c r="F2358" s="351"/>
      <c r="G2358" s="345" t="s">
        <v>12</v>
      </c>
      <c r="H2358" s="352"/>
      <c r="I2358" s="352"/>
      <c r="J2358" s="352"/>
      <c r="K2358" s="353"/>
      <c r="L2358" s="354" t="s">
        <v>1</v>
      </c>
      <c r="N2358" s="5" t="s">
        <v>0</v>
      </c>
      <c r="O2358" s="342" t="s">
        <v>18</v>
      </c>
      <c r="P2358" s="343"/>
      <c r="Q2358" s="343"/>
      <c r="R2358" s="343"/>
      <c r="S2358" s="344"/>
      <c r="T2358" s="345" t="s">
        <v>12</v>
      </c>
      <c r="U2358" s="346"/>
      <c r="V2358" s="346"/>
      <c r="W2358" s="346"/>
      <c r="X2358" s="347"/>
      <c r="Y2358" s="348" t="s">
        <v>1</v>
      </c>
    </row>
    <row r="2359" spans="1:26" ht="14.25" thickBot="1" x14ac:dyDescent="0.2">
      <c r="A2359" s="5" t="s">
        <v>2</v>
      </c>
      <c r="B2359" s="3" t="s">
        <v>13</v>
      </c>
      <c r="C2359" s="44" t="s">
        <v>14</v>
      </c>
      <c r="D2359" s="4" t="s">
        <v>15</v>
      </c>
      <c r="E2359" s="23" t="s">
        <v>16</v>
      </c>
      <c r="F2359" s="31" t="s">
        <v>3</v>
      </c>
      <c r="G2359" s="3" t="s">
        <v>13</v>
      </c>
      <c r="H2359" s="44" t="s">
        <v>14</v>
      </c>
      <c r="I2359" s="4" t="s">
        <v>15</v>
      </c>
      <c r="J2359" s="23" t="s">
        <v>16</v>
      </c>
      <c r="K2359" s="31" t="s">
        <v>3</v>
      </c>
      <c r="L2359" s="355"/>
      <c r="N2359" s="5" t="s">
        <v>2</v>
      </c>
      <c r="O2359" s="3" t="s">
        <v>13</v>
      </c>
      <c r="P2359" s="44" t="s">
        <v>14</v>
      </c>
      <c r="Q2359" s="4" t="s">
        <v>15</v>
      </c>
      <c r="R2359" s="23" t="s">
        <v>16</v>
      </c>
      <c r="S2359" s="31" t="s">
        <v>3</v>
      </c>
      <c r="T2359" s="3" t="s">
        <v>13</v>
      </c>
      <c r="U2359" s="44" t="s">
        <v>14</v>
      </c>
      <c r="V2359" s="4" t="s">
        <v>15</v>
      </c>
      <c r="W2359" s="23" t="s">
        <v>16</v>
      </c>
      <c r="X2359" s="31" t="s">
        <v>3</v>
      </c>
      <c r="Y2359" s="349"/>
    </row>
    <row r="2360" spans="1:26" x14ac:dyDescent="0.15">
      <c r="A2360" s="71" t="s">
        <v>17</v>
      </c>
      <c r="B2360" s="72">
        <f>B2354</f>
        <v>6</v>
      </c>
      <c r="C2360" s="73">
        <f t="shared" ref="C2360:L2360" si="1969">C2354</f>
        <v>5</v>
      </c>
      <c r="D2360" s="73">
        <f t="shared" si="1969"/>
        <v>5</v>
      </c>
      <c r="E2360" s="74">
        <f t="shared" si="1969"/>
        <v>8</v>
      </c>
      <c r="F2360" s="76">
        <f t="shared" si="1969"/>
        <v>20</v>
      </c>
      <c r="G2360" s="72">
        <f t="shared" si="1969"/>
        <v>1</v>
      </c>
      <c r="H2360" s="73">
        <f t="shared" si="1969"/>
        <v>7</v>
      </c>
      <c r="I2360" s="73">
        <f t="shared" si="1969"/>
        <v>7</v>
      </c>
      <c r="J2360" s="74">
        <f t="shared" si="1969"/>
        <v>10</v>
      </c>
      <c r="K2360" s="75">
        <f t="shared" si="1969"/>
        <v>25</v>
      </c>
      <c r="L2360" s="16">
        <f t="shared" si="1969"/>
        <v>45</v>
      </c>
      <c r="N2360" s="71" t="s">
        <v>17</v>
      </c>
      <c r="O2360" s="72">
        <f>O2354</f>
        <v>637</v>
      </c>
      <c r="P2360" s="73">
        <f t="shared" ref="P2360:Y2360" si="1970">P2354</f>
        <v>829</v>
      </c>
      <c r="Q2360" s="73">
        <f t="shared" si="1970"/>
        <v>544</v>
      </c>
      <c r="R2360" s="74">
        <f t="shared" si="1970"/>
        <v>384</v>
      </c>
      <c r="S2360" s="76">
        <f t="shared" si="1970"/>
        <v>2394</v>
      </c>
      <c r="T2360" s="72">
        <f t="shared" si="1970"/>
        <v>734</v>
      </c>
      <c r="U2360" s="73">
        <f t="shared" si="1970"/>
        <v>756</v>
      </c>
      <c r="V2360" s="73">
        <f t="shared" si="1970"/>
        <v>630</v>
      </c>
      <c r="W2360" s="74">
        <f t="shared" si="1970"/>
        <v>419</v>
      </c>
      <c r="X2360" s="75">
        <f t="shared" si="1970"/>
        <v>2539</v>
      </c>
      <c r="Y2360" s="16">
        <f t="shared" si="1970"/>
        <v>4933</v>
      </c>
    </row>
    <row r="2361" spans="1:26" x14ac:dyDescent="0.15">
      <c r="A2361" s="13" t="s">
        <v>5</v>
      </c>
      <c r="B2361" s="26"/>
      <c r="C2361" s="47"/>
      <c r="D2361" s="27"/>
      <c r="E2361" s="50"/>
      <c r="F2361" s="9">
        <f t="shared" ref="F2361:F2362" si="1971">SUM(B2361:E2361)</f>
        <v>0</v>
      </c>
      <c r="G2361" s="47">
        <v>5</v>
      </c>
      <c r="H2361" s="47"/>
      <c r="I2361" s="27"/>
      <c r="J2361" s="50"/>
      <c r="K2361" s="9">
        <f t="shared" ref="K2361:K2362" si="1972">SUM(G2361:J2361)</f>
        <v>5</v>
      </c>
      <c r="L2361" s="11">
        <f t="shared" ref="L2361:L2392" si="1973">F2361+K2361</f>
        <v>5</v>
      </c>
      <c r="M2361" s="99">
        <v>45990</v>
      </c>
      <c r="N2361" s="13" t="s">
        <v>5</v>
      </c>
      <c r="O2361" s="26"/>
      <c r="P2361" s="47"/>
      <c r="Q2361" s="27"/>
      <c r="R2361" s="34"/>
      <c r="S2361" s="77">
        <f t="shared" ref="S2361:S2364" si="1974">SUM(O2361:R2361)</f>
        <v>0</v>
      </c>
      <c r="T2361" s="26"/>
      <c r="U2361" s="47"/>
      <c r="V2361" s="27"/>
      <c r="W2361" s="34"/>
      <c r="X2361" s="9">
        <f t="shared" ref="X2361:X2364" si="1975">SUM(T2361:W2361)</f>
        <v>0</v>
      </c>
      <c r="Y2361" s="11">
        <f t="shared" ref="Y2361:Y2392" si="1976">S2361+X2361</f>
        <v>0</v>
      </c>
    </row>
    <row r="2362" spans="1:26" x14ac:dyDescent="0.15">
      <c r="A2362" s="294" t="s">
        <v>6</v>
      </c>
      <c r="B2362" s="295">
        <v>5</v>
      </c>
      <c r="C2362" s="296"/>
      <c r="D2362" s="297"/>
      <c r="E2362" s="298"/>
      <c r="F2362" s="299">
        <f t="shared" si="1971"/>
        <v>5</v>
      </c>
      <c r="G2362" s="296"/>
      <c r="H2362" s="296"/>
      <c r="I2362" s="297"/>
      <c r="J2362" s="298"/>
      <c r="K2362" s="299">
        <f t="shared" si="1972"/>
        <v>0</v>
      </c>
      <c r="L2362" s="300">
        <f t="shared" si="1973"/>
        <v>5</v>
      </c>
      <c r="M2362" s="301">
        <v>46000</v>
      </c>
      <c r="N2362" s="13" t="s">
        <v>6</v>
      </c>
      <c r="O2362" s="26"/>
      <c r="P2362" s="47"/>
      <c r="Q2362" s="27"/>
      <c r="R2362" s="34"/>
      <c r="S2362" s="77">
        <f t="shared" si="1974"/>
        <v>0</v>
      </c>
      <c r="T2362" s="26"/>
      <c r="U2362" s="47"/>
      <c r="V2362" s="27"/>
      <c r="W2362" s="34"/>
      <c r="X2362" s="9">
        <f t="shared" si="1975"/>
        <v>0</v>
      </c>
      <c r="Y2362" s="11">
        <f t="shared" si="1976"/>
        <v>0</v>
      </c>
    </row>
    <row r="2363" spans="1:26" x14ac:dyDescent="0.15">
      <c r="A2363" s="13" t="s">
        <v>49</v>
      </c>
      <c r="B2363" s="26">
        <v>8</v>
      </c>
      <c r="C2363" s="47">
        <v>7</v>
      </c>
      <c r="D2363" s="27">
        <v>4</v>
      </c>
      <c r="E2363" s="50">
        <v>1</v>
      </c>
      <c r="F2363" s="9">
        <f>SUM(B2363:E2363)</f>
        <v>20</v>
      </c>
      <c r="G2363" s="47">
        <v>2</v>
      </c>
      <c r="H2363" s="47">
        <v>5</v>
      </c>
      <c r="I2363" s="27"/>
      <c r="J2363" s="50"/>
      <c r="K2363" s="9">
        <f>SUM(G2363:J2363)</f>
        <v>7</v>
      </c>
      <c r="L2363" s="11">
        <f t="shared" si="1973"/>
        <v>27</v>
      </c>
      <c r="M2363" s="126">
        <v>46000</v>
      </c>
      <c r="N2363" s="13" t="s">
        <v>7</v>
      </c>
      <c r="O2363" s="26"/>
      <c r="P2363" s="47"/>
      <c r="Q2363" s="27"/>
      <c r="R2363" s="34"/>
      <c r="S2363" s="77">
        <f t="shared" si="1974"/>
        <v>0</v>
      </c>
      <c r="T2363" s="26"/>
      <c r="U2363" s="47"/>
      <c r="V2363" s="27"/>
      <c r="W2363" s="34"/>
      <c r="X2363" s="9">
        <f t="shared" si="1975"/>
        <v>0</v>
      </c>
      <c r="Y2363" s="11">
        <f t="shared" si="1976"/>
        <v>0</v>
      </c>
    </row>
    <row r="2364" spans="1:26" ht="14.25" thickBot="1" x14ac:dyDescent="0.2">
      <c r="A2364" s="294" t="s">
        <v>8</v>
      </c>
      <c r="B2364" s="295"/>
      <c r="C2364" s="296"/>
      <c r="D2364" s="297">
        <v>3</v>
      </c>
      <c r="E2364" s="298"/>
      <c r="F2364" s="308">
        <f>SUM(B2364:E2364)</f>
        <v>3</v>
      </c>
      <c r="G2364" s="296">
        <v>3</v>
      </c>
      <c r="H2364" s="296"/>
      <c r="I2364" s="297"/>
      <c r="J2364" s="298"/>
      <c r="K2364" s="308">
        <f>SUM(G2364:J2364)</f>
        <v>3</v>
      </c>
      <c r="L2364" s="309">
        <f t="shared" si="1973"/>
        <v>6</v>
      </c>
      <c r="M2364" s="301">
        <v>46006</v>
      </c>
      <c r="N2364" s="13" t="s">
        <v>8</v>
      </c>
      <c r="O2364" s="26"/>
      <c r="P2364" s="47"/>
      <c r="Q2364" s="27"/>
      <c r="R2364" s="34"/>
      <c r="S2364" s="77">
        <f t="shared" si="1974"/>
        <v>0</v>
      </c>
      <c r="T2364" s="26"/>
      <c r="U2364" s="47"/>
      <c r="V2364" s="27"/>
      <c r="W2364" s="34"/>
      <c r="X2364" s="9">
        <f t="shared" si="1975"/>
        <v>0</v>
      </c>
      <c r="Y2364" s="11">
        <f t="shared" si="1976"/>
        <v>0</v>
      </c>
    </row>
    <row r="2365" spans="1:26" ht="14.25" thickBot="1" x14ac:dyDescent="0.2">
      <c r="A2365" s="22" t="s">
        <v>9</v>
      </c>
      <c r="B2365" s="41">
        <f t="shared" ref="B2365:K2365" si="1977">SUM(B2360:B2364)</f>
        <v>19</v>
      </c>
      <c r="C2365" s="49">
        <f t="shared" si="1977"/>
        <v>12</v>
      </c>
      <c r="D2365" s="42">
        <f t="shared" si="1977"/>
        <v>12</v>
      </c>
      <c r="E2365" s="92">
        <f t="shared" si="1977"/>
        <v>9</v>
      </c>
      <c r="F2365" s="132">
        <f t="shared" si="1977"/>
        <v>48</v>
      </c>
      <c r="G2365" s="41">
        <f t="shared" si="1977"/>
        <v>11</v>
      </c>
      <c r="H2365" s="49">
        <f t="shared" si="1977"/>
        <v>12</v>
      </c>
      <c r="I2365" s="42">
        <f t="shared" si="1977"/>
        <v>7</v>
      </c>
      <c r="J2365" s="92">
        <f t="shared" si="1977"/>
        <v>10</v>
      </c>
      <c r="K2365" s="132">
        <f t="shared" si="1977"/>
        <v>40</v>
      </c>
      <c r="L2365" s="21">
        <f t="shared" si="1973"/>
        <v>88</v>
      </c>
      <c r="N2365" s="17" t="s">
        <v>9</v>
      </c>
      <c r="O2365" s="41">
        <f>SUM(O2360:O2364)</f>
        <v>637</v>
      </c>
      <c r="P2365" s="49">
        <f t="shared" ref="P2365:V2365" si="1978">SUM(P2360:P2364)</f>
        <v>829</v>
      </c>
      <c r="Q2365" s="42">
        <f t="shared" si="1978"/>
        <v>544</v>
      </c>
      <c r="R2365" s="92">
        <f t="shared" si="1978"/>
        <v>384</v>
      </c>
      <c r="S2365" s="93">
        <f t="shared" si="1978"/>
        <v>2394</v>
      </c>
      <c r="T2365" s="41">
        <f t="shared" si="1978"/>
        <v>734</v>
      </c>
      <c r="U2365" s="49">
        <f t="shared" si="1978"/>
        <v>756</v>
      </c>
      <c r="V2365" s="42">
        <f t="shared" si="1978"/>
        <v>630</v>
      </c>
      <c r="W2365" s="92">
        <f>SUM(W2360:W2364)</f>
        <v>419</v>
      </c>
      <c r="X2365" s="93">
        <f t="shared" ref="X2365" si="1979">SUM(X2360:X2364)</f>
        <v>2539</v>
      </c>
      <c r="Y2365" s="56">
        <f t="shared" si="1976"/>
        <v>4933</v>
      </c>
    </row>
    <row r="2366" spans="1:26" x14ac:dyDescent="0.15">
      <c r="A2366" s="12" t="s">
        <v>1950</v>
      </c>
      <c r="B2366" s="26">
        <v>2</v>
      </c>
      <c r="C2366" s="47"/>
      <c r="D2366" s="27"/>
      <c r="E2366" s="34"/>
      <c r="F2366" s="35">
        <f t="shared" ref="F2366:F2390" si="1980">SUM(B2366:E2366)</f>
        <v>2</v>
      </c>
      <c r="G2366" s="26"/>
      <c r="H2366" s="47"/>
      <c r="I2366" s="27"/>
      <c r="J2366" s="34"/>
      <c r="K2366" s="35">
        <f t="shared" ref="K2366:K2390" si="1981">SUM(G2366:J2366)</f>
        <v>0</v>
      </c>
      <c r="L2366" s="11">
        <f t="shared" si="1973"/>
        <v>2</v>
      </c>
      <c r="M2366" s="99">
        <v>46001</v>
      </c>
      <c r="N2366" s="161" t="s">
        <v>1952</v>
      </c>
      <c r="O2366" s="26">
        <v>5</v>
      </c>
      <c r="P2366" s="47">
        <v>10</v>
      </c>
      <c r="Q2366" s="27">
        <v>8</v>
      </c>
      <c r="R2366" s="34">
        <v>5</v>
      </c>
      <c r="S2366" s="35">
        <f t="shared" ref="S2366:S2372" si="1982">SUM(O2366:R2366)</f>
        <v>28</v>
      </c>
      <c r="T2366" s="26">
        <v>5</v>
      </c>
      <c r="U2366" s="47">
        <v>5</v>
      </c>
      <c r="V2366" s="27">
        <v>5</v>
      </c>
      <c r="W2366" s="34">
        <v>5</v>
      </c>
      <c r="X2366" s="35">
        <f t="shared" ref="X2366:X2372" si="1983">SUM(T2366:W2366)</f>
        <v>20</v>
      </c>
      <c r="Y2366" s="11">
        <f t="shared" si="1976"/>
        <v>48</v>
      </c>
      <c r="Z2366" s="99">
        <v>45993</v>
      </c>
    </row>
    <row r="2367" spans="1:26" x14ac:dyDescent="0.15">
      <c r="A2367" s="57" t="s">
        <v>41</v>
      </c>
      <c r="B2367" s="26">
        <v>1</v>
      </c>
      <c r="C2367" s="47"/>
      <c r="D2367" s="27"/>
      <c r="E2367" s="34"/>
      <c r="F2367" s="35">
        <f t="shared" ref="F2367" si="1984">SUM(B2367:E2367)</f>
        <v>1</v>
      </c>
      <c r="G2367" s="26"/>
      <c r="H2367" s="47"/>
      <c r="I2367" s="27"/>
      <c r="J2367" s="34"/>
      <c r="K2367" s="35">
        <f t="shared" ref="K2367" si="1985">SUM(G2367:J2367)</f>
        <v>0</v>
      </c>
      <c r="L2367" s="11">
        <f t="shared" ref="L2367" si="1986">F2367+K2367</f>
        <v>1</v>
      </c>
      <c r="M2367" s="126">
        <v>45990</v>
      </c>
      <c r="N2367" s="57" t="s">
        <v>1953</v>
      </c>
      <c r="O2367" s="26"/>
      <c r="P2367" s="47"/>
      <c r="Q2367" s="27"/>
      <c r="R2367" s="34"/>
      <c r="S2367" s="35">
        <f t="shared" si="1982"/>
        <v>0</v>
      </c>
      <c r="T2367" s="26">
        <v>5</v>
      </c>
      <c r="U2367" s="47"/>
      <c r="V2367" s="27"/>
      <c r="W2367" s="34"/>
      <c r="X2367" s="35">
        <f t="shared" si="1983"/>
        <v>5</v>
      </c>
      <c r="Y2367" s="11">
        <f t="shared" si="1976"/>
        <v>5</v>
      </c>
      <c r="Z2367" s="99">
        <v>45990</v>
      </c>
    </row>
    <row r="2368" spans="1:26" x14ac:dyDescent="0.15">
      <c r="A2368" s="57" t="s">
        <v>41</v>
      </c>
      <c r="B2368" s="26"/>
      <c r="C2368" s="47"/>
      <c r="D2368" s="27"/>
      <c r="E2368" s="34"/>
      <c r="F2368" s="35">
        <f t="shared" si="1980"/>
        <v>0</v>
      </c>
      <c r="G2368" s="26">
        <v>1</v>
      </c>
      <c r="H2368" s="47"/>
      <c r="I2368" s="27"/>
      <c r="J2368" s="34">
        <v>1</v>
      </c>
      <c r="K2368" s="35">
        <f t="shared" si="1981"/>
        <v>2</v>
      </c>
      <c r="L2368" s="11">
        <f t="shared" si="1973"/>
        <v>2</v>
      </c>
      <c r="M2368" s="126">
        <v>45993</v>
      </c>
      <c r="N2368" s="32" t="s">
        <v>1955</v>
      </c>
      <c r="O2368" s="26">
        <v>2</v>
      </c>
      <c r="P2368" s="47"/>
      <c r="Q2368" s="27"/>
      <c r="R2368" s="34">
        <v>2</v>
      </c>
      <c r="S2368" s="35">
        <f t="shared" si="1982"/>
        <v>4</v>
      </c>
      <c r="T2368" s="26">
        <v>1</v>
      </c>
      <c r="U2368" s="47">
        <v>2</v>
      </c>
      <c r="V2368" s="27"/>
      <c r="W2368" s="34">
        <v>3</v>
      </c>
      <c r="X2368" s="35">
        <f t="shared" si="1983"/>
        <v>6</v>
      </c>
      <c r="Y2368" s="11">
        <f t="shared" si="1976"/>
        <v>10</v>
      </c>
      <c r="Z2368" s="99">
        <v>45994</v>
      </c>
    </row>
    <row r="2369" spans="1:27" x14ac:dyDescent="0.15">
      <c r="A2369" s="57" t="s">
        <v>41</v>
      </c>
      <c r="B2369" s="26"/>
      <c r="C2369" s="47"/>
      <c r="D2369" s="27"/>
      <c r="E2369" s="34">
        <v>2</v>
      </c>
      <c r="F2369" s="35">
        <f t="shared" si="1980"/>
        <v>2</v>
      </c>
      <c r="G2369" s="26"/>
      <c r="H2369" s="47"/>
      <c r="I2369" s="27"/>
      <c r="J2369" s="34"/>
      <c r="K2369" s="35">
        <f t="shared" si="1981"/>
        <v>0</v>
      </c>
      <c r="L2369" s="11">
        <f t="shared" si="1973"/>
        <v>2</v>
      </c>
      <c r="M2369" s="126">
        <v>45996</v>
      </c>
      <c r="N2369" s="32" t="s">
        <v>1956</v>
      </c>
      <c r="O2369" s="26">
        <v>3</v>
      </c>
      <c r="P2369" s="47"/>
      <c r="Q2369" s="27">
        <v>1</v>
      </c>
      <c r="R2369" s="34"/>
      <c r="S2369" s="35">
        <f t="shared" si="1982"/>
        <v>4</v>
      </c>
      <c r="T2369" s="26">
        <v>1</v>
      </c>
      <c r="U2369" s="47"/>
      <c r="V2369" s="27"/>
      <c r="W2369" s="34">
        <v>1</v>
      </c>
      <c r="X2369" s="35">
        <f t="shared" si="1983"/>
        <v>2</v>
      </c>
      <c r="Y2369" s="11">
        <f t="shared" si="1976"/>
        <v>6</v>
      </c>
      <c r="Z2369" s="99">
        <v>45995</v>
      </c>
    </row>
    <row r="2370" spans="1:27" x14ac:dyDescent="0.15">
      <c r="A2370" s="57" t="s">
        <v>41</v>
      </c>
      <c r="B2370" s="26"/>
      <c r="C2370" s="47"/>
      <c r="D2370" s="27"/>
      <c r="E2370" s="34"/>
      <c r="F2370" s="35">
        <f t="shared" si="1980"/>
        <v>0</v>
      </c>
      <c r="G2370" s="26"/>
      <c r="H2370" s="47"/>
      <c r="I2370" s="27">
        <v>1</v>
      </c>
      <c r="J2370" s="34">
        <v>1</v>
      </c>
      <c r="K2370" s="35">
        <f t="shared" si="1981"/>
        <v>2</v>
      </c>
      <c r="L2370" s="11">
        <f t="shared" si="1973"/>
        <v>2</v>
      </c>
      <c r="M2370" s="99">
        <v>45999</v>
      </c>
      <c r="N2370" s="15" t="s">
        <v>1961</v>
      </c>
      <c r="O2370" s="26">
        <v>4</v>
      </c>
      <c r="P2370" s="47">
        <v>3</v>
      </c>
      <c r="Q2370" s="27"/>
      <c r="R2370" s="34">
        <v>1</v>
      </c>
      <c r="S2370" s="35">
        <f t="shared" si="1982"/>
        <v>8</v>
      </c>
      <c r="T2370" s="26"/>
      <c r="U2370" s="47"/>
      <c r="V2370" s="27">
        <v>1</v>
      </c>
      <c r="W2370" s="34"/>
      <c r="X2370" s="35">
        <f t="shared" si="1983"/>
        <v>1</v>
      </c>
      <c r="Y2370" s="11">
        <f t="shared" si="1976"/>
        <v>9</v>
      </c>
      <c r="Z2370" s="99">
        <v>45996</v>
      </c>
    </row>
    <row r="2371" spans="1:27" x14ac:dyDescent="0.15">
      <c r="A2371" s="15" t="s">
        <v>1973</v>
      </c>
      <c r="B2371" s="26"/>
      <c r="C2371" s="47"/>
      <c r="D2371" s="27">
        <v>1</v>
      </c>
      <c r="E2371" s="34"/>
      <c r="F2371" s="35">
        <f t="shared" si="1980"/>
        <v>1</v>
      </c>
      <c r="G2371" s="26"/>
      <c r="H2371" s="47"/>
      <c r="I2371" s="27"/>
      <c r="J2371" s="34"/>
      <c r="K2371" s="35">
        <f t="shared" si="1981"/>
        <v>0</v>
      </c>
      <c r="L2371" s="11">
        <f t="shared" si="1973"/>
        <v>1</v>
      </c>
      <c r="M2371" s="99">
        <v>46003</v>
      </c>
      <c r="N2371" s="57" t="s">
        <v>1962</v>
      </c>
      <c r="O2371" s="26">
        <v>12</v>
      </c>
      <c r="P2371" s="47"/>
      <c r="Q2371" s="27"/>
      <c r="R2371" s="34">
        <v>5</v>
      </c>
      <c r="S2371" s="35">
        <f t="shared" si="1982"/>
        <v>17</v>
      </c>
      <c r="T2371" s="26">
        <v>5</v>
      </c>
      <c r="U2371" s="47">
        <v>5</v>
      </c>
      <c r="V2371" s="27">
        <v>5</v>
      </c>
      <c r="W2371" s="34">
        <v>5</v>
      </c>
      <c r="X2371" s="35">
        <f t="shared" si="1983"/>
        <v>20</v>
      </c>
      <c r="Y2371" s="11">
        <f t="shared" si="1976"/>
        <v>37</v>
      </c>
      <c r="Z2371" s="99">
        <v>45995</v>
      </c>
      <c r="AA2371" s="58"/>
    </row>
    <row r="2372" spans="1:27" x14ac:dyDescent="0.15">
      <c r="A2372" s="15" t="s">
        <v>41</v>
      </c>
      <c r="B2372" s="26"/>
      <c r="C2372" s="47"/>
      <c r="D2372" s="27"/>
      <c r="E2372" s="34"/>
      <c r="F2372" s="35">
        <f t="shared" si="1980"/>
        <v>0</v>
      </c>
      <c r="G2372" s="26"/>
      <c r="H2372" s="47"/>
      <c r="I2372" s="27"/>
      <c r="J2372" s="34">
        <v>2</v>
      </c>
      <c r="K2372" s="35">
        <f t="shared" si="1981"/>
        <v>2</v>
      </c>
      <c r="L2372" s="11">
        <f t="shared" si="1973"/>
        <v>2</v>
      </c>
      <c r="M2372" s="126">
        <v>46001</v>
      </c>
      <c r="N2372" s="15" t="s">
        <v>1963</v>
      </c>
      <c r="O2372" s="26">
        <v>2</v>
      </c>
      <c r="P2372" s="47"/>
      <c r="Q2372" s="27"/>
      <c r="R2372" s="34">
        <v>2</v>
      </c>
      <c r="S2372" s="35">
        <f t="shared" si="1982"/>
        <v>4</v>
      </c>
      <c r="T2372" s="26"/>
      <c r="U2372" s="47"/>
      <c r="V2372" s="27"/>
      <c r="W2372" s="34"/>
      <c r="X2372" s="35">
        <f t="shared" si="1983"/>
        <v>0</v>
      </c>
      <c r="Y2372" s="11">
        <f t="shared" si="1976"/>
        <v>4</v>
      </c>
      <c r="Z2372" s="99">
        <v>45996</v>
      </c>
      <c r="AA2372" s="58"/>
    </row>
    <row r="2373" spans="1:27" x14ac:dyDescent="0.15">
      <c r="A2373" s="15" t="s">
        <v>1974</v>
      </c>
      <c r="B2373" s="26"/>
      <c r="C2373" s="47"/>
      <c r="D2373" s="27">
        <v>1</v>
      </c>
      <c r="E2373" s="34"/>
      <c r="F2373" s="35">
        <f t="shared" si="1980"/>
        <v>1</v>
      </c>
      <c r="G2373" s="26"/>
      <c r="H2373" s="47"/>
      <c r="I2373" s="27"/>
      <c r="J2373" s="34"/>
      <c r="K2373" s="35">
        <f t="shared" si="1981"/>
        <v>0</v>
      </c>
      <c r="L2373" s="11">
        <f t="shared" si="1973"/>
        <v>1</v>
      </c>
      <c r="M2373" s="99">
        <v>46003</v>
      </c>
      <c r="N2373" s="57" t="s">
        <v>1964</v>
      </c>
      <c r="O2373" s="26"/>
      <c r="P2373" s="47"/>
      <c r="Q2373" s="27">
        <v>5</v>
      </c>
      <c r="R2373" s="50">
        <v>8</v>
      </c>
      <c r="S2373" s="9">
        <f>SUM(O2373:R2373)</f>
        <v>13</v>
      </c>
      <c r="T2373" s="47">
        <v>8</v>
      </c>
      <c r="U2373" s="47">
        <v>2</v>
      </c>
      <c r="V2373" s="27">
        <v>5</v>
      </c>
      <c r="W2373" s="50">
        <v>3</v>
      </c>
      <c r="X2373" s="9">
        <f>SUM(T2373:W2373)</f>
        <v>18</v>
      </c>
      <c r="Y2373" s="11">
        <f t="shared" si="1976"/>
        <v>31</v>
      </c>
      <c r="Z2373" s="99">
        <v>45996</v>
      </c>
      <c r="AA2373" s="58"/>
    </row>
    <row r="2374" spans="1:27" x14ac:dyDescent="0.15">
      <c r="A2374" s="12" t="s">
        <v>1975</v>
      </c>
      <c r="B2374" s="26"/>
      <c r="C2374" s="47"/>
      <c r="D2374" s="27"/>
      <c r="E2374" s="34"/>
      <c r="F2374" s="35">
        <f t="shared" si="1980"/>
        <v>0</v>
      </c>
      <c r="G2374" s="26">
        <v>1</v>
      </c>
      <c r="H2374" s="47"/>
      <c r="I2374" s="27"/>
      <c r="J2374" s="34"/>
      <c r="K2374" s="35">
        <f t="shared" si="1981"/>
        <v>1</v>
      </c>
      <c r="L2374" s="11">
        <f t="shared" si="1973"/>
        <v>1</v>
      </c>
      <c r="M2374" s="126">
        <v>46006</v>
      </c>
      <c r="N2374" s="15" t="s">
        <v>1965</v>
      </c>
      <c r="O2374" s="26">
        <v>1</v>
      </c>
      <c r="P2374" s="47">
        <v>1</v>
      </c>
      <c r="Q2374" s="27"/>
      <c r="R2374" s="34">
        <v>1</v>
      </c>
      <c r="S2374" s="35">
        <f t="shared" ref="S2374:S2391" si="1987">SUM(O2374:R2374)</f>
        <v>3</v>
      </c>
      <c r="T2374" s="26"/>
      <c r="U2374" s="47">
        <v>2</v>
      </c>
      <c r="V2374" s="27"/>
      <c r="W2374" s="34"/>
      <c r="X2374" s="35">
        <f t="shared" ref="X2374:X2391" si="1988">SUM(T2374:W2374)</f>
        <v>2</v>
      </c>
      <c r="Y2374" s="11">
        <f t="shared" si="1976"/>
        <v>5</v>
      </c>
      <c r="Z2374" s="99">
        <v>45999</v>
      </c>
    </row>
    <row r="2375" spans="1:27" x14ac:dyDescent="0.15">
      <c r="A2375" s="15" t="s">
        <v>1976</v>
      </c>
      <c r="B2375" s="26"/>
      <c r="C2375" s="47">
        <v>1</v>
      </c>
      <c r="D2375" s="27">
        <v>1</v>
      </c>
      <c r="E2375" s="34">
        <v>1</v>
      </c>
      <c r="F2375" s="35">
        <f t="shared" si="1980"/>
        <v>3</v>
      </c>
      <c r="G2375" s="26"/>
      <c r="H2375" s="47"/>
      <c r="I2375" s="27">
        <v>1</v>
      </c>
      <c r="J2375" s="34"/>
      <c r="K2375" s="35">
        <f t="shared" si="1981"/>
        <v>1</v>
      </c>
      <c r="L2375" s="11">
        <f t="shared" si="1973"/>
        <v>4</v>
      </c>
      <c r="M2375" s="99">
        <v>46008</v>
      </c>
      <c r="N2375" s="15" t="s">
        <v>1966</v>
      </c>
      <c r="O2375" s="26">
        <v>2</v>
      </c>
      <c r="P2375" s="47">
        <v>2</v>
      </c>
      <c r="Q2375" s="27"/>
      <c r="R2375" s="34">
        <v>1</v>
      </c>
      <c r="S2375" s="35">
        <f t="shared" si="1987"/>
        <v>5</v>
      </c>
      <c r="T2375" s="26"/>
      <c r="U2375" s="47">
        <v>2</v>
      </c>
      <c r="V2375" s="27"/>
      <c r="W2375" s="34"/>
      <c r="X2375" s="35">
        <f t="shared" si="1988"/>
        <v>2</v>
      </c>
      <c r="Y2375" s="11">
        <f t="shared" si="1976"/>
        <v>7</v>
      </c>
      <c r="Z2375" s="99">
        <v>46001</v>
      </c>
    </row>
    <row r="2376" spans="1:27" x14ac:dyDescent="0.15">
      <c r="A2376" s="15" t="s">
        <v>41</v>
      </c>
      <c r="B2376" s="26"/>
      <c r="C2376" s="47"/>
      <c r="D2376" s="27"/>
      <c r="E2376" s="34"/>
      <c r="F2376" s="35">
        <f t="shared" si="1980"/>
        <v>0</v>
      </c>
      <c r="G2376" s="26"/>
      <c r="H2376" s="47">
        <v>1</v>
      </c>
      <c r="I2376" s="27"/>
      <c r="J2376" s="34"/>
      <c r="K2376" s="35">
        <f t="shared" si="1981"/>
        <v>1</v>
      </c>
      <c r="L2376" s="11">
        <f t="shared" si="1973"/>
        <v>1</v>
      </c>
      <c r="M2376" s="126">
        <v>46006</v>
      </c>
      <c r="N2376" s="12" t="s">
        <v>1967</v>
      </c>
      <c r="O2376" s="26">
        <v>2</v>
      </c>
      <c r="P2376" s="47">
        <v>2</v>
      </c>
      <c r="Q2376" s="27">
        <v>2</v>
      </c>
      <c r="R2376" s="34">
        <v>1</v>
      </c>
      <c r="S2376" s="35">
        <f t="shared" si="1987"/>
        <v>7</v>
      </c>
      <c r="T2376" s="26">
        <v>2</v>
      </c>
      <c r="U2376" s="47">
        <v>2</v>
      </c>
      <c r="V2376" s="27">
        <v>2</v>
      </c>
      <c r="W2376" s="34">
        <v>1</v>
      </c>
      <c r="X2376" s="35">
        <f t="shared" si="1988"/>
        <v>7</v>
      </c>
      <c r="Y2376" s="11">
        <f t="shared" si="1976"/>
        <v>14</v>
      </c>
      <c r="Z2376" s="99">
        <v>46000</v>
      </c>
      <c r="AA2376" s="58"/>
    </row>
    <row r="2377" spans="1:27" x14ac:dyDescent="0.15">
      <c r="A2377" s="15" t="s">
        <v>1979</v>
      </c>
      <c r="B2377" s="26">
        <v>1</v>
      </c>
      <c r="C2377" s="47"/>
      <c r="D2377" s="27"/>
      <c r="E2377" s="34"/>
      <c r="F2377" s="35">
        <f t="shared" si="1980"/>
        <v>1</v>
      </c>
      <c r="G2377" s="26">
        <v>1</v>
      </c>
      <c r="H2377" s="47"/>
      <c r="I2377" s="27"/>
      <c r="J2377" s="34"/>
      <c r="K2377" s="35">
        <f t="shared" si="1981"/>
        <v>1</v>
      </c>
      <c r="L2377" s="11">
        <f t="shared" si="1973"/>
        <v>2</v>
      </c>
      <c r="M2377" s="99">
        <v>46009</v>
      </c>
      <c r="N2377" s="12" t="s">
        <v>1968</v>
      </c>
      <c r="O2377" s="26">
        <v>14</v>
      </c>
      <c r="P2377" s="47">
        <v>14</v>
      </c>
      <c r="Q2377" s="27">
        <v>8</v>
      </c>
      <c r="R2377" s="34">
        <v>2</v>
      </c>
      <c r="S2377" s="35">
        <f t="shared" si="1987"/>
        <v>38</v>
      </c>
      <c r="T2377" s="26">
        <v>2</v>
      </c>
      <c r="U2377" s="47"/>
      <c r="V2377" s="27"/>
      <c r="W2377" s="34">
        <v>4</v>
      </c>
      <c r="X2377" s="35">
        <f t="shared" si="1988"/>
        <v>6</v>
      </c>
      <c r="Y2377" s="11">
        <f t="shared" si="1976"/>
        <v>44</v>
      </c>
      <c r="Z2377" s="99">
        <v>46000</v>
      </c>
      <c r="AA2377" s="58"/>
    </row>
    <row r="2378" spans="1:27" x14ac:dyDescent="0.15">
      <c r="A2378" s="15" t="s">
        <v>41</v>
      </c>
      <c r="B2378" s="26"/>
      <c r="C2378" s="47"/>
      <c r="D2378" s="27"/>
      <c r="E2378" s="34"/>
      <c r="F2378" s="35">
        <f t="shared" si="1980"/>
        <v>0</v>
      </c>
      <c r="G2378" s="26"/>
      <c r="H2378" s="47"/>
      <c r="I2378" s="27"/>
      <c r="J2378" s="34">
        <v>1</v>
      </c>
      <c r="K2378" s="35">
        <f t="shared" si="1981"/>
        <v>1</v>
      </c>
      <c r="L2378" s="11">
        <f t="shared" si="1973"/>
        <v>1</v>
      </c>
      <c r="M2378" s="99">
        <v>46007</v>
      </c>
      <c r="N2378" s="57" t="s">
        <v>1969</v>
      </c>
      <c r="O2378" s="26"/>
      <c r="P2378" s="47"/>
      <c r="Q2378" s="27">
        <v>5</v>
      </c>
      <c r="R2378" s="34"/>
      <c r="S2378" s="35">
        <f t="shared" si="1987"/>
        <v>5</v>
      </c>
      <c r="T2378" s="26"/>
      <c r="U2378" s="47"/>
      <c r="V2378" s="27"/>
      <c r="W2378" s="34"/>
      <c r="X2378" s="35">
        <f t="shared" si="1988"/>
        <v>0</v>
      </c>
      <c r="Y2378" s="11">
        <f t="shared" si="1976"/>
        <v>5</v>
      </c>
      <c r="Z2378" s="99">
        <v>46000</v>
      </c>
    </row>
    <row r="2379" spans="1:27" x14ac:dyDescent="0.15">
      <c r="A2379" s="13" t="s">
        <v>1981</v>
      </c>
      <c r="B2379" s="26">
        <v>2</v>
      </c>
      <c r="C2379" s="47"/>
      <c r="D2379" s="27"/>
      <c r="E2379" s="34"/>
      <c r="F2379" s="35">
        <f t="shared" si="1980"/>
        <v>2</v>
      </c>
      <c r="G2379" s="26"/>
      <c r="H2379" s="47"/>
      <c r="I2379" s="27"/>
      <c r="J2379" s="34"/>
      <c r="K2379" s="35">
        <f t="shared" si="1981"/>
        <v>0</v>
      </c>
      <c r="L2379" s="11">
        <f t="shared" si="1973"/>
        <v>2</v>
      </c>
      <c r="M2379" s="99">
        <v>46009</v>
      </c>
      <c r="N2379" s="305" t="s">
        <v>1970</v>
      </c>
      <c r="O2379" s="295">
        <v>5</v>
      </c>
      <c r="P2379" s="296"/>
      <c r="Q2379" s="297"/>
      <c r="R2379" s="306"/>
      <c r="S2379" s="307">
        <f t="shared" si="1987"/>
        <v>5</v>
      </c>
      <c r="T2379" s="295"/>
      <c r="U2379" s="296"/>
      <c r="V2379" s="297"/>
      <c r="W2379" s="306"/>
      <c r="X2379" s="307">
        <f t="shared" si="1988"/>
        <v>0</v>
      </c>
      <c r="Y2379" s="300">
        <f t="shared" si="1976"/>
        <v>5</v>
      </c>
      <c r="Z2379" s="301">
        <v>46000</v>
      </c>
    </row>
    <row r="2380" spans="1:27" x14ac:dyDescent="0.15">
      <c r="A2380" s="15" t="s">
        <v>1982</v>
      </c>
      <c r="B2380" s="26"/>
      <c r="C2380" s="47">
        <v>2</v>
      </c>
      <c r="D2380" s="27"/>
      <c r="E2380" s="34"/>
      <c r="F2380" s="35">
        <f t="shared" si="1980"/>
        <v>2</v>
      </c>
      <c r="G2380" s="26"/>
      <c r="H2380" s="47"/>
      <c r="I2380" s="27"/>
      <c r="J2380" s="34"/>
      <c r="K2380" s="35">
        <f t="shared" si="1981"/>
        <v>0</v>
      </c>
      <c r="L2380" s="11">
        <f t="shared" si="1973"/>
        <v>2</v>
      </c>
      <c r="M2380" s="99">
        <v>46010</v>
      </c>
      <c r="N2380" s="15" t="s">
        <v>1971</v>
      </c>
      <c r="O2380" s="26"/>
      <c r="P2380" s="47">
        <v>1</v>
      </c>
      <c r="Q2380" s="27">
        <v>3</v>
      </c>
      <c r="R2380" s="34"/>
      <c r="S2380" s="35">
        <f t="shared" si="1987"/>
        <v>4</v>
      </c>
      <c r="T2380" s="26"/>
      <c r="U2380" s="47"/>
      <c r="V2380" s="27">
        <v>2</v>
      </c>
      <c r="W2380" s="34"/>
      <c r="X2380" s="35">
        <f t="shared" si="1988"/>
        <v>2</v>
      </c>
      <c r="Y2380" s="11">
        <f t="shared" si="1976"/>
        <v>6</v>
      </c>
      <c r="Z2380" s="99">
        <v>46002</v>
      </c>
    </row>
    <row r="2381" spans="1:27" x14ac:dyDescent="0.15">
      <c r="A2381" s="13" t="s">
        <v>1983</v>
      </c>
      <c r="B2381" s="26"/>
      <c r="C2381" s="47">
        <v>-4</v>
      </c>
      <c r="D2381" s="27">
        <v>-3</v>
      </c>
      <c r="E2381" s="34">
        <v>-3</v>
      </c>
      <c r="F2381" s="35">
        <f t="shared" si="1980"/>
        <v>-10</v>
      </c>
      <c r="G2381" s="26"/>
      <c r="H2381" s="47">
        <v>-2</v>
      </c>
      <c r="I2381" s="27">
        <v>-1</v>
      </c>
      <c r="J2381" s="34"/>
      <c r="K2381" s="35">
        <f t="shared" si="1981"/>
        <v>-3</v>
      </c>
      <c r="L2381" s="11">
        <f t="shared" si="1973"/>
        <v>-13</v>
      </c>
      <c r="M2381" s="126">
        <v>46008</v>
      </c>
      <c r="N2381" s="12" t="s">
        <v>34</v>
      </c>
      <c r="O2381" s="26"/>
      <c r="P2381" s="47"/>
      <c r="Q2381" s="27">
        <v>3</v>
      </c>
      <c r="R2381" s="34"/>
      <c r="S2381" s="35">
        <f t="shared" si="1987"/>
        <v>3</v>
      </c>
      <c r="T2381" s="26">
        <v>3</v>
      </c>
      <c r="U2381" s="47"/>
      <c r="V2381" s="27"/>
      <c r="W2381" s="34"/>
      <c r="X2381" s="35">
        <f t="shared" si="1988"/>
        <v>3</v>
      </c>
      <c r="Y2381" s="11">
        <f t="shared" si="1976"/>
        <v>6</v>
      </c>
      <c r="Z2381" s="99">
        <v>46006</v>
      </c>
    </row>
    <row r="2382" spans="1:27" x14ac:dyDescent="0.15">
      <c r="A2382" s="15" t="s">
        <v>41</v>
      </c>
      <c r="B2382" s="26"/>
      <c r="C2382" s="47"/>
      <c r="D2382" s="27">
        <v>1</v>
      </c>
      <c r="E2382" s="34"/>
      <c r="F2382" s="35">
        <f t="shared" si="1980"/>
        <v>1</v>
      </c>
      <c r="G2382" s="26"/>
      <c r="H2382" s="47"/>
      <c r="I2382" s="27"/>
      <c r="J2382" s="34"/>
      <c r="K2382" s="35">
        <f t="shared" si="1981"/>
        <v>0</v>
      </c>
      <c r="L2382" s="11">
        <f t="shared" si="1973"/>
        <v>1</v>
      </c>
      <c r="M2382" s="126">
        <v>46008</v>
      </c>
      <c r="N2382" s="90" t="s">
        <v>1980</v>
      </c>
      <c r="O2382" s="26">
        <v>80</v>
      </c>
      <c r="P2382" s="47">
        <v>90</v>
      </c>
      <c r="Q2382" s="27">
        <v>80</v>
      </c>
      <c r="R2382" s="34">
        <v>80</v>
      </c>
      <c r="S2382" s="35">
        <f t="shared" si="1987"/>
        <v>330</v>
      </c>
      <c r="T2382" s="26">
        <v>60</v>
      </c>
      <c r="U2382" s="47">
        <v>60</v>
      </c>
      <c r="V2382" s="27">
        <v>60</v>
      </c>
      <c r="W2382" s="34">
        <v>60</v>
      </c>
      <c r="X2382" s="35">
        <f t="shared" si="1988"/>
        <v>240</v>
      </c>
      <c r="Y2382" s="11">
        <f t="shared" si="1976"/>
        <v>570</v>
      </c>
      <c r="Z2382" s="99">
        <v>46015</v>
      </c>
    </row>
    <row r="2383" spans="1:27" x14ac:dyDescent="0.15">
      <c r="A2383" s="15" t="s">
        <v>1984</v>
      </c>
      <c r="B2383" s="26">
        <v>2</v>
      </c>
      <c r="C2383" s="47"/>
      <c r="D2383" s="27"/>
      <c r="E2383" s="34"/>
      <c r="F2383" s="35">
        <f t="shared" si="1980"/>
        <v>2</v>
      </c>
      <c r="G2383" s="26">
        <v>1</v>
      </c>
      <c r="H2383" s="47"/>
      <c r="I2383" s="27"/>
      <c r="J2383" s="34"/>
      <c r="K2383" s="35">
        <f t="shared" si="1981"/>
        <v>1</v>
      </c>
      <c r="L2383" s="11">
        <f t="shared" si="1973"/>
        <v>3</v>
      </c>
      <c r="M2383" s="99">
        <v>46010</v>
      </c>
      <c r="N2383" s="15" t="s">
        <v>1986</v>
      </c>
      <c r="O2383" s="26">
        <v>4</v>
      </c>
      <c r="P2383" s="47"/>
      <c r="Q2383" s="27">
        <v>2</v>
      </c>
      <c r="R2383" s="34"/>
      <c r="S2383" s="35">
        <f t="shared" si="1987"/>
        <v>6</v>
      </c>
      <c r="T2383" s="26">
        <v>1</v>
      </c>
      <c r="U2383" s="47"/>
      <c r="V2383" s="27"/>
      <c r="W2383" s="34"/>
      <c r="X2383" s="35">
        <f t="shared" si="1988"/>
        <v>1</v>
      </c>
      <c r="Y2383" s="11">
        <f t="shared" si="1976"/>
        <v>7</v>
      </c>
      <c r="Z2383" s="99">
        <v>46015</v>
      </c>
    </row>
    <row r="2384" spans="1:27" x14ac:dyDescent="0.15">
      <c r="A2384" s="15" t="s">
        <v>1985</v>
      </c>
      <c r="B2384" s="26"/>
      <c r="C2384" s="47">
        <v>3</v>
      </c>
      <c r="D2384" s="27"/>
      <c r="E2384" s="34"/>
      <c r="F2384" s="35">
        <f t="shared" si="1980"/>
        <v>3</v>
      </c>
      <c r="G2384" s="26"/>
      <c r="H2384" s="47"/>
      <c r="I2384" s="27"/>
      <c r="J2384" s="34"/>
      <c r="K2384" s="35">
        <f t="shared" si="1981"/>
        <v>0</v>
      </c>
      <c r="L2384" s="11">
        <f t="shared" si="1973"/>
        <v>3</v>
      </c>
      <c r="M2384" s="99">
        <v>46013</v>
      </c>
      <c r="N2384" s="310" t="s">
        <v>1987</v>
      </c>
      <c r="O2384" s="295"/>
      <c r="P2384" s="296"/>
      <c r="Q2384" s="297"/>
      <c r="R2384" s="306"/>
      <c r="S2384" s="307">
        <f t="shared" si="1987"/>
        <v>0</v>
      </c>
      <c r="T2384" s="295"/>
      <c r="U2384" s="296"/>
      <c r="V2384" s="297">
        <v>3</v>
      </c>
      <c r="W2384" s="306"/>
      <c r="X2384" s="307">
        <f t="shared" si="1988"/>
        <v>3</v>
      </c>
      <c r="Y2384" s="300">
        <f t="shared" si="1976"/>
        <v>3</v>
      </c>
      <c r="Z2384" s="301">
        <v>46015</v>
      </c>
    </row>
    <row r="2385" spans="1:26" x14ac:dyDescent="0.15">
      <c r="A2385" s="32" t="s">
        <v>41</v>
      </c>
      <c r="B2385" s="26"/>
      <c r="C2385" s="47"/>
      <c r="D2385" s="27"/>
      <c r="E2385" s="34"/>
      <c r="F2385" s="35">
        <f t="shared" si="1980"/>
        <v>0</v>
      </c>
      <c r="G2385" s="26"/>
      <c r="H2385" s="47"/>
      <c r="I2385" s="27">
        <v>1</v>
      </c>
      <c r="J2385" s="34"/>
      <c r="K2385" s="35">
        <f t="shared" si="1981"/>
        <v>1</v>
      </c>
      <c r="L2385" s="11">
        <f t="shared" si="1973"/>
        <v>1</v>
      </c>
      <c r="M2385" s="126">
        <v>46011</v>
      </c>
      <c r="N2385" s="57"/>
      <c r="O2385" s="26"/>
      <c r="P2385" s="47"/>
      <c r="Q2385" s="27"/>
      <c r="R2385" s="34"/>
      <c r="S2385" s="35">
        <f t="shared" si="1987"/>
        <v>0</v>
      </c>
      <c r="T2385" s="26"/>
      <c r="U2385" s="47"/>
      <c r="V2385" s="27"/>
      <c r="W2385" s="34"/>
      <c r="X2385" s="35">
        <f t="shared" si="1988"/>
        <v>0</v>
      </c>
      <c r="Y2385" s="11">
        <f t="shared" si="1976"/>
        <v>0</v>
      </c>
    </row>
    <row r="2386" spans="1:26" x14ac:dyDescent="0.15">
      <c r="A2386" s="32" t="s">
        <v>41</v>
      </c>
      <c r="B2386" s="26"/>
      <c r="C2386" s="47"/>
      <c r="D2386" s="27"/>
      <c r="E2386" s="34"/>
      <c r="F2386" s="35">
        <f t="shared" si="1980"/>
        <v>0</v>
      </c>
      <c r="G2386" s="26"/>
      <c r="H2386" s="47"/>
      <c r="I2386" s="27">
        <v>1</v>
      </c>
      <c r="J2386" s="34"/>
      <c r="K2386" s="35">
        <f t="shared" si="1981"/>
        <v>1</v>
      </c>
      <c r="L2386" s="11">
        <f t="shared" si="1973"/>
        <v>1</v>
      </c>
      <c r="M2386" s="126">
        <v>46013</v>
      </c>
      <c r="N2386" s="57"/>
      <c r="O2386" s="26"/>
      <c r="P2386" s="47"/>
      <c r="Q2386" s="27"/>
      <c r="R2386" s="34"/>
      <c r="S2386" s="35">
        <f t="shared" si="1987"/>
        <v>0</v>
      </c>
      <c r="T2386" s="26"/>
      <c r="U2386" s="47"/>
      <c r="V2386" s="27"/>
      <c r="W2386" s="34"/>
      <c r="X2386" s="35">
        <f t="shared" si="1988"/>
        <v>0</v>
      </c>
      <c r="Y2386" s="11">
        <f t="shared" si="1976"/>
        <v>0</v>
      </c>
      <c r="Z2386" s="101"/>
    </row>
    <row r="2387" spans="1:26" x14ac:dyDescent="0.15">
      <c r="A2387" s="32" t="s">
        <v>41</v>
      </c>
      <c r="B2387" s="26">
        <v>1</v>
      </c>
      <c r="C2387" s="47"/>
      <c r="D2387" s="27"/>
      <c r="E2387" s="34"/>
      <c r="F2387" s="35">
        <f t="shared" si="1980"/>
        <v>1</v>
      </c>
      <c r="G2387" s="26"/>
      <c r="H2387" s="47"/>
      <c r="I2387" s="27"/>
      <c r="J2387" s="34"/>
      <c r="K2387" s="35">
        <f t="shared" si="1981"/>
        <v>0</v>
      </c>
      <c r="L2387" s="11">
        <f t="shared" si="1973"/>
        <v>1</v>
      </c>
      <c r="M2387" s="126">
        <v>46014</v>
      </c>
      <c r="N2387" s="12" t="s">
        <v>1107</v>
      </c>
      <c r="O2387" s="26"/>
      <c r="P2387" s="47"/>
      <c r="Q2387" s="27"/>
      <c r="R2387" s="34"/>
      <c r="S2387" s="35">
        <f t="shared" si="1987"/>
        <v>0</v>
      </c>
      <c r="T2387" s="26"/>
      <c r="U2387" s="47"/>
      <c r="V2387" s="27"/>
      <c r="W2387" s="34"/>
      <c r="X2387" s="35">
        <f t="shared" si="1988"/>
        <v>0</v>
      </c>
      <c r="Y2387" s="108">
        <f t="shared" si="1976"/>
        <v>0</v>
      </c>
      <c r="Z2387" s="101" t="s">
        <v>1429</v>
      </c>
    </row>
    <row r="2388" spans="1:26" x14ac:dyDescent="0.15">
      <c r="A2388" s="310" t="s">
        <v>62</v>
      </c>
      <c r="B2388" s="295"/>
      <c r="C2388" s="296"/>
      <c r="D2388" s="297"/>
      <c r="E2388" s="306"/>
      <c r="F2388" s="307">
        <f t="shared" ref="F2388" si="1989">SUM(B2388:E2388)</f>
        <v>0</v>
      </c>
      <c r="G2388" s="295"/>
      <c r="H2388" s="296"/>
      <c r="I2388" s="297">
        <v>-3</v>
      </c>
      <c r="J2388" s="306"/>
      <c r="K2388" s="307">
        <f t="shared" ref="K2388" si="1990">SUM(G2388:J2388)</f>
        <v>-3</v>
      </c>
      <c r="L2388" s="300">
        <f t="shared" ref="L2388" si="1991">F2388+K2388</f>
        <v>-3</v>
      </c>
      <c r="M2388" s="301">
        <v>46015</v>
      </c>
      <c r="N2388" s="12" t="s">
        <v>1473</v>
      </c>
      <c r="O2388" s="26"/>
      <c r="P2388" s="47"/>
      <c r="Q2388" s="27"/>
      <c r="R2388" s="34"/>
      <c r="S2388" s="35">
        <f t="shared" ref="S2388" si="1992">SUM(O2388:R2388)</f>
        <v>0</v>
      </c>
      <c r="T2388" s="26"/>
      <c r="U2388" s="47"/>
      <c r="V2388" s="27"/>
      <c r="W2388" s="34"/>
      <c r="X2388" s="35">
        <f t="shared" ref="X2388" si="1993">SUM(T2388:W2388)</f>
        <v>0</v>
      </c>
      <c r="Y2388" s="108">
        <f t="shared" ref="Y2388" si="1994">S2388+X2388</f>
        <v>0</v>
      </c>
      <c r="Z2388" s="101" t="s">
        <v>1474</v>
      </c>
    </row>
    <row r="2389" spans="1:26" x14ac:dyDescent="0.15">
      <c r="A2389" s="15" t="s">
        <v>1988</v>
      </c>
      <c r="B2389" s="26"/>
      <c r="C2389" s="47"/>
      <c r="D2389" s="27"/>
      <c r="E2389" s="34">
        <v>1</v>
      </c>
      <c r="F2389" s="35">
        <f t="shared" si="1980"/>
        <v>1</v>
      </c>
      <c r="G2389" s="26"/>
      <c r="H2389" s="47"/>
      <c r="I2389" s="27">
        <v>1</v>
      </c>
      <c r="J2389" s="34"/>
      <c r="K2389" s="35">
        <f t="shared" si="1981"/>
        <v>1</v>
      </c>
      <c r="L2389" s="11">
        <f t="shared" si="1973"/>
        <v>2</v>
      </c>
      <c r="M2389" s="99">
        <v>46017</v>
      </c>
      <c r="N2389" s="173" t="s">
        <v>1918</v>
      </c>
      <c r="O2389" s="174"/>
      <c r="P2389" s="175"/>
      <c r="Q2389" s="176"/>
      <c r="R2389" s="177"/>
      <c r="S2389" s="178">
        <f t="shared" ref="S2389:S2390" si="1995">SUM(O2389:R2389)</f>
        <v>0</v>
      </c>
      <c r="T2389" s="174"/>
      <c r="U2389" s="175"/>
      <c r="V2389" s="176"/>
      <c r="W2389" s="177"/>
      <c r="X2389" s="178">
        <f t="shared" ref="X2389:X2390" si="1996">SUM(T2389:W2389)</f>
        <v>0</v>
      </c>
      <c r="Y2389" s="179">
        <f t="shared" ref="Y2389:Y2390" si="1997">S2389+X2389</f>
        <v>0</v>
      </c>
      <c r="Z2389" s="101"/>
    </row>
    <row r="2390" spans="1:26" ht="14.25" thickBot="1" x14ac:dyDescent="0.2">
      <c r="A2390" s="90" t="s">
        <v>60</v>
      </c>
      <c r="B2390" s="62"/>
      <c r="C2390" s="63"/>
      <c r="D2390" s="64"/>
      <c r="E2390" s="65">
        <v>-1</v>
      </c>
      <c r="F2390" s="35">
        <f t="shared" si="1980"/>
        <v>-1</v>
      </c>
      <c r="G2390" s="62"/>
      <c r="H2390" s="63">
        <v>-1</v>
      </c>
      <c r="I2390" s="64"/>
      <c r="J2390" s="65">
        <v>-1</v>
      </c>
      <c r="K2390" s="35">
        <f t="shared" si="1981"/>
        <v>-2</v>
      </c>
      <c r="L2390" s="14">
        <f t="shared" si="1973"/>
        <v>-3</v>
      </c>
      <c r="M2390" s="126">
        <v>46015</v>
      </c>
      <c r="N2390" s="135" t="s">
        <v>1919</v>
      </c>
      <c r="O2390" s="62"/>
      <c r="P2390" s="63"/>
      <c r="Q2390" s="64"/>
      <c r="R2390" s="65"/>
      <c r="S2390" s="120">
        <f t="shared" si="1995"/>
        <v>0</v>
      </c>
      <c r="T2390" s="62"/>
      <c r="U2390" s="63"/>
      <c r="V2390" s="64"/>
      <c r="W2390" s="65"/>
      <c r="X2390" s="120">
        <f t="shared" si="1996"/>
        <v>0</v>
      </c>
      <c r="Y2390" s="121">
        <f t="shared" si="1997"/>
        <v>0</v>
      </c>
      <c r="Z2390" s="101" t="s">
        <v>1870</v>
      </c>
    </row>
    <row r="2391" spans="1:26" ht="14.25" thickBot="1" x14ac:dyDescent="0.2">
      <c r="A2391" s="17" t="s">
        <v>10</v>
      </c>
      <c r="B2391" s="38">
        <f>SUM(B2366:B2390)</f>
        <v>9</v>
      </c>
      <c r="C2391" s="48">
        <f>SUM(C2366:C2390)</f>
        <v>2</v>
      </c>
      <c r="D2391" s="39">
        <f>SUM(D2366:D2390)</f>
        <v>1</v>
      </c>
      <c r="E2391" s="40">
        <f>SUM(E2366:E2390)</f>
        <v>0</v>
      </c>
      <c r="F2391" s="36">
        <f>SUM(B2391:E2391)</f>
        <v>12</v>
      </c>
      <c r="G2391" s="38">
        <f>SUM(G2366:G2390)</f>
        <v>4</v>
      </c>
      <c r="H2391" s="48">
        <f>SUM(H2366:H2390)</f>
        <v>-2</v>
      </c>
      <c r="I2391" s="39">
        <f>SUM(I2366:I2390)</f>
        <v>1</v>
      </c>
      <c r="J2391" s="40">
        <f>SUM(J2366:J2390)</f>
        <v>4</v>
      </c>
      <c r="K2391" s="36">
        <f>SUM(G2391:J2391)</f>
        <v>7</v>
      </c>
      <c r="L2391" s="37">
        <f t="shared" si="1973"/>
        <v>19</v>
      </c>
      <c r="N2391" s="133" t="s">
        <v>10</v>
      </c>
      <c r="O2391" s="38">
        <f>SUM(O2366:O2390)</f>
        <v>136</v>
      </c>
      <c r="P2391" s="48">
        <f>SUM(P2366:P2390)</f>
        <v>123</v>
      </c>
      <c r="Q2391" s="39">
        <f>SUM(Q2366:Q2390)</f>
        <v>117</v>
      </c>
      <c r="R2391" s="40">
        <f>SUM(R2366:R2390)</f>
        <v>108</v>
      </c>
      <c r="S2391" s="118">
        <f t="shared" si="1987"/>
        <v>484</v>
      </c>
      <c r="T2391" s="38">
        <f>SUM(T2366:T2390)</f>
        <v>93</v>
      </c>
      <c r="U2391" s="48">
        <f>SUM(U2366:U2390)</f>
        <v>80</v>
      </c>
      <c r="V2391" s="39">
        <f>SUM(V2366:V2390)</f>
        <v>83</v>
      </c>
      <c r="W2391" s="40">
        <f>SUM(W2366:W2390)</f>
        <v>82</v>
      </c>
      <c r="X2391" s="118">
        <f t="shared" si="1988"/>
        <v>338</v>
      </c>
      <c r="Y2391" s="119">
        <f t="shared" si="1976"/>
        <v>822</v>
      </c>
    </row>
    <row r="2392" spans="1:26" ht="14.25" thickBot="1" x14ac:dyDescent="0.2">
      <c r="A2392" s="22" t="s">
        <v>11</v>
      </c>
      <c r="B2392" s="41">
        <f>B2365-B2391</f>
        <v>10</v>
      </c>
      <c r="C2392" s="49">
        <f>C2365-C2391</f>
        <v>10</v>
      </c>
      <c r="D2392" s="42">
        <f t="shared" ref="D2392:K2392" si="1998">D2365-D2391</f>
        <v>11</v>
      </c>
      <c r="E2392" s="43">
        <f t="shared" si="1998"/>
        <v>9</v>
      </c>
      <c r="F2392" s="61">
        <f t="shared" si="1998"/>
        <v>36</v>
      </c>
      <c r="G2392" s="41">
        <f t="shared" si="1998"/>
        <v>7</v>
      </c>
      <c r="H2392" s="49">
        <f t="shared" si="1998"/>
        <v>14</v>
      </c>
      <c r="I2392" s="42">
        <f t="shared" si="1998"/>
        <v>6</v>
      </c>
      <c r="J2392" s="43">
        <f t="shared" si="1998"/>
        <v>6</v>
      </c>
      <c r="K2392" s="61">
        <f t="shared" si="1998"/>
        <v>33</v>
      </c>
      <c r="L2392" s="21">
        <f t="shared" si="1973"/>
        <v>69</v>
      </c>
      <c r="N2392" s="17" t="s">
        <v>11</v>
      </c>
      <c r="O2392" s="41">
        <f>O2365-O2391</f>
        <v>501</v>
      </c>
      <c r="P2392" s="49">
        <f t="shared" ref="P2392:Q2392" si="1999">P2365-P2391</f>
        <v>706</v>
      </c>
      <c r="Q2392" s="42">
        <f t="shared" si="1999"/>
        <v>427</v>
      </c>
      <c r="R2392" s="43">
        <f>R2365-R2391</f>
        <v>276</v>
      </c>
      <c r="S2392" s="61">
        <f t="shared" ref="S2392:X2392" si="2000">S2365-S2391</f>
        <v>1910</v>
      </c>
      <c r="T2392" s="41">
        <f t="shared" si="2000"/>
        <v>641</v>
      </c>
      <c r="U2392" s="49">
        <f t="shared" si="2000"/>
        <v>676</v>
      </c>
      <c r="V2392" s="42">
        <f t="shared" si="2000"/>
        <v>547</v>
      </c>
      <c r="W2392" s="43">
        <f t="shared" si="2000"/>
        <v>337</v>
      </c>
      <c r="X2392" s="61">
        <f t="shared" si="2000"/>
        <v>2201</v>
      </c>
      <c r="Y2392" s="21">
        <f t="shared" si="1976"/>
        <v>4111</v>
      </c>
    </row>
    <row r="2393" spans="1:26" x14ac:dyDescent="0.15">
      <c r="N2393" s="312" t="s">
        <v>2003</v>
      </c>
      <c r="O2393" s="234">
        <f>O2391+O2353+O2315+O2277+O2239+O2201+O2163+O2125+O2087+O2049+O2011+O1973+O1935+O1897+O1859</f>
        <v>1325</v>
      </c>
      <c r="P2393" s="234">
        <f t="shared" ref="P2393:Y2393" si="2001">P2391+P2353+P2315+P2277+P2239+P2201+P2163+P2125+P2087+P2049+P2011+P1973+P1935+P1897+P1859</f>
        <v>1623</v>
      </c>
      <c r="Q2393" s="234">
        <f t="shared" si="2001"/>
        <v>1040</v>
      </c>
      <c r="R2393" s="234">
        <f t="shared" si="2001"/>
        <v>737</v>
      </c>
      <c r="S2393" s="234">
        <f t="shared" si="2001"/>
        <v>4725</v>
      </c>
      <c r="T2393" s="234">
        <f t="shared" si="2001"/>
        <v>511</v>
      </c>
      <c r="U2393" s="234">
        <f t="shared" si="2001"/>
        <v>600</v>
      </c>
      <c r="V2393" s="234">
        <f t="shared" si="2001"/>
        <v>430</v>
      </c>
      <c r="W2393" s="234">
        <f t="shared" si="2001"/>
        <v>400</v>
      </c>
      <c r="X2393" s="234">
        <f t="shared" si="2001"/>
        <v>1941</v>
      </c>
      <c r="Y2393" s="234">
        <f t="shared" si="2001"/>
        <v>6666</v>
      </c>
    </row>
    <row r="2394" spans="1:26" x14ac:dyDescent="0.15">
      <c r="N2394" s="266" t="s">
        <v>2004</v>
      </c>
      <c r="O2394" s="211">
        <f>O2393/$S$2393*100</f>
        <v>28.042328042328041</v>
      </c>
      <c r="P2394" s="211">
        <f t="shared" ref="P2394:S2394" si="2002">P2393/$S$2393*100</f>
        <v>34.349206349206355</v>
      </c>
      <c r="Q2394" s="211">
        <f t="shared" si="2002"/>
        <v>22.010582010582009</v>
      </c>
      <c r="R2394" s="211">
        <f t="shared" si="2002"/>
        <v>15.597883597883596</v>
      </c>
      <c r="S2394" s="211">
        <f t="shared" si="2002"/>
        <v>100</v>
      </c>
      <c r="T2394" s="211">
        <f>T2393/$X$2393*100</f>
        <v>26.326635754765586</v>
      </c>
      <c r="U2394" s="211">
        <f t="shared" ref="U2394:X2394" si="2003">U2393/$X$2393*100</f>
        <v>30.911901081916536</v>
      </c>
      <c r="V2394" s="211">
        <f t="shared" si="2003"/>
        <v>22.153529108706852</v>
      </c>
      <c r="W2394" s="211">
        <f t="shared" si="2003"/>
        <v>20.607934054611025</v>
      </c>
      <c r="X2394" s="211">
        <f t="shared" si="2003"/>
        <v>100</v>
      </c>
      <c r="Y2394" s="211"/>
      <c r="Z2394" s="211"/>
    </row>
    <row r="2395" spans="1:26" ht="19.5" thickBot="1" x14ac:dyDescent="0.25">
      <c r="A2395" s="2" t="s">
        <v>106</v>
      </c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N2395" s="2" t="s">
        <v>1036</v>
      </c>
      <c r="O2395" s="270"/>
      <c r="P2395" s="1"/>
      <c r="Q2395" s="1"/>
      <c r="R2395" s="1"/>
      <c r="S2395" s="1">
        <v>70.900000000000006</v>
      </c>
      <c r="T2395" s="1"/>
      <c r="U2395" s="1"/>
      <c r="V2395" s="1"/>
      <c r="W2395" s="1"/>
      <c r="X2395" s="1"/>
      <c r="Y2395" s="1"/>
    </row>
    <row r="2396" spans="1:26" ht="14.25" thickBot="1" x14ac:dyDescent="0.2">
      <c r="A2396" s="5" t="s">
        <v>0</v>
      </c>
      <c r="B2396" s="342" t="s">
        <v>18</v>
      </c>
      <c r="C2396" s="350"/>
      <c r="D2396" s="350"/>
      <c r="E2396" s="350"/>
      <c r="F2396" s="351"/>
      <c r="G2396" s="345" t="s">
        <v>12</v>
      </c>
      <c r="H2396" s="352"/>
      <c r="I2396" s="352"/>
      <c r="J2396" s="352"/>
      <c r="K2396" s="353"/>
      <c r="L2396" s="354" t="s">
        <v>1</v>
      </c>
      <c r="N2396" s="5" t="s">
        <v>0</v>
      </c>
      <c r="O2396" s="342" t="s">
        <v>18</v>
      </c>
      <c r="P2396" s="343"/>
      <c r="Q2396" s="343"/>
      <c r="R2396" s="343"/>
      <c r="S2396" s="344"/>
      <c r="T2396" s="345" t="s">
        <v>12</v>
      </c>
      <c r="U2396" s="346"/>
      <c r="V2396" s="346"/>
      <c r="W2396" s="346"/>
      <c r="X2396" s="347"/>
      <c r="Y2396" s="348" t="s">
        <v>1</v>
      </c>
    </row>
    <row r="2397" spans="1:26" ht="14.25" thickBot="1" x14ac:dyDescent="0.2">
      <c r="A2397" s="5" t="s">
        <v>2</v>
      </c>
      <c r="B2397" s="3" t="s">
        <v>13</v>
      </c>
      <c r="C2397" s="44" t="s">
        <v>14</v>
      </c>
      <c r="D2397" s="4" t="s">
        <v>15</v>
      </c>
      <c r="E2397" s="23" t="s">
        <v>16</v>
      </c>
      <c r="F2397" s="31" t="s">
        <v>3</v>
      </c>
      <c r="G2397" s="3" t="s">
        <v>13</v>
      </c>
      <c r="H2397" s="44" t="s">
        <v>14</v>
      </c>
      <c r="I2397" s="4" t="s">
        <v>15</v>
      </c>
      <c r="J2397" s="23" t="s">
        <v>16</v>
      </c>
      <c r="K2397" s="31" t="s">
        <v>3</v>
      </c>
      <c r="L2397" s="355"/>
      <c r="N2397" s="5" t="s">
        <v>2</v>
      </c>
      <c r="O2397" s="3" t="s">
        <v>13</v>
      </c>
      <c r="P2397" s="44" t="s">
        <v>14</v>
      </c>
      <c r="Q2397" s="4" t="s">
        <v>15</v>
      </c>
      <c r="R2397" s="23" t="s">
        <v>16</v>
      </c>
      <c r="S2397" s="31" t="s">
        <v>3</v>
      </c>
      <c r="T2397" s="3" t="s">
        <v>13</v>
      </c>
      <c r="U2397" s="44" t="s">
        <v>14</v>
      </c>
      <c r="V2397" s="4" t="s">
        <v>15</v>
      </c>
      <c r="W2397" s="23" t="s">
        <v>16</v>
      </c>
      <c r="X2397" s="31" t="s">
        <v>3</v>
      </c>
      <c r="Y2397" s="349"/>
    </row>
    <row r="2398" spans="1:26" x14ac:dyDescent="0.15">
      <c r="A2398" s="71" t="s">
        <v>17</v>
      </c>
      <c r="B2398" s="72">
        <f>B2392</f>
        <v>10</v>
      </c>
      <c r="C2398" s="73">
        <f t="shared" ref="C2398:L2398" si="2004">C2392</f>
        <v>10</v>
      </c>
      <c r="D2398" s="73">
        <f t="shared" si="2004"/>
        <v>11</v>
      </c>
      <c r="E2398" s="74">
        <f t="shared" si="2004"/>
        <v>9</v>
      </c>
      <c r="F2398" s="76">
        <f t="shared" si="2004"/>
        <v>36</v>
      </c>
      <c r="G2398" s="72">
        <f t="shared" si="2004"/>
        <v>7</v>
      </c>
      <c r="H2398" s="73">
        <f t="shared" si="2004"/>
        <v>14</v>
      </c>
      <c r="I2398" s="73">
        <f t="shared" si="2004"/>
        <v>6</v>
      </c>
      <c r="J2398" s="74">
        <f t="shared" si="2004"/>
        <v>6</v>
      </c>
      <c r="K2398" s="75">
        <f t="shared" si="2004"/>
        <v>33</v>
      </c>
      <c r="L2398" s="16">
        <f t="shared" si="2004"/>
        <v>69</v>
      </c>
      <c r="N2398" s="71" t="s">
        <v>17</v>
      </c>
      <c r="O2398" s="72">
        <f>O2392</f>
        <v>501</v>
      </c>
      <c r="P2398" s="73">
        <f t="shared" ref="P2398:Y2398" si="2005">P2392</f>
        <v>706</v>
      </c>
      <c r="Q2398" s="73">
        <f t="shared" si="2005"/>
        <v>427</v>
      </c>
      <c r="R2398" s="74">
        <f t="shared" si="2005"/>
        <v>276</v>
      </c>
      <c r="S2398" s="76">
        <f t="shared" si="2005"/>
        <v>1910</v>
      </c>
      <c r="T2398" s="72">
        <f t="shared" si="2005"/>
        <v>641</v>
      </c>
      <c r="U2398" s="73">
        <f t="shared" si="2005"/>
        <v>676</v>
      </c>
      <c r="V2398" s="73">
        <f t="shared" si="2005"/>
        <v>547</v>
      </c>
      <c r="W2398" s="74">
        <f t="shared" si="2005"/>
        <v>337</v>
      </c>
      <c r="X2398" s="75">
        <f t="shared" si="2005"/>
        <v>2201</v>
      </c>
      <c r="Y2398" s="16">
        <f t="shared" si="2005"/>
        <v>4111</v>
      </c>
    </row>
    <row r="2399" spans="1:26" x14ac:dyDescent="0.15">
      <c r="A2399" s="13" t="s">
        <v>5</v>
      </c>
      <c r="B2399" s="26">
        <v>3</v>
      </c>
      <c r="C2399" s="47"/>
      <c r="D2399" s="27"/>
      <c r="E2399" s="50"/>
      <c r="F2399" s="9">
        <f t="shared" ref="F2399:F2400" si="2006">SUM(B2399:E2399)</f>
        <v>3</v>
      </c>
      <c r="G2399" s="47">
        <v>3</v>
      </c>
      <c r="H2399" s="47"/>
      <c r="I2399" s="27">
        <v>3</v>
      </c>
      <c r="J2399" s="50">
        <v>3</v>
      </c>
      <c r="K2399" s="9">
        <f t="shared" ref="K2399:K2400" si="2007">SUM(G2399:J2399)</f>
        <v>9</v>
      </c>
      <c r="L2399" s="11">
        <f t="shared" ref="L2399:L2430" si="2008">F2399+K2399</f>
        <v>12</v>
      </c>
      <c r="M2399" s="99">
        <v>46031</v>
      </c>
      <c r="N2399" s="13" t="s">
        <v>5</v>
      </c>
      <c r="O2399" s="26"/>
      <c r="P2399" s="47"/>
      <c r="Q2399" s="27"/>
      <c r="R2399" s="34"/>
      <c r="S2399" s="77">
        <f t="shared" ref="S2399:S2402" si="2009">SUM(O2399:R2399)</f>
        <v>0</v>
      </c>
      <c r="T2399" s="26"/>
      <c r="U2399" s="47"/>
      <c r="V2399" s="27"/>
      <c r="W2399" s="34"/>
      <c r="X2399" s="9">
        <f t="shared" ref="X2399:X2402" si="2010">SUM(T2399:W2399)</f>
        <v>0</v>
      </c>
      <c r="Y2399" s="11">
        <f t="shared" ref="Y2399:Y2430" si="2011">S2399+X2399</f>
        <v>0</v>
      </c>
    </row>
    <row r="2400" spans="1:26" x14ac:dyDescent="0.15">
      <c r="A2400" s="13" t="s">
        <v>6</v>
      </c>
      <c r="B2400" s="26"/>
      <c r="C2400" s="47">
        <v>5</v>
      </c>
      <c r="D2400" s="27">
        <v>5</v>
      </c>
      <c r="E2400" s="50"/>
      <c r="F2400" s="9">
        <f t="shared" si="2006"/>
        <v>10</v>
      </c>
      <c r="G2400" s="47"/>
      <c r="H2400" s="47">
        <v>5</v>
      </c>
      <c r="I2400" s="27">
        <v>10</v>
      </c>
      <c r="J2400" s="50"/>
      <c r="K2400" s="9">
        <f t="shared" si="2007"/>
        <v>15</v>
      </c>
      <c r="L2400" s="11">
        <f t="shared" si="2008"/>
        <v>25</v>
      </c>
      <c r="M2400" s="99">
        <v>46035</v>
      </c>
      <c r="N2400" s="13" t="s">
        <v>6</v>
      </c>
      <c r="O2400" s="26"/>
      <c r="P2400" s="47"/>
      <c r="Q2400" s="27"/>
      <c r="R2400" s="34"/>
      <c r="S2400" s="77">
        <f t="shared" si="2009"/>
        <v>0</v>
      </c>
      <c r="T2400" s="26"/>
      <c r="U2400" s="47"/>
      <c r="V2400" s="27"/>
      <c r="W2400" s="34"/>
      <c r="X2400" s="9">
        <f t="shared" si="2010"/>
        <v>0</v>
      </c>
      <c r="Y2400" s="11">
        <f t="shared" si="2011"/>
        <v>0</v>
      </c>
    </row>
    <row r="2401" spans="1:27" x14ac:dyDescent="0.15">
      <c r="A2401" s="13" t="s">
        <v>166</v>
      </c>
      <c r="B2401" s="26">
        <v>2</v>
      </c>
      <c r="C2401" s="47">
        <v>3</v>
      </c>
      <c r="D2401" s="27">
        <v>2</v>
      </c>
      <c r="E2401" s="50">
        <v>2</v>
      </c>
      <c r="F2401" s="9">
        <f>SUM(B2401:E2401)</f>
        <v>9</v>
      </c>
      <c r="G2401" s="47">
        <v>2</v>
      </c>
      <c r="H2401" s="47">
        <v>2</v>
      </c>
      <c r="I2401" s="27">
        <v>2</v>
      </c>
      <c r="J2401" s="50">
        <v>3</v>
      </c>
      <c r="K2401" s="9">
        <f>SUM(G2401:J2401)</f>
        <v>9</v>
      </c>
      <c r="L2401" s="11">
        <f t="shared" si="2008"/>
        <v>18</v>
      </c>
      <c r="M2401" s="126">
        <v>46038</v>
      </c>
      <c r="N2401" s="13" t="s">
        <v>7</v>
      </c>
      <c r="O2401" s="26"/>
      <c r="P2401" s="47"/>
      <c r="Q2401" s="27"/>
      <c r="R2401" s="34"/>
      <c r="S2401" s="77">
        <f t="shared" si="2009"/>
        <v>0</v>
      </c>
      <c r="T2401" s="26"/>
      <c r="U2401" s="47"/>
      <c r="V2401" s="27"/>
      <c r="W2401" s="34"/>
      <c r="X2401" s="9">
        <f t="shared" si="2010"/>
        <v>0</v>
      </c>
      <c r="Y2401" s="11">
        <f t="shared" si="2011"/>
        <v>0</v>
      </c>
    </row>
    <row r="2402" spans="1:27" ht="14.25" thickBot="1" x14ac:dyDescent="0.2">
      <c r="A2402" s="294" t="s">
        <v>8</v>
      </c>
      <c r="B2402" s="295">
        <v>5</v>
      </c>
      <c r="C2402" s="296"/>
      <c r="D2402" s="297"/>
      <c r="E2402" s="298"/>
      <c r="F2402" s="308">
        <f>SUM(B2402:E2402)</f>
        <v>5</v>
      </c>
      <c r="G2402" s="296"/>
      <c r="H2402" s="296"/>
      <c r="I2402" s="297"/>
      <c r="J2402" s="298"/>
      <c r="K2402" s="308">
        <f>SUM(G2402:J2402)</f>
        <v>0</v>
      </c>
      <c r="L2402" s="309">
        <f t="shared" si="2008"/>
        <v>5</v>
      </c>
      <c r="M2402" s="301">
        <v>46044</v>
      </c>
      <c r="N2402" s="13" t="s">
        <v>8</v>
      </c>
      <c r="O2402" s="26"/>
      <c r="P2402" s="47"/>
      <c r="Q2402" s="27"/>
      <c r="R2402" s="34"/>
      <c r="S2402" s="77">
        <f t="shared" si="2009"/>
        <v>0</v>
      </c>
      <c r="T2402" s="26"/>
      <c r="U2402" s="47"/>
      <c r="V2402" s="27"/>
      <c r="W2402" s="34"/>
      <c r="X2402" s="9">
        <f t="shared" si="2010"/>
        <v>0</v>
      </c>
      <c r="Y2402" s="11">
        <f t="shared" si="2011"/>
        <v>0</v>
      </c>
    </row>
    <row r="2403" spans="1:27" ht="14.25" thickBot="1" x14ac:dyDescent="0.2">
      <c r="A2403" s="22" t="s">
        <v>9</v>
      </c>
      <c r="B2403" s="41">
        <f t="shared" ref="B2403:K2403" si="2012">SUM(B2398:B2402)</f>
        <v>20</v>
      </c>
      <c r="C2403" s="49">
        <f t="shared" si="2012"/>
        <v>18</v>
      </c>
      <c r="D2403" s="42">
        <f t="shared" si="2012"/>
        <v>18</v>
      </c>
      <c r="E2403" s="92">
        <f t="shared" si="2012"/>
        <v>11</v>
      </c>
      <c r="F2403" s="132">
        <f t="shared" si="2012"/>
        <v>63</v>
      </c>
      <c r="G2403" s="41">
        <f t="shared" si="2012"/>
        <v>12</v>
      </c>
      <c r="H2403" s="49">
        <f t="shared" si="2012"/>
        <v>21</v>
      </c>
      <c r="I2403" s="42">
        <f t="shared" si="2012"/>
        <v>21</v>
      </c>
      <c r="J2403" s="92">
        <f t="shared" si="2012"/>
        <v>12</v>
      </c>
      <c r="K2403" s="132">
        <f t="shared" si="2012"/>
        <v>66</v>
      </c>
      <c r="L2403" s="21">
        <f t="shared" si="2008"/>
        <v>129</v>
      </c>
      <c r="N2403" s="17" t="s">
        <v>9</v>
      </c>
      <c r="O2403" s="41">
        <f>SUM(O2398:O2402)</f>
        <v>501</v>
      </c>
      <c r="P2403" s="49">
        <f t="shared" ref="P2403:V2403" si="2013">SUM(P2398:P2402)</f>
        <v>706</v>
      </c>
      <c r="Q2403" s="42">
        <f t="shared" si="2013"/>
        <v>427</v>
      </c>
      <c r="R2403" s="92">
        <f t="shared" si="2013"/>
        <v>276</v>
      </c>
      <c r="S2403" s="93">
        <f t="shared" si="2013"/>
        <v>1910</v>
      </c>
      <c r="T2403" s="41">
        <f t="shared" si="2013"/>
        <v>641</v>
      </c>
      <c r="U2403" s="49">
        <f t="shared" si="2013"/>
        <v>676</v>
      </c>
      <c r="V2403" s="42">
        <f t="shared" si="2013"/>
        <v>547</v>
      </c>
      <c r="W2403" s="92">
        <f>SUM(W2398:W2402)</f>
        <v>337</v>
      </c>
      <c r="X2403" s="93">
        <f t="shared" ref="X2403" si="2014">SUM(X2398:X2402)</f>
        <v>2201</v>
      </c>
      <c r="Y2403" s="56">
        <f t="shared" si="2011"/>
        <v>4111</v>
      </c>
    </row>
    <row r="2404" spans="1:27" x14ac:dyDescent="0.15">
      <c r="A2404" s="15" t="s">
        <v>1993</v>
      </c>
      <c r="B2404" s="26">
        <v>3</v>
      </c>
      <c r="C2404" s="47">
        <v>4</v>
      </c>
      <c r="D2404" s="27">
        <v>5</v>
      </c>
      <c r="E2404" s="34">
        <v>1</v>
      </c>
      <c r="F2404" s="35">
        <f t="shared" ref="F2404:F2428" si="2015">SUM(B2404:E2404)</f>
        <v>13</v>
      </c>
      <c r="G2404" s="26">
        <v>1</v>
      </c>
      <c r="H2404" s="47">
        <v>3</v>
      </c>
      <c r="I2404" s="27">
        <v>2</v>
      </c>
      <c r="J2404" s="34"/>
      <c r="K2404" s="35">
        <f t="shared" ref="K2404:K2428" si="2016">SUM(G2404:J2404)</f>
        <v>6</v>
      </c>
      <c r="L2404" s="11">
        <f t="shared" si="2008"/>
        <v>19</v>
      </c>
      <c r="M2404" s="99">
        <v>46029</v>
      </c>
      <c r="N2404" s="12" t="s">
        <v>1989</v>
      </c>
      <c r="O2404" s="26"/>
      <c r="P2404" s="47"/>
      <c r="Q2404" s="27">
        <v>5</v>
      </c>
      <c r="R2404" s="34"/>
      <c r="S2404" s="35">
        <f t="shared" ref="S2404:S2410" si="2017">SUM(O2404:R2404)</f>
        <v>5</v>
      </c>
      <c r="T2404" s="26"/>
      <c r="U2404" s="47"/>
      <c r="V2404" s="27"/>
      <c r="W2404" s="34"/>
      <c r="X2404" s="35">
        <f t="shared" ref="X2404:X2410" si="2018">SUM(T2404:W2404)</f>
        <v>0</v>
      </c>
      <c r="Y2404" s="11">
        <f t="shared" si="2011"/>
        <v>5</v>
      </c>
      <c r="Z2404" s="99">
        <v>45664</v>
      </c>
    </row>
    <row r="2405" spans="1:27" x14ac:dyDescent="0.15">
      <c r="A2405" s="15" t="s">
        <v>41</v>
      </c>
      <c r="B2405" s="26"/>
      <c r="C2405" s="47"/>
      <c r="D2405" s="27"/>
      <c r="E2405" s="34"/>
      <c r="F2405" s="35">
        <f t="shared" si="2015"/>
        <v>0</v>
      </c>
      <c r="G2405" s="26"/>
      <c r="H2405" s="47"/>
      <c r="I2405" s="27"/>
      <c r="J2405" s="34">
        <v>1</v>
      </c>
      <c r="K2405" s="35">
        <f t="shared" si="2016"/>
        <v>1</v>
      </c>
      <c r="L2405" s="11">
        <f t="shared" si="2008"/>
        <v>1</v>
      </c>
      <c r="M2405" s="99">
        <v>46027</v>
      </c>
      <c r="N2405" s="15" t="s">
        <v>1994</v>
      </c>
      <c r="O2405" s="26">
        <v>5</v>
      </c>
      <c r="P2405" s="47"/>
      <c r="Q2405" s="27"/>
      <c r="R2405" s="34"/>
      <c r="S2405" s="35">
        <f t="shared" si="2017"/>
        <v>5</v>
      </c>
      <c r="T2405" s="26"/>
      <c r="U2405" s="47"/>
      <c r="V2405" s="27"/>
      <c r="W2405" s="34"/>
      <c r="X2405" s="35">
        <f t="shared" si="2018"/>
        <v>0</v>
      </c>
      <c r="Y2405" s="11">
        <f t="shared" si="2011"/>
        <v>5</v>
      </c>
      <c r="Z2405" s="99">
        <v>46031</v>
      </c>
    </row>
    <row r="2406" spans="1:27" x14ac:dyDescent="0.15">
      <c r="A2406" s="15" t="s">
        <v>1995</v>
      </c>
      <c r="B2406" s="26">
        <v>4</v>
      </c>
      <c r="C2406" s="47"/>
      <c r="D2406" s="27"/>
      <c r="E2406" s="34"/>
      <c r="F2406" s="35">
        <f t="shared" si="2015"/>
        <v>4</v>
      </c>
      <c r="G2406" s="26">
        <v>1</v>
      </c>
      <c r="H2406" s="47"/>
      <c r="I2406" s="27">
        <v>1</v>
      </c>
      <c r="J2406" s="34">
        <v>1</v>
      </c>
      <c r="K2406" s="35">
        <f t="shared" si="2016"/>
        <v>3</v>
      </c>
      <c r="L2406" s="11">
        <f t="shared" si="2008"/>
        <v>7</v>
      </c>
      <c r="M2406" s="99">
        <v>46031</v>
      </c>
      <c r="N2406" s="12" t="s">
        <v>1967</v>
      </c>
      <c r="O2406" s="26">
        <v>1</v>
      </c>
      <c r="P2406" s="47">
        <v>3</v>
      </c>
      <c r="Q2406" s="27">
        <v>2</v>
      </c>
      <c r="R2406" s="34">
        <v>1</v>
      </c>
      <c r="S2406" s="35">
        <f t="shared" si="2017"/>
        <v>7</v>
      </c>
      <c r="T2406" s="26">
        <v>1</v>
      </c>
      <c r="U2406" s="47">
        <v>3</v>
      </c>
      <c r="V2406" s="27">
        <v>2</v>
      </c>
      <c r="W2406" s="34">
        <v>1</v>
      </c>
      <c r="X2406" s="35">
        <f t="shared" si="2018"/>
        <v>7</v>
      </c>
      <c r="Y2406" s="11">
        <f t="shared" si="2011"/>
        <v>14</v>
      </c>
      <c r="Z2406" s="99">
        <v>46035</v>
      </c>
    </row>
    <row r="2407" spans="1:27" x14ac:dyDescent="0.15">
      <c r="A2407" s="15" t="s">
        <v>1997</v>
      </c>
      <c r="B2407" s="26"/>
      <c r="C2407" s="47"/>
      <c r="D2407" s="27"/>
      <c r="E2407" s="34"/>
      <c r="F2407" s="35">
        <f t="shared" si="2015"/>
        <v>0</v>
      </c>
      <c r="G2407" s="26"/>
      <c r="H2407" s="47"/>
      <c r="I2407" s="27"/>
      <c r="J2407" s="34">
        <v>1</v>
      </c>
      <c r="K2407" s="35">
        <f t="shared" si="2016"/>
        <v>1</v>
      </c>
      <c r="L2407" s="11">
        <f t="shared" si="2008"/>
        <v>1</v>
      </c>
      <c r="M2407" s="99">
        <v>46030</v>
      </c>
      <c r="N2407" s="12" t="s">
        <v>1968</v>
      </c>
      <c r="O2407" s="26">
        <v>12</v>
      </c>
      <c r="P2407" s="47">
        <v>16</v>
      </c>
      <c r="Q2407" s="27">
        <v>8</v>
      </c>
      <c r="R2407" s="34">
        <v>6</v>
      </c>
      <c r="S2407" s="35">
        <f t="shared" si="2017"/>
        <v>42</v>
      </c>
      <c r="T2407" s="26">
        <v>6</v>
      </c>
      <c r="U2407" s="47"/>
      <c r="V2407" s="27">
        <v>2</v>
      </c>
      <c r="W2407" s="34"/>
      <c r="X2407" s="35">
        <f t="shared" si="2018"/>
        <v>8</v>
      </c>
      <c r="Y2407" s="11">
        <f t="shared" si="2011"/>
        <v>50</v>
      </c>
      <c r="Z2407" s="99">
        <v>46035</v>
      </c>
    </row>
    <row r="2408" spans="1:27" x14ac:dyDescent="0.15">
      <c r="A2408" s="15" t="s">
        <v>41</v>
      </c>
      <c r="B2408" s="26"/>
      <c r="C2408" s="47"/>
      <c r="D2408" s="27"/>
      <c r="E2408" s="34"/>
      <c r="F2408" s="35">
        <f t="shared" si="2015"/>
        <v>0</v>
      </c>
      <c r="G2408" s="26"/>
      <c r="H2408" s="47">
        <v>2</v>
      </c>
      <c r="I2408" s="27"/>
      <c r="J2408" s="34"/>
      <c r="K2408" s="35">
        <f t="shared" si="2016"/>
        <v>2</v>
      </c>
      <c r="L2408" s="11">
        <f t="shared" si="2008"/>
        <v>2</v>
      </c>
      <c r="M2408" s="126">
        <v>46031</v>
      </c>
      <c r="N2408" s="12" t="s">
        <v>1996</v>
      </c>
      <c r="O2408" s="26"/>
      <c r="P2408" s="47"/>
      <c r="Q2408" s="27"/>
      <c r="R2408" s="34"/>
      <c r="S2408" s="35">
        <f t="shared" si="2017"/>
        <v>0</v>
      </c>
      <c r="T2408" s="26"/>
      <c r="U2408" s="47"/>
      <c r="V2408" s="27"/>
      <c r="W2408" s="34">
        <v>6</v>
      </c>
      <c r="X2408" s="35">
        <f t="shared" si="2018"/>
        <v>6</v>
      </c>
      <c r="Y2408" s="11">
        <f t="shared" si="2011"/>
        <v>6</v>
      </c>
      <c r="Z2408" s="99">
        <v>46036</v>
      </c>
    </row>
    <row r="2409" spans="1:27" x14ac:dyDescent="0.15">
      <c r="A2409" s="15" t="s">
        <v>41</v>
      </c>
      <c r="B2409" s="26"/>
      <c r="C2409" s="47"/>
      <c r="D2409" s="27"/>
      <c r="E2409" s="34"/>
      <c r="F2409" s="35">
        <f t="shared" si="2015"/>
        <v>0</v>
      </c>
      <c r="G2409" s="26"/>
      <c r="H2409" s="47"/>
      <c r="I2409" s="27">
        <v>1</v>
      </c>
      <c r="J2409" s="34">
        <v>1</v>
      </c>
      <c r="K2409" s="35">
        <f t="shared" si="2016"/>
        <v>2</v>
      </c>
      <c r="L2409" s="11">
        <f t="shared" si="2008"/>
        <v>2</v>
      </c>
      <c r="M2409" s="126">
        <v>46032</v>
      </c>
      <c r="N2409" s="12" t="s">
        <v>1987</v>
      </c>
      <c r="O2409" s="26">
        <v>3</v>
      </c>
      <c r="P2409" s="47"/>
      <c r="Q2409" s="27"/>
      <c r="R2409" s="34"/>
      <c r="S2409" s="35">
        <f t="shared" si="2017"/>
        <v>3</v>
      </c>
      <c r="T2409" s="26">
        <v>3</v>
      </c>
      <c r="U2409" s="47"/>
      <c r="V2409" s="27">
        <v>3</v>
      </c>
      <c r="W2409" s="34">
        <v>3</v>
      </c>
      <c r="X2409" s="35">
        <f t="shared" si="2018"/>
        <v>9</v>
      </c>
      <c r="Y2409" s="11">
        <f t="shared" si="2011"/>
        <v>12</v>
      </c>
      <c r="Z2409" s="99">
        <v>46031</v>
      </c>
    </row>
    <row r="2410" spans="1:27" x14ac:dyDescent="0.15">
      <c r="A2410" s="15" t="s">
        <v>41</v>
      </c>
      <c r="B2410" s="26"/>
      <c r="C2410" s="47"/>
      <c r="D2410" s="27"/>
      <c r="E2410" s="34"/>
      <c r="F2410" s="35">
        <f t="shared" si="2015"/>
        <v>0</v>
      </c>
      <c r="G2410" s="26">
        <v>1</v>
      </c>
      <c r="H2410" s="47">
        <v>1</v>
      </c>
      <c r="I2410" s="27"/>
      <c r="J2410" s="34"/>
      <c r="K2410" s="35">
        <f t="shared" si="2016"/>
        <v>2</v>
      </c>
      <c r="L2410" s="11">
        <f t="shared" si="2008"/>
        <v>2</v>
      </c>
      <c r="M2410" s="99">
        <v>46035</v>
      </c>
      <c r="N2410" s="15" t="s">
        <v>1998</v>
      </c>
      <c r="O2410" s="26">
        <v>8</v>
      </c>
      <c r="P2410" s="47">
        <v>3</v>
      </c>
      <c r="Q2410" s="27"/>
      <c r="R2410" s="34">
        <v>1</v>
      </c>
      <c r="S2410" s="35">
        <f t="shared" si="2017"/>
        <v>12</v>
      </c>
      <c r="T2410" s="26"/>
      <c r="U2410" s="47"/>
      <c r="V2410" s="27"/>
      <c r="W2410" s="34">
        <v>4</v>
      </c>
      <c r="X2410" s="35">
        <f t="shared" si="2018"/>
        <v>4</v>
      </c>
      <c r="Y2410" s="11">
        <f t="shared" si="2011"/>
        <v>16</v>
      </c>
      <c r="Z2410" s="99">
        <v>46035</v>
      </c>
      <c r="AA2410" s="58"/>
    </row>
    <row r="2411" spans="1:27" x14ac:dyDescent="0.15">
      <c r="A2411" s="15" t="s">
        <v>2006</v>
      </c>
      <c r="B2411" s="26"/>
      <c r="C2411" s="47">
        <v>5</v>
      </c>
      <c r="D2411" s="27">
        <v>1</v>
      </c>
      <c r="E2411" s="34"/>
      <c r="F2411" s="35">
        <f t="shared" si="2015"/>
        <v>6</v>
      </c>
      <c r="G2411" s="26">
        <v>3</v>
      </c>
      <c r="H2411" s="47"/>
      <c r="I2411" s="27">
        <v>4</v>
      </c>
      <c r="J2411" s="34"/>
      <c r="K2411" s="35">
        <f t="shared" si="2016"/>
        <v>7</v>
      </c>
      <c r="L2411" s="11">
        <f t="shared" si="2008"/>
        <v>13</v>
      </c>
      <c r="M2411" s="99">
        <v>46038</v>
      </c>
      <c r="N2411" s="15" t="s">
        <v>2000</v>
      </c>
      <c r="O2411" s="26"/>
      <c r="P2411" s="47">
        <v>12</v>
      </c>
      <c r="Q2411" s="27">
        <v>5</v>
      </c>
      <c r="R2411" s="50">
        <v>5</v>
      </c>
      <c r="S2411" s="9">
        <f>SUM(O2411:R2411)</f>
        <v>22</v>
      </c>
      <c r="T2411" s="47">
        <v>6</v>
      </c>
      <c r="U2411" s="47"/>
      <c r="V2411" s="27"/>
      <c r="W2411" s="50">
        <v>1</v>
      </c>
      <c r="X2411" s="9">
        <f>SUM(T2411:W2411)</f>
        <v>7</v>
      </c>
      <c r="Y2411" s="11">
        <f t="shared" si="2011"/>
        <v>29</v>
      </c>
      <c r="Z2411" s="99">
        <v>46037</v>
      </c>
      <c r="AA2411" s="58"/>
    </row>
    <row r="2412" spans="1:27" x14ac:dyDescent="0.15">
      <c r="A2412" s="15" t="s">
        <v>41</v>
      </c>
      <c r="B2412" s="26"/>
      <c r="C2412" s="47"/>
      <c r="D2412" s="27"/>
      <c r="E2412" s="34"/>
      <c r="F2412" s="35">
        <f t="shared" si="2015"/>
        <v>0</v>
      </c>
      <c r="G2412" s="26"/>
      <c r="H2412" s="47"/>
      <c r="I2412" s="27"/>
      <c r="J2412" s="34">
        <v>1</v>
      </c>
      <c r="K2412" s="35">
        <f t="shared" si="2016"/>
        <v>1</v>
      </c>
      <c r="L2412" s="11">
        <f t="shared" si="2008"/>
        <v>1</v>
      </c>
      <c r="M2412" s="126">
        <v>46037</v>
      </c>
      <c r="N2412" s="12" t="s">
        <v>1987</v>
      </c>
      <c r="O2412" s="26"/>
      <c r="P2412" s="47">
        <v>5</v>
      </c>
      <c r="Q2412" s="27">
        <v>5</v>
      </c>
      <c r="R2412" s="34"/>
      <c r="S2412" s="35">
        <f t="shared" ref="S2412:S2429" si="2019">SUM(O2412:R2412)</f>
        <v>10</v>
      </c>
      <c r="T2412" s="26"/>
      <c r="U2412" s="47">
        <v>5</v>
      </c>
      <c r="V2412" s="27">
        <v>10</v>
      </c>
      <c r="W2412" s="34"/>
      <c r="X2412" s="35">
        <f t="shared" ref="X2412:X2429" si="2020">SUM(T2412:W2412)</f>
        <v>15</v>
      </c>
      <c r="Y2412" s="11">
        <f t="shared" si="2011"/>
        <v>25</v>
      </c>
      <c r="Z2412" s="126">
        <v>46035</v>
      </c>
    </row>
    <row r="2413" spans="1:27" x14ac:dyDescent="0.15">
      <c r="A2413" s="15" t="s">
        <v>2008</v>
      </c>
      <c r="B2413" s="26"/>
      <c r="C2413" s="47">
        <v>-2</v>
      </c>
      <c r="D2413" s="27"/>
      <c r="E2413" s="34"/>
      <c r="F2413" s="35">
        <f t="shared" si="2015"/>
        <v>-2</v>
      </c>
      <c r="G2413" s="26"/>
      <c r="H2413" s="47"/>
      <c r="I2413" s="27">
        <v>2</v>
      </c>
      <c r="J2413" s="34"/>
      <c r="K2413" s="35">
        <f t="shared" si="2016"/>
        <v>2</v>
      </c>
      <c r="L2413" s="11">
        <f t="shared" si="2008"/>
        <v>0</v>
      </c>
      <c r="M2413" s="126">
        <v>46041</v>
      </c>
      <c r="N2413" s="12" t="s">
        <v>2002</v>
      </c>
      <c r="O2413" s="26">
        <v>20</v>
      </c>
      <c r="P2413" s="47">
        <v>20</v>
      </c>
      <c r="Q2413" s="27">
        <v>20</v>
      </c>
      <c r="R2413" s="34">
        <v>10</v>
      </c>
      <c r="S2413" s="35">
        <f t="shared" si="2019"/>
        <v>70</v>
      </c>
      <c r="T2413" s="26">
        <v>10</v>
      </c>
      <c r="U2413" s="47">
        <v>10</v>
      </c>
      <c r="V2413" s="27">
        <v>5</v>
      </c>
      <c r="W2413" s="34">
        <v>5</v>
      </c>
      <c r="X2413" s="35">
        <f t="shared" si="2020"/>
        <v>30</v>
      </c>
      <c r="Y2413" s="11">
        <f t="shared" si="2011"/>
        <v>100</v>
      </c>
      <c r="Z2413" s="99">
        <v>46038</v>
      </c>
      <c r="AA2413" s="58"/>
    </row>
    <row r="2414" spans="1:27" x14ac:dyDescent="0.15">
      <c r="A2414" s="15" t="s">
        <v>2009</v>
      </c>
      <c r="B2414" s="26"/>
      <c r="C2414" s="47">
        <v>5</v>
      </c>
      <c r="D2414" s="27">
        <v>2</v>
      </c>
      <c r="E2414" s="34"/>
      <c r="F2414" s="35">
        <f t="shared" si="2015"/>
        <v>7</v>
      </c>
      <c r="G2414" s="26"/>
      <c r="H2414" s="47"/>
      <c r="I2414" s="27"/>
      <c r="J2414" s="34"/>
      <c r="K2414" s="35">
        <f t="shared" si="2016"/>
        <v>0</v>
      </c>
      <c r="L2414" s="11">
        <f t="shared" si="2008"/>
        <v>7</v>
      </c>
      <c r="M2414" s="99">
        <v>46041</v>
      </c>
      <c r="N2414" s="15" t="s">
        <v>2007</v>
      </c>
      <c r="O2414" s="26">
        <v>2</v>
      </c>
      <c r="P2414" s="47">
        <v>5</v>
      </c>
      <c r="Q2414" s="27">
        <v>2</v>
      </c>
      <c r="R2414" s="34"/>
      <c r="S2414" s="35">
        <f t="shared" si="2019"/>
        <v>9</v>
      </c>
      <c r="T2414" s="26"/>
      <c r="U2414" s="47"/>
      <c r="V2414" s="27"/>
      <c r="W2414" s="34">
        <v>3</v>
      </c>
      <c r="X2414" s="35">
        <f t="shared" si="2020"/>
        <v>3</v>
      </c>
      <c r="Y2414" s="11">
        <f t="shared" si="2011"/>
        <v>12</v>
      </c>
      <c r="Z2414" s="99">
        <v>46038</v>
      </c>
    </row>
    <row r="2415" spans="1:27" x14ac:dyDescent="0.15">
      <c r="A2415" s="15" t="s">
        <v>41</v>
      </c>
      <c r="B2415" s="26"/>
      <c r="C2415" s="47"/>
      <c r="D2415" s="27"/>
      <c r="E2415" s="34"/>
      <c r="F2415" s="35">
        <f t="shared" si="2015"/>
        <v>0</v>
      </c>
      <c r="G2415" s="26">
        <v>2</v>
      </c>
      <c r="H2415" s="47"/>
      <c r="I2415" s="27"/>
      <c r="J2415" s="34"/>
      <c r="K2415" s="35">
        <f t="shared" si="2016"/>
        <v>2</v>
      </c>
      <c r="L2415" s="11">
        <f t="shared" si="2008"/>
        <v>2</v>
      </c>
      <c r="M2415" s="126">
        <v>46038</v>
      </c>
      <c r="N2415" s="15" t="s">
        <v>2011</v>
      </c>
      <c r="O2415" s="26">
        <v>4</v>
      </c>
      <c r="P2415" s="47">
        <v>1</v>
      </c>
      <c r="Q2415" s="27">
        <v>6</v>
      </c>
      <c r="R2415" s="34">
        <v>1</v>
      </c>
      <c r="S2415" s="35">
        <f t="shared" si="2019"/>
        <v>12</v>
      </c>
      <c r="T2415" s="26"/>
      <c r="U2415" s="47">
        <v>1</v>
      </c>
      <c r="V2415" s="27">
        <v>1</v>
      </c>
      <c r="W2415" s="34"/>
      <c r="X2415" s="35">
        <f t="shared" si="2020"/>
        <v>2</v>
      </c>
      <c r="Y2415" s="11">
        <f t="shared" si="2011"/>
        <v>14</v>
      </c>
      <c r="Z2415" s="99">
        <v>46043</v>
      </c>
    </row>
    <row r="2416" spans="1:27" x14ac:dyDescent="0.15">
      <c r="A2416" s="15" t="s">
        <v>2010</v>
      </c>
      <c r="B2416" s="26"/>
      <c r="C2416" s="47"/>
      <c r="D2416" s="27"/>
      <c r="E2416" s="34"/>
      <c r="F2416" s="35">
        <f t="shared" si="2015"/>
        <v>0</v>
      </c>
      <c r="G2416" s="26">
        <v>-1</v>
      </c>
      <c r="H2416" s="47"/>
      <c r="I2416" s="27"/>
      <c r="J2416" s="34"/>
      <c r="K2416" s="35">
        <f t="shared" si="2016"/>
        <v>-1</v>
      </c>
      <c r="L2416" s="11">
        <f t="shared" si="2008"/>
        <v>-1</v>
      </c>
      <c r="M2416" s="126">
        <v>46038</v>
      </c>
      <c r="N2416" s="57" t="s">
        <v>2012</v>
      </c>
      <c r="O2416" s="26"/>
      <c r="P2416" s="47">
        <v>20</v>
      </c>
      <c r="Q2416" s="27">
        <v>10</v>
      </c>
      <c r="R2416" s="34"/>
      <c r="S2416" s="35">
        <f t="shared" si="2019"/>
        <v>30</v>
      </c>
      <c r="T2416" s="26"/>
      <c r="U2416" s="47">
        <v>5</v>
      </c>
      <c r="V2416" s="27"/>
      <c r="W2416" s="34"/>
      <c r="X2416" s="35">
        <f t="shared" si="2020"/>
        <v>5</v>
      </c>
      <c r="Y2416" s="11">
        <f t="shared" si="2011"/>
        <v>35</v>
      </c>
      <c r="Z2416" s="99">
        <v>46042</v>
      </c>
    </row>
    <row r="2417" spans="1:27" x14ac:dyDescent="0.15">
      <c r="A2417" s="15" t="s">
        <v>41</v>
      </c>
      <c r="B2417" s="26"/>
      <c r="C2417" s="47"/>
      <c r="D2417" s="27">
        <v>1</v>
      </c>
      <c r="E2417" s="34"/>
      <c r="F2417" s="35">
        <f t="shared" si="2015"/>
        <v>1</v>
      </c>
      <c r="G2417" s="26"/>
      <c r="H2417" s="47">
        <v>1</v>
      </c>
      <c r="I2417" s="27">
        <v>1</v>
      </c>
      <c r="J2417" s="34"/>
      <c r="K2417" s="35">
        <f t="shared" si="2016"/>
        <v>2</v>
      </c>
      <c r="L2417" s="11">
        <f t="shared" si="2008"/>
        <v>3</v>
      </c>
      <c r="M2417" s="126">
        <v>46039</v>
      </c>
      <c r="N2417" s="15" t="s">
        <v>2016</v>
      </c>
      <c r="O2417" s="26">
        <v>3</v>
      </c>
      <c r="P2417" s="47">
        <v>1</v>
      </c>
      <c r="Q2417" s="27">
        <v>3</v>
      </c>
      <c r="R2417" s="34">
        <v>1</v>
      </c>
      <c r="S2417" s="35">
        <f t="shared" si="2019"/>
        <v>8</v>
      </c>
      <c r="T2417" s="26">
        <v>2</v>
      </c>
      <c r="U2417" s="47">
        <v>1</v>
      </c>
      <c r="V2417" s="27">
        <v>1</v>
      </c>
      <c r="W2417" s="34"/>
      <c r="X2417" s="35">
        <f t="shared" si="2020"/>
        <v>4</v>
      </c>
      <c r="Y2417" s="11">
        <f t="shared" si="2011"/>
        <v>12</v>
      </c>
      <c r="Z2417" s="99">
        <v>46044</v>
      </c>
    </row>
    <row r="2418" spans="1:27" x14ac:dyDescent="0.15">
      <c r="A2418" s="15" t="s">
        <v>41</v>
      </c>
      <c r="B2418" s="26">
        <v>2</v>
      </c>
      <c r="C2418" s="47"/>
      <c r="D2418" s="27">
        <v>1</v>
      </c>
      <c r="E2418" s="34"/>
      <c r="F2418" s="35">
        <f t="shared" si="2015"/>
        <v>3</v>
      </c>
      <c r="G2418" s="26"/>
      <c r="H2418" s="47"/>
      <c r="I2418" s="27"/>
      <c r="J2418" s="34">
        <v>2</v>
      </c>
      <c r="K2418" s="35">
        <f t="shared" si="2016"/>
        <v>2</v>
      </c>
      <c r="L2418" s="11">
        <f t="shared" si="2008"/>
        <v>5</v>
      </c>
      <c r="M2418" s="126">
        <v>46041</v>
      </c>
      <c r="N2418" s="57" t="s">
        <v>2018</v>
      </c>
      <c r="O2418" s="26">
        <v>20</v>
      </c>
      <c r="P2418" s="47"/>
      <c r="Q2418" s="27">
        <v>10</v>
      </c>
      <c r="R2418" s="34">
        <v>10</v>
      </c>
      <c r="S2418" s="35">
        <f t="shared" si="2019"/>
        <v>40</v>
      </c>
      <c r="T2418" s="26">
        <v>10</v>
      </c>
      <c r="U2418" s="47">
        <v>10</v>
      </c>
      <c r="V2418" s="27">
        <v>10</v>
      </c>
      <c r="W2418" s="34">
        <v>10</v>
      </c>
      <c r="X2418" s="35">
        <f t="shared" si="2020"/>
        <v>40</v>
      </c>
      <c r="Y2418" s="11">
        <f t="shared" si="2011"/>
        <v>80</v>
      </c>
      <c r="Z2418" s="99">
        <v>46044</v>
      </c>
    </row>
    <row r="2419" spans="1:27" x14ac:dyDescent="0.15">
      <c r="A2419" s="15" t="s">
        <v>41</v>
      </c>
      <c r="B2419" s="26"/>
      <c r="C2419" s="47"/>
      <c r="D2419" s="27"/>
      <c r="E2419" s="34"/>
      <c r="F2419" s="35">
        <f t="shared" si="2015"/>
        <v>0</v>
      </c>
      <c r="G2419" s="26"/>
      <c r="H2419" s="47"/>
      <c r="I2419" s="27">
        <v>1</v>
      </c>
      <c r="J2419" s="34">
        <v>1</v>
      </c>
      <c r="K2419" s="35">
        <f t="shared" si="2016"/>
        <v>2</v>
      </c>
      <c r="L2419" s="11">
        <f t="shared" si="2008"/>
        <v>2</v>
      </c>
      <c r="M2419" s="99">
        <v>46042</v>
      </c>
      <c r="N2419" s="305" t="s">
        <v>1987</v>
      </c>
      <c r="O2419" s="295">
        <v>5</v>
      </c>
      <c r="P2419" s="296"/>
      <c r="Q2419" s="297"/>
      <c r="R2419" s="306"/>
      <c r="S2419" s="307">
        <f t="shared" si="2019"/>
        <v>5</v>
      </c>
      <c r="T2419" s="295"/>
      <c r="U2419" s="296"/>
      <c r="V2419" s="297"/>
      <c r="W2419" s="306"/>
      <c r="X2419" s="307">
        <f t="shared" si="2020"/>
        <v>0</v>
      </c>
      <c r="Y2419" s="300">
        <f t="shared" si="2011"/>
        <v>5</v>
      </c>
      <c r="Z2419" s="301">
        <v>46044</v>
      </c>
    </row>
    <row r="2420" spans="1:27" x14ac:dyDescent="0.15">
      <c r="A2420" s="15" t="s">
        <v>2017</v>
      </c>
      <c r="B2420" s="26">
        <v>2</v>
      </c>
      <c r="C2420" s="47">
        <v>1</v>
      </c>
      <c r="D2420" s="27"/>
      <c r="E2420" s="34">
        <v>1</v>
      </c>
      <c r="F2420" s="35">
        <f t="shared" si="2015"/>
        <v>4</v>
      </c>
      <c r="G2420" s="26"/>
      <c r="H2420" s="47"/>
      <c r="I2420" s="27"/>
      <c r="J2420" s="34"/>
      <c r="K2420" s="35">
        <f t="shared" si="2016"/>
        <v>0</v>
      </c>
      <c r="L2420" s="11">
        <f t="shared" si="2008"/>
        <v>4</v>
      </c>
      <c r="M2420" s="99">
        <v>46045</v>
      </c>
      <c r="N2420" s="15" t="s">
        <v>2020</v>
      </c>
      <c r="O2420" s="26">
        <v>2</v>
      </c>
      <c r="P2420" s="47">
        <v>2</v>
      </c>
      <c r="Q2420" s="27">
        <v>2</v>
      </c>
      <c r="R2420" s="34"/>
      <c r="S2420" s="35">
        <f t="shared" si="2019"/>
        <v>6</v>
      </c>
      <c r="T2420" s="26"/>
      <c r="U2420" s="47"/>
      <c r="V2420" s="27"/>
      <c r="W2420" s="34"/>
      <c r="X2420" s="35">
        <f t="shared" si="2020"/>
        <v>0</v>
      </c>
      <c r="Y2420" s="11">
        <f t="shared" si="2011"/>
        <v>6</v>
      </c>
      <c r="Z2420" s="99">
        <v>46045</v>
      </c>
    </row>
    <row r="2421" spans="1:27" x14ac:dyDescent="0.15">
      <c r="A2421" s="15" t="s">
        <v>2019</v>
      </c>
      <c r="B2421" s="26"/>
      <c r="C2421" s="47"/>
      <c r="D2421" s="27">
        <v>-1</v>
      </c>
      <c r="E2421" s="34"/>
      <c r="F2421" s="35">
        <f t="shared" si="2015"/>
        <v>-1</v>
      </c>
      <c r="G2421" s="26"/>
      <c r="H2421" s="47"/>
      <c r="I2421" s="27"/>
      <c r="J2421" s="34"/>
      <c r="K2421" s="35">
        <f t="shared" si="2016"/>
        <v>0</v>
      </c>
      <c r="L2421" s="11">
        <f t="shared" si="2008"/>
        <v>-1</v>
      </c>
      <c r="M2421" s="126">
        <v>46043</v>
      </c>
      <c r="N2421" s="57" t="s">
        <v>2024</v>
      </c>
      <c r="O2421" s="26"/>
      <c r="P2421" s="47">
        <v>5</v>
      </c>
      <c r="Q2421" s="27"/>
      <c r="R2421" s="34"/>
      <c r="S2421" s="35">
        <f t="shared" si="2019"/>
        <v>5</v>
      </c>
      <c r="T2421" s="26"/>
      <c r="U2421" s="47"/>
      <c r="V2421" s="27"/>
      <c r="W2421" s="34"/>
      <c r="X2421" s="35">
        <f t="shared" si="2020"/>
        <v>0</v>
      </c>
      <c r="Y2421" s="11">
        <f t="shared" si="2011"/>
        <v>5</v>
      </c>
      <c r="Z2421" s="99">
        <v>46048</v>
      </c>
      <c r="AA2421" s="58"/>
    </row>
    <row r="2422" spans="1:27" x14ac:dyDescent="0.15">
      <c r="A2422" s="13" t="s">
        <v>41</v>
      </c>
      <c r="B2422" s="26">
        <v>2</v>
      </c>
      <c r="C2422" s="47"/>
      <c r="D2422" s="27"/>
      <c r="E2422" s="34"/>
      <c r="F2422" s="35">
        <f t="shared" si="2015"/>
        <v>2</v>
      </c>
      <c r="G2422" s="26"/>
      <c r="H2422" s="47">
        <v>1</v>
      </c>
      <c r="I2422" s="27">
        <v>1</v>
      </c>
      <c r="J2422" s="34"/>
      <c r="K2422" s="35">
        <f t="shared" si="2016"/>
        <v>2</v>
      </c>
      <c r="L2422" s="11">
        <f t="shared" si="2008"/>
        <v>4</v>
      </c>
      <c r="M2422" s="126">
        <v>46043</v>
      </c>
      <c r="N2422" s="15" t="s">
        <v>2028</v>
      </c>
      <c r="O2422" s="26">
        <v>2</v>
      </c>
      <c r="P2422" s="47">
        <v>1</v>
      </c>
      <c r="Q2422" s="27">
        <v>2</v>
      </c>
      <c r="R2422" s="34"/>
      <c r="S2422" s="35">
        <f t="shared" si="2019"/>
        <v>5</v>
      </c>
      <c r="T2422" s="26"/>
      <c r="U2422" s="47">
        <v>1</v>
      </c>
      <c r="V2422" s="27">
        <v>1</v>
      </c>
      <c r="W2422" s="34"/>
      <c r="X2422" s="35">
        <f t="shared" si="2020"/>
        <v>2</v>
      </c>
      <c r="Y2422" s="11">
        <f t="shared" si="2011"/>
        <v>7</v>
      </c>
      <c r="Z2422" s="99">
        <v>46051</v>
      </c>
      <c r="AA2422" s="58"/>
    </row>
    <row r="2423" spans="1:27" x14ac:dyDescent="0.15">
      <c r="A2423" s="13" t="s">
        <v>41</v>
      </c>
      <c r="B2423" s="26"/>
      <c r="C2423" s="47">
        <v>1</v>
      </c>
      <c r="D2423" s="27"/>
      <c r="E2423" s="34"/>
      <c r="F2423" s="35">
        <f t="shared" si="2015"/>
        <v>1</v>
      </c>
      <c r="G2423" s="26"/>
      <c r="H2423" s="47"/>
      <c r="I2423" s="27"/>
      <c r="J2423" s="34"/>
      <c r="K2423" s="35">
        <f t="shared" si="2016"/>
        <v>0</v>
      </c>
      <c r="L2423" s="11">
        <f t="shared" si="2008"/>
        <v>1</v>
      </c>
      <c r="M2423" s="99">
        <v>46044</v>
      </c>
      <c r="N2423" s="57"/>
      <c r="O2423" s="26"/>
      <c r="P2423" s="47"/>
      <c r="Q2423" s="27"/>
      <c r="R2423" s="34"/>
      <c r="S2423" s="35">
        <f t="shared" ref="S2423" si="2021">SUM(O2423:R2423)</f>
        <v>0</v>
      </c>
      <c r="T2423" s="26"/>
      <c r="U2423" s="47"/>
      <c r="V2423" s="27"/>
      <c r="W2423" s="34"/>
      <c r="X2423" s="35">
        <f t="shared" ref="X2423" si="2022">SUM(T2423:W2423)</f>
        <v>0</v>
      </c>
      <c r="Y2423" s="11">
        <f t="shared" ref="Y2423" si="2023">S2423+X2423</f>
        <v>0</v>
      </c>
    </row>
    <row r="2424" spans="1:27" x14ac:dyDescent="0.15">
      <c r="A2424" s="15" t="s">
        <v>2022</v>
      </c>
      <c r="B2424" s="26"/>
      <c r="C2424" s="47">
        <v>1</v>
      </c>
      <c r="D2424" s="27">
        <v>1</v>
      </c>
      <c r="E2424" s="34">
        <v>1</v>
      </c>
      <c r="F2424" s="35">
        <f t="shared" si="2015"/>
        <v>3</v>
      </c>
      <c r="G2424" s="26"/>
      <c r="H2424" s="47"/>
      <c r="I2424" s="27"/>
      <c r="J2424" s="34"/>
      <c r="K2424" s="35">
        <f t="shared" si="2016"/>
        <v>0</v>
      </c>
      <c r="L2424" s="11">
        <f t="shared" si="2008"/>
        <v>3</v>
      </c>
      <c r="M2424" s="99">
        <v>46048</v>
      </c>
      <c r="N2424" s="12" t="s">
        <v>1917</v>
      </c>
      <c r="O2424" s="26"/>
      <c r="P2424" s="47"/>
      <c r="Q2424" s="27"/>
      <c r="R2424" s="34"/>
      <c r="S2424" s="35">
        <f t="shared" si="2019"/>
        <v>0</v>
      </c>
      <c r="T2424" s="26"/>
      <c r="U2424" s="47"/>
      <c r="V2424" s="27"/>
      <c r="W2424" s="34"/>
      <c r="X2424" s="35">
        <f t="shared" si="2020"/>
        <v>0</v>
      </c>
      <c r="Y2424" s="11">
        <f t="shared" si="2011"/>
        <v>0</v>
      </c>
      <c r="Z2424" s="101" t="s">
        <v>1916</v>
      </c>
      <c r="AA2424" s="58"/>
    </row>
    <row r="2425" spans="1:27" x14ac:dyDescent="0.15">
      <c r="A2425" s="12" t="s">
        <v>2023</v>
      </c>
      <c r="B2425" s="26"/>
      <c r="C2425" s="47">
        <v>-5</v>
      </c>
      <c r="D2425" s="27"/>
      <c r="E2425" s="34"/>
      <c r="F2425" s="35">
        <f t="shared" si="2015"/>
        <v>-5</v>
      </c>
      <c r="G2425" s="26"/>
      <c r="H2425" s="47"/>
      <c r="I2425" s="27"/>
      <c r="J2425" s="34"/>
      <c r="K2425" s="35">
        <f t="shared" si="2016"/>
        <v>0</v>
      </c>
      <c r="L2425" s="11">
        <f t="shared" si="2008"/>
        <v>-5</v>
      </c>
      <c r="M2425" s="99">
        <v>46048</v>
      </c>
      <c r="N2425" s="173" t="s">
        <v>1911</v>
      </c>
      <c r="O2425" s="154"/>
      <c r="P2425" s="155"/>
      <c r="Q2425" s="156"/>
      <c r="R2425" s="157"/>
      <c r="S2425" s="158">
        <f t="shared" ref="S2425:S2426" si="2024">SUM(O2425:R2425)</f>
        <v>0</v>
      </c>
      <c r="T2425" s="154"/>
      <c r="U2425" s="155"/>
      <c r="V2425" s="156"/>
      <c r="W2425" s="157"/>
      <c r="X2425" s="158">
        <f t="shared" ref="X2425:X2426" si="2025">SUM(T2425:W2425)</f>
        <v>0</v>
      </c>
      <c r="Y2425" s="179">
        <f t="shared" ref="Y2425:Y2426" si="2026">S2425+X2425</f>
        <v>0</v>
      </c>
      <c r="Z2425" s="101"/>
      <c r="AA2425" s="58"/>
    </row>
    <row r="2426" spans="1:27" x14ac:dyDescent="0.15">
      <c r="A2426" s="15" t="s">
        <v>2025</v>
      </c>
      <c r="B2426" s="26"/>
      <c r="C2426" s="47">
        <v>2</v>
      </c>
      <c r="D2426" s="27"/>
      <c r="E2426" s="34">
        <v>2</v>
      </c>
      <c r="F2426" s="35">
        <f t="shared" si="2015"/>
        <v>4</v>
      </c>
      <c r="G2426" s="26"/>
      <c r="H2426" s="47"/>
      <c r="I2426" s="27"/>
      <c r="J2426" s="34"/>
      <c r="K2426" s="35">
        <f t="shared" si="2016"/>
        <v>0</v>
      </c>
      <c r="L2426" s="11">
        <f t="shared" si="2008"/>
        <v>4</v>
      </c>
      <c r="M2426" s="99">
        <v>46050</v>
      </c>
      <c r="N2426" s="57" t="s">
        <v>1910</v>
      </c>
      <c r="O2426" s="26"/>
      <c r="P2426" s="47"/>
      <c r="Q2426" s="27"/>
      <c r="R2426" s="34"/>
      <c r="S2426" s="35">
        <f t="shared" si="2024"/>
        <v>0</v>
      </c>
      <c r="T2426" s="26"/>
      <c r="U2426" s="47"/>
      <c r="V2426" s="27"/>
      <c r="W2426" s="34"/>
      <c r="X2426" s="35">
        <f t="shared" si="2025"/>
        <v>0</v>
      </c>
      <c r="Y2426" s="11">
        <f t="shared" si="2026"/>
        <v>0</v>
      </c>
      <c r="Z2426" s="101" t="s">
        <v>1912</v>
      </c>
      <c r="AA2426" s="58"/>
    </row>
    <row r="2427" spans="1:27" x14ac:dyDescent="0.15">
      <c r="A2427" s="13" t="s">
        <v>41</v>
      </c>
      <c r="B2427" s="26"/>
      <c r="C2427" s="47"/>
      <c r="D2427" s="27"/>
      <c r="E2427" s="34"/>
      <c r="F2427" s="35">
        <f t="shared" si="2015"/>
        <v>0</v>
      </c>
      <c r="G2427" s="26"/>
      <c r="H2427" s="47">
        <v>1</v>
      </c>
      <c r="I2427" s="27"/>
      <c r="J2427" s="34"/>
      <c r="K2427" s="35">
        <f t="shared" si="2016"/>
        <v>1</v>
      </c>
      <c r="L2427" s="11">
        <f t="shared" si="2008"/>
        <v>1</v>
      </c>
      <c r="M2427" s="126">
        <v>46048</v>
      </c>
      <c r="N2427" s="153" t="s">
        <v>1882</v>
      </c>
      <c r="O2427" s="154"/>
      <c r="P2427" s="155"/>
      <c r="Q2427" s="156"/>
      <c r="R2427" s="157"/>
      <c r="S2427" s="158">
        <f t="shared" ref="S2427:S2428" si="2027">SUM(O2427:R2427)</f>
        <v>0</v>
      </c>
      <c r="T2427" s="154"/>
      <c r="U2427" s="155"/>
      <c r="V2427" s="156"/>
      <c r="W2427" s="157"/>
      <c r="X2427" s="158">
        <f t="shared" ref="X2427:X2428" si="2028">SUM(T2427:W2427)</f>
        <v>0</v>
      </c>
      <c r="Y2427" s="179">
        <f t="shared" ref="Y2427:Y2428" si="2029">S2427+X2427</f>
        <v>0</v>
      </c>
      <c r="Z2427" s="101"/>
      <c r="AA2427" s="58"/>
    </row>
    <row r="2428" spans="1:27" ht="14.25" thickBot="1" x14ac:dyDescent="0.2">
      <c r="A2428" s="90"/>
      <c r="B2428" s="62"/>
      <c r="C2428" s="63"/>
      <c r="D2428" s="64"/>
      <c r="E2428" s="65"/>
      <c r="F2428" s="35">
        <f t="shared" si="2015"/>
        <v>0</v>
      </c>
      <c r="G2428" s="62"/>
      <c r="H2428" s="63"/>
      <c r="I2428" s="64"/>
      <c r="J2428" s="65"/>
      <c r="K2428" s="35">
        <f t="shared" si="2016"/>
        <v>0</v>
      </c>
      <c r="L2428" s="14">
        <f t="shared" si="2008"/>
        <v>0</v>
      </c>
      <c r="N2428" s="135" t="s">
        <v>1881</v>
      </c>
      <c r="O2428" s="62"/>
      <c r="P2428" s="63"/>
      <c r="Q2428" s="64"/>
      <c r="R2428" s="65"/>
      <c r="S2428" s="120">
        <f t="shared" si="2027"/>
        <v>0</v>
      </c>
      <c r="T2428" s="62"/>
      <c r="U2428" s="63"/>
      <c r="V2428" s="64"/>
      <c r="W2428" s="65"/>
      <c r="X2428" s="120">
        <f t="shared" si="2028"/>
        <v>0</v>
      </c>
      <c r="Y2428" s="121">
        <f t="shared" si="2029"/>
        <v>0</v>
      </c>
      <c r="Z2428" s="101" t="s">
        <v>1871</v>
      </c>
      <c r="AA2428" s="58"/>
    </row>
    <row r="2429" spans="1:27" ht="14.25" thickBot="1" x14ac:dyDescent="0.2">
      <c r="A2429" s="17" t="s">
        <v>10</v>
      </c>
      <c r="B2429" s="38">
        <f>SUM(B2404:B2428)</f>
        <v>13</v>
      </c>
      <c r="C2429" s="48">
        <f>SUM(C2404:C2428)</f>
        <v>12</v>
      </c>
      <c r="D2429" s="39">
        <f>SUM(D2404:D2428)</f>
        <v>10</v>
      </c>
      <c r="E2429" s="40">
        <f>SUM(E2404:E2428)</f>
        <v>5</v>
      </c>
      <c r="F2429" s="36">
        <f>SUM(B2429:E2429)</f>
        <v>40</v>
      </c>
      <c r="G2429" s="38">
        <f>SUM(G2404:G2428)</f>
        <v>7</v>
      </c>
      <c r="H2429" s="48">
        <f>SUM(H2404:H2428)</f>
        <v>9</v>
      </c>
      <c r="I2429" s="39">
        <f>SUM(I2404:I2428)</f>
        <v>13</v>
      </c>
      <c r="J2429" s="40">
        <f>SUM(J2404:J2428)</f>
        <v>8</v>
      </c>
      <c r="K2429" s="36">
        <f>SUM(G2429:J2429)</f>
        <v>37</v>
      </c>
      <c r="L2429" s="37">
        <f t="shared" si="2008"/>
        <v>77</v>
      </c>
      <c r="N2429" s="133" t="s">
        <v>10</v>
      </c>
      <c r="O2429" s="38">
        <f>SUM(O2404:O2428)</f>
        <v>87</v>
      </c>
      <c r="P2429" s="48">
        <f>SUM(P2404:P2428)</f>
        <v>94</v>
      </c>
      <c r="Q2429" s="39">
        <f>SUM(Q2404:Q2428)</f>
        <v>80</v>
      </c>
      <c r="R2429" s="40">
        <f>SUM(R2404:R2428)</f>
        <v>35</v>
      </c>
      <c r="S2429" s="118">
        <f t="shared" si="2019"/>
        <v>296</v>
      </c>
      <c r="T2429" s="38">
        <f>SUM(T2404:T2428)</f>
        <v>38</v>
      </c>
      <c r="U2429" s="48">
        <f>SUM(U2404:U2428)</f>
        <v>36</v>
      </c>
      <c r="V2429" s="39">
        <f>SUM(V2404:V2428)</f>
        <v>35</v>
      </c>
      <c r="W2429" s="40">
        <f>SUM(W2404:W2428)</f>
        <v>33</v>
      </c>
      <c r="X2429" s="118">
        <f t="shared" si="2020"/>
        <v>142</v>
      </c>
      <c r="Y2429" s="119">
        <f t="shared" si="2011"/>
        <v>438</v>
      </c>
    </row>
    <row r="2430" spans="1:27" ht="14.25" thickBot="1" x14ac:dyDescent="0.2">
      <c r="A2430" s="22" t="s">
        <v>11</v>
      </c>
      <c r="B2430" s="41">
        <f>B2403-B2429</f>
        <v>7</v>
      </c>
      <c r="C2430" s="49">
        <f>C2403-C2429</f>
        <v>6</v>
      </c>
      <c r="D2430" s="42">
        <f t="shared" ref="D2430:K2430" si="2030">D2403-D2429</f>
        <v>8</v>
      </c>
      <c r="E2430" s="43">
        <f t="shared" si="2030"/>
        <v>6</v>
      </c>
      <c r="F2430" s="61">
        <f t="shared" si="2030"/>
        <v>23</v>
      </c>
      <c r="G2430" s="41">
        <f t="shared" si="2030"/>
        <v>5</v>
      </c>
      <c r="H2430" s="49">
        <f t="shared" si="2030"/>
        <v>12</v>
      </c>
      <c r="I2430" s="42">
        <f t="shared" si="2030"/>
        <v>8</v>
      </c>
      <c r="J2430" s="43">
        <f t="shared" si="2030"/>
        <v>4</v>
      </c>
      <c r="K2430" s="61">
        <f t="shared" si="2030"/>
        <v>29</v>
      </c>
      <c r="L2430" s="21">
        <f t="shared" si="2008"/>
        <v>52</v>
      </c>
      <c r="N2430" s="17" t="s">
        <v>11</v>
      </c>
      <c r="O2430" s="41">
        <f>O2403-O2429</f>
        <v>414</v>
      </c>
      <c r="P2430" s="49">
        <f t="shared" ref="P2430:Q2430" si="2031">P2403-P2429</f>
        <v>612</v>
      </c>
      <c r="Q2430" s="42">
        <f t="shared" si="2031"/>
        <v>347</v>
      </c>
      <c r="R2430" s="43">
        <f>R2403-R2429</f>
        <v>241</v>
      </c>
      <c r="S2430" s="61">
        <f t="shared" ref="S2430:X2430" si="2032">S2403-S2429</f>
        <v>1614</v>
      </c>
      <c r="T2430" s="41">
        <f t="shared" si="2032"/>
        <v>603</v>
      </c>
      <c r="U2430" s="49">
        <f t="shared" si="2032"/>
        <v>640</v>
      </c>
      <c r="V2430" s="42">
        <f t="shared" si="2032"/>
        <v>512</v>
      </c>
      <c r="W2430" s="43">
        <f t="shared" si="2032"/>
        <v>304</v>
      </c>
      <c r="X2430" s="61">
        <f t="shared" si="2032"/>
        <v>2059</v>
      </c>
      <c r="Y2430" s="21">
        <f t="shared" si="2011"/>
        <v>3673</v>
      </c>
    </row>
    <row r="2433" spans="1:26" ht="19.5" thickBot="1" x14ac:dyDescent="0.25">
      <c r="A2433" s="2" t="s">
        <v>106</v>
      </c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N2433" s="2" t="s">
        <v>1036</v>
      </c>
      <c r="O2433" s="270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6" ht="14.25" thickBot="1" x14ac:dyDescent="0.2">
      <c r="A2434" s="5" t="s">
        <v>0</v>
      </c>
      <c r="B2434" s="342" t="s">
        <v>18</v>
      </c>
      <c r="C2434" s="350"/>
      <c r="D2434" s="350"/>
      <c r="E2434" s="350"/>
      <c r="F2434" s="351"/>
      <c r="G2434" s="345" t="s">
        <v>12</v>
      </c>
      <c r="H2434" s="352"/>
      <c r="I2434" s="352"/>
      <c r="J2434" s="352"/>
      <c r="K2434" s="353"/>
      <c r="L2434" s="354" t="s">
        <v>1</v>
      </c>
      <c r="N2434" s="5" t="s">
        <v>0</v>
      </c>
      <c r="O2434" s="342" t="s">
        <v>18</v>
      </c>
      <c r="P2434" s="343"/>
      <c r="Q2434" s="343"/>
      <c r="R2434" s="343"/>
      <c r="S2434" s="344"/>
      <c r="T2434" s="345" t="s">
        <v>12</v>
      </c>
      <c r="U2434" s="346"/>
      <c r="V2434" s="346"/>
      <c r="W2434" s="346"/>
      <c r="X2434" s="347"/>
      <c r="Y2434" s="348" t="s">
        <v>1</v>
      </c>
    </row>
    <row r="2435" spans="1:26" ht="14.25" thickBot="1" x14ac:dyDescent="0.2">
      <c r="A2435" s="5" t="s">
        <v>2</v>
      </c>
      <c r="B2435" s="3" t="s">
        <v>13</v>
      </c>
      <c r="C2435" s="44" t="s">
        <v>14</v>
      </c>
      <c r="D2435" s="4" t="s">
        <v>15</v>
      </c>
      <c r="E2435" s="23" t="s">
        <v>16</v>
      </c>
      <c r="F2435" s="31" t="s">
        <v>3</v>
      </c>
      <c r="G2435" s="3" t="s">
        <v>13</v>
      </c>
      <c r="H2435" s="44" t="s">
        <v>14</v>
      </c>
      <c r="I2435" s="4" t="s">
        <v>15</v>
      </c>
      <c r="J2435" s="23" t="s">
        <v>16</v>
      </c>
      <c r="K2435" s="31" t="s">
        <v>3</v>
      </c>
      <c r="L2435" s="355"/>
      <c r="N2435" s="5" t="s">
        <v>2</v>
      </c>
      <c r="O2435" s="3" t="s">
        <v>13</v>
      </c>
      <c r="P2435" s="44" t="s">
        <v>14</v>
      </c>
      <c r="Q2435" s="4" t="s">
        <v>15</v>
      </c>
      <c r="R2435" s="23" t="s">
        <v>16</v>
      </c>
      <c r="S2435" s="31" t="s">
        <v>3</v>
      </c>
      <c r="T2435" s="3" t="s">
        <v>13</v>
      </c>
      <c r="U2435" s="44" t="s">
        <v>14</v>
      </c>
      <c r="V2435" s="4" t="s">
        <v>15</v>
      </c>
      <c r="W2435" s="23" t="s">
        <v>16</v>
      </c>
      <c r="X2435" s="31" t="s">
        <v>3</v>
      </c>
      <c r="Y2435" s="349"/>
    </row>
    <row r="2436" spans="1:26" x14ac:dyDescent="0.15">
      <c r="A2436" s="71" t="s">
        <v>17</v>
      </c>
      <c r="B2436" s="72">
        <f>B2430</f>
        <v>7</v>
      </c>
      <c r="C2436" s="73">
        <f t="shared" ref="C2436:L2436" si="2033">C2430</f>
        <v>6</v>
      </c>
      <c r="D2436" s="73">
        <f t="shared" si="2033"/>
        <v>8</v>
      </c>
      <c r="E2436" s="74">
        <f t="shared" si="2033"/>
        <v>6</v>
      </c>
      <c r="F2436" s="76">
        <f t="shared" si="2033"/>
        <v>23</v>
      </c>
      <c r="G2436" s="72">
        <f t="shared" si="2033"/>
        <v>5</v>
      </c>
      <c r="H2436" s="73">
        <f t="shared" si="2033"/>
        <v>12</v>
      </c>
      <c r="I2436" s="73">
        <f t="shared" si="2033"/>
        <v>8</v>
      </c>
      <c r="J2436" s="74">
        <f t="shared" si="2033"/>
        <v>4</v>
      </c>
      <c r="K2436" s="75">
        <f t="shared" si="2033"/>
        <v>29</v>
      </c>
      <c r="L2436" s="16">
        <f t="shared" si="2033"/>
        <v>52</v>
      </c>
      <c r="N2436" s="71" t="s">
        <v>17</v>
      </c>
      <c r="O2436" s="72">
        <f>O2430</f>
        <v>414</v>
      </c>
      <c r="P2436" s="73">
        <f t="shared" ref="P2436:Y2436" si="2034">P2430</f>
        <v>612</v>
      </c>
      <c r="Q2436" s="73">
        <f t="shared" si="2034"/>
        <v>347</v>
      </c>
      <c r="R2436" s="74">
        <f t="shared" si="2034"/>
        <v>241</v>
      </c>
      <c r="S2436" s="76">
        <f t="shared" si="2034"/>
        <v>1614</v>
      </c>
      <c r="T2436" s="72">
        <f t="shared" si="2034"/>
        <v>603</v>
      </c>
      <c r="U2436" s="73">
        <f t="shared" si="2034"/>
        <v>640</v>
      </c>
      <c r="V2436" s="73">
        <f t="shared" si="2034"/>
        <v>512</v>
      </c>
      <c r="W2436" s="74">
        <f t="shared" si="2034"/>
        <v>304</v>
      </c>
      <c r="X2436" s="75">
        <f t="shared" si="2034"/>
        <v>2059</v>
      </c>
      <c r="Y2436" s="16">
        <f t="shared" si="2034"/>
        <v>3673</v>
      </c>
    </row>
    <row r="2437" spans="1:26" x14ac:dyDescent="0.15">
      <c r="A2437" s="294" t="s">
        <v>5</v>
      </c>
      <c r="B2437" s="295"/>
      <c r="C2437" s="296"/>
      <c r="D2437" s="297"/>
      <c r="E2437" s="298"/>
      <c r="F2437" s="299">
        <f t="shared" ref="F2437:F2438" si="2035">SUM(B2437:E2437)</f>
        <v>0</v>
      </c>
      <c r="G2437" s="296">
        <v>3</v>
      </c>
      <c r="H2437" s="296"/>
      <c r="I2437" s="297"/>
      <c r="J2437" s="298">
        <v>3</v>
      </c>
      <c r="K2437" s="299">
        <f t="shared" ref="K2437:K2438" si="2036">SUM(G2437:J2437)</f>
        <v>6</v>
      </c>
      <c r="L2437" s="300">
        <f t="shared" ref="L2437:L2468" si="2037">F2437+K2437</f>
        <v>6</v>
      </c>
      <c r="M2437" s="301">
        <v>46051</v>
      </c>
      <c r="N2437" s="13" t="s">
        <v>5</v>
      </c>
      <c r="O2437" s="26"/>
      <c r="P2437" s="47"/>
      <c r="Q2437" s="27"/>
      <c r="R2437" s="34"/>
      <c r="S2437" s="77">
        <f t="shared" ref="S2437:S2440" si="2038">SUM(O2437:R2437)</f>
        <v>0</v>
      </c>
      <c r="T2437" s="26"/>
      <c r="U2437" s="47"/>
      <c r="V2437" s="27"/>
      <c r="W2437" s="34"/>
      <c r="X2437" s="9">
        <f t="shared" ref="X2437:X2440" si="2039">SUM(T2437:W2437)</f>
        <v>0</v>
      </c>
      <c r="Y2437" s="11">
        <f t="shared" ref="Y2437:Y2468" si="2040">S2437+X2437</f>
        <v>0</v>
      </c>
    </row>
    <row r="2438" spans="1:26" x14ac:dyDescent="0.15">
      <c r="A2438" s="13" t="s">
        <v>49</v>
      </c>
      <c r="B2438" s="26">
        <v>1</v>
      </c>
      <c r="C2438" s="47">
        <v>1</v>
      </c>
      <c r="D2438" s="27"/>
      <c r="E2438" s="50"/>
      <c r="F2438" s="9">
        <f t="shared" si="2035"/>
        <v>2</v>
      </c>
      <c r="G2438" s="47">
        <v>1</v>
      </c>
      <c r="H2438" s="47">
        <v>1</v>
      </c>
      <c r="I2438" s="27">
        <v>2</v>
      </c>
      <c r="J2438" s="50"/>
      <c r="K2438" s="9">
        <f t="shared" si="2036"/>
        <v>4</v>
      </c>
      <c r="L2438" s="11">
        <f t="shared" si="2037"/>
        <v>6</v>
      </c>
      <c r="M2438" s="126">
        <v>46051</v>
      </c>
      <c r="N2438" s="13" t="s">
        <v>6</v>
      </c>
      <c r="O2438" s="26"/>
      <c r="P2438" s="47"/>
      <c r="Q2438" s="27"/>
      <c r="R2438" s="34"/>
      <c r="S2438" s="77">
        <f t="shared" si="2038"/>
        <v>0</v>
      </c>
      <c r="T2438" s="26"/>
      <c r="U2438" s="47"/>
      <c r="V2438" s="27"/>
      <c r="W2438" s="34"/>
      <c r="X2438" s="9">
        <f t="shared" si="2039"/>
        <v>0</v>
      </c>
      <c r="Y2438" s="11">
        <f t="shared" si="2040"/>
        <v>0</v>
      </c>
    </row>
    <row r="2439" spans="1:26" x14ac:dyDescent="0.15">
      <c r="A2439" s="13" t="s">
        <v>7</v>
      </c>
      <c r="B2439" s="26"/>
      <c r="C2439" s="47">
        <v>5</v>
      </c>
      <c r="D2439" s="27"/>
      <c r="E2439" s="50"/>
      <c r="F2439" s="9">
        <f>SUM(B2439:E2439)</f>
        <v>5</v>
      </c>
      <c r="G2439" s="47"/>
      <c r="H2439" s="47"/>
      <c r="I2439" s="27"/>
      <c r="J2439" s="50"/>
      <c r="K2439" s="9">
        <f>SUM(G2439:J2439)</f>
        <v>0</v>
      </c>
      <c r="L2439" s="11">
        <f t="shared" si="2037"/>
        <v>5</v>
      </c>
      <c r="M2439" s="99">
        <v>46063</v>
      </c>
      <c r="N2439" s="13" t="s">
        <v>7</v>
      </c>
      <c r="O2439" s="26"/>
      <c r="P2439" s="47"/>
      <c r="Q2439" s="27"/>
      <c r="R2439" s="34"/>
      <c r="S2439" s="77">
        <f t="shared" si="2038"/>
        <v>0</v>
      </c>
      <c r="T2439" s="26"/>
      <c r="U2439" s="47"/>
      <c r="V2439" s="27"/>
      <c r="W2439" s="34"/>
      <c r="X2439" s="9">
        <f t="shared" si="2039"/>
        <v>0</v>
      </c>
      <c r="Y2439" s="11">
        <f t="shared" si="2040"/>
        <v>0</v>
      </c>
    </row>
    <row r="2440" spans="1:26" ht="14.25" thickBot="1" x14ac:dyDescent="0.2">
      <c r="A2440" s="13" t="s">
        <v>49</v>
      </c>
      <c r="B2440" s="26">
        <v>2</v>
      </c>
      <c r="C2440" s="47">
        <v>3</v>
      </c>
      <c r="D2440" s="27">
        <v>2</v>
      </c>
      <c r="E2440" s="50">
        <v>1</v>
      </c>
      <c r="F2440" s="10">
        <f>SUM(B2440:E2440)</f>
        <v>8</v>
      </c>
      <c r="G2440" s="47">
        <v>1</v>
      </c>
      <c r="H2440" s="47"/>
      <c r="I2440" s="27"/>
      <c r="J2440" s="50"/>
      <c r="K2440" s="10">
        <f>SUM(G2440:J2440)</f>
        <v>1</v>
      </c>
      <c r="L2440" s="14">
        <f t="shared" si="2037"/>
        <v>9</v>
      </c>
      <c r="M2440" s="126">
        <v>46062</v>
      </c>
      <c r="N2440" s="13" t="s">
        <v>8</v>
      </c>
      <c r="O2440" s="26"/>
      <c r="P2440" s="47"/>
      <c r="Q2440" s="27"/>
      <c r="R2440" s="34"/>
      <c r="S2440" s="77">
        <f t="shared" si="2038"/>
        <v>0</v>
      </c>
      <c r="T2440" s="26"/>
      <c r="U2440" s="47"/>
      <c r="V2440" s="27"/>
      <c r="W2440" s="34"/>
      <c r="X2440" s="9">
        <f t="shared" si="2039"/>
        <v>0</v>
      </c>
      <c r="Y2440" s="11">
        <f t="shared" si="2040"/>
        <v>0</v>
      </c>
    </row>
    <row r="2441" spans="1:26" ht="14.25" thickBot="1" x14ac:dyDescent="0.2">
      <c r="A2441" s="22" t="s">
        <v>9</v>
      </c>
      <c r="B2441" s="41">
        <f t="shared" ref="B2441:K2441" si="2041">SUM(B2436:B2440)</f>
        <v>10</v>
      </c>
      <c r="C2441" s="49">
        <f t="shared" si="2041"/>
        <v>15</v>
      </c>
      <c r="D2441" s="42">
        <f t="shared" si="2041"/>
        <v>10</v>
      </c>
      <c r="E2441" s="92">
        <f t="shared" si="2041"/>
        <v>7</v>
      </c>
      <c r="F2441" s="132">
        <f t="shared" si="2041"/>
        <v>38</v>
      </c>
      <c r="G2441" s="41">
        <f t="shared" si="2041"/>
        <v>10</v>
      </c>
      <c r="H2441" s="49">
        <f t="shared" si="2041"/>
        <v>13</v>
      </c>
      <c r="I2441" s="42">
        <f t="shared" si="2041"/>
        <v>10</v>
      </c>
      <c r="J2441" s="92">
        <f t="shared" si="2041"/>
        <v>7</v>
      </c>
      <c r="K2441" s="132">
        <f t="shared" si="2041"/>
        <v>40</v>
      </c>
      <c r="L2441" s="21">
        <f t="shared" si="2037"/>
        <v>78</v>
      </c>
      <c r="N2441" s="17" t="s">
        <v>9</v>
      </c>
      <c r="O2441" s="41">
        <f>SUM(O2436:O2440)</f>
        <v>414</v>
      </c>
      <c r="P2441" s="49">
        <f t="shared" ref="P2441:V2441" si="2042">SUM(P2436:P2440)</f>
        <v>612</v>
      </c>
      <c r="Q2441" s="42">
        <f t="shared" si="2042"/>
        <v>347</v>
      </c>
      <c r="R2441" s="92">
        <f t="shared" si="2042"/>
        <v>241</v>
      </c>
      <c r="S2441" s="93">
        <f t="shared" si="2042"/>
        <v>1614</v>
      </c>
      <c r="T2441" s="41">
        <f t="shared" si="2042"/>
        <v>603</v>
      </c>
      <c r="U2441" s="49">
        <f t="shared" si="2042"/>
        <v>640</v>
      </c>
      <c r="V2441" s="42">
        <f t="shared" si="2042"/>
        <v>512</v>
      </c>
      <c r="W2441" s="92">
        <f>SUM(W2436:W2440)</f>
        <v>304</v>
      </c>
      <c r="X2441" s="93">
        <f t="shared" ref="X2441" si="2043">SUM(X2436:X2440)</f>
        <v>2059</v>
      </c>
      <c r="Y2441" s="56">
        <f t="shared" si="2040"/>
        <v>3673</v>
      </c>
    </row>
    <row r="2442" spans="1:26" x14ac:dyDescent="0.15">
      <c r="A2442" s="15" t="s">
        <v>2033</v>
      </c>
      <c r="B2442" s="26">
        <v>1</v>
      </c>
      <c r="C2442" s="47">
        <v>1</v>
      </c>
      <c r="D2442" s="27"/>
      <c r="E2442" s="34">
        <v>1</v>
      </c>
      <c r="F2442" s="35">
        <f t="shared" ref="F2442:F2466" si="2044">SUM(B2442:E2442)</f>
        <v>3</v>
      </c>
      <c r="G2442" s="26">
        <v>1</v>
      </c>
      <c r="H2442" s="47"/>
      <c r="I2442" s="27"/>
      <c r="J2442" s="34"/>
      <c r="K2442" s="35">
        <f t="shared" ref="K2442:K2466" si="2045">SUM(G2442:J2442)</f>
        <v>1</v>
      </c>
      <c r="L2442" s="11">
        <f t="shared" si="2037"/>
        <v>4</v>
      </c>
      <c r="M2442" s="99">
        <v>46052</v>
      </c>
      <c r="N2442" s="12" t="s">
        <v>2021</v>
      </c>
      <c r="O2442" s="26">
        <v>8</v>
      </c>
      <c r="P2442" s="47">
        <v>8</v>
      </c>
      <c r="Q2442" s="27">
        <v>8</v>
      </c>
      <c r="R2442" s="34">
        <v>8</v>
      </c>
      <c r="S2442" s="35">
        <f t="shared" ref="S2442:S2448" si="2046">SUM(O2442:R2442)</f>
        <v>32</v>
      </c>
      <c r="T2442" s="26">
        <v>8</v>
      </c>
      <c r="U2442" s="47">
        <v>8</v>
      </c>
      <c r="V2442" s="27">
        <v>8</v>
      </c>
      <c r="W2442" s="34">
        <v>8</v>
      </c>
      <c r="X2442" s="35">
        <f t="shared" ref="X2442:X2448" si="2047">SUM(T2442:W2442)</f>
        <v>32</v>
      </c>
      <c r="Y2442" s="11">
        <f t="shared" si="2040"/>
        <v>64</v>
      </c>
      <c r="Z2442" s="99">
        <v>46055</v>
      </c>
    </row>
    <row r="2443" spans="1:26" x14ac:dyDescent="0.15">
      <c r="A2443" s="15" t="s">
        <v>41</v>
      </c>
      <c r="B2443" s="26"/>
      <c r="C2443" s="47"/>
      <c r="D2443" s="27"/>
      <c r="E2443" s="34"/>
      <c r="F2443" s="35">
        <f t="shared" si="2044"/>
        <v>0</v>
      </c>
      <c r="G2443" s="26"/>
      <c r="H2443" s="47"/>
      <c r="I2443" s="27"/>
      <c r="J2443" s="34">
        <v>1</v>
      </c>
      <c r="K2443" s="35">
        <f t="shared" si="2045"/>
        <v>1</v>
      </c>
      <c r="L2443" s="11">
        <f t="shared" si="2037"/>
        <v>1</v>
      </c>
      <c r="M2443" s="99">
        <v>46050</v>
      </c>
      <c r="N2443" s="12" t="s">
        <v>2032</v>
      </c>
      <c r="O2443" s="26">
        <v>15</v>
      </c>
      <c r="P2443" s="47">
        <v>15</v>
      </c>
      <c r="Q2443" s="27">
        <v>15</v>
      </c>
      <c r="R2443" s="34">
        <v>10</v>
      </c>
      <c r="S2443" s="35">
        <f t="shared" si="2046"/>
        <v>55</v>
      </c>
      <c r="T2443" s="26">
        <v>20</v>
      </c>
      <c r="U2443" s="47">
        <v>20</v>
      </c>
      <c r="V2443" s="27">
        <v>10</v>
      </c>
      <c r="W2443" s="34">
        <v>5</v>
      </c>
      <c r="X2443" s="35">
        <f t="shared" si="2047"/>
        <v>55</v>
      </c>
      <c r="Y2443" s="11">
        <f t="shared" si="2040"/>
        <v>110</v>
      </c>
      <c r="Z2443" s="99">
        <v>46051</v>
      </c>
    </row>
    <row r="2444" spans="1:26" x14ac:dyDescent="0.15">
      <c r="A2444" s="15" t="s">
        <v>41</v>
      </c>
      <c r="B2444" s="26"/>
      <c r="C2444" s="47">
        <v>2</v>
      </c>
      <c r="D2444" s="27"/>
      <c r="E2444" s="34"/>
      <c r="F2444" s="35">
        <f t="shared" si="2044"/>
        <v>2</v>
      </c>
      <c r="G2444" s="26"/>
      <c r="H2444" s="47">
        <v>2</v>
      </c>
      <c r="I2444" s="27">
        <v>2</v>
      </c>
      <c r="J2444" s="34"/>
      <c r="K2444" s="35">
        <f t="shared" si="2045"/>
        <v>4</v>
      </c>
      <c r="L2444" s="11">
        <f t="shared" si="2037"/>
        <v>6</v>
      </c>
      <c r="M2444" s="99">
        <v>46055</v>
      </c>
      <c r="N2444" s="305" t="s">
        <v>1987</v>
      </c>
      <c r="O2444" s="295"/>
      <c r="P2444" s="296"/>
      <c r="Q2444" s="297"/>
      <c r="R2444" s="306"/>
      <c r="S2444" s="307">
        <f t="shared" si="2046"/>
        <v>0</v>
      </c>
      <c r="T2444" s="295">
        <v>3</v>
      </c>
      <c r="U2444" s="296"/>
      <c r="V2444" s="297"/>
      <c r="W2444" s="306">
        <v>3</v>
      </c>
      <c r="X2444" s="307">
        <f t="shared" si="2047"/>
        <v>6</v>
      </c>
      <c r="Y2444" s="300">
        <f t="shared" si="2040"/>
        <v>6</v>
      </c>
      <c r="Z2444" s="301">
        <v>46051</v>
      </c>
    </row>
    <row r="2445" spans="1:26" x14ac:dyDescent="0.15">
      <c r="A2445" s="153" t="s">
        <v>2040</v>
      </c>
      <c r="B2445" s="26"/>
      <c r="C2445" s="47"/>
      <c r="D2445" s="27"/>
      <c r="E2445" s="34"/>
      <c r="F2445" s="35">
        <f t="shared" si="2044"/>
        <v>0</v>
      </c>
      <c r="G2445" s="26"/>
      <c r="H2445" s="47">
        <v>2</v>
      </c>
      <c r="I2445" s="27"/>
      <c r="J2445" s="34"/>
      <c r="K2445" s="35">
        <f t="shared" si="2045"/>
        <v>2</v>
      </c>
      <c r="L2445" s="11">
        <f t="shared" si="2037"/>
        <v>2</v>
      </c>
      <c r="M2445" s="99">
        <v>46059</v>
      </c>
      <c r="N2445" s="153" t="s">
        <v>2034</v>
      </c>
      <c r="O2445" s="26">
        <v>19</v>
      </c>
      <c r="P2445" s="47">
        <v>21</v>
      </c>
      <c r="Q2445" s="27">
        <v>11</v>
      </c>
      <c r="R2445" s="34">
        <v>6</v>
      </c>
      <c r="S2445" s="35">
        <f t="shared" si="2046"/>
        <v>57</v>
      </c>
      <c r="T2445" s="26">
        <v>6</v>
      </c>
      <c r="U2445" s="47">
        <v>8</v>
      </c>
      <c r="V2445" s="27">
        <v>4</v>
      </c>
      <c r="W2445" s="34">
        <v>3</v>
      </c>
      <c r="X2445" s="35">
        <f t="shared" si="2047"/>
        <v>21</v>
      </c>
      <c r="Y2445" s="11">
        <f t="shared" si="2040"/>
        <v>78</v>
      </c>
      <c r="Z2445" s="99">
        <v>46052</v>
      </c>
    </row>
    <row r="2446" spans="1:26" x14ac:dyDescent="0.15">
      <c r="A2446" s="15" t="s">
        <v>41</v>
      </c>
      <c r="B2446" s="26"/>
      <c r="C2446" s="47"/>
      <c r="D2446" s="27"/>
      <c r="E2446" s="34"/>
      <c r="F2446" s="35">
        <f t="shared" si="2044"/>
        <v>0</v>
      </c>
      <c r="G2446" s="26">
        <v>2</v>
      </c>
      <c r="H2446" s="47"/>
      <c r="I2446" s="27"/>
      <c r="J2446" s="34"/>
      <c r="K2446" s="35">
        <f t="shared" si="2045"/>
        <v>2</v>
      </c>
      <c r="L2446" s="11">
        <f t="shared" si="2037"/>
        <v>2</v>
      </c>
      <c r="M2446" s="126">
        <v>46058</v>
      </c>
      <c r="N2446" s="12" t="s">
        <v>2035</v>
      </c>
      <c r="O2446" s="26">
        <v>15</v>
      </c>
      <c r="P2446" s="47">
        <v>50</v>
      </c>
      <c r="Q2446" s="27">
        <v>40</v>
      </c>
      <c r="R2446" s="34">
        <v>25</v>
      </c>
      <c r="S2446" s="35">
        <f t="shared" si="2046"/>
        <v>130</v>
      </c>
      <c r="T2446" s="26"/>
      <c r="U2446" s="47">
        <v>10</v>
      </c>
      <c r="V2446" s="27">
        <v>10</v>
      </c>
      <c r="W2446" s="34">
        <v>10</v>
      </c>
      <c r="X2446" s="35">
        <f t="shared" si="2047"/>
        <v>30</v>
      </c>
      <c r="Y2446" s="11">
        <f t="shared" si="2040"/>
        <v>160</v>
      </c>
      <c r="Z2446" s="99">
        <v>46052</v>
      </c>
    </row>
    <row r="2447" spans="1:26" x14ac:dyDescent="0.15">
      <c r="A2447" s="15" t="s">
        <v>41</v>
      </c>
      <c r="B2447" s="26"/>
      <c r="C2447" s="47">
        <v>2</v>
      </c>
      <c r="D2447" s="27"/>
      <c r="E2447" s="34"/>
      <c r="F2447" s="35">
        <f t="shared" si="2044"/>
        <v>2</v>
      </c>
      <c r="G2447" s="26"/>
      <c r="H2447" s="47">
        <v>2</v>
      </c>
      <c r="I2447" s="27"/>
      <c r="J2447" s="34"/>
      <c r="K2447" s="35">
        <f t="shared" si="2045"/>
        <v>2</v>
      </c>
      <c r="L2447" s="11">
        <f t="shared" si="2037"/>
        <v>4</v>
      </c>
      <c r="M2447" s="126">
        <v>46059</v>
      </c>
      <c r="N2447" s="12" t="s">
        <v>2036</v>
      </c>
      <c r="O2447" s="26">
        <v>10</v>
      </c>
      <c r="P2447" s="47"/>
      <c r="Q2447" s="27"/>
      <c r="R2447" s="34"/>
      <c r="S2447" s="35">
        <f t="shared" si="2046"/>
        <v>10</v>
      </c>
      <c r="T2447" s="26"/>
      <c r="U2447" s="47"/>
      <c r="V2447" s="27">
        <v>5</v>
      </c>
      <c r="W2447" s="34">
        <v>10</v>
      </c>
      <c r="X2447" s="35">
        <f t="shared" si="2047"/>
        <v>15</v>
      </c>
      <c r="Y2447" s="11">
        <f t="shared" si="2040"/>
        <v>25</v>
      </c>
      <c r="Z2447" s="99">
        <v>46053</v>
      </c>
    </row>
    <row r="2448" spans="1:26" x14ac:dyDescent="0.15">
      <c r="A2448" s="15" t="s">
        <v>41</v>
      </c>
      <c r="B2448" s="26">
        <v>1</v>
      </c>
      <c r="C2448" s="47">
        <v>2</v>
      </c>
      <c r="D2448" s="27"/>
      <c r="E2448" s="34"/>
      <c r="F2448" s="35">
        <f t="shared" si="2044"/>
        <v>3</v>
      </c>
      <c r="G2448" s="26"/>
      <c r="H2448" s="47"/>
      <c r="I2448" s="27"/>
      <c r="J2448" s="34"/>
      <c r="K2448" s="35">
        <f t="shared" si="2045"/>
        <v>0</v>
      </c>
      <c r="L2448" s="11">
        <f t="shared" si="2037"/>
        <v>3</v>
      </c>
      <c r="M2448" s="126">
        <v>46062</v>
      </c>
      <c r="N2448" s="153" t="s">
        <v>2039</v>
      </c>
      <c r="O2448" s="26">
        <v>8</v>
      </c>
      <c r="P2448" s="47">
        <v>9</v>
      </c>
      <c r="Q2448" s="27">
        <v>6</v>
      </c>
      <c r="R2448" s="34">
        <v>3</v>
      </c>
      <c r="S2448" s="35">
        <f t="shared" si="2046"/>
        <v>26</v>
      </c>
      <c r="T2448" s="26">
        <v>3</v>
      </c>
      <c r="U2448" s="47">
        <v>2</v>
      </c>
      <c r="V2448" s="27">
        <v>2</v>
      </c>
      <c r="W2448" s="34">
        <v>1</v>
      </c>
      <c r="X2448" s="35">
        <f t="shared" si="2047"/>
        <v>8</v>
      </c>
      <c r="Y2448" s="11">
        <f t="shared" si="2040"/>
        <v>34</v>
      </c>
      <c r="Z2448" s="99">
        <v>46057</v>
      </c>
    </row>
    <row r="2449" spans="1:29" x14ac:dyDescent="0.15">
      <c r="A2449" s="15" t="s">
        <v>41</v>
      </c>
      <c r="B2449" s="26"/>
      <c r="C2449" s="47"/>
      <c r="D2449" s="27"/>
      <c r="E2449" s="34"/>
      <c r="F2449" s="35">
        <f t="shared" si="2044"/>
        <v>0</v>
      </c>
      <c r="G2449" s="26"/>
      <c r="H2449" s="47"/>
      <c r="I2449" s="27">
        <v>1</v>
      </c>
      <c r="J2449" s="34"/>
      <c r="K2449" s="35">
        <f t="shared" si="2045"/>
        <v>1</v>
      </c>
      <c r="L2449" s="11">
        <f t="shared" si="2037"/>
        <v>1</v>
      </c>
      <c r="M2449" s="126">
        <v>46063</v>
      </c>
      <c r="N2449" s="12" t="s">
        <v>2041</v>
      </c>
      <c r="O2449" s="26">
        <v>2</v>
      </c>
      <c r="P2449" s="47"/>
      <c r="Q2449" s="27"/>
      <c r="R2449" s="50">
        <v>2</v>
      </c>
      <c r="S2449" s="9">
        <f>SUM(O2449:R2449)</f>
        <v>4</v>
      </c>
      <c r="T2449" s="47">
        <v>2</v>
      </c>
      <c r="U2449" s="47">
        <v>2</v>
      </c>
      <c r="V2449" s="27"/>
      <c r="W2449" s="50"/>
      <c r="X2449" s="9">
        <f>SUM(T2449:W2449)</f>
        <v>4</v>
      </c>
      <c r="Y2449" s="11">
        <f t="shared" si="2040"/>
        <v>8</v>
      </c>
      <c r="Z2449" s="99">
        <v>46065</v>
      </c>
    </row>
    <row r="2450" spans="1:29" x14ac:dyDescent="0.15">
      <c r="A2450" s="13" t="s">
        <v>1815</v>
      </c>
      <c r="B2450" s="26"/>
      <c r="C2450" s="47"/>
      <c r="D2450" s="27">
        <v>2</v>
      </c>
      <c r="E2450" s="34"/>
      <c r="F2450" s="35">
        <f t="shared" si="2044"/>
        <v>2</v>
      </c>
      <c r="G2450" s="26"/>
      <c r="H2450" s="47"/>
      <c r="I2450" s="27">
        <v>2</v>
      </c>
      <c r="J2450" s="34"/>
      <c r="K2450" s="35">
        <f t="shared" si="2045"/>
        <v>2</v>
      </c>
      <c r="L2450" s="11">
        <f t="shared" si="2037"/>
        <v>4</v>
      </c>
      <c r="M2450" s="99">
        <v>46071</v>
      </c>
      <c r="N2450" s="153" t="s">
        <v>2045</v>
      </c>
      <c r="O2450" s="26"/>
      <c r="P2450" s="47"/>
      <c r="Q2450" s="27"/>
      <c r="R2450" s="34">
        <v>4</v>
      </c>
      <c r="S2450" s="35">
        <f t="shared" ref="S2450:S2467" si="2048">SUM(O2450:R2450)</f>
        <v>4</v>
      </c>
      <c r="T2450" s="26"/>
      <c r="U2450" s="47">
        <v>4</v>
      </c>
      <c r="V2450" s="27">
        <v>1</v>
      </c>
      <c r="W2450" s="34"/>
      <c r="X2450" s="35">
        <f t="shared" ref="X2450:X2467" si="2049">SUM(T2450:W2450)</f>
        <v>5</v>
      </c>
      <c r="Y2450" s="11">
        <f t="shared" si="2040"/>
        <v>9</v>
      </c>
      <c r="Z2450" s="99">
        <v>46059</v>
      </c>
    </row>
    <row r="2451" spans="1:29" x14ac:dyDescent="0.15">
      <c r="A2451" s="15" t="s">
        <v>41</v>
      </c>
      <c r="B2451" s="26"/>
      <c r="C2451" s="47"/>
      <c r="D2451" s="27">
        <v>1</v>
      </c>
      <c r="E2451" s="34">
        <v>2</v>
      </c>
      <c r="F2451" s="35">
        <f t="shared" si="2044"/>
        <v>3</v>
      </c>
      <c r="G2451" s="26">
        <v>1</v>
      </c>
      <c r="H2451" s="47">
        <v>1</v>
      </c>
      <c r="I2451" s="27">
        <v>3</v>
      </c>
      <c r="J2451" s="34"/>
      <c r="K2451" s="35">
        <f t="shared" si="2045"/>
        <v>5</v>
      </c>
      <c r="L2451" s="11">
        <f t="shared" si="2037"/>
        <v>8</v>
      </c>
      <c r="M2451" s="126">
        <v>46069</v>
      </c>
      <c r="N2451" s="153" t="s">
        <v>2046</v>
      </c>
      <c r="O2451" s="26">
        <v>9</v>
      </c>
      <c r="P2451" s="47">
        <v>2</v>
      </c>
      <c r="Q2451" s="27"/>
      <c r="R2451" s="34">
        <v>8</v>
      </c>
      <c r="S2451" s="35">
        <f t="shared" si="2048"/>
        <v>19</v>
      </c>
      <c r="T2451" s="26"/>
      <c r="U2451" s="47"/>
      <c r="V2451" s="27"/>
      <c r="W2451" s="34">
        <v>1</v>
      </c>
      <c r="X2451" s="35">
        <f t="shared" si="2049"/>
        <v>1</v>
      </c>
      <c r="Y2451" s="11">
        <f t="shared" si="2040"/>
        <v>20</v>
      </c>
      <c r="Z2451" s="99">
        <v>46062</v>
      </c>
    </row>
    <row r="2452" spans="1:29" x14ac:dyDescent="0.15">
      <c r="A2452" s="12" t="s">
        <v>2060</v>
      </c>
      <c r="B2452" s="26"/>
      <c r="C2452" s="47">
        <v>1</v>
      </c>
      <c r="D2452" s="27"/>
      <c r="E2452" s="34"/>
      <c r="F2452" s="35">
        <f t="shared" si="2044"/>
        <v>1</v>
      </c>
      <c r="G2452" s="26"/>
      <c r="H2452" s="47">
        <v>1</v>
      </c>
      <c r="I2452" s="27"/>
      <c r="J2452" s="34"/>
      <c r="K2452" s="35">
        <f t="shared" si="2045"/>
        <v>1</v>
      </c>
      <c r="L2452" s="11">
        <f t="shared" si="2037"/>
        <v>2</v>
      </c>
      <c r="M2452" s="126">
        <v>46070</v>
      </c>
      <c r="N2452" s="153" t="s">
        <v>2053</v>
      </c>
      <c r="O2452" s="26">
        <v>10</v>
      </c>
      <c r="P2452" s="47">
        <v>6</v>
      </c>
      <c r="Q2452" s="27"/>
      <c r="R2452" s="34">
        <v>10</v>
      </c>
      <c r="S2452" s="35">
        <f t="shared" si="2048"/>
        <v>26</v>
      </c>
      <c r="T2452" s="26">
        <v>2</v>
      </c>
      <c r="U2452" s="47">
        <v>4</v>
      </c>
      <c r="V2452" s="27"/>
      <c r="W2452" s="34"/>
      <c r="X2452" s="35">
        <f t="shared" si="2049"/>
        <v>6</v>
      </c>
      <c r="Y2452" s="11">
        <f t="shared" si="2040"/>
        <v>32</v>
      </c>
      <c r="Z2452" s="99">
        <v>46063</v>
      </c>
      <c r="AA2452" s="58"/>
    </row>
    <row r="2453" spans="1:29" x14ac:dyDescent="0.15">
      <c r="A2453" s="294" t="s">
        <v>62</v>
      </c>
      <c r="B2453" s="295"/>
      <c r="C2453" s="296"/>
      <c r="D2453" s="297"/>
      <c r="E2453" s="306"/>
      <c r="F2453" s="307">
        <f t="shared" si="2044"/>
        <v>0</v>
      </c>
      <c r="G2453" s="295"/>
      <c r="H2453" s="296"/>
      <c r="I2453" s="297">
        <v>-3</v>
      </c>
      <c r="J2453" s="306"/>
      <c r="K2453" s="307">
        <f t="shared" si="2045"/>
        <v>-3</v>
      </c>
      <c r="L2453" s="300">
        <f t="shared" si="2037"/>
        <v>-3</v>
      </c>
      <c r="M2453" s="301">
        <v>46070</v>
      </c>
      <c r="N2453" s="12" t="s">
        <v>1987</v>
      </c>
      <c r="O2453" s="26"/>
      <c r="P2453" s="47">
        <v>5</v>
      </c>
      <c r="Q2453" s="27"/>
      <c r="R2453" s="34"/>
      <c r="S2453" s="35">
        <f t="shared" si="2048"/>
        <v>5</v>
      </c>
      <c r="T2453" s="26"/>
      <c r="U2453" s="47"/>
      <c r="V2453" s="27"/>
      <c r="W2453" s="34"/>
      <c r="X2453" s="35">
        <f t="shared" si="2049"/>
        <v>0</v>
      </c>
      <c r="Y2453" s="11">
        <f t="shared" si="2040"/>
        <v>5</v>
      </c>
      <c r="Z2453" s="99">
        <v>46063</v>
      </c>
      <c r="AA2453" s="58"/>
    </row>
    <row r="2454" spans="1:29" x14ac:dyDescent="0.15">
      <c r="A2454" s="15" t="s">
        <v>41</v>
      </c>
      <c r="B2454" s="26"/>
      <c r="C2454" s="47"/>
      <c r="D2454" s="27">
        <v>1</v>
      </c>
      <c r="E2454" s="34"/>
      <c r="F2454" s="35">
        <f t="shared" si="2044"/>
        <v>1</v>
      </c>
      <c r="G2454" s="26"/>
      <c r="H2454" s="47"/>
      <c r="I2454" s="27">
        <v>1</v>
      </c>
      <c r="J2454" s="34"/>
      <c r="K2454" s="35">
        <f t="shared" si="2045"/>
        <v>1</v>
      </c>
      <c r="L2454" s="11">
        <f t="shared" si="2037"/>
        <v>2</v>
      </c>
      <c r="M2454" s="126">
        <v>46070</v>
      </c>
      <c r="N2454" s="12" t="s">
        <v>2054</v>
      </c>
      <c r="O2454" s="26">
        <v>5</v>
      </c>
      <c r="P2454" s="47"/>
      <c r="Q2454" s="27"/>
      <c r="R2454" s="34">
        <v>5</v>
      </c>
      <c r="S2454" s="35">
        <f t="shared" si="2048"/>
        <v>10</v>
      </c>
      <c r="T2454" s="26">
        <v>5</v>
      </c>
      <c r="U2454" s="47"/>
      <c r="V2454" s="27"/>
      <c r="W2454" s="34">
        <v>5</v>
      </c>
      <c r="X2454" s="35">
        <f t="shared" si="2049"/>
        <v>10</v>
      </c>
      <c r="Y2454" s="11">
        <f t="shared" si="2040"/>
        <v>20</v>
      </c>
      <c r="Z2454" s="99">
        <v>46066</v>
      </c>
      <c r="AA2454" s="58"/>
    </row>
    <row r="2455" spans="1:29" x14ac:dyDescent="0.15">
      <c r="A2455" s="13" t="s">
        <v>2063</v>
      </c>
      <c r="B2455" s="26"/>
      <c r="C2455" s="47">
        <v>1</v>
      </c>
      <c r="D2455" s="27"/>
      <c r="E2455" s="34"/>
      <c r="F2455" s="35">
        <f t="shared" si="2044"/>
        <v>1</v>
      </c>
      <c r="G2455" s="26"/>
      <c r="H2455" s="47">
        <v>1</v>
      </c>
      <c r="I2455" s="27"/>
      <c r="J2455" s="34"/>
      <c r="K2455" s="35">
        <f t="shared" si="2045"/>
        <v>1</v>
      </c>
      <c r="L2455" s="11">
        <f t="shared" si="2037"/>
        <v>2</v>
      </c>
      <c r="M2455" s="99">
        <v>46073</v>
      </c>
      <c r="N2455" s="153" t="s">
        <v>2055</v>
      </c>
      <c r="O2455" s="26"/>
      <c r="P2455" s="47">
        <v>3</v>
      </c>
      <c r="Q2455" s="27"/>
      <c r="R2455" s="34">
        <v>1</v>
      </c>
      <c r="S2455" s="35">
        <f t="shared" si="2048"/>
        <v>4</v>
      </c>
      <c r="T2455" s="26">
        <v>4</v>
      </c>
      <c r="U2455" s="47"/>
      <c r="V2455" s="27">
        <v>2</v>
      </c>
      <c r="W2455" s="34"/>
      <c r="X2455" s="35">
        <f t="shared" si="2049"/>
        <v>6</v>
      </c>
      <c r="Y2455" s="11">
        <f t="shared" si="2040"/>
        <v>10</v>
      </c>
      <c r="Z2455" s="99">
        <v>46065</v>
      </c>
      <c r="AA2455" s="58"/>
      <c r="AB2455" s="58"/>
      <c r="AC2455" s="58"/>
    </row>
    <row r="2456" spans="1:29" x14ac:dyDescent="0.15">
      <c r="A2456" s="317" t="s">
        <v>62</v>
      </c>
      <c r="B2456" s="295"/>
      <c r="C2456" s="296">
        <v>-3</v>
      </c>
      <c r="D2456" s="297"/>
      <c r="E2456" s="306"/>
      <c r="F2456" s="307">
        <f t="shared" si="2044"/>
        <v>-3</v>
      </c>
      <c r="G2456" s="295"/>
      <c r="H2456" s="296"/>
      <c r="I2456" s="297"/>
      <c r="J2456" s="306"/>
      <c r="K2456" s="307">
        <f t="shared" si="2045"/>
        <v>0</v>
      </c>
      <c r="L2456" s="300">
        <f t="shared" si="2037"/>
        <v>-3</v>
      </c>
      <c r="M2456" s="301">
        <v>46072</v>
      </c>
      <c r="N2456" s="153" t="s">
        <v>2057</v>
      </c>
      <c r="O2456" s="26">
        <v>47</v>
      </c>
      <c r="P2456" s="47">
        <v>46</v>
      </c>
      <c r="Q2456" s="27">
        <v>24</v>
      </c>
      <c r="R2456" s="34">
        <v>14</v>
      </c>
      <c r="S2456" s="35">
        <f t="shared" si="2048"/>
        <v>131</v>
      </c>
      <c r="T2456" s="26">
        <v>16</v>
      </c>
      <c r="U2456" s="47">
        <v>19</v>
      </c>
      <c r="V2456" s="27">
        <v>9</v>
      </c>
      <c r="W2456" s="34">
        <v>7</v>
      </c>
      <c r="X2456" s="35">
        <f t="shared" si="2049"/>
        <v>51</v>
      </c>
      <c r="Y2456" s="11">
        <f t="shared" si="2040"/>
        <v>182</v>
      </c>
      <c r="Z2456" s="99">
        <v>46066</v>
      </c>
    </row>
    <row r="2457" spans="1:29" x14ac:dyDescent="0.15">
      <c r="A2457" s="13" t="s">
        <v>2068</v>
      </c>
      <c r="B2457" s="26"/>
      <c r="C2457" s="47">
        <v>-1</v>
      </c>
      <c r="D2457" s="27">
        <v>-1</v>
      </c>
      <c r="E2457" s="34"/>
      <c r="F2457" s="35">
        <f t="shared" si="2044"/>
        <v>-2</v>
      </c>
      <c r="G2457" s="26"/>
      <c r="H2457" s="47"/>
      <c r="I2457" s="27"/>
      <c r="J2457" s="34"/>
      <c r="K2457" s="35">
        <f t="shared" si="2045"/>
        <v>0</v>
      </c>
      <c r="L2457" s="11">
        <f t="shared" si="2037"/>
        <v>-2</v>
      </c>
      <c r="M2457" s="126">
        <v>46070</v>
      </c>
      <c r="N2457" s="57" t="s">
        <v>2058</v>
      </c>
      <c r="O2457" s="26"/>
      <c r="P2457" s="47">
        <v>10</v>
      </c>
      <c r="Q2457" s="27">
        <v>20</v>
      </c>
      <c r="R2457" s="34"/>
      <c r="S2457" s="35">
        <f t="shared" si="2048"/>
        <v>30</v>
      </c>
      <c r="T2457" s="26"/>
      <c r="U2457" s="47"/>
      <c r="V2457" s="27">
        <v>5</v>
      </c>
      <c r="W2457" s="34"/>
      <c r="X2457" s="35">
        <f t="shared" si="2049"/>
        <v>5</v>
      </c>
      <c r="Y2457" s="11">
        <f t="shared" si="2040"/>
        <v>35</v>
      </c>
      <c r="Z2457" s="99">
        <v>46066</v>
      </c>
    </row>
    <row r="2458" spans="1:29" x14ac:dyDescent="0.15">
      <c r="A2458" s="15" t="s">
        <v>41</v>
      </c>
      <c r="B2458" s="26"/>
      <c r="C2458" s="47">
        <v>1</v>
      </c>
      <c r="D2458" s="27"/>
      <c r="E2458" s="34"/>
      <c r="F2458" s="35">
        <f t="shared" si="2044"/>
        <v>1</v>
      </c>
      <c r="G2458" s="26"/>
      <c r="H2458" s="47"/>
      <c r="I2458" s="27"/>
      <c r="J2458" s="34"/>
      <c r="K2458" s="35">
        <f t="shared" si="2045"/>
        <v>0</v>
      </c>
      <c r="L2458" s="11">
        <f t="shared" si="2037"/>
        <v>1</v>
      </c>
      <c r="M2458" s="126">
        <v>46072</v>
      </c>
      <c r="N2458" s="57" t="s">
        <v>2059</v>
      </c>
      <c r="O2458" s="26"/>
      <c r="P2458" s="47">
        <v>10</v>
      </c>
      <c r="Q2458" s="27"/>
      <c r="R2458" s="34"/>
      <c r="S2458" s="35">
        <f t="shared" si="2048"/>
        <v>10</v>
      </c>
      <c r="T2458" s="26"/>
      <c r="U2458" s="47">
        <v>10</v>
      </c>
      <c r="V2458" s="27">
        <v>10</v>
      </c>
      <c r="W2458" s="34"/>
      <c r="X2458" s="35">
        <f t="shared" si="2049"/>
        <v>20</v>
      </c>
      <c r="Y2458" s="11">
        <f t="shared" si="2040"/>
        <v>30</v>
      </c>
      <c r="Z2458" s="99">
        <v>46066</v>
      </c>
    </row>
    <row r="2459" spans="1:29" x14ac:dyDescent="0.15">
      <c r="A2459" s="15" t="s">
        <v>2069</v>
      </c>
      <c r="B2459" s="26">
        <v>0</v>
      </c>
      <c r="C2459" s="47">
        <v>0</v>
      </c>
      <c r="D2459" s="27">
        <v>0</v>
      </c>
      <c r="E2459" s="34">
        <v>0</v>
      </c>
      <c r="F2459" s="35">
        <f t="shared" si="2044"/>
        <v>0</v>
      </c>
      <c r="G2459" s="26">
        <v>0</v>
      </c>
      <c r="H2459" s="47">
        <v>0</v>
      </c>
      <c r="I2459" s="27">
        <v>0</v>
      </c>
      <c r="J2459" s="34">
        <v>0</v>
      </c>
      <c r="K2459" s="35">
        <f t="shared" si="2045"/>
        <v>0</v>
      </c>
      <c r="L2459" s="11">
        <f t="shared" si="2037"/>
        <v>0</v>
      </c>
      <c r="M2459" s="126">
        <v>46072</v>
      </c>
      <c r="N2459" s="57"/>
      <c r="O2459" s="26"/>
      <c r="P2459" s="47"/>
      <c r="Q2459" s="27"/>
      <c r="R2459" s="34"/>
      <c r="S2459" s="35">
        <f t="shared" ref="S2459" si="2050">SUM(O2459:R2459)</f>
        <v>0</v>
      </c>
      <c r="T2459" s="26"/>
      <c r="U2459" s="47"/>
      <c r="V2459" s="27"/>
      <c r="W2459" s="34"/>
      <c r="X2459" s="35">
        <f t="shared" ref="X2459" si="2051">SUM(T2459:W2459)</f>
        <v>0</v>
      </c>
      <c r="Y2459" s="11">
        <f t="shared" ref="Y2459" si="2052">S2459+X2459</f>
        <v>0</v>
      </c>
      <c r="Z2459" s="101"/>
    </row>
    <row r="2460" spans="1:29" x14ac:dyDescent="0.15">
      <c r="A2460" s="13"/>
      <c r="B2460" s="26"/>
      <c r="C2460" s="47"/>
      <c r="D2460" s="27"/>
      <c r="E2460" s="34"/>
      <c r="F2460" s="35">
        <f t="shared" si="2044"/>
        <v>0</v>
      </c>
      <c r="G2460" s="26"/>
      <c r="H2460" s="47"/>
      <c r="I2460" s="27"/>
      <c r="J2460" s="34"/>
      <c r="K2460" s="35">
        <f t="shared" si="2045"/>
        <v>0</v>
      </c>
      <c r="L2460" s="11">
        <f t="shared" si="2037"/>
        <v>0</v>
      </c>
      <c r="N2460" s="12" t="s">
        <v>1972</v>
      </c>
      <c r="O2460" s="26"/>
      <c r="P2460" s="47"/>
      <c r="Q2460" s="27"/>
      <c r="R2460" s="34"/>
      <c r="S2460" s="35">
        <f t="shared" ref="S2460:S2466" si="2053">SUM(O2460:R2460)</f>
        <v>0</v>
      </c>
      <c r="T2460" s="26"/>
      <c r="U2460" s="47"/>
      <c r="V2460" s="27"/>
      <c r="W2460" s="34"/>
      <c r="X2460" s="35">
        <f t="shared" ref="X2460:X2466" si="2054">SUM(T2460:W2460)</f>
        <v>0</v>
      </c>
      <c r="Y2460" s="108">
        <f t="shared" ref="Y2460:Y2466" si="2055">S2460+X2460</f>
        <v>0</v>
      </c>
      <c r="Z2460" s="101" t="s">
        <v>952</v>
      </c>
    </row>
    <row r="2461" spans="1:29" x14ac:dyDescent="0.15">
      <c r="A2461" s="32"/>
      <c r="B2461" s="26"/>
      <c r="C2461" s="47"/>
      <c r="D2461" s="27"/>
      <c r="E2461" s="34"/>
      <c r="F2461" s="35">
        <f t="shared" si="2044"/>
        <v>0</v>
      </c>
      <c r="G2461" s="26"/>
      <c r="H2461" s="47"/>
      <c r="I2461" s="27"/>
      <c r="J2461" s="34"/>
      <c r="K2461" s="35">
        <f t="shared" si="2045"/>
        <v>0</v>
      </c>
      <c r="L2461" s="11">
        <f t="shared" si="2037"/>
        <v>0</v>
      </c>
      <c r="N2461" s="173" t="s">
        <v>1894</v>
      </c>
      <c r="O2461" s="154"/>
      <c r="P2461" s="155"/>
      <c r="Q2461" s="156"/>
      <c r="R2461" s="157"/>
      <c r="S2461" s="158">
        <f t="shared" si="2053"/>
        <v>0</v>
      </c>
      <c r="T2461" s="154"/>
      <c r="U2461" s="155"/>
      <c r="V2461" s="156"/>
      <c r="W2461" s="157"/>
      <c r="X2461" s="158">
        <f t="shared" si="2054"/>
        <v>0</v>
      </c>
      <c r="Y2461" s="179">
        <f t="shared" si="2055"/>
        <v>0</v>
      </c>
      <c r="Z2461" s="101"/>
    </row>
    <row r="2462" spans="1:29" x14ac:dyDescent="0.15">
      <c r="A2462" s="32"/>
      <c r="B2462" s="26"/>
      <c r="C2462" s="47"/>
      <c r="D2462" s="27"/>
      <c r="E2462" s="34"/>
      <c r="F2462" s="35">
        <f t="shared" si="2044"/>
        <v>0</v>
      </c>
      <c r="G2462" s="26"/>
      <c r="H2462" s="47"/>
      <c r="I2462" s="27"/>
      <c r="J2462" s="34"/>
      <c r="K2462" s="35">
        <f t="shared" si="2045"/>
        <v>0</v>
      </c>
      <c r="L2462" s="11">
        <f t="shared" si="2037"/>
        <v>0</v>
      </c>
      <c r="N2462" s="12" t="s">
        <v>1895</v>
      </c>
      <c r="O2462" s="26"/>
      <c r="P2462" s="47"/>
      <c r="Q2462" s="27"/>
      <c r="R2462" s="34"/>
      <c r="S2462" s="35">
        <f t="shared" si="2053"/>
        <v>0</v>
      </c>
      <c r="T2462" s="26"/>
      <c r="U2462" s="47"/>
      <c r="V2462" s="27"/>
      <c r="W2462" s="34"/>
      <c r="X2462" s="35">
        <f t="shared" si="2054"/>
        <v>0</v>
      </c>
      <c r="Y2462" s="108">
        <f t="shared" si="2055"/>
        <v>0</v>
      </c>
      <c r="Z2462" s="101" t="s">
        <v>1944</v>
      </c>
    </row>
    <row r="2463" spans="1:29" x14ac:dyDescent="0.15">
      <c r="A2463" s="12"/>
      <c r="B2463" s="26"/>
      <c r="C2463" s="47"/>
      <c r="D2463" s="27"/>
      <c r="E2463" s="34"/>
      <c r="F2463" s="35">
        <f t="shared" si="2044"/>
        <v>0</v>
      </c>
      <c r="G2463" s="26"/>
      <c r="H2463" s="47"/>
      <c r="I2463" s="27"/>
      <c r="J2463" s="34"/>
      <c r="K2463" s="35">
        <f t="shared" si="2045"/>
        <v>0</v>
      </c>
      <c r="L2463" s="11">
        <f t="shared" si="2037"/>
        <v>0</v>
      </c>
      <c r="N2463" s="12" t="s">
        <v>1977</v>
      </c>
      <c r="O2463" s="26"/>
      <c r="P2463" s="47"/>
      <c r="Q2463" s="27"/>
      <c r="R2463" s="34"/>
      <c r="S2463" s="35">
        <f t="shared" si="2053"/>
        <v>0</v>
      </c>
      <c r="T2463" s="26"/>
      <c r="U2463" s="47"/>
      <c r="V2463" s="27"/>
      <c r="W2463" s="34"/>
      <c r="X2463" s="35">
        <f t="shared" si="2054"/>
        <v>0</v>
      </c>
      <c r="Y2463" s="108">
        <f t="shared" si="2055"/>
        <v>0</v>
      </c>
      <c r="Z2463" s="101" t="s">
        <v>1978</v>
      </c>
    </row>
    <row r="2464" spans="1:29" x14ac:dyDescent="0.15">
      <c r="A2464" s="79"/>
      <c r="B2464" s="26"/>
      <c r="C2464" s="47"/>
      <c r="D2464" s="27"/>
      <c r="E2464" s="34"/>
      <c r="F2464" s="35">
        <f t="shared" si="2044"/>
        <v>0</v>
      </c>
      <c r="G2464" s="26"/>
      <c r="H2464" s="47"/>
      <c r="I2464" s="27"/>
      <c r="J2464" s="34"/>
      <c r="K2464" s="35">
        <f t="shared" si="2045"/>
        <v>0</v>
      </c>
      <c r="L2464" s="11">
        <f t="shared" si="2037"/>
        <v>0</v>
      </c>
      <c r="N2464" s="153" t="s">
        <v>635</v>
      </c>
      <c r="O2464" s="154"/>
      <c r="P2464" s="155"/>
      <c r="Q2464" s="156"/>
      <c r="R2464" s="157"/>
      <c r="S2464" s="158">
        <f t="shared" si="2053"/>
        <v>0</v>
      </c>
      <c r="T2464" s="154"/>
      <c r="U2464" s="155"/>
      <c r="V2464" s="156"/>
      <c r="W2464" s="157"/>
      <c r="X2464" s="158">
        <f t="shared" si="2054"/>
        <v>0</v>
      </c>
      <c r="Y2464" s="159">
        <f t="shared" si="2055"/>
        <v>0</v>
      </c>
      <c r="Z2464" s="160" t="s">
        <v>1978</v>
      </c>
    </row>
    <row r="2465" spans="1:26" x14ac:dyDescent="0.15">
      <c r="A2465" s="57"/>
      <c r="B2465" s="26"/>
      <c r="C2465" s="47"/>
      <c r="D2465" s="27"/>
      <c r="E2465" s="34"/>
      <c r="F2465" s="35">
        <f t="shared" si="2044"/>
        <v>0</v>
      </c>
      <c r="G2465" s="26"/>
      <c r="H2465" s="47"/>
      <c r="I2465" s="27"/>
      <c r="J2465" s="34"/>
      <c r="K2465" s="35">
        <f t="shared" si="2045"/>
        <v>0</v>
      </c>
      <c r="L2465" s="11">
        <f t="shared" si="2037"/>
        <v>0</v>
      </c>
      <c r="N2465" s="12" t="s">
        <v>1999</v>
      </c>
      <c r="O2465" s="26"/>
      <c r="P2465" s="47"/>
      <c r="Q2465" s="27"/>
      <c r="R2465" s="34"/>
      <c r="S2465" s="35">
        <f t="shared" si="2053"/>
        <v>0</v>
      </c>
      <c r="T2465" s="26"/>
      <c r="U2465" s="47"/>
      <c r="V2465" s="27"/>
      <c r="W2465" s="34"/>
      <c r="X2465" s="35">
        <f t="shared" si="2054"/>
        <v>0</v>
      </c>
      <c r="Y2465" s="108">
        <f t="shared" si="2055"/>
        <v>0</v>
      </c>
      <c r="Z2465" s="101" t="s">
        <v>462</v>
      </c>
    </row>
    <row r="2466" spans="1:26" ht="14.25" thickBot="1" x14ac:dyDescent="0.2">
      <c r="A2466" s="90"/>
      <c r="B2466" s="62"/>
      <c r="C2466" s="63"/>
      <c r="D2466" s="64"/>
      <c r="E2466" s="65"/>
      <c r="F2466" s="35">
        <f t="shared" si="2044"/>
        <v>0</v>
      </c>
      <c r="G2466" s="62"/>
      <c r="H2466" s="63"/>
      <c r="I2466" s="64"/>
      <c r="J2466" s="65"/>
      <c r="K2466" s="35">
        <f t="shared" si="2045"/>
        <v>0</v>
      </c>
      <c r="L2466" s="14">
        <f t="shared" si="2037"/>
        <v>0</v>
      </c>
      <c r="N2466" s="135" t="s">
        <v>2056</v>
      </c>
      <c r="O2466" s="62"/>
      <c r="P2466" s="63"/>
      <c r="Q2466" s="64"/>
      <c r="R2466" s="65"/>
      <c r="S2466" s="120">
        <f t="shared" si="2053"/>
        <v>0</v>
      </c>
      <c r="T2466" s="62"/>
      <c r="U2466" s="63"/>
      <c r="V2466" s="64"/>
      <c r="W2466" s="65"/>
      <c r="X2466" s="120">
        <f t="shared" si="2054"/>
        <v>0</v>
      </c>
      <c r="Y2466" s="121">
        <f t="shared" si="2055"/>
        <v>0</v>
      </c>
      <c r="Z2466" s="101" t="s">
        <v>1463</v>
      </c>
    </row>
    <row r="2467" spans="1:26" ht="14.25" thickBot="1" x14ac:dyDescent="0.2">
      <c r="A2467" s="17" t="s">
        <v>10</v>
      </c>
      <c r="B2467" s="38">
        <f>SUM(B2442:B2466)</f>
        <v>2</v>
      </c>
      <c r="C2467" s="48">
        <f>SUM(C2442:C2466)</f>
        <v>6</v>
      </c>
      <c r="D2467" s="39">
        <f>SUM(D2442:D2466)</f>
        <v>3</v>
      </c>
      <c r="E2467" s="40">
        <f>SUM(E2442:E2466)</f>
        <v>3</v>
      </c>
      <c r="F2467" s="36">
        <f>SUM(B2467:E2467)</f>
        <v>14</v>
      </c>
      <c r="G2467" s="38">
        <f>SUM(G2442:G2466)</f>
        <v>4</v>
      </c>
      <c r="H2467" s="48">
        <f>SUM(H2442:H2466)</f>
        <v>9</v>
      </c>
      <c r="I2467" s="39">
        <f>SUM(I2442:I2466)</f>
        <v>6</v>
      </c>
      <c r="J2467" s="40">
        <f>SUM(J2442:J2466)</f>
        <v>1</v>
      </c>
      <c r="K2467" s="36">
        <f>SUM(G2467:J2467)</f>
        <v>20</v>
      </c>
      <c r="L2467" s="37">
        <f t="shared" si="2037"/>
        <v>34</v>
      </c>
      <c r="N2467" s="133" t="s">
        <v>10</v>
      </c>
      <c r="O2467" s="38">
        <f>SUM(O2442:O2466)</f>
        <v>148</v>
      </c>
      <c r="P2467" s="48">
        <f>SUM(P2442:P2466)</f>
        <v>185</v>
      </c>
      <c r="Q2467" s="39">
        <f>SUM(Q2442:Q2466)</f>
        <v>124</v>
      </c>
      <c r="R2467" s="40">
        <f>SUM(R2442:R2466)</f>
        <v>96</v>
      </c>
      <c r="S2467" s="118">
        <f t="shared" si="2048"/>
        <v>553</v>
      </c>
      <c r="T2467" s="38">
        <f>SUM(T2442:T2466)</f>
        <v>69</v>
      </c>
      <c r="U2467" s="48">
        <f>SUM(U2442:U2466)</f>
        <v>87</v>
      </c>
      <c r="V2467" s="39">
        <f>SUM(V2442:V2466)</f>
        <v>66</v>
      </c>
      <c r="W2467" s="40">
        <f>SUM(W2442:W2466)</f>
        <v>53</v>
      </c>
      <c r="X2467" s="118">
        <f t="shared" si="2049"/>
        <v>275</v>
      </c>
      <c r="Y2467" s="119">
        <f t="shared" si="2040"/>
        <v>828</v>
      </c>
    </row>
    <row r="2468" spans="1:26" ht="14.25" thickBot="1" x14ac:dyDescent="0.2">
      <c r="A2468" s="22" t="s">
        <v>11</v>
      </c>
      <c r="B2468" s="41">
        <f>B2441-B2467</f>
        <v>8</v>
      </c>
      <c r="C2468" s="49">
        <f>C2441-C2467</f>
        <v>9</v>
      </c>
      <c r="D2468" s="42">
        <f t="shared" ref="D2468:K2468" si="2056">D2441-D2467</f>
        <v>7</v>
      </c>
      <c r="E2468" s="43">
        <f t="shared" si="2056"/>
        <v>4</v>
      </c>
      <c r="F2468" s="61">
        <f t="shared" si="2056"/>
        <v>24</v>
      </c>
      <c r="G2468" s="41">
        <f t="shared" si="2056"/>
        <v>6</v>
      </c>
      <c r="H2468" s="49">
        <f t="shared" si="2056"/>
        <v>4</v>
      </c>
      <c r="I2468" s="42">
        <f t="shared" si="2056"/>
        <v>4</v>
      </c>
      <c r="J2468" s="43">
        <f t="shared" si="2056"/>
        <v>6</v>
      </c>
      <c r="K2468" s="61">
        <f t="shared" si="2056"/>
        <v>20</v>
      </c>
      <c r="L2468" s="21">
        <f t="shared" si="2037"/>
        <v>44</v>
      </c>
      <c r="N2468" s="17" t="s">
        <v>11</v>
      </c>
      <c r="O2468" s="41">
        <f>O2441-O2467</f>
        <v>266</v>
      </c>
      <c r="P2468" s="49">
        <f t="shared" ref="P2468:Q2468" si="2057">P2441-P2467</f>
        <v>427</v>
      </c>
      <c r="Q2468" s="42">
        <f t="shared" si="2057"/>
        <v>223</v>
      </c>
      <c r="R2468" s="43">
        <f>R2441-R2467</f>
        <v>145</v>
      </c>
      <c r="S2468" s="61">
        <f t="shared" ref="S2468:X2468" si="2058">S2441-S2467</f>
        <v>1061</v>
      </c>
      <c r="T2468" s="41">
        <f t="shared" si="2058"/>
        <v>534</v>
      </c>
      <c r="U2468" s="49">
        <f t="shared" si="2058"/>
        <v>553</v>
      </c>
      <c r="V2468" s="42">
        <f t="shared" si="2058"/>
        <v>446</v>
      </c>
      <c r="W2468" s="43">
        <f t="shared" si="2058"/>
        <v>251</v>
      </c>
      <c r="X2468" s="61">
        <f t="shared" si="2058"/>
        <v>1784</v>
      </c>
      <c r="Y2468" s="21">
        <f t="shared" si="2040"/>
        <v>2845</v>
      </c>
    </row>
    <row r="2471" spans="1:26" ht="19.5" thickBot="1" x14ac:dyDescent="0.25">
      <c r="A2471" s="2" t="s">
        <v>106</v>
      </c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N2471" s="2" t="s">
        <v>1036</v>
      </c>
      <c r="O2471" s="270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6" ht="14.25" thickBot="1" x14ac:dyDescent="0.2">
      <c r="A2472" s="5" t="s">
        <v>0</v>
      </c>
      <c r="B2472" s="342" t="s">
        <v>18</v>
      </c>
      <c r="C2472" s="350"/>
      <c r="D2472" s="350"/>
      <c r="E2472" s="350"/>
      <c r="F2472" s="351"/>
      <c r="G2472" s="345" t="s">
        <v>12</v>
      </c>
      <c r="H2472" s="352"/>
      <c r="I2472" s="352"/>
      <c r="J2472" s="352"/>
      <c r="K2472" s="353"/>
      <c r="L2472" s="354" t="s">
        <v>1</v>
      </c>
      <c r="N2472" s="5" t="s">
        <v>0</v>
      </c>
      <c r="O2472" s="342" t="s">
        <v>18</v>
      </c>
      <c r="P2472" s="343"/>
      <c r="Q2472" s="343"/>
      <c r="R2472" s="343"/>
      <c r="S2472" s="344"/>
      <c r="T2472" s="345" t="s">
        <v>12</v>
      </c>
      <c r="U2472" s="346"/>
      <c r="V2472" s="346"/>
      <c r="W2472" s="346"/>
      <c r="X2472" s="347"/>
      <c r="Y2472" s="348" t="s">
        <v>1</v>
      </c>
    </row>
    <row r="2473" spans="1:26" ht="14.25" thickBot="1" x14ac:dyDescent="0.2">
      <c r="A2473" s="5" t="s">
        <v>2</v>
      </c>
      <c r="B2473" s="3" t="s">
        <v>13</v>
      </c>
      <c r="C2473" s="44" t="s">
        <v>14</v>
      </c>
      <c r="D2473" s="4" t="s">
        <v>15</v>
      </c>
      <c r="E2473" s="23" t="s">
        <v>16</v>
      </c>
      <c r="F2473" s="31" t="s">
        <v>3</v>
      </c>
      <c r="G2473" s="3" t="s">
        <v>13</v>
      </c>
      <c r="H2473" s="44" t="s">
        <v>14</v>
      </c>
      <c r="I2473" s="4" t="s">
        <v>15</v>
      </c>
      <c r="J2473" s="23" t="s">
        <v>16</v>
      </c>
      <c r="K2473" s="31" t="s">
        <v>3</v>
      </c>
      <c r="L2473" s="355"/>
      <c r="N2473" s="5" t="s">
        <v>2</v>
      </c>
      <c r="O2473" s="3" t="s">
        <v>13</v>
      </c>
      <c r="P2473" s="44" t="s">
        <v>14</v>
      </c>
      <c r="Q2473" s="4" t="s">
        <v>15</v>
      </c>
      <c r="R2473" s="23" t="s">
        <v>16</v>
      </c>
      <c r="S2473" s="31" t="s">
        <v>3</v>
      </c>
      <c r="T2473" s="3" t="s">
        <v>13</v>
      </c>
      <c r="U2473" s="44" t="s">
        <v>14</v>
      </c>
      <c r="V2473" s="4" t="s">
        <v>15</v>
      </c>
      <c r="W2473" s="23" t="s">
        <v>16</v>
      </c>
      <c r="X2473" s="31" t="s">
        <v>3</v>
      </c>
      <c r="Y2473" s="349"/>
    </row>
    <row r="2474" spans="1:26" x14ac:dyDescent="0.15">
      <c r="A2474" s="71" t="s">
        <v>17</v>
      </c>
      <c r="B2474" s="72">
        <f>B2468</f>
        <v>8</v>
      </c>
      <c r="C2474" s="73">
        <f t="shared" ref="C2474:L2474" si="2059">C2468</f>
        <v>9</v>
      </c>
      <c r="D2474" s="73">
        <f t="shared" si="2059"/>
        <v>7</v>
      </c>
      <c r="E2474" s="74">
        <f t="shared" si="2059"/>
        <v>4</v>
      </c>
      <c r="F2474" s="76">
        <f t="shared" si="2059"/>
        <v>24</v>
      </c>
      <c r="G2474" s="72">
        <f t="shared" si="2059"/>
        <v>6</v>
      </c>
      <c r="H2474" s="73">
        <f t="shared" si="2059"/>
        <v>4</v>
      </c>
      <c r="I2474" s="73">
        <f t="shared" si="2059"/>
        <v>4</v>
      </c>
      <c r="J2474" s="74">
        <f t="shared" si="2059"/>
        <v>6</v>
      </c>
      <c r="K2474" s="75">
        <f t="shared" si="2059"/>
        <v>20</v>
      </c>
      <c r="L2474" s="16">
        <f t="shared" si="2059"/>
        <v>44</v>
      </c>
      <c r="N2474" s="71" t="s">
        <v>17</v>
      </c>
      <c r="O2474" s="72">
        <f>O2468</f>
        <v>266</v>
      </c>
      <c r="P2474" s="73">
        <f t="shared" ref="P2474:Y2474" si="2060">P2468</f>
        <v>427</v>
      </c>
      <c r="Q2474" s="73">
        <f t="shared" si="2060"/>
        <v>223</v>
      </c>
      <c r="R2474" s="74">
        <f t="shared" si="2060"/>
        <v>145</v>
      </c>
      <c r="S2474" s="76">
        <f t="shared" si="2060"/>
        <v>1061</v>
      </c>
      <c r="T2474" s="72">
        <f t="shared" si="2060"/>
        <v>534</v>
      </c>
      <c r="U2474" s="73">
        <f t="shared" si="2060"/>
        <v>553</v>
      </c>
      <c r="V2474" s="73">
        <f t="shared" si="2060"/>
        <v>446</v>
      </c>
      <c r="W2474" s="74">
        <f t="shared" si="2060"/>
        <v>251</v>
      </c>
      <c r="X2474" s="75">
        <f t="shared" si="2060"/>
        <v>1784</v>
      </c>
      <c r="Y2474" s="16">
        <f t="shared" si="2060"/>
        <v>2845</v>
      </c>
    </row>
    <row r="2475" spans="1:26" x14ac:dyDescent="0.15">
      <c r="A2475" s="13" t="s">
        <v>5</v>
      </c>
      <c r="B2475" s="26"/>
      <c r="C2475" s="47"/>
      <c r="D2475" s="27"/>
      <c r="E2475" s="50"/>
      <c r="F2475" s="9">
        <f t="shared" ref="F2475:F2476" si="2061">SUM(B2475:E2475)</f>
        <v>0</v>
      </c>
      <c r="G2475" s="47"/>
      <c r="H2475" s="47">
        <v>5</v>
      </c>
      <c r="I2475" s="27">
        <v>5</v>
      </c>
      <c r="J2475" s="50"/>
      <c r="K2475" s="9">
        <f t="shared" ref="K2475:K2476" si="2062">SUM(G2475:J2475)</f>
        <v>10</v>
      </c>
      <c r="L2475" s="11">
        <f t="shared" ref="L2475:L2506" si="2063">F2475+K2475</f>
        <v>10</v>
      </c>
      <c r="M2475" s="126">
        <v>46074</v>
      </c>
      <c r="N2475" s="13" t="s">
        <v>5</v>
      </c>
      <c r="O2475" s="26"/>
      <c r="P2475" s="47"/>
      <c r="Q2475" s="27"/>
      <c r="R2475" s="34"/>
      <c r="S2475" s="77">
        <f t="shared" ref="S2475:S2478" si="2064">SUM(O2475:R2475)</f>
        <v>0</v>
      </c>
      <c r="T2475" s="26"/>
      <c r="U2475" s="47"/>
      <c r="V2475" s="27"/>
      <c r="W2475" s="34"/>
      <c r="X2475" s="9">
        <f t="shared" ref="X2475:X2478" si="2065">SUM(T2475:W2475)</f>
        <v>0</v>
      </c>
      <c r="Y2475" s="11">
        <f t="shared" ref="Y2475:Y2506" si="2066">S2475+X2475</f>
        <v>0</v>
      </c>
    </row>
    <row r="2476" spans="1:26" x14ac:dyDescent="0.15">
      <c r="A2476" s="294" t="s">
        <v>6</v>
      </c>
      <c r="B2476" s="295"/>
      <c r="C2476" s="296"/>
      <c r="D2476" s="297">
        <v>3</v>
      </c>
      <c r="E2476" s="298"/>
      <c r="F2476" s="299">
        <f t="shared" si="2061"/>
        <v>3</v>
      </c>
      <c r="G2476" s="296"/>
      <c r="H2476" s="296"/>
      <c r="I2476" s="297"/>
      <c r="J2476" s="298"/>
      <c r="K2476" s="299">
        <f t="shared" si="2062"/>
        <v>0</v>
      </c>
      <c r="L2476" s="300">
        <f t="shared" si="2063"/>
        <v>3</v>
      </c>
      <c r="M2476" s="301">
        <v>46078</v>
      </c>
      <c r="N2476" s="13" t="s">
        <v>6</v>
      </c>
      <c r="O2476" s="26"/>
      <c r="P2476" s="47"/>
      <c r="Q2476" s="27"/>
      <c r="R2476" s="34"/>
      <c r="S2476" s="77">
        <f t="shared" si="2064"/>
        <v>0</v>
      </c>
      <c r="T2476" s="26"/>
      <c r="U2476" s="47"/>
      <c r="V2476" s="27"/>
      <c r="W2476" s="34"/>
      <c r="X2476" s="9">
        <f t="shared" si="2065"/>
        <v>0</v>
      </c>
      <c r="Y2476" s="11">
        <f t="shared" si="2066"/>
        <v>0</v>
      </c>
    </row>
    <row r="2477" spans="1:26" x14ac:dyDescent="0.15">
      <c r="A2477" s="294" t="s">
        <v>7</v>
      </c>
      <c r="B2477" s="295"/>
      <c r="C2477" s="296"/>
      <c r="D2477" s="297">
        <v>3</v>
      </c>
      <c r="E2477" s="298">
        <v>3</v>
      </c>
      <c r="F2477" s="299">
        <f>SUM(B2477:E2477)</f>
        <v>6</v>
      </c>
      <c r="G2477" s="296"/>
      <c r="H2477" s="296"/>
      <c r="I2477" s="297"/>
      <c r="J2477" s="298"/>
      <c r="K2477" s="299">
        <f>SUM(G2477:J2477)</f>
        <v>0</v>
      </c>
      <c r="L2477" s="300">
        <f t="shared" si="2063"/>
        <v>6</v>
      </c>
      <c r="M2477" s="301">
        <v>46080</v>
      </c>
      <c r="N2477" s="13" t="s">
        <v>7</v>
      </c>
      <c r="O2477" s="26"/>
      <c r="P2477" s="47"/>
      <c r="Q2477" s="27"/>
      <c r="R2477" s="34"/>
      <c r="S2477" s="77">
        <f t="shared" si="2064"/>
        <v>0</v>
      </c>
      <c r="T2477" s="26"/>
      <c r="U2477" s="47"/>
      <c r="V2477" s="27"/>
      <c r="W2477" s="34"/>
      <c r="X2477" s="9">
        <f t="shared" si="2065"/>
        <v>0</v>
      </c>
      <c r="Y2477" s="11">
        <f t="shared" si="2066"/>
        <v>0</v>
      </c>
    </row>
    <row r="2478" spans="1:26" ht="14.25" thickBot="1" x14ac:dyDescent="0.2">
      <c r="A2478" s="13" t="s">
        <v>49</v>
      </c>
      <c r="B2478" s="26">
        <v>3</v>
      </c>
      <c r="C2478" s="47">
        <v>5</v>
      </c>
      <c r="D2478" s="27">
        <v>2</v>
      </c>
      <c r="E2478" s="50">
        <v>1</v>
      </c>
      <c r="F2478" s="10">
        <f>SUM(B2478:E2478)</f>
        <v>11</v>
      </c>
      <c r="G2478" s="47">
        <v>2</v>
      </c>
      <c r="H2478" s="47">
        <v>2</v>
      </c>
      <c r="I2478" s="27">
        <v>2</v>
      </c>
      <c r="J2478" s="50">
        <v>1</v>
      </c>
      <c r="K2478" s="10">
        <f>SUM(G2478:J2478)</f>
        <v>7</v>
      </c>
      <c r="L2478" s="14">
        <f t="shared" si="2063"/>
        <v>18</v>
      </c>
      <c r="M2478" s="126">
        <v>46077</v>
      </c>
      <c r="N2478" s="13" t="s">
        <v>8</v>
      </c>
      <c r="O2478" s="26"/>
      <c r="P2478" s="47"/>
      <c r="Q2478" s="27"/>
      <c r="R2478" s="34"/>
      <c r="S2478" s="77">
        <f t="shared" si="2064"/>
        <v>0</v>
      </c>
      <c r="T2478" s="26"/>
      <c r="U2478" s="47"/>
      <c r="V2478" s="27"/>
      <c r="W2478" s="34"/>
      <c r="X2478" s="9">
        <f t="shared" si="2065"/>
        <v>0</v>
      </c>
      <c r="Y2478" s="11">
        <f t="shared" si="2066"/>
        <v>0</v>
      </c>
    </row>
    <row r="2479" spans="1:26" ht="14.25" thickBot="1" x14ac:dyDescent="0.2">
      <c r="A2479" s="22" t="s">
        <v>9</v>
      </c>
      <c r="B2479" s="41">
        <f t="shared" ref="B2479:K2479" si="2067">SUM(B2474:B2478)</f>
        <v>11</v>
      </c>
      <c r="C2479" s="49">
        <f t="shared" si="2067"/>
        <v>14</v>
      </c>
      <c r="D2479" s="42">
        <f t="shared" si="2067"/>
        <v>15</v>
      </c>
      <c r="E2479" s="92">
        <f t="shared" si="2067"/>
        <v>8</v>
      </c>
      <c r="F2479" s="132">
        <f t="shared" si="2067"/>
        <v>44</v>
      </c>
      <c r="G2479" s="41">
        <f t="shared" si="2067"/>
        <v>8</v>
      </c>
      <c r="H2479" s="49">
        <f t="shared" si="2067"/>
        <v>11</v>
      </c>
      <c r="I2479" s="42">
        <f t="shared" si="2067"/>
        <v>11</v>
      </c>
      <c r="J2479" s="92">
        <f t="shared" si="2067"/>
        <v>7</v>
      </c>
      <c r="K2479" s="132">
        <f t="shared" si="2067"/>
        <v>37</v>
      </c>
      <c r="L2479" s="21">
        <f t="shared" si="2063"/>
        <v>81</v>
      </c>
      <c r="N2479" s="17" t="s">
        <v>9</v>
      </c>
      <c r="O2479" s="41">
        <f>SUM(O2474:O2478)</f>
        <v>266</v>
      </c>
      <c r="P2479" s="49">
        <f t="shared" ref="P2479:V2479" si="2068">SUM(P2474:P2478)</f>
        <v>427</v>
      </c>
      <c r="Q2479" s="42">
        <f t="shared" si="2068"/>
        <v>223</v>
      </c>
      <c r="R2479" s="92">
        <f t="shared" si="2068"/>
        <v>145</v>
      </c>
      <c r="S2479" s="93">
        <f t="shared" si="2068"/>
        <v>1061</v>
      </c>
      <c r="T2479" s="41">
        <f t="shared" si="2068"/>
        <v>534</v>
      </c>
      <c r="U2479" s="49">
        <f t="shared" si="2068"/>
        <v>553</v>
      </c>
      <c r="V2479" s="42">
        <f t="shared" si="2068"/>
        <v>446</v>
      </c>
      <c r="W2479" s="92">
        <f>SUM(W2474:W2478)</f>
        <v>251</v>
      </c>
      <c r="X2479" s="93">
        <f t="shared" ref="X2479" si="2069">SUM(X2474:X2478)</f>
        <v>1784</v>
      </c>
      <c r="Y2479" s="56">
        <f t="shared" si="2066"/>
        <v>2845</v>
      </c>
    </row>
    <row r="2480" spans="1:26" x14ac:dyDescent="0.15">
      <c r="A2480" s="13" t="s">
        <v>1815</v>
      </c>
      <c r="B2480" s="26"/>
      <c r="C2480" s="47">
        <v>1</v>
      </c>
      <c r="D2480" s="27">
        <v>2</v>
      </c>
      <c r="E2480" s="34"/>
      <c r="F2480" s="35">
        <f t="shared" ref="F2480:F2504" si="2070">SUM(B2480:E2480)</f>
        <v>3</v>
      </c>
      <c r="G2480" s="26"/>
      <c r="H2480" s="47">
        <v>1</v>
      </c>
      <c r="I2480" s="27">
        <v>2</v>
      </c>
      <c r="J2480" s="34"/>
      <c r="K2480" s="35">
        <f t="shared" ref="K2480:K2504" si="2071">SUM(G2480:J2480)</f>
        <v>3</v>
      </c>
      <c r="L2480" s="11">
        <f t="shared" si="2063"/>
        <v>6</v>
      </c>
      <c r="M2480" s="99">
        <v>46077</v>
      </c>
      <c r="N2480" s="305" t="s">
        <v>1987</v>
      </c>
      <c r="O2480" s="295"/>
      <c r="P2480" s="296"/>
      <c r="Q2480" s="297"/>
      <c r="R2480" s="306"/>
      <c r="S2480" s="307">
        <f t="shared" ref="S2480:S2486" si="2072">SUM(O2480:R2480)</f>
        <v>0</v>
      </c>
      <c r="T2480" s="295"/>
      <c r="U2480" s="296"/>
      <c r="V2480" s="297">
        <v>3</v>
      </c>
      <c r="W2480" s="306"/>
      <c r="X2480" s="307">
        <f t="shared" ref="X2480:X2486" si="2073">SUM(T2480:W2480)</f>
        <v>3</v>
      </c>
      <c r="Y2480" s="300">
        <f t="shared" si="2066"/>
        <v>3</v>
      </c>
      <c r="Z2480" s="301">
        <v>46070</v>
      </c>
    </row>
    <row r="2481" spans="1:27" x14ac:dyDescent="0.15">
      <c r="A2481" s="13" t="s">
        <v>1815</v>
      </c>
      <c r="B2481" s="26"/>
      <c r="C2481" s="47"/>
      <c r="D2481" s="27">
        <v>1</v>
      </c>
      <c r="E2481" s="34"/>
      <c r="F2481" s="35">
        <f t="shared" si="2070"/>
        <v>1</v>
      </c>
      <c r="G2481" s="26"/>
      <c r="H2481" s="47"/>
      <c r="I2481" s="27">
        <v>1</v>
      </c>
      <c r="J2481" s="34"/>
      <c r="K2481" s="35">
        <f t="shared" si="2071"/>
        <v>1</v>
      </c>
      <c r="L2481" s="11">
        <f t="shared" si="2063"/>
        <v>2</v>
      </c>
      <c r="M2481" s="99">
        <v>46079</v>
      </c>
      <c r="N2481" s="153" t="s">
        <v>2061</v>
      </c>
      <c r="O2481" s="26"/>
      <c r="P2481" s="47"/>
      <c r="Q2481" s="27">
        <v>5</v>
      </c>
      <c r="R2481" s="34"/>
      <c r="S2481" s="35">
        <f t="shared" si="2072"/>
        <v>5</v>
      </c>
      <c r="T2481" s="26"/>
      <c r="U2481" s="47"/>
      <c r="V2481" s="27"/>
      <c r="W2481" s="34">
        <v>5</v>
      </c>
      <c r="X2481" s="35">
        <f t="shared" si="2073"/>
        <v>5</v>
      </c>
      <c r="Y2481" s="11">
        <f t="shared" si="2066"/>
        <v>10</v>
      </c>
      <c r="Z2481" s="99">
        <v>46072</v>
      </c>
      <c r="AA2481" s="58"/>
    </row>
    <row r="2482" spans="1:27" x14ac:dyDescent="0.15">
      <c r="A2482" s="15" t="s">
        <v>41</v>
      </c>
      <c r="B2482" s="26">
        <v>1</v>
      </c>
      <c r="C2482" s="47">
        <v>2</v>
      </c>
      <c r="D2482" s="27">
        <v>1</v>
      </c>
      <c r="E2482" s="34"/>
      <c r="F2482" s="35">
        <f t="shared" si="2070"/>
        <v>4</v>
      </c>
      <c r="G2482" s="26"/>
      <c r="H2482" s="47"/>
      <c r="I2482" s="27"/>
      <c r="J2482" s="34"/>
      <c r="K2482" s="35">
        <f t="shared" si="2071"/>
        <v>0</v>
      </c>
      <c r="L2482" s="11">
        <f t="shared" si="2063"/>
        <v>4</v>
      </c>
      <c r="M2482" s="99">
        <v>46077</v>
      </c>
      <c r="N2482" s="12" t="s">
        <v>2062</v>
      </c>
      <c r="O2482" s="26"/>
      <c r="P2482" s="47">
        <v>5</v>
      </c>
      <c r="Q2482" s="27"/>
      <c r="R2482" s="34"/>
      <c r="S2482" s="35">
        <f t="shared" si="2072"/>
        <v>5</v>
      </c>
      <c r="T2482" s="26"/>
      <c r="U2482" s="47"/>
      <c r="V2482" s="27"/>
      <c r="W2482" s="34"/>
      <c r="X2482" s="35">
        <f t="shared" si="2073"/>
        <v>0</v>
      </c>
      <c r="Y2482" s="11">
        <f t="shared" si="2066"/>
        <v>5</v>
      </c>
      <c r="Z2482" s="99">
        <v>46078</v>
      </c>
      <c r="AA2482" s="58"/>
    </row>
    <row r="2483" spans="1:27" x14ac:dyDescent="0.15">
      <c r="A2483" s="15" t="s">
        <v>41</v>
      </c>
      <c r="B2483" s="26"/>
      <c r="C2483" s="47"/>
      <c r="D2483" s="27">
        <v>2</v>
      </c>
      <c r="E2483" s="34"/>
      <c r="F2483" s="35">
        <f t="shared" si="2070"/>
        <v>2</v>
      </c>
      <c r="G2483" s="26"/>
      <c r="H2483" s="47">
        <v>3</v>
      </c>
      <c r="I2483" s="27"/>
      <c r="J2483" s="34"/>
      <c r="K2483" s="35">
        <f t="shared" si="2071"/>
        <v>3</v>
      </c>
      <c r="L2483" s="11">
        <f t="shared" si="2063"/>
        <v>5</v>
      </c>
      <c r="M2483" s="99">
        <v>46078</v>
      </c>
      <c r="N2483" s="153" t="s">
        <v>2064</v>
      </c>
      <c r="O2483" s="26">
        <v>17</v>
      </c>
      <c r="P2483" s="47">
        <v>26</v>
      </c>
      <c r="Q2483" s="27">
        <v>12</v>
      </c>
      <c r="R2483" s="34"/>
      <c r="S2483" s="35">
        <f t="shared" si="2072"/>
        <v>55</v>
      </c>
      <c r="T2483" s="26"/>
      <c r="U2483" s="47">
        <v>3</v>
      </c>
      <c r="V2483" s="27">
        <v>8</v>
      </c>
      <c r="W2483" s="34">
        <v>1</v>
      </c>
      <c r="X2483" s="35">
        <f t="shared" si="2073"/>
        <v>12</v>
      </c>
      <c r="Y2483" s="11">
        <f t="shared" si="2066"/>
        <v>67</v>
      </c>
      <c r="Z2483" s="99">
        <v>46073</v>
      </c>
    </row>
    <row r="2484" spans="1:27" x14ac:dyDescent="0.15">
      <c r="A2484" s="13" t="s">
        <v>1815</v>
      </c>
      <c r="B2484" s="26">
        <v>1</v>
      </c>
      <c r="C2484" s="47"/>
      <c r="D2484" s="27"/>
      <c r="E2484" s="34"/>
      <c r="F2484" s="35">
        <f t="shared" si="2070"/>
        <v>1</v>
      </c>
      <c r="G2484" s="26">
        <v>1</v>
      </c>
      <c r="H2484" s="47"/>
      <c r="I2484" s="27"/>
      <c r="J2484" s="34"/>
      <c r="K2484" s="35">
        <f t="shared" si="2071"/>
        <v>1</v>
      </c>
      <c r="L2484" s="11">
        <f t="shared" si="2063"/>
        <v>2</v>
      </c>
      <c r="M2484" s="99">
        <v>46080</v>
      </c>
      <c r="N2484" s="305" t="s">
        <v>1987</v>
      </c>
      <c r="O2484" s="295"/>
      <c r="P2484" s="296">
        <v>3</v>
      </c>
      <c r="Q2484" s="297"/>
      <c r="R2484" s="306"/>
      <c r="S2484" s="307">
        <f t="shared" si="2072"/>
        <v>3</v>
      </c>
      <c r="T2484" s="295"/>
      <c r="U2484" s="296"/>
      <c r="V2484" s="297"/>
      <c r="W2484" s="306"/>
      <c r="X2484" s="307">
        <f t="shared" si="2073"/>
        <v>0</v>
      </c>
      <c r="Y2484" s="300">
        <f t="shared" si="2066"/>
        <v>3</v>
      </c>
      <c r="Z2484" s="301">
        <v>46072</v>
      </c>
    </row>
    <row r="2485" spans="1:27" x14ac:dyDescent="0.15">
      <c r="A2485" s="15" t="s">
        <v>41</v>
      </c>
      <c r="B2485" s="26"/>
      <c r="C2485" s="47"/>
      <c r="D2485" s="27">
        <v>1</v>
      </c>
      <c r="E2485" s="34"/>
      <c r="F2485" s="35">
        <f t="shared" si="2070"/>
        <v>1</v>
      </c>
      <c r="G2485" s="26"/>
      <c r="H2485" s="47"/>
      <c r="I2485" s="27"/>
      <c r="J2485" s="34"/>
      <c r="K2485" s="35">
        <f t="shared" si="2071"/>
        <v>0</v>
      </c>
      <c r="L2485" s="11">
        <f t="shared" si="2063"/>
        <v>1</v>
      </c>
      <c r="M2485" s="99">
        <v>46079</v>
      </c>
      <c r="N2485" s="57" t="s">
        <v>2065</v>
      </c>
      <c r="O2485" s="26">
        <v>30</v>
      </c>
      <c r="P2485" s="47">
        <v>15</v>
      </c>
      <c r="Q2485" s="27"/>
      <c r="R2485" s="34"/>
      <c r="S2485" s="35">
        <f t="shared" si="2072"/>
        <v>45</v>
      </c>
      <c r="T2485" s="26">
        <v>15</v>
      </c>
      <c r="U2485" s="47">
        <v>5</v>
      </c>
      <c r="V2485" s="27">
        <v>5</v>
      </c>
      <c r="W2485" s="34"/>
      <c r="X2485" s="35">
        <f t="shared" si="2073"/>
        <v>25</v>
      </c>
      <c r="Y2485" s="11">
        <f t="shared" si="2066"/>
        <v>70</v>
      </c>
      <c r="Z2485" s="99">
        <v>46079</v>
      </c>
    </row>
    <row r="2486" spans="1:27" x14ac:dyDescent="0.15">
      <c r="A2486" s="15" t="s">
        <v>41</v>
      </c>
      <c r="B2486" s="26"/>
      <c r="C2486" s="47"/>
      <c r="D2486" s="27"/>
      <c r="E2486" s="34"/>
      <c r="F2486" s="35">
        <f t="shared" ref="F2486" si="2074">SUM(B2486:E2486)</f>
        <v>0</v>
      </c>
      <c r="G2486" s="26">
        <v>1</v>
      </c>
      <c r="H2486" s="47"/>
      <c r="I2486" s="27"/>
      <c r="J2486" s="34"/>
      <c r="K2486" s="35">
        <f t="shared" ref="K2486" si="2075">SUM(G2486:J2486)</f>
        <v>1</v>
      </c>
      <c r="L2486" s="11">
        <f t="shared" ref="L2486" si="2076">F2486+K2486</f>
        <v>1</v>
      </c>
      <c r="M2486" s="126">
        <v>46080</v>
      </c>
      <c r="N2486" s="12" t="s">
        <v>2066</v>
      </c>
      <c r="O2486" s="26"/>
      <c r="P2486" s="47"/>
      <c r="Q2486" s="27"/>
      <c r="R2486" s="34"/>
      <c r="S2486" s="35">
        <f t="shared" si="2072"/>
        <v>0</v>
      </c>
      <c r="T2486" s="26"/>
      <c r="U2486" s="47">
        <v>5</v>
      </c>
      <c r="V2486" s="27">
        <v>5</v>
      </c>
      <c r="W2486" s="34"/>
      <c r="X2486" s="35">
        <f t="shared" si="2073"/>
        <v>10</v>
      </c>
      <c r="Y2486" s="11">
        <f t="shared" si="2066"/>
        <v>10</v>
      </c>
      <c r="Z2486" s="99">
        <v>46085</v>
      </c>
    </row>
    <row r="2487" spans="1:27" x14ac:dyDescent="0.15">
      <c r="A2487" s="15"/>
      <c r="B2487" s="26"/>
      <c r="C2487" s="47"/>
      <c r="D2487" s="27"/>
      <c r="E2487" s="34"/>
      <c r="F2487" s="35">
        <f t="shared" si="2070"/>
        <v>0</v>
      </c>
      <c r="G2487" s="26"/>
      <c r="H2487" s="47"/>
      <c r="I2487" s="27"/>
      <c r="J2487" s="34"/>
      <c r="K2487" s="35">
        <f t="shared" si="2071"/>
        <v>0</v>
      </c>
      <c r="L2487" s="11">
        <f t="shared" si="2063"/>
        <v>0</v>
      </c>
      <c r="N2487" s="153" t="s">
        <v>2067</v>
      </c>
      <c r="O2487" s="26">
        <v>7</v>
      </c>
      <c r="P2487" s="47">
        <v>9</v>
      </c>
      <c r="Q2487" s="27">
        <v>4</v>
      </c>
      <c r="R2487" s="50">
        <v>6</v>
      </c>
      <c r="S2487" s="9">
        <f>SUM(O2487:R2487)</f>
        <v>26</v>
      </c>
      <c r="T2487" s="47">
        <v>3</v>
      </c>
      <c r="U2487" s="47">
        <v>4</v>
      </c>
      <c r="V2487" s="27">
        <v>3</v>
      </c>
      <c r="W2487" s="50"/>
      <c r="X2487" s="9">
        <f>SUM(T2487:W2487)</f>
        <v>10</v>
      </c>
      <c r="Y2487" s="11">
        <f t="shared" si="2066"/>
        <v>36</v>
      </c>
      <c r="Z2487" s="99">
        <v>46073</v>
      </c>
    </row>
    <row r="2488" spans="1:27" x14ac:dyDescent="0.15">
      <c r="A2488" s="15"/>
      <c r="B2488" s="26"/>
      <c r="C2488" s="47"/>
      <c r="D2488" s="27"/>
      <c r="E2488" s="34"/>
      <c r="F2488" s="35">
        <f t="shared" si="2070"/>
        <v>0</v>
      </c>
      <c r="G2488" s="26"/>
      <c r="H2488" s="47"/>
      <c r="I2488" s="27"/>
      <c r="J2488" s="34"/>
      <c r="K2488" s="35">
        <f t="shared" si="2071"/>
        <v>0</v>
      </c>
      <c r="L2488" s="11">
        <f t="shared" si="2063"/>
        <v>0</v>
      </c>
      <c r="N2488" s="153" t="s">
        <v>2070</v>
      </c>
      <c r="O2488" s="26">
        <v>15</v>
      </c>
      <c r="P2488" s="47">
        <v>25</v>
      </c>
      <c r="Q2488" s="27"/>
      <c r="R2488" s="34">
        <v>5</v>
      </c>
      <c r="S2488" s="35">
        <f t="shared" ref="S2488:S2505" si="2077">SUM(O2488:R2488)</f>
        <v>45</v>
      </c>
      <c r="T2488" s="26">
        <v>5</v>
      </c>
      <c r="U2488" s="47">
        <v>12</v>
      </c>
      <c r="V2488" s="27">
        <v>3</v>
      </c>
      <c r="W2488" s="34"/>
      <c r="X2488" s="35">
        <f t="shared" ref="X2488:X2505" si="2078">SUM(T2488:W2488)</f>
        <v>20</v>
      </c>
      <c r="Y2488" s="11">
        <f t="shared" si="2066"/>
        <v>65</v>
      </c>
      <c r="Z2488" s="99">
        <v>46077</v>
      </c>
    </row>
    <row r="2489" spans="1:27" x14ac:dyDescent="0.15">
      <c r="A2489" s="15"/>
      <c r="B2489" s="26"/>
      <c r="C2489" s="47"/>
      <c r="D2489" s="27"/>
      <c r="E2489" s="34"/>
      <c r="F2489" s="35">
        <f t="shared" si="2070"/>
        <v>0</v>
      </c>
      <c r="G2489" s="26"/>
      <c r="H2489" s="47"/>
      <c r="I2489" s="27"/>
      <c r="J2489" s="34"/>
      <c r="K2489" s="35">
        <f t="shared" si="2071"/>
        <v>0</v>
      </c>
      <c r="L2489" s="11">
        <f t="shared" si="2063"/>
        <v>0</v>
      </c>
      <c r="N2489" s="57" t="s">
        <v>2071</v>
      </c>
      <c r="O2489" s="26"/>
      <c r="P2489" s="47"/>
      <c r="Q2489" s="27"/>
      <c r="R2489" s="34">
        <v>5</v>
      </c>
      <c r="S2489" s="35">
        <f t="shared" si="2077"/>
        <v>5</v>
      </c>
      <c r="T2489" s="26"/>
      <c r="U2489" s="47"/>
      <c r="V2489" s="27"/>
      <c r="W2489" s="34"/>
      <c r="X2489" s="35">
        <f t="shared" si="2078"/>
        <v>0</v>
      </c>
      <c r="Y2489" s="11">
        <f t="shared" si="2066"/>
        <v>5</v>
      </c>
      <c r="Z2489" s="99">
        <v>46076</v>
      </c>
    </row>
    <row r="2490" spans="1:27" x14ac:dyDescent="0.15">
      <c r="A2490" s="15"/>
      <c r="B2490" s="26"/>
      <c r="C2490" s="47"/>
      <c r="D2490" s="27"/>
      <c r="E2490" s="34"/>
      <c r="F2490" s="35">
        <f t="shared" si="2070"/>
        <v>0</v>
      </c>
      <c r="G2490" s="26"/>
      <c r="H2490" s="47"/>
      <c r="I2490" s="27"/>
      <c r="J2490" s="34"/>
      <c r="K2490" s="35">
        <f t="shared" si="2071"/>
        <v>0</v>
      </c>
      <c r="L2490" s="11">
        <f t="shared" si="2063"/>
        <v>0</v>
      </c>
      <c r="N2490" s="12" t="s">
        <v>2073</v>
      </c>
      <c r="O2490" s="26"/>
      <c r="P2490" s="47"/>
      <c r="Q2490" s="27"/>
      <c r="R2490" s="34"/>
      <c r="S2490" s="35">
        <f t="shared" si="2077"/>
        <v>0</v>
      </c>
      <c r="T2490" s="26"/>
      <c r="U2490" s="47">
        <v>5</v>
      </c>
      <c r="V2490" s="27">
        <v>5</v>
      </c>
      <c r="W2490" s="34"/>
      <c r="X2490" s="35">
        <f t="shared" si="2078"/>
        <v>10</v>
      </c>
      <c r="Y2490" s="11">
        <f t="shared" si="2066"/>
        <v>10</v>
      </c>
      <c r="Z2490" s="99">
        <v>46074</v>
      </c>
    </row>
    <row r="2491" spans="1:27" x14ac:dyDescent="0.15">
      <c r="A2491" s="13"/>
      <c r="B2491" s="26"/>
      <c r="C2491" s="47"/>
      <c r="D2491" s="27"/>
      <c r="E2491" s="34"/>
      <c r="F2491" s="35">
        <f t="shared" si="2070"/>
        <v>0</v>
      </c>
      <c r="G2491" s="26"/>
      <c r="H2491" s="47"/>
      <c r="I2491" s="27"/>
      <c r="J2491" s="34"/>
      <c r="K2491" s="35">
        <f t="shared" si="2071"/>
        <v>0</v>
      </c>
      <c r="L2491" s="11">
        <f t="shared" si="2063"/>
        <v>0</v>
      </c>
      <c r="N2491" s="153" t="s">
        <v>2074</v>
      </c>
      <c r="O2491" s="26">
        <v>12</v>
      </c>
      <c r="P2491" s="47">
        <v>10</v>
      </c>
      <c r="Q2491" s="27">
        <v>8</v>
      </c>
      <c r="R2491" s="34">
        <v>7</v>
      </c>
      <c r="S2491" s="35">
        <f t="shared" si="2077"/>
        <v>37</v>
      </c>
      <c r="T2491" s="26">
        <v>3</v>
      </c>
      <c r="U2491" s="47">
        <v>2</v>
      </c>
      <c r="V2491" s="27">
        <v>2</v>
      </c>
      <c r="W2491" s="34">
        <v>1</v>
      </c>
      <c r="X2491" s="35">
        <f t="shared" si="2078"/>
        <v>8</v>
      </c>
      <c r="Y2491" s="11">
        <f t="shared" si="2066"/>
        <v>45</v>
      </c>
      <c r="Z2491" s="99">
        <v>46079</v>
      </c>
    </row>
    <row r="2492" spans="1:27" x14ac:dyDescent="0.15">
      <c r="A2492" s="15"/>
      <c r="B2492" s="26"/>
      <c r="C2492" s="47"/>
      <c r="D2492" s="27"/>
      <c r="E2492" s="34"/>
      <c r="F2492" s="35">
        <f t="shared" si="2070"/>
        <v>0</v>
      </c>
      <c r="G2492" s="26"/>
      <c r="H2492" s="47"/>
      <c r="I2492" s="27"/>
      <c r="J2492" s="34"/>
      <c r="K2492" s="35">
        <f t="shared" si="2071"/>
        <v>0</v>
      </c>
      <c r="L2492" s="11">
        <f t="shared" si="2063"/>
        <v>0</v>
      </c>
      <c r="N2492" s="305" t="s">
        <v>1987</v>
      </c>
      <c r="O2492" s="295"/>
      <c r="P2492" s="296"/>
      <c r="Q2492" s="297">
        <v>3</v>
      </c>
      <c r="R2492" s="306"/>
      <c r="S2492" s="307">
        <f t="shared" ref="S2492:S2495" si="2079">SUM(O2492:R2492)</f>
        <v>3</v>
      </c>
      <c r="T2492" s="295"/>
      <c r="U2492" s="296"/>
      <c r="V2492" s="297"/>
      <c r="W2492" s="306"/>
      <c r="X2492" s="307">
        <f t="shared" ref="X2492:X2495" si="2080">SUM(T2492:W2492)</f>
        <v>0</v>
      </c>
      <c r="Y2492" s="300">
        <f t="shared" ref="Y2492:Y2495" si="2081">S2492+X2492</f>
        <v>3</v>
      </c>
      <c r="Z2492" s="301">
        <v>46078</v>
      </c>
    </row>
    <row r="2493" spans="1:27" x14ac:dyDescent="0.15">
      <c r="A2493" s="13"/>
      <c r="B2493" s="26"/>
      <c r="C2493" s="47"/>
      <c r="D2493" s="27"/>
      <c r="E2493" s="34"/>
      <c r="F2493" s="35">
        <f t="shared" si="2070"/>
        <v>0</v>
      </c>
      <c r="G2493" s="26"/>
      <c r="H2493" s="47"/>
      <c r="I2493" s="27"/>
      <c r="J2493" s="34"/>
      <c r="K2493" s="35">
        <f t="shared" si="2071"/>
        <v>0</v>
      </c>
      <c r="L2493" s="11">
        <f t="shared" si="2063"/>
        <v>0</v>
      </c>
      <c r="N2493" s="153" t="s">
        <v>2075</v>
      </c>
      <c r="O2493" s="26">
        <v>19</v>
      </c>
      <c r="P2493" s="47">
        <v>5</v>
      </c>
      <c r="Q2493" s="27">
        <v>2</v>
      </c>
      <c r="R2493" s="34">
        <v>6</v>
      </c>
      <c r="S2493" s="35">
        <f t="shared" si="2079"/>
        <v>32</v>
      </c>
      <c r="T2493" s="26">
        <v>5</v>
      </c>
      <c r="U2493" s="47">
        <v>9</v>
      </c>
      <c r="V2493" s="27">
        <v>3</v>
      </c>
      <c r="W2493" s="34"/>
      <c r="X2493" s="35">
        <f t="shared" si="2080"/>
        <v>17</v>
      </c>
      <c r="Y2493" s="11">
        <f t="shared" si="2081"/>
        <v>49</v>
      </c>
      <c r="Z2493" s="99">
        <v>46080</v>
      </c>
    </row>
    <row r="2494" spans="1:27" x14ac:dyDescent="0.15">
      <c r="A2494" s="15"/>
      <c r="B2494" s="26"/>
      <c r="C2494" s="47"/>
      <c r="D2494" s="27"/>
      <c r="E2494" s="34"/>
      <c r="F2494" s="35">
        <f t="shared" si="2070"/>
        <v>0</v>
      </c>
      <c r="G2494" s="26"/>
      <c r="H2494" s="47"/>
      <c r="I2494" s="27"/>
      <c r="J2494" s="34"/>
      <c r="K2494" s="35">
        <f t="shared" si="2071"/>
        <v>0</v>
      </c>
      <c r="L2494" s="11">
        <f t="shared" si="2063"/>
        <v>0</v>
      </c>
      <c r="N2494" s="57" t="s">
        <v>2076</v>
      </c>
      <c r="O2494" s="26">
        <v>20</v>
      </c>
      <c r="P2494" s="47">
        <v>10</v>
      </c>
      <c r="Q2494" s="27"/>
      <c r="R2494" s="34">
        <v>5</v>
      </c>
      <c r="S2494" s="35">
        <f t="shared" si="2079"/>
        <v>35</v>
      </c>
      <c r="T2494" s="26"/>
      <c r="U2494" s="47">
        <v>5</v>
      </c>
      <c r="V2494" s="27">
        <v>5</v>
      </c>
      <c r="W2494" s="34">
        <v>5</v>
      </c>
      <c r="X2494" s="35">
        <f t="shared" si="2080"/>
        <v>15</v>
      </c>
      <c r="Y2494" s="11">
        <f t="shared" si="2081"/>
        <v>50</v>
      </c>
      <c r="Z2494" s="99">
        <v>46079</v>
      </c>
    </row>
    <row r="2495" spans="1:27" x14ac:dyDescent="0.15">
      <c r="A2495" s="13"/>
      <c r="B2495" s="26"/>
      <c r="C2495" s="47"/>
      <c r="D2495" s="27"/>
      <c r="E2495" s="34"/>
      <c r="F2495" s="35">
        <f t="shared" si="2070"/>
        <v>0</v>
      </c>
      <c r="G2495" s="26"/>
      <c r="H2495" s="47"/>
      <c r="I2495" s="27"/>
      <c r="J2495" s="34"/>
      <c r="K2495" s="35">
        <f t="shared" si="2071"/>
        <v>0</v>
      </c>
      <c r="L2495" s="11">
        <f t="shared" si="2063"/>
        <v>0</v>
      </c>
      <c r="N2495" s="305" t="s">
        <v>1987</v>
      </c>
      <c r="O2495" s="295"/>
      <c r="P2495" s="296"/>
      <c r="Q2495" s="297">
        <v>3</v>
      </c>
      <c r="R2495" s="306">
        <v>3</v>
      </c>
      <c r="S2495" s="307">
        <f t="shared" si="2079"/>
        <v>6</v>
      </c>
      <c r="T2495" s="295"/>
      <c r="U2495" s="296"/>
      <c r="V2495" s="297"/>
      <c r="W2495" s="306"/>
      <c r="X2495" s="307">
        <f t="shared" si="2080"/>
        <v>0</v>
      </c>
      <c r="Y2495" s="300">
        <f t="shared" si="2081"/>
        <v>6</v>
      </c>
      <c r="Z2495" s="301">
        <v>46080</v>
      </c>
    </row>
    <row r="2496" spans="1:27" x14ac:dyDescent="0.15">
      <c r="A2496" s="15"/>
      <c r="B2496" s="26"/>
      <c r="C2496" s="47"/>
      <c r="D2496" s="27"/>
      <c r="E2496" s="34"/>
      <c r="F2496" s="35">
        <f t="shared" si="2070"/>
        <v>0</v>
      </c>
      <c r="G2496" s="26"/>
      <c r="H2496" s="47"/>
      <c r="I2496" s="27"/>
      <c r="J2496" s="34"/>
      <c r="K2496" s="35">
        <f t="shared" si="2071"/>
        <v>0</v>
      </c>
      <c r="L2496" s="11">
        <f t="shared" si="2063"/>
        <v>0</v>
      </c>
      <c r="N2496" s="153" t="s">
        <v>2037</v>
      </c>
      <c r="O2496" s="154"/>
      <c r="P2496" s="155"/>
      <c r="Q2496" s="156"/>
      <c r="R2496" s="157"/>
      <c r="S2496" s="158">
        <f t="shared" ref="S2496" si="2082">SUM(O2496:R2496)</f>
        <v>0</v>
      </c>
      <c r="T2496" s="154"/>
      <c r="U2496" s="155"/>
      <c r="V2496" s="156"/>
      <c r="W2496" s="157"/>
      <c r="X2496" s="158">
        <f t="shared" ref="X2496" si="2083">SUM(T2496:W2496)</f>
        <v>0</v>
      </c>
      <c r="Y2496" s="179">
        <f t="shared" ref="Y2496" si="2084">S2496+X2496</f>
        <v>0</v>
      </c>
      <c r="Z2496" s="160" t="s">
        <v>2038</v>
      </c>
    </row>
    <row r="2497" spans="1:26" x14ac:dyDescent="0.15">
      <c r="A2497" s="15"/>
      <c r="B2497" s="26"/>
      <c r="C2497" s="47"/>
      <c r="D2497" s="27"/>
      <c r="E2497" s="34"/>
      <c r="F2497" s="35">
        <f t="shared" si="2070"/>
        <v>0</v>
      </c>
      <c r="G2497" s="26"/>
      <c r="H2497" s="47"/>
      <c r="I2497" s="27"/>
      <c r="J2497" s="34"/>
      <c r="K2497" s="35">
        <f t="shared" si="2071"/>
        <v>0</v>
      </c>
      <c r="L2497" s="11">
        <f t="shared" si="2063"/>
        <v>0</v>
      </c>
      <c r="N2497" s="173" t="s">
        <v>1990</v>
      </c>
      <c r="O2497" s="154"/>
      <c r="P2497" s="155"/>
      <c r="Q2497" s="156"/>
      <c r="R2497" s="157"/>
      <c r="S2497" s="158">
        <f t="shared" ref="S2497:S2498" si="2085">SUM(O2497:R2497)</f>
        <v>0</v>
      </c>
      <c r="T2497" s="154"/>
      <c r="U2497" s="155"/>
      <c r="V2497" s="156"/>
      <c r="W2497" s="157"/>
      <c r="X2497" s="158">
        <f t="shared" ref="X2497:X2498" si="2086">SUM(T2497:W2497)</f>
        <v>0</v>
      </c>
      <c r="Y2497" s="179">
        <f t="shared" ref="Y2497:Y2498" si="2087">S2497+X2497</f>
        <v>0</v>
      </c>
      <c r="Z2497" s="160"/>
    </row>
    <row r="2498" spans="1:26" x14ac:dyDescent="0.15">
      <c r="A2498" s="13"/>
      <c r="B2498" s="26"/>
      <c r="C2498" s="47"/>
      <c r="D2498" s="27"/>
      <c r="E2498" s="34"/>
      <c r="F2498" s="35">
        <f t="shared" si="2070"/>
        <v>0</v>
      </c>
      <c r="G2498" s="26"/>
      <c r="H2498" s="47"/>
      <c r="I2498" s="27"/>
      <c r="J2498" s="34"/>
      <c r="K2498" s="35">
        <f t="shared" si="2071"/>
        <v>0</v>
      </c>
      <c r="L2498" s="11">
        <f t="shared" si="2063"/>
        <v>0</v>
      </c>
      <c r="N2498" s="57" t="s">
        <v>1992</v>
      </c>
      <c r="O2498" s="26"/>
      <c r="P2498" s="47"/>
      <c r="Q2498" s="27"/>
      <c r="R2498" s="34"/>
      <c r="S2498" s="35">
        <f t="shared" si="2085"/>
        <v>0</v>
      </c>
      <c r="T2498" s="26"/>
      <c r="U2498" s="47"/>
      <c r="V2498" s="27"/>
      <c r="W2498" s="34"/>
      <c r="X2498" s="35">
        <f t="shared" si="2086"/>
        <v>0</v>
      </c>
      <c r="Y2498" s="11">
        <f t="shared" si="2087"/>
        <v>0</v>
      </c>
      <c r="Z2498" s="101" t="s">
        <v>1991</v>
      </c>
    </row>
    <row r="2499" spans="1:26" x14ac:dyDescent="0.15">
      <c r="A2499" s="32"/>
      <c r="B2499" s="26"/>
      <c r="C2499" s="47"/>
      <c r="D2499" s="27"/>
      <c r="E2499" s="34"/>
      <c r="F2499" s="35">
        <f t="shared" si="2070"/>
        <v>0</v>
      </c>
      <c r="G2499" s="26"/>
      <c r="H2499" s="47"/>
      <c r="I2499" s="27"/>
      <c r="J2499" s="34"/>
      <c r="K2499" s="35">
        <f t="shared" si="2071"/>
        <v>0</v>
      </c>
      <c r="L2499" s="11">
        <f t="shared" si="2063"/>
        <v>0</v>
      </c>
      <c r="N2499" s="173" t="s">
        <v>1958</v>
      </c>
      <c r="O2499" s="154"/>
      <c r="P2499" s="155"/>
      <c r="Q2499" s="156"/>
      <c r="R2499" s="157"/>
      <c r="S2499" s="158">
        <f t="shared" ref="S2499:S2502" si="2088">SUM(O2499:R2499)</f>
        <v>0</v>
      </c>
      <c r="T2499" s="154"/>
      <c r="U2499" s="155"/>
      <c r="V2499" s="156"/>
      <c r="W2499" s="157"/>
      <c r="X2499" s="158">
        <f t="shared" ref="X2499:X2502" si="2089">SUM(T2499:W2499)</f>
        <v>0</v>
      </c>
      <c r="Y2499" s="179">
        <f t="shared" ref="Y2499:Y2502" si="2090">S2499+X2499</f>
        <v>0</v>
      </c>
      <c r="Z2499" s="101"/>
    </row>
    <row r="2500" spans="1:26" x14ac:dyDescent="0.15">
      <c r="A2500" s="32"/>
      <c r="B2500" s="26"/>
      <c r="C2500" s="47"/>
      <c r="D2500" s="27"/>
      <c r="E2500" s="34"/>
      <c r="F2500" s="35">
        <f t="shared" si="2070"/>
        <v>0</v>
      </c>
      <c r="G2500" s="26"/>
      <c r="H2500" s="47"/>
      <c r="I2500" s="27"/>
      <c r="J2500" s="34"/>
      <c r="K2500" s="35">
        <f t="shared" si="2071"/>
        <v>0</v>
      </c>
      <c r="L2500" s="11">
        <f t="shared" si="2063"/>
        <v>0</v>
      </c>
      <c r="N2500" s="57" t="s">
        <v>1960</v>
      </c>
      <c r="O2500" s="26"/>
      <c r="P2500" s="47"/>
      <c r="Q2500" s="27"/>
      <c r="R2500" s="34"/>
      <c r="S2500" s="35">
        <f t="shared" si="2088"/>
        <v>0</v>
      </c>
      <c r="T2500" s="26"/>
      <c r="U2500" s="47"/>
      <c r="V2500" s="27"/>
      <c r="W2500" s="34"/>
      <c r="X2500" s="35">
        <f t="shared" si="2089"/>
        <v>0</v>
      </c>
      <c r="Y2500" s="11">
        <f t="shared" si="2090"/>
        <v>0</v>
      </c>
      <c r="Z2500" s="101" t="s">
        <v>1957</v>
      </c>
    </row>
    <row r="2501" spans="1:26" x14ac:dyDescent="0.15">
      <c r="A2501" s="12"/>
      <c r="B2501" s="26"/>
      <c r="C2501" s="47"/>
      <c r="D2501" s="27"/>
      <c r="E2501" s="34"/>
      <c r="F2501" s="35">
        <f t="shared" si="2070"/>
        <v>0</v>
      </c>
      <c r="G2501" s="26"/>
      <c r="H2501" s="47"/>
      <c r="I2501" s="27"/>
      <c r="J2501" s="34"/>
      <c r="K2501" s="35">
        <f t="shared" si="2071"/>
        <v>0</v>
      </c>
      <c r="L2501" s="11">
        <f t="shared" si="2063"/>
        <v>0</v>
      </c>
      <c r="N2501" s="153" t="s">
        <v>1959</v>
      </c>
      <c r="O2501" s="154"/>
      <c r="P2501" s="155"/>
      <c r="Q2501" s="156"/>
      <c r="R2501" s="157"/>
      <c r="S2501" s="158">
        <f t="shared" si="2088"/>
        <v>0</v>
      </c>
      <c r="T2501" s="154"/>
      <c r="U2501" s="155"/>
      <c r="V2501" s="156"/>
      <c r="W2501" s="157"/>
      <c r="X2501" s="158">
        <f t="shared" si="2089"/>
        <v>0</v>
      </c>
      <c r="Y2501" s="179">
        <f t="shared" si="2090"/>
        <v>0</v>
      </c>
      <c r="Z2501" s="160"/>
    </row>
    <row r="2502" spans="1:26" x14ac:dyDescent="0.15">
      <c r="A2502" s="79"/>
      <c r="B2502" s="26"/>
      <c r="C2502" s="47"/>
      <c r="D2502" s="27"/>
      <c r="E2502" s="34"/>
      <c r="F2502" s="35">
        <f t="shared" si="2070"/>
        <v>0</v>
      </c>
      <c r="G2502" s="26"/>
      <c r="H2502" s="47"/>
      <c r="I2502" s="27"/>
      <c r="J2502" s="34"/>
      <c r="K2502" s="35">
        <f t="shared" si="2071"/>
        <v>0</v>
      </c>
      <c r="L2502" s="11">
        <f t="shared" si="2063"/>
        <v>0</v>
      </c>
      <c r="N2502" s="12" t="s">
        <v>1942</v>
      </c>
      <c r="O2502" s="26"/>
      <c r="P2502" s="47"/>
      <c r="Q2502" s="27"/>
      <c r="R2502" s="34"/>
      <c r="S2502" s="35">
        <f t="shared" si="2088"/>
        <v>0</v>
      </c>
      <c r="T2502" s="26"/>
      <c r="U2502" s="47"/>
      <c r="V2502" s="27"/>
      <c r="W2502" s="34"/>
      <c r="X2502" s="35">
        <f t="shared" si="2089"/>
        <v>0</v>
      </c>
      <c r="Y2502" s="11">
        <f t="shared" si="2090"/>
        <v>0</v>
      </c>
      <c r="Z2502" s="101" t="s">
        <v>1943</v>
      </c>
    </row>
    <row r="2503" spans="1:26" x14ac:dyDescent="0.15">
      <c r="A2503" s="57"/>
      <c r="B2503" s="26"/>
      <c r="C2503" s="47"/>
      <c r="D2503" s="27"/>
      <c r="E2503" s="34"/>
      <c r="F2503" s="35">
        <f t="shared" si="2070"/>
        <v>0</v>
      </c>
      <c r="G2503" s="26"/>
      <c r="H2503" s="47"/>
      <c r="I2503" s="27"/>
      <c r="J2503" s="34"/>
      <c r="K2503" s="35">
        <f t="shared" si="2071"/>
        <v>0</v>
      </c>
      <c r="L2503" s="11">
        <f t="shared" si="2063"/>
        <v>0</v>
      </c>
      <c r="N2503" s="153" t="s">
        <v>1879</v>
      </c>
      <c r="O2503" s="174"/>
      <c r="P2503" s="175"/>
      <c r="Q2503" s="176"/>
      <c r="R2503" s="177"/>
      <c r="S2503" s="178">
        <f t="shared" si="2077"/>
        <v>0</v>
      </c>
      <c r="T2503" s="174"/>
      <c r="U2503" s="175"/>
      <c r="V2503" s="176"/>
      <c r="W2503" s="177"/>
      <c r="X2503" s="178">
        <f t="shared" si="2078"/>
        <v>0</v>
      </c>
      <c r="Y2503" s="179">
        <f t="shared" si="2066"/>
        <v>0</v>
      </c>
      <c r="Z2503" s="101"/>
    </row>
    <row r="2504" spans="1:26" ht="14.25" thickBot="1" x14ac:dyDescent="0.2">
      <c r="A2504" s="90"/>
      <c r="B2504" s="62"/>
      <c r="C2504" s="63"/>
      <c r="D2504" s="64"/>
      <c r="E2504" s="65"/>
      <c r="F2504" s="35">
        <f t="shared" si="2070"/>
        <v>0</v>
      </c>
      <c r="G2504" s="62"/>
      <c r="H2504" s="63"/>
      <c r="I2504" s="64"/>
      <c r="J2504" s="65"/>
      <c r="K2504" s="35">
        <f t="shared" si="2071"/>
        <v>0</v>
      </c>
      <c r="L2504" s="14">
        <f t="shared" si="2063"/>
        <v>0</v>
      </c>
      <c r="N2504" s="220" t="s">
        <v>1878</v>
      </c>
      <c r="O2504" s="62"/>
      <c r="P2504" s="63"/>
      <c r="Q2504" s="64"/>
      <c r="R2504" s="65"/>
      <c r="S2504" s="120">
        <f t="shared" si="2077"/>
        <v>0</v>
      </c>
      <c r="T2504" s="62"/>
      <c r="U2504" s="63"/>
      <c r="V2504" s="64"/>
      <c r="W2504" s="65"/>
      <c r="X2504" s="120">
        <f t="shared" si="2078"/>
        <v>0</v>
      </c>
      <c r="Y2504" s="121">
        <f t="shared" si="2066"/>
        <v>0</v>
      </c>
      <c r="Z2504" s="101" t="s">
        <v>1880</v>
      </c>
    </row>
    <row r="2505" spans="1:26" ht="14.25" thickBot="1" x14ac:dyDescent="0.2">
      <c r="A2505" s="17" t="s">
        <v>10</v>
      </c>
      <c r="B2505" s="38">
        <f>SUM(B2480:B2504)</f>
        <v>2</v>
      </c>
      <c r="C2505" s="48">
        <f>SUM(C2480:C2504)</f>
        <v>3</v>
      </c>
      <c r="D2505" s="39">
        <f>SUM(D2480:D2504)</f>
        <v>7</v>
      </c>
      <c r="E2505" s="40">
        <f>SUM(E2480:E2504)</f>
        <v>0</v>
      </c>
      <c r="F2505" s="36">
        <f>SUM(B2505:E2505)</f>
        <v>12</v>
      </c>
      <c r="G2505" s="38">
        <f>SUM(G2480:G2504)</f>
        <v>2</v>
      </c>
      <c r="H2505" s="48">
        <f>SUM(H2480:H2504)</f>
        <v>4</v>
      </c>
      <c r="I2505" s="39">
        <f>SUM(I2480:I2504)</f>
        <v>3</v>
      </c>
      <c r="J2505" s="40">
        <f>SUM(J2480:J2504)</f>
        <v>0</v>
      </c>
      <c r="K2505" s="36">
        <f>SUM(G2505:J2505)</f>
        <v>9</v>
      </c>
      <c r="L2505" s="37">
        <f t="shared" si="2063"/>
        <v>21</v>
      </c>
      <c r="N2505" s="133" t="s">
        <v>10</v>
      </c>
      <c r="O2505" s="38">
        <f>SUM(O2480:O2504)</f>
        <v>120</v>
      </c>
      <c r="P2505" s="48">
        <f>SUM(P2480:P2504)</f>
        <v>108</v>
      </c>
      <c r="Q2505" s="39">
        <f>SUM(Q2480:Q2504)</f>
        <v>37</v>
      </c>
      <c r="R2505" s="40">
        <f>SUM(R2480:R2504)</f>
        <v>37</v>
      </c>
      <c r="S2505" s="118">
        <f t="shared" si="2077"/>
        <v>302</v>
      </c>
      <c r="T2505" s="38">
        <f>SUM(T2480:T2504)</f>
        <v>31</v>
      </c>
      <c r="U2505" s="48">
        <f>SUM(U2480:U2504)</f>
        <v>50</v>
      </c>
      <c r="V2505" s="39">
        <f>SUM(V2480:V2504)</f>
        <v>42</v>
      </c>
      <c r="W2505" s="40">
        <f>SUM(W2480:W2504)</f>
        <v>12</v>
      </c>
      <c r="X2505" s="118">
        <f t="shared" si="2078"/>
        <v>135</v>
      </c>
      <c r="Y2505" s="119">
        <f t="shared" si="2066"/>
        <v>437</v>
      </c>
    </row>
    <row r="2506" spans="1:26" ht="14.25" thickBot="1" x14ac:dyDescent="0.2">
      <c r="A2506" s="22" t="s">
        <v>11</v>
      </c>
      <c r="B2506" s="41">
        <f>B2479-B2505</f>
        <v>9</v>
      </c>
      <c r="C2506" s="49">
        <f>C2479-C2505</f>
        <v>11</v>
      </c>
      <c r="D2506" s="42">
        <f t="shared" ref="D2506:K2506" si="2091">D2479-D2505</f>
        <v>8</v>
      </c>
      <c r="E2506" s="43">
        <f t="shared" si="2091"/>
        <v>8</v>
      </c>
      <c r="F2506" s="61">
        <f t="shared" si="2091"/>
        <v>32</v>
      </c>
      <c r="G2506" s="41">
        <f t="shared" si="2091"/>
        <v>6</v>
      </c>
      <c r="H2506" s="49">
        <f t="shared" si="2091"/>
        <v>7</v>
      </c>
      <c r="I2506" s="42">
        <f t="shared" si="2091"/>
        <v>8</v>
      </c>
      <c r="J2506" s="43">
        <f t="shared" si="2091"/>
        <v>7</v>
      </c>
      <c r="K2506" s="61">
        <f t="shared" si="2091"/>
        <v>28</v>
      </c>
      <c r="L2506" s="21">
        <f t="shared" si="2063"/>
        <v>60</v>
      </c>
      <c r="N2506" s="17" t="s">
        <v>11</v>
      </c>
      <c r="O2506" s="41">
        <f>O2479-O2505</f>
        <v>146</v>
      </c>
      <c r="P2506" s="49">
        <f t="shared" ref="P2506:Q2506" si="2092">P2479-P2505</f>
        <v>319</v>
      </c>
      <c r="Q2506" s="42">
        <f t="shared" si="2092"/>
        <v>186</v>
      </c>
      <c r="R2506" s="43">
        <f>R2479-R2505</f>
        <v>108</v>
      </c>
      <c r="S2506" s="61">
        <f t="shared" ref="S2506:X2506" si="2093">S2479-S2505</f>
        <v>759</v>
      </c>
      <c r="T2506" s="41">
        <f t="shared" si="2093"/>
        <v>503</v>
      </c>
      <c r="U2506" s="49">
        <f t="shared" si="2093"/>
        <v>503</v>
      </c>
      <c r="V2506" s="42">
        <f t="shared" si="2093"/>
        <v>404</v>
      </c>
      <c r="W2506" s="43">
        <f t="shared" si="2093"/>
        <v>239</v>
      </c>
      <c r="X2506" s="61">
        <f t="shared" si="2093"/>
        <v>1649</v>
      </c>
      <c r="Y2506" s="21">
        <f t="shared" si="2066"/>
        <v>2408</v>
      </c>
      <c r="Z2506" s="195" t="s">
        <v>2077</v>
      </c>
    </row>
    <row r="2509" spans="1:26" ht="19.5" thickBot="1" x14ac:dyDescent="0.25">
      <c r="A2509" s="2" t="s">
        <v>106</v>
      </c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N2509" s="2" t="s">
        <v>1036</v>
      </c>
      <c r="O2509" s="270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6" ht="14.25" thickBot="1" x14ac:dyDescent="0.2">
      <c r="A2510" s="5" t="s">
        <v>0</v>
      </c>
      <c r="B2510" s="342" t="s">
        <v>18</v>
      </c>
      <c r="C2510" s="350"/>
      <c r="D2510" s="350"/>
      <c r="E2510" s="350"/>
      <c r="F2510" s="351"/>
      <c r="G2510" s="345" t="s">
        <v>12</v>
      </c>
      <c r="H2510" s="352"/>
      <c r="I2510" s="352"/>
      <c r="J2510" s="352"/>
      <c r="K2510" s="353"/>
      <c r="L2510" s="354" t="s">
        <v>1</v>
      </c>
      <c r="N2510" s="5" t="s">
        <v>0</v>
      </c>
      <c r="O2510" s="342" t="s">
        <v>18</v>
      </c>
      <c r="P2510" s="343"/>
      <c r="Q2510" s="343"/>
      <c r="R2510" s="343"/>
      <c r="S2510" s="344"/>
      <c r="T2510" s="345" t="s">
        <v>12</v>
      </c>
      <c r="U2510" s="346"/>
      <c r="V2510" s="346"/>
      <c r="W2510" s="346"/>
      <c r="X2510" s="347"/>
      <c r="Y2510" s="348" t="s">
        <v>1</v>
      </c>
    </row>
    <row r="2511" spans="1:26" ht="14.25" thickBot="1" x14ac:dyDescent="0.2">
      <c r="A2511" s="5" t="s">
        <v>2</v>
      </c>
      <c r="B2511" s="3" t="s">
        <v>13</v>
      </c>
      <c r="C2511" s="44" t="s">
        <v>14</v>
      </c>
      <c r="D2511" s="4" t="s">
        <v>15</v>
      </c>
      <c r="E2511" s="23" t="s">
        <v>16</v>
      </c>
      <c r="F2511" s="31" t="s">
        <v>3</v>
      </c>
      <c r="G2511" s="3" t="s">
        <v>13</v>
      </c>
      <c r="H2511" s="44" t="s">
        <v>14</v>
      </c>
      <c r="I2511" s="4" t="s">
        <v>15</v>
      </c>
      <c r="J2511" s="23" t="s">
        <v>16</v>
      </c>
      <c r="K2511" s="31" t="s">
        <v>3</v>
      </c>
      <c r="L2511" s="355"/>
      <c r="N2511" s="5" t="s">
        <v>2</v>
      </c>
      <c r="O2511" s="3" t="s">
        <v>13</v>
      </c>
      <c r="P2511" s="44" t="s">
        <v>14</v>
      </c>
      <c r="Q2511" s="4" t="s">
        <v>15</v>
      </c>
      <c r="R2511" s="23" t="s">
        <v>16</v>
      </c>
      <c r="S2511" s="31" t="s">
        <v>3</v>
      </c>
      <c r="T2511" s="3" t="s">
        <v>13</v>
      </c>
      <c r="U2511" s="44" t="s">
        <v>14</v>
      </c>
      <c r="V2511" s="4" t="s">
        <v>15</v>
      </c>
      <c r="W2511" s="23" t="s">
        <v>16</v>
      </c>
      <c r="X2511" s="31" t="s">
        <v>3</v>
      </c>
      <c r="Y2511" s="349"/>
    </row>
    <row r="2512" spans="1:26" x14ac:dyDescent="0.15">
      <c r="A2512" s="71" t="s">
        <v>17</v>
      </c>
      <c r="B2512" s="72">
        <f>B2506</f>
        <v>9</v>
      </c>
      <c r="C2512" s="73">
        <f t="shared" ref="C2512:L2512" si="2094">C2506</f>
        <v>11</v>
      </c>
      <c r="D2512" s="73">
        <f t="shared" si="2094"/>
        <v>8</v>
      </c>
      <c r="E2512" s="74">
        <f t="shared" si="2094"/>
        <v>8</v>
      </c>
      <c r="F2512" s="76">
        <f t="shared" si="2094"/>
        <v>32</v>
      </c>
      <c r="G2512" s="72">
        <f t="shared" si="2094"/>
        <v>6</v>
      </c>
      <c r="H2512" s="73">
        <f t="shared" si="2094"/>
        <v>7</v>
      </c>
      <c r="I2512" s="73">
        <f t="shared" si="2094"/>
        <v>8</v>
      </c>
      <c r="J2512" s="74">
        <f t="shared" si="2094"/>
        <v>7</v>
      </c>
      <c r="K2512" s="75">
        <f t="shared" si="2094"/>
        <v>28</v>
      </c>
      <c r="L2512" s="16">
        <f t="shared" si="2094"/>
        <v>60</v>
      </c>
      <c r="N2512" s="71" t="s">
        <v>17</v>
      </c>
      <c r="O2512" s="72">
        <f>O2506</f>
        <v>146</v>
      </c>
      <c r="P2512" s="73">
        <f t="shared" ref="P2512:Y2512" si="2095">P2506</f>
        <v>319</v>
      </c>
      <c r="Q2512" s="73">
        <f t="shared" si="2095"/>
        <v>186</v>
      </c>
      <c r="R2512" s="74">
        <f t="shared" si="2095"/>
        <v>108</v>
      </c>
      <c r="S2512" s="76">
        <f t="shared" si="2095"/>
        <v>759</v>
      </c>
      <c r="T2512" s="72">
        <f t="shared" si="2095"/>
        <v>503</v>
      </c>
      <c r="U2512" s="73">
        <f t="shared" si="2095"/>
        <v>503</v>
      </c>
      <c r="V2512" s="73">
        <f t="shared" si="2095"/>
        <v>404</v>
      </c>
      <c r="W2512" s="74">
        <f t="shared" si="2095"/>
        <v>239</v>
      </c>
      <c r="X2512" s="75">
        <f t="shared" si="2095"/>
        <v>1649</v>
      </c>
      <c r="Y2512" s="16">
        <f t="shared" si="2095"/>
        <v>2408</v>
      </c>
    </row>
    <row r="2513" spans="1:27" x14ac:dyDescent="0.15">
      <c r="A2513" s="13" t="s">
        <v>1414</v>
      </c>
      <c r="B2513" s="26"/>
      <c r="C2513" s="47"/>
      <c r="D2513" s="27"/>
      <c r="E2513" s="50">
        <v>1</v>
      </c>
      <c r="F2513" s="9">
        <f t="shared" ref="F2513:F2514" si="2096">SUM(B2513:E2513)</f>
        <v>1</v>
      </c>
      <c r="G2513" s="47"/>
      <c r="H2513" s="47"/>
      <c r="I2513" s="27"/>
      <c r="J2513" s="50">
        <v>1</v>
      </c>
      <c r="K2513" s="9">
        <f t="shared" ref="K2513:K2514" si="2097">SUM(G2513:J2513)</f>
        <v>1</v>
      </c>
      <c r="L2513" s="11">
        <f t="shared" ref="L2513:L2544" si="2098">F2513+K2513</f>
        <v>2</v>
      </c>
      <c r="M2513" s="126">
        <v>46084</v>
      </c>
      <c r="N2513" s="13" t="s">
        <v>5</v>
      </c>
      <c r="O2513" s="26"/>
      <c r="P2513" s="47"/>
      <c r="Q2513" s="27"/>
      <c r="R2513" s="34"/>
      <c r="S2513" s="77">
        <f t="shared" ref="S2513:S2516" si="2099">SUM(O2513:R2513)</f>
        <v>0</v>
      </c>
      <c r="T2513" s="26"/>
      <c r="U2513" s="47"/>
      <c r="V2513" s="27"/>
      <c r="W2513" s="34"/>
      <c r="X2513" s="9">
        <f t="shared" ref="X2513:X2516" si="2100">SUM(T2513:W2513)</f>
        <v>0</v>
      </c>
      <c r="Y2513" s="11">
        <f t="shared" ref="Y2513:Y2544" si="2101">S2513+X2513</f>
        <v>0</v>
      </c>
    </row>
    <row r="2514" spans="1:27" x14ac:dyDescent="0.15">
      <c r="A2514" s="13" t="s">
        <v>6</v>
      </c>
      <c r="B2514" s="26"/>
      <c r="C2514" s="47"/>
      <c r="D2514" s="27"/>
      <c r="E2514" s="50"/>
      <c r="F2514" s="9">
        <f t="shared" si="2096"/>
        <v>0</v>
      </c>
      <c r="G2514" s="47">
        <v>5</v>
      </c>
      <c r="H2514" s="47"/>
      <c r="I2514" s="27"/>
      <c r="J2514" s="50"/>
      <c r="K2514" s="9">
        <f t="shared" si="2097"/>
        <v>5</v>
      </c>
      <c r="L2514" s="11">
        <f t="shared" si="2098"/>
        <v>5</v>
      </c>
      <c r="M2514" s="99">
        <v>46086</v>
      </c>
      <c r="N2514" s="13" t="s">
        <v>153</v>
      </c>
      <c r="O2514" s="26">
        <v>79</v>
      </c>
      <c r="P2514" s="47">
        <v>57</v>
      </c>
      <c r="Q2514" s="27">
        <v>63</v>
      </c>
      <c r="R2514" s="34">
        <v>57</v>
      </c>
      <c r="S2514" s="77">
        <f t="shared" si="2099"/>
        <v>256</v>
      </c>
      <c r="T2514" s="26">
        <v>61</v>
      </c>
      <c r="U2514" s="47">
        <v>48</v>
      </c>
      <c r="V2514" s="27">
        <v>55</v>
      </c>
      <c r="W2514" s="34">
        <v>61</v>
      </c>
      <c r="X2514" s="9">
        <f t="shared" si="2100"/>
        <v>225</v>
      </c>
      <c r="Y2514" s="11">
        <f t="shared" si="2101"/>
        <v>481</v>
      </c>
      <c r="Z2514" s="99">
        <v>46088</v>
      </c>
    </row>
    <row r="2515" spans="1:27" x14ac:dyDescent="0.15">
      <c r="A2515" s="13" t="s">
        <v>49</v>
      </c>
      <c r="B2515" s="26">
        <v>9</v>
      </c>
      <c r="C2515" s="47">
        <v>8</v>
      </c>
      <c r="D2515" s="27">
        <v>6</v>
      </c>
      <c r="E2515" s="50">
        <v>5</v>
      </c>
      <c r="F2515" s="9">
        <f>SUM(B2515:E2515)</f>
        <v>28</v>
      </c>
      <c r="G2515" s="47">
        <v>5</v>
      </c>
      <c r="H2515" s="47">
        <v>4</v>
      </c>
      <c r="I2515" s="27">
        <v>5</v>
      </c>
      <c r="J2515" s="50"/>
      <c r="K2515" s="9">
        <f>SUM(G2515:J2515)</f>
        <v>14</v>
      </c>
      <c r="L2515" s="11">
        <f t="shared" si="2098"/>
        <v>42</v>
      </c>
      <c r="M2515" s="126">
        <v>46090</v>
      </c>
      <c r="N2515" s="13" t="s">
        <v>7</v>
      </c>
      <c r="O2515" s="26"/>
      <c r="P2515" s="47"/>
      <c r="Q2515" s="27"/>
      <c r="R2515" s="34"/>
      <c r="S2515" s="77">
        <f t="shared" si="2099"/>
        <v>0</v>
      </c>
      <c r="T2515" s="26"/>
      <c r="U2515" s="47"/>
      <c r="V2515" s="27"/>
      <c r="W2515" s="34"/>
      <c r="X2515" s="9">
        <f t="shared" si="2100"/>
        <v>0</v>
      </c>
      <c r="Y2515" s="11">
        <f t="shared" si="2101"/>
        <v>0</v>
      </c>
    </row>
    <row r="2516" spans="1:27" ht="14.25" thickBot="1" x14ac:dyDescent="0.2">
      <c r="A2516" s="294" t="s">
        <v>8</v>
      </c>
      <c r="B2516" s="295"/>
      <c r="C2516" s="296"/>
      <c r="D2516" s="297"/>
      <c r="E2516" s="298"/>
      <c r="F2516" s="308">
        <f>SUM(B2516:E2516)</f>
        <v>0</v>
      </c>
      <c r="G2516" s="296"/>
      <c r="H2516" s="296"/>
      <c r="I2516" s="297"/>
      <c r="J2516" s="298">
        <v>5</v>
      </c>
      <c r="K2516" s="308">
        <f>SUM(G2516:J2516)</f>
        <v>5</v>
      </c>
      <c r="L2516" s="309">
        <f t="shared" si="2098"/>
        <v>5</v>
      </c>
      <c r="M2516" s="301">
        <v>46094</v>
      </c>
      <c r="N2516" s="13" t="s">
        <v>8</v>
      </c>
      <c r="O2516" s="26"/>
      <c r="P2516" s="47"/>
      <c r="Q2516" s="27"/>
      <c r="R2516" s="34"/>
      <c r="S2516" s="77">
        <f t="shared" si="2099"/>
        <v>0</v>
      </c>
      <c r="T2516" s="26"/>
      <c r="U2516" s="47"/>
      <c r="V2516" s="27"/>
      <c r="W2516" s="34"/>
      <c r="X2516" s="9">
        <f t="shared" si="2100"/>
        <v>0</v>
      </c>
      <c r="Y2516" s="11">
        <f t="shared" si="2101"/>
        <v>0</v>
      </c>
    </row>
    <row r="2517" spans="1:27" ht="14.25" thickBot="1" x14ac:dyDescent="0.2">
      <c r="A2517" s="22" t="s">
        <v>9</v>
      </c>
      <c r="B2517" s="41">
        <f t="shared" ref="B2517:K2517" si="2102">SUM(B2512:B2516)</f>
        <v>18</v>
      </c>
      <c r="C2517" s="49">
        <f t="shared" si="2102"/>
        <v>19</v>
      </c>
      <c r="D2517" s="42">
        <f t="shared" si="2102"/>
        <v>14</v>
      </c>
      <c r="E2517" s="92">
        <f t="shared" si="2102"/>
        <v>14</v>
      </c>
      <c r="F2517" s="132">
        <f t="shared" si="2102"/>
        <v>61</v>
      </c>
      <c r="G2517" s="41">
        <f t="shared" si="2102"/>
        <v>16</v>
      </c>
      <c r="H2517" s="49">
        <f t="shared" si="2102"/>
        <v>11</v>
      </c>
      <c r="I2517" s="42">
        <f t="shared" si="2102"/>
        <v>13</v>
      </c>
      <c r="J2517" s="92">
        <f t="shared" si="2102"/>
        <v>13</v>
      </c>
      <c r="K2517" s="132">
        <f t="shared" si="2102"/>
        <v>53</v>
      </c>
      <c r="L2517" s="21">
        <f t="shared" si="2098"/>
        <v>114</v>
      </c>
      <c r="N2517" s="17" t="s">
        <v>9</v>
      </c>
      <c r="O2517" s="41">
        <f>SUM(O2512:O2516)</f>
        <v>225</v>
      </c>
      <c r="P2517" s="49">
        <f t="shared" ref="P2517:V2517" si="2103">SUM(P2512:P2516)</f>
        <v>376</v>
      </c>
      <c r="Q2517" s="42">
        <f t="shared" si="2103"/>
        <v>249</v>
      </c>
      <c r="R2517" s="92">
        <f t="shared" si="2103"/>
        <v>165</v>
      </c>
      <c r="S2517" s="93">
        <f t="shared" si="2103"/>
        <v>1015</v>
      </c>
      <c r="T2517" s="41">
        <f t="shared" si="2103"/>
        <v>564</v>
      </c>
      <c r="U2517" s="49">
        <f t="shared" si="2103"/>
        <v>551</v>
      </c>
      <c r="V2517" s="42">
        <f t="shared" si="2103"/>
        <v>459</v>
      </c>
      <c r="W2517" s="92">
        <f>SUM(W2512:W2516)</f>
        <v>300</v>
      </c>
      <c r="X2517" s="93">
        <f t="shared" ref="X2517" si="2104">SUM(X2512:X2516)</f>
        <v>1874</v>
      </c>
      <c r="Y2517" s="56">
        <f t="shared" si="2101"/>
        <v>2889</v>
      </c>
    </row>
    <row r="2518" spans="1:27" x14ac:dyDescent="0.15">
      <c r="A2518" s="13" t="s">
        <v>1815</v>
      </c>
      <c r="B2518" s="26">
        <v>2</v>
      </c>
      <c r="C2518" s="47"/>
      <c r="D2518" s="27"/>
      <c r="E2518" s="34"/>
      <c r="F2518" s="35">
        <f t="shared" ref="F2518" si="2105">SUM(B2518:E2518)</f>
        <v>2</v>
      </c>
      <c r="G2518" s="26">
        <v>2</v>
      </c>
      <c r="H2518" s="47"/>
      <c r="I2518" s="27"/>
      <c r="J2518" s="34"/>
      <c r="K2518" s="35">
        <f t="shared" ref="K2518" si="2106">SUM(G2518:J2518)</f>
        <v>2</v>
      </c>
      <c r="L2518" s="11">
        <f t="shared" si="2098"/>
        <v>4</v>
      </c>
      <c r="M2518" s="99">
        <v>46083</v>
      </c>
      <c r="N2518" s="153" t="s">
        <v>2078</v>
      </c>
      <c r="O2518" s="26">
        <v>11</v>
      </c>
      <c r="P2518" s="47">
        <v>10</v>
      </c>
      <c r="Q2518" s="27">
        <v>6</v>
      </c>
      <c r="R2518" s="34">
        <v>2</v>
      </c>
      <c r="S2518" s="35">
        <f t="shared" ref="S2518:S2524" si="2107">SUM(O2518:R2518)</f>
        <v>29</v>
      </c>
      <c r="T2518" s="26">
        <v>5</v>
      </c>
      <c r="U2518" s="47">
        <v>2</v>
      </c>
      <c r="V2518" s="27">
        <v>6</v>
      </c>
      <c r="W2518" s="34">
        <v>2</v>
      </c>
      <c r="X2518" s="35">
        <f t="shared" ref="X2518:X2524" si="2108">SUM(T2518:W2518)</f>
        <v>15</v>
      </c>
      <c r="Y2518" s="11">
        <f t="shared" si="2101"/>
        <v>44</v>
      </c>
      <c r="Z2518" s="99">
        <v>46080</v>
      </c>
    </row>
    <row r="2519" spans="1:27" x14ac:dyDescent="0.15">
      <c r="A2519" s="13" t="s">
        <v>1815</v>
      </c>
      <c r="B2519" s="26"/>
      <c r="C2519" s="47">
        <v>1</v>
      </c>
      <c r="D2519" s="27">
        <v>1</v>
      </c>
      <c r="E2519" s="34"/>
      <c r="F2519" s="35">
        <f t="shared" ref="F2519:F2542" si="2109">SUM(B2519:E2519)</f>
        <v>2</v>
      </c>
      <c r="G2519" s="26"/>
      <c r="H2519" s="47">
        <v>1</v>
      </c>
      <c r="I2519" s="27">
        <v>1</v>
      </c>
      <c r="J2519" s="34"/>
      <c r="K2519" s="35">
        <f t="shared" ref="K2519:K2542" si="2110">SUM(G2519:J2519)</f>
        <v>2</v>
      </c>
      <c r="L2519" s="11">
        <f t="shared" si="2098"/>
        <v>4</v>
      </c>
      <c r="M2519" s="99">
        <v>46085</v>
      </c>
      <c r="N2519" s="12" t="s">
        <v>2079</v>
      </c>
      <c r="O2519" s="26"/>
      <c r="P2519" s="47"/>
      <c r="Q2519" s="27">
        <v>5</v>
      </c>
      <c r="R2519" s="34"/>
      <c r="S2519" s="35">
        <f t="shared" si="2107"/>
        <v>5</v>
      </c>
      <c r="T2519" s="26">
        <v>5</v>
      </c>
      <c r="U2519" s="47">
        <v>5</v>
      </c>
      <c r="V2519" s="27">
        <v>10</v>
      </c>
      <c r="W2519" s="34"/>
      <c r="X2519" s="35">
        <f t="shared" si="2108"/>
        <v>20</v>
      </c>
      <c r="Y2519" s="11">
        <f t="shared" si="2101"/>
        <v>25</v>
      </c>
      <c r="Z2519" s="99">
        <v>46086</v>
      </c>
    </row>
    <row r="2520" spans="1:27" x14ac:dyDescent="0.15">
      <c r="A2520" s="15" t="s">
        <v>41</v>
      </c>
      <c r="B2520" s="26"/>
      <c r="C2520" s="47"/>
      <c r="D2520" s="27"/>
      <c r="E2520" s="34"/>
      <c r="F2520" s="35">
        <f t="shared" si="2109"/>
        <v>0</v>
      </c>
      <c r="G2520" s="26"/>
      <c r="H2520" s="47">
        <v>1</v>
      </c>
      <c r="I2520" s="27"/>
      <c r="J2520" s="34">
        <v>2</v>
      </c>
      <c r="K2520" s="35">
        <f t="shared" si="2110"/>
        <v>3</v>
      </c>
      <c r="L2520" s="11">
        <f t="shared" si="2098"/>
        <v>3</v>
      </c>
      <c r="M2520" s="126">
        <v>46083</v>
      </c>
      <c r="N2520" s="57" t="s">
        <v>2080</v>
      </c>
      <c r="O2520" s="26">
        <v>10</v>
      </c>
      <c r="P2520" s="47">
        <v>10</v>
      </c>
      <c r="Q2520" s="27"/>
      <c r="R2520" s="34">
        <v>10</v>
      </c>
      <c r="S2520" s="35">
        <f t="shared" si="2107"/>
        <v>30</v>
      </c>
      <c r="T2520" s="26"/>
      <c r="U2520" s="47">
        <v>10</v>
      </c>
      <c r="V2520" s="27">
        <v>5</v>
      </c>
      <c r="W2520" s="34">
        <v>5</v>
      </c>
      <c r="X2520" s="35">
        <f t="shared" si="2108"/>
        <v>20</v>
      </c>
      <c r="Y2520" s="11">
        <f t="shared" si="2101"/>
        <v>50</v>
      </c>
      <c r="Z2520" s="99">
        <v>46080</v>
      </c>
    </row>
    <row r="2521" spans="1:27" x14ac:dyDescent="0.15">
      <c r="A2521" s="15" t="s">
        <v>41</v>
      </c>
      <c r="B2521" s="26"/>
      <c r="C2521" s="47"/>
      <c r="D2521" s="27"/>
      <c r="E2521" s="34"/>
      <c r="F2521" s="35">
        <f t="shared" si="2109"/>
        <v>0</v>
      </c>
      <c r="G2521" s="26">
        <v>1</v>
      </c>
      <c r="H2521" s="47"/>
      <c r="I2521" s="27">
        <v>2</v>
      </c>
      <c r="J2521" s="34"/>
      <c r="K2521" s="35">
        <f t="shared" si="2110"/>
        <v>3</v>
      </c>
      <c r="L2521" s="11">
        <f t="shared" si="2098"/>
        <v>3</v>
      </c>
      <c r="M2521" s="126">
        <v>46084</v>
      </c>
      <c r="N2521" s="153" t="s">
        <v>2078</v>
      </c>
      <c r="O2521" s="26">
        <v>11</v>
      </c>
      <c r="P2521" s="47">
        <v>5</v>
      </c>
      <c r="Q2521" s="27">
        <v>2</v>
      </c>
      <c r="R2521" s="34">
        <v>3</v>
      </c>
      <c r="S2521" s="35">
        <f t="shared" si="2107"/>
        <v>21</v>
      </c>
      <c r="T2521" s="26">
        <v>3</v>
      </c>
      <c r="U2521" s="47"/>
      <c r="V2521" s="27">
        <v>1</v>
      </c>
      <c r="W2521" s="34"/>
      <c r="X2521" s="35">
        <f t="shared" si="2108"/>
        <v>4</v>
      </c>
      <c r="Y2521" s="11">
        <f t="shared" si="2101"/>
        <v>25</v>
      </c>
      <c r="Z2521" s="99">
        <v>46083</v>
      </c>
    </row>
    <row r="2522" spans="1:27" x14ac:dyDescent="0.15">
      <c r="A2522" s="15" t="s">
        <v>41</v>
      </c>
      <c r="B2522" s="26">
        <v>1</v>
      </c>
      <c r="C2522" s="47"/>
      <c r="D2522" s="27"/>
      <c r="E2522" s="34"/>
      <c r="F2522" s="35">
        <f t="shared" si="2109"/>
        <v>1</v>
      </c>
      <c r="G2522" s="26"/>
      <c r="H2522" s="47"/>
      <c r="I2522" s="27"/>
      <c r="J2522" s="34"/>
      <c r="K2522" s="35">
        <f t="shared" si="2110"/>
        <v>0</v>
      </c>
      <c r="L2522" s="11">
        <f t="shared" si="2098"/>
        <v>1</v>
      </c>
      <c r="M2522" s="126">
        <v>46085</v>
      </c>
      <c r="N2522" s="12" t="s">
        <v>2081</v>
      </c>
      <c r="O2522" s="26">
        <v>1</v>
      </c>
      <c r="P2522" s="47"/>
      <c r="Q2522" s="27"/>
      <c r="R2522" s="34"/>
      <c r="S2522" s="35">
        <f t="shared" si="2107"/>
        <v>1</v>
      </c>
      <c r="T2522" s="26"/>
      <c r="U2522" s="47"/>
      <c r="V2522" s="27"/>
      <c r="W2522" s="34"/>
      <c r="X2522" s="35">
        <f t="shared" si="2108"/>
        <v>0</v>
      </c>
      <c r="Y2522" s="11">
        <f t="shared" si="2101"/>
        <v>1</v>
      </c>
      <c r="Z2522" s="99">
        <v>46086</v>
      </c>
    </row>
    <row r="2523" spans="1:27" x14ac:dyDescent="0.15">
      <c r="A2523" s="13" t="s">
        <v>1815</v>
      </c>
      <c r="B2523" s="26">
        <v>1</v>
      </c>
      <c r="C2523" s="47"/>
      <c r="D2523" s="27"/>
      <c r="E2523" s="34"/>
      <c r="F2523" s="35">
        <f t="shared" si="2109"/>
        <v>1</v>
      </c>
      <c r="G2523" s="26">
        <v>1</v>
      </c>
      <c r="H2523" s="47"/>
      <c r="I2523" s="27"/>
      <c r="J2523" s="34"/>
      <c r="K2523" s="35">
        <f t="shared" si="2110"/>
        <v>1</v>
      </c>
      <c r="L2523" s="11">
        <f t="shared" si="2098"/>
        <v>2</v>
      </c>
      <c r="M2523" s="99">
        <v>46087</v>
      </c>
      <c r="N2523" s="153" t="s">
        <v>2085</v>
      </c>
      <c r="O2523" s="26">
        <v>7</v>
      </c>
      <c r="P2523" s="47">
        <v>2</v>
      </c>
      <c r="Q2523" s="27">
        <v>4</v>
      </c>
      <c r="R2523" s="34"/>
      <c r="S2523" s="35">
        <f t="shared" si="2107"/>
        <v>13</v>
      </c>
      <c r="T2523" s="26">
        <v>5</v>
      </c>
      <c r="U2523" s="47"/>
      <c r="V2523" s="27"/>
      <c r="W2523" s="34">
        <v>2</v>
      </c>
      <c r="X2523" s="35">
        <f t="shared" si="2108"/>
        <v>7</v>
      </c>
      <c r="Y2523" s="11">
        <f t="shared" si="2101"/>
        <v>20</v>
      </c>
      <c r="Z2523" s="99">
        <v>46085</v>
      </c>
    </row>
    <row r="2524" spans="1:27" x14ac:dyDescent="0.15">
      <c r="A2524" s="13" t="s">
        <v>1815</v>
      </c>
      <c r="B2524" s="26"/>
      <c r="C2524" s="47"/>
      <c r="D2524" s="27"/>
      <c r="E2524" s="34">
        <v>1</v>
      </c>
      <c r="F2524" s="35">
        <f t="shared" si="2109"/>
        <v>1</v>
      </c>
      <c r="G2524" s="26"/>
      <c r="H2524" s="47"/>
      <c r="I2524" s="27"/>
      <c r="J2524" s="34">
        <v>1</v>
      </c>
      <c r="K2524" s="35">
        <f t="shared" si="2110"/>
        <v>1</v>
      </c>
      <c r="L2524" s="11">
        <f t="shared" si="2098"/>
        <v>2</v>
      </c>
      <c r="M2524" s="99">
        <v>46090</v>
      </c>
      <c r="N2524" s="153" t="s">
        <v>2086</v>
      </c>
      <c r="O2524" s="26"/>
      <c r="P2524" s="47"/>
      <c r="Q2524" s="27">
        <v>4</v>
      </c>
      <c r="R2524" s="34">
        <v>1</v>
      </c>
      <c r="S2524" s="35">
        <f t="shared" si="2107"/>
        <v>5</v>
      </c>
      <c r="T2524" s="26"/>
      <c r="U2524" s="47"/>
      <c r="V2524" s="27"/>
      <c r="W2524" s="34"/>
      <c r="X2524" s="35">
        <f t="shared" si="2108"/>
        <v>0</v>
      </c>
      <c r="Y2524" s="11">
        <f t="shared" si="2101"/>
        <v>5</v>
      </c>
      <c r="Z2524" s="99">
        <v>46086</v>
      </c>
      <c r="AA2524" s="58"/>
    </row>
    <row r="2525" spans="1:27" x14ac:dyDescent="0.15">
      <c r="A2525" s="15" t="s">
        <v>41</v>
      </c>
      <c r="B2525" s="26"/>
      <c r="C2525" s="47"/>
      <c r="D2525" s="27"/>
      <c r="E2525" s="34"/>
      <c r="F2525" s="35">
        <f t="shared" si="2109"/>
        <v>0</v>
      </c>
      <c r="G2525" s="26">
        <v>1</v>
      </c>
      <c r="H2525" s="47"/>
      <c r="I2525" s="27"/>
      <c r="J2525" s="34"/>
      <c r="K2525" s="35">
        <f t="shared" si="2110"/>
        <v>1</v>
      </c>
      <c r="L2525" s="11">
        <f t="shared" si="2098"/>
        <v>1</v>
      </c>
      <c r="M2525" s="99">
        <v>46087</v>
      </c>
      <c r="N2525" s="153" t="s">
        <v>2088</v>
      </c>
      <c r="O2525" s="26">
        <v>5</v>
      </c>
      <c r="P2525" s="47">
        <v>2</v>
      </c>
      <c r="Q2525" s="27">
        <v>6</v>
      </c>
      <c r="R2525" s="50">
        <v>5</v>
      </c>
      <c r="S2525" s="9">
        <f>SUM(O2525:R2525)</f>
        <v>18</v>
      </c>
      <c r="T2525" s="47"/>
      <c r="U2525" s="47">
        <v>1</v>
      </c>
      <c r="V2525" s="27">
        <v>1</v>
      </c>
      <c r="W2525" s="50">
        <v>2</v>
      </c>
      <c r="X2525" s="9">
        <f>SUM(T2525:W2525)</f>
        <v>4</v>
      </c>
      <c r="Y2525" s="11">
        <f t="shared" si="2101"/>
        <v>22</v>
      </c>
      <c r="Z2525" s="99">
        <v>46087</v>
      </c>
    </row>
    <row r="2526" spans="1:27" x14ac:dyDescent="0.15">
      <c r="A2526" s="15" t="s">
        <v>41</v>
      </c>
      <c r="B2526" s="26">
        <v>1</v>
      </c>
      <c r="C2526" s="47">
        <v>2</v>
      </c>
      <c r="D2526" s="27">
        <v>1</v>
      </c>
      <c r="E2526" s="34">
        <v>1</v>
      </c>
      <c r="F2526" s="35">
        <f t="shared" si="2109"/>
        <v>5</v>
      </c>
      <c r="G2526" s="26"/>
      <c r="H2526" s="47"/>
      <c r="I2526" s="27"/>
      <c r="J2526" s="34"/>
      <c r="K2526" s="35">
        <f t="shared" si="2110"/>
        <v>0</v>
      </c>
      <c r="L2526" s="11">
        <f t="shared" si="2098"/>
        <v>5</v>
      </c>
      <c r="M2526" s="99">
        <v>46090</v>
      </c>
      <c r="N2526" s="12" t="s">
        <v>1987</v>
      </c>
      <c r="O2526" s="26"/>
      <c r="P2526" s="47"/>
      <c r="Q2526" s="27"/>
      <c r="R2526" s="34"/>
      <c r="S2526" s="35">
        <f t="shared" ref="S2526:S2543" si="2111">SUM(O2526:R2526)</f>
        <v>0</v>
      </c>
      <c r="T2526" s="26">
        <v>5</v>
      </c>
      <c r="U2526" s="47"/>
      <c r="V2526" s="27"/>
      <c r="W2526" s="34"/>
      <c r="X2526" s="35">
        <f t="shared" ref="X2526:X2543" si="2112">SUM(T2526:W2526)</f>
        <v>5</v>
      </c>
      <c r="Y2526" s="11">
        <f t="shared" si="2101"/>
        <v>5</v>
      </c>
      <c r="Z2526" s="99">
        <v>46086</v>
      </c>
    </row>
    <row r="2527" spans="1:27" x14ac:dyDescent="0.15">
      <c r="A2527" s="13" t="s">
        <v>1815</v>
      </c>
      <c r="B2527" s="26"/>
      <c r="C2527" s="47"/>
      <c r="D2527" s="27">
        <v>1</v>
      </c>
      <c r="E2527" s="34"/>
      <c r="F2527" s="35">
        <f t="shared" si="2109"/>
        <v>1</v>
      </c>
      <c r="G2527" s="26"/>
      <c r="H2527" s="47"/>
      <c r="I2527" s="27">
        <v>1</v>
      </c>
      <c r="J2527" s="34"/>
      <c r="K2527" s="35">
        <f t="shared" si="2110"/>
        <v>1</v>
      </c>
      <c r="L2527" s="11">
        <f t="shared" si="2098"/>
        <v>2</v>
      </c>
      <c r="M2527" s="99">
        <v>46093</v>
      </c>
      <c r="N2527" s="12" t="s">
        <v>2089</v>
      </c>
      <c r="O2527" s="26"/>
      <c r="P2527" s="47">
        <v>6</v>
      </c>
      <c r="Q2527" s="27"/>
      <c r="R2527" s="34"/>
      <c r="S2527" s="35">
        <f t="shared" si="2111"/>
        <v>6</v>
      </c>
      <c r="T2527" s="26"/>
      <c r="U2527" s="47">
        <v>6</v>
      </c>
      <c r="V2527" s="27"/>
      <c r="W2527" s="34"/>
      <c r="X2527" s="35">
        <f t="shared" si="2112"/>
        <v>6</v>
      </c>
      <c r="Y2527" s="11">
        <f t="shared" si="2101"/>
        <v>12</v>
      </c>
      <c r="Z2527" s="99">
        <v>46090</v>
      </c>
    </row>
    <row r="2528" spans="1:27" x14ac:dyDescent="0.15">
      <c r="A2528" s="15" t="s">
        <v>41</v>
      </c>
      <c r="B2528" s="26">
        <v>1</v>
      </c>
      <c r="C2528" s="47">
        <v>1</v>
      </c>
      <c r="D2528" s="27"/>
      <c r="E2528" s="34"/>
      <c r="F2528" s="35">
        <f t="shared" si="2109"/>
        <v>2</v>
      </c>
      <c r="G2528" s="26"/>
      <c r="H2528" s="47"/>
      <c r="I2528" s="27"/>
      <c r="J2528" s="34"/>
      <c r="K2528" s="35">
        <f t="shared" si="2110"/>
        <v>0</v>
      </c>
      <c r="L2528" s="11">
        <f t="shared" si="2098"/>
        <v>2</v>
      </c>
      <c r="M2528" s="126">
        <v>46091</v>
      </c>
      <c r="N2528" s="12" t="s">
        <v>2090</v>
      </c>
      <c r="O2528" s="26"/>
      <c r="P2528" s="47"/>
      <c r="Q2528" s="27">
        <v>12</v>
      </c>
      <c r="R2528" s="34"/>
      <c r="S2528" s="35">
        <f t="shared" si="2111"/>
        <v>12</v>
      </c>
      <c r="T2528" s="26"/>
      <c r="U2528" s="47"/>
      <c r="V2528" s="27"/>
      <c r="W2528" s="34"/>
      <c r="X2528" s="35">
        <f t="shared" si="2112"/>
        <v>0</v>
      </c>
      <c r="Y2528" s="11">
        <f t="shared" si="2101"/>
        <v>12</v>
      </c>
      <c r="Z2528" s="99">
        <v>46090</v>
      </c>
    </row>
    <row r="2529" spans="1:27" x14ac:dyDescent="0.15">
      <c r="A2529" s="15" t="s">
        <v>41</v>
      </c>
      <c r="B2529" s="26"/>
      <c r="C2529" s="47"/>
      <c r="D2529" s="27"/>
      <c r="E2529" s="34"/>
      <c r="F2529" s="35">
        <f t="shared" si="2109"/>
        <v>0</v>
      </c>
      <c r="G2529" s="26"/>
      <c r="H2529" s="47"/>
      <c r="I2529" s="27">
        <v>1</v>
      </c>
      <c r="J2529" s="34"/>
      <c r="K2529" s="35">
        <f t="shared" si="2110"/>
        <v>1</v>
      </c>
      <c r="L2529" s="11">
        <f t="shared" si="2098"/>
        <v>1</v>
      </c>
      <c r="M2529" s="99">
        <v>46092</v>
      </c>
      <c r="N2529" s="12" t="s">
        <v>2091</v>
      </c>
      <c r="O2529" s="26"/>
      <c r="P2529" s="47"/>
      <c r="Q2529" s="27">
        <v>5</v>
      </c>
      <c r="R2529" s="34"/>
      <c r="S2529" s="35">
        <f t="shared" si="2111"/>
        <v>5</v>
      </c>
      <c r="T2529" s="26"/>
      <c r="U2529" s="47"/>
      <c r="V2529" s="27"/>
      <c r="W2529" s="34"/>
      <c r="X2529" s="35">
        <f t="shared" si="2112"/>
        <v>0</v>
      </c>
      <c r="Y2529" s="11">
        <f t="shared" si="2101"/>
        <v>5</v>
      </c>
      <c r="Z2529" s="99">
        <v>46092</v>
      </c>
    </row>
    <row r="2530" spans="1:27" x14ac:dyDescent="0.15">
      <c r="A2530" s="13" t="s">
        <v>1815</v>
      </c>
      <c r="B2530" s="26"/>
      <c r="C2530" s="47">
        <v>1</v>
      </c>
      <c r="D2530" s="27"/>
      <c r="E2530" s="34"/>
      <c r="F2530" s="35">
        <f t="shared" si="2109"/>
        <v>1</v>
      </c>
      <c r="G2530" s="26"/>
      <c r="H2530" s="47">
        <v>1</v>
      </c>
      <c r="I2530" s="27"/>
      <c r="J2530" s="34"/>
      <c r="K2530" s="35">
        <f t="shared" si="2110"/>
        <v>1</v>
      </c>
      <c r="L2530" s="11">
        <f t="shared" si="2098"/>
        <v>2</v>
      </c>
      <c r="M2530" s="99">
        <v>46094</v>
      </c>
      <c r="N2530" s="153" t="s">
        <v>2092</v>
      </c>
      <c r="O2530" s="26">
        <v>39</v>
      </c>
      <c r="P2530" s="47">
        <v>38</v>
      </c>
      <c r="Q2530" s="27">
        <v>18</v>
      </c>
      <c r="R2530" s="34">
        <v>13</v>
      </c>
      <c r="S2530" s="35">
        <f t="shared" si="2111"/>
        <v>108</v>
      </c>
      <c r="T2530" s="26">
        <v>12</v>
      </c>
      <c r="U2530" s="47">
        <v>16</v>
      </c>
      <c r="V2530" s="27">
        <v>8</v>
      </c>
      <c r="W2530" s="34">
        <v>5</v>
      </c>
      <c r="X2530" s="35">
        <f t="shared" si="2112"/>
        <v>41</v>
      </c>
      <c r="Y2530" s="11">
        <f t="shared" si="2101"/>
        <v>149</v>
      </c>
      <c r="Z2530" s="99">
        <v>46087</v>
      </c>
    </row>
    <row r="2531" spans="1:27" x14ac:dyDescent="0.15">
      <c r="A2531" s="13" t="s">
        <v>41</v>
      </c>
      <c r="B2531" s="26"/>
      <c r="C2531" s="47"/>
      <c r="D2531" s="27"/>
      <c r="E2531" s="34"/>
      <c r="F2531" s="35">
        <f t="shared" si="2109"/>
        <v>0</v>
      </c>
      <c r="G2531" s="26">
        <v>1</v>
      </c>
      <c r="H2531" s="47"/>
      <c r="I2531" s="27"/>
      <c r="J2531" s="34"/>
      <c r="K2531" s="35">
        <f t="shared" si="2110"/>
        <v>1</v>
      </c>
      <c r="L2531" s="11">
        <f t="shared" si="2098"/>
        <v>1</v>
      </c>
      <c r="M2531" s="126">
        <v>46093</v>
      </c>
      <c r="N2531" s="153" t="s">
        <v>2099</v>
      </c>
      <c r="O2531" s="26">
        <v>7</v>
      </c>
      <c r="P2531" s="47">
        <v>20</v>
      </c>
      <c r="Q2531" s="27">
        <v>10</v>
      </c>
      <c r="R2531" s="34">
        <v>2</v>
      </c>
      <c r="S2531" s="35">
        <f t="shared" si="2111"/>
        <v>39</v>
      </c>
      <c r="T2531" s="26"/>
      <c r="U2531" s="47"/>
      <c r="V2531" s="27"/>
      <c r="W2531" s="34"/>
      <c r="X2531" s="35">
        <f t="shared" si="2112"/>
        <v>0</v>
      </c>
      <c r="Y2531" s="11">
        <f t="shared" si="2101"/>
        <v>39</v>
      </c>
      <c r="Z2531" s="99">
        <v>46093</v>
      </c>
    </row>
    <row r="2532" spans="1:27" x14ac:dyDescent="0.15">
      <c r="A2532" s="13" t="s">
        <v>41</v>
      </c>
      <c r="B2532" s="26">
        <v>1</v>
      </c>
      <c r="C2532" s="47">
        <v>1</v>
      </c>
      <c r="D2532" s="27">
        <v>1</v>
      </c>
      <c r="E2532" s="34"/>
      <c r="F2532" s="35">
        <f t="shared" si="2109"/>
        <v>3</v>
      </c>
      <c r="G2532" s="26"/>
      <c r="H2532" s="47">
        <v>1</v>
      </c>
      <c r="I2532" s="27"/>
      <c r="J2532" s="34"/>
      <c r="K2532" s="35">
        <f t="shared" si="2110"/>
        <v>1</v>
      </c>
      <c r="L2532" s="11">
        <f t="shared" si="2098"/>
        <v>4</v>
      </c>
      <c r="M2532" s="126">
        <v>46097</v>
      </c>
      <c r="N2532" s="153" t="s">
        <v>2101</v>
      </c>
      <c r="O2532" s="26">
        <v>17</v>
      </c>
      <c r="P2532" s="47">
        <v>28</v>
      </c>
      <c r="Q2532" s="27">
        <v>21</v>
      </c>
      <c r="R2532" s="34">
        <v>1</v>
      </c>
      <c r="S2532" s="35">
        <f t="shared" si="2111"/>
        <v>67</v>
      </c>
      <c r="T2532" s="26">
        <v>5</v>
      </c>
      <c r="U2532" s="47"/>
      <c r="V2532" s="27">
        <v>7</v>
      </c>
      <c r="W2532" s="34"/>
      <c r="X2532" s="35">
        <f t="shared" si="2112"/>
        <v>12</v>
      </c>
      <c r="Y2532" s="11">
        <f t="shared" si="2101"/>
        <v>79</v>
      </c>
      <c r="Z2532" s="99">
        <v>46094</v>
      </c>
    </row>
    <row r="2533" spans="1:27" x14ac:dyDescent="0.15">
      <c r="A2533" s="13" t="s">
        <v>41</v>
      </c>
      <c r="B2533" s="26"/>
      <c r="C2533" s="47"/>
      <c r="D2533" s="27">
        <v>1</v>
      </c>
      <c r="E2533" s="34"/>
      <c r="F2533" s="35">
        <f t="shared" si="2109"/>
        <v>1</v>
      </c>
      <c r="G2533" s="26"/>
      <c r="H2533" s="47"/>
      <c r="I2533" s="27"/>
      <c r="J2533" s="34"/>
      <c r="K2533" s="35">
        <f t="shared" si="2110"/>
        <v>0</v>
      </c>
      <c r="L2533" s="11">
        <f t="shared" si="2098"/>
        <v>1</v>
      </c>
      <c r="M2533" s="126">
        <v>46098</v>
      </c>
      <c r="N2533" s="153" t="s">
        <v>2103</v>
      </c>
      <c r="O2533" s="26">
        <v>10</v>
      </c>
      <c r="P2533" s="47">
        <v>13</v>
      </c>
      <c r="Q2533" s="27"/>
      <c r="R2533" s="34">
        <v>5</v>
      </c>
      <c r="S2533" s="35">
        <f t="shared" ref="S2533" si="2113">SUM(O2533:R2533)</f>
        <v>28</v>
      </c>
      <c r="T2533" s="26">
        <v>2</v>
      </c>
      <c r="U2533" s="47">
        <v>1</v>
      </c>
      <c r="V2533" s="27">
        <v>2</v>
      </c>
      <c r="W2533" s="34"/>
      <c r="X2533" s="35">
        <f t="shared" ref="X2533" si="2114">SUM(T2533:W2533)</f>
        <v>5</v>
      </c>
      <c r="Y2533" s="11">
        <f t="shared" ref="Y2533" si="2115">S2533+X2533</f>
        <v>33</v>
      </c>
      <c r="Z2533" s="99">
        <v>46094</v>
      </c>
    </row>
    <row r="2534" spans="1:27" x14ac:dyDescent="0.15">
      <c r="A2534" s="13" t="s">
        <v>41</v>
      </c>
      <c r="B2534" s="26">
        <v>2</v>
      </c>
      <c r="C2534" s="47"/>
      <c r="D2534" s="27"/>
      <c r="E2534" s="34"/>
      <c r="F2534" s="35">
        <f t="shared" ref="F2534" si="2116">SUM(B2534:E2534)</f>
        <v>2</v>
      </c>
      <c r="G2534" s="26">
        <v>1</v>
      </c>
      <c r="H2534" s="47">
        <v>1</v>
      </c>
      <c r="I2534" s="27"/>
      <c r="J2534" s="34"/>
      <c r="K2534" s="35">
        <f t="shared" ref="K2534" si="2117">SUM(G2534:J2534)</f>
        <v>2</v>
      </c>
      <c r="L2534" s="11">
        <f t="shared" ref="L2534" si="2118">F2534+K2534</f>
        <v>4</v>
      </c>
      <c r="M2534" s="126">
        <v>46099</v>
      </c>
      <c r="N2534" s="310" t="s">
        <v>1987</v>
      </c>
      <c r="O2534" s="295"/>
      <c r="P2534" s="296"/>
      <c r="Q2534" s="297"/>
      <c r="R2534" s="306"/>
      <c r="S2534" s="307">
        <f t="shared" ref="S2534:S2535" si="2119">SUM(O2534:R2534)</f>
        <v>0</v>
      </c>
      <c r="T2534" s="295"/>
      <c r="U2534" s="296"/>
      <c r="V2534" s="297"/>
      <c r="W2534" s="306">
        <v>5</v>
      </c>
      <c r="X2534" s="307">
        <f t="shared" ref="X2534:X2535" si="2120">SUM(T2534:W2534)</f>
        <v>5</v>
      </c>
      <c r="Y2534" s="300">
        <f t="shared" ref="Y2534:Y2535" si="2121">S2534+X2534</f>
        <v>5</v>
      </c>
      <c r="Z2534" s="301">
        <v>46094</v>
      </c>
    </row>
    <row r="2535" spans="1:27" x14ac:dyDescent="0.15">
      <c r="A2535" s="15"/>
      <c r="B2535" s="26"/>
      <c r="C2535" s="47"/>
      <c r="D2535" s="27"/>
      <c r="E2535" s="34"/>
      <c r="F2535" s="35">
        <f t="shared" si="2109"/>
        <v>0</v>
      </c>
      <c r="G2535" s="26"/>
      <c r="H2535" s="47"/>
      <c r="I2535" s="27"/>
      <c r="J2535" s="34"/>
      <c r="K2535" s="35">
        <f t="shared" si="2110"/>
        <v>0</v>
      </c>
      <c r="L2535" s="11">
        <f t="shared" si="2098"/>
        <v>0</v>
      </c>
      <c r="N2535" s="310" t="s">
        <v>1987</v>
      </c>
      <c r="O2535" s="295"/>
      <c r="P2535" s="296"/>
      <c r="Q2535" s="297"/>
      <c r="R2535" s="306"/>
      <c r="S2535" s="307">
        <f t="shared" si="2119"/>
        <v>0</v>
      </c>
      <c r="T2535" s="295"/>
      <c r="U2535" s="296">
        <v>5</v>
      </c>
      <c r="V2535" s="297"/>
      <c r="W2535" s="306"/>
      <c r="X2535" s="307">
        <f t="shared" si="2120"/>
        <v>5</v>
      </c>
      <c r="Y2535" s="300">
        <f t="shared" si="2121"/>
        <v>5</v>
      </c>
      <c r="Z2535" s="301">
        <v>46099</v>
      </c>
    </row>
    <row r="2536" spans="1:27" x14ac:dyDescent="0.15">
      <c r="A2536" s="13"/>
      <c r="B2536" s="26"/>
      <c r="C2536" s="47"/>
      <c r="D2536" s="27"/>
      <c r="E2536" s="34"/>
      <c r="F2536" s="35">
        <f t="shared" si="2109"/>
        <v>0</v>
      </c>
      <c r="G2536" s="26"/>
      <c r="H2536" s="47"/>
      <c r="I2536" s="27"/>
      <c r="J2536" s="34"/>
      <c r="K2536" s="35">
        <f t="shared" si="2110"/>
        <v>0</v>
      </c>
      <c r="L2536" s="11">
        <f t="shared" si="2098"/>
        <v>0</v>
      </c>
      <c r="N2536" s="12" t="s">
        <v>2050</v>
      </c>
      <c r="O2536" s="26"/>
      <c r="P2536" s="47"/>
      <c r="Q2536" s="27"/>
      <c r="R2536" s="34"/>
      <c r="S2536" s="35">
        <f t="shared" ref="S2536:S2538" si="2122">SUM(O2536:R2536)</f>
        <v>0</v>
      </c>
      <c r="T2536" s="26"/>
      <c r="U2536" s="47"/>
      <c r="V2536" s="27"/>
      <c r="W2536" s="34"/>
      <c r="X2536" s="35">
        <f t="shared" ref="X2536:X2538" si="2123">SUM(T2536:W2536)</f>
        <v>0</v>
      </c>
      <c r="Y2536" s="108">
        <f t="shared" ref="Y2536:Y2538" si="2124">S2536+X2536</f>
        <v>0</v>
      </c>
      <c r="Z2536" s="101" t="s">
        <v>2051</v>
      </c>
    </row>
    <row r="2537" spans="1:27" x14ac:dyDescent="0.15">
      <c r="A2537" s="32"/>
      <c r="B2537" s="26"/>
      <c r="C2537" s="47"/>
      <c r="D2537" s="27"/>
      <c r="E2537" s="34"/>
      <c r="F2537" s="35">
        <f t="shared" si="2109"/>
        <v>0</v>
      </c>
      <c r="G2537" s="26"/>
      <c r="H2537" s="47"/>
      <c r="I2537" s="27"/>
      <c r="J2537" s="34"/>
      <c r="K2537" s="35">
        <f t="shared" si="2110"/>
        <v>0</v>
      </c>
      <c r="L2537" s="11">
        <f t="shared" si="2098"/>
        <v>0</v>
      </c>
      <c r="N2537" s="12" t="s">
        <v>2026</v>
      </c>
      <c r="O2537" s="26"/>
      <c r="P2537" s="47"/>
      <c r="Q2537" s="27"/>
      <c r="R2537" s="34"/>
      <c r="S2537" s="35">
        <f t="shared" si="2122"/>
        <v>0</v>
      </c>
      <c r="T2537" s="26"/>
      <c r="U2537" s="47"/>
      <c r="V2537" s="27"/>
      <c r="W2537" s="34"/>
      <c r="X2537" s="35">
        <f t="shared" si="2123"/>
        <v>0</v>
      </c>
      <c r="Y2537" s="108">
        <f t="shared" si="2124"/>
        <v>0</v>
      </c>
      <c r="Z2537" s="101" t="s">
        <v>2027</v>
      </c>
    </row>
    <row r="2538" spans="1:27" x14ac:dyDescent="0.15">
      <c r="A2538" s="32"/>
      <c r="B2538" s="26"/>
      <c r="C2538" s="47"/>
      <c r="D2538" s="27"/>
      <c r="E2538" s="34"/>
      <c r="F2538" s="35">
        <f t="shared" si="2109"/>
        <v>0</v>
      </c>
      <c r="G2538" s="26"/>
      <c r="H2538" s="47"/>
      <c r="I2538" s="27"/>
      <c r="J2538" s="34"/>
      <c r="K2538" s="35">
        <f t="shared" si="2110"/>
        <v>0</v>
      </c>
      <c r="L2538" s="11">
        <f t="shared" si="2098"/>
        <v>0</v>
      </c>
      <c r="N2538" s="153" t="s">
        <v>642</v>
      </c>
      <c r="O2538" s="154"/>
      <c r="P2538" s="155"/>
      <c r="Q2538" s="156"/>
      <c r="R2538" s="157"/>
      <c r="S2538" s="158">
        <f t="shared" si="2122"/>
        <v>0</v>
      </c>
      <c r="T2538" s="154"/>
      <c r="U2538" s="155"/>
      <c r="V2538" s="156"/>
      <c r="W2538" s="157"/>
      <c r="X2538" s="158">
        <f t="shared" si="2123"/>
        <v>0</v>
      </c>
      <c r="Y2538" s="179">
        <f t="shared" si="2124"/>
        <v>0</v>
      </c>
      <c r="Z2538" s="160" t="s">
        <v>2072</v>
      </c>
    </row>
    <row r="2539" spans="1:27" x14ac:dyDescent="0.15">
      <c r="A2539" s="12"/>
      <c r="B2539" s="26"/>
      <c r="C2539" s="47"/>
      <c r="D2539" s="27"/>
      <c r="E2539" s="34"/>
      <c r="F2539" s="35">
        <f t="shared" si="2109"/>
        <v>0</v>
      </c>
      <c r="G2539" s="26"/>
      <c r="H2539" s="47"/>
      <c r="I2539" s="27"/>
      <c r="J2539" s="34"/>
      <c r="K2539" s="35">
        <f t="shared" si="2110"/>
        <v>0</v>
      </c>
      <c r="L2539" s="11">
        <f t="shared" si="2098"/>
        <v>0</v>
      </c>
      <c r="N2539" s="173" t="s">
        <v>1948</v>
      </c>
      <c r="O2539" s="154"/>
      <c r="P2539" s="155"/>
      <c r="Q2539" s="156"/>
      <c r="R2539" s="157"/>
      <c r="S2539" s="158">
        <f t="shared" ref="S2539:S2540" si="2125">SUM(O2539:R2539)</f>
        <v>0</v>
      </c>
      <c r="T2539" s="154"/>
      <c r="U2539" s="155"/>
      <c r="V2539" s="156"/>
      <c r="W2539" s="157"/>
      <c r="X2539" s="158">
        <f t="shared" ref="X2539:X2540" si="2126">SUM(T2539:W2539)</f>
        <v>0</v>
      </c>
      <c r="Y2539" s="179">
        <f t="shared" ref="Y2539:Y2540" si="2127">S2539+X2539</f>
        <v>0</v>
      </c>
      <c r="Z2539" s="101"/>
    </row>
    <row r="2540" spans="1:27" x14ac:dyDescent="0.15">
      <c r="A2540" s="79"/>
      <c r="B2540" s="26"/>
      <c r="C2540" s="47"/>
      <c r="D2540" s="27"/>
      <c r="E2540" s="34"/>
      <c r="F2540" s="35">
        <f t="shared" si="2109"/>
        <v>0</v>
      </c>
      <c r="G2540" s="26"/>
      <c r="H2540" s="47"/>
      <c r="I2540" s="27"/>
      <c r="J2540" s="34"/>
      <c r="K2540" s="35">
        <f t="shared" si="2110"/>
        <v>0</v>
      </c>
      <c r="L2540" s="11">
        <f t="shared" si="2098"/>
        <v>0</v>
      </c>
      <c r="N2540" s="57" t="s">
        <v>1947</v>
      </c>
      <c r="O2540" s="26"/>
      <c r="P2540" s="47"/>
      <c r="Q2540" s="27"/>
      <c r="R2540" s="34"/>
      <c r="S2540" s="35">
        <f t="shared" si="2125"/>
        <v>0</v>
      </c>
      <c r="T2540" s="26"/>
      <c r="U2540" s="47"/>
      <c r="V2540" s="27"/>
      <c r="W2540" s="34"/>
      <c r="X2540" s="35">
        <f t="shared" si="2126"/>
        <v>0</v>
      </c>
      <c r="Y2540" s="11">
        <f t="shared" si="2127"/>
        <v>0</v>
      </c>
      <c r="Z2540" s="101" t="s">
        <v>2001</v>
      </c>
    </row>
    <row r="2541" spans="1:27" x14ac:dyDescent="0.15">
      <c r="A2541" s="57"/>
      <c r="B2541" s="26"/>
      <c r="C2541" s="47"/>
      <c r="D2541" s="27"/>
      <c r="E2541" s="34"/>
      <c r="F2541" s="35">
        <f t="shared" si="2109"/>
        <v>0</v>
      </c>
      <c r="G2541" s="26"/>
      <c r="H2541" s="47"/>
      <c r="I2541" s="27"/>
      <c r="J2541" s="34"/>
      <c r="K2541" s="35">
        <f t="shared" si="2110"/>
        <v>0</v>
      </c>
      <c r="L2541" s="11">
        <f t="shared" si="2098"/>
        <v>0</v>
      </c>
      <c r="N2541" s="153" t="s">
        <v>2014</v>
      </c>
      <c r="O2541" s="154"/>
      <c r="P2541" s="155"/>
      <c r="Q2541" s="156"/>
      <c r="R2541" s="157"/>
      <c r="S2541" s="158">
        <f t="shared" ref="S2541:S2542" si="2128">SUM(O2541:R2541)</f>
        <v>0</v>
      </c>
      <c r="T2541" s="154"/>
      <c r="U2541" s="155"/>
      <c r="V2541" s="156"/>
      <c r="W2541" s="157"/>
      <c r="X2541" s="158">
        <f t="shared" ref="X2541:X2542" si="2129">SUM(T2541:W2541)</f>
        <v>0</v>
      </c>
      <c r="Y2541" s="179">
        <f t="shared" ref="Y2541:Y2542" si="2130">S2541+X2541</f>
        <v>0</v>
      </c>
      <c r="Z2541" s="160"/>
      <c r="AA2541" s="58"/>
    </row>
    <row r="2542" spans="1:27" ht="14.25" thickBot="1" x14ac:dyDescent="0.2">
      <c r="A2542" s="90"/>
      <c r="B2542" s="62"/>
      <c r="C2542" s="63"/>
      <c r="D2542" s="64"/>
      <c r="E2542" s="65"/>
      <c r="F2542" s="35">
        <f t="shared" si="2109"/>
        <v>0</v>
      </c>
      <c r="G2542" s="62"/>
      <c r="H2542" s="63"/>
      <c r="I2542" s="64"/>
      <c r="J2542" s="65"/>
      <c r="K2542" s="35">
        <f t="shared" si="2110"/>
        <v>0</v>
      </c>
      <c r="L2542" s="14">
        <f t="shared" si="2098"/>
        <v>0</v>
      </c>
      <c r="N2542" s="135" t="s">
        <v>2013</v>
      </c>
      <c r="O2542" s="62"/>
      <c r="P2542" s="63"/>
      <c r="Q2542" s="64"/>
      <c r="R2542" s="65"/>
      <c r="S2542" s="120">
        <f t="shared" si="2128"/>
        <v>0</v>
      </c>
      <c r="T2542" s="62"/>
      <c r="U2542" s="63"/>
      <c r="V2542" s="64"/>
      <c r="W2542" s="65"/>
      <c r="X2542" s="120">
        <f t="shared" si="2129"/>
        <v>0</v>
      </c>
      <c r="Y2542" s="121">
        <f t="shared" si="2130"/>
        <v>0</v>
      </c>
      <c r="Z2542" s="101" t="s">
        <v>2015</v>
      </c>
      <c r="AA2542" s="58"/>
    </row>
    <row r="2543" spans="1:27" ht="14.25" thickBot="1" x14ac:dyDescent="0.2">
      <c r="A2543" s="17" t="s">
        <v>10</v>
      </c>
      <c r="B2543" s="38">
        <f>SUM(B2518:B2542)</f>
        <v>9</v>
      </c>
      <c r="C2543" s="48">
        <f>SUM(C2518:C2542)</f>
        <v>6</v>
      </c>
      <c r="D2543" s="39">
        <f>SUM(D2518:D2542)</f>
        <v>5</v>
      </c>
      <c r="E2543" s="40">
        <f>SUM(E2518:E2542)</f>
        <v>2</v>
      </c>
      <c r="F2543" s="36">
        <f>SUM(B2543:E2543)</f>
        <v>22</v>
      </c>
      <c r="G2543" s="38">
        <f>SUM(G2518:G2542)</f>
        <v>7</v>
      </c>
      <c r="H2543" s="48">
        <f>SUM(H2518:H2542)</f>
        <v>5</v>
      </c>
      <c r="I2543" s="39">
        <f>SUM(I2518:I2542)</f>
        <v>5</v>
      </c>
      <c r="J2543" s="40">
        <f>SUM(J2518:J2542)</f>
        <v>3</v>
      </c>
      <c r="K2543" s="36">
        <f>SUM(G2543:J2543)</f>
        <v>20</v>
      </c>
      <c r="L2543" s="37">
        <f t="shared" si="2098"/>
        <v>42</v>
      </c>
      <c r="N2543" s="133" t="s">
        <v>10</v>
      </c>
      <c r="O2543" s="38">
        <f>SUM(O2518:O2542)</f>
        <v>118</v>
      </c>
      <c r="P2543" s="48">
        <f>SUM(P2518:P2542)</f>
        <v>134</v>
      </c>
      <c r="Q2543" s="39">
        <f>SUM(Q2518:Q2542)</f>
        <v>93</v>
      </c>
      <c r="R2543" s="40">
        <f>SUM(R2518:R2542)</f>
        <v>42</v>
      </c>
      <c r="S2543" s="118">
        <f t="shared" si="2111"/>
        <v>387</v>
      </c>
      <c r="T2543" s="38">
        <f>SUM(T2518:T2542)</f>
        <v>42</v>
      </c>
      <c r="U2543" s="48">
        <f>SUM(U2518:U2542)</f>
        <v>46</v>
      </c>
      <c r="V2543" s="39">
        <f>SUM(V2518:V2542)</f>
        <v>40</v>
      </c>
      <c r="W2543" s="40">
        <f>SUM(W2518:W2542)</f>
        <v>21</v>
      </c>
      <c r="X2543" s="118">
        <f t="shared" si="2112"/>
        <v>149</v>
      </c>
      <c r="Y2543" s="119">
        <f t="shared" si="2101"/>
        <v>536</v>
      </c>
    </row>
    <row r="2544" spans="1:27" ht="14.25" thickBot="1" x14ac:dyDescent="0.2">
      <c r="A2544" s="22" t="s">
        <v>11</v>
      </c>
      <c r="B2544" s="41">
        <f>B2517-B2543</f>
        <v>9</v>
      </c>
      <c r="C2544" s="49">
        <f>C2517-C2543</f>
        <v>13</v>
      </c>
      <c r="D2544" s="42">
        <f t="shared" ref="D2544:K2544" si="2131">D2517-D2543</f>
        <v>9</v>
      </c>
      <c r="E2544" s="43">
        <f t="shared" si="2131"/>
        <v>12</v>
      </c>
      <c r="F2544" s="61">
        <f t="shared" si="2131"/>
        <v>39</v>
      </c>
      <c r="G2544" s="41">
        <f t="shared" si="2131"/>
        <v>9</v>
      </c>
      <c r="H2544" s="49">
        <f t="shared" si="2131"/>
        <v>6</v>
      </c>
      <c r="I2544" s="42">
        <f t="shared" si="2131"/>
        <v>8</v>
      </c>
      <c r="J2544" s="43">
        <f t="shared" si="2131"/>
        <v>10</v>
      </c>
      <c r="K2544" s="61">
        <f t="shared" si="2131"/>
        <v>33</v>
      </c>
      <c r="L2544" s="21">
        <f t="shared" si="2098"/>
        <v>72</v>
      </c>
      <c r="N2544" s="17" t="s">
        <v>11</v>
      </c>
      <c r="O2544" s="41">
        <f>O2517-O2543</f>
        <v>107</v>
      </c>
      <c r="P2544" s="49">
        <f t="shared" ref="P2544:Q2544" si="2132">P2517-P2543</f>
        <v>242</v>
      </c>
      <c r="Q2544" s="42">
        <f t="shared" si="2132"/>
        <v>156</v>
      </c>
      <c r="R2544" s="43">
        <f>R2517-R2543</f>
        <v>123</v>
      </c>
      <c r="S2544" s="61">
        <f t="shared" ref="S2544:X2544" si="2133">S2517-S2543</f>
        <v>628</v>
      </c>
      <c r="T2544" s="41">
        <f t="shared" si="2133"/>
        <v>522</v>
      </c>
      <c r="U2544" s="49">
        <f t="shared" si="2133"/>
        <v>505</v>
      </c>
      <c r="V2544" s="42">
        <f t="shared" si="2133"/>
        <v>419</v>
      </c>
      <c r="W2544" s="43">
        <f t="shared" si="2133"/>
        <v>279</v>
      </c>
      <c r="X2544" s="61">
        <f t="shared" si="2133"/>
        <v>1725</v>
      </c>
      <c r="Y2544" s="21">
        <f t="shared" si="2101"/>
        <v>2353</v>
      </c>
      <c r="Z2544" s="195" t="s">
        <v>2097</v>
      </c>
    </row>
    <row r="2545" spans="1:27" x14ac:dyDescent="0.15">
      <c r="N2545" s="313"/>
      <c r="O2545" s="125"/>
      <c r="P2545" s="125"/>
      <c r="Q2545" s="125"/>
      <c r="R2545" s="125"/>
      <c r="S2545" s="125"/>
    </row>
    <row r="2546" spans="1:27" x14ac:dyDescent="0.15">
      <c r="N2546" s="265"/>
      <c r="O2546" s="215"/>
      <c r="P2546" s="215"/>
      <c r="Q2546" s="215"/>
      <c r="R2546" s="215"/>
      <c r="S2546" s="211"/>
    </row>
    <row r="2547" spans="1:27" ht="19.5" thickBot="1" x14ac:dyDescent="0.25">
      <c r="A2547" s="2" t="s">
        <v>106</v>
      </c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N2547" s="2" t="s">
        <v>1036</v>
      </c>
      <c r="O2547" s="270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7" ht="14.25" thickBot="1" x14ac:dyDescent="0.2">
      <c r="A2548" s="5" t="s">
        <v>0</v>
      </c>
      <c r="B2548" s="342" t="s">
        <v>18</v>
      </c>
      <c r="C2548" s="350"/>
      <c r="D2548" s="350"/>
      <c r="E2548" s="350"/>
      <c r="F2548" s="351"/>
      <c r="G2548" s="345" t="s">
        <v>12</v>
      </c>
      <c r="H2548" s="352"/>
      <c r="I2548" s="352"/>
      <c r="J2548" s="352"/>
      <c r="K2548" s="353"/>
      <c r="L2548" s="354" t="s">
        <v>1</v>
      </c>
      <c r="N2548" s="5" t="s">
        <v>0</v>
      </c>
      <c r="O2548" s="342" t="s">
        <v>18</v>
      </c>
      <c r="P2548" s="343"/>
      <c r="Q2548" s="343"/>
      <c r="R2548" s="343"/>
      <c r="S2548" s="344"/>
      <c r="T2548" s="345" t="s">
        <v>12</v>
      </c>
      <c r="U2548" s="346"/>
      <c r="V2548" s="346"/>
      <c r="W2548" s="346"/>
      <c r="X2548" s="347"/>
      <c r="Y2548" s="348" t="s">
        <v>1</v>
      </c>
    </row>
    <row r="2549" spans="1:27" ht="14.25" thickBot="1" x14ac:dyDescent="0.2">
      <c r="A2549" s="5" t="s">
        <v>2</v>
      </c>
      <c r="B2549" s="3" t="s">
        <v>13</v>
      </c>
      <c r="C2549" s="44" t="s">
        <v>14</v>
      </c>
      <c r="D2549" s="4" t="s">
        <v>15</v>
      </c>
      <c r="E2549" s="23" t="s">
        <v>16</v>
      </c>
      <c r="F2549" s="31" t="s">
        <v>3</v>
      </c>
      <c r="G2549" s="3" t="s">
        <v>13</v>
      </c>
      <c r="H2549" s="44" t="s">
        <v>14</v>
      </c>
      <c r="I2549" s="4" t="s">
        <v>15</v>
      </c>
      <c r="J2549" s="23" t="s">
        <v>16</v>
      </c>
      <c r="K2549" s="31" t="s">
        <v>3</v>
      </c>
      <c r="L2549" s="355"/>
      <c r="N2549" s="5" t="s">
        <v>2</v>
      </c>
      <c r="O2549" s="3" t="s">
        <v>13</v>
      </c>
      <c r="P2549" s="44" t="s">
        <v>14</v>
      </c>
      <c r="Q2549" s="4" t="s">
        <v>15</v>
      </c>
      <c r="R2549" s="23" t="s">
        <v>16</v>
      </c>
      <c r="S2549" s="31" t="s">
        <v>3</v>
      </c>
      <c r="T2549" s="3" t="s">
        <v>13</v>
      </c>
      <c r="U2549" s="44" t="s">
        <v>14</v>
      </c>
      <c r="V2549" s="4" t="s">
        <v>15</v>
      </c>
      <c r="W2549" s="23" t="s">
        <v>16</v>
      </c>
      <c r="X2549" s="31" t="s">
        <v>3</v>
      </c>
      <c r="Y2549" s="349"/>
    </row>
    <row r="2550" spans="1:27" x14ac:dyDescent="0.15">
      <c r="A2550" s="71" t="s">
        <v>17</v>
      </c>
      <c r="B2550" s="72">
        <f>B2544</f>
        <v>9</v>
      </c>
      <c r="C2550" s="73">
        <f t="shared" ref="C2550:L2550" si="2134">C2544</f>
        <v>13</v>
      </c>
      <c r="D2550" s="73">
        <f t="shared" si="2134"/>
        <v>9</v>
      </c>
      <c r="E2550" s="74">
        <f t="shared" si="2134"/>
        <v>12</v>
      </c>
      <c r="F2550" s="76">
        <f t="shared" si="2134"/>
        <v>39</v>
      </c>
      <c r="G2550" s="72">
        <f t="shared" si="2134"/>
        <v>9</v>
      </c>
      <c r="H2550" s="73">
        <f t="shared" si="2134"/>
        <v>6</v>
      </c>
      <c r="I2550" s="73">
        <f t="shared" si="2134"/>
        <v>8</v>
      </c>
      <c r="J2550" s="74">
        <f t="shared" si="2134"/>
        <v>10</v>
      </c>
      <c r="K2550" s="75">
        <f t="shared" si="2134"/>
        <v>33</v>
      </c>
      <c r="L2550" s="16">
        <f t="shared" si="2134"/>
        <v>72</v>
      </c>
      <c r="N2550" s="71" t="s">
        <v>17</v>
      </c>
      <c r="O2550" s="72">
        <f>O2544</f>
        <v>107</v>
      </c>
      <c r="P2550" s="73">
        <f t="shared" ref="P2550:Y2550" si="2135">P2544</f>
        <v>242</v>
      </c>
      <c r="Q2550" s="73">
        <f t="shared" si="2135"/>
        <v>156</v>
      </c>
      <c r="R2550" s="74">
        <f t="shared" si="2135"/>
        <v>123</v>
      </c>
      <c r="S2550" s="76">
        <f t="shared" si="2135"/>
        <v>628</v>
      </c>
      <c r="T2550" s="72">
        <f t="shared" si="2135"/>
        <v>522</v>
      </c>
      <c r="U2550" s="73">
        <f t="shared" si="2135"/>
        <v>505</v>
      </c>
      <c r="V2550" s="73">
        <f t="shared" si="2135"/>
        <v>419</v>
      </c>
      <c r="W2550" s="74">
        <f t="shared" si="2135"/>
        <v>279</v>
      </c>
      <c r="X2550" s="75">
        <f t="shared" si="2135"/>
        <v>1725</v>
      </c>
      <c r="Y2550" s="16">
        <f t="shared" si="2135"/>
        <v>2353</v>
      </c>
    </row>
    <row r="2551" spans="1:27" x14ac:dyDescent="0.15">
      <c r="A2551" s="13" t="s">
        <v>166</v>
      </c>
      <c r="B2551" s="26">
        <v>2</v>
      </c>
      <c r="C2551" s="47">
        <v>1</v>
      </c>
      <c r="D2551" s="27">
        <v>1</v>
      </c>
      <c r="E2551" s="50">
        <v>1</v>
      </c>
      <c r="F2551" s="9">
        <f t="shared" ref="F2551:F2553" si="2136">SUM(B2551:E2551)</f>
        <v>5</v>
      </c>
      <c r="G2551" s="47"/>
      <c r="H2551" s="47"/>
      <c r="I2551" s="27">
        <v>1</v>
      </c>
      <c r="J2551" s="50"/>
      <c r="K2551" s="9">
        <f t="shared" ref="K2551:K2553" si="2137">SUM(G2551:J2551)</f>
        <v>1</v>
      </c>
      <c r="L2551" s="11">
        <f t="shared" ref="L2551:L2582" si="2138">F2551+K2551</f>
        <v>6</v>
      </c>
      <c r="M2551" s="126">
        <v>46094</v>
      </c>
      <c r="N2551" s="13" t="s">
        <v>5</v>
      </c>
      <c r="O2551" s="26">
        <v>70</v>
      </c>
      <c r="P2551" s="47"/>
      <c r="Q2551" s="27"/>
      <c r="R2551" s="34"/>
      <c r="S2551" s="77">
        <f t="shared" ref="S2551:S2554" si="2139">SUM(O2551:R2551)</f>
        <v>70</v>
      </c>
      <c r="T2551" s="26"/>
      <c r="U2551" s="47"/>
      <c r="V2551" s="27"/>
      <c r="W2551" s="34"/>
      <c r="X2551" s="9">
        <f t="shared" ref="X2551:X2554" si="2140">SUM(T2551:W2551)</f>
        <v>0</v>
      </c>
      <c r="Y2551" s="11">
        <f t="shared" ref="Y2551:Y2582" si="2141">S2551+X2551</f>
        <v>70</v>
      </c>
      <c r="Z2551" s="99" t="s">
        <v>2183</v>
      </c>
      <c r="AA2551" s="234"/>
    </row>
    <row r="2552" spans="1:27" x14ac:dyDescent="0.15">
      <c r="A2552" s="13" t="s">
        <v>6</v>
      </c>
      <c r="B2552" s="26"/>
      <c r="C2552" s="47"/>
      <c r="D2552" s="27"/>
      <c r="E2552" s="50"/>
      <c r="F2552" s="9">
        <f t="shared" si="2136"/>
        <v>0</v>
      </c>
      <c r="G2552" s="47"/>
      <c r="H2552" s="47">
        <v>5</v>
      </c>
      <c r="I2552" s="27"/>
      <c r="J2552" s="50"/>
      <c r="K2552" s="9">
        <f t="shared" si="2137"/>
        <v>5</v>
      </c>
      <c r="L2552" s="11">
        <f t="shared" si="2138"/>
        <v>5</v>
      </c>
      <c r="M2552" s="126">
        <v>46099</v>
      </c>
      <c r="N2552" s="314" t="s">
        <v>6</v>
      </c>
      <c r="O2552" s="235">
        <v>620</v>
      </c>
      <c r="P2552" s="236">
        <v>620</v>
      </c>
      <c r="Q2552" s="237">
        <v>430</v>
      </c>
      <c r="R2552" s="238">
        <v>330</v>
      </c>
      <c r="S2552" s="315">
        <f t="shared" si="2139"/>
        <v>2000</v>
      </c>
      <c r="T2552" s="235"/>
      <c r="U2552" s="236"/>
      <c r="V2552" s="237"/>
      <c r="W2552" s="238"/>
      <c r="X2552" s="311">
        <f t="shared" si="2140"/>
        <v>0</v>
      </c>
      <c r="Y2552" s="16">
        <f t="shared" si="2141"/>
        <v>2000</v>
      </c>
      <c r="Z2552" s="323" t="s">
        <v>2144</v>
      </c>
      <c r="AA2552" s="234"/>
    </row>
    <row r="2553" spans="1:27" x14ac:dyDescent="0.15">
      <c r="A2553" s="13" t="s">
        <v>2113</v>
      </c>
      <c r="B2553" s="26">
        <v>1</v>
      </c>
      <c r="C2553" s="47"/>
      <c r="D2553" s="27"/>
      <c r="E2553" s="34"/>
      <c r="F2553" s="35">
        <f t="shared" si="2136"/>
        <v>1</v>
      </c>
      <c r="G2553" s="26"/>
      <c r="H2553" s="47">
        <v>1</v>
      </c>
      <c r="I2553" s="27"/>
      <c r="J2553" s="34">
        <v>1</v>
      </c>
      <c r="K2553" s="35">
        <f t="shared" si="2137"/>
        <v>2</v>
      </c>
      <c r="L2553" s="11">
        <f t="shared" si="2138"/>
        <v>3</v>
      </c>
      <c r="M2553" s="99">
        <v>46098</v>
      </c>
      <c r="N2553" s="13" t="s">
        <v>7</v>
      </c>
      <c r="O2553" s="26">
        <v>-70</v>
      </c>
      <c r="P2553" s="47"/>
      <c r="Q2553" s="27"/>
      <c r="R2553" s="34"/>
      <c r="S2553" s="77">
        <f t="shared" si="2139"/>
        <v>-70</v>
      </c>
      <c r="T2553" s="26"/>
      <c r="U2553" s="47"/>
      <c r="V2553" s="27"/>
      <c r="W2553" s="34"/>
      <c r="X2553" s="9">
        <f t="shared" si="2140"/>
        <v>0</v>
      </c>
      <c r="Y2553" s="11">
        <f t="shared" si="2141"/>
        <v>-70</v>
      </c>
    </row>
    <row r="2554" spans="1:27" ht="14.25" thickBot="1" x14ac:dyDescent="0.2">
      <c r="A2554" s="13" t="s">
        <v>8</v>
      </c>
      <c r="B2554" s="26"/>
      <c r="C2554" s="47">
        <v>5</v>
      </c>
      <c r="D2554" s="27"/>
      <c r="E2554" s="50"/>
      <c r="F2554" s="10">
        <f>SUM(B2554:E2554)</f>
        <v>5</v>
      </c>
      <c r="G2554" s="47"/>
      <c r="H2554" s="47">
        <v>5</v>
      </c>
      <c r="I2554" s="27"/>
      <c r="J2554" s="50"/>
      <c r="K2554" s="10">
        <f>SUM(G2554:J2554)</f>
        <v>5</v>
      </c>
      <c r="L2554" s="14">
        <f t="shared" si="2138"/>
        <v>10</v>
      </c>
      <c r="M2554" s="99">
        <v>46102</v>
      </c>
      <c r="N2554" s="13" t="s">
        <v>8</v>
      </c>
      <c r="O2554" s="26"/>
      <c r="P2554" s="47"/>
      <c r="Q2554" s="27"/>
      <c r="R2554" s="34"/>
      <c r="S2554" s="77">
        <f t="shared" si="2139"/>
        <v>0</v>
      </c>
      <c r="T2554" s="26"/>
      <c r="U2554" s="47"/>
      <c r="V2554" s="27"/>
      <c r="W2554" s="34"/>
      <c r="X2554" s="9">
        <f t="shared" si="2140"/>
        <v>0</v>
      </c>
      <c r="Y2554" s="11">
        <f t="shared" si="2141"/>
        <v>0</v>
      </c>
    </row>
    <row r="2555" spans="1:27" ht="14.25" thickBot="1" x14ac:dyDescent="0.2">
      <c r="A2555" s="22" t="s">
        <v>9</v>
      </c>
      <c r="B2555" s="41">
        <f t="shared" ref="B2555:K2555" si="2142">SUM(B2550:B2554)</f>
        <v>12</v>
      </c>
      <c r="C2555" s="49">
        <f t="shared" si="2142"/>
        <v>19</v>
      </c>
      <c r="D2555" s="42">
        <f t="shared" si="2142"/>
        <v>10</v>
      </c>
      <c r="E2555" s="92">
        <f t="shared" si="2142"/>
        <v>13</v>
      </c>
      <c r="F2555" s="132">
        <f t="shared" si="2142"/>
        <v>50</v>
      </c>
      <c r="G2555" s="41">
        <f t="shared" si="2142"/>
        <v>9</v>
      </c>
      <c r="H2555" s="49">
        <f t="shared" si="2142"/>
        <v>17</v>
      </c>
      <c r="I2555" s="42">
        <f t="shared" si="2142"/>
        <v>9</v>
      </c>
      <c r="J2555" s="92">
        <f t="shared" si="2142"/>
        <v>11</v>
      </c>
      <c r="K2555" s="132">
        <f t="shared" si="2142"/>
        <v>46</v>
      </c>
      <c r="L2555" s="21">
        <f t="shared" si="2138"/>
        <v>96</v>
      </c>
      <c r="N2555" s="17" t="s">
        <v>9</v>
      </c>
      <c r="O2555" s="41">
        <f>SUM(O2550:O2554)</f>
        <v>727</v>
      </c>
      <c r="P2555" s="49">
        <f t="shared" ref="P2555:V2555" si="2143">SUM(P2550:P2554)</f>
        <v>862</v>
      </c>
      <c r="Q2555" s="42">
        <f t="shared" si="2143"/>
        <v>586</v>
      </c>
      <c r="R2555" s="92">
        <f t="shared" si="2143"/>
        <v>453</v>
      </c>
      <c r="S2555" s="93">
        <f t="shared" si="2143"/>
        <v>2628</v>
      </c>
      <c r="T2555" s="41">
        <f t="shared" si="2143"/>
        <v>522</v>
      </c>
      <c r="U2555" s="49">
        <f t="shared" si="2143"/>
        <v>505</v>
      </c>
      <c r="V2555" s="42">
        <f t="shared" si="2143"/>
        <v>419</v>
      </c>
      <c r="W2555" s="92">
        <f>SUM(W2550:W2554)</f>
        <v>279</v>
      </c>
      <c r="X2555" s="93">
        <f t="shared" ref="X2555" si="2144">SUM(X2550:X2554)</f>
        <v>1725</v>
      </c>
      <c r="Y2555" s="56">
        <f t="shared" si="2141"/>
        <v>4353</v>
      </c>
    </row>
    <row r="2556" spans="1:27" x14ac:dyDescent="0.15">
      <c r="A2556" s="153" t="s">
        <v>2111</v>
      </c>
      <c r="B2556" s="26">
        <v>9</v>
      </c>
      <c r="C2556" s="47">
        <v>9</v>
      </c>
      <c r="D2556" s="27"/>
      <c r="E2556" s="34">
        <v>2</v>
      </c>
      <c r="F2556" s="35">
        <f t="shared" ref="F2556:F2579" si="2145">SUM(B2556:E2556)</f>
        <v>20</v>
      </c>
      <c r="G2556" s="26">
        <v>2</v>
      </c>
      <c r="H2556" s="47">
        <v>6</v>
      </c>
      <c r="I2556" s="27"/>
      <c r="J2556" s="34">
        <v>1</v>
      </c>
      <c r="K2556" s="35">
        <f t="shared" ref="K2556:K2579" si="2146">SUM(G2556:J2556)</f>
        <v>9</v>
      </c>
      <c r="L2556" s="11">
        <f t="shared" si="2138"/>
        <v>29</v>
      </c>
      <c r="M2556" s="99">
        <v>46100</v>
      </c>
      <c r="N2556" s="12" t="s">
        <v>2100</v>
      </c>
      <c r="O2556" s="26"/>
      <c r="P2556" s="47"/>
      <c r="Q2556" s="27"/>
      <c r="R2556" s="34">
        <v>5</v>
      </c>
      <c r="S2556" s="35">
        <f t="shared" ref="S2556:S2562" si="2147">SUM(O2556:R2556)</f>
        <v>5</v>
      </c>
      <c r="T2556" s="26"/>
      <c r="U2556" s="47"/>
      <c r="V2556" s="27"/>
      <c r="W2556" s="34"/>
      <c r="X2556" s="35">
        <f t="shared" ref="X2556:X2562" si="2148">SUM(T2556:W2556)</f>
        <v>0</v>
      </c>
      <c r="Y2556" s="11">
        <f t="shared" si="2141"/>
        <v>5</v>
      </c>
      <c r="Z2556" s="99">
        <v>46099</v>
      </c>
      <c r="AA2556" s="58"/>
    </row>
    <row r="2557" spans="1:27" x14ac:dyDescent="0.15">
      <c r="A2557" s="153" t="s">
        <v>2112</v>
      </c>
      <c r="B2557" s="26"/>
      <c r="C2557" s="47"/>
      <c r="D2557" s="27">
        <v>1</v>
      </c>
      <c r="E2557" s="34">
        <v>3</v>
      </c>
      <c r="F2557" s="35">
        <f t="shared" si="2145"/>
        <v>4</v>
      </c>
      <c r="G2557" s="26"/>
      <c r="H2557" s="47">
        <v>1</v>
      </c>
      <c r="I2557" s="27">
        <v>1</v>
      </c>
      <c r="J2557" s="34"/>
      <c r="K2557" s="35">
        <f t="shared" si="2146"/>
        <v>2</v>
      </c>
      <c r="L2557" s="11">
        <f t="shared" si="2138"/>
        <v>6</v>
      </c>
      <c r="M2557" s="99">
        <v>46100</v>
      </c>
      <c r="N2557" s="153" t="s">
        <v>2104</v>
      </c>
      <c r="O2557" s="26">
        <v>18</v>
      </c>
      <c r="P2557" s="47">
        <v>4</v>
      </c>
      <c r="Q2557" s="27">
        <v>4</v>
      </c>
      <c r="R2557" s="34">
        <v>8</v>
      </c>
      <c r="S2557" s="35">
        <f t="shared" si="2147"/>
        <v>34</v>
      </c>
      <c r="T2557" s="26">
        <v>5</v>
      </c>
      <c r="U2557" s="47">
        <v>3</v>
      </c>
      <c r="V2557" s="27">
        <v>3</v>
      </c>
      <c r="W2557" s="34">
        <v>1</v>
      </c>
      <c r="X2557" s="35">
        <f t="shared" si="2148"/>
        <v>12</v>
      </c>
      <c r="Y2557" s="11">
        <f t="shared" si="2141"/>
        <v>46</v>
      </c>
      <c r="Z2557" s="99">
        <v>46097</v>
      </c>
    </row>
    <row r="2558" spans="1:27" x14ac:dyDescent="0.15">
      <c r="A2558" s="15" t="s">
        <v>41</v>
      </c>
      <c r="B2558" s="26"/>
      <c r="C2558" s="47"/>
      <c r="D2558" s="27"/>
      <c r="E2558" s="34"/>
      <c r="F2558" s="35">
        <f t="shared" si="2145"/>
        <v>0</v>
      </c>
      <c r="G2558" s="26"/>
      <c r="H2558" s="47"/>
      <c r="I2558" s="27">
        <v>1</v>
      </c>
      <c r="J2558" s="34"/>
      <c r="K2558" s="35">
        <f t="shared" si="2146"/>
        <v>1</v>
      </c>
      <c r="L2558" s="11">
        <f t="shared" si="2138"/>
        <v>1</v>
      </c>
      <c r="M2558" s="126">
        <v>46100</v>
      </c>
      <c r="N2558" s="57" t="s">
        <v>2105</v>
      </c>
      <c r="O2558" s="26">
        <v>20</v>
      </c>
      <c r="P2558" s="47">
        <v>25</v>
      </c>
      <c r="Q2558" s="27"/>
      <c r="R2558" s="34">
        <v>10</v>
      </c>
      <c r="S2558" s="35">
        <f t="shared" si="2147"/>
        <v>55</v>
      </c>
      <c r="T2558" s="26"/>
      <c r="U2558" s="47"/>
      <c r="V2558" s="27"/>
      <c r="W2558" s="34">
        <v>5</v>
      </c>
      <c r="X2558" s="35">
        <f t="shared" si="2148"/>
        <v>5</v>
      </c>
      <c r="Y2558" s="11">
        <f t="shared" si="2141"/>
        <v>60</v>
      </c>
      <c r="Z2558" s="99">
        <v>46095</v>
      </c>
    </row>
    <row r="2559" spans="1:27" x14ac:dyDescent="0.15">
      <c r="A2559" s="15" t="s">
        <v>41</v>
      </c>
      <c r="B2559" s="26">
        <v>3</v>
      </c>
      <c r="C2559" s="47"/>
      <c r="D2559" s="27"/>
      <c r="E2559" s="34">
        <v>1</v>
      </c>
      <c r="F2559" s="35">
        <f t="shared" si="2145"/>
        <v>4</v>
      </c>
      <c r="G2559" s="26">
        <v>1</v>
      </c>
      <c r="H2559" s="47">
        <v>1</v>
      </c>
      <c r="I2559" s="27"/>
      <c r="J2559" s="34">
        <v>1</v>
      </c>
      <c r="K2559" s="35">
        <f t="shared" si="2146"/>
        <v>3</v>
      </c>
      <c r="L2559" s="11">
        <f t="shared" si="2138"/>
        <v>7</v>
      </c>
      <c r="M2559" s="126">
        <v>46104</v>
      </c>
      <c r="N2559" s="12" t="s">
        <v>2106</v>
      </c>
      <c r="O2559" s="26">
        <v>1</v>
      </c>
      <c r="P2559" s="47">
        <v>2</v>
      </c>
      <c r="Q2559" s="27"/>
      <c r="R2559" s="34">
        <v>2</v>
      </c>
      <c r="S2559" s="35">
        <f t="shared" si="2147"/>
        <v>5</v>
      </c>
      <c r="T2559" s="26"/>
      <c r="U2559" s="47"/>
      <c r="V2559" s="27"/>
      <c r="W2559" s="34"/>
      <c r="X2559" s="35">
        <f t="shared" si="2148"/>
        <v>0</v>
      </c>
      <c r="Y2559" s="11">
        <f t="shared" si="2141"/>
        <v>5</v>
      </c>
      <c r="Z2559" s="99">
        <v>46101</v>
      </c>
    </row>
    <row r="2560" spans="1:27" x14ac:dyDescent="0.15">
      <c r="A2560" s="15" t="s">
        <v>41</v>
      </c>
      <c r="B2560" s="26"/>
      <c r="C2560" s="47"/>
      <c r="D2560" s="27"/>
      <c r="E2560" s="34"/>
      <c r="F2560" s="35">
        <f t="shared" si="2145"/>
        <v>0</v>
      </c>
      <c r="G2560" s="26"/>
      <c r="H2560" s="47">
        <v>1</v>
      </c>
      <c r="I2560" s="27"/>
      <c r="J2560" s="34"/>
      <c r="K2560" s="35">
        <f t="shared" si="2146"/>
        <v>1</v>
      </c>
      <c r="L2560" s="11">
        <f t="shared" si="2138"/>
        <v>1</v>
      </c>
      <c r="M2560" s="126">
        <v>46106</v>
      </c>
      <c r="N2560" s="153" t="s">
        <v>2107</v>
      </c>
      <c r="O2560" s="26">
        <v>18</v>
      </c>
      <c r="P2560" s="47">
        <v>12</v>
      </c>
      <c r="Q2560" s="27">
        <v>9</v>
      </c>
      <c r="R2560" s="34">
        <v>5</v>
      </c>
      <c r="S2560" s="35">
        <f t="shared" si="2147"/>
        <v>44</v>
      </c>
      <c r="T2560" s="26">
        <v>4</v>
      </c>
      <c r="U2560" s="47">
        <v>9</v>
      </c>
      <c r="V2560" s="27">
        <v>5</v>
      </c>
      <c r="W2560" s="34">
        <v>2</v>
      </c>
      <c r="X2560" s="35">
        <f t="shared" si="2148"/>
        <v>20</v>
      </c>
      <c r="Y2560" s="11">
        <f t="shared" si="2141"/>
        <v>64</v>
      </c>
      <c r="Z2560" s="99">
        <v>46099</v>
      </c>
    </row>
    <row r="2561" spans="1:28" x14ac:dyDescent="0.15">
      <c r="A2561" s="15" t="s">
        <v>2123</v>
      </c>
      <c r="B2561" s="26">
        <v>-9</v>
      </c>
      <c r="C2561" s="47">
        <v>-2</v>
      </c>
      <c r="D2561" s="27">
        <v>-2</v>
      </c>
      <c r="E2561" s="34">
        <v>-3</v>
      </c>
      <c r="F2561" s="35">
        <f t="shared" si="2145"/>
        <v>-16</v>
      </c>
      <c r="G2561" s="26">
        <v>-2</v>
      </c>
      <c r="H2561" s="47"/>
      <c r="I2561" s="27">
        <v>-2</v>
      </c>
      <c r="J2561" s="34">
        <v>-1</v>
      </c>
      <c r="K2561" s="35">
        <f t="shared" si="2146"/>
        <v>-5</v>
      </c>
      <c r="L2561" s="11">
        <f t="shared" si="2138"/>
        <v>-21</v>
      </c>
      <c r="M2561" s="126">
        <v>46105</v>
      </c>
      <c r="N2561" s="153" t="s">
        <v>2114</v>
      </c>
      <c r="O2561" s="26">
        <v>40</v>
      </c>
      <c r="P2561" s="47">
        <v>39</v>
      </c>
      <c r="Q2561" s="27">
        <v>16</v>
      </c>
      <c r="R2561" s="34">
        <v>11</v>
      </c>
      <c r="S2561" s="35">
        <f t="shared" si="2147"/>
        <v>106</v>
      </c>
      <c r="T2561" s="26">
        <v>10</v>
      </c>
      <c r="U2561" s="47">
        <v>14</v>
      </c>
      <c r="V2561" s="27">
        <v>7</v>
      </c>
      <c r="W2561" s="34">
        <v>5</v>
      </c>
      <c r="X2561" s="35">
        <f t="shared" si="2148"/>
        <v>36</v>
      </c>
      <c r="Y2561" s="11">
        <f t="shared" si="2141"/>
        <v>142</v>
      </c>
      <c r="Z2561" s="99">
        <v>46104</v>
      </c>
    </row>
    <row r="2562" spans="1:28" x14ac:dyDescent="0.15">
      <c r="A2562" s="15" t="s">
        <v>41</v>
      </c>
      <c r="B2562" s="26"/>
      <c r="C2562" s="47">
        <v>1</v>
      </c>
      <c r="D2562" s="27"/>
      <c r="E2562" s="34"/>
      <c r="F2562" s="35">
        <f t="shared" si="2145"/>
        <v>1</v>
      </c>
      <c r="G2562" s="26"/>
      <c r="H2562" s="47">
        <f>1+1</f>
        <v>2</v>
      </c>
      <c r="I2562" s="27"/>
      <c r="J2562" s="34"/>
      <c r="K2562" s="35">
        <f t="shared" si="2146"/>
        <v>2</v>
      </c>
      <c r="L2562" s="11">
        <f t="shared" si="2138"/>
        <v>3</v>
      </c>
      <c r="M2562" s="126">
        <v>46107</v>
      </c>
      <c r="N2562" s="12" t="s">
        <v>1987</v>
      </c>
      <c r="O2562" s="26"/>
      <c r="P2562" s="47">
        <v>5</v>
      </c>
      <c r="Q2562" s="27"/>
      <c r="R2562" s="34"/>
      <c r="S2562" s="35">
        <f t="shared" si="2147"/>
        <v>5</v>
      </c>
      <c r="T2562" s="26"/>
      <c r="U2562" s="47">
        <v>5</v>
      </c>
      <c r="V2562" s="27"/>
      <c r="W2562" s="34"/>
      <c r="X2562" s="35">
        <f t="shared" si="2148"/>
        <v>5</v>
      </c>
      <c r="Y2562" s="11">
        <f t="shared" si="2141"/>
        <v>10</v>
      </c>
      <c r="Z2562" s="99">
        <v>46102</v>
      </c>
    </row>
    <row r="2563" spans="1:28" x14ac:dyDescent="0.15">
      <c r="A2563" s="15" t="s">
        <v>41</v>
      </c>
      <c r="B2563" s="26">
        <v>1</v>
      </c>
      <c r="C2563" s="47"/>
      <c r="D2563" s="27"/>
      <c r="E2563" s="34"/>
      <c r="F2563" s="35">
        <f t="shared" si="2145"/>
        <v>1</v>
      </c>
      <c r="G2563" s="26"/>
      <c r="H2563" s="47"/>
      <c r="I2563" s="27"/>
      <c r="J2563" s="34"/>
      <c r="K2563" s="35">
        <f t="shared" si="2146"/>
        <v>0</v>
      </c>
      <c r="L2563" s="11">
        <f t="shared" si="2138"/>
        <v>1</v>
      </c>
      <c r="M2563" s="126">
        <v>46108</v>
      </c>
      <c r="N2563" s="12" t="s">
        <v>2117</v>
      </c>
      <c r="O2563" s="26"/>
      <c r="P2563" s="47">
        <v>3</v>
      </c>
      <c r="Q2563" s="27"/>
      <c r="R2563" s="50"/>
      <c r="S2563" s="9">
        <f>SUM(O2563:R2563)</f>
        <v>3</v>
      </c>
      <c r="T2563" s="47"/>
      <c r="U2563" s="47"/>
      <c r="V2563" s="27"/>
      <c r="W2563" s="50"/>
      <c r="X2563" s="9">
        <f>SUM(T2563:W2563)</f>
        <v>0</v>
      </c>
      <c r="Y2563" s="11">
        <f t="shared" si="2141"/>
        <v>3</v>
      </c>
      <c r="Z2563" s="99">
        <v>46111</v>
      </c>
    </row>
    <row r="2564" spans="1:28" x14ac:dyDescent="0.15">
      <c r="A2564" s="15" t="s">
        <v>41</v>
      </c>
      <c r="B2564" s="26"/>
      <c r="C2564" s="47">
        <v>1</v>
      </c>
      <c r="D2564" s="27"/>
      <c r="E2564" s="34"/>
      <c r="F2564" s="35">
        <f t="shared" si="2145"/>
        <v>1</v>
      </c>
      <c r="G2564" s="26"/>
      <c r="H2564" s="47"/>
      <c r="I2564" s="27">
        <v>1</v>
      </c>
      <c r="J2564" s="34"/>
      <c r="K2564" s="35">
        <f t="shared" si="2146"/>
        <v>1</v>
      </c>
      <c r="L2564" s="11">
        <f t="shared" si="2138"/>
        <v>2</v>
      </c>
      <c r="M2564" s="126">
        <v>46111</v>
      </c>
      <c r="N2564" s="153" t="s">
        <v>2118</v>
      </c>
      <c r="O2564" s="26">
        <v>8</v>
      </c>
      <c r="P2564" s="47">
        <v>18</v>
      </c>
      <c r="Q2564" s="27">
        <v>10</v>
      </c>
      <c r="R2564" s="34">
        <v>2</v>
      </c>
      <c r="S2564" s="35">
        <f t="shared" ref="S2564:S2581" si="2149">SUM(O2564:R2564)</f>
        <v>38</v>
      </c>
      <c r="T2564" s="26"/>
      <c r="U2564" s="47">
        <v>4</v>
      </c>
      <c r="V2564" s="27"/>
      <c r="W2564" s="34"/>
      <c r="X2564" s="35">
        <f t="shared" ref="X2564:X2581" si="2150">SUM(T2564:W2564)</f>
        <v>4</v>
      </c>
      <c r="Y2564" s="11">
        <f t="shared" si="2141"/>
        <v>42</v>
      </c>
      <c r="Z2564" s="99">
        <v>46108</v>
      </c>
    </row>
    <row r="2565" spans="1:28" x14ac:dyDescent="0.15">
      <c r="A2565" s="15" t="s">
        <v>41</v>
      </c>
      <c r="B2565" s="26"/>
      <c r="C2565" s="47"/>
      <c r="D2565" s="27"/>
      <c r="E2565" s="34"/>
      <c r="F2565" s="35">
        <f t="shared" si="2145"/>
        <v>0</v>
      </c>
      <c r="G2565" s="26">
        <v>1</v>
      </c>
      <c r="H2565" s="47"/>
      <c r="I2565" s="27"/>
      <c r="J2565" s="34"/>
      <c r="K2565" s="35">
        <f t="shared" si="2146"/>
        <v>1</v>
      </c>
      <c r="L2565" s="11">
        <f t="shared" si="2138"/>
        <v>1</v>
      </c>
      <c r="M2565" s="126">
        <v>46112</v>
      </c>
      <c r="N2565" s="12" t="s">
        <v>2119</v>
      </c>
      <c r="O2565" s="26"/>
      <c r="P2565" s="47"/>
      <c r="Q2565" s="27"/>
      <c r="R2565" s="34"/>
      <c r="S2565" s="35">
        <f t="shared" si="2149"/>
        <v>0</v>
      </c>
      <c r="T2565" s="26"/>
      <c r="U2565" s="47"/>
      <c r="V2565" s="27"/>
      <c r="W2565" s="34">
        <v>5</v>
      </c>
      <c r="X2565" s="35">
        <f t="shared" si="2150"/>
        <v>5</v>
      </c>
      <c r="Y2565" s="11">
        <f t="shared" si="2141"/>
        <v>5</v>
      </c>
      <c r="Z2565" s="99">
        <v>46113</v>
      </c>
      <c r="AA2565" s="58"/>
      <c r="AB2565" s="58"/>
    </row>
    <row r="2566" spans="1:28" x14ac:dyDescent="0.15">
      <c r="A2566" s="153" t="s">
        <v>2129</v>
      </c>
      <c r="B2566" s="26">
        <v>5</v>
      </c>
      <c r="C2566" s="47">
        <v>2</v>
      </c>
      <c r="D2566" s="27">
        <v>3</v>
      </c>
      <c r="E2566" s="34">
        <v>3</v>
      </c>
      <c r="F2566" s="35">
        <f t="shared" si="2145"/>
        <v>13</v>
      </c>
      <c r="G2566" s="26"/>
      <c r="H2566" s="47">
        <v>2</v>
      </c>
      <c r="I2566" s="27"/>
      <c r="J2566" s="34">
        <v>1</v>
      </c>
      <c r="K2566" s="35">
        <f t="shared" si="2146"/>
        <v>3</v>
      </c>
      <c r="L2566" s="11">
        <f t="shared" si="2138"/>
        <v>16</v>
      </c>
      <c r="M2566" s="99">
        <v>46115</v>
      </c>
      <c r="N2566" s="153" t="s">
        <v>2124</v>
      </c>
      <c r="O2566" s="26">
        <v>13</v>
      </c>
      <c r="P2566" s="47">
        <v>12</v>
      </c>
      <c r="Q2566" s="27">
        <v>6</v>
      </c>
      <c r="R2566" s="34">
        <v>3</v>
      </c>
      <c r="S2566" s="35">
        <f t="shared" si="2149"/>
        <v>34</v>
      </c>
      <c r="T2566" s="26">
        <v>1</v>
      </c>
      <c r="U2566" s="47">
        <v>2</v>
      </c>
      <c r="V2566" s="27"/>
      <c r="W2566" s="34">
        <v>1</v>
      </c>
      <c r="X2566" s="35">
        <f t="shared" si="2150"/>
        <v>4</v>
      </c>
      <c r="Y2566" s="11">
        <f t="shared" si="2141"/>
        <v>38</v>
      </c>
      <c r="Z2566" s="99">
        <v>46111</v>
      </c>
      <c r="AA2566" s="58"/>
      <c r="AB2566" s="58"/>
    </row>
    <row r="2567" spans="1:28" x14ac:dyDescent="0.15">
      <c r="A2567" s="294" t="s">
        <v>62</v>
      </c>
      <c r="B2567" s="295">
        <v>-3</v>
      </c>
      <c r="C2567" s="296"/>
      <c r="D2567" s="297"/>
      <c r="E2567" s="306"/>
      <c r="F2567" s="307">
        <f t="shared" si="2145"/>
        <v>-3</v>
      </c>
      <c r="G2567" s="295"/>
      <c r="H2567" s="296"/>
      <c r="I2567" s="297"/>
      <c r="J2567" s="306"/>
      <c r="K2567" s="307">
        <f t="shared" si="2146"/>
        <v>0</v>
      </c>
      <c r="L2567" s="300">
        <f t="shared" si="2138"/>
        <v>-3</v>
      </c>
      <c r="M2567" s="301">
        <v>46114</v>
      </c>
      <c r="N2567" s="12" t="s">
        <v>2125</v>
      </c>
      <c r="O2567" s="26"/>
      <c r="P2567" s="47">
        <v>3</v>
      </c>
      <c r="Q2567" s="27"/>
      <c r="R2567" s="34"/>
      <c r="S2567" s="35">
        <f t="shared" si="2149"/>
        <v>3</v>
      </c>
      <c r="T2567" s="26"/>
      <c r="U2567" s="47"/>
      <c r="V2567" s="27"/>
      <c r="W2567" s="34"/>
      <c r="X2567" s="35">
        <f t="shared" si="2150"/>
        <v>0</v>
      </c>
      <c r="Y2567" s="11">
        <f t="shared" si="2141"/>
        <v>3</v>
      </c>
      <c r="Z2567" s="99">
        <v>46121</v>
      </c>
      <c r="AA2567" s="58"/>
      <c r="AB2567" s="58"/>
    </row>
    <row r="2568" spans="1:28" x14ac:dyDescent="0.15">
      <c r="A2568" s="15" t="s">
        <v>41</v>
      </c>
      <c r="B2568" s="26"/>
      <c r="C2568" s="47">
        <v>1</v>
      </c>
      <c r="D2568" s="27"/>
      <c r="E2568" s="34"/>
      <c r="F2568" s="35">
        <f t="shared" si="2145"/>
        <v>1</v>
      </c>
      <c r="G2568" s="26"/>
      <c r="H2568" s="47"/>
      <c r="I2568" s="27"/>
      <c r="J2568" s="34">
        <v>1</v>
      </c>
      <c r="K2568" s="35">
        <f t="shared" si="2146"/>
        <v>1</v>
      </c>
      <c r="L2568" s="11">
        <f t="shared" si="2138"/>
        <v>2</v>
      </c>
      <c r="M2568" s="126">
        <v>46114</v>
      </c>
      <c r="N2568" s="153" t="s">
        <v>2126</v>
      </c>
      <c r="O2568" s="26">
        <v>30</v>
      </c>
      <c r="P2568" s="47">
        <v>16</v>
      </c>
      <c r="Q2568" s="27">
        <v>5</v>
      </c>
      <c r="R2568" s="34">
        <v>1</v>
      </c>
      <c r="S2568" s="35">
        <f t="shared" si="2149"/>
        <v>52</v>
      </c>
      <c r="T2568" s="26">
        <v>6</v>
      </c>
      <c r="U2568" s="47">
        <v>1</v>
      </c>
      <c r="V2568" s="27"/>
      <c r="W2568" s="34"/>
      <c r="X2568" s="35">
        <f t="shared" si="2150"/>
        <v>7</v>
      </c>
      <c r="Y2568" s="11">
        <f t="shared" si="2141"/>
        <v>59</v>
      </c>
      <c r="Z2568" s="99">
        <v>46113</v>
      </c>
      <c r="AA2568" s="58"/>
      <c r="AB2568" s="58"/>
    </row>
    <row r="2569" spans="1:28" x14ac:dyDescent="0.15">
      <c r="A2569" s="15" t="s">
        <v>41</v>
      </c>
      <c r="B2569" s="26"/>
      <c r="C2569" s="47"/>
      <c r="D2569" s="27"/>
      <c r="E2569" s="34"/>
      <c r="F2569" s="35">
        <f t="shared" si="2145"/>
        <v>0</v>
      </c>
      <c r="G2569" s="26"/>
      <c r="H2569" s="47">
        <v>1</v>
      </c>
      <c r="I2569" s="27"/>
      <c r="J2569" s="34">
        <v>1</v>
      </c>
      <c r="K2569" s="35">
        <f t="shared" si="2146"/>
        <v>2</v>
      </c>
      <c r="L2569" s="11">
        <f t="shared" si="2138"/>
        <v>2</v>
      </c>
      <c r="M2569" s="126">
        <v>46118</v>
      </c>
      <c r="N2569" s="12" t="s">
        <v>2127</v>
      </c>
      <c r="O2569" s="26">
        <v>8</v>
      </c>
      <c r="P2569" s="47">
        <v>10</v>
      </c>
      <c r="Q2569" s="27"/>
      <c r="R2569" s="34">
        <v>4</v>
      </c>
      <c r="S2569" s="35">
        <f t="shared" si="2149"/>
        <v>22</v>
      </c>
      <c r="T2569" s="26"/>
      <c r="U2569" s="47"/>
      <c r="V2569" s="27"/>
      <c r="W2569" s="34"/>
      <c r="X2569" s="35">
        <f t="shared" si="2150"/>
        <v>0</v>
      </c>
      <c r="Y2569" s="11">
        <f t="shared" si="2141"/>
        <v>22</v>
      </c>
      <c r="Z2569" s="99">
        <v>46115</v>
      </c>
    </row>
    <row r="2570" spans="1:28" x14ac:dyDescent="0.15">
      <c r="A2570" s="13" t="s">
        <v>1815</v>
      </c>
      <c r="B2570" s="26"/>
      <c r="C2570" s="47">
        <v>1</v>
      </c>
      <c r="D2570" s="27">
        <v>1</v>
      </c>
      <c r="E2570" s="34"/>
      <c r="F2570" s="35">
        <f t="shared" si="2145"/>
        <v>2</v>
      </c>
      <c r="G2570" s="26"/>
      <c r="H2570" s="47">
        <v>1</v>
      </c>
      <c r="I2570" s="27">
        <v>1</v>
      </c>
      <c r="J2570" s="34"/>
      <c r="K2570" s="35">
        <f t="shared" si="2146"/>
        <v>2</v>
      </c>
      <c r="L2570" s="11">
        <f t="shared" si="2138"/>
        <v>4</v>
      </c>
      <c r="M2570" s="99">
        <v>46121</v>
      </c>
      <c r="N2570" s="153" t="s">
        <v>2128</v>
      </c>
      <c r="O2570" s="26">
        <v>9</v>
      </c>
      <c r="P2570" s="47">
        <v>15</v>
      </c>
      <c r="Q2570" s="27"/>
      <c r="R2570" s="34">
        <v>6</v>
      </c>
      <c r="S2570" s="35">
        <f t="shared" ref="S2570:S2574" si="2151">SUM(O2570:R2570)</f>
        <v>30</v>
      </c>
      <c r="T2570" s="26">
        <v>5</v>
      </c>
      <c r="U2570" s="47">
        <v>1</v>
      </c>
      <c r="V2570" s="27"/>
      <c r="W2570" s="34">
        <v>1</v>
      </c>
      <c r="X2570" s="35">
        <f t="shared" ref="X2570:X2574" si="2152">SUM(T2570:W2570)</f>
        <v>7</v>
      </c>
      <c r="Y2570" s="11">
        <f t="shared" ref="Y2570:Y2574" si="2153">S2570+X2570</f>
        <v>37</v>
      </c>
      <c r="Z2570" s="99">
        <v>46114</v>
      </c>
    </row>
    <row r="2571" spans="1:28" x14ac:dyDescent="0.15">
      <c r="A2571" s="13" t="s">
        <v>41</v>
      </c>
      <c r="B2571" s="26"/>
      <c r="C2571" s="47"/>
      <c r="D2571" s="27"/>
      <c r="E2571" s="34"/>
      <c r="F2571" s="35">
        <f t="shared" si="2145"/>
        <v>0</v>
      </c>
      <c r="G2571" s="26"/>
      <c r="H2571" s="47"/>
      <c r="I2571" s="27">
        <v>2</v>
      </c>
      <c r="J2571" s="34"/>
      <c r="K2571" s="35">
        <f t="shared" si="2146"/>
        <v>2</v>
      </c>
      <c r="L2571" s="11">
        <f t="shared" si="2138"/>
        <v>2</v>
      </c>
      <c r="M2571" s="99">
        <v>46119</v>
      </c>
      <c r="N2571" s="12" t="s">
        <v>1987</v>
      </c>
      <c r="O2571" s="26">
        <v>3</v>
      </c>
      <c r="P2571" s="47"/>
      <c r="Q2571" s="27"/>
      <c r="R2571" s="34"/>
      <c r="S2571" s="35">
        <f>SUM(P2571:R2571)</f>
        <v>0</v>
      </c>
      <c r="T2571" s="26"/>
      <c r="U2571" s="47"/>
      <c r="V2571" s="27"/>
      <c r="W2571" s="34"/>
      <c r="X2571" s="35">
        <f t="shared" si="2152"/>
        <v>0</v>
      </c>
      <c r="Y2571" s="11">
        <f t="shared" si="2153"/>
        <v>0</v>
      </c>
      <c r="Z2571" s="99">
        <v>46114</v>
      </c>
    </row>
    <row r="2572" spans="1:28" x14ac:dyDescent="0.15">
      <c r="A2572" s="13" t="s">
        <v>41</v>
      </c>
      <c r="B2572" s="26">
        <v>1</v>
      </c>
      <c r="C2572" s="47"/>
      <c r="D2572" s="27"/>
      <c r="E2572" s="34"/>
      <c r="F2572" s="35">
        <f t="shared" si="2145"/>
        <v>1</v>
      </c>
      <c r="G2572" s="26">
        <v>1</v>
      </c>
      <c r="H2572" s="47"/>
      <c r="I2572" s="27"/>
      <c r="J2572" s="34"/>
      <c r="K2572" s="35">
        <f t="shared" si="2146"/>
        <v>1</v>
      </c>
      <c r="L2572" s="11">
        <f t="shared" si="2138"/>
        <v>2</v>
      </c>
      <c r="M2572" s="126">
        <v>46120</v>
      </c>
      <c r="N2572" s="12" t="s">
        <v>2131</v>
      </c>
      <c r="O2572" s="26"/>
      <c r="P2572" s="47"/>
      <c r="Q2572" s="27"/>
      <c r="R2572" s="34">
        <v>5</v>
      </c>
      <c r="S2572" s="35">
        <f t="shared" si="2151"/>
        <v>5</v>
      </c>
      <c r="T2572" s="26"/>
      <c r="U2572" s="47"/>
      <c r="V2572" s="27"/>
      <c r="W2572" s="34">
        <v>10</v>
      </c>
      <c r="X2572" s="35">
        <f t="shared" si="2152"/>
        <v>10</v>
      </c>
      <c r="Y2572" s="11">
        <f t="shared" si="2153"/>
        <v>15</v>
      </c>
      <c r="Z2572" s="99">
        <v>46120</v>
      </c>
    </row>
    <row r="2573" spans="1:28" x14ac:dyDescent="0.15">
      <c r="A2573" s="15" t="s">
        <v>2142</v>
      </c>
      <c r="B2573" s="26">
        <v>-11</v>
      </c>
      <c r="C2573" s="47">
        <v>-5</v>
      </c>
      <c r="D2573" s="27">
        <v>-3</v>
      </c>
      <c r="E2573" s="34"/>
      <c r="F2573" s="35">
        <f t="shared" si="2145"/>
        <v>-19</v>
      </c>
      <c r="G2573" s="26">
        <v>-1</v>
      </c>
      <c r="H2573" s="47">
        <v>-4</v>
      </c>
      <c r="I2573" s="27"/>
      <c r="J2573" s="34"/>
      <c r="K2573" s="35">
        <f t="shared" si="2146"/>
        <v>-5</v>
      </c>
      <c r="L2573" s="11">
        <f t="shared" si="2138"/>
        <v>-24</v>
      </c>
      <c r="M2573" s="126">
        <v>46119</v>
      </c>
      <c r="N2573" s="173" t="s">
        <v>2132</v>
      </c>
      <c r="O2573" s="26">
        <v>9</v>
      </c>
      <c r="P2573" s="47">
        <v>43</v>
      </c>
      <c r="Q2573" s="27">
        <v>21</v>
      </c>
      <c r="R2573" s="34">
        <v>13</v>
      </c>
      <c r="S2573" s="35">
        <f t="shared" si="2151"/>
        <v>86</v>
      </c>
      <c r="T2573" s="26">
        <v>12</v>
      </c>
      <c r="U2573" s="47">
        <v>15</v>
      </c>
      <c r="V2573" s="27">
        <v>9</v>
      </c>
      <c r="W2573" s="34">
        <v>5</v>
      </c>
      <c r="X2573" s="35">
        <f t="shared" si="2152"/>
        <v>41</v>
      </c>
      <c r="Y2573" s="11">
        <f t="shared" si="2153"/>
        <v>127</v>
      </c>
      <c r="Z2573" s="99">
        <v>46115</v>
      </c>
    </row>
    <row r="2574" spans="1:28" x14ac:dyDescent="0.15">
      <c r="A2574" s="13" t="s">
        <v>41</v>
      </c>
      <c r="B2574" s="26"/>
      <c r="C2574" s="47"/>
      <c r="D2574" s="27"/>
      <c r="E2574" s="34"/>
      <c r="F2574" s="35">
        <f t="shared" si="2145"/>
        <v>0</v>
      </c>
      <c r="G2574" s="26"/>
      <c r="H2574" s="47">
        <v>3</v>
      </c>
      <c r="I2574" s="27"/>
      <c r="J2574" s="34"/>
      <c r="K2574" s="35">
        <f t="shared" si="2146"/>
        <v>3</v>
      </c>
      <c r="L2574" s="11">
        <f t="shared" si="2138"/>
        <v>3</v>
      </c>
      <c r="M2574" s="126">
        <v>46122</v>
      </c>
      <c r="N2574" s="12" t="s">
        <v>2134</v>
      </c>
      <c r="O2574" s="26"/>
      <c r="P2574" s="47"/>
      <c r="Q2574" s="27">
        <v>10</v>
      </c>
      <c r="R2574" s="34"/>
      <c r="S2574" s="35">
        <f t="shared" si="2151"/>
        <v>10</v>
      </c>
      <c r="T2574" s="26"/>
      <c r="U2574" s="47"/>
      <c r="V2574" s="27"/>
      <c r="W2574" s="34">
        <v>5</v>
      </c>
      <c r="X2574" s="35">
        <f t="shared" si="2152"/>
        <v>5</v>
      </c>
      <c r="Y2574" s="11">
        <f t="shared" si="2153"/>
        <v>15</v>
      </c>
      <c r="Z2574" s="99">
        <v>46115</v>
      </c>
    </row>
    <row r="2575" spans="1:28" x14ac:dyDescent="0.15">
      <c r="A2575" s="13" t="s">
        <v>41</v>
      </c>
      <c r="B2575" s="26"/>
      <c r="C2575" s="47">
        <v>1</v>
      </c>
      <c r="D2575" s="27"/>
      <c r="E2575" s="34">
        <v>1</v>
      </c>
      <c r="F2575" s="35">
        <f t="shared" si="2145"/>
        <v>2</v>
      </c>
      <c r="G2575" s="26"/>
      <c r="H2575" s="47">
        <v>1</v>
      </c>
      <c r="I2575" s="27"/>
      <c r="J2575" s="34">
        <v>1</v>
      </c>
      <c r="K2575" s="35">
        <f t="shared" si="2146"/>
        <v>2</v>
      </c>
      <c r="L2575" s="11">
        <f t="shared" si="2138"/>
        <v>4</v>
      </c>
      <c r="M2575" s="126">
        <v>46125</v>
      </c>
      <c r="N2575" s="57"/>
      <c r="O2575" s="26"/>
      <c r="P2575" s="47"/>
      <c r="Q2575" s="27"/>
      <c r="R2575" s="34"/>
      <c r="S2575" s="35">
        <f t="shared" ref="S2575" si="2154">SUM(O2575:R2575)</f>
        <v>0</v>
      </c>
      <c r="T2575" s="26"/>
      <c r="U2575" s="47"/>
      <c r="V2575" s="27"/>
      <c r="W2575" s="34"/>
      <c r="X2575" s="35">
        <f t="shared" ref="X2575" si="2155">SUM(T2575:W2575)</f>
        <v>0</v>
      </c>
      <c r="Y2575" s="11">
        <f t="shared" ref="Y2575" si="2156">S2575+X2575</f>
        <v>0</v>
      </c>
      <c r="Z2575" s="101"/>
    </row>
    <row r="2576" spans="1:28" x14ac:dyDescent="0.15">
      <c r="A2576" s="334" t="s">
        <v>62</v>
      </c>
      <c r="B2576" s="295"/>
      <c r="C2576" s="296"/>
      <c r="D2576" s="297"/>
      <c r="E2576" s="306"/>
      <c r="F2576" s="307">
        <f t="shared" si="2145"/>
        <v>0</v>
      </c>
      <c r="G2576" s="295"/>
      <c r="H2576" s="296">
        <v>-3</v>
      </c>
      <c r="I2576" s="297">
        <v>-3</v>
      </c>
      <c r="J2576" s="306"/>
      <c r="K2576" s="307">
        <f t="shared" si="2146"/>
        <v>-6</v>
      </c>
      <c r="L2576" s="300">
        <f t="shared" si="2138"/>
        <v>-6</v>
      </c>
      <c r="M2576" s="301">
        <v>46126</v>
      </c>
      <c r="N2576" s="12" t="s">
        <v>2087</v>
      </c>
      <c r="O2576" s="26"/>
      <c r="P2576" s="47"/>
      <c r="Q2576" s="27"/>
      <c r="R2576" s="34"/>
      <c r="S2576" s="35">
        <f t="shared" si="2149"/>
        <v>0</v>
      </c>
      <c r="T2576" s="26"/>
      <c r="U2576" s="47"/>
      <c r="V2576" s="27"/>
      <c r="W2576" s="34"/>
      <c r="X2576" s="35">
        <f t="shared" si="2150"/>
        <v>0</v>
      </c>
      <c r="Y2576" s="108">
        <f t="shared" si="2141"/>
        <v>0</v>
      </c>
      <c r="Z2576" s="101" t="s">
        <v>85</v>
      </c>
    </row>
    <row r="2577" spans="1:27" x14ac:dyDescent="0.15">
      <c r="A2577" s="12" t="s">
        <v>41</v>
      </c>
      <c r="B2577" s="26"/>
      <c r="C2577" s="47"/>
      <c r="D2577" s="27"/>
      <c r="E2577" s="34"/>
      <c r="F2577" s="35">
        <f t="shared" si="2145"/>
        <v>0</v>
      </c>
      <c r="G2577" s="26">
        <v>1</v>
      </c>
      <c r="H2577" s="47"/>
      <c r="I2577" s="27"/>
      <c r="J2577" s="34"/>
      <c r="K2577" s="35">
        <f t="shared" si="2146"/>
        <v>1</v>
      </c>
      <c r="L2577" s="11">
        <f t="shared" si="2138"/>
        <v>1</v>
      </c>
      <c r="M2577" s="126">
        <v>46126</v>
      </c>
      <c r="N2577" s="12" t="s">
        <v>494</v>
      </c>
      <c r="O2577" s="26"/>
      <c r="P2577" s="47"/>
      <c r="Q2577" s="27"/>
      <c r="R2577" s="34"/>
      <c r="S2577" s="35">
        <f t="shared" si="2149"/>
        <v>0</v>
      </c>
      <c r="T2577" s="26"/>
      <c r="U2577" s="47"/>
      <c r="V2577" s="27"/>
      <c r="W2577" s="34"/>
      <c r="X2577" s="35">
        <f t="shared" si="2150"/>
        <v>0</v>
      </c>
      <c r="Y2577" s="108">
        <f t="shared" si="2141"/>
        <v>0</v>
      </c>
      <c r="Z2577" s="101" t="s">
        <v>495</v>
      </c>
    </row>
    <row r="2578" spans="1:27" x14ac:dyDescent="0.15">
      <c r="A2578" s="79"/>
      <c r="B2578" s="26"/>
      <c r="C2578" s="47"/>
      <c r="D2578" s="27"/>
      <c r="E2578" s="34"/>
      <c r="F2578" s="35">
        <f t="shared" si="2145"/>
        <v>0</v>
      </c>
      <c r="G2578" s="26"/>
      <c r="H2578" s="47"/>
      <c r="I2578" s="27"/>
      <c r="J2578" s="34"/>
      <c r="K2578" s="35">
        <f t="shared" si="2146"/>
        <v>0</v>
      </c>
      <c r="L2578" s="11">
        <f t="shared" si="2138"/>
        <v>0</v>
      </c>
      <c r="N2578" s="153" t="s">
        <v>2095</v>
      </c>
      <c r="O2578" s="154"/>
      <c r="P2578" s="155"/>
      <c r="Q2578" s="156"/>
      <c r="R2578" s="157"/>
      <c r="S2578" s="158">
        <f t="shared" si="2149"/>
        <v>0</v>
      </c>
      <c r="T2578" s="154"/>
      <c r="U2578" s="155"/>
      <c r="V2578" s="156"/>
      <c r="W2578" s="157"/>
      <c r="X2578" s="158">
        <f t="shared" si="2150"/>
        <v>0</v>
      </c>
      <c r="Y2578" s="159">
        <f t="shared" si="2141"/>
        <v>0</v>
      </c>
      <c r="Z2578" s="160" t="s">
        <v>2096</v>
      </c>
    </row>
    <row r="2579" spans="1:27" x14ac:dyDescent="0.15">
      <c r="A2579" s="57"/>
      <c r="B2579" s="26"/>
      <c r="C2579" s="47"/>
      <c r="D2579" s="27"/>
      <c r="E2579" s="34"/>
      <c r="F2579" s="35">
        <f t="shared" si="2145"/>
        <v>0</v>
      </c>
      <c r="G2579" s="26"/>
      <c r="H2579" s="47"/>
      <c r="I2579" s="27"/>
      <c r="J2579" s="34"/>
      <c r="K2579" s="35">
        <f t="shared" si="2146"/>
        <v>0</v>
      </c>
      <c r="L2579" s="11">
        <f t="shared" si="2138"/>
        <v>0</v>
      </c>
      <c r="N2579" s="173" t="s">
        <v>2029</v>
      </c>
      <c r="O2579" s="154"/>
      <c r="P2579" s="155"/>
      <c r="Q2579" s="156"/>
      <c r="R2579" s="157"/>
      <c r="S2579" s="158">
        <f t="shared" si="2149"/>
        <v>0</v>
      </c>
      <c r="T2579" s="154"/>
      <c r="U2579" s="155"/>
      <c r="V2579" s="156"/>
      <c r="W2579" s="157"/>
      <c r="X2579" s="158">
        <f t="shared" si="2150"/>
        <v>0</v>
      </c>
      <c r="Y2579" s="179">
        <f t="shared" si="2141"/>
        <v>0</v>
      </c>
      <c r="Z2579" s="101"/>
    </row>
    <row r="2580" spans="1:27" ht="14.25" thickBot="1" x14ac:dyDescent="0.2">
      <c r="A2580" s="57"/>
      <c r="B2580" s="26"/>
      <c r="C2580" s="47"/>
      <c r="D2580" s="27"/>
      <c r="E2580" s="34"/>
      <c r="F2580" s="35">
        <f t="shared" ref="F2580" si="2157">SUM(B2580:E2580)</f>
        <v>0</v>
      </c>
      <c r="G2580" s="26"/>
      <c r="H2580" s="47"/>
      <c r="I2580" s="27"/>
      <c r="J2580" s="34"/>
      <c r="K2580" s="35">
        <f t="shared" ref="K2580" si="2158">SUM(G2580:J2580)</f>
        <v>0</v>
      </c>
      <c r="L2580" s="11">
        <f t="shared" ref="L2580" si="2159">F2580+K2580</f>
        <v>0</v>
      </c>
      <c r="N2580" s="135" t="s">
        <v>2030</v>
      </c>
      <c r="O2580" s="62"/>
      <c r="P2580" s="63"/>
      <c r="Q2580" s="64"/>
      <c r="R2580" s="65"/>
      <c r="S2580" s="120">
        <f t="shared" si="2149"/>
        <v>0</v>
      </c>
      <c r="T2580" s="62"/>
      <c r="U2580" s="63"/>
      <c r="V2580" s="64"/>
      <c r="W2580" s="65"/>
      <c r="X2580" s="120">
        <f t="shared" si="2150"/>
        <v>0</v>
      </c>
      <c r="Y2580" s="121">
        <f t="shared" si="2141"/>
        <v>0</v>
      </c>
      <c r="Z2580" s="101" t="s">
        <v>2031</v>
      </c>
    </row>
    <row r="2581" spans="1:27" ht="14.25" thickBot="1" x14ac:dyDescent="0.2">
      <c r="A2581" s="133" t="s">
        <v>10</v>
      </c>
      <c r="B2581" s="38">
        <f>SUM(B2556:B2580)</f>
        <v>-4</v>
      </c>
      <c r="C2581" s="48">
        <f>SUM(C2556:C2580)</f>
        <v>9</v>
      </c>
      <c r="D2581" s="39">
        <f>SUM(D2556:D2580)</f>
        <v>0</v>
      </c>
      <c r="E2581" s="40">
        <f>SUM(E2556:E2580)</f>
        <v>7</v>
      </c>
      <c r="F2581" s="118">
        <f>SUM(B2581:E2581)</f>
        <v>12</v>
      </c>
      <c r="G2581" s="38">
        <f>SUM(G2556:G2580)</f>
        <v>3</v>
      </c>
      <c r="H2581" s="48">
        <f>SUM(H2556:H2580)</f>
        <v>12</v>
      </c>
      <c r="I2581" s="39">
        <f>SUM(I2556:I2580)</f>
        <v>1</v>
      </c>
      <c r="J2581" s="40">
        <f>SUM(J2556:J2580)</f>
        <v>5</v>
      </c>
      <c r="K2581" s="118">
        <f>SUM(G2581:J2581)</f>
        <v>21</v>
      </c>
      <c r="L2581" s="119">
        <f t="shared" si="2138"/>
        <v>33</v>
      </c>
      <c r="N2581" s="133" t="s">
        <v>10</v>
      </c>
      <c r="O2581" s="38">
        <f>SUM(O2556:O2580)</f>
        <v>177</v>
      </c>
      <c r="P2581" s="48">
        <f>SUM(P2556:P2580)</f>
        <v>207</v>
      </c>
      <c r="Q2581" s="39">
        <f>SUM(Q2556:Q2580)</f>
        <v>81</v>
      </c>
      <c r="R2581" s="40">
        <f>SUM(R2556:R2580)</f>
        <v>75</v>
      </c>
      <c r="S2581" s="118">
        <f t="shared" si="2149"/>
        <v>540</v>
      </c>
      <c r="T2581" s="38">
        <f>SUM(T2556:T2580)</f>
        <v>43</v>
      </c>
      <c r="U2581" s="48">
        <f>SUM(U2556:U2580)</f>
        <v>54</v>
      </c>
      <c r="V2581" s="39">
        <f>SUM(V2556:V2580)</f>
        <v>24</v>
      </c>
      <c r="W2581" s="40">
        <f>SUM(W2556:W2580)</f>
        <v>40</v>
      </c>
      <c r="X2581" s="118">
        <f t="shared" si="2150"/>
        <v>161</v>
      </c>
      <c r="Y2581" s="119">
        <f t="shared" si="2141"/>
        <v>701</v>
      </c>
    </row>
    <row r="2582" spans="1:27" ht="14.25" thickBot="1" x14ac:dyDescent="0.2">
      <c r="A2582" s="22" t="s">
        <v>11</v>
      </c>
      <c r="B2582" s="41">
        <f>B2555-B2581</f>
        <v>16</v>
      </c>
      <c r="C2582" s="49">
        <f>C2555-C2581</f>
        <v>10</v>
      </c>
      <c r="D2582" s="42">
        <f t="shared" ref="D2582:K2582" si="2160">D2555-D2581</f>
        <v>10</v>
      </c>
      <c r="E2582" s="43">
        <f t="shared" si="2160"/>
        <v>6</v>
      </c>
      <c r="F2582" s="61">
        <f t="shared" si="2160"/>
        <v>38</v>
      </c>
      <c r="G2582" s="41">
        <f t="shared" si="2160"/>
        <v>6</v>
      </c>
      <c r="H2582" s="49">
        <f t="shared" si="2160"/>
        <v>5</v>
      </c>
      <c r="I2582" s="42">
        <f t="shared" si="2160"/>
        <v>8</v>
      </c>
      <c r="J2582" s="43">
        <f t="shared" si="2160"/>
        <v>6</v>
      </c>
      <c r="K2582" s="61">
        <f t="shared" si="2160"/>
        <v>25</v>
      </c>
      <c r="L2582" s="21">
        <f t="shared" si="2138"/>
        <v>63</v>
      </c>
      <c r="N2582" s="17" t="s">
        <v>11</v>
      </c>
      <c r="O2582" s="41">
        <f>O2555-O2581</f>
        <v>550</v>
      </c>
      <c r="P2582" s="49">
        <f t="shared" ref="P2582:Q2582" si="2161">P2555-P2581</f>
        <v>655</v>
      </c>
      <c r="Q2582" s="42">
        <f t="shared" si="2161"/>
        <v>505</v>
      </c>
      <c r="R2582" s="43">
        <f>R2555-R2581</f>
        <v>378</v>
      </c>
      <c r="S2582" s="61">
        <f t="shared" ref="S2582:X2582" si="2162">S2555-S2581</f>
        <v>2088</v>
      </c>
      <c r="T2582" s="41">
        <f t="shared" si="2162"/>
        <v>479</v>
      </c>
      <c r="U2582" s="49">
        <f t="shared" si="2162"/>
        <v>451</v>
      </c>
      <c r="V2582" s="42">
        <f t="shared" si="2162"/>
        <v>395</v>
      </c>
      <c r="W2582" s="43">
        <f t="shared" si="2162"/>
        <v>239</v>
      </c>
      <c r="X2582" s="61">
        <f t="shared" si="2162"/>
        <v>1564</v>
      </c>
      <c r="Y2582" s="21">
        <f t="shared" si="2141"/>
        <v>3652</v>
      </c>
      <c r="Z2582" s="195" t="s">
        <v>2097</v>
      </c>
    </row>
    <row r="2583" spans="1:27" x14ac:dyDescent="0.15">
      <c r="N2583" s="329"/>
      <c r="O2583" s="330"/>
      <c r="P2583" s="331"/>
      <c r="Q2583" s="266"/>
      <c r="R2583" s="332"/>
      <c r="S2583" s="266"/>
      <c r="T2583" s="330"/>
      <c r="U2583" s="331"/>
      <c r="V2583" s="333"/>
      <c r="W2583" s="332"/>
      <c r="X2583" s="266"/>
      <c r="Y2583" s="215"/>
    </row>
    <row r="2584" spans="1:27" x14ac:dyDescent="0.15">
      <c r="N2584" s="329"/>
      <c r="O2584" s="330"/>
      <c r="P2584" s="331"/>
      <c r="Q2584" s="266"/>
      <c r="R2584" s="332"/>
      <c r="S2584" s="266"/>
      <c r="T2584" s="330"/>
      <c r="U2584" s="331"/>
      <c r="V2584" s="333"/>
      <c r="W2584" s="332"/>
      <c r="X2584" s="266"/>
    </row>
    <row r="2585" spans="1:27" ht="19.5" thickBot="1" x14ac:dyDescent="0.25">
      <c r="A2585" s="2" t="s">
        <v>106</v>
      </c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N2585" s="2" t="s">
        <v>1036</v>
      </c>
      <c r="O2585" s="270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7" ht="14.25" thickBot="1" x14ac:dyDescent="0.2">
      <c r="A2586" s="5" t="s">
        <v>0</v>
      </c>
      <c r="B2586" s="342" t="s">
        <v>18</v>
      </c>
      <c r="C2586" s="350"/>
      <c r="D2586" s="350"/>
      <c r="E2586" s="350"/>
      <c r="F2586" s="351"/>
      <c r="G2586" s="345" t="s">
        <v>12</v>
      </c>
      <c r="H2586" s="352"/>
      <c r="I2586" s="352"/>
      <c r="J2586" s="352"/>
      <c r="K2586" s="353"/>
      <c r="L2586" s="354" t="s">
        <v>1</v>
      </c>
      <c r="N2586" s="5" t="s">
        <v>0</v>
      </c>
      <c r="O2586" s="342" t="s">
        <v>18</v>
      </c>
      <c r="P2586" s="343"/>
      <c r="Q2586" s="343"/>
      <c r="R2586" s="343"/>
      <c r="S2586" s="344"/>
      <c r="T2586" s="345" t="s">
        <v>12</v>
      </c>
      <c r="U2586" s="346"/>
      <c r="V2586" s="346"/>
      <c r="W2586" s="346"/>
      <c r="X2586" s="347"/>
      <c r="Y2586" s="348" t="s">
        <v>1</v>
      </c>
    </row>
    <row r="2587" spans="1:27" ht="14.25" thickBot="1" x14ac:dyDescent="0.2">
      <c r="A2587" s="5" t="s">
        <v>2</v>
      </c>
      <c r="B2587" s="3" t="s">
        <v>13</v>
      </c>
      <c r="C2587" s="44" t="s">
        <v>14</v>
      </c>
      <c r="D2587" s="4" t="s">
        <v>15</v>
      </c>
      <c r="E2587" s="23" t="s">
        <v>16</v>
      </c>
      <c r="F2587" s="31" t="s">
        <v>3</v>
      </c>
      <c r="G2587" s="3" t="s">
        <v>13</v>
      </c>
      <c r="H2587" s="44" t="s">
        <v>14</v>
      </c>
      <c r="I2587" s="4" t="s">
        <v>15</v>
      </c>
      <c r="J2587" s="23" t="s">
        <v>16</v>
      </c>
      <c r="K2587" s="31" t="s">
        <v>3</v>
      </c>
      <c r="L2587" s="355"/>
      <c r="N2587" s="5" t="s">
        <v>2</v>
      </c>
      <c r="O2587" s="3" t="s">
        <v>13</v>
      </c>
      <c r="P2587" s="44" t="s">
        <v>14</v>
      </c>
      <c r="Q2587" s="4" t="s">
        <v>15</v>
      </c>
      <c r="R2587" s="23" t="s">
        <v>16</v>
      </c>
      <c r="S2587" s="31" t="s">
        <v>3</v>
      </c>
      <c r="T2587" s="3" t="s">
        <v>13</v>
      </c>
      <c r="U2587" s="44" t="s">
        <v>14</v>
      </c>
      <c r="V2587" s="4" t="s">
        <v>15</v>
      </c>
      <c r="W2587" s="23" t="s">
        <v>16</v>
      </c>
      <c r="X2587" s="31" t="s">
        <v>3</v>
      </c>
      <c r="Y2587" s="349"/>
    </row>
    <row r="2588" spans="1:27" x14ac:dyDescent="0.15">
      <c r="A2588" s="71" t="s">
        <v>17</v>
      </c>
      <c r="B2588" s="72">
        <f>B2582</f>
        <v>16</v>
      </c>
      <c r="C2588" s="73">
        <f t="shared" ref="C2588:L2588" si="2163">C2582</f>
        <v>10</v>
      </c>
      <c r="D2588" s="73">
        <f t="shared" si="2163"/>
        <v>10</v>
      </c>
      <c r="E2588" s="74">
        <f t="shared" si="2163"/>
        <v>6</v>
      </c>
      <c r="F2588" s="76">
        <f t="shared" si="2163"/>
        <v>38</v>
      </c>
      <c r="G2588" s="72">
        <f t="shared" si="2163"/>
        <v>6</v>
      </c>
      <c r="H2588" s="73">
        <f t="shared" si="2163"/>
        <v>5</v>
      </c>
      <c r="I2588" s="73">
        <f t="shared" si="2163"/>
        <v>8</v>
      </c>
      <c r="J2588" s="74">
        <f t="shared" si="2163"/>
        <v>6</v>
      </c>
      <c r="K2588" s="75">
        <f t="shared" si="2163"/>
        <v>25</v>
      </c>
      <c r="L2588" s="16">
        <f t="shared" si="2163"/>
        <v>63</v>
      </c>
      <c r="N2588" s="71" t="s">
        <v>17</v>
      </c>
      <c r="O2588" s="72">
        <f>O2582</f>
        <v>550</v>
      </c>
      <c r="P2588" s="73">
        <f t="shared" ref="P2588:Y2588" si="2164">P2582</f>
        <v>655</v>
      </c>
      <c r="Q2588" s="73">
        <f t="shared" si="2164"/>
        <v>505</v>
      </c>
      <c r="R2588" s="74">
        <f t="shared" si="2164"/>
        <v>378</v>
      </c>
      <c r="S2588" s="76">
        <f t="shared" si="2164"/>
        <v>2088</v>
      </c>
      <c r="T2588" s="72">
        <f t="shared" si="2164"/>
        <v>479</v>
      </c>
      <c r="U2588" s="73">
        <f t="shared" si="2164"/>
        <v>451</v>
      </c>
      <c r="V2588" s="73">
        <f t="shared" si="2164"/>
        <v>395</v>
      </c>
      <c r="W2588" s="74">
        <f t="shared" si="2164"/>
        <v>239</v>
      </c>
      <c r="X2588" s="75">
        <f t="shared" si="2164"/>
        <v>1564</v>
      </c>
      <c r="Y2588" s="16">
        <f t="shared" si="2164"/>
        <v>3652</v>
      </c>
    </row>
    <row r="2589" spans="1:27" x14ac:dyDescent="0.15">
      <c r="A2589" s="13" t="s">
        <v>166</v>
      </c>
      <c r="B2589" s="26">
        <v>2</v>
      </c>
      <c r="C2589" s="47">
        <v>6</v>
      </c>
      <c r="D2589" s="27">
        <v>3</v>
      </c>
      <c r="E2589" s="50">
        <v>3</v>
      </c>
      <c r="F2589" s="9">
        <f t="shared" ref="F2589:F2590" si="2165">SUM(B2589:E2589)</f>
        <v>14</v>
      </c>
      <c r="G2589" s="47">
        <v>2</v>
      </c>
      <c r="H2589" s="47">
        <v>2</v>
      </c>
      <c r="I2589" s="27">
        <v>2</v>
      </c>
      <c r="J2589" s="50">
        <v>2</v>
      </c>
      <c r="K2589" s="9">
        <f t="shared" ref="K2589:K2590" si="2166">SUM(G2589:J2589)</f>
        <v>8</v>
      </c>
      <c r="L2589" s="11">
        <f t="shared" ref="L2589:L2620" si="2167">F2589+K2589</f>
        <v>22</v>
      </c>
      <c r="M2589" s="126">
        <v>46129</v>
      </c>
      <c r="N2589" s="13" t="s">
        <v>305</v>
      </c>
      <c r="O2589" s="26">
        <v>2</v>
      </c>
      <c r="P2589" s="47">
        <v>6</v>
      </c>
      <c r="Q2589" s="27">
        <v>3</v>
      </c>
      <c r="R2589" s="34">
        <v>3</v>
      </c>
      <c r="S2589" s="77">
        <f t="shared" ref="S2589:S2592" si="2168">SUM(O2589:R2589)</f>
        <v>14</v>
      </c>
      <c r="T2589" s="26">
        <v>2</v>
      </c>
      <c r="U2589" s="47">
        <v>2</v>
      </c>
      <c r="V2589" s="27">
        <v>2</v>
      </c>
      <c r="W2589" s="34">
        <v>2</v>
      </c>
      <c r="X2589" s="9">
        <f t="shared" ref="X2589:X2592" si="2169">SUM(T2589:W2589)</f>
        <v>8</v>
      </c>
      <c r="Y2589" s="11">
        <f t="shared" ref="Y2589:Y2620" si="2170">S2589+X2589</f>
        <v>22</v>
      </c>
      <c r="Z2589" s="126">
        <v>46130</v>
      </c>
    </row>
    <row r="2590" spans="1:27" x14ac:dyDescent="0.15">
      <c r="A2590" s="13" t="s">
        <v>1414</v>
      </c>
      <c r="B2590" s="26"/>
      <c r="C2590" s="47">
        <v>-1</v>
      </c>
      <c r="D2590" s="27"/>
      <c r="E2590" s="50"/>
      <c r="F2590" s="9">
        <f t="shared" si="2165"/>
        <v>-1</v>
      </c>
      <c r="G2590" s="47"/>
      <c r="H2590" s="47">
        <v>-1</v>
      </c>
      <c r="I2590" s="27"/>
      <c r="J2590" s="50"/>
      <c r="K2590" s="9">
        <f t="shared" si="2166"/>
        <v>-1</v>
      </c>
      <c r="L2590" s="11">
        <f t="shared" si="2167"/>
        <v>-2</v>
      </c>
      <c r="M2590" s="126">
        <v>46128</v>
      </c>
      <c r="N2590" s="13" t="s">
        <v>166</v>
      </c>
      <c r="O2590" s="26">
        <v>1</v>
      </c>
      <c r="P2590" s="47"/>
      <c r="Q2590" s="27">
        <v>13</v>
      </c>
      <c r="R2590" s="34">
        <v>6</v>
      </c>
      <c r="S2590" s="77">
        <f t="shared" ref="S2590" si="2171">SUM(O2590:R2590)</f>
        <v>20</v>
      </c>
      <c r="T2590" s="26">
        <v>6</v>
      </c>
      <c r="U2590" s="47">
        <v>20</v>
      </c>
      <c r="V2590" s="27">
        <v>7</v>
      </c>
      <c r="W2590" s="34">
        <v>14</v>
      </c>
      <c r="X2590" s="9">
        <f t="shared" ref="X2590" si="2172">SUM(T2590:W2590)</f>
        <v>47</v>
      </c>
      <c r="Y2590" s="11">
        <f t="shared" ref="Y2590" si="2173">S2590+X2590</f>
        <v>67</v>
      </c>
      <c r="Z2590" s="99">
        <v>46129</v>
      </c>
      <c r="AA2590" s="58"/>
    </row>
    <row r="2591" spans="1:27" x14ac:dyDescent="0.15">
      <c r="A2591" s="13" t="s">
        <v>49</v>
      </c>
      <c r="B2591" s="26">
        <v>9</v>
      </c>
      <c r="C2591" s="47">
        <v>12</v>
      </c>
      <c r="D2591" s="27">
        <v>4</v>
      </c>
      <c r="E2591" s="50"/>
      <c r="F2591" s="9">
        <f>SUM(B2591:E2591)</f>
        <v>25</v>
      </c>
      <c r="G2591" s="47">
        <v>2</v>
      </c>
      <c r="H2591" s="47">
        <v>1</v>
      </c>
      <c r="I2591" s="27"/>
      <c r="J2591" s="50">
        <v>1</v>
      </c>
      <c r="K2591" s="9">
        <f>SUM(G2591:J2591)</f>
        <v>4</v>
      </c>
      <c r="L2591" s="11">
        <f t="shared" si="2167"/>
        <v>29</v>
      </c>
      <c r="M2591" s="126">
        <v>46133</v>
      </c>
      <c r="N2591" s="13" t="s">
        <v>7</v>
      </c>
      <c r="O2591" s="26"/>
      <c r="P2591" s="47"/>
      <c r="Q2591" s="27"/>
      <c r="R2591" s="34"/>
      <c r="S2591" s="77">
        <f t="shared" si="2168"/>
        <v>0</v>
      </c>
      <c r="T2591" s="26"/>
      <c r="U2591" s="47"/>
      <c r="V2591" s="27"/>
      <c r="W2591" s="34"/>
      <c r="X2591" s="9">
        <f t="shared" si="2169"/>
        <v>0</v>
      </c>
      <c r="Y2591" s="11">
        <f t="shared" si="2170"/>
        <v>0</v>
      </c>
    </row>
    <row r="2592" spans="1:27" ht="14.25" thickBot="1" x14ac:dyDescent="0.2">
      <c r="A2592" s="13" t="s">
        <v>8</v>
      </c>
      <c r="B2592" s="26"/>
      <c r="C2592" s="47"/>
      <c r="D2592" s="27"/>
      <c r="E2592" s="50"/>
      <c r="F2592" s="10">
        <f>SUM(B2592:E2592)</f>
        <v>0</v>
      </c>
      <c r="G2592" s="47"/>
      <c r="H2592" s="47"/>
      <c r="I2592" s="27"/>
      <c r="J2592" s="50"/>
      <c r="K2592" s="10">
        <f>SUM(G2592:J2592)</f>
        <v>0</v>
      </c>
      <c r="L2592" s="14">
        <f t="shared" si="2167"/>
        <v>0</v>
      </c>
      <c r="N2592" s="13" t="s">
        <v>8</v>
      </c>
      <c r="O2592" s="26"/>
      <c r="P2592" s="47"/>
      <c r="Q2592" s="27"/>
      <c r="R2592" s="34"/>
      <c r="S2592" s="77">
        <f t="shared" si="2168"/>
        <v>0</v>
      </c>
      <c r="T2592" s="26"/>
      <c r="U2592" s="47"/>
      <c r="V2592" s="27"/>
      <c r="W2592" s="34"/>
      <c r="X2592" s="9">
        <f t="shared" si="2169"/>
        <v>0</v>
      </c>
      <c r="Y2592" s="11">
        <f t="shared" si="2170"/>
        <v>0</v>
      </c>
    </row>
    <row r="2593" spans="1:27" ht="14.25" thickBot="1" x14ac:dyDescent="0.2">
      <c r="A2593" s="22" t="s">
        <v>9</v>
      </c>
      <c r="B2593" s="41">
        <f t="shared" ref="B2593:K2593" si="2174">SUM(B2588:B2592)</f>
        <v>27</v>
      </c>
      <c r="C2593" s="49">
        <f t="shared" si="2174"/>
        <v>27</v>
      </c>
      <c r="D2593" s="42">
        <f t="shared" si="2174"/>
        <v>17</v>
      </c>
      <c r="E2593" s="92">
        <f t="shared" si="2174"/>
        <v>9</v>
      </c>
      <c r="F2593" s="132">
        <f t="shared" si="2174"/>
        <v>76</v>
      </c>
      <c r="G2593" s="41">
        <f t="shared" si="2174"/>
        <v>10</v>
      </c>
      <c r="H2593" s="49">
        <f t="shared" si="2174"/>
        <v>7</v>
      </c>
      <c r="I2593" s="42">
        <f t="shared" si="2174"/>
        <v>10</v>
      </c>
      <c r="J2593" s="92">
        <f t="shared" si="2174"/>
        <v>9</v>
      </c>
      <c r="K2593" s="132">
        <f t="shared" si="2174"/>
        <v>36</v>
      </c>
      <c r="L2593" s="21">
        <f t="shared" si="2167"/>
        <v>112</v>
      </c>
      <c r="N2593" s="17" t="s">
        <v>9</v>
      </c>
      <c r="O2593" s="41">
        <f>SUM(O2588:O2592)</f>
        <v>553</v>
      </c>
      <c r="P2593" s="49">
        <f t="shared" ref="P2593:V2593" si="2175">SUM(P2588:P2592)</f>
        <v>661</v>
      </c>
      <c r="Q2593" s="42">
        <f t="shared" si="2175"/>
        <v>521</v>
      </c>
      <c r="R2593" s="92">
        <f t="shared" si="2175"/>
        <v>387</v>
      </c>
      <c r="S2593" s="93">
        <f t="shared" si="2175"/>
        <v>2122</v>
      </c>
      <c r="T2593" s="41">
        <f t="shared" si="2175"/>
        <v>487</v>
      </c>
      <c r="U2593" s="49">
        <f t="shared" si="2175"/>
        <v>473</v>
      </c>
      <c r="V2593" s="42">
        <f t="shared" si="2175"/>
        <v>404</v>
      </c>
      <c r="W2593" s="92">
        <f>SUM(W2588:W2592)</f>
        <v>255</v>
      </c>
      <c r="X2593" s="93">
        <f t="shared" ref="X2593" si="2176">SUM(X2588:X2592)</f>
        <v>1619</v>
      </c>
      <c r="Y2593" s="56">
        <f t="shared" si="2170"/>
        <v>3741</v>
      </c>
    </row>
    <row r="2594" spans="1:27" x14ac:dyDescent="0.15">
      <c r="A2594" s="15" t="s">
        <v>2158</v>
      </c>
      <c r="B2594" s="26">
        <v>2</v>
      </c>
      <c r="C2594" s="47">
        <v>6</v>
      </c>
      <c r="D2594" s="27">
        <v>3</v>
      </c>
      <c r="E2594" s="34">
        <v>3</v>
      </c>
      <c r="F2594" s="35">
        <f t="shared" ref="F2594:F2618" si="2177">SUM(B2594:E2594)</f>
        <v>14</v>
      </c>
      <c r="G2594" s="26">
        <v>2</v>
      </c>
      <c r="H2594" s="47">
        <v>2</v>
      </c>
      <c r="I2594" s="27">
        <v>2</v>
      </c>
      <c r="J2594" s="34">
        <v>2</v>
      </c>
      <c r="K2594" s="35">
        <f t="shared" ref="K2594:K2618" si="2178">SUM(G2594:J2594)</f>
        <v>8</v>
      </c>
      <c r="L2594" s="11">
        <f t="shared" si="2167"/>
        <v>22</v>
      </c>
      <c r="M2594" s="126">
        <v>46130</v>
      </c>
      <c r="N2594" s="173" t="s">
        <v>2133</v>
      </c>
      <c r="O2594" s="154">
        <f>36+6</f>
        <v>42</v>
      </c>
      <c r="P2594" s="47"/>
      <c r="Q2594" s="27"/>
      <c r="R2594" s="34"/>
      <c r="S2594" s="35">
        <f t="shared" ref="S2594:S2600" si="2179">SUM(O2594:R2594)</f>
        <v>42</v>
      </c>
      <c r="T2594" s="26"/>
      <c r="U2594" s="47"/>
      <c r="V2594" s="27"/>
      <c r="W2594" s="34"/>
      <c r="X2594" s="35">
        <f t="shared" ref="X2594:X2600" si="2180">SUM(T2594:W2594)</f>
        <v>0</v>
      </c>
      <c r="Y2594" s="11">
        <f t="shared" si="2170"/>
        <v>42</v>
      </c>
      <c r="Z2594" s="99">
        <v>46125</v>
      </c>
      <c r="AA2594" s="234"/>
    </row>
    <row r="2595" spans="1:27" x14ac:dyDescent="0.15">
      <c r="A2595" s="15" t="s">
        <v>2160</v>
      </c>
      <c r="B2595" s="26"/>
      <c r="C2595" s="47">
        <v>1</v>
      </c>
      <c r="D2595" s="27"/>
      <c r="E2595" s="34"/>
      <c r="F2595" s="35">
        <f t="shared" si="2177"/>
        <v>1</v>
      </c>
      <c r="G2595" s="26"/>
      <c r="H2595" s="47"/>
      <c r="I2595" s="27"/>
      <c r="J2595" s="34"/>
      <c r="K2595" s="35">
        <f t="shared" si="2178"/>
        <v>0</v>
      </c>
      <c r="L2595" s="11">
        <f t="shared" si="2167"/>
        <v>1</v>
      </c>
      <c r="M2595" s="99">
        <v>46134</v>
      </c>
      <c r="N2595" s="12" t="s">
        <v>2135</v>
      </c>
      <c r="O2595" s="26"/>
      <c r="P2595" s="47">
        <v>5</v>
      </c>
      <c r="Q2595" s="27"/>
      <c r="R2595" s="34"/>
      <c r="S2595" s="35">
        <f t="shared" si="2179"/>
        <v>5</v>
      </c>
      <c r="T2595" s="26"/>
      <c r="U2595" s="47"/>
      <c r="V2595" s="27"/>
      <c r="W2595" s="34"/>
      <c r="X2595" s="35">
        <f t="shared" si="2180"/>
        <v>0</v>
      </c>
      <c r="Y2595" s="11">
        <f t="shared" si="2170"/>
        <v>5</v>
      </c>
      <c r="Z2595" s="99">
        <v>46116</v>
      </c>
    </row>
    <row r="2596" spans="1:27" x14ac:dyDescent="0.15">
      <c r="A2596" s="15" t="s">
        <v>41</v>
      </c>
      <c r="B2596" s="26">
        <v>2</v>
      </c>
      <c r="C2596" s="47"/>
      <c r="D2596" s="27"/>
      <c r="E2596" s="34"/>
      <c r="F2596" s="35">
        <f t="shared" si="2177"/>
        <v>2</v>
      </c>
      <c r="G2596" s="26"/>
      <c r="H2596" s="47"/>
      <c r="I2596" s="27"/>
      <c r="J2596" s="34">
        <v>1</v>
      </c>
      <c r="K2596" s="35">
        <f t="shared" si="2178"/>
        <v>1</v>
      </c>
      <c r="L2596" s="11">
        <f t="shared" si="2167"/>
        <v>3</v>
      </c>
      <c r="M2596" s="99">
        <v>46132</v>
      </c>
      <c r="N2596" s="173" t="s">
        <v>2137</v>
      </c>
      <c r="O2596" s="26"/>
      <c r="P2596" s="47">
        <v>8</v>
      </c>
      <c r="Q2596" s="27">
        <v>7</v>
      </c>
      <c r="R2596" s="34">
        <v>5</v>
      </c>
      <c r="S2596" s="35">
        <f t="shared" si="2179"/>
        <v>20</v>
      </c>
      <c r="T2596" s="26">
        <v>7</v>
      </c>
      <c r="U2596" s="47">
        <v>4</v>
      </c>
      <c r="V2596" s="27"/>
      <c r="W2596" s="34"/>
      <c r="X2596" s="35">
        <f t="shared" si="2180"/>
        <v>11</v>
      </c>
      <c r="Y2596" s="11">
        <f t="shared" si="2170"/>
        <v>31</v>
      </c>
      <c r="Z2596" s="99">
        <v>46122</v>
      </c>
    </row>
    <row r="2597" spans="1:27" x14ac:dyDescent="0.15">
      <c r="A2597" s="173" t="s">
        <v>2161</v>
      </c>
      <c r="B2597" s="26"/>
      <c r="C2597" s="47"/>
      <c r="D2597" s="27"/>
      <c r="E2597" s="34">
        <v>1</v>
      </c>
      <c r="F2597" s="35">
        <f t="shared" si="2177"/>
        <v>1</v>
      </c>
      <c r="G2597" s="26"/>
      <c r="H2597" s="47"/>
      <c r="I2597" s="27"/>
      <c r="J2597" s="34"/>
      <c r="K2597" s="35">
        <f t="shared" si="2178"/>
        <v>0</v>
      </c>
      <c r="L2597" s="11">
        <f t="shared" si="2167"/>
        <v>1</v>
      </c>
      <c r="M2597" s="99">
        <v>46135</v>
      </c>
      <c r="N2597" s="12" t="s">
        <v>2138</v>
      </c>
      <c r="O2597" s="26">
        <v>5</v>
      </c>
      <c r="P2597" s="47"/>
      <c r="Q2597" s="27"/>
      <c r="R2597" s="34">
        <v>5</v>
      </c>
      <c r="S2597" s="35">
        <f t="shared" si="2179"/>
        <v>10</v>
      </c>
      <c r="T2597" s="26"/>
      <c r="U2597" s="47"/>
      <c r="V2597" s="27"/>
      <c r="W2597" s="34"/>
      <c r="X2597" s="35">
        <f t="shared" si="2180"/>
        <v>0</v>
      </c>
      <c r="Y2597" s="11">
        <f t="shared" si="2170"/>
        <v>10</v>
      </c>
      <c r="Z2597" s="99">
        <v>46129</v>
      </c>
    </row>
    <row r="2598" spans="1:27" x14ac:dyDescent="0.15">
      <c r="A2598" s="15" t="s">
        <v>41</v>
      </c>
      <c r="B2598" s="26"/>
      <c r="C2598" s="47"/>
      <c r="D2598" s="27">
        <v>1</v>
      </c>
      <c r="E2598" s="34"/>
      <c r="F2598" s="35">
        <f t="shared" si="2177"/>
        <v>1</v>
      </c>
      <c r="G2598" s="26"/>
      <c r="H2598" s="47"/>
      <c r="I2598" s="27"/>
      <c r="J2598" s="34"/>
      <c r="K2598" s="35">
        <f t="shared" si="2178"/>
        <v>0</v>
      </c>
      <c r="L2598" s="11">
        <f t="shared" si="2167"/>
        <v>1</v>
      </c>
      <c r="M2598" s="99">
        <v>46133</v>
      </c>
      <c r="N2598" s="173" t="s">
        <v>2141</v>
      </c>
      <c r="O2598" s="26"/>
      <c r="P2598" s="47">
        <v>10</v>
      </c>
      <c r="Q2598" s="27">
        <v>9</v>
      </c>
      <c r="R2598" s="34">
        <v>4</v>
      </c>
      <c r="S2598" s="35">
        <f t="shared" si="2179"/>
        <v>23</v>
      </c>
      <c r="T2598" s="26">
        <v>3</v>
      </c>
      <c r="U2598" s="47"/>
      <c r="V2598" s="27"/>
      <c r="W2598" s="34"/>
      <c r="X2598" s="35">
        <f t="shared" si="2180"/>
        <v>3</v>
      </c>
      <c r="Y2598" s="11">
        <f t="shared" si="2170"/>
        <v>26</v>
      </c>
      <c r="Z2598" s="99">
        <v>46122</v>
      </c>
    </row>
    <row r="2599" spans="1:27" x14ac:dyDescent="0.15">
      <c r="A2599" s="15" t="s">
        <v>41</v>
      </c>
      <c r="B2599" s="26"/>
      <c r="C2599" s="47"/>
      <c r="D2599" s="27"/>
      <c r="E2599" s="34"/>
      <c r="F2599" s="35">
        <f t="shared" si="2177"/>
        <v>0</v>
      </c>
      <c r="G2599" s="26"/>
      <c r="H2599" s="47"/>
      <c r="I2599" s="27"/>
      <c r="J2599" s="34">
        <v>1</v>
      </c>
      <c r="K2599" s="35">
        <f t="shared" si="2178"/>
        <v>1</v>
      </c>
      <c r="L2599" s="11">
        <f t="shared" si="2167"/>
        <v>1</v>
      </c>
      <c r="M2599" s="99">
        <v>46135</v>
      </c>
      <c r="N2599" s="173" t="s">
        <v>2143</v>
      </c>
      <c r="O2599" s="26">
        <v>9</v>
      </c>
      <c r="P2599" s="47">
        <v>7</v>
      </c>
      <c r="Q2599" s="27">
        <v>9</v>
      </c>
      <c r="R2599" s="34">
        <v>1</v>
      </c>
      <c r="S2599" s="35">
        <f t="shared" si="2179"/>
        <v>26</v>
      </c>
      <c r="T2599" s="26">
        <v>4</v>
      </c>
      <c r="U2599" s="47">
        <v>5</v>
      </c>
      <c r="V2599" s="27"/>
      <c r="W2599" s="34">
        <v>1</v>
      </c>
      <c r="X2599" s="35">
        <f t="shared" si="2180"/>
        <v>10</v>
      </c>
      <c r="Y2599" s="11">
        <f t="shared" si="2170"/>
        <v>36</v>
      </c>
      <c r="Z2599" s="99">
        <v>46125</v>
      </c>
    </row>
    <row r="2600" spans="1:27" x14ac:dyDescent="0.15">
      <c r="A2600" s="15" t="s">
        <v>41</v>
      </c>
      <c r="B2600" s="26"/>
      <c r="C2600" s="47">
        <v>1</v>
      </c>
      <c r="D2600" s="27"/>
      <c r="E2600" s="34">
        <v>4</v>
      </c>
      <c r="F2600" s="35">
        <f t="shared" si="2177"/>
        <v>5</v>
      </c>
      <c r="G2600" s="26"/>
      <c r="H2600" s="47"/>
      <c r="I2600" s="27"/>
      <c r="J2600" s="34"/>
      <c r="K2600" s="35">
        <f t="shared" si="2178"/>
        <v>0</v>
      </c>
      <c r="L2600" s="11">
        <f t="shared" si="2167"/>
        <v>5</v>
      </c>
      <c r="M2600" s="126">
        <v>46136</v>
      </c>
      <c r="N2600" s="12" t="s">
        <v>2145</v>
      </c>
      <c r="O2600" s="26"/>
      <c r="P2600" s="47">
        <v>1</v>
      </c>
      <c r="Q2600" s="27"/>
      <c r="R2600" s="34"/>
      <c r="S2600" s="35">
        <f t="shared" si="2179"/>
        <v>1</v>
      </c>
      <c r="T2600" s="26"/>
      <c r="U2600" s="47"/>
      <c r="V2600" s="27">
        <v>1</v>
      </c>
      <c r="W2600" s="34"/>
      <c r="X2600" s="35">
        <f t="shared" si="2180"/>
        <v>1</v>
      </c>
      <c r="Y2600" s="11">
        <f t="shared" si="2170"/>
        <v>2</v>
      </c>
      <c r="Z2600" s="99">
        <v>46132</v>
      </c>
    </row>
    <row r="2601" spans="1:27" x14ac:dyDescent="0.15">
      <c r="A2601" s="15" t="s">
        <v>41</v>
      </c>
      <c r="B2601" s="26"/>
      <c r="C2601" s="47">
        <v>1</v>
      </c>
      <c r="D2601" s="27"/>
      <c r="E2601" s="34"/>
      <c r="F2601" s="35">
        <f t="shared" ref="F2601" si="2181">SUM(B2601:E2601)</f>
        <v>1</v>
      </c>
      <c r="G2601" s="26"/>
      <c r="H2601" s="47"/>
      <c r="I2601" s="27"/>
      <c r="J2601" s="34"/>
      <c r="K2601" s="35">
        <f t="shared" ref="K2601" si="2182">SUM(G2601:J2601)</f>
        <v>0</v>
      </c>
      <c r="L2601" s="11">
        <f t="shared" ref="L2601" si="2183">F2601+K2601</f>
        <v>1</v>
      </c>
      <c r="M2601" s="126">
        <v>46140</v>
      </c>
      <c r="N2601" s="173" t="s">
        <v>2146</v>
      </c>
      <c r="O2601" s="26">
        <v>8</v>
      </c>
      <c r="P2601" s="47">
        <v>14</v>
      </c>
      <c r="Q2601" s="27">
        <v>6</v>
      </c>
      <c r="R2601" s="50">
        <v>10</v>
      </c>
      <c r="S2601" s="9">
        <f>SUM(O2601:R2601)</f>
        <v>38</v>
      </c>
      <c r="T2601" s="47">
        <v>4</v>
      </c>
      <c r="U2601" s="47"/>
      <c r="V2601" s="27">
        <v>5</v>
      </c>
      <c r="W2601" s="50">
        <v>4</v>
      </c>
      <c r="X2601" s="9">
        <f>SUM(T2601:W2601)</f>
        <v>13</v>
      </c>
      <c r="Y2601" s="11">
        <f t="shared" si="2170"/>
        <v>51</v>
      </c>
      <c r="Z2601" s="99">
        <v>46127</v>
      </c>
    </row>
    <row r="2602" spans="1:27" x14ac:dyDescent="0.15">
      <c r="A2602" s="15"/>
      <c r="B2602" s="26"/>
      <c r="C2602" s="47"/>
      <c r="D2602" s="27"/>
      <c r="E2602" s="34"/>
      <c r="F2602" s="35">
        <f t="shared" si="2177"/>
        <v>0</v>
      </c>
      <c r="G2602" s="26"/>
      <c r="H2602" s="47"/>
      <c r="I2602" s="27"/>
      <c r="J2602" s="34"/>
      <c r="K2602" s="35">
        <f t="shared" si="2178"/>
        <v>0</v>
      </c>
      <c r="L2602" s="11">
        <f t="shared" si="2167"/>
        <v>0</v>
      </c>
      <c r="N2602" s="305" t="s">
        <v>1987</v>
      </c>
      <c r="O2602" s="295"/>
      <c r="P2602" s="296"/>
      <c r="Q2602" s="297"/>
      <c r="R2602" s="306"/>
      <c r="S2602" s="307">
        <f t="shared" ref="S2602:S2619" si="2184">SUM(O2602:R2602)</f>
        <v>0</v>
      </c>
      <c r="T2602" s="295"/>
      <c r="U2602" s="296">
        <v>3</v>
      </c>
      <c r="V2602" s="297">
        <v>3</v>
      </c>
      <c r="W2602" s="306"/>
      <c r="X2602" s="307">
        <f t="shared" ref="X2602:X2619" si="2185">SUM(T2602:W2602)</f>
        <v>6</v>
      </c>
      <c r="Y2602" s="300">
        <f t="shared" si="2170"/>
        <v>6</v>
      </c>
      <c r="Z2602" s="301">
        <v>46126</v>
      </c>
    </row>
    <row r="2603" spans="1:27" x14ac:dyDescent="0.15">
      <c r="A2603" s="15"/>
      <c r="B2603" s="26"/>
      <c r="C2603" s="47"/>
      <c r="D2603" s="27"/>
      <c r="E2603" s="34"/>
      <c r="F2603" s="35">
        <f t="shared" si="2177"/>
        <v>0</v>
      </c>
      <c r="G2603" s="26"/>
      <c r="H2603" s="47"/>
      <c r="I2603" s="27"/>
      <c r="J2603" s="34"/>
      <c r="K2603" s="35">
        <f t="shared" si="2178"/>
        <v>0</v>
      </c>
      <c r="L2603" s="11">
        <f t="shared" si="2167"/>
        <v>0</v>
      </c>
      <c r="N2603" s="173" t="s">
        <v>2147</v>
      </c>
      <c r="O2603" s="26">
        <v>9</v>
      </c>
      <c r="P2603" s="47">
        <v>16</v>
      </c>
      <c r="Q2603" s="27">
        <v>5</v>
      </c>
      <c r="R2603" s="34">
        <v>3</v>
      </c>
      <c r="S2603" s="35">
        <f t="shared" si="2184"/>
        <v>33</v>
      </c>
      <c r="T2603" s="26">
        <v>4</v>
      </c>
      <c r="U2603" s="47">
        <v>1</v>
      </c>
      <c r="V2603" s="27">
        <v>1</v>
      </c>
      <c r="W2603" s="34">
        <v>7</v>
      </c>
      <c r="X2603" s="35">
        <f t="shared" si="2185"/>
        <v>13</v>
      </c>
      <c r="Y2603" s="11">
        <f t="shared" si="2170"/>
        <v>46</v>
      </c>
      <c r="Z2603" s="99">
        <v>46128</v>
      </c>
    </row>
    <row r="2604" spans="1:27" x14ac:dyDescent="0.15">
      <c r="A2604" s="15"/>
      <c r="B2604" s="26"/>
      <c r="C2604" s="47"/>
      <c r="D2604" s="27"/>
      <c r="E2604" s="34"/>
      <c r="F2604" s="35">
        <f t="shared" si="2177"/>
        <v>0</v>
      </c>
      <c r="G2604" s="26"/>
      <c r="H2604" s="47"/>
      <c r="I2604" s="27"/>
      <c r="J2604" s="34"/>
      <c r="K2604" s="35">
        <f t="shared" si="2178"/>
        <v>0</v>
      </c>
      <c r="L2604" s="11">
        <f t="shared" si="2167"/>
        <v>0</v>
      </c>
      <c r="N2604" s="173" t="s">
        <v>2151</v>
      </c>
      <c r="O2604" s="26">
        <v>3</v>
      </c>
      <c r="P2604" s="47">
        <v>8</v>
      </c>
      <c r="Q2604" s="27">
        <v>2</v>
      </c>
      <c r="R2604" s="34"/>
      <c r="S2604" s="35">
        <f t="shared" si="2184"/>
        <v>13</v>
      </c>
      <c r="T2604" s="26"/>
      <c r="U2604" s="47">
        <v>3</v>
      </c>
      <c r="V2604" s="27"/>
      <c r="W2604" s="34">
        <v>1</v>
      </c>
      <c r="X2604" s="35">
        <f t="shared" si="2185"/>
        <v>4</v>
      </c>
      <c r="Y2604" s="11">
        <f t="shared" si="2170"/>
        <v>17</v>
      </c>
      <c r="Z2604" s="99">
        <v>46129</v>
      </c>
    </row>
    <row r="2605" spans="1:27" x14ac:dyDescent="0.15">
      <c r="A2605" s="13"/>
      <c r="B2605" s="26"/>
      <c r="C2605" s="47"/>
      <c r="D2605" s="27"/>
      <c r="E2605" s="34"/>
      <c r="F2605" s="35">
        <f t="shared" si="2177"/>
        <v>0</v>
      </c>
      <c r="G2605" s="26"/>
      <c r="H2605" s="47"/>
      <c r="I2605" s="27"/>
      <c r="J2605" s="34"/>
      <c r="K2605" s="35">
        <f t="shared" si="2178"/>
        <v>0</v>
      </c>
      <c r="L2605" s="11">
        <f t="shared" si="2167"/>
        <v>0</v>
      </c>
      <c r="N2605" s="12" t="s">
        <v>2152</v>
      </c>
      <c r="O2605" s="26"/>
      <c r="P2605" s="47"/>
      <c r="Q2605" s="27"/>
      <c r="R2605" s="34">
        <v>5</v>
      </c>
      <c r="S2605" s="35">
        <f t="shared" si="2184"/>
        <v>5</v>
      </c>
      <c r="T2605" s="26"/>
      <c r="U2605" s="47"/>
      <c r="V2605" s="27"/>
      <c r="W2605" s="34">
        <v>5</v>
      </c>
      <c r="X2605" s="35">
        <f t="shared" si="2185"/>
        <v>5</v>
      </c>
      <c r="Y2605" s="11">
        <f t="shared" si="2170"/>
        <v>10</v>
      </c>
      <c r="Z2605" s="99">
        <v>46134</v>
      </c>
    </row>
    <row r="2606" spans="1:27" x14ac:dyDescent="0.15">
      <c r="A2606" s="15"/>
      <c r="B2606" s="26"/>
      <c r="C2606" s="47"/>
      <c r="D2606" s="27"/>
      <c r="E2606" s="34"/>
      <c r="F2606" s="35">
        <f t="shared" si="2177"/>
        <v>0</v>
      </c>
      <c r="G2606" s="26"/>
      <c r="H2606" s="47"/>
      <c r="I2606" s="27"/>
      <c r="J2606" s="34"/>
      <c r="K2606" s="35">
        <f t="shared" si="2178"/>
        <v>0</v>
      </c>
      <c r="L2606" s="11">
        <f t="shared" si="2167"/>
        <v>0</v>
      </c>
      <c r="N2606" s="173" t="s">
        <v>2153</v>
      </c>
      <c r="O2606" s="26">
        <v>37</v>
      </c>
      <c r="P2606" s="47">
        <v>39</v>
      </c>
      <c r="Q2606" s="27">
        <v>19</v>
      </c>
      <c r="R2606" s="34">
        <v>11</v>
      </c>
      <c r="S2606" s="35">
        <f t="shared" ref="S2606:S2609" si="2186">SUM(O2606:R2606)</f>
        <v>106</v>
      </c>
      <c r="T2606" s="26">
        <v>11</v>
      </c>
      <c r="U2606" s="47">
        <v>11</v>
      </c>
      <c r="V2606" s="27">
        <v>7</v>
      </c>
      <c r="W2606" s="34">
        <v>5</v>
      </c>
      <c r="X2606" s="35">
        <f t="shared" ref="X2606:X2609" si="2187">SUM(T2606:W2606)</f>
        <v>34</v>
      </c>
      <c r="Y2606" s="11">
        <f t="shared" ref="Y2606:Y2609" si="2188">S2606+X2606</f>
        <v>140</v>
      </c>
      <c r="Z2606" s="99">
        <v>46129</v>
      </c>
    </row>
    <row r="2607" spans="1:27" x14ac:dyDescent="0.15">
      <c r="A2607" s="13"/>
      <c r="B2607" s="26"/>
      <c r="C2607" s="47"/>
      <c r="D2607" s="27"/>
      <c r="E2607" s="34"/>
      <c r="F2607" s="35">
        <f t="shared" si="2177"/>
        <v>0</v>
      </c>
      <c r="G2607" s="26"/>
      <c r="H2607" s="47"/>
      <c r="I2607" s="27"/>
      <c r="J2607" s="34"/>
      <c r="K2607" s="35">
        <f t="shared" si="2178"/>
        <v>0</v>
      </c>
      <c r="L2607" s="11">
        <f t="shared" si="2167"/>
        <v>0</v>
      </c>
      <c r="N2607" s="12" t="s">
        <v>2156</v>
      </c>
      <c r="O2607" s="26"/>
      <c r="P2607" s="47">
        <v>2</v>
      </c>
      <c r="Q2607" s="27"/>
      <c r="R2607" s="34">
        <v>1</v>
      </c>
      <c r="S2607" s="35">
        <f t="shared" si="2186"/>
        <v>3</v>
      </c>
      <c r="T2607" s="26"/>
      <c r="U2607" s="47">
        <v>2</v>
      </c>
      <c r="V2607" s="27"/>
      <c r="W2607" s="34">
        <v>1</v>
      </c>
      <c r="X2607" s="35">
        <f t="shared" si="2187"/>
        <v>3</v>
      </c>
      <c r="Y2607" s="11">
        <f t="shared" si="2188"/>
        <v>6</v>
      </c>
      <c r="Z2607" s="99">
        <v>46132</v>
      </c>
    </row>
    <row r="2608" spans="1:27" x14ac:dyDescent="0.15">
      <c r="A2608" s="15"/>
      <c r="B2608" s="26"/>
      <c r="C2608" s="47"/>
      <c r="D2608" s="27"/>
      <c r="E2608" s="34"/>
      <c r="F2608" s="35">
        <f t="shared" si="2177"/>
        <v>0</v>
      </c>
      <c r="G2608" s="26"/>
      <c r="H2608" s="47"/>
      <c r="I2608" s="27"/>
      <c r="J2608" s="34"/>
      <c r="K2608" s="35">
        <f t="shared" si="2178"/>
        <v>0</v>
      </c>
      <c r="L2608" s="11">
        <f t="shared" si="2167"/>
        <v>0</v>
      </c>
      <c r="N2608" s="12" t="s">
        <v>2157</v>
      </c>
      <c r="O2608" s="26">
        <v>12</v>
      </c>
      <c r="P2608" s="47">
        <v>16</v>
      </c>
      <c r="Q2608" s="27"/>
      <c r="R2608" s="34">
        <v>8</v>
      </c>
      <c r="S2608" s="35">
        <f t="shared" si="2186"/>
        <v>36</v>
      </c>
      <c r="T2608" s="26"/>
      <c r="U2608" s="47"/>
      <c r="V2608" s="27">
        <v>2</v>
      </c>
      <c r="W2608" s="34"/>
      <c r="X2608" s="35">
        <f t="shared" si="2187"/>
        <v>2</v>
      </c>
      <c r="Y2608" s="11">
        <f t="shared" si="2188"/>
        <v>38</v>
      </c>
      <c r="Z2608" s="99">
        <v>46132</v>
      </c>
    </row>
    <row r="2609" spans="1:27" x14ac:dyDescent="0.15">
      <c r="A2609" s="13"/>
      <c r="B2609" s="26"/>
      <c r="C2609" s="47"/>
      <c r="D2609" s="27"/>
      <c r="E2609" s="34"/>
      <c r="F2609" s="35">
        <f t="shared" si="2177"/>
        <v>0</v>
      </c>
      <c r="G2609" s="26"/>
      <c r="H2609" s="47"/>
      <c r="I2609" s="27"/>
      <c r="J2609" s="34"/>
      <c r="K2609" s="35">
        <f t="shared" si="2178"/>
        <v>0</v>
      </c>
      <c r="L2609" s="11">
        <f t="shared" si="2167"/>
        <v>0</v>
      </c>
      <c r="N2609" s="12" t="s">
        <v>2159</v>
      </c>
      <c r="O2609" s="26"/>
      <c r="P2609" s="47"/>
      <c r="Q2609" s="27">
        <v>1</v>
      </c>
      <c r="R2609" s="34"/>
      <c r="S2609" s="35">
        <f t="shared" si="2186"/>
        <v>1</v>
      </c>
      <c r="T2609" s="26"/>
      <c r="U2609" s="47"/>
      <c r="V2609" s="27"/>
      <c r="W2609" s="34"/>
      <c r="X2609" s="35">
        <f t="shared" si="2187"/>
        <v>0</v>
      </c>
      <c r="Y2609" s="11">
        <f t="shared" si="2188"/>
        <v>1</v>
      </c>
      <c r="Z2609" s="99">
        <v>46139</v>
      </c>
    </row>
    <row r="2610" spans="1:27" x14ac:dyDescent="0.15">
      <c r="A2610" s="15"/>
      <c r="B2610" s="26"/>
      <c r="C2610" s="47"/>
      <c r="D2610" s="27"/>
      <c r="E2610" s="34"/>
      <c r="F2610" s="35">
        <f t="shared" si="2177"/>
        <v>0</v>
      </c>
      <c r="G2610" s="26"/>
      <c r="H2610" s="47"/>
      <c r="I2610" s="27"/>
      <c r="J2610" s="34"/>
      <c r="K2610" s="35">
        <f t="shared" si="2178"/>
        <v>0</v>
      </c>
      <c r="L2610" s="11">
        <f t="shared" si="2167"/>
        <v>0</v>
      </c>
      <c r="N2610" s="310" t="s">
        <v>1987</v>
      </c>
      <c r="O2610" s="295"/>
      <c r="P2610" s="296"/>
      <c r="Q2610" s="297"/>
      <c r="R2610" s="306"/>
      <c r="S2610" s="307">
        <f t="shared" si="2184"/>
        <v>0</v>
      </c>
      <c r="T2610" s="295"/>
      <c r="U2610" s="296">
        <v>5</v>
      </c>
      <c r="V2610" s="297"/>
      <c r="W2610" s="306"/>
      <c r="X2610" s="307">
        <f t="shared" si="2185"/>
        <v>5</v>
      </c>
      <c r="Y2610" s="300">
        <f t="shared" si="2170"/>
        <v>5</v>
      </c>
      <c r="Z2610" s="301">
        <v>46140</v>
      </c>
    </row>
    <row r="2611" spans="1:27" x14ac:dyDescent="0.15">
      <c r="A2611" s="15"/>
      <c r="B2611" s="26"/>
      <c r="C2611" s="47"/>
      <c r="D2611" s="27"/>
      <c r="E2611" s="34"/>
      <c r="F2611" s="35">
        <f t="shared" si="2177"/>
        <v>0</v>
      </c>
      <c r="G2611" s="26"/>
      <c r="H2611" s="47"/>
      <c r="I2611" s="27"/>
      <c r="J2611" s="34"/>
      <c r="K2611" s="35">
        <f t="shared" si="2178"/>
        <v>0</v>
      </c>
      <c r="L2611" s="11">
        <f t="shared" si="2167"/>
        <v>0</v>
      </c>
      <c r="N2611" s="173" t="s">
        <v>2130</v>
      </c>
      <c r="O2611" s="154"/>
      <c r="P2611" s="155"/>
      <c r="Q2611" s="156"/>
      <c r="R2611" s="157"/>
      <c r="S2611" s="158">
        <f t="shared" ref="S2611:S2612" si="2189">SUM(O2611:R2611)</f>
        <v>0</v>
      </c>
      <c r="T2611" s="154"/>
      <c r="U2611" s="155"/>
      <c r="V2611" s="156"/>
      <c r="W2611" s="157"/>
      <c r="X2611" s="158">
        <f t="shared" ref="X2611:X2612" si="2190">SUM(T2611:W2611)</f>
        <v>0</v>
      </c>
      <c r="Y2611" s="179">
        <f t="shared" ref="Y2611:Y2612" si="2191">S2611+X2611</f>
        <v>0</v>
      </c>
      <c r="Z2611" s="101"/>
      <c r="AA2611" s="58"/>
    </row>
    <row r="2612" spans="1:27" x14ac:dyDescent="0.15">
      <c r="A2612" s="13"/>
      <c r="B2612" s="26"/>
      <c r="C2612" s="47"/>
      <c r="D2612" s="27"/>
      <c r="E2612" s="34"/>
      <c r="F2612" s="35">
        <f t="shared" si="2177"/>
        <v>0</v>
      </c>
      <c r="G2612" s="26"/>
      <c r="H2612" s="47"/>
      <c r="I2612" s="27"/>
      <c r="J2612" s="34"/>
      <c r="K2612" s="35">
        <f t="shared" si="2178"/>
        <v>0</v>
      </c>
      <c r="L2612" s="11">
        <f t="shared" si="2167"/>
        <v>0</v>
      </c>
      <c r="N2612" s="12" t="s">
        <v>1903</v>
      </c>
      <c r="O2612" s="26"/>
      <c r="P2612" s="47"/>
      <c r="Q2612" s="27"/>
      <c r="R2612" s="34"/>
      <c r="S2612" s="35">
        <f t="shared" si="2189"/>
        <v>0</v>
      </c>
      <c r="T2612" s="26"/>
      <c r="U2612" s="47"/>
      <c r="V2612" s="27"/>
      <c r="W2612" s="34"/>
      <c r="X2612" s="35">
        <f t="shared" si="2190"/>
        <v>0</v>
      </c>
      <c r="Y2612" s="108">
        <f t="shared" si="2191"/>
        <v>0</v>
      </c>
      <c r="Z2612" s="101" t="s">
        <v>1904</v>
      </c>
      <c r="AA2612" s="58"/>
    </row>
    <row r="2613" spans="1:27" x14ac:dyDescent="0.15">
      <c r="A2613" s="32"/>
      <c r="B2613" s="26"/>
      <c r="C2613" s="47"/>
      <c r="D2613" s="27"/>
      <c r="E2613" s="34"/>
      <c r="F2613" s="35">
        <f t="shared" si="2177"/>
        <v>0</v>
      </c>
      <c r="G2613" s="26"/>
      <c r="H2613" s="47"/>
      <c r="I2613" s="27"/>
      <c r="J2613" s="34"/>
      <c r="K2613" s="35">
        <f t="shared" si="2178"/>
        <v>0</v>
      </c>
      <c r="L2613" s="11">
        <f t="shared" si="2167"/>
        <v>0</v>
      </c>
      <c r="N2613" s="173" t="s">
        <v>2115</v>
      </c>
      <c r="O2613" s="174"/>
      <c r="P2613" s="175"/>
      <c r="Q2613" s="176"/>
      <c r="R2613" s="177"/>
      <c r="S2613" s="178">
        <f t="shared" ref="S2613:S2615" si="2192">SUM(O2613:R2613)</f>
        <v>0</v>
      </c>
      <c r="T2613" s="174"/>
      <c r="U2613" s="175"/>
      <c r="V2613" s="176"/>
      <c r="W2613" s="177"/>
      <c r="X2613" s="178">
        <f t="shared" ref="X2613:X2615" si="2193">SUM(T2613:W2613)</f>
        <v>0</v>
      </c>
      <c r="Y2613" s="179">
        <f t="shared" ref="Y2613:Y2615" si="2194">S2613+X2613</f>
        <v>0</v>
      </c>
      <c r="Z2613" s="160" t="s">
        <v>2116</v>
      </c>
    </row>
    <row r="2614" spans="1:27" x14ac:dyDescent="0.15">
      <c r="A2614" s="32"/>
      <c r="B2614" s="26"/>
      <c r="C2614" s="47"/>
      <c r="D2614" s="27"/>
      <c r="E2614" s="34"/>
      <c r="F2614" s="35">
        <f t="shared" si="2177"/>
        <v>0</v>
      </c>
      <c r="G2614" s="26"/>
      <c r="H2614" s="47"/>
      <c r="I2614" s="27"/>
      <c r="J2614" s="34"/>
      <c r="K2614" s="35">
        <f t="shared" si="2178"/>
        <v>0</v>
      </c>
      <c r="L2614" s="11">
        <f t="shared" si="2167"/>
        <v>0</v>
      </c>
      <c r="N2614" s="57" t="s">
        <v>2098</v>
      </c>
      <c r="O2614" s="66"/>
      <c r="P2614" s="67"/>
      <c r="Q2614" s="68"/>
      <c r="R2614" s="69"/>
      <c r="S2614" s="70">
        <f t="shared" si="2192"/>
        <v>0</v>
      </c>
      <c r="T2614" s="66"/>
      <c r="U2614" s="67"/>
      <c r="V2614" s="68"/>
      <c r="W2614" s="69"/>
      <c r="X2614" s="70">
        <f t="shared" si="2193"/>
        <v>0</v>
      </c>
      <c r="Y2614" s="11">
        <f t="shared" si="2194"/>
        <v>0</v>
      </c>
      <c r="Z2614" s="101" t="s">
        <v>540</v>
      </c>
    </row>
    <row r="2615" spans="1:27" x14ac:dyDescent="0.15">
      <c r="A2615" s="12"/>
      <c r="B2615" s="26"/>
      <c r="C2615" s="47"/>
      <c r="D2615" s="27"/>
      <c r="E2615" s="34"/>
      <c r="F2615" s="35">
        <f t="shared" si="2177"/>
        <v>0</v>
      </c>
      <c r="G2615" s="26"/>
      <c r="H2615" s="47"/>
      <c r="I2615" s="27"/>
      <c r="J2615" s="34"/>
      <c r="K2615" s="35">
        <f t="shared" si="2178"/>
        <v>0</v>
      </c>
      <c r="L2615" s="11">
        <f t="shared" si="2167"/>
        <v>0</v>
      </c>
      <c r="N2615" s="57" t="s">
        <v>2093</v>
      </c>
      <c r="O2615" s="66"/>
      <c r="P2615" s="67"/>
      <c r="Q2615" s="68"/>
      <c r="R2615" s="69"/>
      <c r="S2615" s="70">
        <f t="shared" si="2192"/>
        <v>0</v>
      </c>
      <c r="T2615" s="66"/>
      <c r="U2615" s="67"/>
      <c r="V2615" s="68"/>
      <c r="W2615" s="69"/>
      <c r="X2615" s="70">
        <f t="shared" si="2193"/>
        <v>0</v>
      </c>
      <c r="Y2615" s="11">
        <f t="shared" si="2194"/>
        <v>0</v>
      </c>
      <c r="Z2615" s="101" t="s">
        <v>528</v>
      </c>
    </row>
    <row r="2616" spans="1:27" x14ac:dyDescent="0.15">
      <c r="A2616" s="79"/>
      <c r="B2616" s="26"/>
      <c r="C2616" s="47"/>
      <c r="D2616" s="27"/>
      <c r="E2616" s="34"/>
      <c r="F2616" s="35">
        <f t="shared" si="2177"/>
        <v>0</v>
      </c>
      <c r="G2616" s="26"/>
      <c r="H2616" s="47"/>
      <c r="I2616" s="27"/>
      <c r="J2616" s="34"/>
      <c r="K2616" s="35">
        <f t="shared" si="2178"/>
        <v>0</v>
      </c>
      <c r="L2616" s="11">
        <f t="shared" si="2167"/>
        <v>0</v>
      </c>
      <c r="N2616" s="57" t="s">
        <v>2052</v>
      </c>
      <c r="O2616" s="66"/>
      <c r="P2616" s="67"/>
      <c r="Q2616" s="68"/>
      <c r="R2616" s="69"/>
      <c r="S2616" s="70">
        <f t="shared" si="2184"/>
        <v>0</v>
      </c>
      <c r="T2616" s="66"/>
      <c r="U2616" s="67"/>
      <c r="V2616" s="68"/>
      <c r="W2616" s="69"/>
      <c r="X2616" s="70">
        <f t="shared" si="2185"/>
        <v>0</v>
      </c>
      <c r="Y2616" s="11">
        <f t="shared" si="2170"/>
        <v>0</v>
      </c>
      <c r="Z2616" s="101" t="s">
        <v>1028</v>
      </c>
      <c r="AA2616" s="58"/>
    </row>
    <row r="2617" spans="1:27" x14ac:dyDescent="0.15">
      <c r="A2617" s="57"/>
      <c r="B2617" s="26"/>
      <c r="C2617" s="47"/>
      <c r="D2617" s="27"/>
      <c r="E2617" s="34"/>
      <c r="F2617" s="35">
        <f t="shared" si="2177"/>
        <v>0</v>
      </c>
      <c r="G2617" s="26"/>
      <c r="H2617" s="47"/>
      <c r="I2617" s="27"/>
      <c r="J2617" s="34"/>
      <c r="K2617" s="35">
        <f t="shared" si="2178"/>
        <v>0</v>
      </c>
      <c r="L2617" s="11">
        <f t="shared" si="2167"/>
        <v>0</v>
      </c>
      <c r="N2617" s="153" t="s">
        <v>2047</v>
      </c>
      <c r="O2617" s="154"/>
      <c r="P2617" s="155"/>
      <c r="Q2617" s="156"/>
      <c r="R2617" s="157"/>
      <c r="S2617" s="158">
        <f t="shared" si="2184"/>
        <v>0</v>
      </c>
      <c r="T2617" s="154"/>
      <c r="U2617" s="155"/>
      <c r="V2617" s="156"/>
      <c r="W2617" s="157"/>
      <c r="X2617" s="158">
        <f t="shared" si="2185"/>
        <v>0</v>
      </c>
      <c r="Y2617" s="159">
        <f t="shared" si="2170"/>
        <v>0</v>
      </c>
      <c r="Z2617" s="160"/>
      <c r="AA2617" s="58"/>
    </row>
    <row r="2618" spans="1:27" ht="14.25" thickBot="1" x14ac:dyDescent="0.2">
      <c r="A2618" s="90"/>
      <c r="B2618" s="62"/>
      <c r="C2618" s="63"/>
      <c r="D2618" s="64"/>
      <c r="E2618" s="65"/>
      <c r="F2618" s="35">
        <f t="shared" si="2177"/>
        <v>0</v>
      </c>
      <c r="G2618" s="62"/>
      <c r="H2618" s="63"/>
      <c r="I2618" s="64"/>
      <c r="J2618" s="65"/>
      <c r="K2618" s="35">
        <f t="shared" si="2178"/>
        <v>0</v>
      </c>
      <c r="L2618" s="14">
        <f t="shared" si="2167"/>
        <v>0</v>
      </c>
      <c r="N2618" s="135" t="s">
        <v>2048</v>
      </c>
      <c r="O2618" s="62"/>
      <c r="P2618" s="63"/>
      <c r="Q2618" s="64"/>
      <c r="R2618" s="65"/>
      <c r="S2618" s="120">
        <f t="shared" si="2184"/>
        <v>0</v>
      </c>
      <c r="T2618" s="62"/>
      <c r="U2618" s="63"/>
      <c r="V2618" s="64"/>
      <c r="W2618" s="65"/>
      <c r="X2618" s="120">
        <f t="shared" si="2185"/>
        <v>0</v>
      </c>
      <c r="Y2618" s="121">
        <f t="shared" si="2170"/>
        <v>0</v>
      </c>
      <c r="Z2618" s="101" t="s">
        <v>2049</v>
      </c>
      <c r="AA2618" s="58"/>
    </row>
    <row r="2619" spans="1:27" ht="14.25" thickBot="1" x14ac:dyDescent="0.2">
      <c r="A2619" s="17" t="s">
        <v>10</v>
      </c>
      <c r="B2619" s="38">
        <f>SUM(B2594:B2618)</f>
        <v>4</v>
      </c>
      <c r="C2619" s="48">
        <f>SUM(C2594:C2618)</f>
        <v>9</v>
      </c>
      <c r="D2619" s="39">
        <f>SUM(D2594:D2618)</f>
        <v>4</v>
      </c>
      <c r="E2619" s="40">
        <f>SUM(E2594:E2618)</f>
        <v>8</v>
      </c>
      <c r="F2619" s="36">
        <f>SUM(B2619:E2619)</f>
        <v>25</v>
      </c>
      <c r="G2619" s="38">
        <f>SUM(G2594:G2618)</f>
        <v>2</v>
      </c>
      <c r="H2619" s="48">
        <f>SUM(H2594:H2618)</f>
        <v>2</v>
      </c>
      <c r="I2619" s="39">
        <f>SUM(I2594:I2618)</f>
        <v>2</v>
      </c>
      <c r="J2619" s="40">
        <f>SUM(J2594:J2618)</f>
        <v>4</v>
      </c>
      <c r="K2619" s="36">
        <f>SUM(G2619:J2619)</f>
        <v>10</v>
      </c>
      <c r="L2619" s="37">
        <f t="shared" si="2167"/>
        <v>35</v>
      </c>
      <c r="N2619" s="133" t="s">
        <v>10</v>
      </c>
      <c r="O2619" s="38">
        <f>SUM(O2594:O2618)</f>
        <v>125</v>
      </c>
      <c r="P2619" s="48">
        <f>SUM(P2594:P2618)</f>
        <v>126</v>
      </c>
      <c r="Q2619" s="39">
        <f>SUM(Q2594:Q2618)</f>
        <v>58</v>
      </c>
      <c r="R2619" s="40">
        <f>SUM(R2594:R2618)</f>
        <v>53</v>
      </c>
      <c r="S2619" s="118">
        <f t="shared" si="2184"/>
        <v>362</v>
      </c>
      <c r="T2619" s="38">
        <f>SUM(T2594:T2618)</f>
        <v>33</v>
      </c>
      <c r="U2619" s="48">
        <f>SUM(U2594:U2618)</f>
        <v>34</v>
      </c>
      <c r="V2619" s="39">
        <f>SUM(V2594:V2618)</f>
        <v>19</v>
      </c>
      <c r="W2619" s="40">
        <f>SUM(W2594:W2618)</f>
        <v>24</v>
      </c>
      <c r="X2619" s="118">
        <f t="shared" si="2185"/>
        <v>110</v>
      </c>
      <c r="Y2619" s="119">
        <f t="shared" si="2170"/>
        <v>472</v>
      </c>
    </row>
    <row r="2620" spans="1:27" ht="14.25" thickBot="1" x14ac:dyDescent="0.2">
      <c r="A2620" s="22" t="s">
        <v>11</v>
      </c>
      <c r="B2620" s="41">
        <f>B2593-B2619</f>
        <v>23</v>
      </c>
      <c r="C2620" s="49">
        <f>C2593-C2619</f>
        <v>18</v>
      </c>
      <c r="D2620" s="42">
        <f t="shared" ref="D2620:K2620" si="2195">D2593-D2619</f>
        <v>13</v>
      </c>
      <c r="E2620" s="43">
        <f t="shared" si="2195"/>
        <v>1</v>
      </c>
      <c r="F2620" s="61">
        <f t="shared" si="2195"/>
        <v>51</v>
      </c>
      <c r="G2620" s="41">
        <f t="shared" si="2195"/>
        <v>8</v>
      </c>
      <c r="H2620" s="49">
        <f t="shared" si="2195"/>
        <v>5</v>
      </c>
      <c r="I2620" s="42">
        <f t="shared" si="2195"/>
        <v>8</v>
      </c>
      <c r="J2620" s="43">
        <f t="shared" si="2195"/>
        <v>5</v>
      </c>
      <c r="K2620" s="61">
        <f t="shared" si="2195"/>
        <v>26</v>
      </c>
      <c r="L2620" s="21">
        <f t="shared" si="2167"/>
        <v>77</v>
      </c>
      <c r="N2620" s="17" t="s">
        <v>11</v>
      </c>
      <c r="O2620" s="41">
        <f>O2593-O2619</f>
        <v>428</v>
      </c>
      <c r="P2620" s="49">
        <f t="shared" ref="P2620:Q2620" si="2196">P2593-P2619</f>
        <v>535</v>
      </c>
      <c r="Q2620" s="42">
        <f t="shared" si="2196"/>
        <v>463</v>
      </c>
      <c r="R2620" s="43">
        <f>R2593-R2619</f>
        <v>334</v>
      </c>
      <c r="S2620" s="61">
        <f t="shared" ref="S2620:X2620" si="2197">S2593-S2619</f>
        <v>1760</v>
      </c>
      <c r="T2620" s="41">
        <f t="shared" si="2197"/>
        <v>454</v>
      </c>
      <c r="U2620" s="49">
        <f t="shared" si="2197"/>
        <v>439</v>
      </c>
      <c r="V2620" s="42">
        <f t="shared" si="2197"/>
        <v>385</v>
      </c>
      <c r="W2620" s="43">
        <f t="shared" si="2197"/>
        <v>231</v>
      </c>
      <c r="X2620" s="61">
        <f t="shared" si="2197"/>
        <v>1509</v>
      </c>
      <c r="Y2620" s="21">
        <f t="shared" si="2170"/>
        <v>3269</v>
      </c>
      <c r="Z2620" s="195" t="s">
        <v>2102</v>
      </c>
    </row>
    <row r="2621" spans="1:27" x14ac:dyDescent="0.15">
      <c r="N2621" s="312"/>
    </row>
    <row r="2622" spans="1:27" x14ac:dyDescent="0.15">
      <c r="N2622" s="266"/>
      <c r="O2622" s="125"/>
      <c r="P2622" s="125"/>
      <c r="Q2622" s="125"/>
      <c r="R2622" s="125"/>
      <c r="S2622" s="125"/>
      <c r="T2622" s="125"/>
      <c r="U2622" s="125"/>
      <c r="V2622" s="125"/>
      <c r="W2622" s="125"/>
      <c r="X2622" s="125"/>
    </row>
    <row r="2623" spans="1:27" ht="19.5" thickBot="1" x14ac:dyDescent="0.25">
      <c r="A2623" s="2" t="s">
        <v>106</v>
      </c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N2623" s="2" t="s">
        <v>1036</v>
      </c>
      <c r="O2623" s="270"/>
      <c r="P2623" s="1"/>
      <c r="Q2623" s="1"/>
      <c r="R2623" s="1"/>
      <c r="S2623" s="1">
        <v>70.599999999999994</v>
      </c>
      <c r="T2623" s="1"/>
      <c r="U2623" s="1"/>
      <c r="V2623" s="1"/>
      <c r="W2623" s="1"/>
      <c r="X2623" s="1">
        <v>29.4</v>
      </c>
      <c r="Y2623" s="1"/>
    </row>
    <row r="2624" spans="1:27" ht="14.25" thickBot="1" x14ac:dyDescent="0.2">
      <c r="A2624" s="5" t="s">
        <v>0</v>
      </c>
      <c r="B2624" s="342" t="s">
        <v>18</v>
      </c>
      <c r="C2624" s="350"/>
      <c r="D2624" s="350"/>
      <c r="E2624" s="350"/>
      <c r="F2624" s="351"/>
      <c r="G2624" s="345" t="s">
        <v>12</v>
      </c>
      <c r="H2624" s="352"/>
      <c r="I2624" s="352"/>
      <c r="J2624" s="352"/>
      <c r="K2624" s="353"/>
      <c r="L2624" s="354" t="s">
        <v>1</v>
      </c>
      <c r="N2624" s="5" t="s">
        <v>0</v>
      </c>
      <c r="O2624" s="342" t="s">
        <v>18</v>
      </c>
      <c r="P2624" s="343"/>
      <c r="Q2624" s="343"/>
      <c r="R2624" s="343"/>
      <c r="S2624" s="344"/>
      <c r="T2624" s="345" t="s">
        <v>12</v>
      </c>
      <c r="U2624" s="346"/>
      <c r="V2624" s="346"/>
      <c r="W2624" s="346"/>
      <c r="X2624" s="347"/>
      <c r="Y2624" s="348" t="s">
        <v>1</v>
      </c>
    </row>
    <row r="2625" spans="1:27" ht="14.25" thickBot="1" x14ac:dyDescent="0.2">
      <c r="A2625" s="5" t="s">
        <v>2</v>
      </c>
      <c r="B2625" s="3" t="s">
        <v>13</v>
      </c>
      <c r="C2625" s="44" t="s">
        <v>14</v>
      </c>
      <c r="D2625" s="4" t="s">
        <v>15</v>
      </c>
      <c r="E2625" s="23" t="s">
        <v>16</v>
      </c>
      <c r="F2625" s="31" t="s">
        <v>3</v>
      </c>
      <c r="G2625" s="3" t="s">
        <v>13</v>
      </c>
      <c r="H2625" s="44" t="s">
        <v>14</v>
      </c>
      <c r="I2625" s="4" t="s">
        <v>15</v>
      </c>
      <c r="J2625" s="23" t="s">
        <v>16</v>
      </c>
      <c r="K2625" s="31" t="s">
        <v>3</v>
      </c>
      <c r="L2625" s="355"/>
      <c r="N2625" s="5" t="s">
        <v>2</v>
      </c>
      <c r="O2625" s="3" t="s">
        <v>13</v>
      </c>
      <c r="P2625" s="44" t="s">
        <v>14</v>
      </c>
      <c r="Q2625" s="4" t="s">
        <v>15</v>
      </c>
      <c r="R2625" s="23" t="s">
        <v>16</v>
      </c>
      <c r="S2625" s="31" t="s">
        <v>3</v>
      </c>
      <c r="T2625" s="3" t="s">
        <v>13</v>
      </c>
      <c r="U2625" s="44" t="s">
        <v>14</v>
      </c>
      <c r="V2625" s="4" t="s">
        <v>15</v>
      </c>
      <c r="W2625" s="23" t="s">
        <v>16</v>
      </c>
      <c r="X2625" s="31" t="s">
        <v>3</v>
      </c>
      <c r="Y2625" s="349"/>
    </row>
    <row r="2626" spans="1:27" x14ac:dyDescent="0.15">
      <c r="A2626" s="71" t="s">
        <v>17</v>
      </c>
      <c r="B2626" s="72">
        <f>B2620</f>
        <v>23</v>
      </c>
      <c r="C2626" s="73">
        <f t="shared" ref="C2626:L2626" si="2198">C2620</f>
        <v>18</v>
      </c>
      <c r="D2626" s="73">
        <f t="shared" si="2198"/>
        <v>13</v>
      </c>
      <c r="E2626" s="74">
        <f t="shared" si="2198"/>
        <v>1</v>
      </c>
      <c r="F2626" s="76">
        <f t="shared" si="2198"/>
        <v>51</v>
      </c>
      <c r="G2626" s="72">
        <f t="shared" si="2198"/>
        <v>8</v>
      </c>
      <c r="H2626" s="73">
        <f t="shared" si="2198"/>
        <v>5</v>
      </c>
      <c r="I2626" s="73">
        <f t="shared" si="2198"/>
        <v>8</v>
      </c>
      <c r="J2626" s="74">
        <f t="shared" si="2198"/>
        <v>5</v>
      </c>
      <c r="K2626" s="75">
        <f t="shared" si="2198"/>
        <v>26</v>
      </c>
      <c r="L2626" s="16">
        <f t="shared" si="2198"/>
        <v>77</v>
      </c>
      <c r="N2626" s="71" t="s">
        <v>17</v>
      </c>
      <c r="O2626" s="72">
        <f>O2620</f>
        <v>428</v>
      </c>
      <c r="P2626" s="73">
        <f t="shared" ref="P2626:Y2626" si="2199">P2620</f>
        <v>535</v>
      </c>
      <c r="Q2626" s="73">
        <f t="shared" si="2199"/>
        <v>463</v>
      </c>
      <c r="R2626" s="74">
        <f t="shared" si="2199"/>
        <v>334</v>
      </c>
      <c r="S2626" s="76">
        <f t="shared" si="2199"/>
        <v>1760</v>
      </c>
      <c r="T2626" s="72">
        <f t="shared" si="2199"/>
        <v>454</v>
      </c>
      <c r="U2626" s="73">
        <f t="shared" si="2199"/>
        <v>439</v>
      </c>
      <c r="V2626" s="73">
        <f t="shared" si="2199"/>
        <v>385</v>
      </c>
      <c r="W2626" s="74">
        <f t="shared" si="2199"/>
        <v>231</v>
      </c>
      <c r="X2626" s="75">
        <f t="shared" si="2199"/>
        <v>1509</v>
      </c>
      <c r="Y2626" s="16">
        <f t="shared" si="2199"/>
        <v>3269</v>
      </c>
    </row>
    <row r="2627" spans="1:27" x14ac:dyDescent="0.15">
      <c r="A2627" s="13" t="s">
        <v>5</v>
      </c>
      <c r="B2627" s="26"/>
      <c r="C2627" s="47"/>
      <c r="D2627" s="27"/>
      <c r="E2627" s="50">
        <v>5</v>
      </c>
      <c r="F2627" s="9">
        <f t="shared" ref="F2627:F2628" si="2200">SUM(B2627:E2627)</f>
        <v>5</v>
      </c>
      <c r="G2627" s="47"/>
      <c r="H2627" s="47"/>
      <c r="I2627" s="27"/>
      <c r="J2627" s="50"/>
      <c r="K2627" s="9">
        <f t="shared" ref="K2627:K2628" si="2201">SUM(G2627:J2627)</f>
        <v>0</v>
      </c>
      <c r="L2627" s="11">
        <f t="shared" ref="L2627:L2658" si="2202">F2627+K2627</f>
        <v>5</v>
      </c>
      <c r="M2627" s="99">
        <v>46139</v>
      </c>
      <c r="N2627" s="13" t="s">
        <v>5</v>
      </c>
      <c r="O2627" s="26"/>
      <c r="P2627" s="47"/>
      <c r="Q2627" s="27"/>
      <c r="R2627" s="34"/>
      <c r="S2627" s="77">
        <f t="shared" ref="S2627:S2630" si="2203">SUM(O2627:R2627)</f>
        <v>0</v>
      </c>
      <c r="T2627" s="26"/>
      <c r="U2627" s="47"/>
      <c r="V2627" s="27"/>
      <c r="W2627" s="34"/>
      <c r="X2627" s="9">
        <f t="shared" ref="X2627:X2630" si="2204">SUM(T2627:W2627)</f>
        <v>0</v>
      </c>
      <c r="Y2627" s="11">
        <f t="shared" ref="Y2627:Y2658" si="2205">S2627+X2627</f>
        <v>0</v>
      </c>
    </row>
    <row r="2628" spans="1:27" x14ac:dyDescent="0.15">
      <c r="A2628" s="13" t="s">
        <v>6</v>
      </c>
      <c r="B2628" s="26"/>
      <c r="C2628" s="47"/>
      <c r="D2628" s="27"/>
      <c r="E2628" s="50"/>
      <c r="F2628" s="9">
        <f t="shared" si="2200"/>
        <v>0</v>
      </c>
      <c r="G2628" s="47"/>
      <c r="H2628" s="47">
        <v>5</v>
      </c>
      <c r="I2628" s="27"/>
      <c r="J2628" s="50"/>
      <c r="K2628" s="9">
        <f t="shared" si="2201"/>
        <v>5</v>
      </c>
      <c r="L2628" s="11">
        <f t="shared" si="2202"/>
        <v>5</v>
      </c>
      <c r="M2628" s="99">
        <v>46140</v>
      </c>
      <c r="N2628" s="13" t="s">
        <v>6</v>
      </c>
      <c r="O2628" s="26"/>
      <c r="P2628" s="47"/>
      <c r="Q2628" s="27"/>
      <c r="R2628" s="34"/>
      <c r="S2628" s="77">
        <f t="shared" si="2203"/>
        <v>0</v>
      </c>
      <c r="T2628" s="26"/>
      <c r="U2628" s="47"/>
      <c r="V2628" s="27"/>
      <c r="W2628" s="34"/>
      <c r="X2628" s="9">
        <f t="shared" si="2204"/>
        <v>0</v>
      </c>
      <c r="Y2628" s="11">
        <f t="shared" si="2205"/>
        <v>0</v>
      </c>
    </row>
    <row r="2629" spans="1:27" x14ac:dyDescent="0.15">
      <c r="A2629" s="13" t="s">
        <v>7</v>
      </c>
      <c r="B2629" s="26"/>
      <c r="C2629" s="47"/>
      <c r="D2629" s="27"/>
      <c r="E2629" s="50">
        <v>5</v>
      </c>
      <c r="F2629" s="9">
        <f>SUM(B2629:E2629)</f>
        <v>5</v>
      </c>
      <c r="G2629" s="47"/>
      <c r="H2629" s="47"/>
      <c r="I2629" s="27">
        <v>5</v>
      </c>
      <c r="J2629" s="50">
        <v>3</v>
      </c>
      <c r="K2629" s="9">
        <f>SUM(G2629:J2629)</f>
        <v>8</v>
      </c>
      <c r="L2629" s="11">
        <f t="shared" si="2202"/>
        <v>13</v>
      </c>
      <c r="M2629" s="99">
        <v>46142</v>
      </c>
      <c r="N2629" s="13" t="s">
        <v>7</v>
      </c>
      <c r="O2629" s="26"/>
      <c r="P2629" s="47"/>
      <c r="Q2629" s="27"/>
      <c r="R2629" s="34"/>
      <c r="S2629" s="77">
        <f t="shared" si="2203"/>
        <v>0</v>
      </c>
      <c r="T2629" s="26"/>
      <c r="U2629" s="47"/>
      <c r="V2629" s="27"/>
      <c r="W2629" s="34"/>
      <c r="X2629" s="9">
        <f t="shared" si="2204"/>
        <v>0</v>
      </c>
      <c r="Y2629" s="11">
        <f t="shared" si="2205"/>
        <v>0</v>
      </c>
    </row>
    <row r="2630" spans="1:27" ht="14.25" thickBot="1" x14ac:dyDescent="0.2">
      <c r="A2630" s="13" t="s">
        <v>8</v>
      </c>
      <c r="B2630" s="26"/>
      <c r="C2630" s="47"/>
      <c r="D2630" s="27"/>
      <c r="E2630" s="50"/>
      <c r="F2630" s="10">
        <f>SUM(B2630:E2630)</f>
        <v>0</v>
      </c>
      <c r="G2630" s="47"/>
      <c r="H2630" s="47">
        <v>5</v>
      </c>
      <c r="I2630" s="27"/>
      <c r="J2630" s="50"/>
      <c r="K2630" s="10">
        <f>SUM(G2630:J2630)</f>
        <v>5</v>
      </c>
      <c r="L2630" s="14">
        <f t="shared" si="2202"/>
        <v>5</v>
      </c>
      <c r="M2630" s="99">
        <v>46150</v>
      </c>
      <c r="N2630" s="13" t="s">
        <v>8</v>
      </c>
      <c r="O2630" s="26"/>
      <c r="P2630" s="47"/>
      <c r="Q2630" s="27"/>
      <c r="R2630" s="34"/>
      <c r="S2630" s="77">
        <f t="shared" si="2203"/>
        <v>0</v>
      </c>
      <c r="T2630" s="26"/>
      <c r="U2630" s="47"/>
      <c r="V2630" s="27"/>
      <c r="W2630" s="34"/>
      <c r="X2630" s="9">
        <f t="shared" si="2204"/>
        <v>0</v>
      </c>
      <c r="Y2630" s="11">
        <f t="shared" si="2205"/>
        <v>0</v>
      </c>
    </row>
    <row r="2631" spans="1:27" ht="14.25" thickBot="1" x14ac:dyDescent="0.2">
      <c r="A2631" s="22" t="s">
        <v>9</v>
      </c>
      <c r="B2631" s="41">
        <f t="shared" ref="B2631:K2631" si="2206">SUM(B2626:B2630)</f>
        <v>23</v>
      </c>
      <c r="C2631" s="49">
        <f t="shared" si="2206"/>
        <v>18</v>
      </c>
      <c r="D2631" s="42">
        <f t="shared" si="2206"/>
        <v>13</v>
      </c>
      <c r="E2631" s="92">
        <f t="shared" si="2206"/>
        <v>11</v>
      </c>
      <c r="F2631" s="132">
        <f t="shared" si="2206"/>
        <v>61</v>
      </c>
      <c r="G2631" s="41">
        <f t="shared" si="2206"/>
        <v>8</v>
      </c>
      <c r="H2631" s="49">
        <f t="shared" si="2206"/>
        <v>15</v>
      </c>
      <c r="I2631" s="42">
        <f t="shared" si="2206"/>
        <v>13</v>
      </c>
      <c r="J2631" s="92">
        <f t="shared" si="2206"/>
        <v>8</v>
      </c>
      <c r="K2631" s="132">
        <f t="shared" si="2206"/>
        <v>44</v>
      </c>
      <c r="L2631" s="21">
        <f t="shared" si="2202"/>
        <v>105</v>
      </c>
      <c r="N2631" s="17" t="s">
        <v>9</v>
      </c>
      <c r="O2631" s="41">
        <f>SUM(O2626:O2630)</f>
        <v>428</v>
      </c>
      <c r="P2631" s="49">
        <f t="shared" ref="P2631:V2631" si="2207">SUM(P2626:P2630)</f>
        <v>535</v>
      </c>
      <c r="Q2631" s="42">
        <f t="shared" si="2207"/>
        <v>463</v>
      </c>
      <c r="R2631" s="92">
        <f t="shared" si="2207"/>
        <v>334</v>
      </c>
      <c r="S2631" s="93">
        <f t="shared" si="2207"/>
        <v>1760</v>
      </c>
      <c r="T2631" s="41">
        <f t="shared" si="2207"/>
        <v>454</v>
      </c>
      <c r="U2631" s="49">
        <f t="shared" si="2207"/>
        <v>439</v>
      </c>
      <c r="V2631" s="42">
        <f t="shared" si="2207"/>
        <v>385</v>
      </c>
      <c r="W2631" s="92">
        <f>SUM(W2626:W2630)</f>
        <v>231</v>
      </c>
      <c r="X2631" s="93">
        <f t="shared" ref="X2631" si="2208">SUM(X2626:X2630)</f>
        <v>1509</v>
      </c>
      <c r="Y2631" s="56">
        <f t="shared" si="2205"/>
        <v>3269</v>
      </c>
    </row>
    <row r="2632" spans="1:27" x14ac:dyDescent="0.15">
      <c r="A2632" s="13" t="s">
        <v>1815</v>
      </c>
      <c r="B2632" s="26">
        <v>2</v>
      </c>
      <c r="C2632" s="47">
        <v>2</v>
      </c>
      <c r="D2632" s="27">
        <v>2</v>
      </c>
      <c r="E2632" s="34"/>
      <c r="F2632" s="35">
        <f t="shared" ref="F2632" si="2209">SUM(B2632:E2632)</f>
        <v>6</v>
      </c>
      <c r="G2632" s="26">
        <v>2</v>
      </c>
      <c r="H2632" s="47">
        <v>2</v>
      </c>
      <c r="I2632" s="27">
        <v>2</v>
      </c>
      <c r="J2632" s="34"/>
      <c r="K2632" s="35">
        <f t="shared" ref="K2632" si="2210">SUM(G2632:J2632)</f>
        <v>6</v>
      </c>
      <c r="L2632" s="11">
        <f t="shared" si="2202"/>
        <v>12</v>
      </c>
      <c r="M2632" s="99">
        <v>46139</v>
      </c>
      <c r="N2632" s="173" t="s">
        <v>2162</v>
      </c>
      <c r="O2632" s="26">
        <v>8</v>
      </c>
      <c r="P2632" s="47">
        <v>9</v>
      </c>
      <c r="Q2632" s="27">
        <v>5</v>
      </c>
      <c r="R2632" s="34">
        <v>3</v>
      </c>
      <c r="S2632" s="35">
        <f t="shared" ref="S2632:S2638" si="2211">SUM(O2632:R2632)</f>
        <v>25</v>
      </c>
      <c r="T2632" s="26"/>
      <c r="U2632" s="47"/>
      <c r="V2632" s="27"/>
      <c r="W2632" s="34"/>
      <c r="X2632" s="35">
        <f t="shared" ref="X2632:X2638" si="2212">SUM(T2632:W2632)</f>
        <v>0</v>
      </c>
      <c r="Y2632" s="11">
        <f t="shared" si="2205"/>
        <v>25</v>
      </c>
      <c r="Z2632" s="99">
        <v>46136</v>
      </c>
    </row>
    <row r="2633" spans="1:27" x14ac:dyDescent="0.15">
      <c r="A2633" s="15" t="s">
        <v>41</v>
      </c>
      <c r="B2633" s="26">
        <v>1</v>
      </c>
      <c r="C2633" s="47">
        <v>2</v>
      </c>
      <c r="D2633" s="27">
        <v>3</v>
      </c>
      <c r="E2633" s="34"/>
      <c r="F2633" s="35">
        <f t="shared" ref="F2633:F2656" si="2213">SUM(B2633:E2633)</f>
        <v>6</v>
      </c>
      <c r="G2633" s="26">
        <v>1</v>
      </c>
      <c r="H2633" s="47">
        <v>1</v>
      </c>
      <c r="I2633" s="27">
        <v>1</v>
      </c>
      <c r="J2633" s="34"/>
      <c r="K2633" s="35">
        <f t="shared" ref="K2633:K2656" si="2214">SUM(G2633:J2633)</f>
        <v>3</v>
      </c>
      <c r="L2633" s="11">
        <f t="shared" si="2202"/>
        <v>9</v>
      </c>
      <c r="M2633" s="99">
        <v>46139</v>
      </c>
      <c r="N2633" s="12" t="s">
        <v>2163</v>
      </c>
      <c r="O2633" s="26">
        <v>4</v>
      </c>
      <c r="P2633" s="47"/>
      <c r="Q2633" s="27">
        <v>4</v>
      </c>
      <c r="R2633" s="34">
        <v>18</v>
      </c>
      <c r="S2633" s="35">
        <f t="shared" si="2211"/>
        <v>26</v>
      </c>
      <c r="T2633" s="26"/>
      <c r="U2633" s="47">
        <v>12</v>
      </c>
      <c r="V2633" s="27">
        <v>8</v>
      </c>
      <c r="W2633" s="34">
        <v>8</v>
      </c>
      <c r="X2633" s="35">
        <f t="shared" si="2212"/>
        <v>28</v>
      </c>
      <c r="Y2633" s="11">
        <f t="shared" si="2205"/>
        <v>54</v>
      </c>
      <c r="Z2633" s="99">
        <v>46136</v>
      </c>
      <c r="AA2633" s="58"/>
    </row>
    <row r="2634" spans="1:27" x14ac:dyDescent="0.15">
      <c r="A2634" s="13" t="s">
        <v>1815</v>
      </c>
      <c r="B2634" s="26"/>
      <c r="C2634" s="47"/>
      <c r="D2634" s="27"/>
      <c r="E2634" s="34">
        <v>2</v>
      </c>
      <c r="F2634" s="35">
        <f t="shared" si="2213"/>
        <v>2</v>
      </c>
      <c r="G2634" s="26"/>
      <c r="H2634" s="47"/>
      <c r="I2634" s="27"/>
      <c r="J2634" s="34">
        <v>2</v>
      </c>
      <c r="K2634" s="35">
        <f t="shared" si="2214"/>
        <v>2</v>
      </c>
      <c r="L2634" s="11">
        <f t="shared" si="2202"/>
        <v>4</v>
      </c>
      <c r="M2634" s="99">
        <v>46142</v>
      </c>
      <c r="N2634" s="173" t="s">
        <v>2164</v>
      </c>
      <c r="O2634" s="26">
        <v>3</v>
      </c>
      <c r="P2634" s="47">
        <v>14</v>
      </c>
      <c r="Q2634" s="27">
        <v>4</v>
      </c>
      <c r="R2634" s="34">
        <v>2</v>
      </c>
      <c r="S2634" s="35">
        <f t="shared" si="2211"/>
        <v>23</v>
      </c>
      <c r="T2634" s="26"/>
      <c r="U2634" s="47">
        <v>2</v>
      </c>
      <c r="V2634" s="27">
        <v>2</v>
      </c>
      <c r="W2634" s="34"/>
      <c r="X2634" s="35">
        <f t="shared" si="2212"/>
        <v>4</v>
      </c>
      <c r="Y2634" s="11">
        <f t="shared" si="2205"/>
        <v>27</v>
      </c>
      <c r="Z2634" s="99">
        <v>46137</v>
      </c>
    </row>
    <row r="2635" spans="1:27" x14ac:dyDescent="0.15">
      <c r="A2635" s="12" t="s">
        <v>2180</v>
      </c>
      <c r="B2635" s="26"/>
      <c r="C2635" s="47">
        <v>4</v>
      </c>
      <c r="D2635" s="27"/>
      <c r="E2635" s="34">
        <v>4</v>
      </c>
      <c r="F2635" s="35">
        <f t="shared" si="2213"/>
        <v>8</v>
      </c>
      <c r="G2635" s="26"/>
      <c r="H2635" s="47">
        <v>2</v>
      </c>
      <c r="I2635" s="27">
        <v>4</v>
      </c>
      <c r="J2635" s="34"/>
      <c r="K2635" s="35">
        <f t="shared" si="2214"/>
        <v>6</v>
      </c>
      <c r="L2635" s="11">
        <f t="shared" si="2202"/>
        <v>14</v>
      </c>
      <c r="M2635" s="99">
        <v>46143</v>
      </c>
      <c r="N2635" s="12" t="s">
        <v>2165</v>
      </c>
      <c r="O2635" s="26"/>
      <c r="P2635" s="47"/>
      <c r="Q2635" s="27">
        <v>6</v>
      </c>
      <c r="R2635" s="34">
        <v>12</v>
      </c>
      <c r="S2635" s="35">
        <f t="shared" si="2211"/>
        <v>18</v>
      </c>
      <c r="T2635" s="26"/>
      <c r="U2635" s="47"/>
      <c r="V2635" s="27"/>
      <c r="W2635" s="34">
        <v>10</v>
      </c>
      <c r="X2635" s="35">
        <f t="shared" si="2212"/>
        <v>10</v>
      </c>
      <c r="Y2635" s="11">
        <f t="shared" si="2205"/>
        <v>28</v>
      </c>
      <c r="Z2635" s="99">
        <v>46143</v>
      </c>
    </row>
    <row r="2636" spans="1:27" x14ac:dyDescent="0.15">
      <c r="A2636" s="15" t="s">
        <v>41</v>
      </c>
      <c r="B2636" s="26"/>
      <c r="C2636" s="47"/>
      <c r="D2636" s="27"/>
      <c r="E2636" s="34">
        <v>1</v>
      </c>
      <c r="F2636" s="35">
        <f t="shared" si="2213"/>
        <v>1</v>
      </c>
      <c r="G2636" s="26"/>
      <c r="H2636" s="47"/>
      <c r="I2636" s="27"/>
      <c r="J2636" s="34"/>
      <c r="K2636" s="35">
        <f t="shared" si="2214"/>
        <v>0</v>
      </c>
      <c r="L2636" s="11">
        <f t="shared" si="2202"/>
        <v>1</v>
      </c>
      <c r="M2636" s="126">
        <v>46140</v>
      </c>
      <c r="N2636" s="173" t="s">
        <v>2168</v>
      </c>
      <c r="O2636" s="26">
        <v>20</v>
      </c>
      <c r="P2636" s="47">
        <v>7</v>
      </c>
      <c r="Q2636" s="27">
        <v>5</v>
      </c>
      <c r="R2636" s="34">
        <v>7</v>
      </c>
      <c r="S2636" s="35">
        <f t="shared" si="2211"/>
        <v>39</v>
      </c>
      <c r="T2636" s="26"/>
      <c r="U2636" s="47">
        <v>3</v>
      </c>
      <c r="V2636" s="27">
        <v>1</v>
      </c>
      <c r="W2636" s="34">
        <v>2</v>
      </c>
      <c r="X2636" s="35">
        <f t="shared" si="2212"/>
        <v>6</v>
      </c>
      <c r="Y2636" s="11">
        <f t="shared" si="2205"/>
        <v>45</v>
      </c>
      <c r="Z2636" s="99">
        <v>46139</v>
      </c>
    </row>
    <row r="2637" spans="1:27" x14ac:dyDescent="0.15">
      <c r="A2637" s="15" t="s">
        <v>41</v>
      </c>
      <c r="B2637" s="26"/>
      <c r="C2637" s="47"/>
      <c r="D2637" s="27"/>
      <c r="E2637" s="34"/>
      <c r="F2637" s="35">
        <f t="shared" si="2213"/>
        <v>0</v>
      </c>
      <c r="G2637" s="26"/>
      <c r="H2637" s="47">
        <v>1</v>
      </c>
      <c r="I2637" s="27"/>
      <c r="J2637" s="34">
        <v>1</v>
      </c>
      <c r="K2637" s="35">
        <f t="shared" si="2214"/>
        <v>2</v>
      </c>
      <c r="L2637" s="11">
        <f t="shared" si="2202"/>
        <v>2</v>
      </c>
      <c r="M2637" s="126">
        <v>46142</v>
      </c>
      <c r="N2637" s="305" t="s">
        <v>2171</v>
      </c>
      <c r="O2637" s="295"/>
      <c r="P2637" s="296"/>
      <c r="Q2637" s="297"/>
      <c r="R2637" s="306">
        <v>5</v>
      </c>
      <c r="S2637" s="307">
        <f t="shared" si="2211"/>
        <v>5</v>
      </c>
      <c r="T2637" s="295"/>
      <c r="U2637" s="296"/>
      <c r="V2637" s="297"/>
      <c r="W2637" s="306"/>
      <c r="X2637" s="307">
        <f t="shared" si="2212"/>
        <v>0</v>
      </c>
      <c r="Y2637" s="300">
        <f t="shared" si="2205"/>
        <v>5</v>
      </c>
      <c r="Z2637" s="301">
        <v>46139</v>
      </c>
    </row>
    <row r="2638" spans="1:27" x14ac:dyDescent="0.15">
      <c r="A2638" s="15" t="s">
        <v>2188</v>
      </c>
      <c r="B2638" s="26">
        <v>-1</v>
      </c>
      <c r="C2638" s="47"/>
      <c r="D2638" s="27"/>
      <c r="E2638" s="34"/>
      <c r="F2638" s="35">
        <f t="shared" si="2213"/>
        <v>-1</v>
      </c>
      <c r="G2638" s="26">
        <v>-1</v>
      </c>
      <c r="H2638" s="47">
        <v>2</v>
      </c>
      <c r="I2638" s="27"/>
      <c r="J2638" s="34"/>
      <c r="K2638" s="35">
        <f t="shared" si="2214"/>
        <v>1</v>
      </c>
      <c r="L2638" s="11">
        <f t="shared" si="2202"/>
        <v>0</v>
      </c>
      <c r="M2638" s="126">
        <v>46149</v>
      </c>
      <c r="N2638" s="173" t="s">
        <v>2173</v>
      </c>
      <c r="O2638" s="26">
        <v>19</v>
      </c>
      <c r="P2638" s="47">
        <v>12</v>
      </c>
      <c r="Q2638" s="27">
        <v>8</v>
      </c>
      <c r="R2638" s="34">
        <v>4</v>
      </c>
      <c r="S2638" s="35">
        <f t="shared" si="2211"/>
        <v>43</v>
      </c>
      <c r="T2638" s="26">
        <v>3</v>
      </c>
      <c r="U2638" s="47">
        <v>4</v>
      </c>
      <c r="V2638" s="27">
        <v>2</v>
      </c>
      <c r="W2638" s="34">
        <v>1</v>
      </c>
      <c r="X2638" s="35">
        <f t="shared" si="2212"/>
        <v>10</v>
      </c>
      <c r="Y2638" s="11">
        <f t="shared" si="2205"/>
        <v>53</v>
      </c>
      <c r="Z2638" s="99">
        <v>46140</v>
      </c>
    </row>
    <row r="2639" spans="1:27" x14ac:dyDescent="0.15">
      <c r="A2639" s="15" t="s">
        <v>41</v>
      </c>
      <c r="B2639" s="26">
        <v>1</v>
      </c>
      <c r="C2639" s="47">
        <v>1</v>
      </c>
      <c r="D2639" s="27"/>
      <c r="E2639" s="34"/>
      <c r="F2639" s="35">
        <f t="shared" si="2213"/>
        <v>2</v>
      </c>
      <c r="G2639" s="26">
        <v>2</v>
      </c>
      <c r="H2639" s="47">
        <v>1</v>
      </c>
      <c r="I2639" s="27"/>
      <c r="J2639" s="34"/>
      <c r="K2639" s="35">
        <f t="shared" si="2214"/>
        <v>3</v>
      </c>
      <c r="L2639" s="11">
        <f t="shared" si="2202"/>
        <v>5</v>
      </c>
      <c r="M2639" s="126">
        <v>46149</v>
      </c>
      <c r="N2639" s="12" t="s">
        <v>2174</v>
      </c>
      <c r="O2639" s="26">
        <v>4</v>
      </c>
      <c r="P2639" s="47">
        <v>9</v>
      </c>
      <c r="Q2639" s="27">
        <v>4</v>
      </c>
      <c r="R2639" s="50"/>
      <c r="S2639" s="9">
        <f>SUM(O2639:R2639)</f>
        <v>17</v>
      </c>
      <c r="T2639" s="47">
        <v>3</v>
      </c>
      <c r="U2639" s="47"/>
      <c r="V2639" s="27"/>
      <c r="W2639" s="50"/>
      <c r="X2639" s="9">
        <f>SUM(T2639:W2639)</f>
        <v>3</v>
      </c>
      <c r="Y2639" s="11">
        <f t="shared" si="2205"/>
        <v>20</v>
      </c>
      <c r="Z2639" s="99">
        <v>46140</v>
      </c>
    </row>
    <row r="2640" spans="1:27" x14ac:dyDescent="0.15">
      <c r="A2640" s="15" t="s">
        <v>2192</v>
      </c>
      <c r="B2640" s="26"/>
      <c r="C2640" s="47">
        <v>2</v>
      </c>
      <c r="D2640" s="27"/>
      <c r="E2640" s="34"/>
      <c r="F2640" s="35">
        <f t="shared" si="2213"/>
        <v>2</v>
      </c>
      <c r="G2640" s="26">
        <v>-2</v>
      </c>
      <c r="H2640" s="47"/>
      <c r="I2640" s="27"/>
      <c r="J2640" s="34"/>
      <c r="K2640" s="35">
        <f t="shared" si="2214"/>
        <v>-2</v>
      </c>
      <c r="L2640" s="11">
        <f t="shared" si="2202"/>
        <v>0</v>
      </c>
      <c r="M2640" s="126">
        <v>46153</v>
      </c>
      <c r="N2640" s="12" t="s">
        <v>2175</v>
      </c>
      <c r="O2640" s="26"/>
      <c r="P2640" s="47"/>
      <c r="Q2640" s="27">
        <v>1</v>
      </c>
      <c r="R2640" s="34"/>
      <c r="S2640" s="35">
        <f t="shared" ref="S2640:S2657" si="2215">SUM(O2640:R2640)</f>
        <v>1</v>
      </c>
      <c r="T2640" s="26"/>
      <c r="U2640" s="47"/>
      <c r="V2640" s="27"/>
      <c r="W2640" s="34"/>
      <c r="X2640" s="35">
        <f t="shared" ref="X2640:X2657" si="2216">SUM(T2640:W2640)</f>
        <v>0</v>
      </c>
      <c r="Y2640" s="11">
        <f t="shared" si="2205"/>
        <v>1</v>
      </c>
      <c r="Z2640" s="99">
        <v>46146</v>
      </c>
    </row>
    <row r="2641" spans="1:27" x14ac:dyDescent="0.15">
      <c r="A2641" s="15" t="s">
        <v>41</v>
      </c>
      <c r="B2641" s="26"/>
      <c r="C2641" s="47">
        <v>2</v>
      </c>
      <c r="D2641" s="27"/>
      <c r="E2641" s="34"/>
      <c r="F2641" s="35">
        <f t="shared" si="2213"/>
        <v>2</v>
      </c>
      <c r="G2641" s="26"/>
      <c r="H2641" s="47"/>
      <c r="I2641" s="27"/>
      <c r="J2641" s="34"/>
      <c r="K2641" s="35">
        <f t="shared" si="2214"/>
        <v>0</v>
      </c>
      <c r="L2641" s="11">
        <f t="shared" si="2202"/>
        <v>2</v>
      </c>
      <c r="M2641" s="126">
        <v>46153</v>
      </c>
      <c r="N2641" s="173" t="s">
        <v>2179</v>
      </c>
      <c r="O2641" s="26">
        <v>9</v>
      </c>
      <c r="P2641" s="47">
        <v>14</v>
      </c>
      <c r="Q2641" s="27">
        <v>5</v>
      </c>
      <c r="R2641" s="34">
        <v>11</v>
      </c>
      <c r="S2641" s="35">
        <f t="shared" si="2215"/>
        <v>39</v>
      </c>
      <c r="T2641" s="26">
        <v>2</v>
      </c>
      <c r="U2641" s="47">
        <v>3</v>
      </c>
      <c r="V2641" s="27">
        <v>2</v>
      </c>
      <c r="W2641" s="34"/>
      <c r="X2641" s="35">
        <f t="shared" si="2216"/>
        <v>7</v>
      </c>
      <c r="Y2641" s="11">
        <f t="shared" si="2205"/>
        <v>46</v>
      </c>
      <c r="Z2641" s="99">
        <v>46142</v>
      </c>
    </row>
    <row r="2642" spans="1:27" x14ac:dyDescent="0.15">
      <c r="A2642" s="15" t="s">
        <v>41</v>
      </c>
      <c r="B2642" s="26"/>
      <c r="C2642" s="47">
        <v>1</v>
      </c>
      <c r="D2642" s="27">
        <v>1</v>
      </c>
      <c r="E2642" s="34"/>
      <c r="F2642" s="35">
        <f t="shared" si="2213"/>
        <v>2</v>
      </c>
      <c r="G2642" s="26"/>
      <c r="H2642" s="47">
        <v>1</v>
      </c>
      <c r="I2642" s="27"/>
      <c r="J2642" s="34"/>
      <c r="K2642" s="35">
        <f t="shared" si="2214"/>
        <v>1</v>
      </c>
      <c r="L2642" s="11">
        <f t="shared" si="2202"/>
        <v>3</v>
      </c>
      <c r="M2642" s="126">
        <v>46154</v>
      </c>
      <c r="N2642" s="12" t="s">
        <v>2024</v>
      </c>
      <c r="O2642" s="26"/>
      <c r="P2642" s="47"/>
      <c r="Q2642" s="27"/>
      <c r="R2642" s="34">
        <v>5</v>
      </c>
      <c r="S2642" s="35">
        <f t="shared" ref="S2642" si="2217">SUM(O2642:R2642)</f>
        <v>5</v>
      </c>
      <c r="T2642" s="26"/>
      <c r="U2642" s="47"/>
      <c r="V2642" s="27">
        <v>5</v>
      </c>
      <c r="W2642" s="34">
        <v>3</v>
      </c>
      <c r="X2642" s="35">
        <f t="shared" ref="X2642" si="2218">SUM(T2642:W2642)</f>
        <v>8</v>
      </c>
      <c r="Y2642" s="11">
        <f t="shared" ref="Y2642" si="2219">S2642+X2642</f>
        <v>13</v>
      </c>
      <c r="Z2642" s="99">
        <v>46142</v>
      </c>
    </row>
    <row r="2643" spans="1:27" x14ac:dyDescent="0.15">
      <c r="A2643" s="15" t="s">
        <v>41</v>
      </c>
      <c r="B2643" s="26"/>
      <c r="C2643" s="47">
        <v>1</v>
      </c>
      <c r="D2643" s="27">
        <v>3</v>
      </c>
      <c r="E2643" s="34"/>
      <c r="F2643" s="35">
        <f t="shared" si="2213"/>
        <v>4</v>
      </c>
      <c r="G2643" s="26">
        <v>1</v>
      </c>
      <c r="H2643" s="47"/>
      <c r="I2643" s="27"/>
      <c r="J2643" s="34"/>
      <c r="K2643" s="35">
        <f t="shared" si="2214"/>
        <v>1</v>
      </c>
      <c r="L2643" s="11">
        <f t="shared" si="2202"/>
        <v>5</v>
      </c>
      <c r="M2643" s="126">
        <v>46156</v>
      </c>
      <c r="N2643" s="12" t="s">
        <v>1669</v>
      </c>
      <c r="O2643" s="26"/>
      <c r="P2643" s="47">
        <v>2</v>
      </c>
      <c r="Q2643" s="27"/>
      <c r="R2643" s="34"/>
      <c r="S2643" s="35">
        <f t="shared" si="2215"/>
        <v>2</v>
      </c>
      <c r="T2643" s="26"/>
      <c r="U2643" s="47"/>
      <c r="V2643" s="27"/>
      <c r="W2643" s="34"/>
      <c r="X2643" s="35">
        <f t="shared" si="2216"/>
        <v>0</v>
      </c>
      <c r="Y2643" s="11">
        <f t="shared" si="2205"/>
        <v>2</v>
      </c>
      <c r="Z2643" s="99">
        <v>46143</v>
      </c>
      <c r="AA2643" s="58"/>
    </row>
    <row r="2644" spans="1:27" x14ac:dyDescent="0.15">
      <c r="A2644" s="15"/>
      <c r="B2644" s="26"/>
      <c r="C2644" s="47"/>
      <c r="D2644" s="27"/>
      <c r="E2644" s="34"/>
      <c r="F2644" s="35">
        <f t="shared" si="2213"/>
        <v>0</v>
      </c>
      <c r="G2644" s="26"/>
      <c r="H2644" s="47"/>
      <c r="I2644" s="27"/>
      <c r="J2644" s="34"/>
      <c r="K2644" s="35">
        <f t="shared" si="2214"/>
        <v>0</v>
      </c>
      <c r="L2644" s="11">
        <f t="shared" si="2202"/>
        <v>0</v>
      </c>
      <c r="N2644" s="173" t="s">
        <v>2181</v>
      </c>
      <c r="O2644" s="26">
        <v>5</v>
      </c>
      <c r="P2644" s="47">
        <v>3</v>
      </c>
      <c r="Q2644" s="27">
        <v>3</v>
      </c>
      <c r="R2644" s="34"/>
      <c r="S2644" s="35">
        <f t="shared" si="2215"/>
        <v>11</v>
      </c>
      <c r="T2644" s="26"/>
      <c r="U2644" s="47">
        <v>2</v>
      </c>
      <c r="V2644" s="27"/>
      <c r="W2644" s="34"/>
      <c r="X2644" s="35">
        <f t="shared" si="2216"/>
        <v>2</v>
      </c>
      <c r="Y2644" s="11">
        <f t="shared" si="2205"/>
        <v>13</v>
      </c>
      <c r="Z2644" s="99">
        <v>46143</v>
      </c>
    </row>
    <row r="2645" spans="1:27" x14ac:dyDescent="0.15">
      <c r="A2645" s="13"/>
      <c r="B2645" s="26"/>
      <c r="C2645" s="47"/>
      <c r="D2645" s="27"/>
      <c r="E2645" s="34"/>
      <c r="F2645" s="35">
        <f t="shared" si="2213"/>
        <v>0</v>
      </c>
      <c r="G2645" s="26"/>
      <c r="H2645" s="47"/>
      <c r="I2645" s="27"/>
      <c r="J2645" s="34"/>
      <c r="K2645" s="35">
        <f t="shared" si="2214"/>
        <v>0</v>
      </c>
      <c r="L2645" s="11">
        <f t="shared" si="2202"/>
        <v>0</v>
      </c>
      <c r="N2645" s="12" t="s">
        <v>2182</v>
      </c>
      <c r="O2645" s="26">
        <v>5</v>
      </c>
      <c r="P2645" s="47"/>
      <c r="Q2645" s="27"/>
      <c r="R2645" s="34">
        <v>5</v>
      </c>
      <c r="S2645" s="35">
        <f t="shared" si="2215"/>
        <v>10</v>
      </c>
      <c r="T2645" s="26"/>
      <c r="U2645" s="47"/>
      <c r="V2645" s="27">
        <v>5</v>
      </c>
      <c r="W2645" s="34"/>
      <c r="X2645" s="35">
        <f t="shared" si="2216"/>
        <v>5</v>
      </c>
      <c r="Y2645" s="11">
        <f t="shared" si="2205"/>
        <v>15</v>
      </c>
      <c r="Z2645" s="99">
        <v>46154</v>
      </c>
    </row>
    <row r="2646" spans="1:27" x14ac:dyDescent="0.15">
      <c r="A2646" s="15"/>
      <c r="B2646" s="26"/>
      <c r="C2646" s="47"/>
      <c r="D2646" s="27"/>
      <c r="E2646" s="34"/>
      <c r="F2646" s="35">
        <f t="shared" si="2213"/>
        <v>0</v>
      </c>
      <c r="G2646" s="26"/>
      <c r="H2646" s="47"/>
      <c r="I2646" s="27"/>
      <c r="J2646" s="34"/>
      <c r="K2646" s="35">
        <f t="shared" si="2214"/>
        <v>0</v>
      </c>
      <c r="L2646" s="11">
        <f t="shared" si="2202"/>
        <v>0</v>
      </c>
      <c r="N2646" s="173" t="s">
        <v>2186</v>
      </c>
      <c r="O2646" s="26">
        <v>12</v>
      </c>
      <c r="P2646" s="47">
        <v>4</v>
      </c>
      <c r="Q2646" s="27">
        <v>2</v>
      </c>
      <c r="R2646" s="34"/>
      <c r="S2646" s="35">
        <f t="shared" si="2215"/>
        <v>18</v>
      </c>
      <c r="T2646" s="26"/>
      <c r="U2646" s="47">
        <v>1</v>
      </c>
      <c r="V2646" s="27"/>
      <c r="W2646" s="34"/>
      <c r="X2646" s="35">
        <f t="shared" si="2216"/>
        <v>1</v>
      </c>
      <c r="Y2646" s="11">
        <f t="shared" si="2205"/>
        <v>19</v>
      </c>
      <c r="Z2646" s="99">
        <v>46149</v>
      </c>
    </row>
    <row r="2647" spans="1:27" x14ac:dyDescent="0.15">
      <c r="A2647" s="13"/>
      <c r="B2647" s="26"/>
      <c r="C2647" s="47"/>
      <c r="D2647" s="27"/>
      <c r="E2647" s="34"/>
      <c r="F2647" s="35">
        <f t="shared" si="2213"/>
        <v>0</v>
      </c>
      <c r="G2647" s="26"/>
      <c r="H2647" s="47"/>
      <c r="I2647" s="27"/>
      <c r="J2647" s="34"/>
      <c r="K2647" s="35">
        <f t="shared" si="2214"/>
        <v>0</v>
      </c>
      <c r="L2647" s="11">
        <f t="shared" si="2202"/>
        <v>0</v>
      </c>
      <c r="N2647" s="173" t="s">
        <v>2187</v>
      </c>
      <c r="O2647" s="26">
        <v>7</v>
      </c>
      <c r="P2647" s="47">
        <v>4</v>
      </c>
      <c r="Q2647" s="27">
        <v>4</v>
      </c>
      <c r="R2647" s="34"/>
      <c r="S2647" s="35">
        <f t="shared" si="2215"/>
        <v>15</v>
      </c>
      <c r="T2647" s="26">
        <v>3</v>
      </c>
      <c r="U2647" s="47">
        <v>2</v>
      </c>
      <c r="V2647" s="27"/>
      <c r="W2647" s="34"/>
      <c r="X2647" s="35">
        <f t="shared" si="2216"/>
        <v>5</v>
      </c>
      <c r="Y2647" s="11">
        <f t="shared" si="2205"/>
        <v>20</v>
      </c>
      <c r="Z2647" s="99">
        <v>46153</v>
      </c>
      <c r="AA2647" s="58"/>
    </row>
    <row r="2648" spans="1:27" x14ac:dyDescent="0.15">
      <c r="A2648" s="15"/>
      <c r="B2648" s="26"/>
      <c r="C2648" s="47"/>
      <c r="D2648" s="27"/>
      <c r="E2648" s="34"/>
      <c r="F2648" s="35">
        <f t="shared" si="2213"/>
        <v>0</v>
      </c>
      <c r="G2648" s="26"/>
      <c r="H2648" s="47"/>
      <c r="I2648" s="27"/>
      <c r="J2648" s="34"/>
      <c r="K2648" s="35">
        <f t="shared" si="2214"/>
        <v>0</v>
      </c>
      <c r="L2648" s="11">
        <f t="shared" si="2202"/>
        <v>0</v>
      </c>
      <c r="N2648" s="57" t="s">
        <v>1987</v>
      </c>
      <c r="O2648" s="26"/>
      <c r="P2648" s="47"/>
      <c r="Q2648" s="27"/>
      <c r="R2648" s="34"/>
      <c r="S2648" s="35">
        <f t="shared" si="2215"/>
        <v>0</v>
      </c>
      <c r="T2648" s="26"/>
      <c r="U2648" s="47">
        <v>5</v>
      </c>
      <c r="V2648" s="27"/>
      <c r="W2648" s="34"/>
      <c r="X2648" s="35">
        <f t="shared" si="2216"/>
        <v>5</v>
      </c>
      <c r="Y2648" s="11">
        <f t="shared" si="2205"/>
        <v>5</v>
      </c>
      <c r="Z2648" s="99">
        <v>46150</v>
      </c>
      <c r="AA2648" s="58"/>
    </row>
    <row r="2649" spans="1:27" x14ac:dyDescent="0.15">
      <c r="A2649" s="15"/>
      <c r="B2649" s="26"/>
      <c r="C2649" s="47"/>
      <c r="D2649" s="27"/>
      <c r="E2649" s="34"/>
      <c r="F2649" s="35">
        <f t="shared" si="2213"/>
        <v>0</v>
      </c>
      <c r="G2649" s="26"/>
      <c r="H2649" s="47"/>
      <c r="I2649" s="27"/>
      <c r="J2649" s="34"/>
      <c r="K2649" s="35">
        <f t="shared" si="2214"/>
        <v>0</v>
      </c>
      <c r="L2649" s="11">
        <f t="shared" si="2202"/>
        <v>0</v>
      </c>
      <c r="N2649" s="173" t="s">
        <v>2136</v>
      </c>
      <c r="O2649" s="174"/>
      <c r="P2649" s="175"/>
      <c r="Q2649" s="176"/>
      <c r="R2649" s="177"/>
      <c r="S2649" s="178">
        <f t="shared" ref="S2649:S2653" si="2220">SUM(O2649:R2649)</f>
        <v>0</v>
      </c>
      <c r="T2649" s="174"/>
      <c r="U2649" s="175"/>
      <c r="V2649" s="176"/>
      <c r="W2649" s="177"/>
      <c r="X2649" s="178">
        <f t="shared" ref="X2649:X2653" si="2221">SUM(T2649:W2649)</f>
        <v>0</v>
      </c>
      <c r="Y2649" s="179">
        <f t="shared" ref="Y2649:Y2653" si="2222">S2649+X2649</f>
        <v>0</v>
      </c>
      <c r="Z2649" s="160" t="s">
        <v>534</v>
      </c>
    </row>
    <row r="2650" spans="1:27" x14ac:dyDescent="0.15">
      <c r="A2650" s="13"/>
      <c r="B2650" s="26"/>
      <c r="C2650" s="47"/>
      <c r="D2650" s="27"/>
      <c r="E2650" s="34"/>
      <c r="F2650" s="35">
        <f t="shared" si="2213"/>
        <v>0</v>
      </c>
      <c r="G2650" s="26"/>
      <c r="H2650" s="47"/>
      <c r="I2650" s="27"/>
      <c r="J2650" s="34"/>
      <c r="K2650" s="35">
        <f t="shared" si="2214"/>
        <v>0</v>
      </c>
      <c r="L2650" s="11">
        <f t="shared" si="2202"/>
        <v>0</v>
      </c>
      <c r="N2650" s="173" t="s">
        <v>2084</v>
      </c>
      <c r="O2650" s="174"/>
      <c r="P2650" s="175"/>
      <c r="Q2650" s="176"/>
      <c r="R2650" s="177"/>
      <c r="S2650" s="178">
        <f t="shared" si="2220"/>
        <v>0</v>
      </c>
      <c r="T2650" s="174"/>
      <c r="U2650" s="175"/>
      <c r="V2650" s="176"/>
      <c r="W2650" s="177"/>
      <c r="X2650" s="178">
        <f t="shared" si="2221"/>
        <v>0</v>
      </c>
      <c r="Y2650" s="179">
        <f t="shared" si="2222"/>
        <v>0</v>
      </c>
      <c r="Z2650" s="101"/>
    </row>
    <row r="2651" spans="1:27" x14ac:dyDescent="0.15">
      <c r="A2651" s="32"/>
      <c r="B2651" s="26"/>
      <c r="C2651" s="47"/>
      <c r="D2651" s="27"/>
      <c r="E2651" s="34"/>
      <c r="F2651" s="35">
        <f t="shared" si="2213"/>
        <v>0</v>
      </c>
      <c r="G2651" s="26"/>
      <c r="H2651" s="47"/>
      <c r="I2651" s="27"/>
      <c r="J2651" s="34"/>
      <c r="K2651" s="35">
        <f t="shared" si="2214"/>
        <v>0</v>
      </c>
      <c r="L2651" s="11">
        <f t="shared" si="2202"/>
        <v>0</v>
      </c>
      <c r="N2651" s="12" t="s">
        <v>2083</v>
      </c>
      <c r="O2651" s="26"/>
      <c r="P2651" s="47"/>
      <c r="Q2651" s="27"/>
      <c r="R2651" s="34"/>
      <c r="S2651" s="35">
        <f t="shared" si="2220"/>
        <v>0</v>
      </c>
      <c r="T2651" s="26"/>
      <c r="U2651" s="47"/>
      <c r="V2651" s="27"/>
      <c r="W2651" s="34"/>
      <c r="X2651" s="35">
        <f t="shared" si="2221"/>
        <v>0</v>
      </c>
      <c r="Y2651" s="108">
        <f t="shared" si="2222"/>
        <v>0</v>
      </c>
      <c r="Z2651" s="101" t="s">
        <v>2082</v>
      </c>
    </row>
    <row r="2652" spans="1:27" x14ac:dyDescent="0.15">
      <c r="A2652" s="32"/>
      <c r="B2652" s="26"/>
      <c r="C2652" s="47"/>
      <c r="D2652" s="27"/>
      <c r="E2652" s="34"/>
      <c r="F2652" s="35">
        <f t="shared" si="2213"/>
        <v>0</v>
      </c>
      <c r="G2652" s="26"/>
      <c r="H2652" s="47"/>
      <c r="I2652" s="27"/>
      <c r="J2652" s="34"/>
      <c r="K2652" s="35">
        <f t="shared" si="2214"/>
        <v>0</v>
      </c>
      <c r="L2652" s="11">
        <f t="shared" si="2202"/>
        <v>0</v>
      </c>
      <c r="N2652" s="57" t="s">
        <v>1096</v>
      </c>
      <c r="O2652" s="66"/>
      <c r="P2652" s="67"/>
      <c r="Q2652" s="68"/>
      <c r="R2652" s="69"/>
      <c r="S2652" s="70">
        <f t="shared" si="2220"/>
        <v>0</v>
      </c>
      <c r="T2652" s="66"/>
      <c r="U2652" s="67"/>
      <c r="V2652" s="68"/>
      <c r="W2652" s="69"/>
      <c r="X2652" s="70">
        <f t="shared" si="2221"/>
        <v>0</v>
      </c>
      <c r="Y2652" s="11">
        <f t="shared" si="2222"/>
        <v>0</v>
      </c>
      <c r="Z2652" s="101" t="s">
        <v>1097</v>
      </c>
    </row>
    <row r="2653" spans="1:27" x14ac:dyDescent="0.15">
      <c r="A2653" s="12"/>
      <c r="B2653" s="26"/>
      <c r="C2653" s="47"/>
      <c r="D2653" s="27"/>
      <c r="E2653" s="34"/>
      <c r="F2653" s="35">
        <f t="shared" si="2213"/>
        <v>0</v>
      </c>
      <c r="G2653" s="26"/>
      <c r="H2653" s="47"/>
      <c r="I2653" s="27"/>
      <c r="J2653" s="34"/>
      <c r="K2653" s="35">
        <f t="shared" si="2214"/>
        <v>0</v>
      </c>
      <c r="L2653" s="11">
        <f t="shared" si="2202"/>
        <v>0</v>
      </c>
      <c r="N2653" s="57" t="s">
        <v>2140</v>
      </c>
      <c r="O2653" s="66"/>
      <c r="P2653" s="67"/>
      <c r="Q2653" s="68"/>
      <c r="R2653" s="69"/>
      <c r="S2653" s="70">
        <f t="shared" si="2220"/>
        <v>0</v>
      </c>
      <c r="T2653" s="66"/>
      <c r="U2653" s="67"/>
      <c r="V2653" s="68"/>
      <c r="W2653" s="69"/>
      <c r="X2653" s="70">
        <f t="shared" si="2221"/>
        <v>0</v>
      </c>
      <c r="Y2653" s="11">
        <f t="shared" si="2222"/>
        <v>0</v>
      </c>
      <c r="Z2653" s="101" t="s">
        <v>1649</v>
      </c>
    </row>
    <row r="2654" spans="1:27" x14ac:dyDescent="0.15">
      <c r="A2654" s="79"/>
      <c r="B2654" s="26"/>
      <c r="C2654" s="47"/>
      <c r="D2654" s="27"/>
      <c r="E2654" s="34"/>
      <c r="F2654" s="35">
        <f t="shared" si="2213"/>
        <v>0</v>
      </c>
      <c r="G2654" s="26"/>
      <c r="H2654" s="47"/>
      <c r="I2654" s="27"/>
      <c r="J2654" s="34"/>
      <c r="K2654" s="35">
        <f t="shared" si="2214"/>
        <v>0</v>
      </c>
      <c r="L2654" s="11">
        <f t="shared" si="2202"/>
        <v>0</v>
      </c>
      <c r="N2654" s="57" t="s">
        <v>2166</v>
      </c>
      <c r="O2654" s="66"/>
      <c r="P2654" s="67"/>
      <c r="Q2654" s="68"/>
      <c r="R2654" s="69"/>
      <c r="S2654" s="70">
        <f t="shared" ref="S2654" si="2223">SUM(O2654:R2654)</f>
        <v>0</v>
      </c>
      <c r="T2654" s="66"/>
      <c r="U2654" s="67"/>
      <c r="V2654" s="68"/>
      <c r="W2654" s="69"/>
      <c r="X2654" s="70">
        <f t="shared" ref="X2654" si="2224">SUM(T2654:W2654)</f>
        <v>0</v>
      </c>
      <c r="Y2654" s="11">
        <f t="shared" ref="Y2654" si="2225">S2654+X2654</f>
        <v>0</v>
      </c>
      <c r="Z2654" s="101" t="s">
        <v>2167</v>
      </c>
    </row>
    <row r="2655" spans="1:27" x14ac:dyDescent="0.15">
      <c r="A2655" s="57"/>
      <c r="B2655" s="26"/>
      <c r="C2655" s="47"/>
      <c r="D2655" s="27"/>
      <c r="E2655" s="34"/>
      <c r="F2655" s="35">
        <f t="shared" si="2213"/>
        <v>0</v>
      </c>
      <c r="G2655" s="26"/>
      <c r="H2655" s="47"/>
      <c r="I2655" s="27"/>
      <c r="J2655" s="34"/>
      <c r="K2655" s="35">
        <f t="shared" si="2214"/>
        <v>0</v>
      </c>
      <c r="L2655" s="11">
        <f t="shared" si="2202"/>
        <v>0</v>
      </c>
      <c r="N2655" s="57" t="s">
        <v>161</v>
      </c>
      <c r="O2655" s="66"/>
      <c r="P2655" s="67"/>
      <c r="Q2655" s="68"/>
      <c r="R2655" s="69"/>
      <c r="S2655" s="70">
        <f t="shared" si="2215"/>
        <v>0</v>
      </c>
      <c r="T2655" s="66"/>
      <c r="U2655" s="67"/>
      <c r="V2655" s="68"/>
      <c r="W2655" s="69"/>
      <c r="X2655" s="70">
        <f t="shared" si="2216"/>
        <v>0</v>
      </c>
      <c r="Y2655" s="11">
        <f t="shared" si="2205"/>
        <v>0</v>
      </c>
      <c r="Z2655" s="101" t="s">
        <v>162</v>
      </c>
    </row>
    <row r="2656" spans="1:27" ht="14.25" thickBot="1" x14ac:dyDescent="0.2">
      <c r="A2656" s="90"/>
      <c r="B2656" s="62"/>
      <c r="C2656" s="63"/>
      <c r="D2656" s="64"/>
      <c r="E2656" s="65"/>
      <c r="F2656" s="35">
        <f t="shared" si="2213"/>
        <v>0</v>
      </c>
      <c r="G2656" s="62"/>
      <c r="H2656" s="63"/>
      <c r="I2656" s="64"/>
      <c r="J2656" s="65"/>
      <c r="K2656" s="35">
        <f t="shared" si="2214"/>
        <v>0</v>
      </c>
      <c r="L2656" s="14">
        <f t="shared" si="2202"/>
        <v>0</v>
      </c>
      <c r="N2656" s="135" t="s">
        <v>1607</v>
      </c>
      <c r="O2656" s="62"/>
      <c r="P2656" s="63"/>
      <c r="Q2656" s="64"/>
      <c r="R2656" s="65"/>
      <c r="S2656" s="120">
        <f t="shared" ref="S2656" si="2226">SUM(O2656:R2656)</f>
        <v>0</v>
      </c>
      <c r="T2656" s="62"/>
      <c r="U2656" s="63"/>
      <c r="V2656" s="64"/>
      <c r="W2656" s="65"/>
      <c r="X2656" s="120">
        <f t="shared" ref="X2656" si="2227">SUM(T2656:W2656)</f>
        <v>0</v>
      </c>
      <c r="Y2656" s="121">
        <f t="shared" ref="Y2656" si="2228">S2656+X2656</f>
        <v>0</v>
      </c>
      <c r="Z2656" s="101" t="s">
        <v>2094</v>
      </c>
    </row>
    <row r="2657" spans="1:26" ht="14.25" thickBot="1" x14ac:dyDescent="0.2">
      <c r="A2657" s="17" t="s">
        <v>10</v>
      </c>
      <c r="B2657" s="38">
        <f>SUM(B2632:B2656)</f>
        <v>3</v>
      </c>
      <c r="C2657" s="48">
        <f>SUM(C2632:C2656)</f>
        <v>15</v>
      </c>
      <c r="D2657" s="39">
        <f>SUM(D2632:D2656)</f>
        <v>9</v>
      </c>
      <c r="E2657" s="40">
        <f>SUM(E2632:E2656)</f>
        <v>7</v>
      </c>
      <c r="F2657" s="36">
        <f>SUM(B2657:E2657)</f>
        <v>34</v>
      </c>
      <c r="G2657" s="38">
        <f>SUM(G2632:G2656)</f>
        <v>3</v>
      </c>
      <c r="H2657" s="48">
        <f>SUM(H2632:H2656)</f>
        <v>10</v>
      </c>
      <c r="I2657" s="39">
        <f>SUM(I2632:I2656)</f>
        <v>7</v>
      </c>
      <c r="J2657" s="40">
        <f>SUM(J2632:J2656)</f>
        <v>3</v>
      </c>
      <c r="K2657" s="36">
        <f>SUM(G2657:J2657)</f>
        <v>23</v>
      </c>
      <c r="L2657" s="37">
        <f t="shared" si="2202"/>
        <v>57</v>
      </c>
      <c r="N2657" s="133" t="s">
        <v>10</v>
      </c>
      <c r="O2657" s="38">
        <f>SUM(O2632:O2656)</f>
        <v>96</v>
      </c>
      <c r="P2657" s="48">
        <f>SUM(P2632:P2656)</f>
        <v>78</v>
      </c>
      <c r="Q2657" s="39">
        <f>SUM(Q2632:Q2656)</f>
        <v>51</v>
      </c>
      <c r="R2657" s="40">
        <f>SUM(R2632:R2656)</f>
        <v>72</v>
      </c>
      <c r="S2657" s="118">
        <f t="shared" si="2215"/>
        <v>297</v>
      </c>
      <c r="T2657" s="38">
        <f>SUM(T2632:T2656)</f>
        <v>11</v>
      </c>
      <c r="U2657" s="48">
        <f>SUM(U2632:U2656)</f>
        <v>34</v>
      </c>
      <c r="V2657" s="39">
        <f>SUM(V2632:V2656)</f>
        <v>25</v>
      </c>
      <c r="W2657" s="40">
        <f>SUM(W2632:W2656)</f>
        <v>24</v>
      </c>
      <c r="X2657" s="118">
        <f t="shared" si="2216"/>
        <v>94</v>
      </c>
      <c r="Y2657" s="119">
        <f t="shared" si="2205"/>
        <v>391</v>
      </c>
    </row>
    <row r="2658" spans="1:26" ht="14.25" thickBot="1" x14ac:dyDescent="0.2">
      <c r="A2658" s="22" t="s">
        <v>11</v>
      </c>
      <c r="B2658" s="41">
        <f>B2631-B2657</f>
        <v>20</v>
      </c>
      <c r="C2658" s="49">
        <f>C2631-C2657</f>
        <v>3</v>
      </c>
      <c r="D2658" s="42">
        <f t="shared" ref="D2658:K2658" si="2229">D2631-D2657</f>
        <v>4</v>
      </c>
      <c r="E2658" s="43">
        <f t="shared" si="2229"/>
        <v>4</v>
      </c>
      <c r="F2658" s="61">
        <f t="shared" si="2229"/>
        <v>27</v>
      </c>
      <c r="G2658" s="41">
        <f t="shared" si="2229"/>
        <v>5</v>
      </c>
      <c r="H2658" s="49">
        <f t="shared" si="2229"/>
        <v>5</v>
      </c>
      <c r="I2658" s="42">
        <f t="shared" si="2229"/>
        <v>6</v>
      </c>
      <c r="J2658" s="43">
        <f t="shared" si="2229"/>
        <v>5</v>
      </c>
      <c r="K2658" s="61">
        <f t="shared" si="2229"/>
        <v>21</v>
      </c>
      <c r="L2658" s="21">
        <f t="shared" si="2202"/>
        <v>48</v>
      </c>
      <c r="N2658" s="17" t="s">
        <v>11</v>
      </c>
      <c r="O2658" s="41">
        <f>O2631-O2657</f>
        <v>332</v>
      </c>
      <c r="P2658" s="49">
        <f t="shared" ref="P2658:Q2658" si="2230">P2631-P2657</f>
        <v>457</v>
      </c>
      <c r="Q2658" s="42">
        <f t="shared" si="2230"/>
        <v>412</v>
      </c>
      <c r="R2658" s="43">
        <f>R2631-R2657</f>
        <v>262</v>
      </c>
      <c r="S2658" s="61">
        <f t="shared" ref="S2658:X2658" si="2231">S2631-S2657</f>
        <v>1463</v>
      </c>
      <c r="T2658" s="41">
        <f t="shared" si="2231"/>
        <v>443</v>
      </c>
      <c r="U2658" s="49">
        <f t="shared" si="2231"/>
        <v>405</v>
      </c>
      <c r="V2658" s="42">
        <f t="shared" si="2231"/>
        <v>360</v>
      </c>
      <c r="W2658" s="43">
        <f t="shared" si="2231"/>
        <v>207</v>
      </c>
      <c r="X2658" s="61">
        <f t="shared" si="2231"/>
        <v>1415</v>
      </c>
      <c r="Y2658" s="21">
        <f t="shared" si="2205"/>
        <v>2878</v>
      </c>
      <c r="Z2658" s="195"/>
    </row>
    <row r="2661" spans="1:26" ht="19.5" thickBot="1" x14ac:dyDescent="0.25">
      <c r="A2661" s="2" t="s">
        <v>106</v>
      </c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N2661" s="2" t="s">
        <v>1036</v>
      </c>
      <c r="O2661" s="270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6" ht="14.25" thickBot="1" x14ac:dyDescent="0.2">
      <c r="A2662" s="5" t="s">
        <v>0</v>
      </c>
      <c r="B2662" s="342" t="s">
        <v>18</v>
      </c>
      <c r="C2662" s="350"/>
      <c r="D2662" s="350"/>
      <c r="E2662" s="350"/>
      <c r="F2662" s="351"/>
      <c r="G2662" s="345" t="s">
        <v>12</v>
      </c>
      <c r="H2662" s="352"/>
      <c r="I2662" s="352"/>
      <c r="J2662" s="352"/>
      <c r="K2662" s="353"/>
      <c r="L2662" s="354" t="s">
        <v>1</v>
      </c>
      <c r="N2662" s="5" t="s">
        <v>0</v>
      </c>
      <c r="O2662" s="342" t="s">
        <v>18</v>
      </c>
      <c r="P2662" s="343"/>
      <c r="Q2662" s="343"/>
      <c r="R2662" s="343"/>
      <c r="S2662" s="344"/>
      <c r="T2662" s="345" t="s">
        <v>12</v>
      </c>
      <c r="U2662" s="346"/>
      <c r="V2662" s="346"/>
      <c r="W2662" s="346"/>
      <c r="X2662" s="347"/>
      <c r="Y2662" s="348" t="s">
        <v>1</v>
      </c>
    </row>
    <row r="2663" spans="1:26" ht="14.25" thickBot="1" x14ac:dyDescent="0.2">
      <c r="A2663" s="5" t="s">
        <v>2</v>
      </c>
      <c r="B2663" s="3" t="s">
        <v>13</v>
      </c>
      <c r="C2663" s="44" t="s">
        <v>14</v>
      </c>
      <c r="D2663" s="4" t="s">
        <v>15</v>
      </c>
      <c r="E2663" s="23" t="s">
        <v>16</v>
      </c>
      <c r="F2663" s="31" t="s">
        <v>3</v>
      </c>
      <c r="G2663" s="3" t="s">
        <v>13</v>
      </c>
      <c r="H2663" s="44" t="s">
        <v>14</v>
      </c>
      <c r="I2663" s="4" t="s">
        <v>15</v>
      </c>
      <c r="J2663" s="23" t="s">
        <v>16</v>
      </c>
      <c r="K2663" s="31" t="s">
        <v>3</v>
      </c>
      <c r="L2663" s="355"/>
      <c r="N2663" s="5" t="s">
        <v>2</v>
      </c>
      <c r="O2663" s="3" t="s">
        <v>13</v>
      </c>
      <c r="P2663" s="44" t="s">
        <v>14</v>
      </c>
      <c r="Q2663" s="4" t="s">
        <v>15</v>
      </c>
      <c r="R2663" s="23" t="s">
        <v>16</v>
      </c>
      <c r="S2663" s="31" t="s">
        <v>3</v>
      </c>
      <c r="T2663" s="3" t="s">
        <v>13</v>
      </c>
      <c r="U2663" s="44" t="s">
        <v>14</v>
      </c>
      <c r="V2663" s="4" t="s">
        <v>15</v>
      </c>
      <c r="W2663" s="23" t="s">
        <v>16</v>
      </c>
      <c r="X2663" s="31" t="s">
        <v>3</v>
      </c>
      <c r="Y2663" s="349"/>
    </row>
    <row r="2664" spans="1:26" x14ac:dyDescent="0.15">
      <c r="A2664" s="71" t="s">
        <v>17</v>
      </c>
      <c r="B2664" s="72">
        <f>B2658</f>
        <v>20</v>
      </c>
      <c r="C2664" s="73">
        <f t="shared" ref="C2664:L2664" si="2232">C2658</f>
        <v>3</v>
      </c>
      <c r="D2664" s="73">
        <f t="shared" si="2232"/>
        <v>4</v>
      </c>
      <c r="E2664" s="74">
        <f t="shared" si="2232"/>
        <v>4</v>
      </c>
      <c r="F2664" s="76">
        <f t="shared" si="2232"/>
        <v>27</v>
      </c>
      <c r="G2664" s="72">
        <f t="shared" si="2232"/>
        <v>5</v>
      </c>
      <c r="H2664" s="73">
        <f t="shared" si="2232"/>
        <v>5</v>
      </c>
      <c r="I2664" s="73">
        <f t="shared" si="2232"/>
        <v>6</v>
      </c>
      <c r="J2664" s="74">
        <f t="shared" si="2232"/>
        <v>5</v>
      </c>
      <c r="K2664" s="75">
        <f t="shared" si="2232"/>
        <v>21</v>
      </c>
      <c r="L2664" s="16">
        <f t="shared" si="2232"/>
        <v>48</v>
      </c>
      <c r="N2664" s="71" t="s">
        <v>17</v>
      </c>
      <c r="O2664" s="72">
        <f>O2658</f>
        <v>332</v>
      </c>
      <c r="P2664" s="73">
        <f t="shared" ref="P2664:Y2664" si="2233">P2658</f>
        <v>457</v>
      </c>
      <c r="Q2664" s="73">
        <f t="shared" si="2233"/>
        <v>412</v>
      </c>
      <c r="R2664" s="74">
        <f t="shared" si="2233"/>
        <v>262</v>
      </c>
      <c r="S2664" s="76">
        <f t="shared" si="2233"/>
        <v>1463</v>
      </c>
      <c r="T2664" s="72">
        <f t="shared" si="2233"/>
        <v>443</v>
      </c>
      <c r="U2664" s="73">
        <f t="shared" si="2233"/>
        <v>405</v>
      </c>
      <c r="V2664" s="73">
        <f t="shared" si="2233"/>
        <v>360</v>
      </c>
      <c r="W2664" s="74">
        <f t="shared" si="2233"/>
        <v>207</v>
      </c>
      <c r="X2664" s="75">
        <f t="shared" si="2233"/>
        <v>1415</v>
      </c>
      <c r="Y2664" s="16">
        <f t="shared" si="2233"/>
        <v>2878</v>
      </c>
    </row>
    <row r="2665" spans="1:26" x14ac:dyDescent="0.15">
      <c r="A2665" s="294" t="s">
        <v>5</v>
      </c>
      <c r="B2665" s="295"/>
      <c r="C2665" s="296"/>
      <c r="D2665" s="297"/>
      <c r="E2665" s="298">
        <v>3</v>
      </c>
      <c r="F2665" s="299">
        <f t="shared" ref="F2665:F2666" si="2234">SUM(B2665:E2665)</f>
        <v>3</v>
      </c>
      <c r="G2665" s="296"/>
      <c r="H2665" s="296"/>
      <c r="I2665" s="297"/>
      <c r="J2665" s="298"/>
      <c r="K2665" s="299">
        <f t="shared" ref="K2665:K2666" si="2235">SUM(G2665:J2665)</f>
        <v>0</v>
      </c>
      <c r="L2665" s="300">
        <f t="shared" ref="L2665:L2696" si="2236">F2665+K2665</f>
        <v>3</v>
      </c>
      <c r="M2665" s="301">
        <v>46154</v>
      </c>
      <c r="N2665" s="13" t="s">
        <v>305</v>
      </c>
      <c r="O2665" s="26">
        <v>12</v>
      </c>
      <c r="P2665" s="47">
        <v>20</v>
      </c>
      <c r="Q2665" s="27">
        <v>4</v>
      </c>
      <c r="R2665" s="34">
        <v>5</v>
      </c>
      <c r="S2665" s="77">
        <f t="shared" ref="S2665:S2668" si="2237">SUM(O2665:R2665)</f>
        <v>41</v>
      </c>
      <c r="T2665" s="26">
        <v>7</v>
      </c>
      <c r="U2665" s="47">
        <v>4</v>
      </c>
      <c r="V2665" s="27"/>
      <c r="W2665" s="34">
        <v>7</v>
      </c>
      <c r="X2665" s="9">
        <f t="shared" ref="X2665:X2668" si="2238">SUM(T2665:W2665)</f>
        <v>18</v>
      </c>
      <c r="Y2665" s="11">
        <f t="shared" ref="Y2665:Y2696" si="2239">S2665+X2665</f>
        <v>59</v>
      </c>
      <c r="Z2665" s="126">
        <v>46158</v>
      </c>
    </row>
    <row r="2666" spans="1:26" x14ac:dyDescent="0.15">
      <c r="A2666" s="13" t="s">
        <v>49</v>
      </c>
      <c r="B2666" s="26">
        <v>10</v>
      </c>
      <c r="C2666" s="47">
        <v>14</v>
      </c>
      <c r="D2666" s="27">
        <v>4</v>
      </c>
      <c r="E2666" s="50">
        <v>5</v>
      </c>
      <c r="F2666" s="9">
        <f t="shared" si="2234"/>
        <v>33</v>
      </c>
      <c r="G2666" s="47">
        <v>5</v>
      </c>
      <c r="H2666" s="47">
        <v>3</v>
      </c>
      <c r="I2666" s="27">
        <v>1</v>
      </c>
      <c r="J2666" s="50">
        <v>3</v>
      </c>
      <c r="K2666" s="9">
        <f t="shared" si="2235"/>
        <v>12</v>
      </c>
      <c r="L2666" s="11">
        <f t="shared" si="2236"/>
        <v>45</v>
      </c>
      <c r="M2666" s="126">
        <v>46154</v>
      </c>
      <c r="N2666" s="13" t="s">
        <v>6</v>
      </c>
      <c r="O2666" s="26"/>
      <c r="P2666" s="47"/>
      <c r="Q2666" s="27"/>
      <c r="R2666" s="34"/>
      <c r="S2666" s="77">
        <f t="shared" si="2237"/>
        <v>0</v>
      </c>
      <c r="T2666" s="26"/>
      <c r="U2666" s="47"/>
      <c r="V2666" s="27"/>
      <c r="W2666" s="34"/>
      <c r="X2666" s="9">
        <f t="shared" si="2238"/>
        <v>0</v>
      </c>
      <c r="Y2666" s="11">
        <f t="shared" si="2239"/>
        <v>0</v>
      </c>
    </row>
    <row r="2667" spans="1:26" x14ac:dyDescent="0.15">
      <c r="A2667" s="13" t="s">
        <v>153</v>
      </c>
      <c r="B2667" s="26">
        <v>2</v>
      </c>
      <c r="C2667" s="47">
        <v>10</v>
      </c>
      <c r="D2667" s="27">
        <v>5</v>
      </c>
      <c r="E2667" s="50">
        <v>7</v>
      </c>
      <c r="F2667" s="9">
        <f>SUM(B2667:E2667)</f>
        <v>24</v>
      </c>
      <c r="G2667" s="47">
        <v>3</v>
      </c>
      <c r="H2667" s="47">
        <v>2</v>
      </c>
      <c r="I2667" s="27">
        <v>1</v>
      </c>
      <c r="J2667" s="50">
        <v>4</v>
      </c>
      <c r="K2667" s="9">
        <f>SUM(G2667:J2667)</f>
        <v>10</v>
      </c>
      <c r="L2667" s="11">
        <f t="shared" si="2236"/>
        <v>34</v>
      </c>
      <c r="M2667" s="126">
        <v>46155</v>
      </c>
      <c r="N2667" s="13" t="s">
        <v>7</v>
      </c>
      <c r="O2667" s="26"/>
      <c r="P2667" s="47"/>
      <c r="Q2667" s="27"/>
      <c r="R2667" s="34"/>
      <c r="S2667" s="77">
        <f t="shared" si="2237"/>
        <v>0</v>
      </c>
      <c r="T2667" s="26"/>
      <c r="U2667" s="47"/>
      <c r="V2667" s="27"/>
      <c r="W2667" s="34"/>
      <c r="X2667" s="9">
        <f t="shared" si="2238"/>
        <v>0</v>
      </c>
      <c r="Y2667" s="11">
        <f t="shared" si="2239"/>
        <v>0</v>
      </c>
    </row>
    <row r="2668" spans="1:26" ht="14.25" thickBot="1" x14ac:dyDescent="0.2">
      <c r="A2668" s="13" t="s">
        <v>166</v>
      </c>
      <c r="B2668" s="26">
        <v>4</v>
      </c>
      <c r="C2668" s="47">
        <v>2</v>
      </c>
      <c r="D2668" s="27">
        <v>2</v>
      </c>
      <c r="E2668" s="50"/>
      <c r="F2668" s="10">
        <f>SUM(B2668:E2668)</f>
        <v>8</v>
      </c>
      <c r="G2668" s="47"/>
      <c r="H2668" s="47"/>
      <c r="I2668" s="27">
        <v>1</v>
      </c>
      <c r="J2668" s="50"/>
      <c r="K2668" s="10">
        <f>SUM(G2668:J2668)</f>
        <v>1</v>
      </c>
      <c r="L2668" s="14">
        <f t="shared" si="2236"/>
        <v>9</v>
      </c>
      <c r="M2668" s="126">
        <v>46157</v>
      </c>
      <c r="N2668" s="13" t="s">
        <v>8</v>
      </c>
      <c r="O2668" s="26"/>
      <c r="P2668" s="47"/>
      <c r="Q2668" s="27"/>
      <c r="R2668" s="34"/>
      <c r="S2668" s="77">
        <f t="shared" si="2237"/>
        <v>0</v>
      </c>
      <c r="T2668" s="26"/>
      <c r="U2668" s="47"/>
      <c r="V2668" s="27"/>
      <c r="W2668" s="34"/>
      <c r="X2668" s="9">
        <f t="shared" si="2238"/>
        <v>0</v>
      </c>
      <c r="Y2668" s="11">
        <f t="shared" si="2239"/>
        <v>0</v>
      </c>
    </row>
    <row r="2669" spans="1:26" ht="14.25" thickBot="1" x14ac:dyDescent="0.2">
      <c r="A2669" s="22" t="s">
        <v>9</v>
      </c>
      <c r="B2669" s="41">
        <f t="shared" ref="B2669:K2669" si="2240">SUM(B2664:B2668)</f>
        <v>36</v>
      </c>
      <c r="C2669" s="49">
        <f t="shared" si="2240"/>
        <v>29</v>
      </c>
      <c r="D2669" s="42">
        <f t="shared" si="2240"/>
        <v>15</v>
      </c>
      <c r="E2669" s="92">
        <f t="shared" si="2240"/>
        <v>19</v>
      </c>
      <c r="F2669" s="132">
        <f t="shared" si="2240"/>
        <v>95</v>
      </c>
      <c r="G2669" s="41">
        <f t="shared" si="2240"/>
        <v>13</v>
      </c>
      <c r="H2669" s="49">
        <f t="shared" si="2240"/>
        <v>10</v>
      </c>
      <c r="I2669" s="42">
        <f t="shared" si="2240"/>
        <v>9</v>
      </c>
      <c r="J2669" s="92">
        <f t="shared" si="2240"/>
        <v>12</v>
      </c>
      <c r="K2669" s="132">
        <f t="shared" si="2240"/>
        <v>44</v>
      </c>
      <c r="L2669" s="21">
        <f t="shared" si="2236"/>
        <v>139</v>
      </c>
      <c r="N2669" s="17" t="s">
        <v>9</v>
      </c>
      <c r="O2669" s="41">
        <f>SUM(O2664:O2668)</f>
        <v>344</v>
      </c>
      <c r="P2669" s="49">
        <f t="shared" ref="P2669:V2669" si="2241">SUM(P2664:P2668)</f>
        <v>477</v>
      </c>
      <c r="Q2669" s="42">
        <f t="shared" si="2241"/>
        <v>416</v>
      </c>
      <c r="R2669" s="92">
        <f t="shared" si="2241"/>
        <v>267</v>
      </c>
      <c r="S2669" s="93">
        <f t="shared" si="2241"/>
        <v>1504</v>
      </c>
      <c r="T2669" s="41">
        <f t="shared" si="2241"/>
        <v>450</v>
      </c>
      <c r="U2669" s="49">
        <f t="shared" si="2241"/>
        <v>409</v>
      </c>
      <c r="V2669" s="42">
        <f t="shared" si="2241"/>
        <v>360</v>
      </c>
      <c r="W2669" s="92">
        <f>SUM(W2664:W2668)</f>
        <v>214</v>
      </c>
      <c r="X2669" s="93">
        <f t="shared" ref="X2669" si="2242">SUM(X2664:X2668)</f>
        <v>1433</v>
      </c>
      <c r="Y2669" s="56">
        <f t="shared" si="2239"/>
        <v>2937</v>
      </c>
    </row>
    <row r="2670" spans="1:26" x14ac:dyDescent="0.15">
      <c r="A2670" s="15" t="s">
        <v>41</v>
      </c>
      <c r="B2670" s="26"/>
      <c r="C2670" s="47"/>
      <c r="D2670" s="27">
        <v>3</v>
      </c>
      <c r="E2670" s="34"/>
      <c r="F2670" s="35">
        <f t="shared" ref="F2670:F2694" si="2243">SUM(B2670:E2670)</f>
        <v>3</v>
      </c>
      <c r="G2670" s="26"/>
      <c r="H2670" s="47"/>
      <c r="I2670" s="27"/>
      <c r="J2670" s="34"/>
      <c r="K2670" s="35">
        <f t="shared" ref="K2670:K2694" si="2244">SUM(G2670:J2670)</f>
        <v>0</v>
      </c>
      <c r="L2670" s="11">
        <f t="shared" si="2236"/>
        <v>3</v>
      </c>
      <c r="M2670" s="126">
        <v>46157</v>
      </c>
      <c r="N2670" s="269" t="s">
        <v>2189</v>
      </c>
      <c r="O2670" s="26">
        <v>50</v>
      </c>
      <c r="P2670" s="47">
        <v>60</v>
      </c>
      <c r="Q2670" s="27">
        <v>40</v>
      </c>
      <c r="R2670" s="34">
        <v>30</v>
      </c>
      <c r="S2670" s="35">
        <f t="shared" ref="S2670:S2676" si="2245">SUM(O2670:R2670)</f>
        <v>180</v>
      </c>
      <c r="T2670" s="26">
        <v>30</v>
      </c>
      <c r="U2670" s="47">
        <v>30</v>
      </c>
      <c r="V2670" s="27">
        <v>30</v>
      </c>
      <c r="W2670" s="34">
        <v>30</v>
      </c>
      <c r="X2670" s="35">
        <f t="shared" ref="X2670:X2676" si="2246">SUM(T2670:W2670)</f>
        <v>120</v>
      </c>
      <c r="Y2670" s="11">
        <f t="shared" si="2239"/>
        <v>300</v>
      </c>
      <c r="Z2670" s="99">
        <v>46154</v>
      </c>
    </row>
    <row r="2671" spans="1:26" x14ac:dyDescent="0.15">
      <c r="A2671" s="15" t="s">
        <v>2199</v>
      </c>
      <c r="B2671" s="26">
        <v>12</v>
      </c>
      <c r="C2671" s="47">
        <v>20</v>
      </c>
      <c r="D2671" s="27">
        <v>4</v>
      </c>
      <c r="E2671" s="34">
        <v>5</v>
      </c>
      <c r="F2671" s="35">
        <f t="shared" si="2243"/>
        <v>41</v>
      </c>
      <c r="G2671" s="26">
        <v>7</v>
      </c>
      <c r="H2671" s="47">
        <v>4</v>
      </c>
      <c r="I2671" s="27"/>
      <c r="J2671" s="34">
        <v>7</v>
      </c>
      <c r="K2671" s="35">
        <f t="shared" si="2244"/>
        <v>18</v>
      </c>
      <c r="L2671" s="11">
        <f t="shared" si="2236"/>
        <v>59</v>
      </c>
      <c r="M2671" s="126">
        <v>46158</v>
      </c>
      <c r="N2671" s="173" t="s">
        <v>2190</v>
      </c>
      <c r="O2671" s="26">
        <v>7</v>
      </c>
      <c r="P2671" s="47">
        <v>3</v>
      </c>
      <c r="Q2671" s="27">
        <v>3</v>
      </c>
      <c r="R2671" s="34">
        <v>1</v>
      </c>
      <c r="S2671" s="35">
        <f t="shared" si="2245"/>
        <v>14</v>
      </c>
      <c r="T2671" s="26"/>
      <c r="U2671" s="47">
        <v>4</v>
      </c>
      <c r="V2671" s="27">
        <v>1</v>
      </c>
      <c r="W2671" s="34"/>
      <c r="X2671" s="35">
        <f t="shared" si="2246"/>
        <v>5</v>
      </c>
      <c r="Y2671" s="11">
        <f t="shared" si="2239"/>
        <v>19</v>
      </c>
      <c r="Z2671" s="99">
        <v>46153</v>
      </c>
    </row>
    <row r="2672" spans="1:26" x14ac:dyDescent="0.15">
      <c r="A2672" s="15" t="s">
        <v>41</v>
      </c>
      <c r="B2672" s="26">
        <v>1</v>
      </c>
      <c r="C2672" s="47"/>
      <c r="D2672" s="27">
        <v>1</v>
      </c>
      <c r="E2672" s="34"/>
      <c r="F2672" s="35">
        <f t="shared" si="2243"/>
        <v>2</v>
      </c>
      <c r="G2672" s="26"/>
      <c r="H2672" s="47"/>
      <c r="I2672" s="27"/>
      <c r="J2672" s="34"/>
      <c r="K2672" s="35">
        <f t="shared" si="2244"/>
        <v>0</v>
      </c>
      <c r="L2672" s="11">
        <f t="shared" si="2236"/>
        <v>2</v>
      </c>
      <c r="M2672" s="126">
        <v>46160</v>
      </c>
      <c r="N2672" s="173" t="s">
        <v>2191</v>
      </c>
      <c r="O2672" s="26">
        <v>1</v>
      </c>
      <c r="P2672" s="47">
        <v>1</v>
      </c>
      <c r="Q2672" s="27">
        <v>1</v>
      </c>
      <c r="R2672" s="34"/>
      <c r="S2672" s="35">
        <f t="shared" si="2245"/>
        <v>3</v>
      </c>
      <c r="T2672" s="26"/>
      <c r="U2672" s="47"/>
      <c r="V2672" s="27"/>
      <c r="W2672" s="34"/>
      <c r="X2672" s="35">
        <f t="shared" si="2246"/>
        <v>0</v>
      </c>
      <c r="Y2672" s="11">
        <f t="shared" si="2239"/>
        <v>3</v>
      </c>
      <c r="Z2672" s="99">
        <v>46155</v>
      </c>
    </row>
    <row r="2673" spans="1:28" x14ac:dyDescent="0.15">
      <c r="A2673" s="15" t="s">
        <v>686</v>
      </c>
      <c r="B2673" s="26"/>
      <c r="C2673" s="47">
        <v>-1</v>
      </c>
      <c r="D2673" s="27"/>
      <c r="E2673" s="34"/>
      <c r="F2673" s="35">
        <f t="shared" si="2243"/>
        <v>-1</v>
      </c>
      <c r="G2673" s="26"/>
      <c r="H2673" s="47"/>
      <c r="I2673" s="27"/>
      <c r="J2673" s="34"/>
      <c r="K2673" s="35">
        <f t="shared" si="2244"/>
        <v>0</v>
      </c>
      <c r="L2673" s="11">
        <f t="shared" si="2236"/>
        <v>-1</v>
      </c>
      <c r="M2673" s="126">
        <v>46160</v>
      </c>
      <c r="N2673" s="12" t="s">
        <v>1674</v>
      </c>
      <c r="O2673" s="26">
        <v>6</v>
      </c>
      <c r="P2673" s="47">
        <v>6</v>
      </c>
      <c r="Q2673" s="27">
        <v>6</v>
      </c>
      <c r="R2673" s="34">
        <v>6</v>
      </c>
      <c r="S2673" s="35">
        <f t="shared" si="2245"/>
        <v>24</v>
      </c>
      <c r="T2673" s="26">
        <v>6</v>
      </c>
      <c r="U2673" s="47">
        <v>6</v>
      </c>
      <c r="V2673" s="27">
        <v>6</v>
      </c>
      <c r="W2673" s="34">
        <v>6</v>
      </c>
      <c r="X2673" s="35">
        <f t="shared" si="2246"/>
        <v>24</v>
      </c>
      <c r="Y2673" s="11">
        <f t="shared" si="2239"/>
        <v>48</v>
      </c>
      <c r="Z2673" s="99">
        <v>46155</v>
      </c>
      <c r="AA2673" s="58"/>
    </row>
    <row r="2674" spans="1:28" x14ac:dyDescent="0.15">
      <c r="A2674" s="15" t="s">
        <v>2200</v>
      </c>
      <c r="B2674" s="26"/>
      <c r="C2674" s="47">
        <v>2</v>
      </c>
      <c r="D2674" s="27"/>
      <c r="E2674" s="34"/>
      <c r="F2674" s="35">
        <f t="shared" si="2243"/>
        <v>2</v>
      </c>
      <c r="G2674" s="26"/>
      <c r="H2674" s="47"/>
      <c r="I2674" s="27"/>
      <c r="J2674" s="34"/>
      <c r="K2674" s="35">
        <f t="shared" si="2244"/>
        <v>0</v>
      </c>
      <c r="L2674" s="11">
        <f t="shared" si="2236"/>
        <v>2</v>
      </c>
      <c r="M2674" s="126">
        <v>46160</v>
      </c>
      <c r="N2674" s="305" t="s">
        <v>1987</v>
      </c>
      <c r="O2674" s="295"/>
      <c r="P2674" s="296"/>
      <c r="Q2674" s="297"/>
      <c r="R2674" s="306">
        <v>3</v>
      </c>
      <c r="S2674" s="307">
        <f t="shared" si="2245"/>
        <v>3</v>
      </c>
      <c r="T2674" s="295"/>
      <c r="U2674" s="296"/>
      <c r="V2674" s="297"/>
      <c r="W2674" s="306"/>
      <c r="X2674" s="307">
        <f t="shared" si="2246"/>
        <v>0</v>
      </c>
      <c r="Y2674" s="300">
        <f t="shared" si="2239"/>
        <v>3</v>
      </c>
      <c r="Z2674" s="301">
        <v>46154</v>
      </c>
    </row>
    <row r="2675" spans="1:28" x14ac:dyDescent="0.15">
      <c r="A2675" s="15" t="s">
        <v>41</v>
      </c>
      <c r="B2675" s="26">
        <v>2</v>
      </c>
      <c r="C2675" s="47"/>
      <c r="D2675" s="27"/>
      <c r="E2675" s="34"/>
      <c r="F2675" s="35">
        <f t="shared" si="2243"/>
        <v>2</v>
      </c>
      <c r="G2675" s="26"/>
      <c r="H2675" s="47"/>
      <c r="I2675" s="27"/>
      <c r="J2675" s="34"/>
      <c r="K2675" s="35">
        <f t="shared" si="2244"/>
        <v>0</v>
      </c>
      <c r="L2675" s="11">
        <f t="shared" si="2236"/>
        <v>2</v>
      </c>
      <c r="M2675" s="126">
        <v>46161</v>
      </c>
      <c r="N2675" s="173" t="s">
        <v>2193</v>
      </c>
      <c r="O2675" s="26">
        <v>8</v>
      </c>
      <c r="P2675" s="47">
        <v>9</v>
      </c>
      <c r="Q2675" s="27">
        <v>5</v>
      </c>
      <c r="R2675" s="34">
        <v>2</v>
      </c>
      <c r="S2675" s="35">
        <f t="shared" si="2245"/>
        <v>24</v>
      </c>
      <c r="T2675" s="26">
        <v>1</v>
      </c>
      <c r="U2675" s="47">
        <v>4</v>
      </c>
      <c r="V2675" s="27">
        <v>2</v>
      </c>
      <c r="W2675" s="34">
        <v>1</v>
      </c>
      <c r="X2675" s="35">
        <f t="shared" si="2246"/>
        <v>8</v>
      </c>
      <c r="Y2675" s="11">
        <f t="shared" si="2239"/>
        <v>32</v>
      </c>
      <c r="Z2675" s="99">
        <v>46156</v>
      </c>
    </row>
    <row r="2676" spans="1:28" x14ac:dyDescent="0.15">
      <c r="A2676" s="15" t="s">
        <v>41</v>
      </c>
      <c r="B2676" s="26">
        <v>1</v>
      </c>
      <c r="C2676" s="47"/>
      <c r="D2676" s="27"/>
      <c r="E2676" s="34"/>
      <c r="F2676" s="35">
        <f t="shared" si="2243"/>
        <v>1</v>
      </c>
      <c r="G2676" s="26"/>
      <c r="H2676" s="47">
        <v>1</v>
      </c>
      <c r="I2676" s="27"/>
      <c r="J2676" s="34">
        <v>2</v>
      </c>
      <c r="K2676" s="35">
        <f t="shared" si="2244"/>
        <v>3</v>
      </c>
      <c r="L2676" s="11">
        <f t="shared" si="2236"/>
        <v>4</v>
      </c>
      <c r="M2676" s="99">
        <v>46162</v>
      </c>
      <c r="N2676" s="173" t="s">
        <v>2197</v>
      </c>
      <c r="O2676" s="26"/>
      <c r="P2676" s="47">
        <v>4</v>
      </c>
      <c r="Q2676" s="27"/>
      <c r="R2676" s="34"/>
      <c r="S2676" s="35">
        <f t="shared" si="2245"/>
        <v>4</v>
      </c>
      <c r="T2676" s="26"/>
      <c r="U2676" s="47"/>
      <c r="V2676" s="27"/>
      <c r="W2676" s="34"/>
      <c r="X2676" s="35">
        <f t="shared" si="2246"/>
        <v>0</v>
      </c>
      <c r="Y2676" s="11">
        <f t="shared" si="2239"/>
        <v>4</v>
      </c>
      <c r="Z2676" s="99">
        <v>46157</v>
      </c>
    </row>
    <row r="2677" spans="1:28" x14ac:dyDescent="0.15">
      <c r="A2677" s="15" t="s">
        <v>41</v>
      </c>
      <c r="B2677" s="26"/>
      <c r="C2677" s="47"/>
      <c r="D2677" s="27">
        <v>1</v>
      </c>
      <c r="E2677" s="34"/>
      <c r="F2677" s="35">
        <f t="shared" si="2243"/>
        <v>1</v>
      </c>
      <c r="G2677" s="26">
        <v>1</v>
      </c>
      <c r="H2677" s="47"/>
      <c r="I2677" s="27"/>
      <c r="J2677" s="34"/>
      <c r="K2677" s="35">
        <f t="shared" si="2244"/>
        <v>1</v>
      </c>
      <c r="L2677" s="11">
        <f t="shared" si="2236"/>
        <v>2</v>
      </c>
      <c r="M2677" s="99">
        <v>46163</v>
      </c>
      <c r="N2677" s="173" t="s">
        <v>2198</v>
      </c>
      <c r="O2677" s="26">
        <v>41</v>
      </c>
      <c r="P2677" s="47">
        <v>40</v>
      </c>
      <c r="Q2677" s="27">
        <v>22</v>
      </c>
      <c r="R2677" s="50">
        <v>13</v>
      </c>
      <c r="S2677" s="9">
        <f>SUM(O2677:R2677)</f>
        <v>116</v>
      </c>
      <c r="T2677" s="47">
        <v>10</v>
      </c>
      <c r="U2677" s="47">
        <v>10</v>
      </c>
      <c r="V2677" s="27">
        <v>6</v>
      </c>
      <c r="W2677" s="50">
        <v>5</v>
      </c>
      <c r="X2677" s="9">
        <f>SUM(T2677:W2677)</f>
        <v>31</v>
      </c>
      <c r="Y2677" s="11">
        <f t="shared" si="2239"/>
        <v>147</v>
      </c>
      <c r="Z2677" s="99">
        <v>46158</v>
      </c>
      <c r="AA2677" s="58"/>
    </row>
    <row r="2678" spans="1:28" x14ac:dyDescent="0.15">
      <c r="A2678" s="13" t="s">
        <v>1815</v>
      </c>
      <c r="B2678" s="26"/>
      <c r="C2678" s="47"/>
      <c r="D2678" s="27">
        <v>1</v>
      </c>
      <c r="E2678" s="34"/>
      <c r="F2678" s="35">
        <f t="shared" si="2243"/>
        <v>1</v>
      </c>
      <c r="G2678" s="26"/>
      <c r="H2678" s="47"/>
      <c r="I2678" s="27">
        <v>1</v>
      </c>
      <c r="J2678" s="34"/>
      <c r="K2678" s="35">
        <f t="shared" si="2244"/>
        <v>1</v>
      </c>
      <c r="L2678" s="11">
        <f t="shared" si="2236"/>
        <v>2</v>
      </c>
      <c r="M2678" s="99">
        <v>46167</v>
      </c>
      <c r="N2678" s="153" t="s">
        <v>2201</v>
      </c>
      <c r="O2678" s="26"/>
      <c r="P2678" s="47"/>
      <c r="Q2678" s="27"/>
      <c r="R2678" s="34"/>
      <c r="S2678" s="35">
        <f t="shared" ref="S2678:S2695" si="2247">SUM(O2678:R2678)</f>
        <v>0</v>
      </c>
      <c r="T2678" s="26">
        <v>5</v>
      </c>
      <c r="U2678" s="47"/>
      <c r="V2678" s="27"/>
      <c r="W2678" s="34">
        <v>2</v>
      </c>
      <c r="X2678" s="35">
        <f t="shared" ref="X2678:X2695" si="2248">SUM(T2678:W2678)</f>
        <v>7</v>
      </c>
      <c r="Y2678" s="11">
        <f t="shared" si="2239"/>
        <v>7</v>
      </c>
      <c r="Z2678" s="99">
        <v>46163</v>
      </c>
      <c r="AA2678" s="58"/>
    </row>
    <row r="2679" spans="1:28" x14ac:dyDescent="0.15">
      <c r="A2679" s="15" t="s">
        <v>2214</v>
      </c>
      <c r="B2679" s="26"/>
      <c r="C2679" s="47"/>
      <c r="D2679" s="27">
        <v>1</v>
      </c>
      <c r="E2679" s="34"/>
      <c r="F2679" s="35">
        <f t="shared" si="2243"/>
        <v>1</v>
      </c>
      <c r="G2679" s="26"/>
      <c r="H2679" s="47"/>
      <c r="I2679" s="27"/>
      <c r="J2679" s="34">
        <v>2</v>
      </c>
      <c r="K2679" s="35">
        <f t="shared" si="2244"/>
        <v>2</v>
      </c>
      <c r="L2679" s="11">
        <f t="shared" si="2236"/>
        <v>3</v>
      </c>
      <c r="M2679" s="99">
        <v>46164</v>
      </c>
      <c r="N2679" s="335" t="s">
        <v>2204</v>
      </c>
      <c r="O2679" s="26">
        <v>50</v>
      </c>
      <c r="P2679" s="47">
        <v>90</v>
      </c>
      <c r="Q2679" s="27">
        <v>30</v>
      </c>
      <c r="R2679" s="34">
        <v>40</v>
      </c>
      <c r="S2679" s="35">
        <f t="shared" si="2247"/>
        <v>210</v>
      </c>
      <c r="T2679" s="26"/>
      <c r="U2679" s="47"/>
      <c r="V2679" s="27">
        <v>20</v>
      </c>
      <c r="W2679" s="34">
        <v>40</v>
      </c>
      <c r="X2679" s="35">
        <f t="shared" si="2248"/>
        <v>60</v>
      </c>
      <c r="Y2679" s="11">
        <f t="shared" si="2239"/>
        <v>270</v>
      </c>
      <c r="Z2679" s="99">
        <v>46163</v>
      </c>
      <c r="AA2679" s="58"/>
    </row>
    <row r="2680" spans="1:28" x14ac:dyDescent="0.15">
      <c r="A2680" s="15" t="s">
        <v>470</v>
      </c>
      <c r="B2680" s="26"/>
      <c r="C2680" s="47"/>
      <c r="D2680" s="27"/>
      <c r="E2680" s="34"/>
      <c r="F2680" s="35">
        <f t="shared" si="2243"/>
        <v>0</v>
      </c>
      <c r="G2680" s="26"/>
      <c r="H2680" s="47"/>
      <c r="I2680" s="27"/>
      <c r="J2680" s="34">
        <v>-5</v>
      </c>
      <c r="K2680" s="35">
        <f t="shared" si="2244"/>
        <v>-5</v>
      </c>
      <c r="L2680" s="11">
        <f t="shared" si="2236"/>
        <v>-5</v>
      </c>
      <c r="M2680" s="99">
        <v>46167</v>
      </c>
      <c r="N2680" s="153" t="s">
        <v>2205</v>
      </c>
      <c r="O2680" s="26"/>
      <c r="P2680" s="47">
        <v>4</v>
      </c>
      <c r="Q2680" s="27">
        <v>5</v>
      </c>
      <c r="R2680" s="34">
        <v>2</v>
      </c>
      <c r="S2680" s="35">
        <f t="shared" si="2247"/>
        <v>11</v>
      </c>
      <c r="T2680" s="26">
        <v>2</v>
      </c>
      <c r="U2680" s="47"/>
      <c r="V2680" s="27">
        <v>2</v>
      </c>
      <c r="W2680" s="34"/>
      <c r="X2680" s="35">
        <f t="shared" si="2248"/>
        <v>4</v>
      </c>
      <c r="Y2680" s="11">
        <f t="shared" si="2239"/>
        <v>15</v>
      </c>
      <c r="Z2680" s="99">
        <v>46164</v>
      </c>
    </row>
    <row r="2681" spans="1:28" x14ac:dyDescent="0.15">
      <c r="A2681" s="13" t="s">
        <v>41</v>
      </c>
      <c r="B2681" s="26">
        <v>1</v>
      </c>
      <c r="C2681" s="47">
        <v>1</v>
      </c>
      <c r="D2681" s="27"/>
      <c r="E2681" s="34">
        <v>1</v>
      </c>
      <c r="F2681" s="35">
        <f t="shared" si="2243"/>
        <v>3</v>
      </c>
      <c r="G2681" s="26"/>
      <c r="H2681" s="47"/>
      <c r="I2681" s="27"/>
      <c r="J2681" s="34"/>
      <c r="K2681" s="35">
        <f t="shared" si="2244"/>
        <v>0</v>
      </c>
      <c r="L2681" s="11">
        <f t="shared" si="2236"/>
        <v>3</v>
      </c>
      <c r="M2681" s="126">
        <v>46167</v>
      </c>
      <c r="N2681" s="153" t="s">
        <v>2206</v>
      </c>
      <c r="O2681" s="26">
        <v>5</v>
      </c>
      <c r="P2681" s="47">
        <v>12</v>
      </c>
      <c r="Q2681" s="27">
        <v>9</v>
      </c>
      <c r="R2681" s="34">
        <v>6</v>
      </c>
      <c r="S2681" s="35">
        <f t="shared" si="2247"/>
        <v>32</v>
      </c>
      <c r="T2681" s="26">
        <v>4</v>
      </c>
      <c r="U2681" s="47">
        <v>1</v>
      </c>
      <c r="V2681" s="27">
        <v>1</v>
      </c>
      <c r="W2681" s="34"/>
      <c r="X2681" s="35">
        <f t="shared" si="2248"/>
        <v>6</v>
      </c>
      <c r="Y2681" s="11">
        <f t="shared" si="2239"/>
        <v>38</v>
      </c>
      <c r="Z2681" s="99">
        <v>46165</v>
      </c>
      <c r="AA2681" s="58"/>
    </row>
    <row r="2682" spans="1:28" x14ac:dyDescent="0.15">
      <c r="A2682" s="13" t="s">
        <v>1815</v>
      </c>
      <c r="B2682" s="26"/>
      <c r="C2682" s="47"/>
      <c r="D2682" s="27">
        <v>1</v>
      </c>
      <c r="E2682" s="34"/>
      <c r="F2682" s="35">
        <f t="shared" si="2243"/>
        <v>1</v>
      </c>
      <c r="G2682" s="26"/>
      <c r="H2682" s="47"/>
      <c r="I2682" s="27">
        <v>1</v>
      </c>
      <c r="J2682" s="34"/>
      <c r="K2682" s="35">
        <f t="shared" si="2244"/>
        <v>1</v>
      </c>
      <c r="L2682" s="11">
        <f t="shared" si="2236"/>
        <v>2</v>
      </c>
      <c r="M2682" s="99">
        <v>46170</v>
      </c>
      <c r="N2682" s="12" t="s">
        <v>2207</v>
      </c>
      <c r="O2682" s="26"/>
      <c r="P2682" s="47">
        <v>2</v>
      </c>
      <c r="Q2682" s="27">
        <v>2</v>
      </c>
      <c r="R2682" s="34"/>
      <c r="S2682" s="35">
        <f t="shared" si="2247"/>
        <v>4</v>
      </c>
      <c r="T2682" s="26"/>
      <c r="U2682" s="47"/>
      <c r="V2682" s="27">
        <v>2</v>
      </c>
      <c r="W2682" s="34"/>
      <c r="X2682" s="35">
        <f t="shared" si="2248"/>
        <v>2</v>
      </c>
      <c r="Y2682" s="11">
        <f t="shared" si="2239"/>
        <v>6</v>
      </c>
      <c r="Z2682" s="99">
        <v>46168</v>
      </c>
    </row>
    <row r="2683" spans="1:28" x14ac:dyDescent="0.15">
      <c r="A2683" s="13" t="s">
        <v>41</v>
      </c>
      <c r="B2683" s="26">
        <v>2</v>
      </c>
      <c r="C2683" s="47">
        <v>1</v>
      </c>
      <c r="D2683" s="27"/>
      <c r="E2683" s="34"/>
      <c r="F2683" s="35">
        <f t="shared" si="2243"/>
        <v>3</v>
      </c>
      <c r="G2683" s="26"/>
      <c r="H2683" s="47">
        <v>1</v>
      </c>
      <c r="I2683" s="27"/>
      <c r="J2683" s="34"/>
      <c r="K2683" s="35">
        <f t="shared" si="2244"/>
        <v>1</v>
      </c>
      <c r="L2683" s="11">
        <f t="shared" si="2236"/>
        <v>4</v>
      </c>
      <c r="M2683" s="99">
        <v>46168</v>
      </c>
      <c r="N2683" s="153" t="s">
        <v>2213</v>
      </c>
      <c r="O2683" s="26">
        <v>5</v>
      </c>
      <c r="P2683" s="47">
        <v>5</v>
      </c>
      <c r="Q2683" s="27">
        <v>1</v>
      </c>
      <c r="R2683" s="34">
        <v>7</v>
      </c>
      <c r="S2683" s="35">
        <f t="shared" si="2247"/>
        <v>18</v>
      </c>
      <c r="T2683" s="26"/>
      <c r="U2683" s="47">
        <v>4</v>
      </c>
      <c r="V2683" s="27"/>
      <c r="W2683" s="34">
        <v>1</v>
      </c>
      <c r="X2683" s="35">
        <f t="shared" si="2248"/>
        <v>5</v>
      </c>
      <c r="Y2683" s="11">
        <f t="shared" si="2239"/>
        <v>23</v>
      </c>
      <c r="Z2683" s="99">
        <v>46167</v>
      </c>
    </row>
    <row r="2684" spans="1:28" x14ac:dyDescent="0.15">
      <c r="A2684" s="15" t="s">
        <v>62</v>
      </c>
      <c r="B2684" s="26"/>
      <c r="C2684" s="47"/>
      <c r="D2684" s="27">
        <v>-5</v>
      </c>
      <c r="E2684" s="34"/>
      <c r="F2684" s="35">
        <f t="shared" si="2243"/>
        <v>-5</v>
      </c>
      <c r="G2684" s="26"/>
      <c r="H2684" s="47"/>
      <c r="I2684" s="27"/>
      <c r="J2684" s="34"/>
      <c r="K2684" s="35">
        <f t="shared" si="2244"/>
        <v>0</v>
      </c>
      <c r="L2684" s="11">
        <f t="shared" si="2236"/>
        <v>-5</v>
      </c>
      <c r="M2684" s="99">
        <v>46169</v>
      </c>
      <c r="N2684" s="12" t="s">
        <v>2215</v>
      </c>
      <c r="O2684" s="26"/>
      <c r="P2684" s="47"/>
      <c r="Q2684" s="27"/>
      <c r="R2684" s="34"/>
      <c r="S2684" s="35">
        <f>SUM(O2684:R2684)</f>
        <v>0</v>
      </c>
      <c r="T2684" s="26"/>
      <c r="U2684" s="47"/>
      <c r="V2684" s="27"/>
      <c r="W2684" s="34">
        <v>5</v>
      </c>
      <c r="X2684" s="35">
        <f>SUM(T2684:W2684)</f>
        <v>5</v>
      </c>
      <c r="Y2684" s="108">
        <f>S2684+X2684</f>
        <v>5</v>
      </c>
      <c r="Z2684" s="99">
        <v>46167</v>
      </c>
    </row>
    <row r="2685" spans="1:28" x14ac:dyDescent="0.15">
      <c r="A2685" s="13" t="s">
        <v>2223</v>
      </c>
      <c r="B2685" s="26"/>
      <c r="C2685" s="47"/>
      <c r="D2685" s="27">
        <v>2</v>
      </c>
      <c r="E2685" s="34"/>
      <c r="F2685" s="35">
        <f t="shared" si="2243"/>
        <v>2</v>
      </c>
      <c r="G2685" s="26"/>
      <c r="H2685" s="47"/>
      <c r="I2685" s="27"/>
      <c r="J2685" s="34"/>
      <c r="K2685" s="35">
        <f t="shared" si="2244"/>
        <v>0</v>
      </c>
      <c r="L2685" s="11">
        <f t="shared" si="2236"/>
        <v>2</v>
      </c>
      <c r="M2685" s="99">
        <v>46175</v>
      </c>
      <c r="N2685" s="153" t="s">
        <v>2216</v>
      </c>
      <c r="O2685" s="26">
        <v>2</v>
      </c>
      <c r="P2685" s="47">
        <v>3</v>
      </c>
      <c r="Q2685" s="27"/>
      <c r="R2685" s="34">
        <v>1</v>
      </c>
      <c r="S2685" s="35">
        <f>SUM(O2685:R2685)</f>
        <v>6</v>
      </c>
      <c r="T2685" s="26"/>
      <c r="U2685" s="47">
        <v>1</v>
      </c>
      <c r="V2685" s="27"/>
      <c r="W2685" s="34"/>
      <c r="X2685" s="35">
        <f>SUM(T2685:W2685)</f>
        <v>1</v>
      </c>
      <c r="Y2685" s="108">
        <f>S2685+X2685</f>
        <v>7</v>
      </c>
      <c r="Z2685" s="99">
        <v>46169</v>
      </c>
    </row>
    <row r="2686" spans="1:28" x14ac:dyDescent="0.15">
      <c r="A2686" s="13" t="s">
        <v>41</v>
      </c>
      <c r="B2686" s="26"/>
      <c r="C2686" s="47"/>
      <c r="D2686" s="27">
        <v>1</v>
      </c>
      <c r="E2686" s="34"/>
      <c r="F2686" s="35">
        <f t="shared" si="2243"/>
        <v>1</v>
      </c>
      <c r="G2686" s="26"/>
      <c r="H2686" s="47"/>
      <c r="I2686" s="27">
        <v>1</v>
      </c>
      <c r="J2686" s="34"/>
      <c r="K2686" s="35">
        <f t="shared" si="2244"/>
        <v>1</v>
      </c>
      <c r="L2686" s="11">
        <f t="shared" si="2236"/>
        <v>2</v>
      </c>
      <c r="M2686" s="99">
        <v>46169</v>
      </c>
      <c r="N2686" s="153" t="s">
        <v>2217</v>
      </c>
      <c r="O2686" s="66">
        <v>15</v>
      </c>
      <c r="P2686" s="67">
        <v>22</v>
      </c>
      <c r="Q2686" s="68">
        <v>5</v>
      </c>
      <c r="R2686" s="69">
        <v>4</v>
      </c>
      <c r="S2686" s="70">
        <f>SUM(O2686:R2686)</f>
        <v>46</v>
      </c>
      <c r="T2686" s="66">
        <v>4</v>
      </c>
      <c r="U2686" s="67">
        <v>2</v>
      </c>
      <c r="V2686" s="68">
        <v>4</v>
      </c>
      <c r="W2686" s="69">
        <v>2</v>
      </c>
      <c r="X2686" s="70">
        <f>SUM(T2686:W2686)</f>
        <v>12</v>
      </c>
      <c r="Y2686" s="11">
        <f>S2686+X2686</f>
        <v>58</v>
      </c>
      <c r="Z2686" s="99">
        <v>46170</v>
      </c>
      <c r="AA2686" s="58"/>
      <c r="AB2686" s="58"/>
    </row>
    <row r="2687" spans="1:28" x14ac:dyDescent="0.15">
      <c r="A2687" s="13" t="s">
        <v>41</v>
      </c>
      <c r="B2687" s="26"/>
      <c r="C2687" s="47"/>
      <c r="D2687" s="27">
        <v>1</v>
      </c>
      <c r="E2687" s="34"/>
      <c r="F2687" s="35">
        <f t="shared" si="2243"/>
        <v>1</v>
      </c>
      <c r="G2687" s="26"/>
      <c r="H2687" s="47">
        <v>1</v>
      </c>
      <c r="I2687" s="27">
        <v>1</v>
      </c>
      <c r="J2687" s="34"/>
      <c r="K2687" s="35">
        <f t="shared" si="2244"/>
        <v>2</v>
      </c>
      <c r="L2687" s="11">
        <f t="shared" si="2236"/>
        <v>3</v>
      </c>
      <c r="M2687" s="99">
        <v>46170</v>
      </c>
      <c r="N2687" s="57" t="s">
        <v>1987</v>
      </c>
      <c r="O2687" s="66"/>
      <c r="P2687" s="67"/>
      <c r="Q2687" s="68">
        <v>5</v>
      </c>
      <c r="R2687" s="69"/>
      <c r="S2687" s="70">
        <f>SUM(O2687:R2687)</f>
        <v>5</v>
      </c>
      <c r="T2687" s="66"/>
      <c r="U2687" s="67"/>
      <c r="V2687" s="68"/>
      <c r="W2687" s="69"/>
      <c r="X2687" s="70">
        <f>SUM(T2687:W2687)</f>
        <v>0</v>
      </c>
      <c r="Y2687" s="11">
        <f>S2687+X2687</f>
        <v>5</v>
      </c>
      <c r="Z2687" s="99">
        <v>46169</v>
      </c>
    </row>
    <row r="2688" spans="1:28" x14ac:dyDescent="0.15">
      <c r="A2688" s="32" t="s">
        <v>2228</v>
      </c>
      <c r="B2688" s="26"/>
      <c r="C2688" s="47"/>
      <c r="D2688" s="27">
        <v>1</v>
      </c>
      <c r="E2688" s="34"/>
      <c r="F2688" s="35">
        <f t="shared" ref="F2688" si="2249">SUM(B2688:E2688)</f>
        <v>1</v>
      </c>
      <c r="G2688" s="26"/>
      <c r="H2688" s="47"/>
      <c r="I2688" s="27"/>
      <c r="J2688" s="34"/>
      <c r="K2688" s="35">
        <f t="shared" ref="K2688" si="2250">SUM(G2688:J2688)</f>
        <v>0</v>
      </c>
      <c r="L2688" s="11">
        <f t="shared" ref="L2688" si="2251">F2688+K2688</f>
        <v>1</v>
      </c>
      <c r="M2688" s="126">
        <v>46171</v>
      </c>
      <c r="N2688" s="173" t="s">
        <v>2169</v>
      </c>
      <c r="O2688" s="174"/>
      <c r="P2688" s="175"/>
      <c r="Q2688" s="176"/>
      <c r="R2688" s="177"/>
      <c r="S2688" s="178">
        <f t="shared" ref="S2688" si="2252">SUM(O2688:R2688)</f>
        <v>0</v>
      </c>
      <c r="T2688" s="174"/>
      <c r="U2688" s="175"/>
      <c r="V2688" s="176"/>
      <c r="W2688" s="177"/>
      <c r="X2688" s="178">
        <f t="shared" ref="X2688" si="2253">SUM(T2688:W2688)</f>
        <v>0</v>
      </c>
      <c r="Y2688" s="179">
        <f t="shared" ref="Y2688" si="2254">S2688+X2688</f>
        <v>0</v>
      </c>
      <c r="Z2688" s="160" t="s">
        <v>2170</v>
      </c>
    </row>
    <row r="2689" spans="1:27" x14ac:dyDescent="0.15">
      <c r="A2689" s="340"/>
      <c r="B2689" s="235"/>
      <c r="C2689" s="236"/>
      <c r="D2689" s="237"/>
      <c r="E2689" s="238"/>
      <c r="F2689" s="239"/>
      <c r="G2689" s="235"/>
      <c r="H2689" s="236"/>
      <c r="I2689" s="237"/>
      <c r="J2689" s="238"/>
      <c r="K2689" s="239"/>
      <c r="L2689" s="16"/>
      <c r="M2689" s="323"/>
      <c r="N2689" s="173" t="s">
        <v>2120</v>
      </c>
      <c r="O2689" s="174"/>
      <c r="P2689" s="175"/>
      <c r="Q2689" s="176"/>
      <c r="R2689" s="177"/>
      <c r="S2689" s="178">
        <f t="shared" ref="S2689:S2694" si="2255">SUM(O2689:R2689)</f>
        <v>0</v>
      </c>
      <c r="T2689" s="174"/>
      <c r="U2689" s="175"/>
      <c r="V2689" s="176"/>
      <c r="W2689" s="177"/>
      <c r="X2689" s="178">
        <f t="shared" ref="X2689:X2694" si="2256">SUM(T2689:W2689)</f>
        <v>0</v>
      </c>
      <c r="Y2689" s="179">
        <f t="shared" ref="Y2689:Y2694" si="2257">S2689+X2689</f>
        <v>0</v>
      </c>
      <c r="Z2689" s="101"/>
    </row>
    <row r="2690" spans="1:27" x14ac:dyDescent="0.15">
      <c r="A2690" s="32"/>
      <c r="B2690" s="26"/>
      <c r="C2690" s="47"/>
      <c r="D2690" s="27"/>
      <c r="E2690" s="34"/>
      <c r="F2690" s="35">
        <f t="shared" si="2243"/>
        <v>0</v>
      </c>
      <c r="G2690" s="26"/>
      <c r="H2690" s="47"/>
      <c r="I2690" s="27"/>
      <c r="J2690" s="34"/>
      <c r="K2690" s="35">
        <f t="shared" si="2244"/>
        <v>0</v>
      </c>
      <c r="L2690" s="11">
        <f t="shared" si="2236"/>
        <v>0</v>
      </c>
      <c r="N2690" s="12" t="s">
        <v>2121</v>
      </c>
      <c r="O2690" s="26"/>
      <c r="P2690" s="47"/>
      <c r="Q2690" s="27"/>
      <c r="R2690" s="34"/>
      <c r="S2690" s="35">
        <f t="shared" si="2255"/>
        <v>0</v>
      </c>
      <c r="T2690" s="26"/>
      <c r="U2690" s="47"/>
      <c r="V2690" s="27"/>
      <c r="W2690" s="34"/>
      <c r="X2690" s="35">
        <f t="shared" si="2256"/>
        <v>0</v>
      </c>
      <c r="Y2690" s="108">
        <f t="shared" si="2257"/>
        <v>0</v>
      </c>
      <c r="Z2690" s="272" t="s">
        <v>2122</v>
      </c>
    </row>
    <row r="2691" spans="1:27" x14ac:dyDescent="0.15">
      <c r="A2691" s="12"/>
      <c r="B2691" s="26"/>
      <c r="C2691" s="47"/>
      <c r="D2691" s="27"/>
      <c r="E2691" s="34"/>
      <c r="F2691" s="35">
        <f t="shared" si="2243"/>
        <v>0</v>
      </c>
      <c r="G2691" s="26"/>
      <c r="H2691" s="47"/>
      <c r="I2691" s="27"/>
      <c r="J2691" s="34"/>
      <c r="K2691" s="35">
        <f t="shared" si="2244"/>
        <v>0</v>
      </c>
      <c r="L2691" s="11">
        <f t="shared" si="2236"/>
        <v>0</v>
      </c>
      <c r="N2691" s="173" t="s">
        <v>2108</v>
      </c>
      <c r="O2691" s="174"/>
      <c r="P2691" s="175"/>
      <c r="Q2691" s="176"/>
      <c r="R2691" s="177"/>
      <c r="S2691" s="178">
        <f t="shared" si="2255"/>
        <v>0</v>
      </c>
      <c r="T2691" s="174"/>
      <c r="U2691" s="175"/>
      <c r="V2691" s="176"/>
      <c r="W2691" s="177"/>
      <c r="X2691" s="178">
        <f t="shared" si="2256"/>
        <v>0</v>
      </c>
      <c r="Y2691" s="179">
        <f t="shared" si="2257"/>
        <v>0</v>
      </c>
      <c r="Z2691" s="160"/>
    </row>
    <row r="2692" spans="1:27" x14ac:dyDescent="0.15">
      <c r="A2692" s="79"/>
      <c r="B2692" s="26"/>
      <c r="C2692" s="47"/>
      <c r="D2692" s="27"/>
      <c r="E2692" s="34"/>
      <c r="F2692" s="35">
        <f t="shared" si="2243"/>
        <v>0</v>
      </c>
      <c r="G2692" s="26"/>
      <c r="H2692" s="47"/>
      <c r="I2692" s="27"/>
      <c r="J2692" s="34"/>
      <c r="K2692" s="35">
        <f t="shared" si="2244"/>
        <v>0</v>
      </c>
      <c r="L2692" s="11">
        <f t="shared" si="2236"/>
        <v>0</v>
      </c>
      <c r="N2692" s="12" t="s">
        <v>2109</v>
      </c>
      <c r="O2692" s="26"/>
      <c r="P2692" s="47"/>
      <c r="Q2692" s="27"/>
      <c r="R2692" s="34"/>
      <c r="S2692" s="35">
        <f t="shared" si="2255"/>
        <v>0</v>
      </c>
      <c r="T2692" s="26"/>
      <c r="U2692" s="47"/>
      <c r="V2692" s="27"/>
      <c r="W2692" s="34"/>
      <c r="X2692" s="35">
        <f t="shared" si="2256"/>
        <v>0</v>
      </c>
      <c r="Y2692" s="108">
        <f t="shared" si="2257"/>
        <v>0</v>
      </c>
      <c r="Z2692" s="101" t="s">
        <v>2110</v>
      </c>
    </row>
    <row r="2693" spans="1:27" x14ac:dyDescent="0.15">
      <c r="A2693" s="57"/>
      <c r="B2693" s="26"/>
      <c r="C2693" s="47"/>
      <c r="D2693" s="27"/>
      <c r="E2693" s="34"/>
      <c r="F2693" s="35">
        <f t="shared" si="2243"/>
        <v>0</v>
      </c>
      <c r="G2693" s="26"/>
      <c r="H2693" s="47"/>
      <c r="I2693" s="27"/>
      <c r="J2693" s="34"/>
      <c r="K2693" s="35">
        <f t="shared" si="2244"/>
        <v>0</v>
      </c>
      <c r="L2693" s="11">
        <f t="shared" si="2236"/>
        <v>0</v>
      </c>
      <c r="N2693" s="153" t="s">
        <v>2042</v>
      </c>
      <c r="O2693" s="154"/>
      <c r="P2693" s="155"/>
      <c r="Q2693" s="156"/>
      <c r="R2693" s="157"/>
      <c r="S2693" s="158">
        <f t="shared" si="2255"/>
        <v>0</v>
      </c>
      <c r="T2693" s="154"/>
      <c r="U2693" s="155"/>
      <c r="V2693" s="156"/>
      <c r="W2693" s="157"/>
      <c r="X2693" s="158">
        <f t="shared" si="2256"/>
        <v>0</v>
      </c>
      <c r="Y2693" s="159">
        <f t="shared" si="2257"/>
        <v>0</v>
      </c>
      <c r="Z2693" s="101"/>
      <c r="AA2693" s="58"/>
    </row>
    <row r="2694" spans="1:27" ht="14.25" thickBot="1" x14ac:dyDescent="0.2">
      <c r="A2694" s="90"/>
      <c r="B2694" s="62"/>
      <c r="C2694" s="63"/>
      <c r="D2694" s="64"/>
      <c r="E2694" s="65"/>
      <c r="F2694" s="35">
        <f t="shared" si="2243"/>
        <v>0</v>
      </c>
      <c r="G2694" s="62"/>
      <c r="H2694" s="63"/>
      <c r="I2694" s="64"/>
      <c r="J2694" s="65"/>
      <c r="K2694" s="35">
        <f t="shared" si="2244"/>
        <v>0</v>
      </c>
      <c r="L2694" s="14">
        <f t="shared" si="2236"/>
        <v>0</v>
      </c>
      <c r="N2694" s="220" t="s">
        <v>2043</v>
      </c>
      <c r="O2694" s="109"/>
      <c r="P2694" s="110"/>
      <c r="Q2694" s="111"/>
      <c r="R2694" s="112"/>
      <c r="S2694" s="134">
        <f t="shared" si="2255"/>
        <v>0</v>
      </c>
      <c r="T2694" s="109"/>
      <c r="U2694" s="110"/>
      <c r="V2694" s="111"/>
      <c r="W2694" s="112"/>
      <c r="X2694" s="134">
        <f t="shared" si="2256"/>
        <v>0</v>
      </c>
      <c r="Y2694" s="119">
        <f t="shared" si="2257"/>
        <v>0</v>
      </c>
      <c r="Z2694" s="101" t="s">
        <v>2044</v>
      </c>
      <c r="AA2694" s="58"/>
    </row>
    <row r="2695" spans="1:27" ht="14.25" thickBot="1" x14ac:dyDescent="0.2">
      <c r="A2695" s="17" t="s">
        <v>10</v>
      </c>
      <c r="B2695" s="38">
        <f>SUM(B2670:B2694)</f>
        <v>19</v>
      </c>
      <c r="C2695" s="48">
        <f>SUM(C2670:C2694)</f>
        <v>23</v>
      </c>
      <c r="D2695" s="39">
        <f>SUM(D2670:D2694)</f>
        <v>12</v>
      </c>
      <c r="E2695" s="40">
        <f>SUM(E2670:E2694)</f>
        <v>6</v>
      </c>
      <c r="F2695" s="36">
        <f>SUM(B2695:E2695)</f>
        <v>60</v>
      </c>
      <c r="G2695" s="38">
        <f>SUM(G2670:G2694)</f>
        <v>8</v>
      </c>
      <c r="H2695" s="48">
        <f>SUM(H2670:H2694)</f>
        <v>7</v>
      </c>
      <c r="I2695" s="39">
        <f>SUM(I2670:I2694)</f>
        <v>4</v>
      </c>
      <c r="J2695" s="40">
        <f>SUM(J2670:J2694)</f>
        <v>6</v>
      </c>
      <c r="K2695" s="36">
        <f>SUM(G2695:J2695)</f>
        <v>25</v>
      </c>
      <c r="L2695" s="37">
        <f t="shared" si="2236"/>
        <v>85</v>
      </c>
      <c r="N2695" s="133" t="s">
        <v>10</v>
      </c>
      <c r="O2695" s="38">
        <f>SUM(O2670:O2694)</f>
        <v>190</v>
      </c>
      <c r="P2695" s="48">
        <f>SUM(P2670:P2694)</f>
        <v>261</v>
      </c>
      <c r="Q2695" s="39">
        <f>SUM(Q2670:Q2694)</f>
        <v>134</v>
      </c>
      <c r="R2695" s="40">
        <f>SUM(R2670:R2694)</f>
        <v>115</v>
      </c>
      <c r="S2695" s="118">
        <f t="shared" si="2247"/>
        <v>700</v>
      </c>
      <c r="T2695" s="38">
        <f>SUM(T2670:T2694)</f>
        <v>62</v>
      </c>
      <c r="U2695" s="48">
        <f>SUM(U2670:U2694)</f>
        <v>62</v>
      </c>
      <c r="V2695" s="39">
        <f>SUM(V2670:V2694)</f>
        <v>74</v>
      </c>
      <c r="W2695" s="40">
        <f>SUM(W2670:W2694)</f>
        <v>92</v>
      </c>
      <c r="X2695" s="118">
        <f t="shared" si="2248"/>
        <v>290</v>
      </c>
      <c r="Y2695" s="119">
        <f t="shared" si="2239"/>
        <v>990</v>
      </c>
    </row>
    <row r="2696" spans="1:27" ht="14.25" thickBot="1" x14ac:dyDescent="0.2">
      <c r="A2696" s="22" t="s">
        <v>11</v>
      </c>
      <c r="B2696" s="41">
        <f>B2669-B2695</f>
        <v>17</v>
      </c>
      <c r="C2696" s="49">
        <f>C2669-C2695</f>
        <v>6</v>
      </c>
      <c r="D2696" s="42">
        <f t="shared" ref="D2696:K2696" si="2258">D2669-D2695</f>
        <v>3</v>
      </c>
      <c r="E2696" s="43">
        <f t="shared" si="2258"/>
        <v>13</v>
      </c>
      <c r="F2696" s="61">
        <f t="shared" si="2258"/>
        <v>35</v>
      </c>
      <c r="G2696" s="41">
        <f t="shared" si="2258"/>
        <v>5</v>
      </c>
      <c r="H2696" s="49">
        <f t="shared" si="2258"/>
        <v>3</v>
      </c>
      <c r="I2696" s="42">
        <f t="shared" si="2258"/>
        <v>5</v>
      </c>
      <c r="J2696" s="43">
        <f t="shared" si="2258"/>
        <v>6</v>
      </c>
      <c r="K2696" s="61">
        <f t="shared" si="2258"/>
        <v>19</v>
      </c>
      <c r="L2696" s="21">
        <f t="shared" si="2236"/>
        <v>54</v>
      </c>
      <c r="N2696" s="17" t="s">
        <v>11</v>
      </c>
      <c r="O2696" s="41">
        <f>O2669-O2695</f>
        <v>154</v>
      </c>
      <c r="P2696" s="49">
        <f t="shared" ref="P2696:Q2696" si="2259">P2669-P2695</f>
        <v>216</v>
      </c>
      <c r="Q2696" s="42">
        <f t="shared" si="2259"/>
        <v>282</v>
      </c>
      <c r="R2696" s="43">
        <f>R2669-R2695</f>
        <v>152</v>
      </c>
      <c r="S2696" s="61">
        <f t="shared" ref="S2696:X2696" si="2260">S2669-S2695</f>
        <v>804</v>
      </c>
      <c r="T2696" s="41">
        <f t="shared" si="2260"/>
        <v>388</v>
      </c>
      <c r="U2696" s="49">
        <f t="shared" si="2260"/>
        <v>347</v>
      </c>
      <c r="V2696" s="42">
        <f t="shared" si="2260"/>
        <v>286</v>
      </c>
      <c r="W2696" s="43">
        <f t="shared" si="2260"/>
        <v>122</v>
      </c>
      <c r="X2696" s="61">
        <f t="shared" si="2260"/>
        <v>1143</v>
      </c>
      <c r="Y2696" s="21">
        <f t="shared" si="2239"/>
        <v>1947</v>
      </c>
    </row>
    <row r="2699" spans="1:27" ht="19.5" thickBot="1" x14ac:dyDescent="0.25">
      <c r="A2699" s="2" t="s">
        <v>106</v>
      </c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N2699" s="2" t="s">
        <v>1036</v>
      </c>
      <c r="O2699" s="270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7" ht="14.25" thickBot="1" x14ac:dyDescent="0.2">
      <c r="A2700" s="5" t="s">
        <v>0</v>
      </c>
      <c r="B2700" s="342" t="s">
        <v>18</v>
      </c>
      <c r="C2700" s="350"/>
      <c r="D2700" s="350"/>
      <c r="E2700" s="350"/>
      <c r="F2700" s="351"/>
      <c r="G2700" s="345" t="s">
        <v>12</v>
      </c>
      <c r="H2700" s="352"/>
      <c r="I2700" s="352"/>
      <c r="J2700" s="352"/>
      <c r="K2700" s="353"/>
      <c r="L2700" s="354" t="s">
        <v>1</v>
      </c>
      <c r="N2700" s="5" t="s">
        <v>0</v>
      </c>
      <c r="O2700" s="342" t="s">
        <v>18</v>
      </c>
      <c r="P2700" s="343"/>
      <c r="Q2700" s="343"/>
      <c r="R2700" s="343"/>
      <c r="S2700" s="344"/>
      <c r="T2700" s="345" t="s">
        <v>12</v>
      </c>
      <c r="U2700" s="346"/>
      <c r="V2700" s="346"/>
      <c r="W2700" s="346"/>
      <c r="X2700" s="347"/>
      <c r="Y2700" s="348" t="s">
        <v>1</v>
      </c>
    </row>
    <row r="2701" spans="1:27" ht="14.25" thickBot="1" x14ac:dyDescent="0.2">
      <c r="A2701" s="5" t="s">
        <v>2</v>
      </c>
      <c r="B2701" s="3" t="s">
        <v>13</v>
      </c>
      <c r="C2701" s="44" t="s">
        <v>14</v>
      </c>
      <c r="D2701" s="4" t="s">
        <v>15</v>
      </c>
      <c r="E2701" s="23" t="s">
        <v>16</v>
      </c>
      <c r="F2701" s="31" t="s">
        <v>3</v>
      </c>
      <c r="G2701" s="3" t="s">
        <v>13</v>
      </c>
      <c r="H2701" s="44" t="s">
        <v>14</v>
      </c>
      <c r="I2701" s="4" t="s">
        <v>15</v>
      </c>
      <c r="J2701" s="23" t="s">
        <v>16</v>
      </c>
      <c r="K2701" s="31" t="s">
        <v>3</v>
      </c>
      <c r="L2701" s="355"/>
      <c r="N2701" s="5" t="s">
        <v>2</v>
      </c>
      <c r="O2701" s="3" t="s">
        <v>13</v>
      </c>
      <c r="P2701" s="44" t="s">
        <v>14</v>
      </c>
      <c r="Q2701" s="4" t="s">
        <v>15</v>
      </c>
      <c r="R2701" s="23" t="s">
        <v>16</v>
      </c>
      <c r="S2701" s="31" t="s">
        <v>3</v>
      </c>
      <c r="T2701" s="3" t="s">
        <v>13</v>
      </c>
      <c r="U2701" s="44" t="s">
        <v>14</v>
      </c>
      <c r="V2701" s="4" t="s">
        <v>15</v>
      </c>
      <c r="W2701" s="23" t="s">
        <v>16</v>
      </c>
      <c r="X2701" s="31" t="s">
        <v>3</v>
      </c>
      <c r="Y2701" s="349"/>
    </row>
    <row r="2702" spans="1:27" x14ac:dyDescent="0.15">
      <c r="A2702" s="71" t="s">
        <v>17</v>
      </c>
      <c r="B2702" s="72">
        <f>B2696</f>
        <v>17</v>
      </c>
      <c r="C2702" s="73">
        <f t="shared" ref="C2702:L2702" si="2261">C2696</f>
        <v>6</v>
      </c>
      <c r="D2702" s="73">
        <f t="shared" si="2261"/>
        <v>3</v>
      </c>
      <c r="E2702" s="74">
        <f t="shared" si="2261"/>
        <v>13</v>
      </c>
      <c r="F2702" s="76">
        <f t="shared" si="2261"/>
        <v>35</v>
      </c>
      <c r="G2702" s="72">
        <f t="shared" si="2261"/>
        <v>5</v>
      </c>
      <c r="H2702" s="73">
        <f t="shared" si="2261"/>
        <v>3</v>
      </c>
      <c r="I2702" s="73">
        <f t="shared" si="2261"/>
        <v>5</v>
      </c>
      <c r="J2702" s="74">
        <f t="shared" si="2261"/>
        <v>6</v>
      </c>
      <c r="K2702" s="75">
        <f t="shared" si="2261"/>
        <v>19</v>
      </c>
      <c r="L2702" s="16">
        <f t="shared" si="2261"/>
        <v>54</v>
      </c>
      <c r="N2702" s="71" t="s">
        <v>17</v>
      </c>
      <c r="O2702" s="72">
        <f>O2696</f>
        <v>154</v>
      </c>
      <c r="P2702" s="73">
        <f t="shared" ref="P2702:Y2702" si="2262">P2696</f>
        <v>216</v>
      </c>
      <c r="Q2702" s="73">
        <f t="shared" si="2262"/>
        <v>282</v>
      </c>
      <c r="R2702" s="74">
        <f t="shared" si="2262"/>
        <v>152</v>
      </c>
      <c r="S2702" s="76">
        <f t="shared" si="2262"/>
        <v>804</v>
      </c>
      <c r="T2702" s="72">
        <f t="shared" si="2262"/>
        <v>388</v>
      </c>
      <c r="U2702" s="73">
        <f t="shared" si="2262"/>
        <v>347</v>
      </c>
      <c r="V2702" s="73">
        <f t="shared" si="2262"/>
        <v>286</v>
      </c>
      <c r="W2702" s="74">
        <f t="shared" si="2262"/>
        <v>122</v>
      </c>
      <c r="X2702" s="75">
        <f t="shared" si="2262"/>
        <v>1143</v>
      </c>
      <c r="Y2702" s="16">
        <f t="shared" si="2262"/>
        <v>1947</v>
      </c>
    </row>
    <row r="2703" spans="1:27" x14ac:dyDescent="0.15">
      <c r="A2703" s="13" t="s">
        <v>5</v>
      </c>
      <c r="B2703" s="26"/>
      <c r="C2703" s="47"/>
      <c r="D2703" s="27">
        <v>3</v>
      </c>
      <c r="E2703" s="50"/>
      <c r="F2703" s="9">
        <f t="shared" ref="F2703:F2704" si="2263">SUM(B2703:E2703)</f>
        <v>3</v>
      </c>
      <c r="G2703" s="47"/>
      <c r="H2703" s="47">
        <v>3</v>
      </c>
      <c r="I2703" s="27"/>
      <c r="J2703" s="50"/>
      <c r="K2703" s="9">
        <f t="shared" ref="K2703:K2704" si="2264">SUM(G2703:J2703)</f>
        <v>3</v>
      </c>
      <c r="L2703" s="11">
        <f t="shared" ref="L2703:L2734" si="2265">F2703+K2703</f>
        <v>6</v>
      </c>
      <c r="M2703" s="99">
        <v>46171</v>
      </c>
      <c r="N2703" s="13" t="s">
        <v>305</v>
      </c>
      <c r="O2703" s="26">
        <v>5</v>
      </c>
      <c r="P2703" s="47"/>
      <c r="Q2703" s="27"/>
      <c r="R2703" s="34"/>
      <c r="S2703" s="77">
        <f t="shared" ref="S2703:S2706" si="2266">SUM(O2703:R2703)</f>
        <v>5</v>
      </c>
      <c r="T2703" s="26"/>
      <c r="U2703" s="47"/>
      <c r="V2703" s="27"/>
      <c r="W2703" s="34"/>
      <c r="X2703" s="9">
        <f t="shared" ref="X2703:X2706" si="2267">SUM(T2703:W2703)</f>
        <v>0</v>
      </c>
      <c r="Y2703" s="11">
        <f t="shared" ref="Y2703:Y2734" si="2268">S2703+X2703</f>
        <v>5</v>
      </c>
      <c r="Z2703" s="126">
        <v>46172</v>
      </c>
    </row>
    <row r="2704" spans="1:27" x14ac:dyDescent="0.15">
      <c r="A2704" s="13" t="s">
        <v>374</v>
      </c>
      <c r="B2704" s="26">
        <v>1</v>
      </c>
      <c r="C2704" s="47">
        <v>1</v>
      </c>
      <c r="D2704" s="27"/>
      <c r="E2704" s="50"/>
      <c r="F2704" s="9">
        <f t="shared" si="2263"/>
        <v>2</v>
      </c>
      <c r="G2704" s="47"/>
      <c r="H2704" s="47"/>
      <c r="I2704" s="27"/>
      <c r="J2704" s="50"/>
      <c r="K2704" s="9">
        <f t="shared" si="2264"/>
        <v>0</v>
      </c>
      <c r="L2704" s="11">
        <f t="shared" si="2265"/>
        <v>2</v>
      </c>
      <c r="M2704" s="126">
        <v>46168</v>
      </c>
      <c r="N2704" s="13" t="s">
        <v>6</v>
      </c>
      <c r="O2704" s="26"/>
      <c r="P2704" s="47"/>
      <c r="Q2704" s="27"/>
      <c r="R2704" s="34"/>
      <c r="S2704" s="77">
        <f t="shared" ref="S2704" si="2269">SUM(O2704:R2704)</f>
        <v>0</v>
      </c>
      <c r="T2704" s="26"/>
      <c r="U2704" s="47"/>
      <c r="V2704" s="27"/>
      <c r="W2704" s="34"/>
      <c r="X2704" s="9">
        <f t="shared" ref="X2704" si="2270">SUM(T2704:W2704)</f>
        <v>0</v>
      </c>
      <c r="Y2704" s="11">
        <f t="shared" ref="Y2704" si="2271">S2704+X2704</f>
        <v>0</v>
      </c>
    </row>
    <row r="2705" spans="1:27" x14ac:dyDescent="0.15">
      <c r="A2705" s="13" t="s">
        <v>49</v>
      </c>
      <c r="B2705" s="26">
        <v>5</v>
      </c>
      <c r="C2705" s="47">
        <v>1</v>
      </c>
      <c r="D2705" s="27">
        <v>1</v>
      </c>
      <c r="E2705" s="50">
        <v>1</v>
      </c>
      <c r="F2705" s="9">
        <f>SUM(B2705:E2705)</f>
        <v>8</v>
      </c>
      <c r="G2705" s="47"/>
      <c r="H2705" s="47"/>
      <c r="I2705" s="27"/>
      <c r="J2705" s="50">
        <v>2</v>
      </c>
      <c r="K2705" s="9">
        <f>SUM(G2705:J2705)</f>
        <v>2</v>
      </c>
      <c r="L2705" s="11">
        <f t="shared" si="2265"/>
        <v>10</v>
      </c>
      <c r="M2705" s="126">
        <v>46168</v>
      </c>
      <c r="N2705" s="13" t="s">
        <v>7</v>
      </c>
      <c r="O2705" s="26"/>
      <c r="P2705" s="47"/>
      <c r="Q2705" s="27"/>
      <c r="R2705" s="34"/>
      <c r="S2705" s="77">
        <f t="shared" si="2266"/>
        <v>0</v>
      </c>
      <c r="T2705" s="26"/>
      <c r="U2705" s="47"/>
      <c r="V2705" s="27"/>
      <c r="W2705" s="34"/>
      <c r="X2705" s="9">
        <f t="shared" si="2267"/>
        <v>0</v>
      </c>
      <c r="Y2705" s="11">
        <f t="shared" si="2268"/>
        <v>0</v>
      </c>
    </row>
    <row r="2706" spans="1:27" ht="14.25" thickBot="1" x14ac:dyDescent="0.2">
      <c r="A2706" s="13" t="s">
        <v>8</v>
      </c>
      <c r="B2706" s="26"/>
      <c r="C2706" s="47"/>
      <c r="D2706" s="27">
        <v>3</v>
      </c>
      <c r="E2706" s="50"/>
      <c r="F2706" s="10">
        <f>SUM(B2706:E2706)</f>
        <v>3</v>
      </c>
      <c r="G2706" s="47">
        <v>5</v>
      </c>
      <c r="H2706" s="47"/>
      <c r="I2706" s="27"/>
      <c r="J2706" s="50"/>
      <c r="K2706" s="10">
        <f>SUM(G2706:J2706)</f>
        <v>5</v>
      </c>
      <c r="L2706" s="14">
        <f t="shared" si="2265"/>
        <v>8</v>
      </c>
      <c r="M2706" s="99">
        <v>46172</v>
      </c>
      <c r="N2706" s="13" t="s">
        <v>8</v>
      </c>
      <c r="O2706" s="26"/>
      <c r="P2706" s="47"/>
      <c r="Q2706" s="27"/>
      <c r="R2706" s="34"/>
      <c r="S2706" s="77">
        <f t="shared" si="2266"/>
        <v>0</v>
      </c>
      <c r="T2706" s="26"/>
      <c r="U2706" s="47"/>
      <c r="V2706" s="27"/>
      <c r="W2706" s="34"/>
      <c r="X2706" s="9">
        <f t="shared" si="2267"/>
        <v>0</v>
      </c>
      <c r="Y2706" s="11">
        <f t="shared" si="2268"/>
        <v>0</v>
      </c>
    </row>
    <row r="2707" spans="1:27" ht="14.25" thickBot="1" x14ac:dyDescent="0.2">
      <c r="A2707" s="22" t="s">
        <v>9</v>
      </c>
      <c r="B2707" s="41">
        <f t="shared" ref="B2707:K2707" si="2272">SUM(B2702:B2706)</f>
        <v>23</v>
      </c>
      <c r="C2707" s="49">
        <f t="shared" si="2272"/>
        <v>8</v>
      </c>
      <c r="D2707" s="42">
        <f t="shared" si="2272"/>
        <v>10</v>
      </c>
      <c r="E2707" s="92">
        <f t="shared" si="2272"/>
        <v>14</v>
      </c>
      <c r="F2707" s="132">
        <f t="shared" si="2272"/>
        <v>51</v>
      </c>
      <c r="G2707" s="41">
        <f t="shared" si="2272"/>
        <v>10</v>
      </c>
      <c r="H2707" s="49">
        <f t="shared" si="2272"/>
        <v>6</v>
      </c>
      <c r="I2707" s="42">
        <f t="shared" si="2272"/>
        <v>5</v>
      </c>
      <c r="J2707" s="92">
        <f t="shared" si="2272"/>
        <v>8</v>
      </c>
      <c r="K2707" s="132">
        <f t="shared" si="2272"/>
        <v>29</v>
      </c>
      <c r="L2707" s="21">
        <f t="shared" si="2265"/>
        <v>80</v>
      </c>
      <c r="N2707" s="17" t="s">
        <v>9</v>
      </c>
      <c r="O2707" s="41">
        <f>SUM(O2702:O2706)</f>
        <v>159</v>
      </c>
      <c r="P2707" s="49">
        <f t="shared" ref="P2707:V2707" si="2273">SUM(P2702:P2706)</f>
        <v>216</v>
      </c>
      <c r="Q2707" s="42">
        <f t="shared" si="2273"/>
        <v>282</v>
      </c>
      <c r="R2707" s="92">
        <f t="shared" si="2273"/>
        <v>152</v>
      </c>
      <c r="S2707" s="93">
        <f t="shared" si="2273"/>
        <v>809</v>
      </c>
      <c r="T2707" s="41">
        <f t="shared" si="2273"/>
        <v>388</v>
      </c>
      <c r="U2707" s="49">
        <f t="shared" si="2273"/>
        <v>347</v>
      </c>
      <c r="V2707" s="42">
        <f t="shared" si="2273"/>
        <v>286</v>
      </c>
      <c r="W2707" s="92">
        <f>SUM(W2702:W2706)</f>
        <v>122</v>
      </c>
      <c r="X2707" s="93">
        <f t="shared" ref="X2707" si="2274">SUM(X2702:X2706)</f>
        <v>1143</v>
      </c>
      <c r="Y2707" s="56">
        <f t="shared" si="2268"/>
        <v>1952</v>
      </c>
    </row>
    <row r="2708" spans="1:27" x14ac:dyDescent="0.15">
      <c r="A2708" s="153" t="s">
        <v>2227</v>
      </c>
      <c r="B2708" s="26">
        <v>6</v>
      </c>
      <c r="C2708" s="47">
        <v>2</v>
      </c>
      <c r="D2708" s="27">
        <v>4</v>
      </c>
      <c r="E2708" s="34"/>
      <c r="F2708" s="35">
        <f t="shared" ref="F2708:F2732" si="2275">SUM(B2708:E2708)</f>
        <v>12</v>
      </c>
      <c r="G2708" s="26">
        <v>4</v>
      </c>
      <c r="H2708" s="47">
        <v>1</v>
      </c>
      <c r="I2708" s="27"/>
      <c r="J2708" s="34"/>
      <c r="K2708" s="35">
        <f t="shared" ref="K2708:K2732" si="2276">SUM(G2708:J2708)</f>
        <v>5</v>
      </c>
      <c r="L2708" s="11">
        <f t="shared" si="2265"/>
        <v>17</v>
      </c>
      <c r="M2708" s="99">
        <v>46174</v>
      </c>
      <c r="N2708" s="12" t="s">
        <v>2218</v>
      </c>
      <c r="O2708" s="26"/>
      <c r="P2708" s="47">
        <v>2</v>
      </c>
      <c r="Q2708" s="27"/>
      <c r="R2708" s="34"/>
      <c r="S2708" s="35">
        <f t="shared" ref="S2708" si="2277">SUM(O2708:R2708)</f>
        <v>2</v>
      </c>
      <c r="T2708" s="26"/>
      <c r="U2708" s="47">
        <v>2</v>
      </c>
      <c r="V2708" s="27"/>
      <c r="W2708" s="34"/>
      <c r="X2708" s="35">
        <f t="shared" ref="X2708" si="2278">SUM(T2708:W2708)</f>
        <v>2</v>
      </c>
      <c r="Y2708" s="11">
        <f t="shared" ref="Y2708" si="2279">S2708+X2708</f>
        <v>4</v>
      </c>
      <c r="Z2708" s="99">
        <v>46174</v>
      </c>
      <c r="AA2708" s="58"/>
    </row>
    <row r="2709" spans="1:27" x14ac:dyDescent="0.15">
      <c r="A2709" s="15" t="s">
        <v>2229</v>
      </c>
      <c r="B2709" s="26">
        <v>5</v>
      </c>
      <c r="C2709" s="47"/>
      <c r="D2709" s="27"/>
      <c r="E2709" s="34"/>
      <c r="F2709" s="35">
        <f t="shared" si="2275"/>
        <v>5</v>
      </c>
      <c r="G2709" s="26"/>
      <c r="H2709" s="47"/>
      <c r="I2709" s="27"/>
      <c r="J2709" s="34"/>
      <c r="K2709" s="35">
        <f t="shared" si="2276"/>
        <v>0</v>
      </c>
      <c r="L2709" s="11">
        <f t="shared" si="2265"/>
        <v>5</v>
      </c>
      <c r="M2709" s="126">
        <v>46172</v>
      </c>
      <c r="N2709" s="12" t="s">
        <v>2219</v>
      </c>
      <c r="O2709" s="26">
        <v>2</v>
      </c>
      <c r="P2709" s="47"/>
      <c r="Q2709" s="27">
        <v>8</v>
      </c>
      <c r="R2709" s="34"/>
      <c r="S2709" s="35">
        <f t="shared" ref="S2709:S2714" si="2280">SUM(O2709:R2709)</f>
        <v>10</v>
      </c>
      <c r="T2709" s="26"/>
      <c r="U2709" s="47"/>
      <c r="V2709" s="27"/>
      <c r="W2709" s="34"/>
      <c r="X2709" s="35">
        <f t="shared" ref="X2709:X2714" si="2281">SUM(T2709:W2709)</f>
        <v>0</v>
      </c>
      <c r="Y2709" s="11">
        <f t="shared" si="2268"/>
        <v>10</v>
      </c>
      <c r="Z2709" s="99">
        <v>46174</v>
      </c>
      <c r="AA2709" s="58"/>
    </row>
    <row r="2710" spans="1:27" x14ac:dyDescent="0.15">
      <c r="A2710" s="153" t="s">
        <v>2230</v>
      </c>
      <c r="B2710" s="26">
        <v>1</v>
      </c>
      <c r="C2710" s="47"/>
      <c r="D2710" s="27"/>
      <c r="E2710" s="34"/>
      <c r="F2710" s="35">
        <f t="shared" si="2275"/>
        <v>1</v>
      </c>
      <c r="G2710" s="26">
        <v>2</v>
      </c>
      <c r="H2710" s="47"/>
      <c r="I2710" s="27"/>
      <c r="J2710" s="34"/>
      <c r="K2710" s="35">
        <f t="shared" si="2276"/>
        <v>2</v>
      </c>
      <c r="L2710" s="11">
        <f t="shared" si="2265"/>
        <v>3</v>
      </c>
      <c r="M2710" s="99">
        <v>46176</v>
      </c>
      <c r="N2710" s="12" t="s">
        <v>2220</v>
      </c>
      <c r="O2710" s="26">
        <v>35</v>
      </c>
      <c r="P2710" s="47">
        <v>25</v>
      </c>
      <c r="Q2710" s="27"/>
      <c r="R2710" s="34"/>
      <c r="S2710" s="35">
        <f t="shared" si="2280"/>
        <v>60</v>
      </c>
      <c r="T2710" s="26"/>
      <c r="U2710" s="47"/>
      <c r="V2710" s="27"/>
      <c r="W2710" s="34"/>
      <c r="X2710" s="35">
        <f t="shared" si="2281"/>
        <v>0</v>
      </c>
      <c r="Y2710" s="11">
        <f t="shared" si="2268"/>
        <v>60</v>
      </c>
      <c r="Z2710" s="99">
        <v>46171</v>
      </c>
    </row>
    <row r="2711" spans="1:27" x14ac:dyDescent="0.15">
      <c r="A2711" s="15" t="s">
        <v>41</v>
      </c>
      <c r="B2711" s="26"/>
      <c r="C2711" s="47">
        <v>2</v>
      </c>
      <c r="D2711" s="27">
        <v>3</v>
      </c>
      <c r="E2711" s="34"/>
      <c r="F2711" s="35">
        <f t="shared" si="2275"/>
        <v>5</v>
      </c>
      <c r="G2711" s="26">
        <v>1</v>
      </c>
      <c r="H2711" s="47">
        <v>1</v>
      </c>
      <c r="I2711" s="27"/>
      <c r="J2711" s="34"/>
      <c r="K2711" s="35">
        <f t="shared" si="2276"/>
        <v>2</v>
      </c>
      <c r="L2711" s="11">
        <f t="shared" si="2265"/>
        <v>7</v>
      </c>
      <c r="M2711" s="126">
        <v>46174</v>
      </c>
      <c r="N2711" s="335" t="s">
        <v>2221</v>
      </c>
      <c r="O2711" s="26">
        <v>30</v>
      </c>
      <c r="P2711" s="47"/>
      <c r="Q2711" s="27"/>
      <c r="R2711" s="34">
        <v>35</v>
      </c>
      <c r="S2711" s="35">
        <f t="shared" si="2280"/>
        <v>65</v>
      </c>
      <c r="T2711" s="26">
        <v>10</v>
      </c>
      <c r="U2711" s="47">
        <v>45</v>
      </c>
      <c r="V2711" s="27"/>
      <c r="W2711" s="34"/>
      <c r="X2711" s="35">
        <f t="shared" si="2281"/>
        <v>55</v>
      </c>
      <c r="Y2711" s="11">
        <f t="shared" si="2268"/>
        <v>120</v>
      </c>
      <c r="Z2711" s="99">
        <v>46170</v>
      </c>
    </row>
    <row r="2712" spans="1:27" x14ac:dyDescent="0.15">
      <c r="A2712" s="317" t="s">
        <v>62</v>
      </c>
      <c r="B2712" s="295"/>
      <c r="C2712" s="296"/>
      <c r="D2712" s="297"/>
      <c r="E2712" s="306"/>
      <c r="F2712" s="307">
        <f t="shared" si="2275"/>
        <v>0</v>
      </c>
      <c r="G2712" s="295">
        <v>-5</v>
      </c>
      <c r="H2712" s="296"/>
      <c r="I2712" s="297"/>
      <c r="J2712" s="306"/>
      <c r="K2712" s="307">
        <f t="shared" si="2276"/>
        <v>-5</v>
      </c>
      <c r="L2712" s="300">
        <f t="shared" si="2265"/>
        <v>-5</v>
      </c>
      <c r="M2712" s="301">
        <v>46175</v>
      </c>
      <c r="N2712" s="153" t="s">
        <v>2222</v>
      </c>
      <c r="O2712" s="26">
        <v>6</v>
      </c>
      <c r="P2712" s="47">
        <v>13</v>
      </c>
      <c r="Q2712" s="27">
        <v>2</v>
      </c>
      <c r="R2712" s="34">
        <v>8</v>
      </c>
      <c r="S2712" s="35">
        <f t="shared" si="2280"/>
        <v>29</v>
      </c>
      <c r="T2712" s="26">
        <v>1</v>
      </c>
      <c r="U2712" s="47">
        <v>3</v>
      </c>
      <c r="V2712" s="27">
        <v>1</v>
      </c>
      <c r="W2712" s="34">
        <v>1</v>
      </c>
      <c r="X2712" s="35">
        <f t="shared" si="2281"/>
        <v>6</v>
      </c>
      <c r="Y2712" s="11">
        <f t="shared" si="2268"/>
        <v>35</v>
      </c>
      <c r="Z2712" s="99">
        <v>46171</v>
      </c>
    </row>
    <row r="2713" spans="1:27" x14ac:dyDescent="0.15">
      <c r="A2713" s="13" t="s">
        <v>1815</v>
      </c>
      <c r="B2713" s="26"/>
      <c r="C2713" s="47">
        <v>1</v>
      </c>
      <c r="D2713" s="27"/>
      <c r="E2713" s="34"/>
      <c r="F2713" s="35">
        <f t="shared" si="2275"/>
        <v>1</v>
      </c>
      <c r="G2713" s="26"/>
      <c r="H2713" s="47">
        <v>1</v>
      </c>
      <c r="I2713" s="27"/>
      <c r="J2713" s="34"/>
      <c r="K2713" s="35">
        <f t="shared" si="2276"/>
        <v>1</v>
      </c>
      <c r="L2713" s="11">
        <f t="shared" si="2265"/>
        <v>2</v>
      </c>
      <c r="M2713" s="99">
        <v>46177</v>
      </c>
      <c r="N2713" s="12" t="s">
        <v>2224</v>
      </c>
      <c r="O2713" s="26"/>
      <c r="P2713" s="47">
        <v>5</v>
      </c>
      <c r="Q2713" s="27"/>
      <c r="R2713" s="34"/>
      <c r="S2713" s="35">
        <f t="shared" si="2280"/>
        <v>5</v>
      </c>
      <c r="T2713" s="26">
        <v>5</v>
      </c>
      <c r="U2713" s="47"/>
      <c r="V2713" s="27"/>
      <c r="W2713" s="34">
        <v>10</v>
      </c>
      <c r="X2713" s="35">
        <f t="shared" si="2281"/>
        <v>15</v>
      </c>
      <c r="Y2713" s="11">
        <f t="shared" si="2268"/>
        <v>20</v>
      </c>
      <c r="Z2713" s="99">
        <v>46177</v>
      </c>
    </row>
    <row r="2714" spans="1:27" x14ac:dyDescent="0.15">
      <c r="A2714" s="15" t="s">
        <v>41</v>
      </c>
      <c r="B2714" s="26"/>
      <c r="C2714" s="47"/>
      <c r="D2714" s="27"/>
      <c r="E2714" s="34"/>
      <c r="F2714" s="35">
        <f t="shared" si="2275"/>
        <v>0</v>
      </c>
      <c r="G2714" s="26"/>
      <c r="H2714" s="47">
        <v>1</v>
      </c>
      <c r="I2714" s="27"/>
      <c r="J2714" s="34"/>
      <c r="K2714" s="35">
        <f t="shared" si="2276"/>
        <v>1</v>
      </c>
      <c r="L2714" s="11">
        <f t="shared" si="2265"/>
        <v>1</v>
      </c>
      <c r="M2714" s="99">
        <v>46175</v>
      </c>
      <c r="N2714" s="153" t="s">
        <v>2225</v>
      </c>
      <c r="O2714" s="26">
        <v>5</v>
      </c>
      <c r="P2714" s="47"/>
      <c r="Q2714" s="27">
        <v>6</v>
      </c>
      <c r="R2714" s="34">
        <v>1</v>
      </c>
      <c r="S2714" s="35">
        <f t="shared" si="2280"/>
        <v>12</v>
      </c>
      <c r="T2714" s="26">
        <v>2</v>
      </c>
      <c r="U2714" s="47"/>
      <c r="V2714" s="27"/>
      <c r="W2714" s="34"/>
      <c r="X2714" s="35">
        <f t="shared" si="2281"/>
        <v>2</v>
      </c>
      <c r="Y2714" s="11">
        <f t="shared" si="2268"/>
        <v>14</v>
      </c>
      <c r="Z2714" s="99">
        <v>46172</v>
      </c>
    </row>
    <row r="2715" spans="1:27" x14ac:dyDescent="0.15">
      <c r="A2715" s="317" t="s">
        <v>2237</v>
      </c>
      <c r="B2715" s="295"/>
      <c r="C2715" s="296">
        <v>-5</v>
      </c>
      <c r="D2715" s="297">
        <v>-5</v>
      </c>
      <c r="E2715" s="306"/>
      <c r="F2715" s="307">
        <f t="shared" si="2275"/>
        <v>-10</v>
      </c>
      <c r="G2715" s="295"/>
      <c r="H2715" s="296">
        <v>-5</v>
      </c>
      <c r="I2715" s="297"/>
      <c r="J2715" s="306"/>
      <c r="K2715" s="307">
        <f t="shared" si="2276"/>
        <v>-5</v>
      </c>
      <c r="L2715" s="300">
        <f t="shared" si="2265"/>
        <v>-15</v>
      </c>
      <c r="M2715" s="301">
        <v>46177</v>
      </c>
      <c r="N2715" s="12" t="s">
        <v>2226</v>
      </c>
      <c r="O2715" s="26"/>
      <c r="P2715" s="47"/>
      <c r="Q2715" s="27">
        <v>3</v>
      </c>
      <c r="R2715" s="50"/>
      <c r="S2715" s="9">
        <f>SUM(O2715:R2715)</f>
        <v>3</v>
      </c>
      <c r="T2715" s="47"/>
      <c r="U2715" s="47">
        <v>3</v>
      </c>
      <c r="V2715" s="27"/>
      <c r="W2715" s="50"/>
      <c r="X2715" s="9">
        <f>SUM(T2715:W2715)</f>
        <v>3</v>
      </c>
      <c r="Y2715" s="11">
        <f t="shared" si="2268"/>
        <v>6</v>
      </c>
      <c r="Z2715" s="99">
        <v>46171</v>
      </c>
      <c r="AA2715" s="58"/>
    </row>
    <row r="2716" spans="1:27" x14ac:dyDescent="0.15">
      <c r="A2716" s="15" t="s">
        <v>41</v>
      </c>
      <c r="B2716" s="26"/>
      <c r="C2716" s="47"/>
      <c r="D2716" s="27"/>
      <c r="E2716" s="34"/>
      <c r="F2716" s="35">
        <f t="shared" si="2275"/>
        <v>0</v>
      </c>
      <c r="G2716" s="26">
        <v>1</v>
      </c>
      <c r="H2716" s="47"/>
      <c r="I2716" s="27"/>
      <c r="J2716" s="34"/>
      <c r="K2716" s="35">
        <f t="shared" si="2276"/>
        <v>1</v>
      </c>
      <c r="L2716" s="11">
        <f t="shared" si="2265"/>
        <v>1</v>
      </c>
      <c r="M2716" s="126">
        <v>46176</v>
      </c>
      <c r="N2716" s="12" t="s">
        <v>2024</v>
      </c>
      <c r="O2716" s="26"/>
      <c r="P2716" s="47"/>
      <c r="Q2716" s="27">
        <v>3</v>
      </c>
      <c r="R2716" s="34"/>
      <c r="S2716" s="35">
        <f t="shared" ref="S2716:S2733" si="2282">SUM(O2716:R2716)</f>
        <v>3</v>
      </c>
      <c r="T2716" s="26">
        <v>5</v>
      </c>
      <c r="U2716" s="47"/>
      <c r="V2716" s="27"/>
      <c r="W2716" s="34"/>
      <c r="X2716" s="35">
        <f t="shared" ref="X2716:X2733" si="2283">SUM(T2716:W2716)</f>
        <v>5</v>
      </c>
      <c r="Y2716" s="11">
        <f t="shared" si="2268"/>
        <v>8</v>
      </c>
      <c r="Z2716" s="99">
        <v>46172</v>
      </c>
    </row>
    <row r="2717" spans="1:27" x14ac:dyDescent="0.15">
      <c r="A2717" s="15" t="s">
        <v>41</v>
      </c>
      <c r="B2717" s="26"/>
      <c r="C2717" s="47"/>
      <c r="D2717" s="27"/>
      <c r="E2717" s="34"/>
      <c r="F2717" s="35">
        <f t="shared" si="2275"/>
        <v>0</v>
      </c>
      <c r="G2717" s="26"/>
      <c r="H2717" s="47"/>
      <c r="I2717" s="27">
        <v>1</v>
      </c>
      <c r="J2717" s="34"/>
      <c r="K2717" s="35">
        <f t="shared" si="2276"/>
        <v>1</v>
      </c>
      <c r="L2717" s="11">
        <f t="shared" si="2265"/>
        <v>1</v>
      </c>
      <c r="M2717" s="126">
        <v>46177</v>
      </c>
      <c r="N2717" s="335" t="s">
        <v>2231</v>
      </c>
      <c r="O2717" s="26"/>
      <c r="P2717" s="47"/>
      <c r="Q2717" s="27">
        <v>11</v>
      </c>
      <c r="R2717" s="34"/>
      <c r="S2717" s="35">
        <f t="shared" si="2282"/>
        <v>11</v>
      </c>
      <c r="T2717" s="26"/>
      <c r="U2717" s="47"/>
      <c r="V2717" s="27"/>
      <c r="W2717" s="34"/>
      <c r="X2717" s="35">
        <f t="shared" si="2283"/>
        <v>0</v>
      </c>
      <c r="Y2717" s="11">
        <f t="shared" si="2268"/>
        <v>11</v>
      </c>
      <c r="Z2717" s="99">
        <v>46175</v>
      </c>
    </row>
    <row r="2718" spans="1:27" x14ac:dyDescent="0.15">
      <c r="A2718" s="15" t="s">
        <v>41</v>
      </c>
      <c r="B2718" s="26"/>
      <c r="C2718" s="47"/>
      <c r="D2718" s="27">
        <v>1</v>
      </c>
      <c r="E2718" s="34"/>
      <c r="F2718" s="35">
        <f t="shared" si="2275"/>
        <v>1</v>
      </c>
      <c r="G2718" s="26"/>
      <c r="H2718" s="47">
        <v>1</v>
      </c>
      <c r="I2718" s="27"/>
      <c r="J2718" s="34"/>
      <c r="K2718" s="35">
        <f t="shared" si="2276"/>
        <v>1</v>
      </c>
      <c r="L2718" s="11">
        <f t="shared" si="2265"/>
        <v>2</v>
      </c>
      <c r="M2718" s="99">
        <v>46178</v>
      </c>
      <c r="N2718" s="12" t="s">
        <v>2232</v>
      </c>
      <c r="O2718" s="26"/>
      <c r="P2718" s="47"/>
      <c r="Q2718" s="27">
        <v>19</v>
      </c>
      <c r="R2718" s="34">
        <v>4</v>
      </c>
      <c r="S2718" s="35">
        <f t="shared" si="2282"/>
        <v>23</v>
      </c>
      <c r="T2718" s="26">
        <v>4</v>
      </c>
      <c r="U2718" s="47">
        <v>2</v>
      </c>
      <c r="V2718" s="27">
        <v>3</v>
      </c>
      <c r="W2718" s="34">
        <v>8</v>
      </c>
      <c r="X2718" s="35">
        <f t="shared" si="2283"/>
        <v>17</v>
      </c>
      <c r="Y2718" s="11">
        <f t="shared" si="2268"/>
        <v>40</v>
      </c>
      <c r="Z2718" s="99">
        <v>46175</v>
      </c>
    </row>
    <row r="2719" spans="1:27" x14ac:dyDescent="0.15">
      <c r="A2719" s="13" t="s">
        <v>1815</v>
      </c>
      <c r="B2719" s="26"/>
      <c r="C2719" s="47">
        <v>1</v>
      </c>
      <c r="D2719" s="27"/>
      <c r="E2719" s="34"/>
      <c r="F2719" s="35">
        <f t="shared" si="2275"/>
        <v>1</v>
      </c>
      <c r="G2719" s="26"/>
      <c r="H2719" s="47">
        <v>1</v>
      </c>
      <c r="I2719" s="27"/>
      <c r="J2719" s="34"/>
      <c r="K2719" s="35">
        <f t="shared" si="2276"/>
        <v>1</v>
      </c>
      <c r="L2719" s="11">
        <f t="shared" si="2265"/>
        <v>2</v>
      </c>
      <c r="M2719" s="99">
        <v>46183</v>
      </c>
      <c r="N2719" s="305" t="s">
        <v>2233</v>
      </c>
      <c r="O2719" s="295"/>
      <c r="P2719" s="296"/>
      <c r="Q2719" s="297"/>
      <c r="R2719" s="306"/>
      <c r="S2719" s="307">
        <f t="shared" si="2282"/>
        <v>0</v>
      </c>
      <c r="T2719" s="295">
        <v>5</v>
      </c>
      <c r="U2719" s="296"/>
      <c r="V2719" s="297"/>
      <c r="W2719" s="306"/>
      <c r="X2719" s="307">
        <f t="shared" si="2283"/>
        <v>5</v>
      </c>
      <c r="Y2719" s="300">
        <f t="shared" si="2268"/>
        <v>5</v>
      </c>
      <c r="Z2719" s="301">
        <v>46175</v>
      </c>
    </row>
    <row r="2720" spans="1:27" x14ac:dyDescent="0.15">
      <c r="A2720" s="15" t="s">
        <v>41</v>
      </c>
      <c r="B2720" s="26"/>
      <c r="C2720" s="47"/>
      <c r="D2720" s="27"/>
      <c r="E2720" s="34">
        <v>1</v>
      </c>
      <c r="F2720" s="35">
        <f t="shared" si="2275"/>
        <v>1</v>
      </c>
      <c r="G2720" s="26"/>
      <c r="H2720" s="47"/>
      <c r="I2720" s="27">
        <v>1</v>
      </c>
      <c r="J2720" s="34"/>
      <c r="K2720" s="35">
        <f t="shared" si="2276"/>
        <v>1</v>
      </c>
      <c r="L2720" s="11">
        <f t="shared" si="2265"/>
        <v>2</v>
      </c>
      <c r="M2720" s="99">
        <v>46181</v>
      </c>
      <c r="N2720" s="12" t="s">
        <v>2234</v>
      </c>
      <c r="O2720" s="26">
        <v>10</v>
      </c>
      <c r="P2720" s="47">
        <v>6</v>
      </c>
      <c r="Q2720" s="27"/>
      <c r="R2720" s="34"/>
      <c r="S2720" s="35">
        <f t="shared" si="2282"/>
        <v>16</v>
      </c>
      <c r="T2720" s="26"/>
      <c r="U2720" s="47"/>
      <c r="V2720" s="27"/>
      <c r="W2720" s="34"/>
      <c r="X2720" s="35">
        <f t="shared" si="2283"/>
        <v>0</v>
      </c>
      <c r="Y2720" s="11">
        <f t="shared" si="2268"/>
        <v>16</v>
      </c>
      <c r="Z2720" s="99">
        <v>46176</v>
      </c>
    </row>
    <row r="2721" spans="1:27" x14ac:dyDescent="0.15">
      <c r="A2721" s="294" t="s">
        <v>62</v>
      </c>
      <c r="B2721" s="295"/>
      <c r="C2721" s="296"/>
      <c r="D2721" s="297"/>
      <c r="E2721" s="306"/>
      <c r="F2721" s="307">
        <f t="shared" si="2275"/>
        <v>0</v>
      </c>
      <c r="G2721" s="295"/>
      <c r="H2721" s="296"/>
      <c r="I2721" s="297">
        <v>-5</v>
      </c>
      <c r="J2721" s="306"/>
      <c r="K2721" s="307">
        <f t="shared" si="2276"/>
        <v>-5</v>
      </c>
      <c r="L2721" s="300">
        <f t="shared" si="2265"/>
        <v>-5</v>
      </c>
      <c r="M2721" s="301">
        <v>46182</v>
      </c>
      <c r="N2721" s="153" t="s">
        <v>2235</v>
      </c>
      <c r="O2721" s="26">
        <v>12</v>
      </c>
      <c r="P2721" s="47">
        <v>10</v>
      </c>
      <c r="Q2721" s="27">
        <v>9</v>
      </c>
      <c r="R2721" s="34"/>
      <c r="S2721" s="35">
        <f t="shared" si="2282"/>
        <v>31</v>
      </c>
      <c r="T2721" s="26">
        <v>6</v>
      </c>
      <c r="U2721" s="47">
        <v>4</v>
      </c>
      <c r="V2721" s="27"/>
      <c r="W2721" s="34"/>
      <c r="X2721" s="35">
        <f t="shared" si="2283"/>
        <v>10</v>
      </c>
      <c r="Y2721" s="11">
        <f t="shared" si="2268"/>
        <v>41</v>
      </c>
      <c r="Z2721" s="99">
        <v>46177</v>
      </c>
    </row>
    <row r="2722" spans="1:27" x14ac:dyDescent="0.15">
      <c r="A2722" s="15" t="s">
        <v>2247</v>
      </c>
      <c r="B2722" s="26">
        <v>-5</v>
      </c>
      <c r="C2722" s="47"/>
      <c r="D2722" s="27"/>
      <c r="E2722" s="34"/>
      <c r="F2722" s="35">
        <f t="shared" si="2275"/>
        <v>-5</v>
      </c>
      <c r="G2722" s="26"/>
      <c r="H2722" s="47"/>
      <c r="I2722" s="27"/>
      <c r="J2722" s="34"/>
      <c r="K2722" s="35">
        <f t="shared" si="2276"/>
        <v>0</v>
      </c>
      <c r="L2722" s="11">
        <f t="shared" si="2265"/>
        <v>-5</v>
      </c>
      <c r="M2722" s="99">
        <v>46181</v>
      </c>
      <c r="N2722" s="153" t="s">
        <v>2236</v>
      </c>
      <c r="O2722" s="26">
        <v>7</v>
      </c>
      <c r="P2722" s="47">
        <v>3</v>
      </c>
      <c r="Q2722" s="27">
        <v>4</v>
      </c>
      <c r="R2722" s="34">
        <v>1</v>
      </c>
      <c r="S2722" s="35">
        <f t="shared" si="2282"/>
        <v>15</v>
      </c>
      <c r="T2722" s="26">
        <v>1</v>
      </c>
      <c r="U2722" s="47">
        <v>2</v>
      </c>
      <c r="V2722" s="27"/>
      <c r="W2722" s="34"/>
      <c r="X2722" s="35">
        <f t="shared" si="2283"/>
        <v>3</v>
      </c>
      <c r="Y2722" s="11">
        <f t="shared" si="2268"/>
        <v>18</v>
      </c>
      <c r="Z2722" s="99">
        <v>46178</v>
      </c>
      <c r="AA2722" s="58"/>
    </row>
    <row r="2723" spans="1:27" x14ac:dyDescent="0.15">
      <c r="A2723" s="13" t="s">
        <v>2249</v>
      </c>
      <c r="B2723" s="26"/>
      <c r="C2723" s="47"/>
      <c r="D2723" s="27"/>
      <c r="E2723" s="34"/>
      <c r="F2723" s="35">
        <f t="shared" si="2275"/>
        <v>0</v>
      </c>
      <c r="G2723" s="26"/>
      <c r="H2723" s="47"/>
      <c r="I2723" s="27"/>
      <c r="J2723" s="34">
        <v>1</v>
      </c>
      <c r="K2723" s="35">
        <f t="shared" si="2276"/>
        <v>1</v>
      </c>
      <c r="L2723" s="11">
        <f t="shared" si="2265"/>
        <v>1</v>
      </c>
      <c r="M2723" s="99">
        <v>46183</v>
      </c>
      <c r="N2723" s="305" t="s">
        <v>2238</v>
      </c>
      <c r="O2723" s="295"/>
      <c r="P2723" s="296">
        <v>5</v>
      </c>
      <c r="Q2723" s="297">
        <v>5</v>
      </c>
      <c r="R2723" s="306"/>
      <c r="S2723" s="307">
        <f t="shared" si="2282"/>
        <v>10</v>
      </c>
      <c r="T2723" s="295"/>
      <c r="U2723" s="296">
        <v>5</v>
      </c>
      <c r="V2723" s="297"/>
      <c r="W2723" s="306"/>
      <c r="X2723" s="307">
        <f t="shared" si="2283"/>
        <v>5</v>
      </c>
      <c r="Y2723" s="300">
        <f t="shared" si="2268"/>
        <v>15</v>
      </c>
      <c r="Z2723" s="301">
        <v>46177</v>
      </c>
    </row>
    <row r="2724" spans="1:27" x14ac:dyDescent="0.15">
      <c r="A2724" s="15" t="s">
        <v>2250</v>
      </c>
      <c r="B2724" s="26">
        <v>-12</v>
      </c>
      <c r="C2724" s="47">
        <v>-6</v>
      </c>
      <c r="D2724" s="27">
        <v>-1</v>
      </c>
      <c r="E2724" s="34">
        <v>-3</v>
      </c>
      <c r="F2724" s="35">
        <f t="shared" si="2275"/>
        <v>-22</v>
      </c>
      <c r="G2724" s="26">
        <v>-4</v>
      </c>
      <c r="H2724" s="47">
        <v>-2</v>
      </c>
      <c r="I2724" s="27">
        <v>-1</v>
      </c>
      <c r="J2724" s="34">
        <v>-1</v>
      </c>
      <c r="K2724" s="35">
        <f t="shared" si="2276"/>
        <v>-8</v>
      </c>
      <c r="L2724" s="11">
        <f t="shared" si="2265"/>
        <v>-30</v>
      </c>
      <c r="M2724" s="126">
        <v>46181</v>
      </c>
      <c r="N2724" s="153" t="s">
        <v>2239</v>
      </c>
      <c r="O2724" s="26">
        <v>1</v>
      </c>
      <c r="P2724" s="47">
        <v>2</v>
      </c>
      <c r="Q2724" s="27">
        <v>2</v>
      </c>
      <c r="R2724" s="34">
        <v>1</v>
      </c>
      <c r="S2724" s="35">
        <f t="shared" si="2282"/>
        <v>6</v>
      </c>
      <c r="T2724" s="26"/>
      <c r="U2724" s="47">
        <v>2</v>
      </c>
      <c r="V2724" s="27"/>
      <c r="W2724" s="34"/>
      <c r="X2724" s="35">
        <f t="shared" si="2283"/>
        <v>2</v>
      </c>
      <c r="Y2724" s="11">
        <f t="shared" si="2268"/>
        <v>8</v>
      </c>
      <c r="Z2724" s="99">
        <v>46178</v>
      </c>
      <c r="AA2724" s="58"/>
    </row>
    <row r="2725" spans="1:27" x14ac:dyDescent="0.15">
      <c r="A2725" s="15" t="s">
        <v>41</v>
      </c>
      <c r="B2725" s="26"/>
      <c r="C2725" s="47"/>
      <c r="D2725" s="27"/>
      <c r="E2725" s="34"/>
      <c r="F2725" s="35">
        <f t="shared" si="2275"/>
        <v>0</v>
      </c>
      <c r="G2725" s="26">
        <v>1</v>
      </c>
      <c r="H2725" s="47">
        <v>1</v>
      </c>
      <c r="I2725" s="27"/>
      <c r="J2725" s="34"/>
      <c r="K2725" s="35">
        <f t="shared" si="2276"/>
        <v>2</v>
      </c>
      <c r="L2725" s="11">
        <f t="shared" si="2265"/>
        <v>2</v>
      </c>
      <c r="M2725" s="126">
        <v>46184</v>
      </c>
      <c r="N2725" s="12" t="s">
        <v>2240</v>
      </c>
      <c r="O2725" s="26"/>
      <c r="P2725" s="47">
        <v>5</v>
      </c>
      <c r="Q2725" s="27">
        <v>5</v>
      </c>
      <c r="R2725" s="34"/>
      <c r="S2725" s="35">
        <f t="shared" si="2282"/>
        <v>10</v>
      </c>
      <c r="T2725" s="26"/>
      <c r="U2725" s="47">
        <v>5</v>
      </c>
      <c r="V2725" s="27"/>
      <c r="W2725" s="34"/>
      <c r="X2725" s="35">
        <f t="shared" si="2283"/>
        <v>5</v>
      </c>
      <c r="Y2725" s="11">
        <f t="shared" si="2268"/>
        <v>15</v>
      </c>
      <c r="Z2725" s="99">
        <v>46184</v>
      </c>
    </row>
    <row r="2726" spans="1:27" x14ac:dyDescent="0.15">
      <c r="A2726" s="12" t="s">
        <v>2252</v>
      </c>
      <c r="B2726" s="26"/>
      <c r="C2726" s="47">
        <v>2</v>
      </c>
      <c r="D2726" s="27"/>
      <c r="E2726" s="34"/>
      <c r="F2726" s="35">
        <f t="shared" si="2275"/>
        <v>2</v>
      </c>
      <c r="G2726" s="26"/>
      <c r="H2726" s="47"/>
      <c r="I2726" s="27"/>
      <c r="J2726" s="34"/>
      <c r="K2726" s="35">
        <f t="shared" si="2276"/>
        <v>0</v>
      </c>
      <c r="L2726" s="11">
        <f t="shared" si="2265"/>
        <v>2</v>
      </c>
      <c r="M2726" s="99">
        <v>46188</v>
      </c>
      <c r="N2726" s="153" t="s">
        <v>2241</v>
      </c>
      <c r="O2726" s="26">
        <v>5</v>
      </c>
      <c r="P2726" s="47">
        <v>2</v>
      </c>
      <c r="Q2726" s="27">
        <v>3</v>
      </c>
      <c r="R2726" s="34">
        <v>3</v>
      </c>
      <c r="S2726" s="35">
        <f t="shared" ref="S2726:S2728" si="2284">SUM(O2726:R2726)</f>
        <v>13</v>
      </c>
      <c r="T2726" s="26"/>
      <c r="U2726" s="47">
        <v>1</v>
      </c>
      <c r="V2726" s="27"/>
      <c r="W2726" s="34"/>
      <c r="X2726" s="35">
        <f t="shared" ref="X2726:X2728" si="2285">SUM(T2726:W2726)</f>
        <v>1</v>
      </c>
      <c r="Y2726" s="11">
        <f t="shared" ref="Y2726:Y2728" si="2286">S2726+X2726</f>
        <v>14</v>
      </c>
      <c r="Z2726" s="99">
        <v>46181</v>
      </c>
    </row>
    <row r="2727" spans="1:27" x14ac:dyDescent="0.15">
      <c r="A2727" s="32"/>
      <c r="B2727" s="26"/>
      <c r="C2727" s="47"/>
      <c r="D2727" s="27"/>
      <c r="E2727" s="34"/>
      <c r="F2727" s="35">
        <f t="shared" si="2275"/>
        <v>0</v>
      </c>
      <c r="G2727" s="26"/>
      <c r="H2727" s="47"/>
      <c r="I2727" s="27"/>
      <c r="J2727" s="34"/>
      <c r="K2727" s="35">
        <f t="shared" si="2276"/>
        <v>0</v>
      </c>
      <c r="L2727" s="11">
        <f t="shared" si="2265"/>
        <v>0</v>
      </c>
      <c r="N2727" s="153" t="s">
        <v>2243</v>
      </c>
      <c r="O2727" s="26"/>
      <c r="P2727" s="47">
        <v>1</v>
      </c>
      <c r="Q2727" s="27">
        <v>4</v>
      </c>
      <c r="R2727" s="34">
        <v>7</v>
      </c>
      <c r="S2727" s="35">
        <f t="shared" si="2284"/>
        <v>12</v>
      </c>
      <c r="T2727" s="26"/>
      <c r="U2727" s="47">
        <v>1</v>
      </c>
      <c r="V2727" s="27">
        <v>1</v>
      </c>
      <c r="W2727" s="34"/>
      <c r="X2727" s="35">
        <f t="shared" si="2285"/>
        <v>2</v>
      </c>
      <c r="Y2727" s="11">
        <f t="shared" si="2286"/>
        <v>14</v>
      </c>
      <c r="Z2727" s="99">
        <v>46183</v>
      </c>
    </row>
    <row r="2728" spans="1:27" x14ac:dyDescent="0.15">
      <c r="A2728" s="32"/>
      <c r="B2728" s="26"/>
      <c r="C2728" s="47"/>
      <c r="D2728" s="27"/>
      <c r="E2728" s="34"/>
      <c r="F2728" s="35">
        <f t="shared" si="2275"/>
        <v>0</v>
      </c>
      <c r="G2728" s="26"/>
      <c r="H2728" s="47"/>
      <c r="I2728" s="27"/>
      <c r="J2728" s="34"/>
      <c r="K2728" s="35">
        <f t="shared" si="2276"/>
        <v>0</v>
      </c>
      <c r="L2728" s="11">
        <f t="shared" si="2265"/>
        <v>0</v>
      </c>
      <c r="N2728" s="310" t="s">
        <v>2233</v>
      </c>
      <c r="O2728" s="295"/>
      <c r="P2728" s="296"/>
      <c r="Q2728" s="297"/>
      <c r="R2728" s="306"/>
      <c r="S2728" s="307">
        <f t="shared" si="2284"/>
        <v>0</v>
      </c>
      <c r="T2728" s="295"/>
      <c r="U2728" s="296"/>
      <c r="V2728" s="297">
        <v>5</v>
      </c>
      <c r="W2728" s="306"/>
      <c r="X2728" s="307">
        <f t="shared" si="2285"/>
        <v>5</v>
      </c>
      <c r="Y2728" s="300">
        <f t="shared" si="2286"/>
        <v>5</v>
      </c>
      <c r="Z2728" s="301">
        <v>46182</v>
      </c>
    </row>
    <row r="2729" spans="1:27" x14ac:dyDescent="0.15">
      <c r="A2729" s="12"/>
      <c r="B2729" s="26"/>
      <c r="C2729" s="47"/>
      <c r="D2729" s="27"/>
      <c r="E2729" s="34"/>
      <c r="F2729" s="35">
        <f t="shared" si="2275"/>
        <v>0</v>
      </c>
      <c r="G2729" s="26"/>
      <c r="H2729" s="47"/>
      <c r="I2729" s="27"/>
      <c r="J2729" s="34"/>
      <c r="K2729" s="35">
        <f t="shared" si="2276"/>
        <v>0</v>
      </c>
      <c r="L2729" s="11">
        <f t="shared" si="2265"/>
        <v>0</v>
      </c>
      <c r="N2729" s="12" t="s">
        <v>2244</v>
      </c>
      <c r="O2729" s="26">
        <v>2</v>
      </c>
      <c r="P2729" s="47">
        <v>2</v>
      </c>
      <c r="Q2729" s="27"/>
      <c r="R2729" s="34"/>
      <c r="S2729" s="35">
        <f t="shared" ref="S2729:S2730" si="2287">SUM(O2729:R2729)</f>
        <v>4</v>
      </c>
      <c r="T2729" s="26">
        <v>2</v>
      </c>
      <c r="U2729" s="47">
        <v>2</v>
      </c>
      <c r="V2729" s="27"/>
      <c r="W2729" s="34"/>
      <c r="X2729" s="35">
        <f t="shared" ref="X2729:X2730" si="2288">SUM(T2729:W2729)</f>
        <v>4</v>
      </c>
      <c r="Y2729" s="11">
        <f t="shared" ref="Y2729:Y2730" si="2289">S2729+X2729</f>
        <v>8</v>
      </c>
      <c r="Z2729" s="99">
        <v>46185</v>
      </c>
    </row>
    <row r="2730" spans="1:27" x14ac:dyDescent="0.15">
      <c r="A2730" s="79"/>
      <c r="B2730" s="26"/>
      <c r="C2730" s="47"/>
      <c r="D2730" s="27"/>
      <c r="E2730" s="34"/>
      <c r="F2730" s="35">
        <f t="shared" si="2275"/>
        <v>0</v>
      </c>
      <c r="G2730" s="26"/>
      <c r="H2730" s="47"/>
      <c r="I2730" s="27"/>
      <c r="J2730" s="34"/>
      <c r="K2730" s="35">
        <f t="shared" si="2276"/>
        <v>0</v>
      </c>
      <c r="L2730" s="11">
        <f t="shared" si="2265"/>
        <v>0</v>
      </c>
      <c r="N2730" s="12" t="s">
        <v>2245</v>
      </c>
      <c r="O2730" s="26">
        <v>12</v>
      </c>
      <c r="P2730" s="47">
        <v>20</v>
      </c>
      <c r="Q2730" s="27">
        <v>10</v>
      </c>
      <c r="R2730" s="34">
        <v>10</v>
      </c>
      <c r="S2730" s="35">
        <f t="shared" si="2287"/>
        <v>52</v>
      </c>
      <c r="T2730" s="26"/>
      <c r="U2730" s="47"/>
      <c r="V2730" s="27">
        <v>2</v>
      </c>
      <c r="W2730" s="34"/>
      <c r="X2730" s="35">
        <f t="shared" si="2288"/>
        <v>2</v>
      </c>
      <c r="Y2730" s="11">
        <f t="shared" si="2289"/>
        <v>54</v>
      </c>
      <c r="Z2730" s="99">
        <v>46185</v>
      </c>
    </row>
    <row r="2731" spans="1:27" x14ac:dyDescent="0.15">
      <c r="A2731" s="57"/>
      <c r="B2731" s="26"/>
      <c r="C2731" s="47"/>
      <c r="D2731" s="27"/>
      <c r="E2731" s="34"/>
      <c r="F2731" s="35">
        <f t="shared" si="2275"/>
        <v>0</v>
      </c>
      <c r="G2731" s="26"/>
      <c r="H2731" s="47"/>
      <c r="I2731" s="27"/>
      <c r="J2731" s="34"/>
      <c r="K2731" s="35">
        <f t="shared" si="2276"/>
        <v>0</v>
      </c>
      <c r="L2731" s="11">
        <f t="shared" si="2265"/>
        <v>0</v>
      </c>
      <c r="N2731" s="153" t="s">
        <v>2246</v>
      </c>
      <c r="O2731" s="26">
        <v>1</v>
      </c>
      <c r="P2731" s="47">
        <v>1</v>
      </c>
      <c r="Q2731" s="27">
        <v>6</v>
      </c>
      <c r="R2731" s="34"/>
      <c r="S2731" s="35">
        <f>SUM(O2731:R2731)</f>
        <v>8</v>
      </c>
      <c r="T2731" s="26"/>
      <c r="U2731" s="47">
        <v>3</v>
      </c>
      <c r="V2731" s="27">
        <v>2</v>
      </c>
      <c r="W2731" s="34">
        <v>3</v>
      </c>
      <c r="X2731" s="35">
        <f>SUM(T2731:W2731)</f>
        <v>8</v>
      </c>
      <c r="Y2731" s="108">
        <f>S2731+X2731</f>
        <v>16</v>
      </c>
      <c r="Z2731" s="99">
        <v>46184</v>
      </c>
    </row>
    <row r="2732" spans="1:27" ht="14.25" thickBot="1" x14ac:dyDescent="0.2">
      <c r="A2732" s="90"/>
      <c r="B2732" s="62"/>
      <c r="C2732" s="63"/>
      <c r="D2732" s="64"/>
      <c r="E2732" s="65"/>
      <c r="F2732" s="35">
        <f t="shared" si="2275"/>
        <v>0</v>
      </c>
      <c r="G2732" s="62"/>
      <c r="H2732" s="63"/>
      <c r="I2732" s="64"/>
      <c r="J2732" s="65"/>
      <c r="K2732" s="35">
        <f t="shared" si="2276"/>
        <v>0</v>
      </c>
      <c r="L2732" s="14">
        <f t="shared" si="2265"/>
        <v>0</v>
      </c>
      <c r="N2732" s="135"/>
      <c r="O2732" s="62"/>
      <c r="P2732" s="63"/>
      <c r="Q2732" s="64"/>
      <c r="R2732" s="65"/>
      <c r="S2732" s="120">
        <f>SUM(O2732:R2732)</f>
        <v>0</v>
      </c>
      <c r="T2732" s="62"/>
      <c r="U2732" s="63"/>
      <c r="V2732" s="64"/>
      <c r="W2732" s="65"/>
      <c r="X2732" s="120">
        <f>SUM(T2732:W2732)</f>
        <v>0</v>
      </c>
      <c r="Y2732" s="121">
        <f>S2732+X2732</f>
        <v>0</v>
      </c>
      <c r="Z2732" s="101"/>
    </row>
    <row r="2733" spans="1:27" ht="14.25" thickBot="1" x14ac:dyDescent="0.2">
      <c r="A2733" s="17" t="s">
        <v>10</v>
      </c>
      <c r="B2733" s="38">
        <f>SUM(B2708:B2732)</f>
        <v>-5</v>
      </c>
      <c r="C2733" s="48">
        <f>SUM(C2708:C2732)</f>
        <v>-3</v>
      </c>
      <c r="D2733" s="39">
        <f>SUM(D2708:D2732)</f>
        <v>2</v>
      </c>
      <c r="E2733" s="40">
        <f>SUM(E2708:E2732)</f>
        <v>-2</v>
      </c>
      <c r="F2733" s="36">
        <f>SUM(B2733:E2733)</f>
        <v>-8</v>
      </c>
      <c r="G2733" s="38">
        <f>SUM(G2708:G2732)</f>
        <v>0</v>
      </c>
      <c r="H2733" s="48">
        <f>SUM(H2708:H2732)</f>
        <v>0</v>
      </c>
      <c r="I2733" s="39">
        <f>SUM(I2708:I2732)</f>
        <v>-4</v>
      </c>
      <c r="J2733" s="40">
        <f>SUM(J2708:J2732)</f>
        <v>0</v>
      </c>
      <c r="K2733" s="36">
        <f>SUM(G2733:J2733)</f>
        <v>-4</v>
      </c>
      <c r="L2733" s="37">
        <f t="shared" si="2265"/>
        <v>-12</v>
      </c>
      <c r="N2733" s="133" t="s">
        <v>10</v>
      </c>
      <c r="O2733" s="38">
        <f>SUM(O2708:O2732)</f>
        <v>128</v>
      </c>
      <c r="P2733" s="48">
        <f>SUM(P2708:P2732)</f>
        <v>102</v>
      </c>
      <c r="Q2733" s="39">
        <f>SUM(Q2708:Q2732)</f>
        <v>100</v>
      </c>
      <c r="R2733" s="40">
        <f>SUM(R2708:R2732)</f>
        <v>70</v>
      </c>
      <c r="S2733" s="118">
        <f t="shared" si="2282"/>
        <v>400</v>
      </c>
      <c r="T2733" s="38">
        <f>SUM(T2708:T2732)</f>
        <v>41</v>
      </c>
      <c r="U2733" s="48">
        <f>SUM(U2708:U2732)</f>
        <v>80</v>
      </c>
      <c r="V2733" s="39">
        <f>SUM(V2708:V2732)</f>
        <v>14</v>
      </c>
      <c r="W2733" s="40">
        <f>SUM(W2708:W2732)</f>
        <v>22</v>
      </c>
      <c r="X2733" s="118">
        <f t="shared" si="2283"/>
        <v>157</v>
      </c>
      <c r="Y2733" s="119">
        <f t="shared" si="2268"/>
        <v>557</v>
      </c>
    </row>
    <row r="2734" spans="1:27" ht="14.25" thickBot="1" x14ac:dyDescent="0.2">
      <c r="A2734" s="22" t="s">
        <v>11</v>
      </c>
      <c r="B2734" s="41">
        <f>B2707-B2733</f>
        <v>28</v>
      </c>
      <c r="C2734" s="49">
        <f>C2707-C2733</f>
        <v>11</v>
      </c>
      <c r="D2734" s="42">
        <f t="shared" ref="D2734:K2734" si="2290">D2707-D2733</f>
        <v>8</v>
      </c>
      <c r="E2734" s="43">
        <f t="shared" si="2290"/>
        <v>16</v>
      </c>
      <c r="F2734" s="61">
        <f t="shared" si="2290"/>
        <v>59</v>
      </c>
      <c r="G2734" s="41">
        <f t="shared" si="2290"/>
        <v>10</v>
      </c>
      <c r="H2734" s="49">
        <f t="shared" si="2290"/>
        <v>6</v>
      </c>
      <c r="I2734" s="42">
        <f t="shared" si="2290"/>
        <v>9</v>
      </c>
      <c r="J2734" s="43">
        <f t="shared" si="2290"/>
        <v>8</v>
      </c>
      <c r="K2734" s="61">
        <f t="shared" si="2290"/>
        <v>33</v>
      </c>
      <c r="L2734" s="21">
        <f t="shared" si="2265"/>
        <v>92</v>
      </c>
      <c r="N2734" s="17" t="s">
        <v>11</v>
      </c>
      <c r="O2734" s="41">
        <f t="shared" ref="O2734:X2734" si="2291">O2707-O2733</f>
        <v>31</v>
      </c>
      <c r="P2734" s="49">
        <f t="shared" si="2291"/>
        <v>114</v>
      </c>
      <c r="Q2734" s="42">
        <f t="shared" si="2291"/>
        <v>182</v>
      </c>
      <c r="R2734" s="43">
        <f t="shared" si="2291"/>
        <v>82</v>
      </c>
      <c r="S2734" s="61">
        <f t="shared" si="2291"/>
        <v>409</v>
      </c>
      <c r="T2734" s="41">
        <f t="shared" si="2291"/>
        <v>347</v>
      </c>
      <c r="U2734" s="49">
        <f t="shared" si="2291"/>
        <v>267</v>
      </c>
      <c r="V2734" s="42">
        <f t="shared" si="2291"/>
        <v>272</v>
      </c>
      <c r="W2734" s="43">
        <f t="shared" si="2291"/>
        <v>100</v>
      </c>
      <c r="X2734" s="61">
        <f t="shared" si="2291"/>
        <v>986</v>
      </c>
      <c r="Y2734" s="21">
        <f t="shared" si="2268"/>
        <v>1395</v>
      </c>
    </row>
    <row r="2735" spans="1:27" x14ac:dyDescent="0.15">
      <c r="N2735" s="214" t="s">
        <v>2005</v>
      </c>
      <c r="O2735" s="125">
        <f>O2734/$S$2734*100</f>
        <v>7.5794621026894866</v>
      </c>
      <c r="P2735" s="125">
        <f t="shared" ref="P2735:S2735" si="2292">P2734/$S$2734*100</f>
        <v>27.872860635696821</v>
      </c>
      <c r="Q2735" s="125">
        <f t="shared" si="2292"/>
        <v>44.498777506112468</v>
      </c>
      <c r="R2735" s="125">
        <f t="shared" si="2292"/>
        <v>20.048899755501225</v>
      </c>
      <c r="S2735" s="125">
        <f t="shared" si="2292"/>
        <v>100</v>
      </c>
      <c r="T2735" s="125">
        <f>T2734/$X$2734*100</f>
        <v>35.192697768762677</v>
      </c>
      <c r="U2735" s="125">
        <f t="shared" ref="U2735:X2735" si="2293">U2734/$X$2734*100</f>
        <v>27.079107505070994</v>
      </c>
      <c r="V2735" s="125">
        <f t="shared" si="2293"/>
        <v>27.586206896551722</v>
      </c>
      <c r="W2735" s="125">
        <f t="shared" si="2293"/>
        <v>10.141987829614605</v>
      </c>
      <c r="X2735" s="125">
        <f t="shared" si="2293"/>
        <v>100</v>
      </c>
      <c r="Y2735" s="234"/>
    </row>
    <row r="2736" spans="1:27" x14ac:dyDescent="0.15">
      <c r="N2736" s="213" t="s">
        <v>2004</v>
      </c>
      <c r="O2736" s="211">
        <v>28.1</v>
      </c>
      <c r="P2736" s="211">
        <v>34.299999999999997</v>
      </c>
      <c r="Q2736" s="211">
        <v>22</v>
      </c>
      <c r="R2736" s="211">
        <v>15.6</v>
      </c>
      <c r="S2736" s="211">
        <f>SUM(O2736:R2736)</f>
        <v>100</v>
      </c>
      <c r="T2736" s="211">
        <v>26.3</v>
      </c>
      <c r="U2736" s="211">
        <v>30.9</v>
      </c>
      <c r="V2736" s="211">
        <v>22.2</v>
      </c>
      <c r="W2736" s="211">
        <v>20.6</v>
      </c>
      <c r="X2736" s="211">
        <f>SUM(T2736:W2736)</f>
        <v>100</v>
      </c>
      <c r="Y2736" s="234"/>
    </row>
    <row r="2737" spans="1:27" ht="19.5" thickBot="1" x14ac:dyDescent="0.25">
      <c r="A2737" s="2" t="s">
        <v>106</v>
      </c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N2737" s="2" t="s">
        <v>1036</v>
      </c>
      <c r="O2737" s="270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7" ht="14.25" thickBot="1" x14ac:dyDescent="0.2">
      <c r="A2738" s="5" t="s">
        <v>0</v>
      </c>
      <c r="B2738" s="342" t="s">
        <v>18</v>
      </c>
      <c r="C2738" s="350"/>
      <c r="D2738" s="350"/>
      <c r="E2738" s="350"/>
      <c r="F2738" s="351"/>
      <c r="G2738" s="345" t="s">
        <v>12</v>
      </c>
      <c r="H2738" s="352"/>
      <c r="I2738" s="352"/>
      <c r="J2738" s="352"/>
      <c r="K2738" s="353"/>
      <c r="L2738" s="354" t="s">
        <v>1</v>
      </c>
      <c r="N2738" s="5" t="s">
        <v>0</v>
      </c>
      <c r="O2738" s="342" t="s">
        <v>18</v>
      </c>
      <c r="P2738" s="343"/>
      <c r="Q2738" s="343"/>
      <c r="R2738" s="343"/>
      <c r="S2738" s="344"/>
      <c r="T2738" s="345" t="s">
        <v>12</v>
      </c>
      <c r="U2738" s="346"/>
      <c r="V2738" s="346"/>
      <c r="W2738" s="346"/>
      <c r="X2738" s="347"/>
      <c r="Y2738" s="348" t="s">
        <v>1</v>
      </c>
    </row>
    <row r="2739" spans="1:27" ht="14.25" thickBot="1" x14ac:dyDescent="0.2">
      <c r="A2739" s="5" t="s">
        <v>2</v>
      </c>
      <c r="B2739" s="3" t="s">
        <v>13</v>
      </c>
      <c r="C2739" s="44" t="s">
        <v>14</v>
      </c>
      <c r="D2739" s="4" t="s">
        <v>15</v>
      </c>
      <c r="E2739" s="23" t="s">
        <v>16</v>
      </c>
      <c r="F2739" s="31" t="s">
        <v>3</v>
      </c>
      <c r="G2739" s="3" t="s">
        <v>13</v>
      </c>
      <c r="H2739" s="44" t="s">
        <v>14</v>
      </c>
      <c r="I2739" s="4" t="s">
        <v>15</v>
      </c>
      <c r="J2739" s="23" t="s">
        <v>16</v>
      </c>
      <c r="K2739" s="31" t="s">
        <v>3</v>
      </c>
      <c r="L2739" s="355"/>
      <c r="N2739" s="5" t="s">
        <v>2</v>
      </c>
      <c r="O2739" s="3" t="s">
        <v>13</v>
      </c>
      <c r="P2739" s="44" t="s">
        <v>14</v>
      </c>
      <c r="Q2739" s="4" t="s">
        <v>15</v>
      </c>
      <c r="R2739" s="23" t="s">
        <v>16</v>
      </c>
      <c r="S2739" s="31" t="s">
        <v>3</v>
      </c>
      <c r="T2739" s="3" t="s">
        <v>13</v>
      </c>
      <c r="U2739" s="44" t="s">
        <v>14</v>
      </c>
      <c r="V2739" s="4" t="s">
        <v>15</v>
      </c>
      <c r="W2739" s="23" t="s">
        <v>16</v>
      </c>
      <c r="X2739" s="31" t="s">
        <v>3</v>
      </c>
      <c r="Y2739" s="349"/>
    </row>
    <row r="2740" spans="1:27" x14ac:dyDescent="0.15">
      <c r="A2740" s="71" t="s">
        <v>17</v>
      </c>
      <c r="B2740" s="72">
        <f>B2734</f>
        <v>28</v>
      </c>
      <c r="C2740" s="73">
        <f t="shared" ref="C2740:L2740" si="2294">C2734</f>
        <v>11</v>
      </c>
      <c r="D2740" s="73">
        <f t="shared" si="2294"/>
        <v>8</v>
      </c>
      <c r="E2740" s="74">
        <f t="shared" si="2294"/>
        <v>16</v>
      </c>
      <c r="F2740" s="76">
        <f t="shared" si="2294"/>
        <v>59</v>
      </c>
      <c r="G2740" s="72">
        <f t="shared" si="2294"/>
        <v>10</v>
      </c>
      <c r="H2740" s="73">
        <f t="shared" si="2294"/>
        <v>6</v>
      </c>
      <c r="I2740" s="73">
        <f t="shared" si="2294"/>
        <v>9</v>
      </c>
      <c r="J2740" s="74">
        <f t="shared" si="2294"/>
        <v>8</v>
      </c>
      <c r="K2740" s="75">
        <f t="shared" si="2294"/>
        <v>33</v>
      </c>
      <c r="L2740" s="16">
        <f t="shared" si="2294"/>
        <v>92</v>
      </c>
      <c r="N2740" s="71" t="s">
        <v>17</v>
      </c>
      <c r="O2740" s="72">
        <f>O2734</f>
        <v>31</v>
      </c>
      <c r="P2740" s="73">
        <f t="shared" ref="P2740:Y2740" si="2295">P2734</f>
        <v>114</v>
      </c>
      <c r="Q2740" s="73">
        <f t="shared" si="2295"/>
        <v>182</v>
      </c>
      <c r="R2740" s="74">
        <f t="shared" si="2295"/>
        <v>82</v>
      </c>
      <c r="S2740" s="76">
        <f t="shared" si="2295"/>
        <v>409</v>
      </c>
      <c r="T2740" s="72">
        <f t="shared" si="2295"/>
        <v>347</v>
      </c>
      <c r="U2740" s="73">
        <f t="shared" si="2295"/>
        <v>267</v>
      </c>
      <c r="V2740" s="73">
        <f t="shared" si="2295"/>
        <v>272</v>
      </c>
      <c r="W2740" s="74">
        <f t="shared" si="2295"/>
        <v>100</v>
      </c>
      <c r="X2740" s="75">
        <f t="shared" si="2295"/>
        <v>986</v>
      </c>
      <c r="Y2740" s="16">
        <f t="shared" si="2295"/>
        <v>1395</v>
      </c>
    </row>
    <row r="2741" spans="1:27" x14ac:dyDescent="0.15">
      <c r="A2741" s="13" t="s">
        <v>153</v>
      </c>
      <c r="B2741" s="26">
        <v>4</v>
      </c>
      <c r="C2741" s="47">
        <v>6</v>
      </c>
      <c r="D2741" s="27">
        <v>5</v>
      </c>
      <c r="E2741" s="50">
        <v>2</v>
      </c>
      <c r="F2741" s="9">
        <f t="shared" ref="F2741:F2742" si="2296">SUM(B2741:E2741)</f>
        <v>17</v>
      </c>
      <c r="G2741" s="47"/>
      <c r="H2741" s="47">
        <v>3</v>
      </c>
      <c r="I2741" s="27">
        <v>2</v>
      </c>
      <c r="J2741" s="50">
        <v>2</v>
      </c>
      <c r="K2741" s="9">
        <f t="shared" ref="K2741:K2742" si="2297">SUM(G2741:J2741)</f>
        <v>7</v>
      </c>
      <c r="L2741" s="11">
        <f t="shared" ref="L2741:L2772" si="2298">F2741+K2741</f>
        <v>24</v>
      </c>
      <c r="M2741" s="99">
        <v>46190</v>
      </c>
      <c r="N2741" s="13" t="s">
        <v>5</v>
      </c>
      <c r="O2741" s="26"/>
      <c r="P2741" s="47"/>
      <c r="Q2741" s="27"/>
      <c r="R2741" s="34"/>
      <c r="S2741" s="77">
        <f t="shared" ref="S2741:S2744" si="2299">SUM(O2741:R2741)</f>
        <v>0</v>
      </c>
      <c r="T2741" s="26"/>
      <c r="U2741" s="47"/>
      <c r="V2741" s="27"/>
      <c r="W2741" s="34"/>
      <c r="X2741" s="9">
        <f t="shared" ref="X2741:X2744" si="2300">SUM(T2741:W2741)</f>
        <v>0</v>
      </c>
      <c r="Y2741" s="11">
        <f t="shared" ref="Y2741:Y2772" si="2301">S2741+X2741</f>
        <v>0</v>
      </c>
    </row>
    <row r="2742" spans="1:27" x14ac:dyDescent="0.15">
      <c r="A2742" s="13" t="s">
        <v>6</v>
      </c>
      <c r="B2742" s="26"/>
      <c r="C2742" s="47"/>
      <c r="D2742" s="27"/>
      <c r="E2742" s="50"/>
      <c r="F2742" s="9">
        <f t="shared" si="2296"/>
        <v>0</v>
      </c>
      <c r="G2742" s="47"/>
      <c r="H2742" s="47"/>
      <c r="I2742" s="27"/>
      <c r="J2742" s="50"/>
      <c r="K2742" s="9">
        <f t="shared" si="2297"/>
        <v>0</v>
      </c>
      <c r="L2742" s="11">
        <f t="shared" si="2298"/>
        <v>0</v>
      </c>
      <c r="N2742" s="314" t="s">
        <v>6</v>
      </c>
      <c r="O2742" s="235">
        <v>70</v>
      </c>
      <c r="P2742" s="236"/>
      <c r="Q2742" s="237"/>
      <c r="R2742" s="238"/>
      <c r="S2742" s="315">
        <f t="shared" ref="S2742" si="2302">SUM(O2742:R2742)</f>
        <v>70</v>
      </c>
      <c r="T2742" s="235"/>
      <c r="U2742" s="236"/>
      <c r="V2742" s="237"/>
      <c r="W2742" s="238"/>
      <c r="X2742" s="311">
        <f t="shared" ref="X2742" si="2303">SUM(T2742:W2742)</f>
        <v>0</v>
      </c>
      <c r="Y2742" s="16">
        <f t="shared" ref="Y2742" si="2304">S2742+X2742</f>
        <v>70</v>
      </c>
      <c r="Z2742" s="102" t="s">
        <v>2254</v>
      </c>
    </row>
    <row r="2743" spans="1:27" x14ac:dyDescent="0.15">
      <c r="A2743" s="13" t="s">
        <v>7</v>
      </c>
      <c r="B2743" s="26"/>
      <c r="C2743" s="47"/>
      <c r="D2743" s="27"/>
      <c r="E2743" s="50"/>
      <c r="F2743" s="9">
        <f>SUM(B2743:E2743)</f>
        <v>0</v>
      </c>
      <c r="G2743" s="47"/>
      <c r="H2743" s="47"/>
      <c r="I2743" s="27"/>
      <c r="J2743" s="50"/>
      <c r="K2743" s="9">
        <f>SUM(G2743:J2743)</f>
        <v>0</v>
      </c>
      <c r="L2743" s="11">
        <f t="shared" si="2298"/>
        <v>0</v>
      </c>
      <c r="N2743" s="13" t="s">
        <v>7</v>
      </c>
      <c r="O2743" s="26"/>
      <c r="P2743" s="47"/>
      <c r="Q2743" s="27"/>
      <c r="R2743" s="34"/>
      <c r="S2743" s="77">
        <f t="shared" si="2299"/>
        <v>0</v>
      </c>
      <c r="T2743" s="26"/>
      <c r="U2743" s="47"/>
      <c r="V2743" s="27"/>
      <c r="W2743" s="34"/>
      <c r="X2743" s="9">
        <f t="shared" si="2300"/>
        <v>0</v>
      </c>
      <c r="Y2743" s="11">
        <f t="shared" si="2301"/>
        <v>0</v>
      </c>
      <c r="Z2743" s="101"/>
    </row>
    <row r="2744" spans="1:27" ht="14.25" thickBot="1" x14ac:dyDescent="0.2">
      <c r="A2744" s="13" t="s">
        <v>8</v>
      </c>
      <c r="B2744" s="26"/>
      <c r="C2744" s="47"/>
      <c r="D2744" s="27"/>
      <c r="E2744" s="50"/>
      <c r="F2744" s="10">
        <f>SUM(B2744:E2744)</f>
        <v>0</v>
      </c>
      <c r="G2744" s="47"/>
      <c r="H2744" s="47"/>
      <c r="I2744" s="27"/>
      <c r="J2744" s="50"/>
      <c r="K2744" s="10">
        <f>SUM(G2744:J2744)</f>
        <v>0</v>
      </c>
      <c r="L2744" s="14">
        <f t="shared" si="2298"/>
        <v>0</v>
      </c>
      <c r="N2744" s="13" t="s">
        <v>8</v>
      </c>
      <c r="O2744" s="26"/>
      <c r="P2744" s="47"/>
      <c r="Q2744" s="27"/>
      <c r="R2744" s="34"/>
      <c r="S2744" s="77">
        <f t="shared" si="2299"/>
        <v>0</v>
      </c>
      <c r="T2744" s="26"/>
      <c r="U2744" s="47"/>
      <c r="V2744" s="27"/>
      <c r="W2744" s="34"/>
      <c r="X2744" s="9">
        <f t="shared" si="2300"/>
        <v>0</v>
      </c>
      <c r="Y2744" s="11">
        <f t="shared" si="2301"/>
        <v>0</v>
      </c>
    </row>
    <row r="2745" spans="1:27" ht="14.25" thickBot="1" x14ac:dyDescent="0.2">
      <c r="A2745" s="22" t="s">
        <v>9</v>
      </c>
      <c r="B2745" s="41">
        <f t="shared" ref="B2745:K2745" si="2305">SUM(B2740:B2744)</f>
        <v>32</v>
      </c>
      <c r="C2745" s="49">
        <f t="shared" si="2305"/>
        <v>17</v>
      </c>
      <c r="D2745" s="42">
        <f t="shared" si="2305"/>
        <v>13</v>
      </c>
      <c r="E2745" s="92">
        <f t="shared" si="2305"/>
        <v>18</v>
      </c>
      <c r="F2745" s="132">
        <f t="shared" si="2305"/>
        <v>76</v>
      </c>
      <c r="G2745" s="41">
        <f t="shared" si="2305"/>
        <v>10</v>
      </c>
      <c r="H2745" s="49">
        <f t="shared" si="2305"/>
        <v>9</v>
      </c>
      <c r="I2745" s="42">
        <f t="shared" si="2305"/>
        <v>11</v>
      </c>
      <c r="J2745" s="92">
        <f t="shared" si="2305"/>
        <v>10</v>
      </c>
      <c r="K2745" s="132">
        <f t="shared" si="2305"/>
        <v>40</v>
      </c>
      <c r="L2745" s="21">
        <f t="shared" si="2298"/>
        <v>116</v>
      </c>
      <c r="N2745" s="17" t="s">
        <v>9</v>
      </c>
      <c r="O2745" s="41">
        <f>SUM(O2740:O2744)</f>
        <v>101</v>
      </c>
      <c r="P2745" s="49">
        <f t="shared" ref="P2745:V2745" si="2306">SUM(P2740:P2744)</f>
        <v>114</v>
      </c>
      <c r="Q2745" s="42">
        <f t="shared" si="2306"/>
        <v>182</v>
      </c>
      <c r="R2745" s="92">
        <f t="shared" si="2306"/>
        <v>82</v>
      </c>
      <c r="S2745" s="93">
        <f t="shared" si="2306"/>
        <v>479</v>
      </c>
      <c r="T2745" s="41">
        <f t="shared" si="2306"/>
        <v>347</v>
      </c>
      <c r="U2745" s="49">
        <f t="shared" si="2306"/>
        <v>267</v>
      </c>
      <c r="V2745" s="42">
        <f t="shared" si="2306"/>
        <v>272</v>
      </c>
      <c r="W2745" s="92">
        <f>SUM(W2740:W2744)</f>
        <v>100</v>
      </c>
      <c r="X2745" s="93">
        <f t="shared" ref="X2745" si="2307">SUM(X2740:X2744)</f>
        <v>986</v>
      </c>
      <c r="Y2745" s="56">
        <f t="shared" si="2301"/>
        <v>1465</v>
      </c>
    </row>
    <row r="2746" spans="1:27" x14ac:dyDescent="0.15">
      <c r="A2746" s="12" t="s">
        <v>2256</v>
      </c>
      <c r="B2746" s="26"/>
      <c r="C2746" s="47">
        <v>1</v>
      </c>
      <c r="D2746" s="27"/>
      <c r="E2746" s="34"/>
      <c r="F2746" s="35">
        <f t="shared" ref="F2746:F2770" si="2308">SUM(B2746:E2746)</f>
        <v>1</v>
      </c>
      <c r="G2746" s="26"/>
      <c r="H2746" s="47"/>
      <c r="I2746" s="27"/>
      <c r="J2746" s="34"/>
      <c r="K2746" s="35">
        <f t="shared" ref="K2746:K2770" si="2309">SUM(G2746:J2746)</f>
        <v>0</v>
      </c>
      <c r="L2746" s="11">
        <f t="shared" si="2298"/>
        <v>1</v>
      </c>
      <c r="M2746" s="99">
        <v>46189</v>
      </c>
      <c r="N2746" s="153" t="s">
        <v>2246</v>
      </c>
      <c r="O2746" s="26">
        <v>1</v>
      </c>
      <c r="P2746" s="47">
        <v>1</v>
      </c>
      <c r="Q2746" s="27">
        <v>2</v>
      </c>
      <c r="R2746" s="34"/>
      <c r="S2746" s="35">
        <f t="shared" ref="S2746:S2752" si="2310">SUM(O2746:R2746)</f>
        <v>4</v>
      </c>
      <c r="T2746" s="26"/>
      <c r="U2746" s="47"/>
      <c r="V2746" s="27">
        <v>1</v>
      </c>
      <c r="W2746" s="34"/>
      <c r="X2746" s="35">
        <f t="shared" ref="X2746:X2752" si="2311">SUM(T2746:W2746)</f>
        <v>1</v>
      </c>
      <c r="Y2746" s="11">
        <f t="shared" si="2301"/>
        <v>5</v>
      </c>
      <c r="Z2746" s="99">
        <v>46185</v>
      </c>
    </row>
    <row r="2747" spans="1:27" x14ac:dyDescent="0.15">
      <c r="A2747" s="15" t="s">
        <v>41</v>
      </c>
      <c r="B2747" s="26"/>
      <c r="C2747" s="47">
        <v>1</v>
      </c>
      <c r="D2747" s="27">
        <v>1</v>
      </c>
      <c r="E2747" s="34"/>
      <c r="F2747" s="35">
        <f t="shared" si="2308"/>
        <v>2</v>
      </c>
      <c r="G2747" s="26"/>
      <c r="H2747" s="47">
        <v>1</v>
      </c>
      <c r="I2747" s="27"/>
      <c r="J2747" s="34"/>
      <c r="K2747" s="35">
        <f t="shared" si="2309"/>
        <v>1</v>
      </c>
      <c r="L2747" s="11">
        <f t="shared" si="2298"/>
        <v>3</v>
      </c>
      <c r="M2747" s="126">
        <v>46188</v>
      </c>
      <c r="N2747" s="12" t="s">
        <v>2248</v>
      </c>
      <c r="O2747" s="26"/>
      <c r="P2747" s="47"/>
      <c r="Q2747" s="27"/>
      <c r="R2747" s="34"/>
      <c r="S2747" s="35">
        <f t="shared" si="2310"/>
        <v>0</v>
      </c>
      <c r="T2747" s="26"/>
      <c r="U2747" s="47"/>
      <c r="V2747" s="27"/>
      <c r="W2747" s="34">
        <v>6</v>
      </c>
      <c r="X2747" s="35">
        <f t="shared" si="2311"/>
        <v>6</v>
      </c>
      <c r="Y2747" s="11">
        <f t="shared" si="2301"/>
        <v>6</v>
      </c>
      <c r="Z2747" s="99">
        <v>46189</v>
      </c>
      <c r="AA2747" s="58"/>
    </row>
    <row r="2748" spans="1:27" x14ac:dyDescent="0.15">
      <c r="A2748" s="153" t="s">
        <v>2262</v>
      </c>
      <c r="B2748" s="26"/>
      <c r="C2748" s="47">
        <v>4</v>
      </c>
      <c r="D2748" s="27"/>
      <c r="E2748" s="34"/>
      <c r="F2748" s="35">
        <f t="shared" si="2308"/>
        <v>4</v>
      </c>
      <c r="G2748" s="26"/>
      <c r="H2748" s="47"/>
      <c r="I2748" s="27"/>
      <c r="J2748" s="34"/>
      <c r="K2748" s="35">
        <f t="shared" si="2309"/>
        <v>0</v>
      </c>
      <c r="L2748" s="11">
        <f t="shared" si="2298"/>
        <v>4</v>
      </c>
      <c r="M2748" s="99">
        <v>46192</v>
      </c>
      <c r="N2748" s="153" t="s">
        <v>2251</v>
      </c>
      <c r="O2748" s="26"/>
      <c r="P2748" s="47">
        <v>3</v>
      </c>
      <c r="Q2748" s="27">
        <v>1</v>
      </c>
      <c r="R2748" s="34"/>
      <c r="S2748" s="35">
        <f t="shared" si="2310"/>
        <v>4</v>
      </c>
      <c r="T2748" s="26"/>
      <c r="U2748" s="47"/>
      <c r="V2748" s="27"/>
      <c r="W2748" s="34"/>
      <c r="X2748" s="35">
        <f t="shared" si="2311"/>
        <v>0</v>
      </c>
      <c r="Y2748" s="11">
        <f t="shared" si="2301"/>
        <v>4</v>
      </c>
      <c r="Z2748" s="99">
        <v>46185</v>
      </c>
    </row>
    <row r="2749" spans="1:27" x14ac:dyDescent="0.15">
      <c r="A2749" s="15" t="s">
        <v>2264</v>
      </c>
      <c r="B2749" s="26"/>
      <c r="C2749" s="47"/>
      <c r="D2749" s="27">
        <v>1</v>
      </c>
      <c r="E2749" s="34"/>
      <c r="F2749" s="35">
        <f t="shared" si="2308"/>
        <v>1</v>
      </c>
      <c r="G2749" s="26"/>
      <c r="H2749" s="47"/>
      <c r="I2749" s="27"/>
      <c r="J2749" s="34"/>
      <c r="K2749" s="35">
        <f t="shared" si="2309"/>
        <v>0</v>
      </c>
      <c r="L2749" s="11">
        <f t="shared" si="2298"/>
        <v>1</v>
      </c>
      <c r="M2749" s="99">
        <v>46192</v>
      </c>
      <c r="N2749" s="153" t="s">
        <v>2253</v>
      </c>
      <c r="O2749" s="26"/>
      <c r="P2749" s="47">
        <v>3</v>
      </c>
      <c r="Q2749" s="27">
        <v>2</v>
      </c>
      <c r="R2749" s="34"/>
      <c r="S2749" s="35">
        <f t="shared" si="2310"/>
        <v>5</v>
      </c>
      <c r="T2749" s="26"/>
      <c r="U2749" s="47"/>
      <c r="V2749" s="27"/>
      <c r="W2749" s="34"/>
      <c r="X2749" s="35">
        <f t="shared" si="2311"/>
        <v>0</v>
      </c>
      <c r="Y2749" s="11">
        <f t="shared" si="2301"/>
        <v>5</v>
      </c>
      <c r="Z2749" s="99">
        <v>46188</v>
      </c>
    </row>
    <row r="2750" spans="1:27" x14ac:dyDescent="0.15">
      <c r="A2750" s="292" t="s">
        <v>2265</v>
      </c>
      <c r="B2750" s="235">
        <v>5</v>
      </c>
      <c r="C2750" s="236"/>
      <c r="D2750" s="237"/>
      <c r="E2750" s="238">
        <v>1</v>
      </c>
      <c r="F2750" s="239">
        <f t="shared" si="2308"/>
        <v>6</v>
      </c>
      <c r="G2750" s="235"/>
      <c r="H2750" s="236"/>
      <c r="I2750" s="237"/>
      <c r="J2750" s="238"/>
      <c r="K2750" s="239">
        <f t="shared" si="2309"/>
        <v>0</v>
      </c>
      <c r="L2750" s="16">
        <f t="shared" si="2298"/>
        <v>6</v>
      </c>
      <c r="M2750" s="323">
        <v>46192</v>
      </c>
      <c r="N2750" s="153" t="s">
        <v>2255</v>
      </c>
      <c r="O2750" s="26"/>
      <c r="P2750" s="47">
        <v>2</v>
      </c>
      <c r="Q2750" s="27">
        <v>1</v>
      </c>
      <c r="R2750" s="34">
        <v>1</v>
      </c>
      <c r="S2750" s="35">
        <f t="shared" si="2310"/>
        <v>4</v>
      </c>
      <c r="T2750" s="26"/>
      <c r="U2750" s="47">
        <v>2</v>
      </c>
      <c r="V2750" s="27"/>
      <c r="W2750" s="34">
        <v>1</v>
      </c>
      <c r="X2750" s="35">
        <f t="shared" si="2311"/>
        <v>3</v>
      </c>
      <c r="Y2750" s="11">
        <f t="shared" si="2301"/>
        <v>7</v>
      </c>
      <c r="Z2750" s="99">
        <v>46190</v>
      </c>
    </row>
    <row r="2751" spans="1:27" x14ac:dyDescent="0.15">
      <c r="A2751" s="15" t="s">
        <v>2268</v>
      </c>
      <c r="B2751" s="26">
        <v>1</v>
      </c>
      <c r="C2751" s="47"/>
      <c r="D2751" s="27">
        <v>1</v>
      </c>
      <c r="E2751" s="34">
        <v>1</v>
      </c>
      <c r="F2751" s="35">
        <f t="shared" si="2308"/>
        <v>3</v>
      </c>
      <c r="G2751" s="26"/>
      <c r="H2751" s="47">
        <v>1</v>
      </c>
      <c r="I2751" s="27"/>
      <c r="J2751" s="34"/>
      <c r="K2751" s="35">
        <f t="shared" si="2309"/>
        <v>1</v>
      </c>
      <c r="L2751" s="11">
        <f t="shared" si="2298"/>
        <v>4</v>
      </c>
      <c r="M2751" s="126">
        <v>46218</v>
      </c>
      <c r="N2751" s="153" t="s">
        <v>2257</v>
      </c>
      <c r="O2751" s="26">
        <v>3</v>
      </c>
      <c r="P2751" s="47">
        <v>3</v>
      </c>
      <c r="Q2751" s="27">
        <v>2</v>
      </c>
      <c r="R2751" s="34">
        <v>2</v>
      </c>
      <c r="S2751" s="35">
        <f t="shared" si="2310"/>
        <v>10</v>
      </c>
      <c r="T2751" s="26">
        <v>1</v>
      </c>
      <c r="U2751" s="47">
        <v>2</v>
      </c>
      <c r="V2751" s="27">
        <v>1</v>
      </c>
      <c r="W2751" s="34">
        <v>1</v>
      </c>
      <c r="X2751" s="35">
        <f t="shared" si="2311"/>
        <v>5</v>
      </c>
      <c r="Y2751" s="11">
        <f t="shared" si="2301"/>
        <v>15</v>
      </c>
      <c r="Z2751" s="99">
        <v>46191</v>
      </c>
    </row>
    <row r="2752" spans="1:27" x14ac:dyDescent="0.15">
      <c r="A2752" s="15"/>
      <c r="B2752" s="26"/>
      <c r="C2752" s="47"/>
      <c r="D2752" s="27"/>
      <c r="E2752" s="34"/>
      <c r="F2752" s="35">
        <f t="shared" si="2308"/>
        <v>0</v>
      </c>
      <c r="G2752" s="26"/>
      <c r="H2752" s="47"/>
      <c r="I2752" s="27"/>
      <c r="J2752" s="34"/>
      <c r="K2752" s="35">
        <f t="shared" si="2309"/>
        <v>0</v>
      </c>
      <c r="L2752" s="11">
        <f t="shared" si="2298"/>
        <v>0</v>
      </c>
      <c r="N2752" s="12" t="s">
        <v>2258</v>
      </c>
      <c r="O2752" s="26"/>
      <c r="P2752" s="47"/>
      <c r="Q2752" s="27">
        <v>4</v>
      </c>
      <c r="R2752" s="34"/>
      <c r="S2752" s="35">
        <f t="shared" si="2310"/>
        <v>4</v>
      </c>
      <c r="T2752" s="26"/>
      <c r="U2752" s="47"/>
      <c r="V2752" s="27"/>
      <c r="W2752" s="34"/>
      <c r="X2752" s="35">
        <f t="shared" si="2311"/>
        <v>0</v>
      </c>
      <c r="Y2752" s="11">
        <f t="shared" si="2301"/>
        <v>4</v>
      </c>
      <c r="Z2752" s="99">
        <v>46191</v>
      </c>
    </row>
    <row r="2753" spans="1:26" x14ac:dyDescent="0.15">
      <c r="A2753" s="15"/>
      <c r="B2753" s="26"/>
      <c r="C2753" s="47"/>
      <c r="D2753" s="27"/>
      <c r="E2753" s="34"/>
      <c r="F2753" s="35">
        <f t="shared" si="2308"/>
        <v>0</v>
      </c>
      <c r="G2753" s="26"/>
      <c r="H2753" s="47"/>
      <c r="I2753" s="27"/>
      <c r="J2753" s="34"/>
      <c r="K2753" s="35">
        <f t="shared" si="2309"/>
        <v>0</v>
      </c>
      <c r="L2753" s="11">
        <f t="shared" si="2298"/>
        <v>0</v>
      </c>
      <c r="N2753" s="103" t="s">
        <v>2263</v>
      </c>
      <c r="O2753" s="235"/>
      <c r="P2753" s="236"/>
      <c r="Q2753" s="237"/>
      <c r="R2753" s="341"/>
      <c r="S2753" s="311">
        <f>SUM(O2753:R2753)</f>
        <v>0</v>
      </c>
      <c r="T2753" s="236">
        <v>5</v>
      </c>
      <c r="U2753" s="236"/>
      <c r="V2753" s="237"/>
      <c r="W2753" s="341"/>
      <c r="X2753" s="311">
        <f>SUM(T2753:W2753)</f>
        <v>5</v>
      </c>
      <c r="Y2753" s="16">
        <f t="shared" si="2301"/>
        <v>5</v>
      </c>
      <c r="Z2753" s="323">
        <v>46196</v>
      </c>
    </row>
    <row r="2754" spans="1:26" x14ac:dyDescent="0.15">
      <c r="A2754" s="15"/>
      <c r="B2754" s="26"/>
      <c r="C2754" s="47"/>
      <c r="D2754" s="27"/>
      <c r="E2754" s="34"/>
      <c r="F2754" s="35">
        <f t="shared" si="2308"/>
        <v>0</v>
      </c>
      <c r="G2754" s="26"/>
      <c r="H2754" s="47"/>
      <c r="I2754" s="27"/>
      <c r="J2754" s="34"/>
      <c r="K2754" s="35">
        <f t="shared" si="2309"/>
        <v>0</v>
      </c>
      <c r="L2754" s="11">
        <f t="shared" si="2298"/>
        <v>0</v>
      </c>
      <c r="N2754" s="103" t="s">
        <v>2266</v>
      </c>
      <c r="O2754" s="235"/>
      <c r="P2754" s="236"/>
      <c r="Q2754" s="237"/>
      <c r="R2754" s="238"/>
      <c r="S2754" s="239">
        <f t="shared" ref="S2754:S2771" si="2312">SUM(O2754:R2754)</f>
        <v>0</v>
      </c>
      <c r="T2754" s="235"/>
      <c r="U2754" s="236"/>
      <c r="V2754" s="237">
        <v>3</v>
      </c>
      <c r="W2754" s="238"/>
      <c r="X2754" s="239">
        <f t="shared" ref="X2754:X2771" si="2313">SUM(T2754:W2754)</f>
        <v>3</v>
      </c>
      <c r="Y2754" s="16">
        <f t="shared" si="2301"/>
        <v>3</v>
      </c>
      <c r="Z2754" s="323">
        <v>46198</v>
      </c>
    </row>
    <row r="2755" spans="1:26" x14ac:dyDescent="0.15">
      <c r="A2755" s="15"/>
      <c r="B2755" s="26"/>
      <c r="C2755" s="47"/>
      <c r="D2755" s="27"/>
      <c r="E2755" s="34"/>
      <c r="F2755" s="35">
        <f t="shared" si="2308"/>
        <v>0</v>
      </c>
      <c r="G2755" s="26"/>
      <c r="H2755" s="47"/>
      <c r="I2755" s="27"/>
      <c r="J2755" s="34"/>
      <c r="K2755" s="35">
        <f t="shared" si="2309"/>
        <v>0</v>
      </c>
      <c r="L2755" s="11">
        <f t="shared" si="2298"/>
        <v>0</v>
      </c>
      <c r="N2755" s="103" t="s">
        <v>2267</v>
      </c>
      <c r="O2755" s="235"/>
      <c r="P2755" s="236">
        <v>6</v>
      </c>
      <c r="Q2755" s="237">
        <v>6</v>
      </c>
      <c r="R2755" s="238"/>
      <c r="S2755" s="239">
        <f t="shared" si="2312"/>
        <v>12</v>
      </c>
      <c r="T2755" s="235">
        <v>2</v>
      </c>
      <c r="U2755" s="236">
        <v>2</v>
      </c>
      <c r="V2755" s="237">
        <v>2</v>
      </c>
      <c r="W2755" s="238"/>
      <c r="X2755" s="239">
        <f t="shared" si="2313"/>
        <v>6</v>
      </c>
      <c r="Y2755" s="16">
        <f t="shared" si="2301"/>
        <v>18</v>
      </c>
      <c r="Z2755" s="323">
        <v>46195</v>
      </c>
    </row>
    <row r="2756" spans="1:26" x14ac:dyDescent="0.15">
      <c r="A2756" s="15"/>
      <c r="B2756" s="26"/>
      <c r="C2756" s="47"/>
      <c r="D2756" s="27"/>
      <c r="E2756" s="34"/>
      <c r="F2756" s="35">
        <f t="shared" si="2308"/>
        <v>0</v>
      </c>
      <c r="G2756" s="26"/>
      <c r="H2756" s="47"/>
      <c r="I2756" s="27"/>
      <c r="J2756" s="34"/>
      <c r="K2756" s="35">
        <f t="shared" si="2309"/>
        <v>0</v>
      </c>
      <c r="L2756" s="11">
        <f t="shared" si="2298"/>
        <v>0</v>
      </c>
      <c r="N2756" s="12"/>
      <c r="O2756" s="26"/>
      <c r="P2756" s="47"/>
      <c r="Q2756" s="27"/>
      <c r="R2756" s="34"/>
      <c r="S2756" s="35">
        <f t="shared" si="2312"/>
        <v>0</v>
      </c>
      <c r="T2756" s="26"/>
      <c r="U2756" s="47"/>
      <c r="V2756" s="27"/>
      <c r="W2756" s="34"/>
      <c r="X2756" s="35">
        <f t="shared" si="2313"/>
        <v>0</v>
      </c>
      <c r="Y2756" s="11">
        <f t="shared" si="2301"/>
        <v>0</v>
      </c>
    </row>
    <row r="2757" spans="1:26" x14ac:dyDescent="0.15">
      <c r="A2757" s="13"/>
      <c r="B2757" s="26"/>
      <c r="C2757" s="47"/>
      <c r="D2757" s="27"/>
      <c r="E2757" s="34"/>
      <c r="F2757" s="35">
        <f t="shared" si="2308"/>
        <v>0</v>
      </c>
      <c r="G2757" s="26"/>
      <c r="H2757" s="47"/>
      <c r="I2757" s="27"/>
      <c r="J2757" s="34"/>
      <c r="K2757" s="35">
        <f t="shared" si="2309"/>
        <v>0</v>
      </c>
      <c r="L2757" s="11">
        <f t="shared" si="2298"/>
        <v>0</v>
      </c>
      <c r="N2757" s="12"/>
      <c r="O2757" s="26"/>
      <c r="P2757" s="47"/>
      <c r="Q2757" s="27"/>
      <c r="R2757" s="34"/>
      <c r="S2757" s="35">
        <f t="shared" si="2312"/>
        <v>0</v>
      </c>
      <c r="T2757" s="26"/>
      <c r="U2757" s="47"/>
      <c r="V2757" s="27"/>
      <c r="W2757" s="34"/>
      <c r="X2757" s="35">
        <f t="shared" si="2313"/>
        <v>0</v>
      </c>
      <c r="Y2757" s="11">
        <f t="shared" si="2301"/>
        <v>0</v>
      </c>
    </row>
    <row r="2758" spans="1:26" x14ac:dyDescent="0.15">
      <c r="A2758" s="15"/>
      <c r="B2758" s="26"/>
      <c r="C2758" s="47"/>
      <c r="D2758" s="27"/>
      <c r="E2758" s="34"/>
      <c r="F2758" s="35">
        <f t="shared" si="2308"/>
        <v>0</v>
      </c>
      <c r="G2758" s="26"/>
      <c r="H2758" s="47"/>
      <c r="I2758" s="27"/>
      <c r="J2758" s="34"/>
      <c r="K2758" s="35">
        <f t="shared" si="2309"/>
        <v>0</v>
      </c>
      <c r="L2758" s="11">
        <f t="shared" si="2298"/>
        <v>0</v>
      </c>
      <c r="N2758" s="12"/>
      <c r="O2758" s="26"/>
      <c r="P2758" s="47"/>
      <c r="Q2758" s="27"/>
      <c r="R2758" s="34"/>
      <c r="S2758" s="35">
        <f t="shared" si="2312"/>
        <v>0</v>
      </c>
      <c r="T2758" s="26"/>
      <c r="U2758" s="47"/>
      <c r="V2758" s="27"/>
      <c r="W2758" s="34"/>
      <c r="X2758" s="35">
        <f t="shared" si="2313"/>
        <v>0</v>
      </c>
      <c r="Y2758" s="11">
        <f t="shared" si="2301"/>
        <v>0</v>
      </c>
    </row>
    <row r="2759" spans="1:26" x14ac:dyDescent="0.15">
      <c r="A2759" s="13"/>
      <c r="B2759" s="26"/>
      <c r="C2759" s="47"/>
      <c r="D2759" s="27"/>
      <c r="E2759" s="34"/>
      <c r="F2759" s="35">
        <f t="shared" si="2308"/>
        <v>0</v>
      </c>
      <c r="G2759" s="26"/>
      <c r="H2759" s="47"/>
      <c r="I2759" s="27"/>
      <c r="J2759" s="34"/>
      <c r="K2759" s="35">
        <f t="shared" si="2309"/>
        <v>0</v>
      </c>
      <c r="L2759" s="11">
        <f t="shared" si="2298"/>
        <v>0</v>
      </c>
      <c r="N2759" s="12"/>
      <c r="O2759" s="26"/>
      <c r="P2759" s="47"/>
      <c r="Q2759" s="27"/>
      <c r="R2759" s="34"/>
      <c r="S2759" s="35">
        <f t="shared" si="2312"/>
        <v>0</v>
      </c>
      <c r="T2759" s="26"/>
      <c r="U2759" s="47"/>
      <c r="V2759" s="27"/>
      <c r="W2759" s="34"/>
      <c r="X2759" s="35">
        <f t="shared" si="2313"/>
        <v>0</v>
      </c>
      <c r="Y2759" s="11">
        <f t="shared" si="2301"/>
        <v>0</v>
      </c>
    </row>
    <row r="2760" spans="1:26" x14ac:dyDescent="0.15">
      <c r="A2760" s="15"/>
      <c r="B2760" s="26"/>
      <c r="C2760" s="47"/>
      <c r="D2760" s="27"/>
      <c r="E2760" s="34"/>
      <c r="F2760" s="35">
        <f t="shared" si="2308"/>
        <v>0</v>
      </c>
      <c r="G2760" s="26"/>
      <c r="H2760" s="47"/>
      <c r="I2760" s="27"/>
      <c r="J2760" s="34"/>
      <c r="K2760" s="35">
        <f t="shared" si="2309"/>
        <v>0</v>
      </c>
      <c r="L2760" s="11">
        <f t="shared" si="2298"/>
        <v>0</v>
      </c>
      <c r="N2760" s="57"/>
      <c r="O2760" s="26"/>
      <c r="P2760" s="47"/>
      <c r="Q2760" s="27"/>
      <c r="R2760" s="34"/>
      <c r="S2760" s="35">
        <f t="shared" si="2312"/>
        <v>0</v>
      </c>
      <c r="T2760" s="26"/>
      <c r="U2760" s="47"/>
      <c r="V2760" s="27"/>
      <c r="W2760" s="34"/>
      <c r="X2760" s="35">
        <f t="shared" si="2313"/>
        <v>0</v>
      </c>
      <c r="Y2760" s="11">
        <f t="shared" si="2301"/>
        <v>0</v>
      </c>
    </row>
    <row r="2761" spans="1:26" x14ac:dyDescent="0.15">
      <c r="A2761" s="13"/>
      <c r="B2761" s="26"/>
      <c r="C2761" s="47"/>
      <c r="D2761" s="27"/>
      <c r="E2761" s="34"/>
      <c r="F2761" s="35">
        <f t="shared" si="2308"/>
        <v>0</v>
      </c>
      <c r="G2761" s="26"/>
      <c r="H2761" s="47"/>
      <c r="I2761" s="27"/>
      <c r="J2761" s="34"/>
      <c r="K2761" s="35">
        <f t="shared" si="2309"/>
        <v>0</v>
      </c>
      <c r="L2761" s="11">
        <f t="shared" si="2298"/>
        <v>0</v>
      </c>
      <c r="N2761" s="12"/>
      <c r="O2761" s="26"/>
      <c r="P2761" s="47"/>
      <c r="Q2761" s="27"/>
      <c r="R2761" s="34"/>
      <c r="S2761" s="35">
        <f t="shared" si="2312"/>
        <v>0</v>
      </c>
      <c r="T2761" s="26"/>
      <c r="U2761" s="47"/>
      <c r="V2761" s="27"/>
      <c r="W2761" s="34"/>
      <c r="X2761" s="35">
        <f t="shared" si="2313"/>
        <v>0</v>
      </c>
      <c r="Y2761" s="11">
        <f t="shared" si="2301"/>
        <v>0</v>
      </c>
    </row>
    <row r="2762" spans="1:26" x14ac:dyDescent="0.15">
      <c r="A2762" s="15"/>
      <c r="B2762" s="26"/>
      <c r="C2762" s="47"/>
      <c r="D2762" s="27"/>
      <c r="E2762" s="34"/>
      <c r="F2762" s="35">
        <f t="shared" si="2308"/>
        <v>0</v>
      </c>
      <c r="G2762" s="26"/>
      <c r="H2762" s="47"/>
      <c r="I2762" s="27"/>
      <c r="J2762" s="34"/>
      <c r="K2762" s="35">
        <f t="shared" si="2309"/>
        <v>0</v>
      </c>
      <c r="L2762" s="11">
        <f t="shared" si="2298"/>
        <v>0</v>
      </c>
      <c r="N2762" s="57"/>
      <c r="O2762" s="26"/>
      <c r="P2762" s="47"/>
      <c r="Q2762" s="27"/>
      <c r="R2762" s="34"/>
      <c r="S2762" s="35">
        <f t="shared" si="2312"/>
        <v>0</v>
      </c>
      <c r="T2762" s="26"/>
      <c r="U2762" s="47"/>
      <c r="V2762" s="27"/>
      <c r="W2762" s="34"/>
      <c r="X2762" s="35">
        <f t="shared" si="2313"/>
        <v>0</v>
      </c>
      <c r="Y2762" s="11">
        <f t="shared" si="2301"/>
        <v>0</v>
      </c>
    </row>
    <row r="2763" spans="1:26" x14ac:dyDescent="0.15">
      <c r="A2763" s="15"/>
      <c r="B2763" s="26"/>
      <c r="C2763" s="47"/>
      <c r="D2763" s="27"/>
      <c r="E2763" s="34"/>
      <c r="F2763" s="35">
        <f t="shared" si="2308"/>
        <v>0</v>
      </c>
      <c r="G2763" s="26"/>
      <c r="H2763" s="47"/>
      <c r="I2763" s="27"/>
      <c r="J2763" s="34"/>
      <c r="K2763" s="35">
        <f t="shared" si="2309"/>
        <v>0</v>
      </c>
      <c r="L2763" s="11">
        <f t="shared" si="2298"/>
        <v>0</v>
      </c>
      <c r="N2763" s="57"/>
      <c r="O2763" s="26"/>
      <c r="P2763" s="47"/>
      <c r="Q2763" s="27"/>
      <c r="R2763" s="34"/>
      <c r="S2763" s="35">
        <f t="shared" si="2312"/>
        <v>0</v>
      </c>
      <c r="T2763" s="26"/>
      <c r="U2763" s="47"/>
      <c r="V2763" s="27"/>
      <c r="W2763" s="34"/>
      <c r="X2763" s="35">
        <f t="shared" si="2313"/>
        <v>0</v>
      </c>
      <c r="Y2763" s="11">
        <f t="shared" si="2301"/>
        <v>0</v>
      </c>
    </row>
    <row r="2764" spans="1:26" x14ac:dyDescent="0.15">
      <c r="A2764" s="13"/>
      <c r="B2764" s="26"/>
      <c r="C2764" s="47"/>
      <c r="D2764" s="27"/>
      <c r="E2764" s="34"/>
      <c r="F2764" s="35">
        <f t="shared" si="2308"/>
        <v>0</v>
      </c>
      <c r="G2764" s="26"/>
      <c r="H2764" s="47"/>
      <c r="I2764" s="27"/>
      <c r="J2764" s="34"/>
      <c r="K2764" s="35">
        <f t="shared" si="2309"/>
        <v>0</v>
      </c>
      <c r="L2764" s="11">
        <f t="shared" si="2298"/>
        <v>0</v>
      </c>
      <c r="N2764" s="57"/>
      <c r="O2764" s="26"/>
      <c r="P2764" s="47"/>
      <c r="Q2764" s="27"/>
      <c r="R2764" s="34"/>
      <c r="S2764" s="35">
        <f t="shared" ref="S2764" si="2314">SUM(O2764:R2764)</f>
        <v>0</v>
      </c>
      <c r="T2764" s="26"/>
      <c r="U2764" s="47"/>
      <c r="V2764" s="27"/>
      <c r="W2764" s="34"/>
      <c r="X2764" s="35">
        <f t="shared" ref="X2764" si="2315">SUM(T2764:W2764)</f>
        <v>0</v>
      </c>
      <c r="Y2764" s="11">
        <f t="shared" ref="Y2764" si="2316">S2764+X2764</f>
        <v>0</v>
      </c>
    </row>
    <row r="2765" spans="1:26" x14ac:dyDescent="0.15">
      <c r="A2765" s="32"/>
      <c r="B2765" s="26"/>
      <c r="C2765" s="47"/>
      <c r="D2765" s="27"/>
      <c r="E2765" s="34"/>
      <c r="F2765" s="35">
        <f t="shared" si="2308"/>
        <v>0</v>
      </c>
      <c r="G2765" s="26"/>
      <c r="H2765" s="47"/>
      <c r="I2765" s="27"/>
      <c r="J2765" s="34"/>
      <c r="K2765" s="35">
        <f t="shared" si="2309"/>
        <v>0</v>
      </c>
      <c r="L2765" s="11">
        <f t="shared" si="2298"/>
        <v>0</v>
      </c>
      <c r="N2765" s="57"/>
      <c r="O2765" s="26"/>
      <c r="P2765" s="47"/>
      <c r="Q2765" s="27"/>
      <c r="R2765" s="34"/>
      <c r="S2765" s="35">
        <f t="shared" ref="S2765:S2766" si="2317">SUM(O2765:R2765)</f>
        <v>0</v>
      </c>
      <c r="T2765" s="26"/>
      <c r="U2765" s="47"/>
      <c r="V2765" s="27"/>
      <c r="W2765" s="34"/>
      <c r="X2765" s="35">
        <f t="shared" ref="X2765:X2766" si="2318">SUM(T2765:W2765)</f>
        <v>0</v>
      </c>
      <c r="Y2765" s="11">
        <f t="shared" ref="Y2765:Y2766" si="2319">S2765+X2765</f>
        <v>0</v>
      </c>
    </row>
    <row r="2766" spans="1:26" x14ac:dyDescent="0.15">
      <c r="A2766" s="32"/>
      <c r="B2766" s="26"/>
      <c r="C2766" s="47"/>
      <c r="D2766" s="27"/>
      <c r="E2766" s="34"/>
      <c r="F2766" s="35">
        <f t="shared" si="2308"/>
        <v>0</v>
      </c>
      <c r="G2766" s="26"/>
      <c r="H2766" s="47"/>
      <c r="I2766" s="27"/>
      <c r="J2766" s="34"/>
      <c r="K2766" s="35">
        <f t="shared" si="2309"/>
        <v>0</v>
      </c>
      <c r="L2766" s="11">
        <f t="shared" si="2298"/>
        <v>0</v>
      </c>
      <c r="N2766" s="57"/>
      <c r="O2766" s="26"/>
      <c r="P2766" s="47"/>
      <c r="Q2766" s="27"/>
      <c r="R2766" s="34"/>
      <c r="S2766" s="35">
        <f t="shared" si="2317"/>
        <v>0</v>
      </c>
      <c r="T2766" s="26"/>
      <c r="U2766" s="47"/>
      <c r="V2766" s="27"/>
      <c r="W2766" s="34"/>
      <c r="X2766" s="35">
        <f t="shared" si="2318"/>
        <v>0</v>
      </c>
      <c r="Y2766" s="11">
        <f t="shared" si="2319"/>
        <v>0</v>
      </c>
    </row>
    <row r="2767" spans="1:26" x14ac:dyDescent="0.15">
      <c r="A2767" s="12"/>
      <c r="B2767" s="26"/>
      <c r="C2767" s="47"/>
      <c r="D2767" s="27"/>
      <c r="E2767" s="34"/>
      <c r="F2767" s="35">
        <f t="shared" si="2308"/>
        <v>0</v>
      </c>
      <c r="G2767" s="26"/>
      <c r="H2767" s="47"/>
      <c r="I2767" s="27"/>
      <c r="J2767" s="34"/>
      <c r="K2767" s="35">
        <f t="shared" si="2309"/>
        <v>0</v>
      </c>
      <c r="L2767" s="11">
        <f t="shared" si="2298"/>
        <v>0</v>
      </c>
      <c r="N2767" s="12" t="s">
        <v>2154</v>
      </c>
      <c r="O2767" s="26"/>
      <c r="P2767" s="47"/>
      <c r="Q2767" s="27"/>
      <c r="R2767" s="34"/>
      <c r="S2767" s="35">
        <f>SUM(O2767:R2767)</f>
        <v>0</v>
      </c>
      <c r="T2767" s="26"/>
      <c r="U2767" s="47"/>
      <c r="V2767" s="27"/>
      <c r="W2767" s="34"/>
      <c r="X2767" s="35">
        <f>SUM(T2767:W2767)</f>
        <v>0</v>
      </c>
      <c r="Y2767" s="108">
        <f>S2767+X2767</f>
        <v>0</v>
      </c>
      <c r="Z2767" s="99" t="s">
        <v>2155</v>
      </c>
    </row>
    <row r="2768" spans="1:26" x14ac:dyDescent="0.15">
      <c r="A2768" s="79"/>
      <c r="B2768" s="26"/>
      <c r="C2768" s="47"/>
      <c r="D2768" s="27"/>
      <c r="E2768" s="34"/>
      <c r="F2768" s="35">
        <f t="shared" si="2308"/>
        <v>0</v>
      </c>
      <c r="G2768" s="26"/>
      <c r="H2768" s="47"/>
      <c r="I2768" s="27"/>
      <c r="J2768" s="34"/>
      <c r="K2768" s="35">
        <f t="shared" si="2309"/>
        <v>0</v>
      </c>
      <c r="L2768" s="11">
        <f t="shared" si="2298"/>
        <v>0</v>
      </c>
      <c r="N2768" s="12" t="s">
        <v>2184</v>
      </c>
      <c r="O2768" s="26"/>
      <c r="P2768" s="47"/>
      <c r="Q2768" s="27"/>
      <c r="R2768" s="34"/>
      <c r="S2768" s="35">
        <f>SUM(O2768:R2768)</f>
        <v>0</v>
      </c>
      <c r="T2768" s="26"/>
      <c r="U2768" s="47"/>
      <c r="V2768" s="27"/>
      <c r="W2768" s="34"/>
      <c r="X2768" s="35">
        <f>SUM(T2768:W2768)</f>
        <v>0</v>
      </c>
      <c r="Y2768" s="108">
        <f>S2768+X2768</f>
        <v>0</v>
      </c>
      <c r="Z2768" s="101" t="s">
        <v>2185</v>
      </c>
    </row>
    <row r="2769" spans="1:26" x14ac:dyDescent="0.15">
      <c r="A2769" s="57"/>
      <c r="B2769" s="26"/>
      <c r="C2769" s="47"/>
      <c r="D2769" s="27"/>
      <c r="E2769" s="34"/>
      <c r="F2769" s="35">
        <f t="shared" si="2308"/>
        <v>0</v>
      </c>
      <c r="G2769" s="26"/>
      <c r="H2769" s="47"/>
      <c r="I2769" s="27"/>
      <c r="J2769" s="34"/>
      <c r="K2769" s="35">
        <f t="shared" si="2309"/>
        <v>0</v>
      </c>
      <c r="L2769" s="11">
        <f t="shared" si="2298"/>
        <v>0</v>
      </c>
      <c r="N2769" s="302" t="s">
        <v>2139</v>
      </c>
      <c r="O2769" s="318">
        <v>10</v>
      </c>
      <c r="P2769" s="319">
        <v>10</v>
      </c>
      <c r="Q2769" s="320">
        <v>8</v>
      </c>
      <c r="R2769" s="321">
        <v>8</v>
      </c>
      <c r="S2769" s="322">
        <f>SUM(O2769:R2769)</f>
        <v>36</v>
      </c>
      <c r="T2769" s="318">
        <v>5</v>
      </c>
      <c r="U2769" s="319">
        <v>5</v>
      </c>
      <c r="V2769" s="320">
        <v>5</v>
      </c>
      <c r="W2769" s="321">
        <v>5</v>
      </c>
      <c r="X2769" s="322">
        <f>SUM(T2769:W2769)</f>
        <v>20</v>
      </c>
      <c r="Y2769" s="16">
        <f>S2769+X2769</f>
        <v>56</v>
      </c>
      <c r="Z2769" s="102" t="s">
        <v>148</v>
      </c>
    </row>
    <row r="2770" spans="1:26" ht="14.25" thickBot="1" x14ac:dyDescent="0.2">
      <c r="A2770" s="90"/>
      <c r="B2770" s="62"/>
      <c r="C2770" s="63"/>
      <c r="D2770" s="64"/>
      <c r="E2770" s="65"/>
      <c r="F2770" s="35">
        <f t="shared" si="2308"/>
        <v>0</v>
      </c>
      <c r="G2770" s="62"/>
      <c r="H2770" s="63"/>
      <c r="I2770" s="64"/>
      <c r="J2770" s="65"/>
      <c r="K2770" s="35">
        <f t="shared" si="2309"/>
        <v>0</v>
      </c>
      <c r="L2770" s="14">
        <f t="shared" si="2298"/>
        <v>0</v>
      </c>
      <c r="N2770" s="337" t="s">
        <v>650</v>
      </c>
      <c r="O2770" s="278">
        <v>10</v>
      </c>
      <c r="P2770" s="279">
        <v>10</v>
      </c>
      <c r="Q2770" s="280">
        <v>8</v>
      </c>
      <c r="R2770" s="281">
        <v>8</v>
      </c>
      <c r="S2770" s="282">
        <f>SUM(O2770:R2770)</f>
        <v>36</v>
      </c>
      <c r="T2770" s="278">
        <v>5</v>
      </c>
      <c r="U2770" s="279">
        <v>5</v>
      </c>
      <c r="V2770" s="280">
        <v>5</v>
      </c>
      <c r="W2770" s="281">
        <v>5</v>
      </c>
      <c r="X2770" s="282">
        <f>SUM(T2770:W2770)</f>
        <v>20</v>
      </c>
      <c r="Y2770" s="283">
        <f>S2770+X2770</f>
        <v>56</v>
      </c>
      <c r="Z2770" s="102" t="s">
        <v>651</v>
      </c>
    </row>
    <row r="2771" spans="1:26" ht="14.25" thickBot="1" x14ac:dyDescent="0.2">
      <c r="A2771" s="17" t="s">
        <v>10</v>
      </c>
      <c r="B2771" s="38">
        <f>SUM(B2746:B2770)</f>
        <v>6</v>
      </c>
      <c r="C2771" s="48">
        <f>SUM(C2746:C2770)</f>
        <v>6</v>
      </c>
      <c r="D2771" s="39">
        <f>SUM(D2746:D2770)</f>
        <v>3</v>
      </c>
      <c r="E2771" s="40">
        <f>SUM(E2746:E2770)</f>
        <v>2</v>
      </c>
      <c r="F2771" s="36">
        <f>SUM(B2771:E2771)</f>
        <v>17</v>
      </c>
      <c r="G2771" s="38">
        <f>SUM(G2746:G2770)</f>
        <v>0</v>
      </c>
      <c r="H2771" s="48">
        <f>SUM(H2746:H2770)</f>
        <v>2</v>
      </c>
      <c r="I2771" s="39">
        <f>SUM(I2746:I2770)</f>
        <v>0</v>
      </c>
      <c r="J2771" s="40">
        <f>SUM(J2746:J2770)</f>
        <v>0</v>
      </c>
      <c r="K2771" s="36">
        <f>SUM(G2771:J2771)</f>
        <v>2</v>
      </c>
      <c r="L2771" s="37">
        <f t="shared" si="2298"/>
        <v>19</v>
      </c>
      <c r="N2771" s="17" t="s">
        <v>10</v>
      </c>
      <c r="O2771" s="228">
        <f>SUM(O2746:O2770)</f>
        <v>24</v>
      </c>
      <c r="P2771" s="229">
        <f>SUM(P2746:P2770)</f>
        <v>38</v>
      </c>
      <c r="Q2771" s="230">
        <f>SUM(Q2746:Q2770)</f>
        <v>34</v>
      </c>
      <c r="R2771" s="231">
        <f>SUM(R2746:R2770)</f>
        <v>19</v>
      </c>
      <c r="S2771" s="36">
        <f t="shared" si="2312"/>
        <v>115</v>
      </c>
      <c r="T2771" s="228">
        <f>SUM(T2746:T2770)</f>
        <v>18</v>
      </c>
      <c r="U2771" s="229">
        <f>SUM(U2746:U2770)</f>
        <v>16</v>
      </c>
      <c r="V2771" s="230">
        <f>SUM(V2746:V2770)</f>
        <v>17</v>
      </c>
      <c r="W2771" s="231">
        <f>SUM(W2746:W2770)</f>
        <v>18</v>
      </c>
      <c r="X2771" s="36">
        <f t="shared" si="2313"/>
        <v>69</v>
      </c>
      <c r="Y2771" s="37">
        <f t="shared" si="2301"/>
        <v>184</v>
      </c>
    </row>
    <row r="2772" spans="1:26" ht="14.25" thickBot="1" x14ac:dyDescent="0.2">
      <c r="A2772" s="22" t="s">
        <v>11</v>
      </c>
      <c r="B2772" s="41">
        <f>B2745-B2771</f>
        <v>26</v>
      </c>
      <c r="C2772" s="49">
        <f>C2745-C2771</f>
        <v>11</v>
      </c>
      <c r="D2772" s="42">
        <f t="shared" ref="D2772:K2772" si="2320">D2745-D2771</f>
        <v>10</v>
      </c>
      <c r="E2772" s="43">
        <f t="shared" si="2320"/>
        <v>16</v>
      </c>
      <c r="F2772" s="61">
        <f t="shared" si="2320"/>
        <v>59</v>
      </c>
      <c r="G2772" s="41">
        <f t="shared" si="2320"/>
        <v>10</v>
      </c>
      <c r="H2772" s="49">
        <f t="shared" si="2320"/>
        <v>7</v>
      </c>
      <c r="I2772" s="42">
        <f t="shared" si="2320"/>
        <v>11</v>
      </c>
      <c r="J2772" s="43">
        <f t="shared" si="2320"/>
        <v>10</v>
      </c>
      <c r="K2772" s="61">
        <f t="shared" si="2320"/>
        <v>38</v>
      </c>
      <c r="L2772" s="21">
        <f t="shared" si="2298"/>
        <v>97</v>
      </c>
      <c r="N2772" s="17" t="s">
        <v>11</v>
      </c>
      <c r="O2772" s="41">
        <f>O2745-O2771</f>
        <v>77</v>
      </c>
      <c r="P2772" s="49">
        <f t="shared" ref="P2772:Q2772" si="2321">P2745-P2771</f>
        <v>76</v>
      </c>
      <c r="Q2772" s="42">
        <f t="shared" si="2321"/>
        <v>148</v>
      </c>
      <c r="R2772" s="43">
        <f>R2745-R2771</f>
        <v>63</v>
      </c>
      <c r="S2772" s="61">
        <f t="shared" ref="S2772:X2772" si="2322">S2745-S2771</f>
        <v>364</v>
      </c>
      <c r="T2772" s="41">
        <f t="shared" si="2322"/>
        <v>329</v>
      </c>
      <c r="U2772" s="49">
        <f t="shared" si="2322"/>
        <v>251</v>
      </c>
      <c r="V2772" s="42">
        <f t="shared" si="2322"/>
        <v>255</v>
      </c>
      <c r="W2772" s="43">
        <f t="shared" si="2322"/>
        <v>82</v>
      </c>
      <c r="X2772" s="61">
        <f t="shared" si="2322"/>
        <v>917</v>
      </c>
      <c r="Y2772" s="21">
        <f t="shared" si="2301"/>
        <v>1281</v>
      </c>
    </row>
    <row r="2773" spans="1:26" x14ac:dyDescent="0.15">
      <c r="N2773" s="214" t="s">
        <v>2005</v>
      </c>
      <c r="O2773" s="125">
        <f>O2772/$S$2772*100</f>
        <v>21.153846153846153</v>
      </c>
      <c r="P2773" s="125">
        <f t="shared" ref="P2773:S2773" si="2323">P2772/$S$2772*100</f>
        <v>20.87912087912088</v>
      </c>
      <c r="Q2773" s="125">
        <f t="shared" si="2323"/>
        <v>40.659340659340657</v>
      </c>
      <c r="R2773" s="125">
        <f t="shared" si="2323"/>
        <v>17.307692307692307</v>
      </c>
      <c r="S2773" s="125">
        <f t="shared" si="2323"/>
        <v>100</v>
      </c>
      <c r="T2773" s="125">
        <f>T2772/$X$2772*100</f>
        <v>35.877862595419849</v>
      </c>
      <c r="U2773" s="125">
        <f t="shared" ref="U2773:X2773" si="2324">U2772/$X$2772*100</f>
        <v>27.37186477644493</v>
      </c>
      <c r="V2773" s="125">
        <f t="shared" si="2324"/>
        <v>27.80806979280262</v>
      </c>
      <c r="W2773" s="125">
        <f t="shared" si="2324"/>
        <v>8.9422028353326066</v>
      </c>
      <c r="X2773" s="125">
        <f t="shared" si="2324"/>
        <v>100</v>
      </c>
    </row>
    <row r="2774" spans="1:26" x14ac:dyDescent="0.15">
      <c r="N2774" s="213" t="s">
        <v>2004</v>
      </c>
      <c r="O2774" s="211">
        <v>28.1</v>
      </c>
      <c r="P2774" s="211">
        <v>34.299999999999997</v>
      </c>
      <c r="Q2774" s="211">
        <v>22</v>
      </c>
      <c r="R2774" s="211">
        <v>15.6</v>
      </c>
      <c r="S2774" s="211">
        <f>SUM(O2774:R2774)</f>
        <v>100</v>
      </c>
      <c r="T2774" s="211">
        <v>26.3</v>
      </c>
      <c r="U2774" s="211">
        <v>30.9</v>
      </c>
      <c r="V2774" s="211">
        <v>22.2</v>
      </c>
      <c r="W2774" s="211">
        <v>20.6</v>
      </c>
      <c r="X2774" s="211">
        <f>SUM(T2774:W2774)</f>
        <v>100</v>
      </c>
    </row>
    <row r="2775" spans="1:26" ht="19.5" thickBot="1" x14ac:dyDescent="0.25">
      <c r="A2775" s="2" t="s">
        <v>106</v>
      </c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N2775" s="2" t="s">
        <v>1036</v>
      </c>
      <c r="O2775" s="270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6" ht="14.25" thickBot="1" x14ac:dyDescent="0.2">
      <c r="A2776" s="5" t="s">
        <v>0</v>
      </c>
      <c r="B2776" s="342" t="s">
        <v>18</v>
      </c>
      <c r="C2776" s="350"/>
      <c r="D2776" s="350"/>
      <c r="E2776" s="350"/>
      <c r="F2776" s="351"/>
      <c r="G2776" s="345" t="s">
        <v>12</v>
      </c>
      <c r="H2776" s="352"/>
      <c r="I2776" s="352"/>
      <c r="J2776" s="352"/>
      <c r="K2776" s="353"/>
      <c r="L2776" s="354" t="s">
        <v>1</v>
      </c>
      <c r="N2776" s="5" t="s">
        <v>0</v>
      </c>
      <c r="O2776" s="342" t="s">
        <v>18</v>
      </c>
      <c r="P2776" s="343"/>
      <c r="Q2776" s="343"/>
      <c r="R2776" s="343"/>
      <c r="S2776" s="344"/>
      <c r="T2776" s="345" t="s">
        <v>12</v>
      </c>
      <c r="U2776" s="346"/>
      <c r="V2776" s="346"/>
      <c r="W2776" s="346"/>
      <c r="X2776" s="347"/>
      <c r="Y2776" s="348" t="s">
        <v>1</v>
      </c>
    </row>
    <row r="2777" spans="1:26" ht="14.25" thickBot="1" x14ac:dyDescent="0.2">
      <c r="A2777" s="5" t="s">
        <v>2</v>
      </c>
      <c r="B2777" s="3" t="s">
        <v>13</v>
      </c>
      <c r="C2777" s="44" t="s">
        <v>14</v>
      </c>
      <c r="D2777" s="4" t="s">
        <v>15</v>
      </c>
      <c r="E2777" s="23" t="s">
        <v>16</v>
      </c>
      <c r="F2777" s="31" t="s">
        <v>3</v>
      </c>
      <c r="G2777" s="3" t="s">
        <v>13</v>
      </c>
      <c r="H2777" s="44" t="s">
        <v>14</v>
      </c>
      <c r="I2777" s="4" t="s">
        <v>15</v>
      </c>
      <c r="J2777" s="23" t="s">
        <v>16</v>
      </c>
      <c r="K2777" s="31" t="s">
        <v>3</v>
      </c>
      <c r="L2777" s="355"/>
      <c r="N2777" s="5" t="s">
        <v>2</v>
      </c>
      <c r="O2777" s="3" t="s">
        <v>13</v>
      </c>
      <c r="P2777" s="44" t="s">
        <v>14</v>
      </c>
      <c r="Q2777" s="4" t="s">
        <v>15</v>
      </c>
      <c r="R2777" s="23" t="s">
        <v>16</v>
      </c>
      <c r="S2777" s="31" t="s">
        <v>3</v>
      </c>
      <c r="T2777" s="3" t="s">
        <v>13</v>
      </c>
      <c r="U2777" s="44" t="s">
        <v>14</v>
      </c>
      <c r="V2777" s="4" t="s">
        <v>15</v>
      </c>
      <c r="W2777" s="23" t="s">
        <v>16</v>
      </c>
      <c r="X2777" s="31" t="s">
        <v>3</v>
      </c>
      <c r="Y2777" s="349"/>
    </row>
    <row r="2778" spans="1:26" x14ac:dyDescent="0.15">
      <c r="A2778" s="71" t="s">
        <v>17</v>
      </c>
      <c r="B2778" s="72">
        <f>B2772</f>
        <v>26</v>
      </c>
      <c r="C2778" s="73">
        <f t="shared" ref="C2778:L2778" si="2325">C2772</f>
        <v>11</v>
      </c>
      <c r="D2778" s="73">
        <f t="shared" si="2325"/>
        <v>10</v>
      </c>
      <c r="E2778" s="74">
        <f t="shared" si="2325"/>
        <v>16</v>
      </c>
      <c r="F2778" s="76">
        <f t="shared" si="2325"/>
        <v>59</v>
      </c>
      <c r="G2778" s="72">
        <f t="shared" si="2325"/>
        <v>10</v>
      </c>
      <c r="H2778" s="73">
        <f t="shared" si="2325"/>
        <v>7</v>
      </c>
      <c r="I2778" s="73">
        <f t="shared" si="2325"/>
        <v>11</v>
      </c>
      <c r="J2778" s="74">
        <f t="shared" si="2325"/>
        <v>10</v>
      </c>
      <c r="K2778" s="75">
        <f t="shared" si="2325"/>
        <v>38</v>
      </c>
      <c r="L2778" s="16">
        <f t="shared" si="2325"/>
        <v>97</v>
      </c>
      <c r="N2778" s="71" t="s">
        <v>17</v>
      </c>
      <c r="O2778" s="72">
        <f>O2772</f>
        <v>77</v>
      </c>
      <c r="P2778" s="73">
        <f t="shared" ref="P2778:Y2778" si="2326">P2772</f>
        <v>76</v>
      </c>
      <c r="Q2778" s="73">
        <f t="shared" si="2326"/>
        <v>148</v>
      </c>
      <c r="R2778" s="74">
        <f t="shared" si="2326"/>
        <v>63</v>
      </c>
      <c r="S2778" s="76">
        <f t="shared" si="2326"/>
        <v>364</v>
      </c>
      <c r="T2778" s="72">
        <f t="shared" si="2326"/>
        <v>329</v>
      </c>
      <c r="U2778" s="73">
        <f t="shared" si="2326"/>
        <v>251</v>
      </c>
      <c r="V2778" s="73">
        <f t="shared" si="2326"/>
        <v>255</v>
      </c>
      <c r="W2778" s="74">
        <f t="shared" si="2326"/>
        <v>82</v>
      </c>
      <c r="X2778" s="75">
        <f t="shared" si="2326"/>
        <v>917</v>
      </c>
      <c r="Y2778" s="16">
        <f t="shared" si="2326"/>
        <v>1281</v>
      </c>
    </row>
    <row r="2779" spans="1:26" x14ac:dyDescent="0.15">
      <c r="A2779" s="13" t="s">
        <v>5</v>
      </c>
      <c r="B2779" s="26"/>
      <c r="C2779" s="47"/>
      <c r="D2779" s="27"/>
      <c r="E2779" s="50"/>
      <c r="F2779" s="9">
        <f t="shared" ref="F2779:F2780" si="2327">SUM(B2779:E2779)</f>
        <v>0</v>
      </c>
      <c r="G2779" s="47"/>
      <c r="H2779" s="47"/>
      <c r="I2779" s="27"/>
      <c r="J2779" s="50"/>
      <c r="K2779" s="9">
        <f t="shared" ref="K2779:K2780" si="2328">SUM(G2779:J2779)</f>
        <v>0</v>
      </c>
      <c r="L2779" s="11">
        <f t="shared" ref="L2779:L2810" si="2329">F2779+K2779</f>
        <v>0</v>
      </c>
      <c r="N2779" s="13" t="s">
        <v>5</v>
      </c>
      <c r="O2779" s="26">
        <v>-70</v>
      </c>
      <c r="P2779" s="47"/>
      <c r="Q2779" s="27"/>
      <c r="R2779" s="34"/>
      <c r="S2779" s="77">
        <f t="shared" ref="S2779:S2782" si="2330">SUM(O2779:R2779)</f>
        <v>-70</v>
      </c>
      <c r="T2779" s="26"/>
      <c r="U2779" s="47"/>
      <c r="V2779" s="27"/>
      <c r="W2779" s="34"/>
      <c r="X2779" s="9">
        <f t="shared" ref="X2779:X2782" si="2331">SUM(T2779:W2779)</f>
        <v>0</v>
      </c>
      <c r="Y2779" s="11">
        <f t="shared" ref="Y2779:Y2810" si="2332">S2779+X2779</f>
        <v>-70</v>
      </c>
    </row>
    <row r="2780" spans="1:26" x14ac:dyDescent="0.15">
      <c r="A2780" s="13" t="s">
        <v>6</v>
      </c>
      <c r="B2780" s="26"/>
      <c r="C2780" s="47"/>
      <c r="D2780" s="27"/>
      <c r="E2780" s="50"/>
      <c r="F2780" s="9">
        <f t="shared" si="2327"/>
        <v>0</v>
      </c>
      <c r="G2780" s="47"/>
      <c r="H2780" s="47"/>
      <c r="I2780" s="27"/>
      <c r="J2780" s="50"/>
      <c r="K2780" s="9">
        <f t="shared" si="2328"/>
        <v>0</v>
      </c>
      <c r="L2780" s="11">
        <f t="shared" si="2329"/>
        <v>0</v>
      </c>
      <c r="N2780" s="314" t="s">
        <v>2172</v>
      </c>
      <c r="O2780" s="235">
        <v>680</v>
      </c>
      <c r="P2780" s="236">
        <v>820</v>
      </c>
      <c r="Q2780" s="237">
        <v>400</v>
      </c>
      <c r="R2780" s="238">
        <v>300</v>
      </c>
      <c r="S2780" s="315">
        <f t="shared" si="2330"/>
        <v>2200</v>
      </c>
      <c r="T2780" s="235">
        <v>200</v>
      </c>
      <c r="U2780" s="236">
        <v>330</v>
      </c>
      <c r="V2780" s="237">
        <v>180</v>
      </c>
      <c r="W2780" s="238">
        <v>290</v>
      </c>
      <c r="X2780" s="311">
        <f t="shared" si="2331"/>
        <v>1000</v>
      </c>
      <c r="Y2780" s="16">
        <f t="shared" si="2332"/>
        <v>3200</v>
      </c>
      <c r="Z2780" s="323" t="s">
        <v>2242</v>
      </c>
    </row>
    <row r="2781" spans="1:26" x14ac:dyDescent="0.15">
      <c r="A2781" s="13" t="s">
        <v>7</v>
      </c>
      <c r="B2781" s="26"/>
      <c r="C2781" s="47"/>
      <c r="D2781" s="27"/>
      <c r="E2781" s="50"/>
      <c r="F2781" s="9">
        <f>SUM(B2781:E2781)</f>
        <v>0</v>
      </c>
      <c r="G2781" s="47"/>
      <c r="H2781" s="47"/>
      <c r="I2781" s="27"/>
      <c r="J2781" s="50"/>
      <c r="K2781" s="9">
        <f>SUM(G2781:J2781)</f>
        <v>0</v>
      </c>
      <c r="L2781" s="11">
        <f t="shared" si="2329"/>
        <v>0</v>
      </c>
      <c r="N2781" s="13" t="s">
        <v>7</v>
      </c>
      <c r="O2781" s="26"/>
      <c r="P2781" s="47"/>
      <c r="Q2781" s="27"/>
      <c r="R2781" s="34"/>
      <c r="S2781" s="77">
        <f t="shared" si="2330"/>
        <v>0</v>
      </c>
      <c r="T2781" s="26"/>
      <c r="U2781" s="47"/>
      <c r="V2781" s="27"/>
      <c r="W2781" s="34"/>
      <c r="X2781" s="9">
        <f t="shared" si="2331"/>
        <v>0</v>
      </c>
      <c r="Y2781" s="11">
        <f t="shared" si="2332"/>
        <v>0</v>
      </c>
    </row>
    <row r="2782" spans="1:26" ht="14.25" thickBot="1" x14ac:dyDescent="0.2">
      <c r="A2782" s="13" t="s">
        <v>8</v>
      </c>
      <c r="B2782" s="26"/>
      <c r="C2782" s="47"/>
      <c r="D2782" s="27"/>
      <c r="E2782" s="50"/>
      <c r="F2782" s="10">
        <f>SUM(B2782:E2782)</f>
        <v>0</v>
      </c>
      <c r="G2782" s="47"/>
      <c r="H2782" s="47"/>
      <c r="I2782" s="27"/>
      <c r="J2782" s="50"/>
      <c r="K2782" s="10">
        <f>SUM(G2782:J2782)</f>
        <v>0</v>
      </c>
      <c r="L2782" s="14">
        <f t="shared" si="2329"/>
        <v>0</v>
      </c>
      <c r="N2782" s="13" t="s">
        <v>8</v>
      </c>
      <c r="O2782" s="26"/>
      <c r="P2782" s="47"/>
      <c r="Q2782" s="27"/>
      <c r="R2782" s="34"/>
      <c r="S2782" s="77">
        <f t="shared" si="2330"/>
        <v>0</v>
      </c>
      <c r="T2782" s="26"/>
      <c r="U2782" s="47"/>
      <c r="V2782" s="27"/>
      <c r="W2782" s="34"/>
      <c r="X2782" s="9">
        <f t="shared" si="2331"/>
        <v>0</v>
      </c>
      <c r="Y2782" s="11">
        <f t="shared" si="2332"/>
        <v>0</v>
      </c>
    </row>
    <row r="2783" spans="1:26" ht="14.25" thickBot="1" x14ac:dyDescent="0.2">
      <c r="A2783" s="22" t="s">
        <v>9</v>
      </c>
      <c r="B2783" s="41">
        <f t="shared" ref="B2783:K2783" si="2333">SUM(B2778:B2782)</f>
        <v>26</v>
      </c>
      <c r="C2783" s="49">
        <f t="shared" si="2333"/>
        <v>11</v>
      </c>
      <c r="D2783" s="42">
        <f t="shared" si="2333"/>
        <v>10</v>
      </c>
      <c r="E2783" s="92">
        <f t="shared" si="2333"/>
        <v>16</v>
      </c>
      <c r="F2783" s="132">
        <f t="shared" si="2333"/>
        <v>59</v>
      </c>
      <c r="G2783" s="41">
        <f t="shared" si="2333"/>
        <v>10</v>
      </c>
      <c r="H2783" s="49">
        <f t="shared" si="2333"/>
        <v>7</v>
      </c>
      <c r="I2783" s="42">
        <f t="shared" si="2333"/>
        <v>11</v>
      </c>
      <c r="J2783" s="92">
        <f t="shared" si="2333"/>
        <v>10</v>
      </c>
      <c r="K2783" s="132">
        <f t="shared" si="2333"/>
        <v>38</v>
      </c>
      <c r="L2783" s="21">
        <f t="shared" si="2329"/>
        <v>97</v>
      </c>
      <c r="N2783" s="17" t="s">
        <v>9</v>
      </c>
      <c r="O2783" s="41">
        <f>SUM(O2778:O2782)</f>
        <v>687</v>
      </c>
      <c r="P2783" s="49">
        <f t="shared" ref="P2783:V2783" si="2334">SUM(P2778:P2782)</f>
        <v>896</v>
      </c>
      <c r="Q2783" s="42">
        <f t="shared" si="2334"/>
        <v>548</v>
      </c>
      <c r="R2783" s="92">
        <f t="shared" si="2334"/>
        <v>363</v>
      </c>
      <c r="S2783" s="93">
        <f t="shared" si="2334"/>
        <v>2494</v>
      </c>
      <c r="T2783" s="41">
        <f t="shared" si="2334"/>
        <v>529</v>
      </c>
      <c r="U2783" s="49">
        <f t="shared" si="2334"/>
        <v>581</v>
      </c>
      <c r="V2783" s="42">
        <f t="shared" si="2334"/>
        <v>435</v>
      </c>
      <c r="W2783" s="92">
        <f>SUM(W2778:W2782)</f>
        <v>372</v>
      </c>
      <c r="X2783" s="93">
        <f t="shared" ref="X2783" si="2335">SUM(X2778:X2782)</f>
        <v>1917</v>
      </c>
      <c r="Y2783" s="56">
        <f t="shared" si="2332"/>
        <v>4411</v>
      </c>
    </row>
    <row r="2784" spans="1:26" x14ac:dyDescent="0.15">
      <c r="A2784" s="15"/>
      <c r="B2784" s="26"/>
      <c r="C2784" s="47"/>
      <c r="D2784" s="27"/>
      <c r="E2784" s="34"/>
      <c r="F2784" s="35">
        <f t="shared" ref="F2784:F2808" si="2336">SUM(B2784:E2784)</f>
        <v>0</v>
      </c>
      <c r="G2784" s="26"/>
      <c r="H2784" s="47"/>
      <c r="I2784" s="27"/>
      <c r="J2784" s="34"/>
      <c r="K2784" s="35">
        <f t="shared" ref="K2784:K2808" si="2337">SUM(G2784:J2784)</f>
        <v>0</v>
      </c>
      <c r="L2784" s="11">
        <f t="shared" si="2329"/>
        <v>0</v>
      </c>
      <c r="N2784" s="12"/>
      <c r="O2784" s="26"/>
      <c r="P2784" s="47"/>
      <c r="Q2784" s="27"/>
      <c r="R2784" s="34"/>
      <c r="S2784" s="35">
        <f t="shared" ref="S2784:S2790" si="2338">SUM(O2784:R2784)</f>
        <v>0</v>
      </c>
      <c r="T2784" s="26"/>
      <c r="U2784" s="47"/>
      <c r="V2784" s="27"/>
      <c r="W2784" s="34"/>
      <c r="X2784" s="35">
        <f t="shared" ref="X2784:X2790" si="2339">SUM(T2784:W2784)</f>
        <v>0</v>
      </c>
      <c r="Y2784" s="11">
        <f t="shared" si="2332"/>
        <v>0</v>
      </c>
    </row>
    <row r="2785" spans="1:25" x14ac:dyDescent="0.15">
      <c r="A2785" s="15"/>
      <c r="B2785" s="26"/>
      <c r="C2785" s="47"/>
      <c r="D2785" s="27"/>
      <c r="E2785" s="34"/>
      <c r="F2785" s="35">
        <f t="shared" si="2336"/>
        <v>0</v>
      </c>
      <c r="G2785" s="26"/>
      <c r="H2785" s="47"/>
      <c r="I2785" s="27"/>
      <c r="J2785" s="34"/>
      <c r="K2785" s="35">
        <f t="shared" si="2337"/>
        <v>0</v>
      </c>
      <c r="L2785" s="11">
        <f t="shared" si="2329"/>
        <v>0</v>
      </c>
      <c r="N2785" s="12"/>
      <c r="O2785" s="26"/>
      <c r="P2785" s="47"/>
      <c r="Q2785" s="27"/>
      <c r="R2785" s="34"/>
      <c r="S2785" s="35">
        <f t="shared" si="2338"/>
        <v>0</v>
      </c>
      <c r="T2785" s="26"/>
      <c r="U2785" s="47"/>
      <c r="V2785" s="27"/>
      <c r="W2785" s="34"/>
      <c r="X2785" s="35">
        <f t="shared" si="2339"/>
        <v>0</v>
      </c>
      <c r="Y2785" s="11">
        <f t="shared" si="2332"/>
        <v>0</v>
      </c>
    </row>
    <row r="2786" spans="1:25" x14ac:dyDescent="0.15">
      <c r="A2786" s="15"/>
      <c r="B2786" s="26"/>
      <c r="C2786" s="47"/>
      <c r="D2786" s="27"/>
      <c r="E2786" s="34"/>
      <c r="F2786" s="35">
        <f t="shared" si="2336"/>
        <v>0</v>
      </c>
      <c r="G2786" s="26"/>
      <c r="H2786" s="47"/>
      <c r="I2786" s="27"/>
      <c r="J2786" s="34"/>
      <c r="K2786" s="35">
        <f t="shared" si="2337"/>
        <v>0</v>
      </c>
      <c r="L2786" s="11">
        <f t="shared" si="2329"/>
        <v>0</v>
      </c>
      <c r="N2786" s="12"/>
      <c r="O2786" s="26"/>
      <c r="P2786" s="47"/>
      <c r="Q2786" s="27"/>
      <c r="R2786" s="34"/>
      <c r="S2786" s="35">
        <f t="shared" si="2338"/>
        <v>0</v>
      </c>
      <c r="T2786" s="26"/>
      <c r="U2786" s="47"/>
      <c r="V2786" s="27"/>
      <c r="W2786" s="34"/>
      <c r="X2786" s="35">
        <f t="shared" si="2339"/>
        <v>0</v>
      </c>
      <c r="Y2786" s="11">
        <f t="shared" si="2332"/>
        <v>0</v>
      </c>
    </row>
    <row r="2787" spans="1:25" x14ac:dyDescent="0.15">
      <c r="A2787" s="15"/>
      <c r="B2787" s="26"/>
      <c r="C2787" s="47"/>
      <c r="D2787" s="27"/>
      <c r="E2787" s="34"/>
      <c r="F2787" s="35">
        <f t="shared" si="2336"/>
        <v>0</v>
      </c>
      <c r="G2787" s="26"/>
      <c r="H2787" s="47"/>
      <c r="I2787" s="27"/>
      <c r="J2787" s="34"/>
      <c r="K2787" s="35">
        <f t="shared" si="2337"/>
        <v>0</v>
      </c>
      <c r="L2787" s="11">
        <f t="shared" si="2329"/>
        <v>0</v>
      </c>
      <c r="N2787" s="12"/>
      <c r="O2787" s="26"/>
      <c r="P2787" s="47"/>
      <c r="Q2787" s="27"/>
      <c r="R2787" s="34"/>
      <c r="S2787" s="35">
        <f t="shared" si="2338"/>
        <v>0</v>
      </c>
      <c r="T2787" s="26"/>
      <c r="U2787" s="47"/>
      <c r="V2787" s="27"/>
      <c r="W2787" s="34"/>
      <c r="X2787" s="35">
        <f t="shared" si="2339"/>
        <v>0</v>
      </c>
      <c r="Y2787" s="11">
        <f t="shared" si="2332"/>
        <v>0</v>
      </c>
    </row>
    <row r="2788" spans="1:25" x14ac:dyDescent="0.15">
      <c r="A2788" s="15"/>
      <c r="B2788" s="26"/>
      <c r="C2788" s="47"/>
      <c r="D2788" s="27"/>
      <c r="E2788" s="34"/>
      <c r="F2788" s="35">
        <f t="shared" si="2336"/>
        <v>0</v>
      </c>
      <c r="G2788" s="26"/>
      <c r="H2788" s="47"/>
      <c r="I2788" s="27"/>
      <c r="J2788" s="34"/>
      <c r="K2788" s="35">
        <f t="shared" si="2337"/>
        <v>0</v>
      </c>
      <c r="L2788" s="11">
        <f t="shared" si="2329"/>
        <v>0</v>
      </c>
      <c r="N2788" s="12"/>
      <c r="O2788" s="26"/>
      <c r="P2788" s="47"/>
      <c r="Q2788" s="27"/>
      <c r="R2788" s="34"/>
      <c r="S2788" s="35">
        <f t="shared" si="2338"/>
        <v>0</v>
      </c>
      <c r="T2788" s="26"/>
      <c r="U2788" s="47"/>
      <c r="V2788" s="27"/>
      <c r="W2788" s="34"/>
      <c r="X2788" s="35">
        <f t="shared" si="2339"/>
        <v>0</v>
      </c>
      <c r="Y2788" s="11">
        <f t="shared" si="2332"/>
        <v>0</v>
      </c>
    </row>
    <row r="2789" spans="1:25" x14ac:dyDescent="0.15">
      <c r="A2789" s="15"/>
      <c r="B2789" s="26"/>
      <c r="C2789" s="47"/>
      <c r="D2789" s="27"/>
      <c r="E2789" s="34"/>
      <c r="F2789" s="35">
        <f t="shared" si="2336"/>
        <v>0</v>
      </c>
      <c r="G2789" s="26"/>
      <c r="H2789" s="47"/>
      <c r="I2789" s="27"/>
      <c r="J2789" s="34"/>
      <c r="K2789" s="35">
        <f t="shared" si="2337"/>
        <v>0</v>
      </c>
      <c r="L2789" s="11">
        <f t="shared" si="2329"/>
        <v>0</v>
      </c>
      <c r="N2789" s="12"/>
      <c r="O2789" s="26"/>
      <c r="P2789" s="47"/>
      <c r="Q2789" s="27"/>
      <c r="R2789" s="34"/>
      <c r="S2789" s="35">
        <f t="shared" si="2338"/>
        <v>0</v>
      </c>
      <c r="T2789" s="26"/>
      <c r="U2789" s="47"/>
      <c r="V2789" s="27"/>
      <c r="W2789" s="34"/>
      <c r="X2789" s="35">
        <f t="shared" si="2339"/>
        <v>0</v>
      </c>
      <c r="Y2789" s="11">
        <f t="shared" si="2332"/>
        <v>0</v>
      </c>
    </row>
    <row r="2790" spans="1:25" x14ac:dyDescent="0.15">
      <c r="A2790" s="15"/>
      <c r="B2790" s="26"/>
      <c r="C2790" s="47"/>
      <c r="D2790" s="27"/>
      <c r="E2790" s="34"/>
      <c r="F2790" s="35">
        <f t="shared" si="2336"/>
        <v>0</v>
      </c>
      <c r="G2790" s="26"/>
      <c r="H2790" s="47"/>
      <c r="I2790" s="27"/>
      <c r="J2790" s="34"/>
      <c r="K2790" s="35">
        <f t="shared" si="2337"/>
        <v>0</v>
      </c>
      <c r="L2790" s="11">
        <f t="shared" si="2329"/>
        <v>0</v>
      </c>
      <c r="N2790" s="12"/>
      <c r="O2790" s="26"/>
      <c r="P2790" s="47"/>
      <c r="Q2790" s="27"/>
      <c r="R2790" s="34"/>
      <c r="S2790" s="35">
        <f t="shared" si="2338"/>
        <v>0</v>
      </c>
      <c r="T2790" s="26"/>
      <c r="U2790" s="47"/>
      <c r="V2790" s="27"/>
      <c r="W2790" s="34"/>
      <c r="X2790" s="35">
        <f t="shared" si="2339"/>
        <v>0</v>
      </c>
      <c r="Y2790" s="11">
        <f t="shared" si="2332"/>
        <v>0</v>
      </c>
    </row>
    <row r="2791" spans="1:25" x14ac:dyDescent="0.15">
      <c r="A2791" s="15"/>
      <c r="B2791" s="26"/>
      <c r="C2791" s="47"/>
      <c r="D2791" s="27"/>
      <c r="E2791" s="34"/>
      <c r="F2791" s="35">
        <f t="shared" si="2336"/>
        <v>0</v>
      </c>
      <c r="G2791" s="26"/>
      <c r="H2791" s="47"/>
      <c r="I2791" s="27"/>
      <c r="J2791" s="34"/>
      <c r="K2791" s="35">
        <f t="shared" si="2337"/>
        <v>0</v>
      </c>
      <c r="L2791" s="11">
        <f t="shared" si="2329"/>
        <v>0</v>
      </c>
      <c r="N2791" s="12"/>
      <c r="O2791" s="26"/>
      <c r="P2791" s="47"/>
      <c r="Q2791" s="27"/>
      <c r="R2791" s="50"/>
      <c r="S2791" s="9">
        <f>SUM(O2791:R2791)</f>
        <v>0</v>
      </c>
      <c r="T2791" s="47"/>
      <c r="U2791" s="47"/>
      <c r="V2791" s="27"/>
      <c r="W2791" s="50"/>
      <c r="X2791" s="9">
        <f>SUM(T2791:W2791)</f>
        <v>0</v>
      </c>
      <c r="Y2791" s="11">
        <f t="shared" si="2332"/>
        <v>0</v>
      </c>
    </row>
    <row r="2792" spans="1:25" x14ac:dyDescent="0.15">
      <c r="A2792" s="15"/>
      <c r="B2792" s="26"/>
      <c r="C2792" s="47"/>
      <c r="D2792" s="27"/>
      <c r="E2792" s="34"/>
      <c r="F2792" s="35">
        <f t="shared" si="2336"/>
        <v>0</v>
      </c>
      <c r="G2792" s="26"/>
      <c r="H2792" s="47"/>
      <c r="I2792" s="27"/>
      <c r="J2792" s="34"/>
      <c r="K2792" s="35">
        <f t="shared" si="2337"/>
        <v>0</v>
      </c>
      <c r="L2792" s="11">
        <f t="shared" si="2329"/>
        <v>0</v>
      </c>
      <c r="N2792" s="12"/>
      <c r="O2792" s="26"/>
      <c r="P2792" s="47"/>
      <c r="Q2792" s="27"/>
      <c r="R2792" s="34"/>
      <c r="S2792" s="35">
        <f t="shared" ref="S2792:S2809" si="2340">SUM(O2792:R2792)</f>
        <v>0</v>
      </c>
      <c r="T2792" s="26"/>
      <c r="U2792" s="47"/>
      <c r="V2792" s="27"/>
      <c r="W2792" s="34"/>
      <c r="X2792" s="35">
        <f t="shared" ref="X2792:X2809" si="2341">SUM(T2792:W2792)</f>
        <v>0</v>
      </c>
      <c r="Y2792" s="11">
        <f t="shared" si="2332"/>
        <v>0</v>
      </c>
    </row>
    <row r="2793" spans="1:25" x14ac:dyDescent="0.15">
      <c r="A2793" s="15"/>
      <c r="B2793" s="26"/>
      <c r="C2793" s="47"/>
      <c r="D2793" s="27"/>
      <c r="E2793" s="34"/>
      <c r="F2793" s="35">
        <f t="shared" si="2336"/>
        <v>0</v>
      </c>
      <c r="G2793" s="26"/>
      <c r="H2793" s="47"/>
      <c r="I2793" s="27"/>
      <c r="J2793" s="34"/>
      <c r="K2793" s="35">
        <f t="shared" si="2337"/>
        <v>0</v>
      </c>
      <c r="L2793" s="11">
        <f t="shared" si="2329"/>
        <v>0</v>
      </c>
      <c r="N2793" s="12"/>
      <c r="O2793" s="26"/>
      <c r="P2793" s="47"/>
      <c r="Q2793" s="27"/>
      <c r="R2793" s="34"/>
      <c r="S2793" s="35">
        <f t="shared" si="2340"/>
        <v>0</v>
      </c>
      <c r="T2793" s="26"/>
      <c r="U2793" s="47"/>
      <c r="V2793" s="27"/>
      <c r="W2793" s="34"/>
      <c r="X2793" s="35">
        <f t="shared" si="2341"/>
        <v>0</v>
      </c>
      <c r="Y2793" s="11">
        <f t="shared" si="2332"/>
        <v>0</v>
      </c>
    </row>
    <row r="2794" spans="1:25" x14ac:dyDescent="0.15">
      <c r="A2794" s="15"/>
      <c r="B2794" s="26"/>
      <c r="C2794" s="47"/>
      <c r="D2794" s="27"/>
      <c r="E2794" s="34"/>
      <c r="F2794" s="35">
        <f t="shared" si="2336"/>
        <v>0</v>
      </c>
      <c r="G2794" s="26"/>
      <c r="H2794" s="47"/>
      <c r="I2794" s="27"/>
      <c r="J2794" s="34"/>
      <c r="K2794" s="35">
        <f t="shared" si="2337"/>
        <v>0</v>
      </c>
      <c r="L2794" s="11">
        <f t="shared" si="2329"/>
        <v>0</v>
      </c>
      <c r="N2794" s="12"/>
      <c r="O2794" s="26"/>
      <c r="P2794" s="47"/>
      <c r="Q2794" s="27"/>
      <c r="R2794" s="34"/>
      <c r="S2794" s="35">
        <f t="shared" si="2340"/>
        <v>0</v>
      </c>
      <c r="T2794" s="26"/>
      <c r="U2794" s="47"/>
      <c r="V2794" s="27"/>
      <c r="W2794" s="34"/>
      <c r="X2794" s="35">
        <f t="shared" si="2341"/>
        <v>0</v>
      </c>
      <c r="Y2794" s="11">
        <f t="shared" si="2332"/>
        <v>0</v>
      </c>
    </row>
    <row r="2795" spans="1:25" x14ac:dyDescent="0.15">
      <c r="A2795" s="13"/>
      <c r="B2795" s="26"/>
      <c r="C2795" s="47"/>
      <c r="D2795" s="27"/>
      <c r="E2795" s="34"/>
      <c r="F2795" s="35">
        <f t="shared" si="2336"/>
        <v>0</v>
      </c>
      <c r="G2795" s="26"/>
      <c r="H2795" s="47"/>
      <c r="I2795" s="27"/>
      <c r="J2795" s="34"/>
      <c r="K2795" s="35">
        <f t="shared" si="2337"/>
        <v>0</v>
      </c>
      <c r="L2795" s="11">
        <f t="shared" si="2329"/>
        <v>0</v>
      </c>
      <c r="N2795" s="12"/>
      <c r="O2795" s="26"/>
      <c r="P2795" s="47"/>
      <c r="Q2795" s="27"/>
      <c r="R2795" s="34"/>
      <c r="S2795" s="35">
        <f t="shared" si="2340"/>
        <v>0</v>
      </c>
      <c r="T2795" s="26"/>
      <c r="U2795" s="47"/>
      <c r="V2795" s="27"/>
      <c r="W2795" s="34"/>
      <c r="X2795" s="35">
        <f t="shared" si="2341"/>
        <v>0</v>
      </c>
      <c r="Y2795" s="11">
        <f t="shared" si="2332"/>
        <v>0</v>
      </c>
    </row>
    <row r="2796" spans="1:25" x14ac:dyDescent="0.15">
      <c r="A2796" s="15"/>
      <c r="B2796" s="26"/>
      <c r="C2796" s="47"/>
      <c r="D2796" s="27"/>
      <c r="E2796" s="34"/>
      <c r="F2796" s="35">
        <f t="shared" si="2336"/>
        <v>0</v>
      </c>
      <c r="G2796" s="26"/>
      <c r="H2796" s="47"/>
      <c r="I2796" s="27"/>
      <c r="J2796" s="34"/>
      <c r="K2796" s="35">
        <f t="shared" si="2337"/>
        <v>0</v>
      </c>
      <c r="L2796" s="11">
        <f t="shared" si="2329"/>
        <v>0</v>
      </c>
      <c r="N2796" s="12"/>
      <c r="O2796" s="26"/>
      <c r="P2796" s="47"/>
      <c r="Q2796" s="27"/>
      <c r="R2796" s="34"/>
      <c r="S2796" s="35">
        <f t="shared" si="2340"/>
        <v>0</v>
      </c>
      <c r="T2796" s="26"/>
      <c r="U2796" s="47"/>
      <c r="V2796" s="27"/>
      <c r="W2796" s="34"/>
      <c r="X2796" s="35">
        <f t="shared" si="2341"/>
        <v>0</v>
      </c>
      <c r="Y2796" s="11">
        <f t="shared" si="2332"/>
        <v>0</v>
      </c>
    </row>
    <row r="2797" spans="1:25" x14ac:dyDescent="0.15">
      <c r="A2797" s="13"/>
      <c r="B2797" s="26"/>
      <c r="C2797" s="47"/>
      <c r="D2797" s="27"/>
      <c r="E2797" s="34"/>
      <c r="F2797" s="35">
        <f t="shared" si="2336"/>
        <v>0</v>
      </c>
      <c r="G2797" s="26"/>
      <c r="H2797" s="47"/>
      <c r="I2797" s="27"/>
      <c r="J2797" s="34"/>
      <c r="K2797" s="35">
        <f t="shared" si="2337"/>
        <v>0</v>
      </c>
      <c r="L2797" s="11">
        <f t="shared" si="2329"/>
        <v>0</v>
      </c>
      <c r="N2797" s="12"/>
      <c r="O2797" s="26"/>
      <c r="P2797" s="47"/>
      <c r="Q2797" s="27"/>
      <c r="R2797" s="34"/>
      <c r="S2797" s="35">
        <f t="shared" si="2340"/>
        <v>0</v>
      </c>
      <c r="T2797" s="26"/>
      <c r="U2797" s="47"/>
      <c r="V2797" s="27"/>
      <c r="W2797" s="34"/>
      <c r="X2797" s="35">
        <f t="shared" si="2341"/>
        <v>0</v>
      </c>
      <c r="Y2797" s="11">
        <f t="shared" si="2332"/>
        <v>0</v>
      </c>
    </row>
    <row r="2798" spans="1:25" x14ac:dyDescent="0.15">
      <c r="A2798" s="15"/>
      <c r="B2798" s="26"/>
      <c r="C2798" s="47"/>
      <c r="D2798" s="27"/>
      <c r="E2798" s="34"/>
      <c r="F2798" s="35">
        <f t="shared" si="2336"/>
        <v>0</v>
      </c>
      <c r="G2798" s="26"/>
      <c r="H2798" s="47"/>
      <c r="I2798" s="27"/>
      <c r="J2798" s="34"/>
      <c r="K2798" s="35">
        <f t="shared" si="2337"/>
        <v>0</v>
      </c>
      <c r="L2798" s="11">
        <f t="shared" si="2329"/>
        <v>0</v>
      </c>
      <c r="N2798" s="57"/>
      <c r="O2798" s="26"/>
      <c r="P2798" s="47"/>
      <c r="Q2798" s="27"/>
      <c r="R2798" s="34"/>
      <c r="S2798" s="35">
        <f t="shared" si="2340"/>
        <v>0</v>
      </c>
      <c r="T2798" s="26"/>
      <c r="U2798" s="47"/>
      <c r="V2798" s="27"/>
      <c r="W2798" s="34"/>
      <c r="X2798" s="35">
        <f t="shared" si="2341"/>
        <v>0</v>
      </c>
      <c r="Y2798" s="11">
        <f t="shared" si="2332"/>
        <v>0</v>
      </c>
    </row>
    <row r="2799" spans="1:25" x14ac:dyDescent="0.15">
      <c r="A2799" s="13"/>
      <c r="B2799" s="26"/>
      <c r="C2799" s="47"/>
      <c r="D2799" s="27"/>
      <c r="E2799" s="34"/>
      <c r="F2799" s="35">
        <f t="shared" si="2336"/>
        <v>0</v>
      </c>
      <c r="G2799" s="26"/>
      <c r="H2799" s="47"/>
      <c r="I2799" s="27"/>
      <c r="J2799" s="34"/>
      <c r="K2799" s="35">
        <f t="shared" si="2337"/>
        <v>0</v>
      </c>
      <c r="L2799" s="11">
        <f t="shared" si="2329"/>
        <v>0</v>
      </c>
      <c r="N2799" s="12"/>
      <c r="O2799" s="26"/>
      <c r="P2799" s="47"/>
      <c r="Q2799" s="27"/>
      <c r="R2799" s="34"/>
      <c r="S2799" s="35">
        <f t="shared" si="2340"/>
        <v>0</v>
      </c>
      <c r="T2799" s="26"/>
      <c r="U2799" s="47"/>
      <c r="V2799" s="27"/>
      <c r="W2799" s="34"/>
      <c r="X2799" s="35">
        <f t="shared" si="2341"/>
        <v>0</v>
      </c>
      <c r="Y2799" s="11">
        <f t="shared" si="2332"/>
        <v>0</v>
      </c>
    </row>
    <row r="2800" spans="1:25" x14ac:dyDescent="0.15">
      <c r="A2800" s="15"/>
      <c r="B2800" s="26"/>
      <c r="C2800" s="47"/>
      <c r="D2800" s="27"/>
      <c r="E2800" s="34"/>
      <c r="F2800" s="35">
        <f t="shared" si="2336"/>
        <v>0</v>
      </c>
      <c r="G2800" s="26"/>
      <c r="H2800" s="47"/>
      <c r="I2800" s="27"/>
      <c r="J2800" s="34"/>
      <c r="K2800" s="35">
        <f t="shared" si="2337"/>
        <v>0</v>
      </c>
      <c r="L2800" s="11">
        <f t="shared" si="2329"/>
        <v>0</v>
      </c>
      <c r="N2800" s="57"/>
      <c r="O2800" s="26"/>
      <c r="P2800" s="47"/>
      <c r="Q2800" s="27"/>
      <c r="R2800" s="34"/>
      <c r="S2800" s="35">
        <f t="shared" si="2340"/>
        <v>0</v>
      </c>
      <c r="T2800" s="26"/>
      <c r="U2800" s="47"/>
      <c r="V2800" s="27"/>
      <c r="W2800" s="34"/>
      <c r="X2800" s="35">
        <f t="shared" si="2341"/>
        <v>0</v>
      </c>
      <c r="Y2800" s="11">
        <f t="shared" si="2332"/>
        <v>0</v>
      </c>
    </row>
    <row r="2801" spans="1:26" x14ac:dyDescent="0.15">
      <c r="A2801" s="15"/>
      <c r="B2801" s="26"/>
      <c r="C2801" s="47"/>
      <c r="D2801" s="27"/>
      <c r="E2801" s="34"/>
      <c r="F2801" s="35">
        <f t="shared" si="2336"/>
        <v>0</v>
      </c>
      <c r="G2801" s="26"/>
      <c r="H2801" s="47"/>
      <c r="I2801" s="27"/>
      <c r="J2801" s="34"/>
      <c r="K2801" s="35">
        <f t="shared" si="2337"/>
        <v>0</v>
      </c>
      <c r="L2801" s="11">
        <f t="shared" si="2329"/>
        <v>0</v>
      </c>
      <c r="N2801" s="57"/>
      <c r="O2801" s="26"/>
      <c r="P2801" s="47"/>
      <c r="Q2801" s="27"/>
      <c r="R2801" s="34"/>
      <c r="S2801" s="35">
        <f t="shared" si="2340"/>
        <v>0</v>
      </c>
      <c r="T2801" s="26"/>
      <c r="U2801" s="47"/>
      <c r="V2801" s="27"/>
      <c r="W2801" s="34"/>
      <c r="X2801" s="35">
        <f t="shared" si="2341"/>
        <v>0</v>
      </c>
      <c r="Y2801" s="11">
        <f t="shared" si="2332"/>
        <v>0</v>
      </c>
    </row>
    <row r="2802" spans="1:26" x14ac:dyDescent="0.15">
      <c r="A2802" s="13"/>
      <c r="B2802" s="26"/>
      <c r="C2802" s="47"/>
      <c r="D2802" s="27"/>
      <c r="E2802" s="34"/>
      <c r="F2802" s="35">
        <f t="shared" si="2336"/>
        <v>0</v>
      </c>
      <c r="G2802" s="26"/>
      <c r="H2802" s="47"/>
      <c r="I2802" s="27"/>
      <c r="J2802" s="34"/>
      <c r="K2802" s="35">
        <f t="shared" si="2337"/>
        <v>0</v>
      </c>
      <c r="L2802" s="11">
        <f t="shared" si="2329"/>
        <v>0</v>
      </c>
      <c r="N2802" s="57"/>
      <c r="O2802" s="26"/>
      <c r="P2802" s="47"/>
      <c r="Q2802" s="27"/>
      <c r="R2802" s="34"/>
      <c r="S2802" s="35">
        <f t="shared" si="2340"/>
        <v>0</v>
      </c>
      <c r="T2802" s="26"/>
      <c r="U2802" s="47"/>
      <c r="V2802" s="27"/>
      <c r="W2802" s="34"/>
      <c r="X2802" s="35">
        <f t="shared" si="2341"/>
        <v>0</v>
      </c>
      <c r="Y2802" s="11">
        <f t="shared" si="2332"/>
        <v>0</v>
      </c>
    </row>
    <row r="2803" spans="1:26" x14ac:dyDescent="0.15">
      <c r="A2803" s="32"/>
      <c r="B2803" s="26"/>
      <c r="C2803" s="47"/>
      <c r="D2803" s="27"/>
      <c r="E2803" s="34"/>
      <c r="F2803" s="35">
        <f t="shared" si="2336"/>
        <v>0</v>
      </c>
      <c r="G2803" s="26"/>
      <c r="H2803" s="47"/>
      <c r="I2803" s="27"/>
      <c r="J2803" s="34"/>
      <c r="K2803" s="35">
        <f t="shared" si="2337"/>
        <v>0</v>
      </c>
      <c r="L2803" s="11">
        <f t="shared" si="2329"/>
        <v>0</v>
      </c>
      <c r="N2803" s="57"/>
      <c r="O2803" s="26"/>
      <c r="P2803" s="47"/>
      <c r="Q2803" s="27"/>
      <c r="R2803" s="34"/>
      <c r="S2803" s="35">
        <f t="shared" ref="S2803:S2804" si="2342">SUM(O2803:R2803)</f>
        <v>0</v>
      </c>
      <c r="T2803" s="26"/>
      <c r="U2803" s="47"/>
      <c r="V2803" s="27"/>
      <c r="W2803" s="34"/>
      <c r="X2803" s="35">
        <f t="shared" ref="X2803:X2804" si="2343">SUM(T2803:W2803)</f>
        <v>0</v>
      </c>
      <c r="Y2803" s="11">
        <f t="shared" ref="Y2803:Y2804" si="2344">S2803+X2803</f>
        <v>0</v>
      </c>
    </row>
    <row r="2804" spans="1:26" x14ac:dyDescent="0.15">
      <c r="A2804" s="32"/>
      <c r="B2804" s="26"/>
      <c r="C2804" s="47"/>
      <c r="D2804" s="27"/>
      <c r="E2804" s="34"/>
      <c r="F2804" s="35">
        <f t="shared" si="2336"/>
        <v>0</v>
      </c>
      <c r="G2804" s="26"/>
      <c r="H2804" s="47"/>
      <c r="I2804" s="27"/>
      <c r="J2804" s="34"/>
      <c r="K2804" s="35">
        <f t="shared" si="2337"/>
        <v>0</v>
      </c>
      <c r="L2804" s="11">
        <f t="shared" si="2329"/>
        <v>0</v>
      </c>
      <c r="N2804" s="57"/>
      <c r="O2804" s="26"/>
      <c r="P2804" s="47"/>
      <c r="Q2804" s="27"/>
      <c r="R2804" s="34"/>
      <c r="S2804" s="35">
        <f t="shared" si="2342"/>
        <v>0</v>
      </c>
      <c r="T2804" s="26"/>
      <c r="U2804" s="47"/>
      <c r="V2804" s="27"/>
      <c r="W2804" s="34"/>
      <c r="X2804" s="35">
        <f t="shared" si="2343"/>
        <v>0</v>
      </c>
      <c r="Y2804" s="11">
        <f t="shared" si="2344"/>
        <v>0</v>
      </c>
    </row>
    <row r="2805" spans="1:26" x14ac:dyDescent="0.15">
      <c r="A2805" s="12"/>
      <c r="B2805" s="26"/>
      <c r="C2805" s="47"/>
      <c r="D2805" s="27"/>
      <c r="E2805" s="34"/>
      <c r="F2805" s="35">
        <f t="shared" si="2336"/>
        <v>0</v>
      </c>
      <c r="G2805" s="26"/>
      <c r="H2805" s="47"/>
      <c r="I2805" s="27"/>
      <c r="J2805" s="34"/>
      <c r="K2805" s="35">
        <f t="shared" si="2337"/>
        <v>0</v>
      </c>
      <c r="L2805" s="11">
        <f t="shared" si="2329"/>
        <v>0</v>
      </c>
      <c r="N2805" s="103" t="s">
        <v>1706</v>
      </c>
      <c r="O2805" s="235">
        <v>10</v>
      </c>
      <c r="P2805" s="236">
        <v>10</v>
      </c>
      <c r="Q2805" s="237">
        <v>8</v>
      </c>
      <c r="R2805" s="238">
        <v>8</v>
      </c>
      <c r="S2805" s="239">
        <f>SUM(O2805:R2805)</f>
        <v>36</v>
      </c>
      <c r="T2805" s="235">
        <v>5</v>
      </c>
      <c r="U2805" s="236">
        <v>5</v>
      </c>
      <c r="V2805" s="237">
        <v>5</v>
      </c>
      <c r="W2805" s="238">
        <v>5</v>
      </c>
      <c r="X2805" s="239">
        <f>SUM(T2805:W2805)</f>
        <v>20</v>
      </c>
      <c r="Y2805" s="293">
        <f>S2805+X2805</f>
        <v>56</v>
      </c>
      <c r="Z2805" s="102" t="s">
        <v>1707</v>
      </c>
    </row>
    <row r="2806" spans="1:26" x14ac:dyDescent="0.15">
      <c r="A2806" s="79"/>
      <c r="B2806" s="26"/>
      <c r="C2806" s="47"/>
      <c r="D2806" s="27"/>
      <c r="E2806" s="34"/>
      <c r="F2806" s="35">
        <f t="shared" si="2336"/>
        <v>0</v>
      </c>
      <c r="G2806" s="26"/>
      <c r="H2806" s="47"/>
      <c r="I2806" s="27"/>
      <c r="J2806" s="34"/>
      <c r="K2806" s="35">
        <f t="shared" si="2337"/>
        <v>0</v>
      </c>
      <c r="L2806" s="11">
        <f t="shared" si="2329"/>
        <v>0</v>
      </c>
      <c r="N2806" s="302" t="s">
        <v>2202</v>
      </c>
      <c r="O2806" s="318">
        <v>6</v>
      </c>
      <c r="P2806" s="319">
        <v>6</v>
      </c>
      <c r="Q2806" s="320">
        <v>6</v>
      </c>
      <c r="R2806" s="321">
        <v>6</v>
      </c>
      <c r="S2806" s="322">
        <f t="shared" ref="S2806" si="2345">SUM(O2806:R2806)</f>
        <v>24</v>
      </c>
      <c r="T2806" s="318">
        <v>6</v>
      </c>
      <c r="U2806" s="319">
        <v>6</v>
      </c>
      <c r="V2806" s="320">
        <v>6</v>
      </c>
      <c r="W2806" s="321">
        <v>6</v>
      </c>
      <c r="X2806" s="322">
        <f t="shared" ref="X2806" si="2346">SUM(T2806:W2806)</f>
        <v>24</v>
      </c>
      <c r="Y2806" s="16">
        <f t="shared" ref="Y2806" si="2347">S2806+X2806</f>
        <v>48</v>
      </c>
      <c r="Z2806" s="323" t="s">
        <v>2203</v>
      </c>
    </row>
    <row r="2807" spans="1:26" x14ac:dyDescent="0.15">
      <c r="A2807" s="57"/>
      <c r="B2807" s="26"/>
      <c r="C2807" s="47"/>
      <c r="D2807" s="27"/>
      <c r="E2807" s="34"/>
      <c r="F2807" s="35">
        <f t="shared" si="2336"/>
        <v>0</v>
      </c>
      <c r="G2807" s="26"/>
      <c r="H2807" s="47"/>
      <c r="I2807" s="27"/>
      <c r="J2807" s="34"/>
      <c r="K2807" s="35">
        <f t="shared" si="2337"/>
        <v>0</v>
      </c>
      <c r="L2807" s="11">
        <f t="shared" si="2329"/>
        <v>0</v>
      </c>
      <c r="N2807" s="292" t="s">
        <v>2148</v>
      </c>
      <c r="O2807" s="287">
        <v>3</v>
      </c>
      <c r="P2807" s="288">
        <v>3</v>
      </c>
      <c r="Q2807" s="289">
        <v>3</v>
      </c>
      <c r="R2807" s="290">
        <v>3</v>
      </c>
      <c r="S2807" s="291">
        <f t="shared" ref="S2807:S2808" si="2348">SUM(O2807:R2807)</f>
        <v>12</v>
      </c>
      <c r="T2807" s="287">
        <v>-5</v>
      </c>
      <c r="U2807" s="288">
        <v>-5</v>
      </c>
      <c r="V2807" s="289">
        <v>-5</v>
      </c>
      <c r="W2807" s="290">
        <v>-5</v>
      </c>
      <c r="X2807" s="291">
        <f t="shared" ref="X2807:X2808" si="2349">SUM(T2807:W2807)</f>
        <v>-20</v>
      </c>
      <c r="Y2807" s="150">
        <f t="shared" ref="Y2807:Y2808" si="2350">S2807+X2807</f>
        <v>-8</v>
      </c>
      <c r="Z2807" s="102"/>
    </row>
    <row r="2808" spans="1:26" ht="14.25" thickBot="1" x14ac:dyDescent="0.2">
      <c r="A2808" s="90"/>
      <c r="B2808" s="62"/>
      <c r="C2808" s="63"/>
      <c r="D2808" s="64"/>
      <c r="E2808" s="65"/>
      <c r="F2808" s="35">
        <f t="shared" si="2336"/>
        <v>0</v>
      </c>
      <c r="G2808" s="62"/>
      <c r="H2808" s="63"/>
      <c r="I2808" s="64"/>
      <c r="J2808" s="65"/>
      <c r="K2808" s="35">
        <f t="shared" si="2337"/>
        <v>0</v>
      </c>
      <c r="L2808" s="14">
        <f t="shared" si="2329"/>
        <v>0</v>
      </c>
      <c r="N2808" s="103" t="s">
        <v>2150</v>
      </c>
      <c r="O2808" s="235">
        <v>5</v>
      </c>
      <c r="P2808" s="236">
        <v>10</v>
      </c>
      <c r="Q2808" s="237">
        <v>12</v>
      </c>
      <c r="R2808" s="238">
        <v>6</v>
      </c>
      <c r="S2808" s="239">
        <f t="shared" si="2348"/>
        <v>33</v>
      </c>
      <c r="T2808" s="235">
        <v>15</v>
      </c>
      <c r="U2808" s="236">
        <v>25</v>
      </c>
      <c r="V2808" s="237">
        <v>13</v>
      </c>
      <c r="W2808" s="238">
        <v>10</v>
      </c>
      <c r="X2808" s="239">
        <f t="shared" si="2349"/>
        <v>63</v>
      </c>
      <c r="Y2808" s="293">
        <f t="shared" si="2350"/>
        <v>96</v>
      </c>
      <c r="Z2808" s="102" t="s">
        <v>2149</v>
      </c>
    </row>
    <row r="2809" spans="1:26" ht="14.25" thickBot="1" x14ac:dyDescent="0.2">
      <c r="A2809" s="17" t="s">
        <v>10</v>
      </c>
      <c r="B2809" s="38">
        <f>SUM(B2784:B2808)</f>
        <v>0</v>
      </c>
      <c r="C2809" s="48">
        <f>SUM(C2784:C2808)</f>
        <v>0</v>
      </c>
      <c r="D2809" s="39">
        <f>SUM(D2784:D2808)</f>
        <v>0</v>
      </c>
      <c r="E2809" s="40">
        <f>SUM(E2784:E2808)</f>
        <v>0</v>
      </c>
      <c r="F2809" s="36">
        <f>SUM(B2809:E2809)</f>
        <v>0</v>
      </c>
      <c r="G2809" s="38">
        <f>SUM(G2784:G2808)</f>
        <v>0</v>
      </c>
      <c r="H2809" s="48">
        <f>SUM(H2784:H2808)</f>
        <v>0</v>
      </c>
      <c r="I2809" s="39">
        <f>SUM(I2784:I2808)</f>
        <v>0</v>
      </c>
      <c r="J2809" s="40">
        <f>SUM(J2784:J2808)</f>
        <v>0</v>
      </c>
      <c r="K2809" s="36">
        <f>SUM(G2809:J2809)</f>
        <v>0</v>
      </c>
      <c r="L2809" s="37">
        <f t="shared" si="2329"/>
        <v>0</v>
      </c>
      <c r="N2809" s="17" t="s">
        <v>10</v>
      </c>
      <c r="O2809" s="228">
        <f>SUM(O2784:O2808)</f>
        <v>24</v>
      </c>
      <c r="P2809" s="229">
        <f>SUM(P2784:P2808)</f>
        <v>29</v>
      </c>
      <c r="Q2809" s="230">
        <f>SUM(Q2784:Q2808)</f>
        <v>29</v>
      </c>
      <c r="R2809" s="231">
        <f>SUM(R2784:R2808)</f>
        <v>23</v>
      </c>
      <c r="S2809" s="36">
        <f t="shared" si="2340"/>
        <v>105</v>
      </c>
      <c r="T2809" s="228">
        <f>SUM(T2784:T2808)</f>
        <v>21</v>
      </c>
      <c r="U2809" s="229">
        <f>SUM(U2784:U2808)</f>
        <v>31</v>
      </c>
      <c r="V2809" s="230">
        <f>SUM(V2784:V2808)</f>
        <v>19</v>
      </c>
      <c r="W2809" s="231">
        <f>SUM(W2784:W2808)</f>
        <v>16</v>
      </c>
      <c r="X2809" s="36">
        <f t="shared" si="2341"/>
        <v>87</v>
      </c>
      <c r="Y2809" s="37">
        <f t="shared" si="2332"/>
        <v>192</v>
      </c>
    </row>
    <row r="2810" spans="1:26" ht="14.25" thickBot="1" x14ac:dyDescent="0.2">
      <c r="A2810" s="22" t="s">
        <v>11</v>
      </c>
      <c r="B2810" s="41">
        <f>B2783-B2809</f>
        <v>26</v>
      </c>
      <c r="C2810" s="49">
        <f>C2783-C2809</f>
        <v>11</v>
      </c>
      <c r="D2810" s="42">
        <f t="shared" ref="D2810:K2810" si="2351">D2783-D2809</f>
        <v>10</v>
      </c>
      <c r="E2810" s="43">
        <f t="shared" si="2351"/>
        <v>16</v>
      </c>
      <c r="F2810" s="61">
        <f t="shared" si="2351"/>
        <v>59</v>
      </c>
      <c r="G2810" s="41">
        <f t="shared" si="2351"/>
        <v>10</v>
      </c>
      <c r="H2810" s="49">
        <f t="shared" si="2351"/>
        <v>7</v>
      </c>
      <c r="I2810" s="42">
        <f t="shared" si="2351"/>
        <v>11</v>
      </c>
      <c r="J2810" s="43">
        <f t="shared" si="2351"/>
        <v>10</v>
      </c>
      <c r="K2810" s="61">
        <f t="shared" si="2351"/>
        <v>38</v>
      </c>
      <c r="L2810" s="21">
        <f t="shared" si="2329"/>
        <v>97</v>
      </c>
      <c r="N2810" s="17" t="s">
        <v>11</v>
      </c>
      <c r="O2810" s="41">
        <f>O2783-O2809</f>
        <v>663</v>
      </c>
      <c r="P2810" s="49">
        <f t="shared" ref="P2810:Q2810" si="2352">P2783-P2809</f>
        <v>867</v>
      </c>
      <c r="Q2810" s="42">
        <f t="shared" si="2352"/>
        <v>519</v>
      </c>
      <c r="R2810" s="43">
        <f>R2783-R2809</f>
        <v>340</v>
      </c>
      <c r="S2810" s="61">
        <f t="shared" ref="S2810:X2810" si="2353">S2783-S2809</f>
        <v>2389</v>
      </c>
      <c r="T2810" s="41">
        <f t="shared" si="2353"/>
        <v>508</v>
      </c>
      <c r="U2810" s="49">
        <f t="shared" si="2353"/>
        <v>550</v>
      </c>
      <c r="V2810" s="42">
        <f t="shared" si="2353"/>
        <v>416</v>
      </c>
      <c r="W2810" s="43">
        <f t="shared" si="2353"/>
        <v>356</v>
      </c>
      <c r="X2810" s="61">
        <f t="shared" si="2353"/>
        <v>1830</v>
      </c>
      <c r="Y2810" s="21">
        <f t="shared" si="2332"/>
        <v>4219</v>
      </c>
    </row>
    <row r="2811" spans="1:26" x14ac:dyDescent="0.15">
      <c r="N2811" s="214" t="s">
        <v>2005</v>
      </c>
      <c r="O2811" s="125">
        <f>O2810/$S$2772*100</f>
        <v>182.14285714285714</v>
      </c>
      <c r="P2811" s="125">
        <f t="shared" ref="P2811:S2811" si="2354">P2810/$S$2772*100</f>
        <v>238.1868131868132</v>
      </c>
      <c r="Q2811" s="125">
        <f t="shared" si="2354"/>
        <v>142.58241758241758</v>
      </c>
      <c r="R2811" s="125">
        <f t="shared" si="2354"/>
        <v>93.406593406593402</v>
      </c>
      <c r="S2811" s="125">
        <f t="shared" si="2354"/>
        <v>656.31868131868134</v>
      </c>
      <c r="T2811" s="125">
        <f>T2810/$X$2772*100</f>
        <v>55.398037077426387</v>
      </c>
      <c r="U2811" s="125">
        <f t="shared" ref="U2811:X2811" si="2355">U2810/$X$2772*100</f>
        <v>59.978189749182121</v>
      </c>
      <c r="V2811" s="125">
        <f t="shared" si="2355"/>
        <v>45.365321701199562</v>
      </c>
      <c r="W2811" s="125">
        <f t="shared" si="2355"/>
        <v>38.822246455834239</v>
      </c>
      <c r="X2811" s="125">
        <f t="shared" si="2355"/>
        <v>199.56379498364231</v>
      </c>
    </row>
    <row r="2812" spans="1:26" x14ac:dyDescent="0.15">
      <c r="N2812" s="213" t="s">
        <v>2004</v>
      </c>
      <c r="O2812" s="211">
        <v>28.1</v>
      </c>
      <c r="P2812" s="211">
        <v>34.299999999999997</v>
      </c>
      <c r="Q2812" s="211">
        <v>22</v>
      </c>
      <c r="R2812" s="211">
        <v>15.6</v>
      </c>
      <c r="S2812" s="211">
        <f>SUM(O2812:R2812)</f>
        <v>100</v>
      </c>
      <c r="T2812" s="211">
        <v>26.3</v>
      </c>
      <c r="U2812" s="211">
        <v>30.9</v>
      </c>
      <c r="V2812" s="211">
        <v>22.2</v>
      </c>
      <c r="W2812" s="211">
        <v>20.6</v>
      </c>
      <c r="X2812" s="211">
        <f>SUM(T2812:W2812)</f>
        <v>100</v>
      </c>
    </row>
    <row r="2813" spans="1:26" ht="19.5" thickBot="1" x14ac:dyDescent="0.25">
      <c r="A2813" s="2" t="s">
        <v>106</v>
      </c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N2813" s="2" t="s">
        <v>1036</v>
      </c>
      <c r="O2813" s="270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6" ht="14.25" thickBot="1" x14ac:dyDescent="0.2">
      <c r="A2814" s="5" t="s">
        <v>0</v>
      </c>
      <c r="B2814" s="342" t="s">
        <v>18</v>
      </c>
      <c r="C2814" s="350"/>
      <c r="D2814" s="350"/>
      <c r="E2814" s="350"/>
      <c r="F2814" s="351"/>
      <c r="G2814" s="345" t="s">
        <v>12</v>
      </c>
      <c r="H2814" s="352"/>
      <c r="I2814" s="352"/>
      <c r="J2814" s="352"/>
      <c r="K2814" s="353"/>
      <c r="L2814" s="354" t="s">
        <v>1</v>
      </c>
      <c r="N2814" s="5" t="s">
        <v>0</v>
      </c>
      <c r="O2814" s="342" t="s">
        <v>18</v>
      </c>
      <c r="P2814" s="343"/>
      <c r="Q2814" s="343"/>
      <c r="R2814" s="343"/>
      <c r="S2814" s="344"/>
      <c r="T2814" s="345" t="s">
        <v>12</v>
      </c>
      <c r="U2814" s="346"/>
      <c r="V2814" s="346"/>
      <c r="W2814" s="346"/>
      <c r="X2814" s="347"/>
      <c r="Y2814" s="348" t="s">
        <v>1</v>
      </c>
    </row>
    <row r="2815" spans="1:26" ht="14.25" thickBot="1" x14ac:dyDescent="0.2">
      <c r="A2815" s="5" t="s">
        <v>2</v>
      </c>
      <c r="B2815" s="3" t="s">
        <v>13</v>
      </c>
      <c r="C2815" s="44" t="s">
        <v>14</v>
      </c>
      <c r="D2815" s="4" t="s">
        <v>15</v>
      </c>
      <c r="E2815" s="23" t="s">
        <v>16</v>
      </c>
      <c r="F2815" s="31" t="s">
        <v>3</v>
      </c>
      <c r="G2815" s="3" t="s">
        <v>13</v>
      </c>
      <c r="H2815" s="44" t="s">
        <v>14</v>
      </c>
      <c r="I2815" s="4" t="s">
        <v>15</v>
      </c>
      <c r="J2815" s="23" t="s">
        <v>16</v>
      </c>
      <c r="K2815" s="31" t="s">
        <v>3</v>
      </c>
      <c r="L2815" s="355"/>
      <c r="N2815" s="5" t="s">
        <v>2</v>
      </c>
      <c r="O2815" s="3" t="s">
        <v>13</v>
      </c>
      <c r="P2815" s="44" t="s">
        <v>14</v>
      </c>
      <c r="Q2815" s="4" t="s">
        <v>15</v>
      </c>
      <c r="R2815" s="23" t="s">
        <v>16</v>
      </c>
      <c r="S2815" s="31" t="s">
        <v>3</v>
      </c>
      <c r="T2815" s="3" t="s">
        <v>13</v>
      </c>
      <c r="U2815" s="44" t="s">
        <v>14</v>
      </c>
      <c r="V2815" s="4" t="s">
        <v>15</v>
      </c>
      <c r="W2815" s="23" t="s">
        <v>16</v>
      </c>
      <c r="X2815" s="31" t="s">
        <v>3</v>
      </c>
      <c r="Y2815" s="349"/>
    </row>
    <row r="2816" spans="1:26" x14ac:dyDescent="0.15">
      <c r="A2816" s="71" t="s">
        <v>17</v>
      </c>
      <c r="B2816" s="72">
        <f>B2810</f>
        <v>26</v>
      </c>
      <c r="C2816" s="73">
        <f t="shared" ref="C2816:L2816" si="2356">C2810</f>
        <v>11</v>
      </c>
      <c r="D2816" s="73">
        <f t="shared" si="2356"/>
        <v>10</v>
      </c>
      <c r="E2816" s="74">
        <f t="shared" si="2356"/>
        <v>16</v>
      </c>
      <c r="F2816" s="76">
        <f t="shared" si="2356"/>
        <v>59</v>
      </c>
      <c r="G2816" s="72">
        <f t="shared" si="2356"/>
        <v>10</v>
      </c>
      <c r="H2816" s="73">
        <f t="shared" si="2356"/>
        <v>7</v>
      </c>
      <c r="I2816" s="73">
        <f t="shared" si="2356"/>
        <v>11</v>
      </c>
      <c r="J2816" s="74">
        <f t="shared" si="2356"/>
        <v>10</v>
      </c>
      <c r="K2816" s="75">
        <f t="shared" si="2356"/>
        <v>38</v>
      </c>
      <c r="L2816" s="16">
        <f t="shared" si="2356"/>
        <v>97</v>
      </c>
      <c r="N2816" s="71" t="s">
        <v>17</v>
      </c>
      <c r="O2816" s="72">
        <f>O2810</f>
        <v>663</v>
      </c>
      <c r="P2816" s="73">
        <f t="shared" ref="P2816:Y2816" si="2357">P2810</f>
        <v>867</v>
      </c>
      <c r="Q2816" s="73">
        <f t="shared" si="2357"/>
        <v>519</v>
      </c>
      <c r="R2816" s="74">
        <f t="shared" si="2357"/>
        <v>340</v>
      </c>
      <c r="S2816" s="76">
        <f t="shared" si="2357"/>
        <v>2389</v>
      </c>
      <c r="T2816" s="72">
        <f t="shared" si="2357"/>
        <v>508</v>
      </c>
      <c r="U2816" s="73">
        <f t="shared" si="2357"/>
        <v>550</v>
      </c>
      <c r="V2816" s="73">
        <f t="shared" si="2357"/>
        <v>416</v>
      </c>
      <c r="W2816" s="74">
        <f t="shared" si="2357"/>
        <v>356</v>
      </c>
      <c r="X2816" s="75">
        <f t="shared" si="2357"/>
        <v>1830</v>
      </c>
      <c r="Y2816" s="16">
        <f t="shared" si="2357"/>
        <v>4219</v>
      </c>
    </row>
    <row r="2817" spans="1:25" x14ac:dyDescent="0.15">
      <c r="A2817" s="13" t="s">
        <v>5</v>
      </c>
      <c r="B2817" s="26"/>
      <c r="C2817" s="47"/>
      <c r="D2817" s="27"/>
      <c r="E2817" s="50"/>
      <c r="F2817" s="9">
        <f t="shared" ref="F2817:F2818" si="2358">SUM(B2817:E2817)</f>
        <v>0</v>
      </c>
      <c r="G2817" s="47"/>
      <c r="H2817" s="47"/>
      <c r="I2817" s="27"/>
      <c r="J2817" s="50"/>
      <c r="K2817" s="9">
        <f t="shared" ref="K2817:K2818" si="2359">SUM(G2817:J2817)</f>
        <v>0</v>
      </c>
      <c r="L2817" s="11">
        <f t="shared" ref="L2817:L2848" si="2360">F2817+K2817</f>
        <v>0</v>
      </c>
      <c r="N2817" s="13" t="s">
        <v>5</v>
      </c>
      <c r="O2817" s="26"/>
      <c r="P2817" s="47"/>
      <c r="Q2817" s="27"/>
      <c r="R2817" s="34"/>
      <c r="S2817" s="77">
        <f t="shared" ref="S2817:S2820" si="2361">SUM(O2817:R2817)</f>
        <v>0</v>
      </c>
      <c r="T2817" s="26"/>
      <c r="U2817" s="47"/>
      <c r="V2817" s="27"/>
      <c r="W2817" s="34"/>
      <c r="X2817" s="9">
        <f t="shared" ref="X2817:X2820" si="2362">SUM(T2817:W2817)</f>
        <v>0</v>
      </c>
      <c r="Y2817" s="11">
        <f t="shared" ref="Y2817:Y2848" si="2363">S2817+X2817</f>
        <v>0</v>
      </c>
    </row>
    <row r="2818" spans="1:25" x14ac:dyDescent="0.15">
      <c r="A2818" s="13" t="s">
        <v>6</v>
      </c>
      <c r="B2818" s="26"/>
      <c r="C2818" s="47"/>
      <c r="D2818" s="27"/>
      <c r="E2818" s="50"/>
      <c r="F2818" s="9">
        <f t="shared" si="2358"/>
        <v>0</v>
      </c>
      <c r="G2818" s="47"/>
      <c r="H2818" s="47"/>
      <c r="I2818" s="27"/>
      <c r="J2818" s="50"/>
      <c r="K2818" s="9">
        <f t="shared" si="2359"/>
        <v>0</v>
      </c>
      <c r="L2818" s="11">
        <f t="shared" si="2360"/>
        <v>0</v>
      </c>
      <c r="N2818" s="13" t="s">
        <v>6</v>
      </c>
      <c r="O2818" s="26"/>
      <c r="P2818" s="47"/>
      <c r="Q2818" s="27"/>
      <c r="R2818" s="34"/>
      <c r="S2818" s="77">
        <f t="shared" si="2361"/>
        <v>0</v>
      </c>
      <c r="T2818" s="26"/>
      <c r="U2818" s="47"/>
      <c r="V2818" s="27"/>
      <c r="W2818" s="34"/>
      <c r="X2818" s="9">
        <f t="shared" si="2362"/>
        <v>0</v>
      </c>
      <c r="Y2818" s="11">
        <f t="shared" si="2363"/>
        <v>0</v>
      </c>
    </row>
    <row r="2819" spans="1:25" x14ac:dyDescent="0.15">
      <c r="A2819" s="13" t="s">
        <v>7</v>
      </c>
      <c r="B2819" s="26"/>
      <c r="C2819" s="47"/>
      <c r="D2819" s="27"/>
      <c r="E2819" s="50"/>
      <c r="F2819" s="9">
        <f>SUM(B2819:E2819)</f>
        <v>0</v>
      </c>
      <c r="G2819" s="47"/>
      <c r="H2819" s="47"/>
      <c r="I2819" s="27"/>
      <c r="J2819" s="50"/>
      <c r="K2819" s="9">
        <f>SUM(G2819:J2819)</f>
        <v>0</v>
      </c>
      <c r="L2819" s="11">
        <f t="shared" si="2360"/>
        <v>0</v>
      </c>
      <c r="N2819" s="13" t="s">
        <v>7</v>
      </c>
      <c r="O2819" s="26"/>
      <c r="P2819" s="47"/>
      <c r="Q2819" s="27"/>
      <c r="R2819" s="34"/>
      <c r="S2819" s="77">
        <f t="shared" si="2361"/>
        <v>0</v>
      </c>
      <c r="T2819" s="26"/>
      <c r="U2819" s="47"/>
      <c r="V2819" s="27"/>
      <c r="W2819" s="34"/>
      <c r="X2819" s="9">
        <f t="shared" si="2362"/>
        <v>0</v>
      </c>
      <c r="Y2819" s="11">
        <f t="shared" si="2363"/>
        <v>0</v>
      </c>
    </row>
    <row r="2820" spans="1:25" ht="14.25" thickBot="1" x14ac:dyDescent="0.2">
      <c r="A2820" s="13" t="s">
        <v>8</v>
      </c>
      <c r="B2820" s="26"/>
      <c r="C2820" s="47"/>
      <c r="D2820" s="27"/>
      <c r="E2820" s="50"/>
      <c r="F2820" s="10">
        <f>SUM(B2820:E2820)</f>
        <v>0</v>
      </c>
      <c r="G2820" s="47"/>
      <c r="H2820" s="47"/>
      <c r="I2820" s="27"/>
      <c r="J2820" s="50"/>
      <c r="K2820" s="10">
        <f>SUM(G2820:J2820)</f>
        <v>0</v>
      </c>
      <c r="L2820" s="14">
        <f t="shared" si="2360"/>
        <v>0</v>
      </c>
      <c r="N2820" s="13" t="s">
        <v>8</v>
      </c>
      <c r="O2820" s="26"/>
      <c r="P2820" s="47"/>
      <c r="Q2820" s="27"/>
      <c r="R2820" s="34"/>
      <c r="S2820" s="77">
        <f t="shared" si="2361"/>
        <v>0</v>
      </c>
      <c r="T2820" s="26"/>
      <c r="U2820" s="47"/>
      <c r="V2820" s="27"/>
      <c r="W2820" s="34"/>
      <c r="X2820" s="9">
        <f t="shared" si="2362"/>
        <v>0</v>
      </c>
      <c r="Y2820" s="11">
        <f t="shared" si="2363"/>
        <v>0</v>
      </c>
    </row>
    <row r="2821" spans="1:25" ht="14.25" thickBot="1" x14ac:dyDescent="0.2">
      <c r="A2821" s="22" t="s">
        <v>9</v>
      </c>
      <c r="B2821" s="41">
        <f t="shared" ref="B2821:K2821" si="2364">SUM(B2816:B2820)</f>
        <v>26</v>
      </c>
      <c r="C2821" s="49">
        <f t="shared" si="2364"/>
        <v>11</v>
      </c>
      <c r="D2821" s="42">
        <f t="shared" si="2364"/>
        <v>10</v>
      </c>
      <c r="E2821" s="92">
        <f t="shared" si="2364"/>
        <v>16</v>
      </c>
      <c r="F2821" s="132">
        <f t="shared" si="2364"/>
        <v>59</v>
      </c>
      <c r="G2821" s="41">
        <f t="shared" si="2364"/>
        <v>10</v>
      </c>
      <c r="H2821" s="49">
        <f t="shared" si="2364"/>
        <v>7</v>
      </c>
      <c r="I2821" s="42">
        <f t="shared" si="2364"/>
        <v>11</v>
      </c>
      <c r="J2821" s="92">
        <f t="shared" si="2364"/>
        <v>10</v>
      </c>
      <c r="K2821" s="132">
        <f t="shared" si="2364"/>
        <v>38</v>
      </c>
      <c r="L2821" s="21">
        <f t="shared" si="2360"/>
        <v>97</v>
      </c>
      <c r="N2821" s="17" t="s">
        <v>9</v>
      </c>
      <c r="O2821" s="41">
        <f>SUM(O2816:O2820)</f>
        <v>663</v>
      </c>
      <c r="P2821" s="49">
        <f t="shared" ref="P2821:V2821" si="2365">SUM(P2816:P2820)</f>
        <v>867</v>
      </c>
      <c r="Q2821" s="42">
        <f t="shared" si="2365"/>
        <v>519</v>
      </c>
      <c r="R2821" s="92">
        <f t="shared" si="2365"/>
        <v>340</v>
      </c>
      <c r="S2821" s="93">
        <f t="shared" si="2365"/>
        <v>2389</v>
      </c>
      <c r="T2821" s="41">
        <f t="shared" si="2365"/>
        <v>508</v>
      </c>
      <c r="U2821" s="49">
        <f t="shared" si="2365"/>
        <v>550</v>
      </c>
      <c r="V2821" s="42">
        <f t="shared" si="2365"/>
        <v>416</v>
      </c>
      <c r="W2821" s="92">
        <f>SUM(W2816:W2820)</f>
        <v>356</v>
      </c>
      <c r="X2821" s="93">
        <f t="shared" ref="X2821" si="2366">SUM(X2816:X2820)</f>
        <v>1830</v>
      </c>
      <c r="Y2821" s="56">
        <f t="shared" si="2363"/>
        <v>4219</v>
      </c>
    </row>
    <row r="2822" spans="1:25" x14ac:dyDescent="0.15">
      <c r="A2822" s="15"/>
      <c r="B2822" s="26"/>
      <c r="C2822" s="47"/>
      <c r="D2822" s="27"/>
      <c r="E2822" s="34"/>
      <c r="F2822" s="35">
        <f t="shared" ref="F2822:F2846" si="2367">SUM(B2822:E2822)</f>
        <v>0</v>
      </c>
      <c r="G2822" s="26"/>
      <c r="H2822" s="47"/>
      <c r="I2822" s="27"/>
      <c r="J2822" s="34"/>
      <c r="K2822" s="35">
        <f t="shared" ref="K2822:K2846" si="2368">SUM(G2822:J2822)</f>
        <v>0</v>
      </c>
      <c r="L2822" s="11">
        <f t="shared" si="2360"/>
        <v>0</v>
      </c>
      <c r="N2822" s="12"/>
      <c r="O2822" s="26"/>
      <c r="P2822" s="47"/>
      <c r="Q2822" s="27"/>
      <c r="R2822" s="34"/>
      <c r="S2822" s="35">
        <f t="shared" ref="S2822:S2828" si="2369">SUM(O2822:R2822)</f>
        <v>0</v>
      </c>
      <c r="T2822" s="26"/>
      <c r="U2822" s="47"/>
      <c r="V2822" s="27"/>
      <c r="W2822" s="34"/>
      <c r="X2822" s="35">
        <f t="shared" ref="X2822:X2828" si="2370">SUM(T2822:W2822)</f>
        <v>0</v>
      </c>
      <c r="Y2822" s="11">
        <f t="shared" si="2363"/>
        <v>0</v>
      </c>
    </row>
    <row r="2823" spans="1:25" x14ac:dyDescent="0.15">
      <c r="A2823" s="15"/>
      <c r="B2823" s="26"/>
      <c r="C2823" s="47"/>
      <c r="D2823" s="27"/>
      <c r="E2823" s="34"/>
      <c r="F2823" s="35">
        <f t="shared" si="2367"/>
        <v>0</v>
      </c>
      <c r="G2823" s="26"/>
      <c r="H2823" s="47"/>
      <c r="I2823" s="27"/>
      <c r="J2823" s="34"/>
      <c r="K2823" s="35">
        <f t="shared" si="2368"/>
        <v>0</v>
      </c>
      <c r="L2823" s="11">
        <f t="shared" si="2360"/>
        <v>0</v>
      </c>
      <c r="N2823" s="12"/>
      <c r="O2823" s="26"/>
      <c r="P2823" s="47"/>
      <c r="Q2823" s="27"/>
      <c r="R2823" s="34"/>
      <c r="S2823" s="35">
        <f t="shared" si="2369"/>
        <v>0</v>
      </c>
      <c r="T2823" s="26"/>
      <c r="U2823" s="47"/>
      <c r="V2823" s="27"/>
      <c r="W2823" s="34"/>
      <c r="X2823" s="35">
        <f t="shared" si="2370"/>
        <v>0</v>
      </c>
      <c r="Y2823" s="11">
        <f t="shared" si="2363"/>
        <v>0</v>
      </c>
    </row>
    <row r="2824" spans="1:25" x14ac:dyDescent="0.15">
      <c r="A2824" s="15"/>
      <c r="B2824" s="26"/>
      <c r="C2824" s="47"/>
      <c r="D2824" s="27"/>
      <c r="E2824" s="34"/>
      <c r="F2824" s="35">
        <f t="shared" si="2367"/>
        <v>0</v>
      </c>
      <c r="G2824" s="26"/>
      <c r="H2824" s="47"/>
      <c r="I2824" s="27"/>
      <c r="J2824" s="34"/>
      <c r="K2824" s="35">
        <f t="shared" si="2368"/>
        <v>0</v>
      </c>
      <c r="L2824" s="11">
        <f t="shared" si="2360"/>
        <v>0</v>
      </c>
      <c r="N2824" s="12"/>
      <c r="O2824" s="26"/>
      <c r="P2824" s="47"/>
      <c r="Q2824" s="27"/>
      <c r="R2824" s="34"/>
      <c r="S2824" s="35">
        <f t="shared" si="2369"/>
        <v>0</v>
      </c>
      <c r="T2824" s="26"/>
      <c r="U2824" s="47"/>
      <c r="V2824" s="27"/>
      <c r="W2824" s="34"/>
      <c r="X2824" s="35">
        <f t="shared" si="2370"/>
        <v>0</v>
      </c>
      <c r="Y2824" s="11">
        <f t="shared" si="2363"/>
        <v>0</v>
      </c>
    </row>
    <row r="2825" spans="1:25" x14ac:dyDescent="0.15">
      <c r="A2825" s="15"/>
      <c r="B2825" s="26"/>
      <c r="C2825" s="47"/>
      <c r="D2825" s="27"/>
      <c r="E2825" s="34"/>
      <c r="F2825" s="35">
        <f t="shared" si="2367"/>
        <v>0</v>
      </c>
      <c r="G2825" s="26"/>
      <c r="H2825" s="47"/>
      <c r="I2825" s="27"/>
      <c r="J2825" s="34"/>
      <c r="K2825" s="35">
        <f t="shared" si="2368"/>
        <v>0</v>
      </c>
      <c r="L2825" s="11">
        <f t="shared" si="2360"/>
        <v>0</v>
      </c>
      <c r="N2825" s="12"/>
      <c r="O2825" s="26"/>
      <c r="P2825" s="47"/>
      <c r="Q2825" s="27"/>
      <c r="R2825" s="34"/>
      <c r="S2825" s="35">
        <f t="shared" si="2369"/>
        <v>0</v>
      </c>
      <c r="T2825" s="26"/>
      <c r="U2825" s="47"/>
      <c r="V2825" s="27"/>
      <c r="W2825" s="34"/>
      <c r="X2825" s="35">
        <f t="shared" si="2370"/>
        <v>0</v>
      </c>
      <c r="Y2825" s="11">
        <f t="shared" si="2363"/>
        <v>0</v>
      </c>
    </row>
    <row r="2826" spans="1:25" x14ac:dyDescent="0.15">
      <c r="A2826" s="15"/>
      <c r="B2826" s="26"/>
      <c r="C2826" s="47"/>
      <c r="D2826" s="27"/>
      <c r="E2826" s="34"/>
      <c r="F2826" s="35">
        <f t="shared" si="2367"/>
        <v>0</v>
      </c>
      <c r="G2826" s="26"/>
      <c r="H2826" s="47"/>
      <c r="I2826" s="27"/>
      <c r="J2826" s="34"/>
      <c r="K2826" s="35">
        <f t="shared" si="2368"/>
        <v>0</v>
      </c>
      <c r="L2826" s="11">
        <f t="shared" si="2360"/>
        <v>0</v>
      </c>
      <c r="N2826" s="12"/>
      <c r="O2826" s="26"/>
      <c r="P2826" s="47"/>
      <c r="Q2826" s="27"/>
      <c r="R2826" s="34"/>
      <c r="S2826" s="35">
        <f t="shared" si="2369"/>
        <v>0</v>
      </c>
      <c r="T2826" s="26"/>
      <c r="U2826" s="47"/>
      <c r="V2826" s="27"/>
      <c r="W2826" s="34"/>
      <c r="X2826" s="35">
        <f t="shared" si="2370"/>
        <v>0</v>
      </c>
      <c r="Y2826" s="11">
        <f t="shared" si="2363"/>
        <v>0</v>
      </c>
    </row>
    <row r="2827" spans="1:25" x14ac:dyDescent="0.15">
      <c r="A2827" s="15"/>
      <c r="B2827" s="26"/>
      <c r="C2827" s="47"/>
      <c r="D2827" s="27"/>
      <c r="E2827" s="34"/>
      <c r="F2827" s="35">
        <f t="shared" si="2367"/>
        <v>0</v>
      </c>
      <c r="G2827" s="26"/>
      <c r="H2827" s="47"/>
      <c r="I2827" s="27"/>
      <c r="J2827" s="34"/>
      <c r="K2827" s="35">
        <f t="shared" si="2368"/>
        <v>0</v>
      </c>
      <c r="L2827" s="11">
        <f t="shared" si="2360"/>
        <v>0</v>
      </c>
      <c r="N2827" s="12"/>
      <c r="O2827" s="26"/>
      <c r="P2827" s="47"/>
      <c r="Q2827" s="27"/>
      <c r="R2827" s="34"/>
      <c r="S2827" s="35">
        <f t="shared" si="2369"/>
        <v>0</v>
      </c>
      <c r="T2827" s="26"/>
      <c r="U2827" s="47"/>
      <c r="V2827" s="27"/>
      <c r="W2827" s="34"/>
      <c r="X2827" s="35">
        <f t="shared" si="2370"/>
        <v>0</v>
      </c>
      <c r="Y2827" s="11">
        <f t="shared" si="2363"/>
        <v>0</v>
      </c>
    </row>
    <row r="2828" spans="1:25" x14ac:dyDescent="0.15">
      <c r="A2828" s="15"/>
      <c r="B2828" s="26"/>
      <c r="C2828" s="47"/>
      <c r="D2828" s="27"/>
      <c r="E2828" s="34"/>
      <c r="F2828" s="35">
        <f t="shared" si="2367"/>
        <v>0</v>
      </c>
      <c r="G2828" s="26"/>
      <c r="H2828" s="47"/>
      <c r="I2828" s="27"/>
      <c r="J2828" s="34"/>
      <c r="K2828" s="35">
        <f t="shared" si="2368"/>
        <v>0</v>
      </c>
      <c r="L2828" s="11">
        <f t="shared" si="2360"/>
        <v>0</v>
      </c>
      <c r="N2828" s="12"/>
      <c r="O2828" s="26"/>
      <c r="P2828" s="47"/>
      <c r="Q2828" s="27"/>
      <c r="R2828" s="34"/>
      <c r="S2828" s="35">
        <f t="shared" si="2369"/>
        <v>0</v>
      </c>
      <c r="T2828" s="26"/>
      <c r="U2828" s="47"/>
      <c r="V2828" s="27"/>
      <c r="W2828" s="34"/>
      <c r="X2828" s="35">
        <f t="shared" si="2370"/>
        <v>0</v>
      </c>
      <c r="Y2828" s="11">
        <f t="shared" si="2363"/>
        <v>0</v>
      </c>
    </row>
    <row r="2829" spans="1:25" x14ac:dyDescent="0.15">
      <c r="A2829" s="15"/>
      <c r="B2829" s="26"/>
      <c r="C2829" s="47"/>
      <c r="D2829" s="27"/>
      <c r="E2829" s="34"/>
      <c r="F2829" s="35">
        <f t="shared" si="2367"/>
        <v>0</v>
      </c>
      <c r="G2829" s="26"/>
      <c r="H2829" s="47"/>
      <c r="I2829" s="27"/>
      <c r="J2829" s="34"/>
      <c r="K2829" s="35">
        <f t="shared" si="2368"/>
        <v>0</v>
      </c>
      <c r="L2829" s="11">
        <f t="shared" si="2360"/>
        <v>0</v>
      </c>
      <c r="N2829" s="12"/>
      <c r="O2829" s="26"/>
      <c r="P2829" s="47"/>
      <c r="Q2829" s="27"/>
      <c r="R2829" s="50"/>
      <c r="S2829" s="9">
        <f>SUM(O2829:R2829)</f>
        <v>0</v>
      </c>
      <c r="T2829" s="47"/>
      <c r="U2829" s="47"/>
      <c r="V2829" s="27"/>
      <c r="W2829" s="50"/>
      <c r="X2829" s="9">
        <f>SUM(T2829:W2829)</f>
        <v>0</v>
      </c>
      <c r="Y2829" s="11">
        <f t="shared" si="2363"/>
        <v>0</v>
      </c>
    </row>
    <row r="2830" spans="1:25" x14ac:dyDescent="0.15">
      <c r="A2830" s="15"/>
      <c r="B2830" s="26"/>
      <c r="C2830" s="47"/>
      <c r="D2830" s="27"/>
      <c r="E2830" s="34"/>
      <c r="F2830" s="35">
        <f t="shared" si="2367"/>
        <v>0</v>
      </c>
      <c r="G2830" s="26"/>
      <c r="H2830" s="47"/>
      <c r="I2830" s="27"/>
      <c r="J2830" s="34"/>
      <c r="K2830" s="35">
        <f t="shared" si="2368"/>
        <v>0</v>
      </c>
      <c r="L2830" s="11">
        <f t="shared" si="2360"/>
        <v>0</v>
      </c>
      <c r="N2830" s="12"/>
      <c r="O2830" s="26"/>
      <c r="P2830" s="47"/>
      <c r="Q2830" s="27"/>
      <c r="R2830" s="34"/>
      <c r="S2830" s="35">
        <f t="shared" ref="S2830:S2847" si="2371">SUM(O2830:R2830)</f>
        <v>0</v>
      </c>
      <c r="T2830" s="26"/>
      <c r="U2830" s="47"/>
      <c r="V2830" s="27"/>
      <c r="W2830" s="34"/>
      <c r="X2830" s="35">
        <f t="shared" ref="X2830:X2847" si="2372">SUM(T2830:W2830)</f>
        <v>0</v>
      </c>
      <c r="Y2830" s="11">
        <f t="shared" si="2363"/>
        <v>0</v>
      </c>
    </row>
    <row r="2831" spans="1:25" x14ac:dyDescent="0.15">
      <c r="A2831" s="15"/>
      <c r="B2831" s="26"/>
      <c r="C2831" s="47"/>
      <c r="D2831" s="27"/>
      <c r="E2831" s="34"/>
      <c r="F2831" s="35">
        <f t="shared" si="2367"/>
        <v>0</v>
      </c>
      <c r="G2831" s="26"/>
      <c r="H2831" s="47"/>
      <c r="I2831" s="27"/>
      <c r="J2831" s="34"/>
      <c r="K2831" s="35">
        <f t="shared" si="2368"/>
        <v>0</v>
      </c>
      <c r="L2831" s="11">
        <f t="shared" si="2360"/>
        <v>0</v>
      </c>
      <c r="N2831" s="12"/>
      <c r="O2831" s="26"/>
      <c r="P2831" s="47"/>
      <c r="Q2831" s="27"/>
      <c r="R2831" s="34"/>
      <c r="S2831" s="35">
        <f t="shared" si="2371"/>
        <v>0</v>
      </c>
      <c r="T2831" s="26"/>
      <c r="U2831" s="47"/>
      <c r="V2831" s="27"/>
      <c r="W2831" s="34"/>
      <c r="X2831" s="35">
        <f t="shared" si="2372"/>
        <v>0</v>
      </c>
      <c r="Y2831" s="11">
        <f t="shared" si="2363"/>
        <v>0</v>
      </c>
    </row>
    <row r="2832" spans="1:25" x14ac:dyDescent="0.15">
      <c r="A2832" s="15"/>
      <c r="B2832" s="26"/>
      <c r="C2832" s="47"/>
      <c r="D2832" s="27"/>
      <c r="E2832" s="34"/>
      <c r="F2832" s="35">
        <f t="shared" si="2367"/>
        <v>0</v>
      </c>
      <c r="G2832" s="26"/>
      <c r="H2832" s="47"/>
      <c r="I2832" s="27"/>
      <c r="J2832" s="34"/>
      <c r="K2832" s="35">
        <f t="shared" si="2368"/>
        <v>0</v>
      </c>
      <c r="L2832" s="11">
        <f t="shared" si="2360"/>
        <v>0</v>
      </c>
      <c r="N2832" s="12"/>
      <c r="O2832" s="26"/>
      <c r="P2832" s="47"/>
      <c r="Q2832" s="27"/>
      <c r="R2832" s="34"/>
      <c r="S2832" s="35">
        <f t="shared" si="2371"/>
        <v>0</v>
      </c>
      <c r="T2832" s="26"/>
      <c r="U2832" s="47"/>
      <c r="V2832" s="27"/>
      <c r="W2832" s="34"/>
      <c r="X2832" s="35">
        <f t="shared" si="2372"/>
        <v>0</v>
      </c>
      <c r="Y2832" s="11">
        <f t="shared" si="2363"/>
        <v>0</v>
      </c>
    </row>
    <row r="2833" spans="1:26" x14ac:dyDescent="0.15">
      <c r="A2833" s="13"/>
      <c r="B2833" s="26"/>
      <c r="C2833" s="47"/>
      <c r="D2833" s="27"/>
      <c r="E2833" s="34"/>
      <c r="F2833" s="35">
        <f t="shared" si="2367"/>
        <v>0</v>
      </c>
      <c r="G2833" s="26"/>
      <c r="H2833" s="47"/>
      <c r="I2833" s="27"/>
      <c r="J2833" s="34"/>
      <c r="K2833" s="35">
        <f t="shared" si="2368"/>
        <v>0</v>
      </c>
      <c r="L2833" s="11">
        <f t="shared" si="2360"/>
        <v>0</v>
      </c>
      <c r="N2833" s="12"/>
      <c r="O2833" s="26"/>
      <c r="P2833" s="47"/>
      <c r="Q2833" s="27"/>
      <c r="R2833" s="34"/>
      <c r="S2833" s="35">
        <f t="shared" si="2371"/>
        <v>0</v>
      </c>
      <c r="T2833" s="26"/>
      <c r="U2833" s="47"/>
      <c r="V2833" s="27"/>
      <c r="W2833" s="34"/>
      <c r="X2833" s="35">
        <f t="shared" si="2372"/>
        <v>0</v>
      </c>
      <c r="Y2833" s="11">
        <f t="shared" si="2363"/>
        <v>0</v>
      </c>
    </row>
    <row r="2834" spans="1:26" x14ac:dyDescent="0.15">
      <c r="A2834" s="15"/>
      <c r="B2834" s="26"/>
      <c r="C2834" s="47"/>
      <c r="D2834" s="27"/>
      <c r="E2834" s="34"/>
      <c r="F2834" s="35">
        <f t="shared" si="2367"/>
        <v>0</v>
      </c>
      <c r="G2834" s="26"/>
      <c r="H2834" s="47"/>
      <c r="I2834" s="27"/>
      <c r="J2834" s="34"/>
      <c r="K2834" s="35">
        <f t="shared" si="2368"/>
        <v>0</v>
      </c>
      <c r="L2834" s="11">
        <f t="shared" si="2360"/>
        <v>0</v>
      </c>
      <c r="N2834" s="12"/>
      <c r="O2834" s="26"/>
      <c r="P2834" s="47"/>
      <c r="Q2834" s="27"/>
      <c r="R2834" s="34"/>
      <c r="S2834" s="35">
        <f t="shared" si="2371"/>
        <v>0</v>
      </c>
      <c r="T2834" s="26"/>
      <c r="U2834" s="47"/>
      <c r="V2834" s="27"/>
      <c r="W2834" s="34"/>
      <c r="X2834" s="35">
        <f t="shared" si="2372"/>
        <v>0</v>
      </c>
      <c r="Y2834" s="11">
        <f t="shared" si="2363"/>
        <v>0</v>
      </c>
    </row>
    <row r="2835" spans="1:26" x14ac:dyDescent="0.15">
      <c r="A2835" s="13"/>
      <c r="B2835" s="26"/>
      <c r="C2835" s="47"/>
      <c r="D2835" s="27"/>
      <c r="E2835" s="34"/>
      <c r="F2835" s="35">
        <f t="shared" si="2367"/>
        <v>0</v>
      </c>
      <c r="G2835" s="26"/>
      <c r="H2835" s="47"/>
      <c r="I2835" s="27"/>
      <c r="J2835" s="34"/>
      <c r="K2835" s="35">
        <f t="shared" si="2368"/>
        <v>0</v>
      </c>
      <c r="L2835" s="11">
        <f t="shared" si="2360"/>
        <v>0</v>
      </c>
      <c r="N2835" s="12"/>
      <c r="O2835" s="26"/>
      <c r="P2835" s="47"/>
      <c r="Q2835" s="27"/>
      <c r="R2835" s="34"/>
      <c r="S2835" s="35">
        <f t="shared" si="2371"/>
        <v>0</v>
      </c>
      <c r="T2835" s="26"/>
      <c r="U2835" s="47"/>
      <c r="V2835" s="27"/>
      <c r="W2835" s="34"/>
      <c r="X2835" s="35">
        <f t="shared" si="2372"/>
        <v>0</v>
      </c>
      <c r="Y2835" s="11">
        <f t="shared" si="2363"/>
        <v>0</v>
      </c>
    </row>
    <row r="2836" spans="1:26" x14ac:dyDescent="0.15">
      <c r="A2836" s="15"/>
      <c r="B2836" s="26"/>
      <c r="C2836" s="47"/>
      <c r="D2836" s="27"/>
      <c r="E2836" s="34"/>
      <c r="F2836" s="35">
        <f t="shared" si="2367"/>
        <v>0</v>
      </c>
      <c r="G2836" s="26"/>
      <c r="H2836" s="47"/>
      <c r="I2836" s="27"/>
      <c r="J2836" s="34"/>
      <c r="K2836" s="35">
        <f t="shared" si="2368"/>
        <v>0</v>
      </c>
      <c r="L2836" s="11">
        <f t="shared" si="2360"/>
        <v>0</v>
      </c>
      <c r="N2836" s="57"/>
      <c r="O2836" s="26"/>
      <c r="P2836" s="47"/>
      <c r="Q2836" s="27"/>
      <c r="R2836" s="34"/>
      <c r="S2836" s="35">
        <f t="shared" si="2371"/>
        <v>0</v>
      </c>
      <c r="T2836" s="26"/>
      <c r="U2836" s="47"/>
      <c r="V2836" s="27"/>
      <c r="W2836" s="34"/>
      <c r="X2836" s="35">
        <f t="shared" si="2372"/>
        <v>0</v>
      </c>
      <c r="Y2836" s="11">
        <f t="shared" si="2363"/>
        <v>0</v>
      </c>
    </row>
    <row r="2837" spans="1:26" x14ac:dyDescent="0.15">
      <c r="A2837" s="13"/>
      <c r="B2837" s="26"/>
      <c r="C2837" s="47"/>
      <c r="D2837" s="27"/>
      <c r="E2837" s="34"/>
      <c r="F2837" s="35">
        <f t="shared" si="2367"/>
        <v>0</v>
      </c>
      <c r="G2837" s="26"/>
      <c r="H2837" s="47"/>
      <c r="I2837" s="27"/>
      <c r="J2837" s="34"/>
      <c r="K2837" s="35">
        <f t="shared" si="2368"/>
        <v>0</v>
      </c>
      <c r="L2837" s="11">
        <f t="shared" si="2360"/>
        <v>0</v>
      </c>
      <c r="N2837" s="12"/>
      <c r="O2837" s="26"/>
      <c r="P2837" s="47"/>
      <c r="Q2837" s="27"/>
      <c r="R2837" s="34"/>
      <c r="S2837" s="35">
        <f t="shared" si="2371"/>
        <v>0</v>
      </c>
      <c r="T2837" s="26"/>
      <c r="U2837" s="47"/>
      <c r="V2837" s="27"/>
      <c r="W2837" s="34"/>
      <c r="X2837" s="35">
        <f t="shared" si="2372"/>
        <v>0</v>
      </c>
      <c r="Y2837" s="11">
        <f t="shared" si="2363"/>
        <v>0</v>
      </c>
    </row>
    <row r="2838" spans="1:26" x14ac:dyDescent="0.15">
      <c r="A2838" s="15"/>
      <c r="B2838" s="26"/>
      <c r="C2838" s="47"/>
      <c r="D2838" s="27"/>
      <c r="E2838" s="34"/>
      <c r="F2838" s="35">
        <f t="shared" si="2367"/>
        <v>0</v>
      </c>
      <c r="G2838" s="26"/>
      <c r="H2838" s="47"/>
      <c r="I2838" s="27"/>
      <c r="J2838" s="34"/>
      <c r="K2838" s="35">
        <f t="shared" si="2368"/>
        <v>0</v>
      </c>
      <c r="L2838" s="11">
        <f t="shared" si="2360"/>
        <v>0</v>
      </c>
      <c r="N2838" s="57"/>
      <c r="O2838" s="26"/>
      <c r="P2838" s="47"/>
      <c r="Q2838" s="27"/>
      <c r="R2838" s="34"/>
      <c r="S2838" s="35">
        <f t="shared" si="2371"/>
        <v>0</v>
      </c>
      <c r="T2838" s="26"/>
      <c r="U2838" s="47"/>
      <c r="V2838" s="27"/>
      <c r="W2838" s="34"/>
      <c r="X2838" s="35">
        <f t="shared" si="2372"/>
        <v>0</v>
      </c>
      <c r="Y2838" s="11">
        <f t="shared" si="2363"/>
        <v>0</v>
      </c>
    </row>
    <row r="2839" spans="1:26" x14ac:dyDescent="0.15">
      <c r="A2839" s="15"/>
      <c r="B2839" s="26"/>
      <c r="C2839" s="47"/>
      <c r="D2839" s="27"/>
      <c r="E2839" s="34"/>
      <c r="F2839" s="35">
        <f t="shared" si="2367"/>
        <v>0</v>
      </c>
      <c r="G2839" s="26"/>
      <c r="H2839" s="47"/>
      <c r="I2839" s="27"/>
      <c r="J2839" s="34"/>
      <c r="K2839" s="35">
        <f t="shared" si="2368"/>
        <v>0</v>
      </c>
      <c r="L2839" s="11">
        <f t="shared" si="2360"/>
        <v>0</v>
      </c>
      <c r="N2839" s="57"/>
      <c r="O2839" s="26"/>
      <c r="P2839" s="47"/>
      <c r="Q2839" s="27"/>
      <c r="R2839" s="34"/>
      <c r="S2839" s="35">
        <f t="shared" si="2371"/>
        <v>0</v>
      </c>
      <c r="T2839" s="26"/>
      <c r="U2839" s="47"/>
      <c r="V2839" s="27"/>
      <c r="W2839" s="34"/>
      <c r="X2839" s="35">
        <f t="shared" si="2372"/>
        <v>0</v>
      </c>
      <c r="Y2839" s="11">
        <f t="shared" si="2363"/>
        <v>0</v>
      </c>
    </row>
    <row r="2840" spans="1:26" x14ac:dyDescent="0.15">
      <c r="A2840" s="13"/>
      <c r="B2840" s="26"/>
      <c r="C2840" s="47"/>
      <c r="D2840" s="27"/>
      <c r="E2840" s="34"/>
      <c r="F2840" s="35">
        <f t="shared" si="2367"/>
        <v>0</v>
      </c>
      <c r="G2840" s="26"/>
      <c r="H2840" s="47"/>
      <c r="I2840" s="27"/>
      <c r="J2840" s="34"/>
      <c r="K2840" s="35">
        <f t="shared" si="2368"/>
        <v>0</v>
      </c>
      <c r="L2840" s="11">
        <f t="shared" si="2360"/>
        <v>0</v>
      </c>
      <c r="N2840" s="57"/>
      <c r="O2840" s="26"/>
      <c r="P2840" s="47"/>
      <c r="Q2840" s="27"/>
      <c r="R2840" s="34"/>
      <c r="S2840" s="35">
        <f t="shared" si="2371"/>
        <v>0</v>
      </c>
      <c r="T2840" s="26"/>
      <c r="U2840" s="47"/>
      <c r="V2840" s="27"/>
      <c r="W2840" s="34"/>
      <c r="X2840" s="35">
        <f t="shared" si="2372"/>
        <v>0</v>
      </c>
      <c r="Y2840" s="11">
        <f t="shared" si="2363"/>
        <v>0</v>
      </c>
    </row>
    <row r="2841" spans="1:26" x14ac:dyDescent="0.15">
      <c r="A2841" s="32"/>
      <c r="B2841" s="26"/>
      <c r="C2841" s="47"/>
      <c r="D2841" s="27"/>
      <c r="E2841" s="34"/>
      <c r="F2841" s="35">
        <f t="shared" si="2367"/>
        <v>0</v>
      </c>
      <c r="G2841" s="26"/>
      <c r="H2841" s="47"/>
      <c r="I2841" s="27"/>
      <c r="J2841" s="34"/>
      <c r="K2841" s="35">
        <f t="shared" si="2368"/>
        <v>0</v>
      </c>
      <c r="L2841" s="11">
        <f t="shared" si="2360"/>
        <v>0</v>
      </c>
      <c r="N2841" s="57"/>
      <c r="O2841" s="26"/>
      <c r="P2841" s="47"/>
      <c r="Q2841" s="27"/>
      <c r="R2841" s="34"/>
      <c r="S2841" s="35">
        <f t="shared" si="2371"/>
        <v>0</v>
      </c>
      <c r="T2841" s="26"/>
      <c r="U2841" s="47"/>
      <c r="V2841" s="27"/>
      <c r="W2841" s="34"/>
      <c r="X2841" s="35">
        <f t="shared" si="2372"/>
        <v>0</v>
      </c>
      <c r="Y2841" s="11">
        <f t="shared" si="2363"/>
        <v>0</v>
      </c>
    </row>
    <row r="2842" spans="1:26" x14ac:dyDescent="0.15">
      <c r="A2842" s="32"/>
      <c r="B2842" s="26"/>
      <c r="C2842" s="47"/>
      <c r="D2842" s="27"/>
      <c r="E2842" s="34"/>
      <c r="F2842" s="35">
        <f t="shared" si="2367"/>
        <v>0</v>
      </c>
      <c r="G2842" s="26"/>
      <c r="H2842" s="47"/>
      <c r="I2842" s="27"/>
      <c r="J2842" s="34"/>
      <c r="K2842" s="35">
        <f t="shared" si="2368"/>
        <v>0</v>
      </c>
      <c r="L2842" s="11">
        <f t="shared" si="2360"/>
        <v>0</v>
      </c>
      <c r="N2842" s="57"/>
      <c r="O2842" s="26"/>
      <c r="P2842" s="47"/>
      <c r="Q2842" s="27"/>
      <c r="R2842" s="34"/>
      <c r="S2842" s="35">
        <f t="shared" si="2371"/>
        <v>0</v>
      </c>
      <c r="T2842" s="26"/>
      <c r="U2842" s="47"/>
      <c r="V2842" s="27"/>
      <c r="W2842" s="34"/>
      <c r="X2842" s="35">
        <f t="shared" si="2372"/>
        <v>0</v>
      </c>
      <c r="Y2842" s="11">
        <f t="shared" si="2363"/>
        <v>0</v>
      </c>
    </row>
    <row r="2843" spans="1:26" x14ac:dyDescent="0.15">
      <c r="A2843" s="12"/>
      <c r="B2843" s="26"/>
      <c r="C2843" s="47"/>
      <c r="D2843" s="27"/>
      <c r="E2843" s="34"/>
      <c r="F2843" s="35">
        <f t="shared" si="2367"/>
        <v>0</v>
      </c>
      <c r="G2843" s="26"/>
      <c r="H2843" s="47"/>
      <c r="I2843" s="27"/>
      <c r="J2843" s="34"/>
      <c r="K2843" s="35">
        <f t="shared" si="2368"/>
        <v>0</v>
      </c>
      <c r="L2843" s="11">
        <f t="shared" si="2360"/>
        <v>0</v>
      </c>
      <c r="N2843" s="285" t="s">
        <v>2177</v>
      </c>
      <c r="O2843" s="324">
        <v>-2</v>
      </c>
      <c r="P2843" s="325">
        <v>-5</v>
      </c>
      <c r="Q2843" s="326">
        <v>-2</v>
      </c>
      <c r="R2843" s="327">
        <v>-2</v>
      </c>
      <c r="S2843" s="328">
        <f t="shared" si="2371"/>
        <v>-11</v>
      </c>
      <c r="T2843" s="324">
        <v>-2</v>
      </c>
      <c r="U2843" s="325">
        <v>-5</v>
      </c>
      <c r="V2843" s="326">
        <v>-2</v>
      </c>
      <c r="W2843" s="327">
        <v>-2</v>
      </c>
      <c r="X2843" s="328">
        <f t="shared" si="2372"/>
        <v>-11</v>
      </c>
      <c r="Y2843" s="150">
        <f t="shared" si="2363"/>
        <v>-22</v>
      </c>
      <c r="Z2843" s="195"/>
    </row>
    <row r="2844" spans="1:26" x14ac:dyDescent="0.15">
      <c r="A2844" s="79"/>
      <c r="B2844" s="26"/>
      <c r="C2844" s="47"/>
      <c r="D2844" s="27"/>
      <c r="E2844" s="34"/>
      <c r="F2844" s="35">
        <f t="shared" si="2367"/>
        <v>0</v>
      </c>
      <c r="G2844" s="26"/>
      <c r="H2844" s="47"/>
      <c r="I2844" s="27"/>
      <c r="J2844" s="34"/>
      <c r="K2844" s="35">
        <f t="shared" si="2368"/>
        <v>0</v>
      </c>
      <c r="L2844" s="11">
        <f t="shared" si="2360"/>
        <v>0</v>
      </c>
      <c r="N2844" s="103" t="s">
        <v>2176</v>
      </c>
      <c r="O2844" s="235">
        <v>10</v>
      </c>
      <c r="P2844" s="236">
        <v>20</v>
      </c>
      <c r="Q2844" s="237">
        <v>10</v>
      </c>
      <c r="R2844" s="238">
        <v>10</v>
      </c>
      <c r="S2844" s="239">
        <f t="shared" si="2371"/>
        <v>50</v>
      </c>
      <c r="T2844" s="235">
        <v>10</v>
      </c>
      <c r="U2844" s="236">
        <v>20</v>
      </c>
      <c r="V2844" s="237">
        <v>10</v>
      </c>
      <c r="W2844" s="238">
        <v>10</v>
      </c>
      <c r="X2844" s="239">
        <f t="shared" si="2372"/>
        <v>50</v>
      </c>
      <c r="Y2844" s="293">
        <f t="shared" si="2363"/>
        <v>100</v>
      </c>
      <c r="Z2844" s="102" t="s">
        <v>2178</v>
      </c>
    </row>
    <row r="2845" spans="1:26" x14ac:dyDescent="0.15">
      <c r="A2845" s="57"/>
      <c r="B2845" s="26"/>
      <c r="C2845" s="47"/>
      <c r="D2845" s="27"/>
      <c r="E2845" s="34"/>
      <c r="F2845" s="35">
        <f t="shared" si="2367"/>
        <v>0</v>
      </c>
      <c r="G2845" s="26"/>
      <c r="H2845" s="47"/>
      <c r="I2845" s="27"/>
      <c r="J2845" s="34"/>
      <c r="K2845" s="35">
        <f t="shared" si="2368"/>
        <v>0</v>
      </c>
      <c r="L2845" s="11">
        <f t="shared" si="2360"/>
        <v>0</v>
      </c>
      <c r="N2845" s="292" t="s">
        <v>2194</v>
      </c>
      <c r="O2845" s="287">
        <v>-6</v>
      </c>
      <c r="P2845" s="288">
        <v>-10</v>
      </c>
      <c r="Q2845" s="289">
        <v>0</v>
      </c>
      <c r="R2845" s="290">
        <v>0</v>
      </c>
      <c r="S2845" s="291">
        <f t="shared" ref="S2845:S2846" si="2373">SUM(O2845:R2845)</f>
        <v>-16</v>
      </c>
      <c r="T2845" s="287">
        <v>0</v>
      </c>
      <c r="U2845" s="288">
        <v>0</v>
      </c>
      <c r="V2845" s="289">
        <v>0</v>
      </c>
      <c r="W2845" s="290">
        <v>0</v>
      </c>
      <c r="X2845" s="291">
        <f t="shared" ref="X2845:X2846" si="2374">SUM(T2845:W2845)</f>
        <v>0</v>
      </c>
      <c r="Y2845" s="316">
        <f t="shared" ref="Y2845:Y2846" si="2375">S2845+X2845</f>
        <v>-16</v>
      </c>
      <c r="Z2845" s="102"/>
    </row>
    <row r="2846" spans="1:26" ht="14.25" thickBot="1" x14ac:dyDescent="0.2">
      <c r="A2846" s="90"/>
      <c r="B2846" s="62"/>
      <c r="C2846" s="63"/>
      <c r="D2846" s="64"/>
      <c r="E2846" s="65"/>
      <c r="F2846" s="35">
        <f t="shared" si="2367"/>
        <v>0</v>
      </c>
      <c r="G2846" s="62"/>
      <c r="H2846" s="63"/>
      <c r="I2846" s="64"/>
      <c r="J2846" s="65"/>
      <c r="K2846" s="35">
        <f t="shared" si="2368"/>
        <v>0</v>
      </c>
      <c r="L2846" s="14">
        <f t="shared" si="2360"/>
        <v>0</v>
      </c>
      <c r="N2846" s="302" t="s">
        <v>2195</v>
      </c>
      <c r="O2846" s="235">
        <v>16</v>
      </c>
      <c r="P2846" s="236">
        <v>25</v>
      </c>
      <c r="Q2846" s="237">
        <v>12</v>
      </c>
      <c r="R2846" s="238">
        <v>10</v>
      </c>
      <c r="S2846" s="239">
        <f t="shared" si="2373"/>
        <v>63</v>
      </c>
      <c r="T2846" s="235">
        <v>4</v>
      </c>
      <c r="U2846" s="236">
        <v>10</v>
      </c>
      <c r="V2846" s="237">
        <v>8</v>
      </c>
      <c r="W2846" s="238">
        <v>6</v>
      </c>
      <c r="X2846" s="239">
        <f t="shared" si="2374"/>
        <v>28</v>
      </c>
      <c r="Y2846" s="293">
        <f t="shared" si="2375"/>
        <v>91</v>
      </c>
      <c r="Z2846" s="102" t="s">
        <v>2196</v>
      </c>
    </row>
    <row r="2847" spans="1:26" ht="14.25" thickBot="1" x14ac:dyDescent="0.2">
      <c r="A2847" s="17" t="s">
        <v>10</v>
      </c>
      <c r="B2847" s="38">
        <f>SUM(B2822:B2846)</f>
        <v>0</v>
      </c>
      <c r="C2847" s="48">
        <f>SUM(C2822:C2846)</f>
        <v>0</v>
      </c>
      <c r="D2847" s="39">
        <f>SUM(D2822:D2846)</f>
        <v>0</v>
      </c>
      <c r="E2847" s="40">
        <f>SUM(E2822:E2846)</f>
        <v>0</v>
      </c>
      <c r="F2847" s="36">
        <f>SUM(B2847:E2847)</f>
        <v>0</v>
      </c>
      <c r="G2847" s="38">
        <f>SUM(G2822:G2846)</f>
        <v>0</v>
      </c>
      <c r="H2847" s="48">
        <f>SUM(H2822:H2846)</f>
        <v>0</v>
      </c>
      <c r="I2847" s="39">
        <f>SUM(I2822:I2846)</f>
        <v>0</v>
      </c>
      <c r="J2847" s="40">
        <f>SUM(J2822:J2846)</f>
        <v>0</v>
      </c>
      <c r="K2847" s="36">
        <f>SUM(G2847:J2847)</f>
        <v>0</v>
      </c>
      <c r="L2847" s="37">
        <f t="shared" si="2360"/>
        <v>0</v>
      </c>
      <c r="N2847" s="17" t="s">
        <v>10</v>
      </c>
      <c r="O2847" s="228">
        <f>SUM(O2822:O2846)</f>
        <v>18</v>
      </c>
      <c r="P2847" s="229">
        <f>SUM(P2822:P2846)</f>
        <v>30</v>
      </c>
      <c r="Q2847" s="230">
        <f>SUM(Q2822:Q2846)</f>
        <v>20</v>
      </c>
      <c r="R2847" s="231">
        <f>SUM(R2822:R2846)</f>
        <v>18</v>
      </c>
      <c r="S2847" s="36">
        <f t="shared" si="2371"/>
        <v>86</v>
      </c>
      <c r="T2847" s="228">
        <f>SUM(T2822:T2846)</f>
        <v>12</v>
      </c>
      <c r="U2847" s="229">
        <f>SUM(U2822:U2846)</f>
        <v>25</v>
      </c>
      <c r="V2847" s="230">
        <f>SUM(V2822:V2846)</f>
        <v>16</v>
      </c>
      <c r="W2847" s="231">
        <f>SUM(W2822:W2846)</f>
        <v>14</v>
      </c>
      <c r="X2847" s="36">
        <f t="shared" si="2372"/>
        <v>67</v>
      </c>
      <c r="Y2847" s="37">
        <f t="shared" si="2363"/>
        <v>153</v>
      </c>
    </row>
    <row r="2848" spans="1:26" ht="14.25" thickBot="1" x14ac:dyDescent="0.2">
      <c r="A2848" s="22" t="s">
        <v>11</v>
      </c>
      <c r="B2848" s="41">
        <f>B2821-B2847</f>
        <v>26</v>
      </c>
      <c r="C2848" s="49">
        <f>C2821-C2847</f>
        <v>11</v>
      </c>
      <c r="D2848" s="42">
        <f t="shared" ref="D2848:K2848" si="2376">D2821-D2847</f>
        <v>10</v>
      </c>
      <c r="E2848" s="43">
        <f t="shared" si="2376"/>
        <v>16</v>
      </c>
      <c r="F2848" s="61">
        <f t="shared" si="2376"/>
        <v>59</v>
      </c>
      <c r="G2848" s="41">
        <f t="shared" si="2376"/>
        <v>10</v>
      </c>
      <c r="H2848" s="49">
        <f t="shared" si="2376"/>
        <v>7</v>
      </c>
      <c r="I2848" s="42">
        <f t="shared" si="2376"/>
        <v>11</v>
      </c>
      <c r="J2848" s="43">
        <f t="shared" si="2376"/>
        <v>10</v>
      </c>
      <c r="K2848" s="61">
        <f t="shared" si="2376"/>
        <v>38</v>
      </c>
      <c r="L2848" s="21">
        <f t="shared" si="2360"/>
        <v>97</v>
      </c>
      <c r="N2848" s="17" t="s">
        <v>11</v>
      </c>
      <c r="O2848" s="41">
        <f>O2821-O2847</f>
        <v>645</v>
      </c>
      <c r="P2848" s="49">
        <f t="shared" ref="P2848:Q2848" si="2377">P2821-P2847</f>
        <v>837</v>
      </c>
      <c r="Q2848" s="42">
        <f t="shared" si="2377"/>
        <v>499</v>
      </c>
      <c r="R2848" s="43">
        <f>R2821-R2847</f>
        <v>322</v>
      </c>
      <c r="S2848" s="61">
        <f t="shared" ref="S2848:X2848" si="2378">S2821-S2847</f>
        <v>2303</v>
      </c>
      <c r="T2848" s="41">
        <f t="shared" si="2378"/>
        <v>496</v>
      </c>
      <c r="U2848" s="49">
        <f t="shared" si="2378"/>
        <v>525</v>
      </c>
      <c r="V2848" s="42">
        <f t="shared" si="2378"/>
        <v>400</v>
      </c>
      <c r="W2848" s="43">
        <f t="shared" si="2378"/>
        <v>342</v>
      </c>
      <c r="X2848" s="61">
        <f t="shared" si="2378"/>
        <v>1763</v>
      </c>
      <c r="Y2848" s="21">
        <f t="shared" si="2363"/>
        <v>4066</v>
      </c>
    </row>
    <row r="2851" spans="1:25" ht="19.5" thickBot="1" x14ac:dyDescent="0.25">
      <c r="A2851" s="2" t="s">
        <v>106</v>
      </c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N2851" s="2" t="s">
        <v>1036</v>
      </c>
      <c r="O2851" s="270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5" ht="14.25" thickBot="1" x14ac:dyDescent="0.2">
      <c r="A2852" s="5" t="s">
        <v>0</v>
      </c>
      <c r="B2852" s="342" t="s">
        <v>18</v>
      </c>
      <c r="C2852" s="350"/>
      <c r="D2852" s="350"/>
      <c r="E2852" s="350"/>
      <c r="F2852" s="351"/>
      <c r="G2852" s="345" t="s">
        <v>12</v>
      </c>
      <c r="H2852" s="352"/>
      <c r="I2852" s="352"/>
      <c r="J2852" s="352"/>
      <c r="K2852" s="353"/>
      <c r="L2852" s="354" t="s">
        <v>1</v>
      </c>
      <c r="N2852" s="5" t="s">
        <v>0</v>
      </c>
      <c r="O2852" s="342" t="s">
        <v>18</v>
      </c>
      <c r="P2852" s="343"/>
      <c r="Q2852" s="343"/>
      <c r="R2852" s="343"/>
      <c r="S2852" s="344"/>
      <c r="T2852" s="345" t="s">
        <v>12</v>
      </c>
      <c r="U2852" s="346"/>
      <c r="V2852" s="346"/>
      <c r="W2852" s="346"/>
      <c r="X2852" s="347"/>
      <c r="Y2852" s="348" t="s">
        <v>1</v>
      </c>
    </row>
    <row r="2853" spans="1:25" ht="14.25" thickBot="1" x14ac:dyDescent="0.2">
      <c r="A2853" s="5" t="s">
        <v>2</v>
      </c>
      <c r="B2853" s="3" t="s">
        <v>13</v>
      </c>
      <c r="C2853" s="44" t="s">
        <v>14</v>
      </c>
      <c r="D2853" s="4" t="s">
        <v>15</v>
      </c>
      <c r="E2853" s="23" t="s">
        <v>16</v>
      </c>
      <c r="F2853" s="31" t="s">
        <v>3</v>
      </c>
      <c r="G2853" s="3" t="s">
        <v>13</v>
      </c>
      <c r="H2853" s="44" t="s">
        <v>14</v>
      </c>
      <c r="I2853" s="4" t="s">
        <v>15</v>
      </c>
      <c r="J2853" s="23" t="s">
        <v>16</v>
      </c>
      <c r="K2853" s="31" t="s">
        <v>3</v>
      </c>
      <c r="L2853" s="355"/>
      <c r="N2853" s="5" t="s">
        <v>2</v>
      </c>
      <c r="O2853" s="3" t="s">
        <v>13</v>
      </c>
      <c r="P2853" s="44" t="s">
        <v>14</v>
      </c>
      <c r="Q2853" s="4" t="s">
        <v>15</v>
      </c>
      <c r="R2853" s="23" t="s">
        <v>16</v>
      </c>
      <c r="S2853" s="31" t="s">
        <v>3</v>
      </c>
      <c r="T2853" s="3" t="s">
        <v>13</v>
      </c>
      <c r="U2853" s="44" t="s">
        <v>14</v>
      </c>
      <c r="V2853" s="4" t="s">
        <v>15</v>
      </c>
      <c r="W2853" s="23" t="s">
        <v>16</v>
      </c>
      <c r="X2853" s="31" t="s">
        <v>3</v>
      </c>
      <c r="Y2853" s="349"/>
    </row>
    <row r="2854" spans="1:25" x14ac:dyDescent="0.15">
      <c r="A2854" s="71" t="s">
        <v>17</v>
      </c>
      <c r="B2854" s="72">
        <f>B2848</f>
        <v>26</v>
      </c>
      <c r="C2854" s="73">
        <f t="shared" ref="C2854:L2854" si="2379">C2848</f>
        <v>11</v>
      </c>
      <c r="D2854" s="73">
        <f t="shared" si="2379"/>
        <v>10</v>
      </c>
      <c r="E2854" s="74">
        <f t="shared" si="2379"/>
        <v>16</v>
      </c>
      <c r="F2854" s="76">
        <f t="shared" si="2379"/>
        <v>59</v>
      </c>
      <c r="G2854" s="72">
        <f t="shared" si="2379"/>
        <v>10</v>
      </c>
      <c r="H2854" s="73">
        <f t="shared" si="2379"/>
        <v>7</v>
      </c>
      <c r="I2854" s="73">
        <f t="shared" si="2379"/>
        <v>11</v>
      </c>
      <c r="J2854" s="74">
        <f t="shared" si="2379"/>
        <v>10</v>
      </c>
      <c r="K2854" s="75">
        <f t="shared" si="2379"/>
        <v>38</v>
      </c>
      <c r="L2854" s="16">
        <f t="shared" si="2379"/>
        <v>97</v>
      </c>
      <c r="N2854" s="71" t="s">
        <v>17</v>
      </c>
      <c r="O2854" s="72">
        <f>O2848</f>
        <v>645</v>
      </c>
      <c r="P2854" s="73">
        <f t="shared" ref="P2854:Y2854" si="2380">P2848</f>
        <v>837</v>
      </c>
      <c r="Q2854" s="73">
        <f t="shared" si="2380"/>
        <v>499</v>
      </c>
      <c r="R2854" s="74">
        <f t="shared" si="2380"/>
        <v>322</v>
      </c>
      <c r="S2854" s="76">
        <f t="shared" si="2380"/>
        <v>2303</v>
      </c>
      <c r="T2854" s="72">
        <f t="shared" si="2380"/>
        <v>496</v>
      </c>
      <c r="U2854" s="73">
        <f t="shared" si="2380"/>
        <v>525</v>
      </c>
      <c r="V2854" s="73">
        <f t="shared" si="2380"/>
        <v>400</v>
      </c>
      <c r="W2854" s="74">
        <f t="shared" si="2380"/>
        <v>342</v>
      </c>
      <c r="X2854" s="75">
        <f t="shared" si="2380"/>
        <v>1763</v>
      </c>
      <c r="Y2854" s="16">
        <f t="shared" si="2380"/>
        <v>4066</v>
      </c>
    </row>
    <row r="2855" spans="1:25" x14ac:dyDescent="0.15">
      <c r="A2855" s="13" t="s">
        <v>5</v>
      </c>
      <c r="B2855" s="26"/>
      <c r="C2855" s="47"/>
      <c r="D2855" s="27"/>
      <c r="E2855" s="50"/>
      <c r="F2855" s="9">
        <f t="shared" ref="F2855:F2856" si="2381">SUM(B2855:E2855)</f>
        <v>0</v>
      </c>
      <c r="G2855" s="47"/>
      <c r="H2855" s="47"/>
      <c r="I2855" s="27"/>
      <c r="J2855" s="50"/>
      <c r="K2855" s="9">
        <f t="shared" ref="K2855:K2856" si="2382">SUM(G2855:J2855)</f>
        <v>0</v>
      </c>
      <c r="L2855" s="11">
        <f t="shared" ref="L2855:L2886" si="2383">F2855+K2855</f>
        <v>0</v>
      </c>
      <c r="N2855" s="13" t="s">
        <v>5</v>
      </c>
      <c r="O2855" s="26"/>
      <c r="P2855" s="47"/>
      <c r="Q2855" s="27"/>
      <c r="R2855" s="34"/>
      <c r="S2855" s="77">
        <f t="shared" ref="S2855:S2858" si="2384">SUM(O2855:R2855)</f>
        <v>0</v>
      </c>
      <c r="T2855" s="26"/>
      <c r="U2855" s="47"/>
      <c r="V2855" s="27"/>
      <c r="W2855" s="34"/>
      <c r="X2855" s="9">
        <f t="shared" ref="X2855:X2858" si="2385">SUM(T2855:W2855)</f>
        <v>0</v>
      </c>
      <c r="Y2855" s="11">
        <f t="shared" ref="Y2855:Y2886" si="2386">S2855+X2855</f>
        <v>0</v>
      </c>
    </row>
    <row r="2856" spans="1:25" x14ac:dyDescent="0.15">
      <c r="A2856" s="13" t="s">
        <v>6</v>
      </c>
      <c r="B2856" s="26"/>
      <c r="C2856" s="47"/>
      <c r="D2856" s="27"/>
      <c r="E2856" s="50"/>
      <c r="F2856" s="9">
        <f t="shared" si="2381"/>
        <v>0</v>
      </c>
      <c r="G2856" s="47"/>
      <c r="H2856" s="47"/>
      <c r="I2856" s="27"/>
      <c r="J2856" s="50"/>
      <c r="K2856" s="9">
        <f t="shared" si="2382"/>
        <v>0</v>
      </c>
      <c r="L2856" s="11">
        <f t="shared" si="2383"/>
        <v>0</v>
      </c>
      <c r="N2856" s="13" t="s">
        <v>6</v>
      </c>
      <c r="O2856" s="26"/>
      <c r="P2856" s="47"/>
      <c r="Q2856" s="27"/>
      <c r="R2856" s="34"/>
      <c r="S2856" s="77">
        <f t="shared" si="2384"/>
        <v>0</v>
      </c>
      <c r="T2856" s="26"/>
      <c r="U2856" s="47"/>
      <c r="V2856" s="27"/>
      <c r="W2856" s="34"/>
      <c r="X2856" s="9">
        <f t="shared" si="2385"/>
        <v>0</v>
      </c>
      <c r="Y2856" s="11">
        <f t="shared" si="2386"/>
        <v>0</v>
      </c>
    </row>
    <row r="2857" spans="1:25" x14ac:dyDescent="0.15">
      <c r="A2857" s="13" t="s">
        <v>7</v>
      </c>
      <c r="B2857" s="26"/>
      <c r="C2857" s="47"/>
      <c r="D2857" s="27"/>
      <c r="E2857" s="50"/>
      <c r="F2857" s="9">
        <f>SUM(B2857:E2857)</f>
        <v>0</v>
      </c>
      <c r="G2857" s="47"/>
      <c r="H2857" s="47"/>
      <c r="I2857" s="27"/>
      <c r="J2857" s="50"/>
      <c r="K2857" s="9">
        <f>SUM(G2857:J2857)</f>
        <v>0</v>
      </c>
      <c r="L2857" s="11">
        <f t="shared" si="2383"/>
        <v>0</v>
      </c>
      <c r="N2857" s="13" t="s">
        <v>7</v>
      </c>
      <c r="O2857" s="26"/>
      <c r="P2857" s="47"/>
      <c r="Q2857" s="27"/>
      <c r="R2857" s="34"/>
      <c r="S2857" s="77">
        <f t="shared" si="2384"/>
        <v>0</v>
      </c>
      <c r="T2857" s="26"/>
      <c r="U2857" s="47"/>
      <c r="V2857" s="27"/>
      <c r="W2857" s="34"/>
      <c r="X2857" s="9">
        <f t="shared" si="2385"/>
        <v>0</v>
      </c>
      <c r="Y2857" s="11">
        <f t="shared" si="2386"/>
        <v>0</v>
      </c>
    </row>
    <row r="2858" spans="1:25" ht="14.25" thickBot="1" x14ac:dyDescent="0.2">
      <c r="A2858" s="13" t="s">
        <v>8</v>
      </c>
      <c r="B2858" s="26"/>
      <c r="C2858" s="47"/>
      <c r="D2858" s="27"/>
      <c r="E2858" s="50"/>
      <c r="F2858" s="10">
        <f>SUM(B2858:E2858)</f>
        <v>0</v>
      </c>
      <c r="G2858" s="47"/>
      <c r="H2858" s="47"/>
      <c r="I2858" s="27"/>
      <c r="J2858" s="50"/>
      <c r="K2858" s="10">
        <f>SUM(G2858:J2858)</f>
        <v>0</v>
      </c>
      <c r="L2858" s="14">
        <f t="shared" si="2383"/>
        <v>0</v>
      </c>
      <c r="N2858" s="13" t="s">
        <v>8</v>
      </c>
      <c r="O2858" s="26"/>
      <c r="P2858" s="47"/>
      <c r="Q2858" s="27"/>
      <c r="R2858" s="34"/>
      <c r="S2858" s="77">
        <f t="shared" si="2384"/>
        <v>0</v>
      </c>
      <c r="T2858" s="26"/>
      <c r="U2858" s="47"/>
      <c r="V2858" s="27"/>
      <c r="W2858" s="34"/>
      <c r="X2858" s="9">
        <f t="shared" si="2385"/>
        <v>0</v>
      </c>
      <c r="Y2858" s="11">
        <f t="shared" si="2386"/>
        <v>0</v>
      </c>
    </row>
    <row r="2859" spans="1:25" ht="14.25" thickBot="1" x14ac:dyDescent="0.2">
      <c r="A2859" s="22" t="s">
        <v>9</v>
      </c>
      <c r="B2859" s="41">
        <f t="shared" ref="B2859:K2859" si="2387">SUM(B2854:B2858)</f>
        <v>26</v>
      </c>
      <c r="C2859" s="49">
        <f t="shared" si="2387"/>
        <v>11</v>
      </c>
      <c r="D2859" s="42">
        <f t="shared" si="2387"/>
        <v>10</v>
      </c>
      <c r="E2859" s="92">
        <f t="shared" si="2387"/>
        <v>16</v>
      </c>
      <c r="F2859" s="132">
        <f t="shared" si="2387"/>
        <v>59</v>
      </c>
      <c r="G2859" s="41">
        <f t="shared" si="2387"/>
        <v>10</v>
      </c>
      <c r="H2859" s="49">
        <f t="shared" si="2387"/>
        <v>7</v>
      </c>
      <c r="I2859" s="42">
        <f t="shared" si="2387"/>
        <v>11</v>
      </c>
      <c r="J2859" s="92">
        <f t="shared" si="2387"/>
        <v>10</v>
      </c>
      <c r="K2859" s="132">
        <f t="shared" si="2387"/>
        <v>38</v>
      </c>
      <c r="L2859" s="21">
        <f t="shared" si="2383"/>
        <v>97</v>
      </c>
      <c r="N2859" s="17" t="s">
        <v>9</v>
      </c>
      <c r="O2859" s="41">
        <f>SUM(O2854:O2858)</f>
        <v>645</v>
      </c>
      <c r="P2859" s="49">
        <f t="shared" ref="P2859:V2859" si="2388">SUM(P2854:P2858)</f>
        <v>837</v>
      </c>
      <c r="Q2859" s="42">
        <f t="shared" si="2388"/>
        <v>499</v>
      </c>
      <c r="R2859" s="92">
        <f t="shared" si="2388"/>
        <v>322</v>
      </c>
      <c r="S2859" s="93">
        <f t="shared" si="2388"/>
        <v>2303</v>
      </c>
      <c r="T2859" s="41">
        <f t="shared" si="2388"/>
        <v>496</v>
      </c>
      <c r="U2859" s="49">
        <f t="shared" si="2388"/>
        <v>525</v>
      </c>
      <c r="V2859" s="42">
        <f t="shared" si="2388"/>
        <v>400</v>
      </c>
      <c r="W2859" s="92">
        <f>SUM(W2854:W2858)</f>
        <v>342</v>
      </c>
      <c r="X2859" s="93">
        <f t="shared" ref="X2859" si="2389">SUM(X2854:X2858)</f>
        <v>1763</v>
      </c>
      <c r="Y2859" s="56">
        <f t="shared" si="2386"/>
        <v>4066</v>
      </c>
    </row>
    <row r="2860" spans="1:25" x14ac:dyDescent="0.15">
      <c r="A2860" s="15"/>
      <c r="B2860" s="26"/>
      <c r="C2860" s="47"/>
      <c r="D2860" s="27"/>
      <c r="E2860" s="34"/>
      <c r="F2860" s="35">
        <f t="shared" ref="F2860:F2884" si="2390">SUM(B2860:E2860)</f>
        <v>0</v>
      </c>
      <c r="G2860" s="26"/>
      <c r="H2860" s="47"/>
      <c r="I2860" s="27"/>
      <c r="J2860" s="34"/>
      <c r="K2860" s="35">
        <f t="shared" ref="K2860:K2884" si="2391">SUM(G2860:J2860)</f>
        <v>0</v>
      </c>
      <c r="L2860" s="11">
        <f t="shared" si="2383"/>
        <v>0</v>
      </c>
      <c r="N2860" s="12"/>
      <c r="O2860" s="26"/>
      <c r="P2860" s="47"/>
      <c r="Q2860" s="27"/>
      <c r="R2860" s="34"/>
      <c r="S2860" s="35">
        <f t="shared" ref="S2860:S2866" si="2392">SUM(O2860:R2860)</f>
        <v>0</v>
      </c>
      <c r="T2860" s="26"/>
      <c r="U2860" s="47"/>
      <c r="V2860" s="27"/>
      <c r="W2860" s="34"/>
      <c r="X2860" s="35">
        <f t="shared" ref="X2860:X2866" si="2393">SUM(T2860:W2860)</f>
        <v>0</v>
      </c>
      <c r="Y2860" s="11">
        <f t="shared" si="2386"/>
        <v>0</v>
      </c>
    </row>
    <row r="2861" spans="1:25" x14ac:dyDescent="0.15">
      <c r="A2861" s="15"/>
      <c r="B2861" s="26"/>
      <c r="C2861" s="47"/>
      <c r="D2861" s="27"/>
      <c r="E2861" s="34"/>
      <c r="F2861" s="35">
        <f t="shared" si="2390"/>
        <v>0</v>
      </c>
      <c r="G2861" s="26"/>
      <c r="H2861" s="47"/>
      <c r="I2861" s="27"/>
      <c r="J2861" s="34"/>
      <c r="K2861" s="35">
        <f t="shared" si="2391"/>
        <v>0</v>
      </c>
      <c r="L2861" s="11">
        <f t="shared" si="2383"/>
        <v>0</v>
      </c>
      <c r="N2861" s="12"/>
      <c r="O2861" s="26"/>
      <c r="P2861" s="47"/>
      <c r="Q2861" s="27"/>
      <c r="R2861" s="34"/>
      <c r="S2861" s="35">
        <f t="shared" si="2392"/>
        <v>0</v>
      </c>
      <c r="T2861" s="26"/>
      <c r="U2861" s="47"/>
      <c r="V2861" s="27"/>
      <c r="W2861" s="34"/>
      <c r="X2861" s="35">
        <f t="shared" si="2393"/>
        <v>0</v>
      </c>
      <c r="Y2861" s="11">
        <f t="shared" si="2386"/>
        <v>0</v>
      </c>
    </row>
    <row r="2862" spans="1:25" x14ac:dyDescent="0.15">
      <c r="A2862" s="15"/>
      <c r="B2862" s="26"/>
      <c r="C2862" s="47"/>
      <c r="D2862" s="27"/>
      <c r="E2862" s="34"/>
      <c r="F2862" s="35">
        <f t="shared" si="2390"/>
        <v>0</v>
      </c>
      <c r="G2862" s="26"/>
      <c r="H2862" s="47"/>
      <c r="I2862" s="27"/>
      <c r="J2862" s="34"/>
      <c r="K2862" s="35">
        <f t="shared" si="2391"/>
        <v>0</v>
      </c>
      <c r="L2862" s="11">
        <f t="shared" si="2383"/>
        <v>0</v>
      </c>
      <c r="N2862" s="12"/>
      <c r="O2862" s="26"/>
      <c r="P2862" s="47"/>
      <c r="Q2862" s="27"/>
      <c r="R2862" s="34"/>
      <c r="S2862" s="35">
        <f t="shared" si="2392"/>
        <v>0</v>
      </c>
      <c r="T2862" s="26"/>
      <c r="U2862" s="47"/>
      <c r="V2862" s="27"/>
      <c r="W2862" s="34"/>
      <c r="X2862" s="35">
        <f t="shared" si="2393"/>
        <v>0</v>
      </c>
      <c r="Y2862" s="11">
        <f t="shared" si="2386"/>
        <v>0</v>
      </c>
    </row>
    <row r="2863" spans="1:25" x14ac:dyDescent="0.15">
      <c r="A2863" s="15"/>
      <c r="B2863" s="26"/>
      <c r="C2863" s="47"/>
      <c r="D2863" s="27"/>
      <c r="E2863" s="34"/>
      <c r="F2863" s="35">
        <f t="shared" si="2390"/>
        <v>0</v>
      </c>
      <c r="G2863" s="26"/>
      <c r="H2863" s="47"/>
      <c r="I2863" s="27"/>
      <c r="J2863" s="34"/>
      <c r="K2863" s="35">
        <f t="shared" si="2391"/>
        <v>0</v>
      </c>
      <c r="L2863" s="11">
        <f t="shared" si="2383"/>
        <v>0</v>
      </c>
      <c r="N2863" s="12"/>
      <c r="O2863" s="26"/>
      <c r="P2863" s="47"/>
      <c r="Q2863" s="27"/>
      <c r="R2863" s="34"/>
      <c r="S2863" s="35">
        <f t="shared" si="2392"/>
        <v>0</v>
      </c>
      <c r="T2863" s="26"/>
      <c r="U2863" s="47"/>
      <c r="V2863" s="27"/>
      <c r="W2863" s="34"/>
      <c r="X2863" s="35">
        <f t="shared" si="2393"/>
        <v>0</v>
      </c>
      <c r="Y2863" s="11">
        <f t="shared" si="2386"/>
        <v>0</v>
      </c>
    </row>
    <row r="2864" spans="1:25" x14ac:dyDescent="0.15">
      <c r="A2864" s="15"/>
      <c r="B2864" s="26"/>
      <c r="C2864" s="47"/>
      <c r="D2864" s="27"/>
      <c r="E2864" s="34"/>
      <c r="F2864" s="35">
        <f t="shared" si="2390"/>
        <v>0</v>
      </c>
      <c r="G2864" s="26"/>
      <c r="H2864" s="47"/>
      <c r="I2864" s="27"/>
      <c r="J2864" s="34"/>
      <c r="K2864" s="35">
        <f t="shared" si="2391"/>
        <v>0</v>
      </c>
      <c r="L2864" s="11">
        <f t="shared" si="2383"/>
        <v>0</v>
      </c>
      <c r="N2864" s="12"/>
      <c r="O2864" s="26"/>
      <c r="P2864" s="47"/>
      <c r="Q2864" s="27"/>
      <c r="R2864" s="34"/>
      <c r="S2864" s="35">
        <f t="shared" si="2392"/>
        <v>0</v>
      </c>
      <c r="T2864" s="26"/>
      <c r="U2864" s="47"/>
      <c r="V2864" s="27"/>
      <c r="W2864" s="34"/>
      <c r="X2864" s="35">
        <f t="shared" si="2393"/>
        <v>0</v>
      </c>
      <c r="Y2864" s="11">
        <f t="shared" si="2386"/>
        <v>0</v>
      </c>
    </row>
    <row r="2865" spans="1:26" x14ac:dyDescent="0.15">
      <c r="A2865" s="15"/>
      <c r="B2865" s="26"/>
      <c r="C2865" s="47"/>
      <c r="D2865" s="27"/>
      <c r="E2865" s="34"/>
      <c r="F2865" s="35">
        <f t="shared" si="2390"/>
        <v>0</v>
      </c>
      <c r="G2865" s="26"/>
      <c r="H2865" s="47"/>
      <c r="I2865" s="27"/>
      <c r="J2865" s="34"/>
      <c r="K2865" s="35">
        <f t="shared" si="2391"/>
        <v>0</v>
      </c>
      <c r="L2865" s="11">
        <f t="shared" si="2383"/>
        <v>0</v>
      </c>
      <c r="N2865" s="12"/>
      <c r="O2865" s="26"/>
      <c r="P2865" s="47"/>
      <c r="Q2865" s="27"/>
      <c r="R2865" s="34"/>
      <c r="S2865" s="35">
        <f t="shared" si="2392"/>
        <v>0</v>
      </c>
      <c r="T2865" s="26"/>
      <c r="U2865" s="47"/>
      <c r="V2865" s="27"/>
      <c r="W2865" s="34"/>
      <c r="X2865" s="35">
        <f t="shared" si="2393"/>
        <v>0</v>
      </c>
      <c r="Y2865" s="11">
        <f t="shared" si="2386"/>
        <v>0</v>
      </c>
    </row>
    <row r="2866" spans="1:26" x14ac:dyDescent="0.15">
      <c r="A2866" s="15"/>
      <c r="B2866" s="26"/>
      <c r="C2866" s="47"/>
      <c r="D2866" s="27"/>
      <c r="E2866" s="34"/>
      <c r="F2866" s="35">
        <f t="shared" si="2390"/>
        <v>0</v>
      </c>
      <c r="G2866" s="26"/>
      <c r="H2866" s="47"/>
      <c r="I2866" s="27"/>
      <c r="J2866" s="34"/>
      <c r="K2866" s="35">
        <f t="shared" si="2391"/>
        <v>0</v>
      </c>
      <c r="L2866" s="11">
        <f t="shared" si="2383"/>
        <v>0</v>
      </c>
      <c r="N2866" s="12"/>
      <c r="O2866" s="26"/>
      <c r="P2866" s="47"/>
      <c r="Q2866" s="27"/>
      <c r="R2866" s="34"/>
      <c r="S2866" s="35">
        <f t="shared" si="2392"/>
        <v>0</v>
      </c>
      <c r="T2866" s="26"/>
      <c r="U2866" s="47"/>
      <c r="V2866" s="27"/>
      <c r="W2866" s="34"/>
      <c r="X2866" s="35">
        <f t="shared" si="2393"/>
        <v>0</v>
      </c>
      <c r="Y2866" s="11">
        <f t="shared" si="2386"/>
        <v>0</v>
      </c>
    </row>
    <row r="2867" spans="1:26" x14ac:dyDescent="0.15">
      <c r="A2867" s="15"/>
      <c r="B2867" s="26"/>
      <c r="C2867" s="47"/>
      <c r="D2867" s="27"/>
      <c r="E2867" s="34"/>
      <c r="F2867" s="35">
        <f t="shared" si="2390"/>
        <v>0</v>
      </c>
      <c r="G2867" s="26"/>
      <c r="H2867" s="47"/>
      <c r="I2867" s="27"/>
      <c r="J2867" s="34"/>
      <c r="K2867" s="35">
        <f t="shared" si="2391"/>
        <v>0</v>
      </c>
      <c r="L2867" s="11">
        <f t="shared" si="2383"/>
        <v>0</v>
      </c>
      <c r="N2867" s="12"/>
      <c r="O2867" s="26"/>
      <c r="P2867" s="47"/>
      <c r="Q2867" s="27"/>
      <c r="R2867" s="50"/>
      <c r="S2867" s="9">
        <f>SUM(O2867:R2867)</f>
        <v>0</v>
      </c>
      <c r="T2867" s="47"/>
      <c r="U2867" s="47"/>
      <c r="V2867" s="27"/>
      <c r="W2867" s="50"/>
      <c r="X2867" s="9">
        <f>SUM(T2867:W2867)</f>
        <v>0</v>
      </c>
      <c r="Y2867" s="11">
        <f t="shared" si="2386"/>
        <v>0</v>
      </c>
    </row>
    <row r="2868" spans="1:26" x14ac:dyDescent="0.15">
      <c r="A2868" s="15"/>
      <c r="B2868" s="26"/>
      <c r="C2868" s="47"/>
      <c r="D2868" s="27"/>
      <c r="E2868" s="34"/>
      <c r="F2868" s="35">
        <f t="shared" si="2390"/>
        <v>0</v>
      </c>
      <c r="G2868" s="26"/>
      <c r="H2868" s="47"/>
      <c r="I2868" s="27"/>
      <c r="J2868" s="34"/>
      <c r="K2868" s="35">
        <f t="shared" si="2391"/>
        <v>0</v>
      </c>
      <c r="L2868" s="11">
        <f t="shared" si="2383"/>
        <v>0</v>
      </c>
      <c r="N2868" s="12"/>
      <c r="O2868" s="26"/>
      <c r="P2868" s="47"/>
      <c r="Q2868" s="27"/>
      <c r="R2868" s="34"/>
      <c r="S2868" s="35">
        <f t="shared" ref="S2868:S2885" si="2394">SUM(O2868:R2868)</f>
        <v>0</v>
      </c>
      <c r="T2868" s="26"/>
      <c r="U2868" s="47"/>
      <c r="V2868" s="27"/>
      <c r="W2868" s="34"/>
      <c r="X2868" s="35">
        <f t="shared" ref="X2868:X2885" si="2395">SUM(T2868:W2868)</f>
        <v>0</v>
      </c>
      <c r="Y2868" s="11">
        <f t="shared" si="2386"/>
        <v>0</v>
      </c>
    </row>
    <row r="2869" spans="1:26" x14ac:dyDescent="0.15">
      <c r="A2869" s="15"/>
      <c r="B2869" s="26"/>
      <c r="C2869" s="47"/>
      <c r="D2869" s="27"/>
      <c r="E2869" s="34"/>
      <c r="F2869" s="35">
        <f t="shared" si="2390"/>
        <v>0</v>
      </c>
      <c r="G2869" s="26"/>
      <c r="H2869" s="47"/>
      <c r="I2869" s="27"/>
      <c r="J2869" s="34"/>
      <c r="K2869" s="35">
        <f t="shared" si="2391"/>
        <v>0</v>
      </c>
      <c r="L2869" s="11">
        <f t="shared" si="2383"/>
        <v>0</v>
      </c>
      <c r="N2869" s="12"/>
      <c r="O2869" s="26"/>
      <c r="P2869" s="47"/>
      <c r="Q2869" s="27"/>
      <c r="R2869" s="34"/>
      <c r="S2869" s="35">
        <f t="shared" si="2394"/>
        <v>0</v>
      </c>
      <c r="T2869" s="26"/>
      <c r="U2869" s="47"/>
      <c r="V2869" s="27"/>
      <c r="W2869" s="34"/>
      <c r="X2869" s="35">
        <f t="shared" si="2395"/>
        <v>0</v>
      </c>
      <c r="Y2869" s="11">
        <f t="shared" si="2386"/>
        <v>0</v>
      </c>
    </row>
    <row r="2870" spans="1:26" x14ac:dyDescent="0.15">
      <c r="A2870" s="15"/>
      <c r="B2870" s="26"/>
      <c r="C2870" s="47"/>
      <c r="D2870" s="27"/>
      <c r="E2870" s="34"/>
      <c r="F2870" s="35">
        <f t="shared" si="2390"/>
        <v>0</v>
      </c>
      <c r="G2870" s="26"/>
      <c r="H2870" s="47"/>
      <c r="I2870" s="27"/>
      <c r="J2870" s="34"/>
      <c r="K2870" s="35">
        <f t="shared" si="2391"/>
        <v>0</v>
      </c>
      <c r="L2870" s="11">
        <f t="shared" si="2383"/>
        <v>0</v>
      </c>
      <c r="N2870" s="12"/>
      <c r="O2870" s="26"/>
      <c r="P2870" s="47"/>
      <c r="Q2870" s="27"/>
      <c r="R2870" s="34"/>
      <c r="S2870" s="35">
        <f t="shared" si="2394"/>
        <v>0</v>
      </c>
      <c r="T2870" s="26"/>
      <c r="U2870" s="47"/>
      <c r="V2870" s="27"/>
      <c r="W2870" s="34"/>
      <c r="X2870" s="35">
        <f t="shared" si="2395"/>
        <v>0</v>
      </c>
      <c r="Y2870" s="11">
        <f t="shared" si="2386"/>
        <v>0</v>
      </c>
    </row>
    <row r="2871" spans="1:26" x14ac:dyDescent="0.15">
      <c r="A2871" s="13"/>
      <c r="B2871" s="26"/>
      <c r="C2871" s="47"/>
      <c r="D2871" s="27"/>
      <c r="E2871" s="34"/>
      <c r="F2871" s="35">
        <f t="shared" si="2390"/>
        <v>0</v>
      </c>
      <c r="G2871" s="26"/>
      <c r="H2871" s="47"/>
      <c r="I2871" s="27"/>
      <c r="J2871" s="34"/>
      <c r="K2871" s="35">
        <f t="shared" si="2391"/>
        <v>0</v>
      </c>
      <c r="L2871" s="11">
        <f t="shared" si="2383"/>
        <v>0</v>
      </c>
      <c r="N2871" s="12"/>
      <c r="O2871" s="26"/>
      <c r="P2871" s="47"/>
      <c r="Q2871" s="27"/>
      <c r="R2871" s="34"/>
      <c r="S2871" s="35">
        <f t="shared" si="2394"/>
        <v>0</v>
      </c>
      <c r="T2871" s="26"/>
      <c r="U2871" s="47"/>
      <c r="V2871" s="27"/>
      <c r="W2871" s="34"/>
      <c r="X2871" s="35">
        <f t="shared" si="2395"/>
        <v>0</v>
      </c>
      <c r="Y2871" s="11">
        <f t="shared" si="2386"/>
        <v>0</v>
      </c>
    </row>
    <row r="2872" spans="1:26" x14ac:dyDescent="0.15">
      <c r="A2872" s="15"/>
      <c r="B2872" s="26"/>
      <c r="C2872" s="47"/>
      <c r="D2872" s="27"/>
      <c r="E2872" s="34"/>
      <c r="F2872" s="35">
        <f t="shared" si="2390"/>
        <v>0</v>
      </c>
      <c r="G2872" s="26"/>
      <c r="H2872" s="47"/>
      <c r="I2872" s="27"/>
      <c r="J2872" s="34"/>
      <c r="K2872" s="35">
        <f t="shared" si="2391"/>
        <v>0</v>
      </c>
      <c r="L2872" s="11">
        <f t="shared" si="2383"/>
        <v>0</v>
      </c>
      <c r="N2872" s="12"/>
      <c r="O2872" s="26"/>
      <c r="P2872" s="47"/>
      <c r="Q2872" s="27"/>
      <c r="R2872" s="34"/>
      <c r="S2872" s="35">
        <f t="shared" si="2394"/>
        <v>0</v>
      </c>
      <c r="T2872" s="26"/>
      <c r="U2872" s="47"/>
      <c r="V2872" s="27"/>
      <c r="W2872" s="34"/>
      <c r="X2872" s="35">
        <f t="shared" si="2395"/>
        <v>0</v>
      </c>
      <c r="Y2872" s="11">
        <f t="shared" si="2386"/>
        <v>0</v>
      </c>
    </row>
    <row r="2873" spans="1:26" x14ac:dyDescent="0.15">
      <c r="A2873" s="13"/>
      <c r="B2873" s="26"/>
      <c r="C2873" s="47"/>
      <c r="D2873" s="27"/>
      <c r="E2873" s="34"/>
      <c r="F2873" s="35">
        <f t="shared" si="2390"/>
        <v>0</v>
      </c>
      <c r="G2873" s="26"/>
      <c r="H2873" s="47"/>
      <c r="I2873" s="27"/>
      <c r="J2873" s="34"/>
      <c r="K2873" s="35">
        <f t="shared" si="2391"/>
        <v>0</v>
      </c>
      <c r="L2873" s="11">
        <f t="shared" si="2383"/>
        <v>0</v>
      </c>
      <c r="N2873" s="12"/>
      <c r="O2873" s="26"/>
      <c r="P2873" s="47"/>
      <c r="Q2873" s="27"/>
      <c r="R2873" s="34"/>
      <c r="S2873" s="35">
        <f t="shared" si="2394"/>
        <v>0</v>
      </c>
      <c r="T2873" s="26"/>
      <c r="U2873" s="47"/>
      <c r="V2873" s="27"/>
      <c r="W2873" s="34"/>
      <c r="X2873" s="35">
        <f t="shared" si="2395"/>
        <v>0</v>
      </c>
      <c r="Y2873" s="11">
        <f t="shared" si="2386"/>
        <v>0</v>
      </c>
    </row>
    <row r="2874" spans="1:26" x14ac:dyDescent="0.15">
      <c r="A2874" s="15"/>
      <c r="B2874" s="26"/>
      <c r="C2874" s="47"/>
      <c r="D2874" s="27"/>
      <c r="E2874" s="34"/>
      <c r="F2874" s="35">
        <f t="shared" si="2390"/>
        <v>0</v>
      </c>
      <c r="G2874" s="26"/>
      <c r="H2874" s="47"/>
      <c r="I2874" s="27"/>
      <c r="J2874" s="34"/>
      <c r="K2874" s="35">
        <f t="shared" si="2391"/>
        <v>0</v>
      </c>
      <c r="L2874" s="11">
        <f t="shared" si="2383"/>
        <v>0</v>
      </c>
      <c r="N2874" s="57"/>
      <c r="O2874" s="26"/>
      <c r="P2874" s="47"/>
      <c r="Q2874" s="27"/>
      <c r="R2874" s="34"/>
      <c r="S2874" s="35">
        <f t="shared" si="2394"/>
        <v>0</v>
      </c>
      <c r="T2874" s="26"/>
      <c r="U2874" s="47"/>
      <c r="V2874" s="27"/>
      <c r="W2874" s="34"/>
      <c r="X2874" s="35">
        <f t="shared" si="2395"/>
        <v>0</v>
      </c>
      <c r="Y2874" s="11">
        <f t="shared" si="2386"/>
        <v>0</v>
      </c>
    </row>
    <row r="2875" spans="1:26" x14ac:dyDescent="0.15">
      <c r="A2875" s="13"/>
      <c r="B2875" s="26"/>
      <c r="C2875" s="47"/>
      <c r="D2875" s="27"/>
      <c r="E2875" s="34"/>
      <c r="F2875" s="35">
        <f t="shared" si="2390"/>
        <v>0</v>
      </c>
      <c r="G2875" s="26"/>
      <c r="H2875" s="47"/>
      <c r="I2875" s="27"/>
      <c r="J2875" s="34"/>
      <c r="K2875" s="35">
        <f t="shared" si="2391"/>
        <v>0</v>
      </c>
      <c r="L2875" s="11">
        <f t="shared" si="2383"/>
        <v>0</v>
      </c>
      <c r="N2875" s="12"/>
      <c r="O2875" s="26"/>
      <c r="P2875" s="47"/>
      <c r="Q2875" s="27"/>
      <c r="R2875" s="34"/>
      <c r="S2875" s="35">
        <f t="shared" si="2394"/>
        <v>0</v>
      </c>
      <c r="T2875" s="26"/>
      <c r="U2875" s="47"/>
      <c r="V2875" s="27"/>
      <c r="W2875" s="34"/>
      <c r="X2875" s="35">
        <f t="shared" si="2395"/>
        <v>0</v>
      </c>
      <c r="Y2875" s="11">
        <f t="shared" si="2386"/>
        <v>0</v>
      </c>
    </row>
    <row r="2876" spans="1:26" x14ac:dyDescent="0.15">
      <c r="A2876" s="15"/>
      <c r="B2876" s="26"/>
      <c r="C2876" s="47"/>
      <c r="D2876" s="27"/>
      <c r="E2876" s="34"/>
      <c r="F2876" s="35">
        <f t="shared" si="2390"/>
        <v>0</v>
      </c>
      <c r="G2876" s="26"/>
      <c r="H2876" s="47"/>
      <c r="I2876" s="27"/>
      <c r="J2876" s="34"/>
      <c r="K2876" s="35">
        <f t="shared" si="2391"/>
        <v>0</v>
      </c>
      <c r="L2876" s="11">
        <f t="shared" si="2383"/>
        <v>0</v>
      </c>
      <c r="N2876" s="57"/>
      <c r="O2876" s="26"/>
      <c r="P2876" s="47"/>
      <c r="Q2876" s="27"/>
      <c r="R2876" s="34"/>
      <c r="S2876" s="35">
        <f t="shared" si="2394"/>
        <v>0</v>
      </c>
      <c r="T2876" s="26"/>
      <c r="U2876" s="47"/>
      <c r="V2876" s="27"/>
      <c r="W2876" s="34"/>
      <c r="X2876" s="35">
        <f t="shared" si="2395"/>
        <v>0</v>
      </c>
      <c r="Y2876" s="11">
        <f t="shared" si="2386"/>
        <v>0</v>
      </c>
    </row>
    <row r="2877" spans="1:26" x14ac:dyDescent="0.15">
      <c r="A2877" s="15"/>
      <c r="B2877" s="26"/>
      <c r="C2877" s="47"/>
      <c r="D2877" s="27"/>
      <c r="E2877" s="34"/>
      <c r="F2877" s="35">
        <f t="shared" si="2390"/>
        <v>0</v>
      </c>
      <c r="G2877" s="26"/>
      <c r="H2877" s="47"/>
      <c r="I2877" s="27"/>
      <c r="J2877" s="34"/>
      <c r="K2877" s="35">
        <f t="shared" si="2391"/>
        <v>0</v>
      </c>
      <c r="L2877" s="11">
        <f t="shared" si="2383"/>
        <v>0</v>
      </c>
      <c r="N2877" s="57"/>
      <c r="O2877" s="26"/>
      <c r="P2877" s="47"/>
      <c r="Q2877" s="27"/>
      <c r="R2877" s="34"/>
      <c r="S2877" s="35">
        <f t="shared" si="2394"/>
        <v>0</v>
      </c>
      <c r="T2877" s="26"/>
      <c r="U2877" s="47"/>
      <c r="V2877" s="27"/>
      <c r="W2877" s="34"/>
      <c r="X2877" s="35">
        <f t="shared" si="2395"/>
        <v>0</v>
      </c>
      <c r="Y2877" s="11">
        <f t="shared" si="2386"/>
        <v>0</v>
      </c>
    </row>
    <row r="2878" spans="1:26" x14ac:dyDescent="0.15">
      <c r="A2878" s="13"/>
      <c r="B2878" s="26"/>
      <c r="C2878" s="47"/>
      <c r="D2878" s="27"/>
      <c r="E2878" s="34"/>
      <c r="F2878" s="35">
        <f t="shared" si="2390"/>
        <v>0</v>
      </c>
      <c r="G2878" s="26"/>
      <c r="H2878" s="47"/>
      <c r="I2878" s="27"/>
      <c r="J2878" s="34"/>
      <c r="K2878" s="35">
        <f t="shared" si="2391"/>
        <v>0</v>
      </c>
      <c r="L2878" s="11">
        <f t="shared" si="2383"/>
        <v>0</v>
      </c>
      <c r="N2878" s="57"/>
      <c r="O2878" s="26"/>
      <c r="P2878" s="47"/>
      <c r="Q2878" s="27"/>
      <c r="R2878" s="34"/>
      <c r="S2878" s="35">
        <f t="shared" si="2394"/>
        <v>0</v>
      </c>
      <c r="T2878" s="26"/>
      <c r="U2878" s="47"/>
      <c r="V2878" s="27"/>
      <c r="W2878" s="34"/>
      <c r="X2878" s="35">
        <f t="shared" si="2395"/>
        <v>0</v>
      </c>
      <c r="Y2878" s="11">
        <f t="shared" si="2386"/>
        <v>0</v>
      </c>
    </row>
    <row r="2879" spans="1:26" x14ac:dyDescent="0.15">
      <c r="A2879" s="32"/>
      <c r="B2879" s="26"/>
      <c r="C2879" s="47"/>
      <c r="D2879" s="27"/>
      <c r="E2879" s="34"/>
      <c r="F2879" s="35">
        <f t="shared" si="2390"/>
        <v>0</v>
      </c>
      <c r="G2879" s="26"/>
      <c r="H2879" s="47"/>
      <c r="I2879" s="27"/>
      <c r="J2879" s="34"/>
      <c r="K2879" s="35">
        <f t="shared" si="2391"/>
        <v>0</v>
      </c>
      <c r="L2879" s="11">
        <f t="shared" si="2383"/>
        <v>0</v>
      </c>
      <c r="N2879" s="57"/>
      <c r="O2879" s="26"/>
      <c r="P2879" s="47"/>
      <c r="Q2879" s="27"/>
      <c r="R2879" s="34"/>
      <c r="S2879" s="35">
        <f t="shared" si="2394"/>
        <v>0</v>
      </c>
      <c r="T2879" s="26"/>
      <c r="U2879" s="47"/>
      <c r="V2879" s="27"/>
      <c r="W2879" s="34"/>
      <c r="X2879" s="35">
        <f t="shared" si="2395"/>
        <v>0</v>
      </c>
      <c r="Y2879" s="11">
        <f t="shared" si="2386"/>
        <v>0</v>
      </c>
    </row>
    <row r="2880" spans="1:26" x14ac:dyDescent="0.15">
      <c r="A2880" s="32"/>
      <c r="B2880" s="26"/>
      <c r="C2880" s="47"/>
      <c r="D2880" s="27"/>
      <c r="E2880" s="34"/>
      <c r="F2880" s="35">
        <f t="shared" si="2390"/>
        <v>0</v>
      </c>
      <c r="G2880" s="26"/>
      <c r="H2880" s="47"/>
      <c r="I2880" s="27"/>
      <c r="J2880" s="34"/>
      <c r="K2880" s="35">
        <f t="shared" si="2391"/>
        <v>0</v>
      </c>
      <c r="L2880" s="11">
        <f t="shared" si="2383"/>
        <v>0</v>
      </c>
      <c r="N2880" s="285" t="s">
        <v>2208</v>
      </c>
      <c r="O2880" s="324">
        <v>-2</v>
      </c>
      <c r="P2880" s="325">
        <v>-5</v>
      </c>
      <c r="Q2880" s="326">
        <v>-2</v>
      </c>
      <c r="R2880" s="327">
        <v>-2</v>
      </c>
      <c r="S2880" s="328">
        <f t="shared" ref="S2880:S2881" si="2396">SUM(O2880:R2880)</f>
        <v>-11</v>
      </c>
      <c r="T2880" s="324">
        <v>-2</v>
      </c>
      <c r="U2880" s="325">
        <v>-5</v>
      </c>
      <c r="V2880" s="326">
        <v>-2</v>
      </c>
      <c r="W2880" s="327">
        <v>-2</v>
      </c>
      <c r="X2880" s="328">
        <f t="shared" ref="X2880:X2881" si="2397">SUM(T2880:W2880)</f>
        <v>-11</v>
      </c>
      <c r="Y2880" s="150">
        <f t="shared" ref="Y2880:Y2881" si="2398">S2880+X2880</f>
        <v>-22</v>
      </c>
      <c r="Z2880" s="195"/>
    </row>
    <row r="2881" spans="1:26" x14ac:dyDescent="0.15">
      <c r="A2881" s="12"/>
      <c r="B2881" s="26"/>
      <c r="C2881" s="47"/>
      <c r="D2881" s="27"/>
      <c r="E2881" s="34"/>
      <c r="F2881" s="35">
        <f t="shared" si="2390"/>
        <v>0</v>
      </c>
      <c r="G2881" s="26"/>
      <c r="H2881" s="47"/>
      <c r="I2881" s="27"/>
      <c r="J2881" s="34"/>
      <c r="K2881" s="35">
        <f t="shared" si="2391"/>
        <v>0</v>
      </c>
      <c r="L2881" s="11">
        <f t="shared" si="2383"/>
        <v>0</v>
      </c>
      <c r="N2881" s="103" t="s">
        <v>2209</v>
      </c>
      <c r="O2881" s="235">
        <v>10</v>
      </c>
      <c r="P2881" s="236">
        <v>20</v>
      </c>
      <c r="Q2881" s="237">
        <v>10</v>
      </c>
      <c r="R2881" s="238">
        <v>10</v>
      </c>
      <c r="S2881" s="239">
        <f t="shared" si="2396"/>
        <v>50</v>
      </c>
      <c r="T2881" s="235">
        <v>10</v>
      </c>
      <c r="U2881" s="236">
        <v>20</v>
      </c>
      <c r="V2881" s="237">
        <v>10</v>
      </c>
      <c r="W2881" s="238">
        <v>10</v>
      </c>
      <c r="X2881" s="239">
        <f t="shared" si="2397"/>
        <v>50</v>
      </c>
      <c r="Y2881" s="293">
        <f t="shared" si="2398"/>
        <v>100</v>
      </c>
      <c r="Z2881" s="102" t="s">
        <v>2210</v>
      </c>
    </row>
    <row r="2882" spans="1:26" x14ac:dyDescent="0.15">
      <c r="A2882" s="79"/>
      <c r="B2882" s="26"/>
      <c r="C2882" s="47"/>
      <c r="D2882" s="27"/>
      <c r="E2882" s="34"/>
      <c r="F2882" s="35">
        <f t="shared" si="2390"/>
        <v>0</v>
      </c>
      <c r="G2882" s="26"/>
      <c r="H2882" s="47"/>
      <c r="I2882" s="27"/>
      <c r="J2882" s="34"/>
      <c r="K2882" s="35">
        <f t="shared" si="2391"/>
        <v>0</v>
      </c>
      <c r="L2882" s="11">
        <f t="shared" si="2383"/>
        <v>0</v>
      </c>
      <c r="N2882" s="173" t="s">
        <v>2261</v>
      </c>
      <c r="O2882" s="154">
        <v>0</v>
      </c>
      <c r="P2882" s="155">
        <v>0</v>
      </c>
      <c r="Q2882" s="156">
        <v>0</v>
      </c>
      <c r="R2882" s="157">
        <v>0</v>
      </c>
      <c r="S2882" s="158">
        <f t="shared" si="2394"/>
        <v>0</v>
      </c>
      <c r="T2882" s="154">
        <v>0</v>
      </c>
      <c r="U2882" s="155">
        <v>0</v>
      </c>
      <c r="V2882" s="156">
        <v>0</v>
      </c>
      <c r="W2882" s="157">
        <v>0</v>
      </c>
      <c r="X2882" s="158">
        <f t="shared" si="2395"/>
        <v>0</v>
      </c>
      <c r="Y2882" s="159">
        <f t="shared" si="2386"/>
        <v>0</v>
      </c>
      <c r="Z2882" s="101"/>
    </row>
    <row r="2883" spans="1:26" x14ac:dyDescent="0.15">
      <c r="A2883" s="57"/>
      <c r="B2883" s="26"/>
      <c r="C2883" s="47"/>
      <c r="D2883" s="27"/>
      <c r="E2883" s="34"/>
      <c r="F2883" s="35">
        <f t="shared" si="2390"/>
        <v>0</v>
      </c>
      <c r="G2883" s="26"/>
      <c r="H2883" s="47"/>
      <c r="I2883" s="27"/>
      <c r="J2883" s="34"/>
      <c r="K2883" s="35">
        <f t="shared" si="2391"/>
        <v>0</v>
      </c>
      <c r="L2883" s="11">
        <f t="shared" si="2383"/>
        <v>0</v>
      </c>
      <c r="N2883" s="57" t="s">
        <v>2260</v>
      </c>
      <c r="O2883" s="26">
        <v>55</v>
      </c>
      <c r="P2883" s="47">
        <v>60</v>
      </c>
      <c r="Q2883" s="27">
        <v>35</v>
      </c>
      <c r="R2883" s="34">
        <v>20</v>
      </c>
      <c r="S2883" s="35">
        <f t="shared" si="2394"/>
        <v>170</v>
      </c>
      <c r="T2883" s="26">
        <v>15</v>
      </c>
      <c r="U2883" s="47">
        <v>15</v>
      </c>
      <c r="V2883" s="27">
        <v>15</v>
      </c>
      <c r="W2883" s="34">
        <v>15</v>
      </c>
      <c r="X2883" s="35">
        <f t="shared" si="2395"/>
        <v>60</v>
      </c>
      <c r="Y2883" s="11">
        <f t="shared" si="2386"/>
        <v>230</v>
      </c>
      <c r="Z2883" s="101" t="s">
        <v>2259</v>
      </c>
    </row>
    <row r="2884" spans="1:26" ht="14.25" thickBot="1" x14ac:dyDescent="0.2">
      <c r="A2884" s="90"/>
      <c r="B2884" s="62"/>
      <c r="C2884" s="63"/>
      <c r="D2884" s="64"/>
      <c r="E2884" s="65"/>
      <c r="F2884" s="35">
        <f t="shared" si="2390"/>
        <v>0</v>
      </c>
      <c r="G2884" s="62"/>
      <c r="H2884" s="63"/>
      <c r="I2884" s="64"/>
      <c r="J2884" s="65"/>
      <c r="K2884" s="35">
        <f t="shared" si="2391"/>
        <v>0</v>
      </c>
      <c r="L2884" s="14">
        <f t="shared" si="2383"/>
        <v>0</v>
      </c>
      <c r="N2884" s="313" t="s">
        <v>2211</v>
      </c>
      <c r="O2884" s="246">
        <v>15</v>
      </c>
      <c r="P2884" s="247">
        <v>15</v>
      </c>
      <c r="Q2884" s="248">
        <v>15</v>
      </c>
      <c r="R2884" s="338">
        <v>40</v>
      </c>
      <c r="S2884" s="339">
        <f t="shared" si="2394"/>
        <v>85</v>
      </c>
      <c r="T2884" s="246">
        <v>10</v>
      </c>
      <c r="U2884" s="247">
        <v>10</v>
      </c>
      <c r="V2884" s="248">
        <v>15</v>
      </c>
      <c r="W2884" s="338">
        <v>50</v>
      </c>
      <c r="X2884" s="339">
        <f t="shared" si="2395"/>
        <v>85</v>
      </c>
      <c r="Y2884" s="336">
        <f t="shared" si="2386"/>
        <v>170</v>
      </c>
      <c r="Z2884" s="102" t="s">
        <v>2212</v>
      </c>
    </row>
    <row r="2885" spans="1:26" ht="14.25" thickBot="1" x14ac:dyDescent="0.2">
      <c r="A2885" s="17" t="s">
        <v>10</v>
      </c>
      <c r="B2885" s="38">
        <f>SUM(B2860:B2884)</f>
        <v>0</v>
      </c>
      <c r="C2885" s="48">
        <f>SUM(C2860:C2884)</f>
        <v>0</v>
      </c>
      <c r="D2885" s="39">
        <f>SUM(D2860:D2884)</f>
        <v>0</v>
      </c>
      <c r="E2885" s="40">
        <f>SUM(E2860:E2884)</f>
        <v>0</v>
      </c>
      <c r="F2885" s="36">
        <f>SUM(B2885:E2885)</f>
        <v>0</v>
      </c>
      <c r="G2885" s="38">
        <f>SUM(G2860:G2884)</f>
        <v>0</v>
      </c>
      <c r="H2885" s="48">
        <f>SUM(H2860:H2884)</f>
        <v>0</v>
      </c>
      <c r="I2885" s="39">
        <f>SUM(I2860:I2884)</f>
        <v>0</v>
      </c>
      <c r="J2885" s="40">
        <f>SUM(J2860:J2884)</f>
        <v>0</v>
      </c>
      <c r="K2885" s="36">
        <f>SUM(G2885:J2885)</f>
        <v>0</v>
      </c>
      <c r="L2885" s="37">
        <f t="shared" si="2383"/>
        <v>0</v>
      </c>
      <c r="N2885" s="17" t="s">
        <v>10</v>
      </c>
      <c r="O2885" s="228">
        <f>SUM(O2860:O2884)</f>
        <v>78</v>
      </c>
      <c r="P2885" s="229">
        <f>SUM(P2860:P2884)</f>
        <v>90</v>
      </c>
      <c r="Q2885" s="230">
        <f>SUM(Q2860:Q2884)</f>
        <v>58</v>
      </c>
      <c r="R2885" s="231">
        <f>SUM(R2860:R2884)</f>
        <v>68</v>
      </c>
      <c r="S2885" s="36">
        <f t="shared" si="2394"/>
        <v>294</v>
      </c>
      <c r="T2885" s="228">
        <f>SUM(T2860:T2884)</f>
        <v>33</v>
      </c>
      <c r="U2885" s="229">
        <f>SUM(U2860:U2884)</f>
        <v>40</v>
      </c>
      <c r="V2885" s="230">
        <f>SUM(V2860:V2884)</f>
        <v>38</v>
      </c>
      <c r="W2885" s="231">
        <f>SUM(W2860:W2884)</f>
        <v>73</v>
      </c>
      <c r="X2885" s="36">
        <f t="shared" si="2395"/>
        <v>184</v>
      </c>
      <c r="Y2885" s="37">
        <f t="shared" si="2386"/>
        <v>478</v>
      </c>
    </row>
    <row r="2886" spans="1:26" ht="14.25" thickBot="1" x14ac:dyDescent="0.2">
      <c r="A2886" s="22" t="s">
        <v>11</v>
      </c>
      <c r="B2886" s="41">
        <f>B2859-B2885</f>
        <v>26</v>
      </c>
      <c r="C2886" s="49">
        <f>C2859-C2885</f>
        <v>11</v>
      </c>
      <c r="D2886" s="42">
        <f t="shared" ref="D2886:K2886" si="2399">D2859-D2885</f>
        <v>10</v>
      </c>
      <c r="E2886" s="43">
        <f t="shared" si="2399"/>
        <v>16</v>
      </c>
      <c r="F2886" s="61">
        <f t="shared" si="2399"/>
        <v>59</v>
      </c>
      <c r="G2886" s="41">
        <f t="shared" si="2399"/>
        <v>10</v>
      </c>
      <c r="H2886" s="49">
        <f t="shared" si="2399"/>
        <v>7</v>
      </c>
      <c r="I2886" s="42">
        <f t="shared" si="2399"/>
        <v>11</v>
      </c>
      <c r="J2886" s="43">
        <f t="shared" si="2399"/>
        <v>10</v>
      </c>
      <c r="K2886" s="61">
        <f t="shared" si="2399"/>
        <v>38</v>
      </c>
      <c r="L2886" s="21">
        <f t="shared" si="2383"/>
        <v>97</v>
      </c>
      <c r="N2886" s="17" t="s">
        <v>11</v>
      </c>
      <c r="O2886" s="41">
        <f>O2859-O2885</f>
        <v>567</v>
      </c>
      <c r="P2886" s="49">
        <f t="shared" ref="P2886:Q2886" si="2400">P2859-P2885</f>
        <v>747</v>
      </c>
      <c r="Q2886" s="42">
        <f t="shared" si="2400"/>
        <v>441</v>
      </c>
      <c r="R2886" s="43">
        <f>R2859-R2885</f>
        <v>254</v>
      </c>
      <c r="S2886" s="61">
        <f t="shared" ref="S2886:X2886" si="2401">S2859-S2885</f>
        <v>2009</v>
      </c>
      <c r="T2886" s="41">
        <f t="shared" si="2401"/>
        <v>463</v>
      </c>
      <c r="U2886" s="49">
        <f t="shared" si="2401"/>
        <v>485</v>
      </c>
      <c r="V2886" s="42">
        <f t="shared" si="2401"/>
        <v>362</v>
      </c>
      <c r="W2886" s="43">
        <f t="shared" si="2401"/>
        <v>269</v>
      </c>
      <c r="X2886" s="61">
        <f t="shared" si="2401"/>
        <v>1579</v>
      </c>
      <c r="Y2886" s="21">
        <f t="shared" si="2386"/>
        <v>3588</v>
      </c>
    </row>
  </sheetData>
  <mergeCells count="456">
    <mergeCell ref="B2700:F2700"/>
    <mergeCell ref="G2700:K2700"/>
    <mergeCell ref="L2700:L2701"/>
    <mergeCell ref="O2586:S2586"/>
    <mergeCell ref="T2586:X2586"/>
    <mergeCell ref="Y2586:Y2587"/>
    <mergeCell ref="B2472:F2472"/>
    <mergeCell ref="G2472:K2472"/>
    <mergeCell ref="L2472:L2473"/>
    <mergeCell ref="O2472:S2472"/>
    <mergeCell ref="T2472:X2472"/>
    <mergeCell ref="Y2472:Y2473"/>
    <mergeCell ref="Y2510:Y2511"/>
    <mergeCell ref="T2510:X2510"/>
    <mergeCell ref="O2510:S2510"/>
    <mergeCell ref="O2548:S2548"/>
    <mergeCell ref="T2548:X2548"/>
    <mergeCell ref="Y2548:Y2549"/>
    <mergeCell ref="B2510:F2510"/>
    <mergeCell ref="G2510:K2510"/>
    <mergeCell ref="L2510:L2511"/>
    <mergeCell ref="B2548:F2548"/>
    <mergeCell ref="G2548:K2548"/>
    <mergeCell ref="L2548:L2549"/>
    <mergeCell ref="B2054:F2054"/>
    <mergeCell ref="G2054:K2054"/>
    <mergeCell ref="L2054:L2055"/>
    <mergeCell ref="O2054:S2054"/>
    <mergeCell ref="T2054:X2054"/>
    <mergeCell ref="Y2054:Y2055"/>
    <mergeCell ref="B2168:F2168"/>
    <mergeCell ref="G2168:K2168"/>
    <mergeCell ref="L2168:L2169"/>
    <mergeCell ref="O2168:S2168"/>
    <mergeCell ref="T2168:X2168"/>
    <mergeCell ref="Y2168:Y2169"/>
    <mergeCell ref="B2092:F2092"/>
    <mergeCell ref="G2092:K2092"/>
    <mergeCell ref="L2092:L2093"/>
    <mergeCell ref="O2092:S2092"/>
    <mergeCell ref="T2092:X2092"/>
    <mergeCell ref="Y2092:Y2093"/>
    <mergeCell ref="O2130:S2130"/>
    <mergeCell ref="T2130:X2130"/>
    <mergeCell ref="Y2130:Y2131"/>
    <mergeCell ref="B2130:F2130"/>
    <mergeCell ref="G2130:K2130"/>
    <mergeCell ref="L2130:L2131"/>
    <mergeCell ref="O344:S344"/>
    <mergeCell ref="T344:X344"/>
    <mergeCell ref="Y344:Y345"/>
    <mergeCell ref="B344:F344"/>
    <mergeCell ref="G344:K344"/>
    <mergeCell ref="L344:L345"/>
    <mergeCell ref="O496:S496"/>
    <mergeCell ref="T496:X496"/>
    <mergeCell ref="Y496:Y497"/>
    <mergeCell ref="B496:F496"/>
    <mergeCell ref="G496:K496"/>
    <mergeCell ref="L496:L497"/>
    <mergeCell ref="Y382:Y383"/>
    <mergeCell ref="B382:F382"/>
    <mergeCell ref="G382:K382"/>
    <mergeCell ref="L382:L383"/>
    <mergeCell ref="O382:S382"/>
    <mergeCell ref="T382:X382"/>
    <mergeCell ref="O420:S420"/>
    <mergeCell ref="T420:X420"/>
    <mergeCell ref="Y420:Y421"/>
    <mergeCell ref="B420:F420"/>
    <mergeCell ref="G420:K420"/>
    <mergeCell ref="L420:L421"/>
    <mergeCell ref="O686:S686"/>
    <mergeCell ref="T686:X686"/>
    <mergeCell ref="Y686:Y687"/>
    <mergeCell ref="B686:F686"/>
    <mergeCell ref="G686:K686"/>
    <mergeCell ref="L686:L687"/>
    <mergeCell ref="Y572:Y573"/>
    <mergeCell ref="B572:F572"/>
    <mergeCell ref="G572:K572"/>
    <mergeCell ref="L572:L573"/>
    <mergeCell ref="O572:S572"/>
    <mergeCell ref="T572:X572"/>
    <mergeCell ref="O648:S648"/>
    <mergeCell ref="T648:X648"/>
    <mergeCell ref="Y648:Y649"/>
    <mergeCell ref="B648:F648"/>
    <mergeCell ref="G648:K648"/>
    <mergeCell ref="L648:L649"/>
    <mergeCell ref="O610:S610"/>
    <mergeCell ref="T610:X610"/>
    <mergeCell ref="Y610:Y611"/>
    <mergeCell ref="B610:F610"/>
    <mergeCell ref="G610:K610"/>
    <mergeCell ref="L610:L611"/>
    <mergeCell ref="O78:S78"/>
    <mergeCell ref="T78:X78"/>
    <mergeCell ref="Y78:Y79"/>
    <mergeCell ref="B78:F78"/>
    <mergeCell ref="G78:K78"/>
    <mergeCell ref="L78:L79"/>
    <mergeCell ref="Y230:Y231"/>
    <mergeCell ref="B230:F230"/>
    <mergeCell ref="G230:K230"/>
    <mergeCell ref="L230:L231"/>
    <mergeCell ref="O230:S230"/>
    <mergeCell ref="T230:X230"/>
    <mergeCell ref="B116:F116"/>
    <mergeCell ref="G116:K116"/>
    <mergeCell ref="L116:L117"/>
    <mergeCell ref="B192:F192"/>
    <mergeCell ref="G192:K192"/>
    <mergeCell ref="L192:L193"/>
    <mergeCell ref="B154:F154"/>
    <mergeCell ref="G154:K154"/>
    <mergeCell ref="L154:L155"/>
    <mergeCell ref="O116:S116"/>
    <mergeCell ref="T116:X116"/>
    <mergeCell ref="Y116:Y117"/>
    <mergeCell ref="Y2:Y3"/>
    <mergeCell ref="O2:S2"/>
    <mergeCell ref="T2:X2"/>
    <mergeCell ref="B2:F2"/>
    <mergeCell ref="G2:K2"/>
    <mergeCell ref="L2:L3"/>
    <mergeCell ref="Y40:Y41"/>
    <mergeCell ref="B40:F40"/>
    <mergeCell ref="G40:K40"/>
    <mergeCell ref="L40:L41"/>
    <mergeCell ref="O40:S40"/>
    <mergeCell ref="T40:X40"/>
    <mergeCell ref="O192:S192"/>
    <mergeCell ref="T192:X192"/>
    <mergeCell ref="Y192:Y193"/>
    <mergeCell ref="O154:S154"/>
    <mergeCell ref="T154:X154"/>
    <mergeCell ref="Y154:Y155"/>
    <mergeCell ref="O268:S268"/>
    <mergeCell ref="T268:X268"/>
    <mergeCell ref="Y268:Y269"/>
    <mergeCell ref="B268:F268"/>
    <mergeCell ref="G268:K268"/>
    <mergeCell ref="L268:L269"/>
    <mergeCell ref="Y306:Y307"/>
    <mergeCell ref="B306:F306"/>
    <mergeCell ref="G306:K306"/>
    <mergeCell ref="L306:L307"/>
    <mergeCell ref="O306:S306"/>
    <mergeCell ref="T306:X306"/>
    <mergeCell ref="O534:S534"/>
    <mergeCell ref="T534:X534"/>
    <mergeCell ref="Y534:Y535"/>
    <mergeCell ref="B534:F534"/>
    <mergeCell ref="G534:K534"/>
    <mergeCell ref="L534:L535"/>
    <mergeCell ref="Y458:Y459"/>
    <mergeCell ref="B458:F458"/>
    <mergeCell ref="G458:K458"/>
    <mergeCell ref="L458:L459"/>
    <mergeCell ref="O458:S458"/>
    <mergeCell ref="T458:X458"/>
    <mergeCell ref="O762:S762"/>
    <mergeCell ref="T762:X762"/>
    <mergeCell ref="Y762:Y763"/>
    <mergeCell ref="O724:S724"/>
    <mergeCell ref="T724:X724"/>
    <mergeCell ref="Y724:Y725"/>
    <mergeCell ref="B724:F724"/>
    <mergeCell ref="G724:K724"/>
    <mergeCell ref="L724:L725"/>
    <mergeCell ref="B762:F762"/>
    <mergeCell ref="G762:K762"/>
    <mergeCell ref="L762:L763"/>
    <mergeCell ref="O800:S800"/>
    <mergeCell ref="T800:X800"/>
    <mergeCell ref="Y800:Y801"/>
    <mergeCell ref="B800:F800"/>
    <mergeCell ref="G800:K800"/>
    <mergeCell ref="L800:L801"/>
    <mergeCell ref="B876:F876"/>
    <mergeCell ref="G876:K876"/>
    <mergeCell ref="L876:L877"/>
    <mergeCell ref="O876:S876"/>
    <mergeCell ref="T876:X876"/>
    <mergeCell ref="Y876:Y877"/>
    <mergeCell ref="B838:F838"/>
    <mergeCell ref="G838:K838"/>
    <mergeCell ref="L838:L839"/>
    <mergeCell ref="O838:S838"/>
    <mergeCell ref="T838:X838"/>
    <mergeCell ref="Y838:Y839"/>
    <mergeCell ref="O990:S990"/>
    <mergeCell ref="T990:X990"/>
    <mergeCell ref="Y990:Y991"/>
    <mergeCell ref="B990:F990"/>
    <mergeCell ref="G990:K990"/>
    <mergeCell ref="L990:L991"/>
    <mergeCell ref="O914:S914"/>
    <mergeCell ref="T914:X914"/>
    <mergeCell ref="Y914:Y915"/>
    <mergeCell ref="B914:F914"/>
    <mergeCell ref="G914:K914"/>
    <mergeCell ref="L914:L915"/>
    <mergeCell ref="B952:F952"/>
    <mergeCell ref="G952:K952"/>
    <mergeCell ref="L952:L953"/>
    <mergeCell ref="O952:S952"/>
    <mergeCell ref="T952:X952"/>
    <mergeCell ref="Y952:Y953"/>
    <mergeCell ref="O1028:S1028"/>
    <mergeCell ref="T1028:X1028"/>
    <mergeCell ref="Y1028:Y1029"/>
    <mergeCell ref="B1028:F1028"/>
    <mergeCell ref="G1028:K1028"/>
    <mergeCell ref="L1028:L1029"/>
    <mergeCell ref="B1066:F1066"/>
    <mergeCell ref="G1066:K1066"/>
    <mergeCell ref="L1066:L1067"/>
    <mergeCell ref="O1066:S1066"/>
    <mergeCell ref="T1066:X1066"/>
    <mergeCell ref="Y1066:Y1067"/>
    <mergeCell ref="B1142:F1142"/>
    <mergeCell ref="G1142:K1142"/>
    <mergeCell ref="L1142:L1143"/>
    <mergeCell ref="O1142:S1142"/>
    <mergeCell ref="T1142:X1142"/>
    <mergeCell ref="Y1142:Y1143"/>
    <mergeCell ref="B1104:F1104"/>
    <mergeCell ref="G1104:K1104"/>
    <mergeCell ref="L1104:L1105"/>
    <mergeCell ref="O1104:S1104"/>
    <mergeCell ref="T1104:X1104"/>
    <mergeCell ref="Y1104:Y1105"/>
    <mergeCell ref="B1180:F1180"/>
    <mergeCell ref="G1180:K1180"/>
    <mergeCell ref="L1180:L1181"/>
    <mergeCell ref="O1180:S1180"/>
    <mergeCell ref="T1180:X1180"/>
    <mergeCell ref="Y1180:Y1181"/>
    <mergeCell ref="B1218:F1218"/>
    <mergeCell ref="G1218:K1218"/>
    <mergeCell ref="L1218:L1219"/>
    <mergeCell ref="O1218:S1218"/>
    <mergeCell ref="T1218:X1218"/>
    <mergeCell ref="Y1218:Y1219"/>
    <mergeCell ref="O1256:S1256"/>
    <mergeCell ref="T1256:X1256"/>
    <mergeCell ref="Y1256:Y1257"/>
    <mergeCell ref="B1256:F1256"/>
    <mergeCell ref="G1256:K1256"/>
    <mergeCell ref="L1256:L1257"/>
    <mergeCell ref="O1294:S1294"/>
    <mergeCell ref="T1294:X1294"/>
    <mergeCell ref="Y1294:Y1295"/>
    <mergeCell ref="B1294:F1294"/>
    <mergeCell ref="G1294:K1294"/>
    <mergeCell ref="L1294:L1295"/>
    <mergeCell ref="O1332:S1332"/>
    <mergeCell ref="T1332:X1332"/>
    <mergeCell ref="Y1332:Y1333"/>
    <mergeCell ref="B1332:F1332"/>
    <mergeCell ref="G1332:K1332"/>
    <mergeCell ref="L1332:L1333"/>
    <mergeCell ref="O1560:S1560"/>
    <mergeCell ref="T1560:X1560"/>
    <mergeCell ref="Y1560:Y1561"/>
    <mergeCell ref="B1560:F1560"/>
    <mergeCell ref="G1560:K1560"/>
    <mergeCell ref="L1560:L1561"/>
    <mergeCell ref="O1370:S1370"/>
    <mergeCell ref="T1370:X1370"/>
    <mergeCell ref="Y1370:Y1371"/>
    <mergeCell ref="B1370:F1370"/>
    <mergeCell ref="G1370:K1370"/>
    <mergeCell ref="L1370:L1371"/>
    <mergeCell ref="B1446:F1446"/>
    <mergeCell ref="G1446:K1446"/>
    <mergeCell ref="L1446:L1447"/>
    <mergeCell ref="O1446:S1446"/>
    <mergeCell ref="T1446:X1446"/>
    <mergeCell ref="Y1446:Y1447"/>
    <mergeCell ref="B1408:F1408"/>
    <mergeCell ref="G1408:K1408"/>
    <mergeCell ref="L1408:L1409"/>
    <mergeCell ref="O1408:S1408"/>
    <mergeCell ref="T1408:X1408"/>
    <mergeCell ref="Y1408:Y1409"/>
    <mergeCell ref="O1522:S1522"/>
    <mergeCell ref="T1522:X1522"/>
    <mergeCell ref="Y1522:Y1523"/>
    <mergeCell ref="B1522:F1522"/>
    <mergeCell ref="G1522:K1522"/>
    <mergeCell ref="L1522:L1523"/>
    <mergeCell ref="B1484:F1484"/>
    <mergeCell ref="G1484:K1484"/>
    <mergeCell ref="L1484:L1485"/>
    <mergeCell ref="O1484:S1484"/>
    <mergeCell ref="T1484:X1484"/>
    <mergeCell ref="Y1484:Y1485"/>
    <mergeCell ref="B1674:F1674"/>
    <mergeCell ref="G1674:K1674"/>
    <mergeCell ref="L1674:L1675"/>
    <mergeCell ref="O1674:S1674"/>
    <mergeCell ref="T1674:X1674"/>
    <mergeCell ref="Y1674:Y1675"/>
    <mergeCell ref="O1598:S1598"/>
    <mergeCell ref="T1598:X1598"/>
    <mergeCell ref="Y1598:Y1599"/>
    <mergeCell ref="B1598:F1598"/>
    <mergeCell ref="G1598:K1598"/>
    <mergeCell ref="L1598:L1599"/>
    <mergeCell ref="B1636:F1636"/>
    <mergeCell ref="G1636:K1636"/>
    <mergeCell ref="L1636:L1637"/>
    <mergeCell ref="O1636:S1636"/>
    <mergeCell ref="T1636:X1636"/>
    <mergeCell ref="Y1636:Y1637"/>
    <mergeCell ref="B1826:F1826"/>
    <mergeCell ref="G1826:K1826"/>
    <mergeCell ref="L1826:L1827"/>
    <mergeCell ref="O1826:S1826"/>
    <mergeCell ref="T1826:X1826"/>
    <mergeCell ref="Y1826:Y1827"/>
    <mergeCell ref="O1712:S1712"/>
    <mergeCell ref="T1712:X1712"/>
    <mergeCell ref="Y1712:Y1713"/>
    <mergeCell ref="B1712:F1712"/>
    <mergeCell ref="G1712:K1712"/>
    <mergeCell ref="L1712:L1713"/>
    <mergeCell ref="B1750:F1750"/>
    <mergeCell ref="G1750:K1750"/>
    <mergeCell ref="L1750:L1751"/>
    <mergeCell ref="O1750:S1750"/>
    <mergeCell ref="T1750:X1750"/>
    <mergeCell ref="Y1750:Y1751"/>
    <mergeCell ref="O1788:S1788"/>
    <mergeCell ref="T1788:X1788"/>
    <mergeCell ref="Y1788:Y1789"/>
    <mergeCell ref="B1788:F1788"/>
    <mergeCell ref="G1788:K1788"/>
    <mergeCell ref="L1788:L1789"/>
    <mergeCell ref="B1902:F1902"/>
    <mergeCell ref="G1902:K1902"/>
    <mergeCell ref="L1902:L1903"/>
    <mergeCell ref="O1902:S1902"/>
    <mergeCell ref="T1902:X1902"/>
    <mergeCell ref="Y1902:Y1903"/>
    <mergeCell ref="B1864:F1864"/>
    <mergeCell ref="G1864:K1864"/>
    <mergeCell ref="L1864:L1865"/>
    <mergeCell ref="O1864:S1864"/>
    <mergeCell ref="T1864:X1864"/>
    <mergeCell ref="Y1864:Y1865"/>
    <mergeCell ref="B1940:F1940"/>
    <mergeCell ref="G1940:K1940"/>
    <mergeCell ref="L1940:L1941"/>
    <mergeCell ref="O1940:S1940"/>
    <mergeCell ref="T1940:X1940"/>
    <mergeCell ref="Y1940:Y1941"/>
    <mergeCell ref="O1978:S1978"/>
    <mergeCell ref="T1978:X1978"/>
    <mergeCell ref="Y1978:Y1979"/>
    <mergeCell ref="B1978:F1978"/>
    <mergeCell ref="G1978:K1978"/>
    <mergeCell ref="L1978:L1979"/>
    <mergeCell ref="O2016:S2016"/>
    <mergeCell ref="T2016:X2016"/>
    <mergeCell ref="Y2016:Y2017"/>
    <mergeCell ref="B2016:F2016"/>
    <mergeCell ref="G2016:K2016"/>
    <mergeCell ref="L2016:L2017"/>
    <mergeCell ref="O2434:S2434"/>
    <mergeCell ref="T2434:X2434"/>
    <mergeCell ref="Y2434:Y2435"/>
    <mergeCell ref="B2434:F2434"/>
    <mergeCell ref="G2434:K2434"/>
    <mergeCell ref="L2434:L2435"/>
    <mergeCell ref="B2206:F2206"/>
    <mergeCell ref="G2206:K2206"/>
    <mergeCell ref="L2206:L2207"/>
    <mergeCell ref="O2206:S2206"/>
    <mergeCell ref="T2206:X2206"/>
    <mergeCell ref="Y2206:Y2207"/>
    <mergeCell ref="O2396:S2396"/>
    <mergeCell ref="T2396:X2396"/>
    <mergeCell ref="Y2396:Y2397"/>
    <mergeCell ref="B2396:F2396"/>
    <mergeCell ref="G2396:K2396"/>
    <mergeCell ref="L2396:L2397"/>
    <mergeCell ref="O2244:S2244"/>
    <mergeCell ref="T2244:X2244"/>
    <mergeCell ref="Y2244:Y2245"/>
    <mergeCell ref="O2358:S2358"/>
    <mergeCell ref="T2358:X2358"/>
    <mergeCell ref="Y2358:Y2359"/>
    <mergeCell ref="B2244:F2244"/>
    <mergeCell ref="G2244:K2244"/>
    <mergeCell ref="L2244:L2245"/>
    <mergeCell ref="O2320:S2320"/>
    <mergeCell ref="T2320:X2320"/>
    <mergeCell ref="Y2320:Y2321"/>
    <mergeCell ref="B2320:F2320"/>
    <mergeCell ref="G2320:K2320"/>
    <mergeCell ref="L2320:L2321"/>
    <mergeCell ref="B2282:F2282"/>
    <mergeCell ref="G2282:K2282"/>
    <mergeCell ref="L2282:L2283"/>
    <mergeCell ref="O2282:S2282"/>
    <mergeCell ref="T2282:X2282"/>
    <mergeCell ref="Y2282:Y2283"/>
    <mergeCell ref="B2358:F2358"/>
    <mergeCell ref="G2358:K2358"/>
    <mergeCell ref="L2358:L2359"/>
    <mergeCell ref="O2738:S2738"/>
    <mergeCell ref="T2738:X2738"/>
    <mergeCell ref="Y2738:Y2739"/>
    <mergeCell ref="B2738:F2738"/>
    <mergeCell ref="G2738:K2738"/>
    <mergeCell ref="L2738:L2739"/>
    <mergeCell ref="B2586:F2586"/>
    <mergeCell ref="G2586:K2586"/>
    <mergeCell ref="L2586:L2587"/>
    <mergeCell ref="B2662:F2662"/>
    <mergeCell ref="G2662:K2662"/>
    <mergeCell ref="L2662:L2663"/>
    <mergeCell ref="O2662:S2662"/>
    <mergeCell ref="T2662:X2662"/>
    <mergeCell ref="Y2662:Y2663"/>
    <mergeCell ref="O2624:S2624"/>
    <mergeCell ref="T2624:X2624"/>
    <mergeCell ref="Y2624:Y2625"/>
    <mergeCell ref="O2700:S2700"/>
    <mergeCell ref="T2700:X2700"/>
    <mergeCell ref="Y2700:Y2701"/>
    <mergeCell ref="B2624:F2624"/>
    <mergeCell ref="G2624:K2624"/>
    <mergeCell ref="L2624:L2625"/>
    <mergeCell ref="O2852:S2852"/>
    <mergeCell ref="T2852:X2852"/>
    <mergeCell ref="Y2852:Y2853"/>
    <mergeCell ref="B2852:F2852"/>
    <mergeCell ref="G2852:K2852"/>
    <mergeCell ref="L2852:L2853"/>
    <mergeCell ref="B2776:F2776"/>
    <mergeCell ref="G2776:K2776"/>
    <mergeCell ref="L2776:L2777"/>
    <mergeCell ref="O2776:S2776"/>
    <mergeCell ref="T2776:X2776"/>
    <mergeCell ref="Y2776:Y2777"/>
    <mergeCell ref="O2814:S2814"/>
    <mergeCell ref="T2814:X2814"/>
    <mergeCell ref="Y2814:Y2815"/>
    <mergeCell ref="B2814:F2814"/>
    <mergeCell ref="G2814:K2814"/>
    <mergeCell ref="L2814:L2815"/>
  </mergeCells>
  <phoneticPr fontId="6"/>
  <pageMargins left="0.7" right="0.7" top="0.75" bottom="0.75" header="0.3" footer="0.3"/>
  <pageSetup paperSize="9" orientation="portrait" r:id="rId1"/>
  <ignoredErrors>
    <ignoredError sqref="S35 S42:S47 X47 S73 F73 F42:K42 F35 F44:K44 F43 I43:K43 F47:K47 F45:G45 I45:K45 F46 K46 H46 S415 S1593 S23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2026-07-15T05:27:41Z</dcterms:modified>
</cp:coreProperties>
</file>