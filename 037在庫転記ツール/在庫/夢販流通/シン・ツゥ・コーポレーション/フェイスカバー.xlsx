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シン・ツゥ・コーポレーション\"/>
    </mc:Choice>
  </mc:AlternateContent>
  <xr:revisionPtr revIDLastSave="0" documentId="13_ncr:1_{A3C3BAE5-5E64-4A18-9F8E-D238EC2A10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フェイスカバー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09" i="1" l="1"/>
  <c r="L504" i="1"/>
  <c r="F500" i="1"/>
  <c r="L529" i="1"/>
  <c r="K529" i="1"/>
  <c r="K530" i="1" s="1"/>
  <c r="J529" i="1"/>
  <c r="I529" i="1"/>
  <c r="I530" i="1" s="1"/>
  <c r="E529" i="1"/>
  <c r="D529" i="1"/>
  <c r="C529" i="1"/>
  <c r="L528" i="1"/>
  <c r="F528" i="1"/>
  <c r="L527" i="1"/>
  <c r="F527" i="1"/>
  <c r="L526" i="1"/>
  <c r="F526" i="1"/>
  <c r="L525" i="1"/>
  <c r="F525" i="1"/>
  <c r="L524" i="1"/>
  <c r="F524" i="1"/>
  <c r="L523" i="1"/>
  <c r="F523" i="1"/>
  <c r="L522" i="1"/>
  <c r="F522" i="1"/>
  <c r="L521" i="1"/>
  <c r="F521" i="1"/>
  <c r="L520" i="1"/>
  <c r="F520" i="1"/>
  <c r="L519" i="1"/>
  <c r="F519" i="1"/>
  <c r="L518" i="1"/>
  <c r="F518" i="1"/>
  <c r="L517" i="1"/>
  <c r="F517" i="1"/>
  <c r="L516" i="1"/>
  <c r="F516" i="1"/>
  <c r="L515" i="1"/>
  <c r="F515" i="1"/>
  <c r="L514" i="1"/>
  <c r="F514" i="1"/>
  <c r="L513" i="1"/>
  <c r="F513" i="1"/>
  <c r="L512" i="1"/>
  <c r="F512" i="1"/>
  <c r="L511" i="1"/>
  <c r="F511" i="1"/>
  <c r="L510" i="1"/>
  <c r="F510" i="1"/>
  <c r="L509" i="1"/>
  <c r="F509" i="1"/>
  <c r="L508" i="1"/>
  <c r="F508" i="1"/>
  <c r="L507" i="1"/>
  <c r="F507" i="1"/>
  <c r="L506" i="1"/>
  <c r="F506" i="1"/>
  <c r="L505" i="1"/>
  <c r="F505" i="1"/>
  <c r="F504" i="1"/>
  <c r="K503" i="1"/>
  <c r="J503" i="1"/>
  <c r="J530" i="1" s="1"/>
  <c r="I503" i="1"/>
  <c r="E503" i="1"/>
  <c r="E530" i="1" s="1"/>
  <c r="C503" i="1"/>
  <c r="C530" i="1" s="1"/>
  <c r="L502" i="1"/>
  <c r="F502" i="1"/>
  <c r="L501" i="1"/>
  <c r="F501" i="1"/>
  <c r="L500" i="1"/>
  <c r="L499" i="1"/>
  <c r="L503" i="1" s="1"/>
  <c r="K499" i="1"/>
  <c r="J499" i="1"/>
  <c r="I499" i="1"/>
  <c r="E499" i="1"/>
  <c r="C499" i="1"/>
  <c r="L466" i="1"/>
  <c r="D480" i="1"/>
  <c r="F480" i="1" s="1"/>
  <c r="E451" i="1"/>
  <c r="F451" i="1" s="1"/>
  <c r="L432" i="1"/>
  <c r="F464" i="1"/>
  <c r="F463" i="1"/>
  <c r="F462" i="1"/>
  <c r="L462" i="1"/>
  <c r="F466" i="1"/>
  <c r="F467" i="1"/>
  <c r="L467" i="1"/>
  <c r="F468" i="1"/>
  <c r="L468" i="1"/>
  <c r="F469" i="1"/>
  <c r="L469" i="1"/>
  <c r="F470" i="1"/>
  <c r="L470" i="1"/>
  <c r="F471" i="1"/>
  <c r="L471" i="1"/>
  <c r="F472" i="1"/>
  <c r="L472" i="1"/>
  <c r="F473" i="1"/>
  <c r="L473" i="1"/>
  <c r="F474" i="1"/>
  <c r="L474" i="1"/>
  <c r="F475" i="1"/>
  <c r="L475" i="1"/>
  <c r="F476" i="1"/>
  <c r="L476" i="1"/>
  <c r="F477" i="1"/>
  <c r="L477" i="1"/>
  <c r="F478" i="1"/>
  <c r="L478" i="1"/>
  <c r="F479" i="1"/>
  <c r="L479" i="1"/>
  <c r="L480" i="1"/>
  <c r="F481" i="1"/>
  <c r="L481" i="1"/>
  <c r="F482" i="1"/>
  <c r="L482" i="1"/>
  <c r="F483" i="1"/>
  <c r="L483" i="1"/>
  <c r="F484" i="1"/>
  <c r="L484" i="1"/>
  <c r="F485" i="1"/>
  <c r="L485" i="1"/>
  <c r="F486" i="1"/>
  <c r="L486" i="1"/>
  <c r="F487" i="1"/>
  <c r="L487" i="1"/>
  <c r="F488" i="1"/>
  <c r="L488" i="1"/>
  <c r="K491" i="1"/>
  <c r="J491" i="1"/>
  <c r="I491" i="1"/>
  <c r="E491" i="1"/>
  <c r="C491" i="1"/>
  <c r="L490" i="1"/>
  <c r="F490" i="1"/>
  <c r="L489" i="1"/>
  <c r="F489" i="1"/>
  <c r="L464" i="1"/>
  <c r="L463" i="1"/>
  <c r="E444" i="1"/>
  <c r="L430" i="1"/>
  <c r="L429" i="1"/>
  <c r="F426" i="1"/>
  <c r="F425" i="1"/>
  <c r="F424" i="1"/>
  <c r="F452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L443" i="1"/>
  <c r="L444" i="1"/>
  <c r="L445" i="1"/>
  <c r="L446" i="1"/>
  <c r="L447" i="1"/>
  <c r="L448" i="1"/>
  <c r="L449" i="1"/>
  <c r="L450" i="1"/>
  <c r="L451" i="1"/>
  <c r="L452" i="1"/>
  <c r="L428" i="1"/>
  <c r="L431" i="1"/>
  <c r="L433" i="1"/>
  <c r="L434" i="1"/>
  <c r="L435" i="1"/>
  <c r="L436" i="1"/>
  <c r="L437" i="1"/>
  <c r="L438" i="1"/>
  <c r="L439" i="1"/>
  <c r="L440" i="1"/>
  <c r="K453" i="1"/>
  <c r="I453" i="1"/>
  <c r="D453" i="1"/>
  <c r="C453" i="1"/>
  <c r="J453" i="1"/>
  <c r="L442" i="1"/>
  <c r="L441" i="1"/>
  <c r="L426" i="1"/>
  <c r="L425" i="1"/>
  <c r="L424" i="1"/>
  <c r="F387" i="1"/>
  <c r="F386" i="1"/>
  <c r="F350" i="1"/>
  <c r="F312" i="1"/>
  <c r="L392" i="1"/>
  <c r="E395" i="1"/>
  <c r="J415" i="1"/>
  <c r="L391" i="1"/>
  <c r="L414" i="1"/>
  <c r="I415" i="1"/>
  <c r="L412" i="1"/>
  <c r="F388" i="1"/>
  <c r="L388" i="1"/>
  <c r="L386" i="1"/>
  <c r="F390" i="1"/>
  <c r="L390" i="1"/>
  <c r="F391" i="1"/>
  <c r="F392" i="1"/>
  <c r="F393" i="1"/>
  <c r="L393" i="1"/>
  <c r="F394" i="1"/>
  <c r="L394" i="1"/>
  <c r="F395" i="1"/>
  <c r="L395" i="1"/>
  <c r="F396" i="1"/>
  <c r="L396" i="1"/>
  <c r="F397" i="1"/>
  <c r="L397" i="1"/>
  <c r="F398" i="1"/>
  <c r="L398" i="1"/>
  <c r="F399" i="1"/>
  <c r="L399" i="1"/>
  <c r="F400" i="1"/>
  <c r="L400" i="1"/>
  <c r="F401" i="1"/>
  <c r="L401" i="1"/>
  <c r="F402" i="1"/>
  <c r="L402" i="1"/>
  <c r="F403" i="1"/>
  <c r="L403" i="1"/>
  <c r="F404" i="1"/>
  <c r="L404" i="1"/>
  <c r="F405" i="1"/>
  <c r="L405" i="1"/>
  <c r="F406" i="1"/>
  <c r="L406" i="1"/>
  <c r="F407" i="1"/>
  <c r="L407" i="1"/>
  <c r="F408" i="1"/>
  <c r="L408" i="1"/>
  <c r="F409" i="1"/>
  <c r="L409" i="1"/>
  <c r="F410" i="1"/>
  <c r="L410" i="1"/>
  <c r="F412" i="1"/>
  <c r="F413" i="1"/>
  <c r="F414" i="1"/>
  <c r="E415" i="1"/>
  <c r="D415" i="1"/>
  <c r="C415" i="1"/>
  <c r="L411" i="1"/>
  <c r="F411" i="1"/>
  <c r="L387" i="1"/>
  <c r="K377" i="1"/>
  <c r="L375" i="1"/>
  <c r="I377" i="1"/>
  <c r="L352" i="1"/>
  <c r="L350" i="1"/>
  <c r="L348" i="1"/>
  <c r="L349" i="1"/>
  <c r="L372" i="1"/>
  <c r="L373" i="1"/>
  <c r="L374" i="1"/>
  <c r="L376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E377" i="1"/>
  <c r="D377" i="1"/>
  <c r="C377" i="1"/>
  <c r="F376" i="1"/>
  <c r="F375" i="1"/>
  <c r="L371" i="1"/>
  <c r="F349" i="1"/>
  <c r="F348" i="1"/>
  <c r="L312" i="1"/>
  <c r="L310" i="1"/>
  <c r="F529" i="1" l="1"/>
  <c r="L530" i="1"/>
  <c r="D491" i="1"/>
  <c r="E453" i="1"/>
  <c r="F491" i="1"/>
  <c r="L491" i="1"/>
  <c r="L453" i="1"/>
  <c r="F453" i="1"/>
  <c r="L413" i="1"/>
  <c r="L415" i="1" s="1"/>
  <c r="K415" i="1"/>
  <c r="F415" i="1"/>
  <c r="J377" i="1"/>
  <c r="F377" i="1"/>
  <c r="L377" i="1"/>
  <c r="F338" i="1"/>
  <c r="F316" i="1"/>
  <c r="F315" i="1"/>
  <c r="F314" i="1"/>
  <c r="L236" i="1"/>
  <c r="L274" i="1"/>
  <c r="F336" i="1"/>
  <c r="F337" i="1"/>
  <c r="L300" i="1"/>
  <c r="K339" i="1"/>
  <c r="J339" i="1"/>
  <c r="I339" i="1"/>
  <c r="E339" i="1"/>
  <c r="D339" i="1"/>
  <c r="C339" i="1"/>
  <c r="L338" i="1"/>
  <c r="L337" i="1"/>
  <c r="L336" i="1"/>
  <c r="L335" i="1"/>
  <c r="F335" i="1"/>
  <c r="L334" i="1"/>
  <c r="F334" i="1"/>
  <c r="L333" i="1"/>
  <c r="F333" i="1"/>
  <c r="L332" i="1"/>
  <c r="F332" i="1"/>
  <c r="L331" i="1"/>
  <c r="F331" i="1"/>
  <c r="L330" i="1"/>
  <c r="F330" i="1"/>
  <c r="L329" i="1"/>
  <c r="F329" i="1"/>
  <c r="L328" i="1"/>
  <c r="F328" i="1"/>
  <c r="L327" i="1"/>
  <c r="F327" i="1"/>
  <c r="L326" i="1"/>
  <c r="F326" i="1"/>
  <c r="L325" i="1"/>
  <c r="F325" i="1"/>
  <c r="L324" i="1"/>
  <c r="F324" i="1"/>
  <c r="L323" i="1"/>
  <c r="F323" i="1"/>
  <c r="L322" i="1"/>
  <c r="F322" i="1"/>
  <c r="L321" i="1"/>
  <c r="F321" i="1"/>
  <c r="L320" i="1"/>
  <c r="F320" i="1"/>
  <c r="L319" i="1"/>
  <c r="F319" i="1"/>
  <c r="L318" i="1"/>
  <c r="F318" i="1"/>
  <c r="L317" i="1"/>
  <c r="F317" i="1"/>
  <c r="L316" i="1"/>
  <c r="L315" i="1"/>
  <c r="L314" i="1"/>
  <c r="L311" i="1"/>
  <c r="F311" i="1"/>
  <c r="F310" i="1"/>
  <c r="L339" i="1" l="1"/>
  <c r="F339" i="1"/>
  <c r="L279" i="1"/>
  <c r="L278" i="1"/>
  <c r="D287" i="1"/>
  <c r="F287" i="1" s="1"/>
  <c r="L277" i="1"/>
  <c r="E277" i="1"/>
  <c r="F277" i="1" s="1"/>
  <c r="L276" i="1"/>
  <c r="E276" i="1"/>
  <c r="F272" i="1"/>
  <c r="F273" i="1"/>
  <c r="F278" i="1"/>
  <c r="F279" i="1"/>
  <c r="F280" i="1"/>
  <c r="F281" i="1"/>
  <c r="F282" i="1"/>
  <c r="F283" i="1"/>
  <c r="F284" i="1"/>
  <c r="F285" i="1"/>
  <c r="F286" i="1"/>
  <c r="F288" i="1"/>
  <c r="F289" i="1"/>
  <c r="F290" i="1"/>
  <c r="F291" i="1"/>
  <c r="F292" i="1"/>
  <c r="F293" i="1"/>
  <c r="F294" i="1"/>
  <c r="F295" i="1"/>
  <c r="F296" i="1"/>
  <c r="F297" i="1"/>
  <c r="F298" i="1"/>
  <c r="K301" i="1"/>
  <c r="J301" i="1"/>
  <c r="I301" i="1"/>
  <c r="C301" i="1"/>
  <c r="F300" i="1"/>
  <c r="L299" i="1"/>
  <c r="F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F274" i="1"/>
  <c r="L273" i="1"/>
  <c r="L272" i="1"/>
  <c r="D301" i="1" l="1"/>
  <c r="L301" i="1"/>
  <c r="E301" i="1"/>
  <c r="F276" i="1"/>
  <c r="F301" i="1" s="1"/>
  <c r="L238" i="1"/>
  <c r="C245" i="1"/>
  <c r="F245" i="1" s="1"/>
  <c r="D241" i="1"/>
  <c r="D263" i="1" s="1"/>
  <c r="F235" i="1"/>
  <c r="K263" i="1"/>
  <c r="J263" i="1"/>
  <c r="I263" i="1"/>
  <c r="L262" i="1"/>
  <c r="F262" i="1"/>
  <c r="L261" i="1"/>
  <c r="F261" i="1"/>
  <c r="L260" i="1"/>
  <c r="F260" i="1"/>
  <c r="L259" i="1"/>
  <c r="F259" i="1"/>
  <c r="L258" i="1"/>
  <c r="F258" i="1"/>
  <c r="L257" i="1"/>
  <c r="F257" i="1"/>
  <c r="L256" i="1"/>
  <c r="F256" i="1"/>
  <c r="L255" i="1"/>
  <c r="F255" i="1"/>
  <c r="L254" i="1"/>
  <c r="F254" i="1"/>
  <c r="L253" i="1"/>
  <c r="F253" i="1"/>
  <c r="L252" i="1"/>
  <c r="F252" i="1"/>
  <c r="L251" i="1"/>
  <c r="F251" i="1"/>
  <c r="L250" i="1"/>
  <c r="F250" i="1"/>
  <c r="L249" i="1"/>
  <c r="F249" i="1"/>
  <c r="L248" i="1"/>
  <c r="F248" i="1"/>
  <c r="L247" i="1"/>
  <c r="F247" i="1"/>
  <c r="L246" i="1"/>
  <c r="F246" i="1"/>
  <c r="L245" i="1"/>
  <c r="L244" i="1"/>
  <c r="C263" i="1"/>
  <c r="L243" i="1"/>
  <c r="F243" i="1"/>
  <c r="L242" i="1"/>
  <c r="F242" i="1"/>
  <c r="L241" i="1"/>
  <c r="L240" i="1"/>
  <c r="F240" i="1"/>
  <c r="L239" i="1"/>
  <c r="E263" i="1"/>
  <c r="F238" i="1"/>
  <c r="F236" i="1"/>
  <c r="L235" i="1"/>
  <c r="L234" i="1"/>
  <c r="F234" i="1"/>
  <c r="F241" i="1" l="1"/>
  <c r="L263" i="1"/>
  <c r="F239" i="1"/>
  <c r="F244" i="1"/>
  <c r="L202" i="1"/>
  <c r="C218" i="1"/>
  <c r="F218" i="1" s="1"/>
  <c r="C206" i="1"/>
  <c r="F206" i="1" s="1"/>
  <c r="E202" i="1"/>
  <c r="F202" i="1" s="1"/>
  <c r="E201" i="1"/>
  <c r="F201" i="1" s="1"/>
  <c r="K225" i="1"/>
  <c r="J225" i="1"/>
  <c r="I225" i="1"/>
  <c r="L224" i="1"/>
  <c r="F224" i="1"/>
  <c r="L223" i="1"/>
  <c r="F223" i="1"/>
  <c r="L222" i="1"/>
  <c r="F222" i="1"/>
  <c r="L221" i="1"/>
  <c r="F221" i="1"/>
  <c r="L220" i="1"/>
  <c r="F220" i="1"/>
  <c r="L219" i="1"/>
  <c r="F219" i="1"/>
  <c r="L218" i="1"/>
  <c r="L217" i="1"/>
  <c r="F217" i="1"/>
  <c r="L216" i="1"/>
  <c r="F216" i="1"/>
  <c r="L215" i="1"/>
  <c r="F215" i="1"/>
  <c r="L214" i="1"/>
  <c r="F214" i="1"/>
  <c r="L213" i="1"/>
  <c r="F213" i="1"/>
  <c r="L212" i="1"/>
  <c r="F212" i="1"/>
  <c r="L211" i="1"/>
  <c r="L210" i="1"/>
  <c r="F210" i="1"/>
  <c r="L209" i="1"/>
  <c r="F209" i="1"/>
  <c r="L208" i="1"/>
  <c r="F208" i="1"/>
  <c r="L207" i="1"/>
  <c r="F207" i="1"/>
  <c r="L206" i="1"/>
  <c r="L205" i="1"/>
  <c r="F205" i="1"/>
  <c r="L204" i="1"/>
  <c r="F204" i="1"/>
  <c r="L203" i="1"/>
  <c r="D225" i="1"/>
  <c r="L201" i="1"/>
  <c r="L200" i="1"/>
  <c r="F200" i="1"/>
  <c r="L198" i="1"/>
  <c r="F198" i="1"/>
  <c r="L197" i="1"/>
  <c r="F197" i="1"/>
  <c r="L196" i="1"/>
  <c r="F196" i="1"/>
  <c r="E225" i="1" l="1"/>
  <c r="F263" i="1"/>
  <c r="F211" i="1"/>
  <c r="C225" i="1"/>
  <c r="L225" i="1"/>
  <c r="F203" i="1"/>
  <c r="E185" i="1"/>
  <c r="C182" i="1"/>
  <c r="D182" i="1"/>
  <c r="C181" i="1"/>
  <c r="D181" i="1"/>
  <c r="D178" i="1"/>
  <c r="E177" i="1"/>
  <c r="D177" i="1"/>
  <c r="C177" i="1"/>
  <c r="E167" i="1"/>
  <c r="E166" i="1"/>
  <c r="D165" i="1"/>
  <c r="E163" i="1"/>
  <c r="E141" i="1"/>
  <c r="D141" i="1"/>
  <c r="L124" i="1"/>
  <c r="F225" i="1" l="1"/>
  <c r="D136" i="1"/>
  <c r="F120" i="1"/>
  <c r="F158" i="1" l="1"/>
  <c r="Q187" i="1"/>
  <c r="P187" i="1"/>
  <c r="O187" i="1"/>
  <c r="K187" i="1"/>
  <c r="J187" i="1"/>
  <c r="I187" i="1"/>
  <c r="E187" i="1"/>
  <c r="D187" i="1"/>
  <c r="C187" i="1"/>
  <c r="R186" i="1"/>
  <c r="L186" i="1"/>
  <c r="F186" i="1"/>
  <c r="R185" i="1"/>
  <c r="L185" i="1"/>
  <c r="F185" i="1"/>
  <c r="R184" i="1"/>
  <c r="L184" i="1"/>
  <c r="F184" i="1"/>
  <c r="R183" i="1"/>
  <c r="L183" i="1"/>
  <c r="F183" i="1"/>
  <c r="R182" i="1"/>
  <c r="L182" i="1"/>
  <c r="F182" i="1"/>
  <c r="R181" i="1"/>
  <c r="L181" i="1"/>
  <c r="F181" i="1"/>
  <c r="R180" i="1"/>
  <c r="L180" i="1"/>
  <c r="F180" i="1"/>
  <c r="R179" i="1"/>
  <c r="L179" i="1"/>
  <c r="F179" i="1"/>
  <c r="R178" i="1"/>
  <c r="L178" i="1"/>
  <c r="F178" i="1"/>
  <c r="R177" i="1"/>
  <c r="L177" i="1"/>
  <c r="F177" i="1"/>
  <c r="R176" i="1"/>
  <c r="L176" i="1"/>
  <c r="F176" i="1"/>
  <c r="R175" i="1"/>
  <c r="L175" i="1"/>
  <c r="F175" i="1"/>
  <c r="R174" i="1"/>
  <c r="L174" i="1"/>
  <c r="F174" i="1"/>
  <c r="R173" i="1"/>
  <c r="L173" i="1"/>
  <c r="F173" i="1"/>
  <c r="R172" i="1"/>
  <c r="L172" i="1"/>
  <c r="F172" i="1"/>
  <c r="R171" i="1"/>
  <c r="L171" i="1"/>
  <c r="F171" i="1"/>
  <c r="R170" i="1"/>
  <c r="L170" i="1"/>
  <c r="F170" i="1"/>
  <c r="R169" i="1"/>
  <c r="L169" i="1"/>
  <c r="F169" i="1"/>
  <c r="R168" i="1"/>
  <c r="L168" i="1"/>
  <c r="F168" i="1"/>
  <c r="R167" i="1"/>
  <c r="L167" i="1"/>
  <c r="F167" i="1"/>
  <c r="R166" i="1"/>
  <c r="L166" i="1"/>
  <c r="F166" i="1"/>
  <c r="R165" i="1"/>
  <c r="L165" i="1"/>
  <c r="F165" i="1"/>
  <c r="R164" i="1"/>
  <c r="L164" i="1"/>
  <c r="F164" i="1"/>
  <c r="R163" i="1"/>
  <c r="L163" i="1"/>
  <c r="F163" i="1"/>
  <c r="R162" i="1"/>
  <c r="L162" i="1"/>
  <c r="F162" i="1"/>
  <c r="R160" i="1"/>
  <c r="L160" i="1"/>
  <c r="F160" i="1"/>
  <c r="R159" i="1"/>
  <c r="L159" i="1"/>
  <c r="F159" i="1"/>
  <c r="R158" i="1"/>
  <c r="L158" i="1"/>
  <c r="F121" i="1"/>
  <c r="L187" i="1" l="1"/>
  <c r="R187" i="1"/>
  <c r="F187" i="1"/>
  <c r="Q149" i="1"/>
  <c r="P149" i="1"/>
  <c r="O149" i="1"/>
  <c r="K149" i="1"/>
  <c r="J149" i="1"/>
  <c r="I149" i="1"/>
  <c r="R148" i="1"/>
  <c r="L148" i="1"/>
  <c r="F148" i="1"/>
  <c r="R147" i="1"/>
  <c r="L147" i="1"/>
  <c r="F147" i="1"/>
  <c r="R146" i="1"/>
  <c r="L146" i="1"/>
  <c r="F146" i="1"/>
  <c r="R145" i="1"/>
  <c r="L145" i="1"/>
  <c r="F145" i="1"/>
  <c r="R144" i="1"/>
  <c r="L144" i="1"/>
  <c r="F144" i="1"/>
  <c r="R143" i="1"/>
  <c r="L143" i="1"/>
  <c r="F143" i="1"/>
  <c r="R142" i="1"/>
  <c r="L142" i="1"/>
  <c r="F142" i="1"/>
  <c r="R141" i="1"/>
  <c r="L141" i="1"/>
  <c r="F141" i="1"/>
  <c r="R140" i="1"/>
  <c r="L140" i="1"/>
  <c r="F140" i="1"/>
  <c r="R139" i="1"/>
  <c r="L139" i="1"/>
  <c r="F139" i="1"/>
  <c r="R138" i="1"/>
  <c r="L138" i="1"/>
  <c r="F138" i="1"/>
  <c r="R137" i="1"/>
  <c r="L137" i="1"/>
  <c r="F137" i="1"/>
  <c r="C149" i="1"/>
  <c r="R136" i="1"/>
  <c r="L136" i="1"/>
  <c r="F136" i="1"/>
  <c r="R135" i="1"/>
  <c r="L135" i="1"/>
  <c r="F135" i="1"/>
  <c r="R134" i="1"/>
  <c r="L134" i="1"/>
  <c r="F134" i="1"/>
  <c r="R133" i="1"/>
  <c r="L133" i="1"/>
  <c r="F133" i="1"/>
  <c r="R132" i="1"/>
  <c r="L132" i="1"/>
  <c r="F132" i="1"/>
  <c r="R131" i="1"/>
  <c r="L131" i="1"/>
  <c r="F131" i="1"/>
  <c r="R130" i="1"/>
  <c r="L130" i="1"/>
  <c r="F130" i="1"/>
  <c r="R129" i="1"/>
  <c r="L129" i="1"/>
  <c r="F129" i="1"/>
  <c r="R128" i="1"/>
  <c r="L128" i="1"/>
  <c r="F128" i="1"/>
  <c r="R127" i="1"/>
  <c r="L127" i="1"/>
  <c r="F127" i="1"/>
  <c r="R126" i="1"/>
  <c r="L126" i="1"/>
  <c r="F126" i="1"/>
  <c r="D149" i="1"/>
  <c r="R125" i="1"/>
  <c r="L125" i="1"/>
  <c r="F125" i="1"/>
  <c r="R124" i="1"/>
  <c r="F124" i="1"/>
  <c r="R122" i="1"/>
  <c r="L122" i="1"/>
  <c r="F122" i="1"/>
  <c r="R121" i="1"/>
  <c r="L121" i="1"/>
  <c r="R120" i="1"/>
  <c r="L120" i="1"/>
  <c r="F149" i="1" l="1"/>
  <c r="R149" i="1"/>
  <c r="L149" i="1"/>
  <c r="E149" i="1"/>
  <c r="F107" i="1"/>
  <c r="F106" i="1"/>
  <c r="F105" i="1"/>
  <c r="F104" i="1"/>
  <c r="F103" i="1"/>
  <c r="F102" i="1"/>
  <c r="F101" i="1"/>
  <c r="F100" i="1"/>
  <c r="C99" i="1"/>
  <c r="F99" i="1" s="1"/>
  <c r="F98" i="1"/>
  <c r="F97" i="1"/>
  <c r="F96" i="1"/>
  <c r="F95" i="1"/>
  <c r="F94" i="1"/>
  <c r="E93" i="1"/>
  <c r="F93" i="1" s="1"/>
  <c r="E92" i="1"/>
  <c r="F92" i="1" s="1"/>
  <c r="F91" i="1"/>
  <c r="F90" i="1"/>
  <c r="F89" i="1"/>
  <c r="D88" i="1"/>
  <c r="F88" i="1" s="1"/>
  <c r="F87" i="1"/>
  <c r="L90" i="1" l="1"/>
  <c r="L89" i="1"/>
  <c r="L108" i="1"/>
  <c r="L107" i="1"/>
  <c r="L110" i="1"/>
  <c r="L109" i="1"/>
  <c r="F86" i="1" l="1"/>
  <c r="Q111" i="1"/>
  <c r="P111" i="1"/>
  <c r="O111" i="1"/>
  <c r="J111" i="1"/>
  <c r="I111" i="1"/>
  <c r="R110" i="1"/>
  <c r="K111" i="1"/>
  <c r="F110" i="1"/>
  <c r="R109" i="1"/>
  <c r="F109" i="1"/>
  <c r="R108" i="1"/>
  <c r="F108" i="1"/>
  <c r="R107" i="1"/>
  <c r="R106" i="1"/>
  <c r="L106" i="1"/>
  <c r="R105" i="1"/>
  <c r="L105" i="1"/>
  <c r="R104" i="1"/>
  <c r="L104" i="1"/>
  <c r="R103" i="1"/>
  <c r="L103" i="1"/>
  <c r="R102" i="1"/>
  <c r="L102" i="1"/>
  <c r="R101" i="1"/>
  <c r="L101" i="1"/>
  <c r="R100" i="1"/>
  <c r="L100" i="1"/>
  <c r="R99" i="1"/>
  <c r="L99" i="1"/>
  <c r="R98" i="1"/>
  <c r="L98" i="1"/>
  <c r="R97" i="1"/>
  <c r="L97" i="1"/>
  <c r="R96" i="1"/>
  <c r="L96" i="1"/>
  <c r="C111" i="1"/>
  <c r="R95" i="1"/>
  <c r="L95" i="1"/>
  <c r="R94" i="1"/>
  <c r="L94" i="1"/>
  <c r="R93" i="1"/>
  <c r="L93" i="1"/>
  <c r="R92" i="1"/>
  <c r="L92" i="1"/>
  <c r="R91" i="1"/>
  <c r="L91" i="1"/>
  <c r="R90" i="1"/>
  <c r="R89" i="1"/>
  <c r="R88" i="1"/>
  <c r="L88" i="1"/>
  <c r="R87" i="1"/>
  <c r="L87" i="1"/>
  <c r="R86" i="1"/>
  <c r="L86" i="1"/>
  <c r="R84" i="1"/>
  <c r="L84" i="1"/>
  <c r="F84" i="1"/>
  <c r="R83" i="1"/>
  <c r="L83" i="1"/>
  <c r="F83" i="1"/>
  <c r="R82" i="1"/>
  <c r="L82" i="1"/>
  <c r="F82" i="1"/>
  <c r="D69" i="1"/>
  <c r="E67" i="1"/>
  <c r="L70" i="1"/>
  <c r="L69" i="1"/>
  <c r="L65" i="1"/>
  <c r="L64" i="1"/>
  <c r="D66" i="1"/>
  <c r="E66" i="1"/>
  <c r="L68" i="1"/>
  <c r="E111" i="1" l="1"/>
  <c r="R111" i="1"/>
  <c r="L111" i="1"/>
  <c r="F111" i="1"/>
  <c r="D111" i="1"/>
  <c r="C58" i="1"/>
  <c r="E54" i="1" l="1"/>
  <c r="E73" i="1" s="1"/>
  <c r="L72" i="1"/>
  <c r="L71" i="1"/>
  <c r="Q73" i="1"/>
  <c r="P73" i="1"/>
  <c r="O73" i="1"/>
  <c r="K73" i="1"/>
  <c r="J73" i="1"/>
  <c r="I73" i="1"/>
  <c r="D73" i="1"/>
  <c r="C73" i="1"/>
  <c r="R72" i="1"/>
  <c r="F72" i="1"/>
  <c r="R71" i="1"/>
  <c r="F71" i="1"/>
  <c r="R70" i="1"/>
  <c r="F70" i="1"/>
  <c r="R69" i="1"/>
  <c r="F69" i="1"/>
  <c r="R68" i="1"/>
  <c r="F68" i="1"/>
  <c r="R67" i="1"/>
  <c r="L67" i="1"/>
  <c r="F67" i="1"/>
  <c r="R66" i="1"/>
  <c r="L66" i="1"/>
  <c r="F66" i="1"/>
  <c r="R65" i="1"/>
  <c r="F65" i="1"/>
  <c r="R64" i="1"/>
  <c r="F64" i="1"/>
  <c r="R63" i="1"/>
  <c r="L63" i="1"/>
  <c r="F63" i="1"/>
  <c r="R62" i="1"/>
  <c r="L62" i="1"/>
  <c r="F62" i="1"/>
  <c r="R61" i="1"/>
  <c r="L61" i="1"/>
  <c r="F61" i="1"/>
  <c r="R60" i="1"/>
  <c r="L60" i="1"/>
  <c r="F60" i="1"/>
  <c r="R59" i="1"/>
  <c r="L59" i="1"/>
  <c r="F59" i="1"/>
  <c r="R58" i="1"/>
  <c r="L58" i="1"/>
  <c r="F58" i="1"/>
  <c r="R57" i="1"/>
  <c r="L57" i="1"/>
  <c r="F57" i="1"/>
  <c r="R56" i="1"/>
  <c r="L56" i="1"/>
  <c r="F56" i="1"/>
  <c r="R55" i="1"/>
  <c r="L55" i="1"/>
  <c r="F55" i="1"/>
  <c r="R54" i="1"/>
  <c r="L54" i="1"/>
  <c r="F54" i="1"/>
  <c r="R53" i="1"/>
  <c r="L53" i="1"/>
  <c r="F53" i="1"/>
  <c r="R52" i="1"/>
  <c r="L52" i="1"/>
  <c r="F52" i="1"/>
  <c r="R51" i="1"/>
  <c r="L51" i="1"/>
  <c r="F51" i="1"/>
  <c r="R50" i="1"/>
  <c r="L50" i="1"/>
  <c r="F50" i="1"/>
  <c r="R49" i="1"/>
  <c r="L49" i="1"/>
  <c r="F49" i="1"/>
  <c r="R48" i="1"/>
  <c r="L48" i="1"/>
  <c r="F48" i="1"/>
  <c r="R46" i="1"/>
  <c r="L46" i="1"/>
  <c r="F46" i="1"/>
  <c r="R45" i="1"/>
  <c r="L45" i="1"/>
  <c r="F45" i="1"/>
  <c r="R44" i="1"/>
  <c r="L44" i="1"/>
  <c r="F44" i="1"/>
  <c r="Q35" i="1"/>
  <c r="P35" i="1"/>
  <c r="O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Q9" i="1"/>
  <c r="P9" i="1"/>
  <c r="O9" i="1"/>
  <c r="R8" i="1"/>
  <c r="R7" i="1"/>
  <c r="R6" i="1"/>
  <c r="R5" i="1"/>
  <c r="J35" i="1"/>
  <c r="K35" i="1"/>
  <c r="D35" i="1"/>
  <c r="E35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11" i="1"/>
  <c r="F10" i="1"/>
  <c r="D9" i="1"/>
  <c r="E9" i="1"/>
  <c r="F7" i="1"/>
  <c r="F8" i="1"/>
  <c r="F6" i="1"/>
  <c r="F5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10" i="1"/>
  <c r="L6" i="1"/>
  <c r="L7" i="1"/>
  <c r="L8" i="1"/>
  <c r="L5" i="1"/>
  <c r="J9" i="1"/>
  <c r="K9" i="1"/>
  <c r="I35" i="1"/>
  <c r="I9" i="1"/>
  <c r="C9" i="1"/>
  <c r="C35" i="1"/>
  <c r="Q36" i="1" l="1"/>
  <c r="Q43" i="1" s="1"/>
  <c r="Q47" i="1" s="1"/>
  <c r="Q74" i="1" s="1"/>
  <c r="Q81" i="1" s="1"/>
  <c r="Q85" i="1" s="1"/>
  <c r="Q112" i="1" s="1"/>
  <c r="Q119" i="1" s="1"/>
  <c r="Q123" i="1" s="1"/>
  <c r="Q150" i="1" s="1"/>
  <c r="Q157" i="1" s="1"/>
  <c r="Q161" i="1" s="1"/>
  <c r="Q188" i="1" s="1"/>
  <c r="O36" i="1"/>
  <c r="O43" i="1" s="1"/>
  <c r="O47" i="1" s="1"/>
  <c r="O74" i="1" s="1"/>
  <c r="O81" i="1" s="1"/>
  <c r="I36" i="1"/>
  <c r="I43" i="1" s="1"/>
  <c r="P36" i="1"/>
  <c r="P43" i="1" s="1"/>
  <c r="P47" i="1" s="1"/>
  <c r="P74" i="1" s="1"/>
  <c r="P81" i="1" s="1"/>
  <c r="P85" i="1" s="1"/>
  <c r="P112" i="1" s="1"/>
  <c r="P119" i="1" s="1"/>
  <c r="P123" i="1" s="1"/>
  <c r="P150" i="1" s="1"/>
  <c r="P157" i="1" s="1"/>
  <c r="P161" i="1" s="1"/>
  <c r="P188" i="1" s="1"/>
  <c r="L9" i="1"/>
  <c r="R9" i="1"/>
  <c r="R73" i="1"/>
  <c r="K36" i="1"/>
  <c r="K43" i="1" s="1"/>
  <c r="K47" i="1" s="1"/>
  <c r="K74" i="1" s="1"/>
  <c r="K81" i="1" s="1"/>
  <c r="K85" i="1" s="1"/>
  <c r="K112" i="1" s="1"/>
  <c r="K119" i="1" s="1"/>
  <c r="K123" i="1" s="1"/>
  <c r="K150" i="1" s="1"/>
  <c r="K157" i="1" s="1"/>
  <c r="K161" i="1" s="1"/>
  <c r="K188" i="1" s="1"/>
  <c r="K195" i="1" s="1"/>
  <c r="K199" i="1" s="1"/>
  <c r="K226" i="1" s="1"/>
  <c r="K233" i="1" s="1"/>
  <c r="K237" i="1" s="1"/>
  <c r="K264" i="1" s="1"/>
  <c r="K271" i="1" s="1"/>
  <c r="K275" i="1" s="1"/>
  <c r="K302" i="1" s="1"/>
  <c r="K309" i="1" s="1"/>
  <c r="K313" i="1" s="1"/>
  <c r="K340" i="1" s="1"/>
  <c r="K347" i="1" s="1"/>
  <c r="K351" i="1" s="1"/>
  <c r="K378" i="1" s="1"/>
  <c r="K385" i="1" s="1"/>
  <c r="K389" i="1" s="1"/>
  <c r="K416" i="1" s="1"/>
  <c r="K423" i="1" s="1"/>
  <c r="K427" i="1" s="1"/>
  <c r="K454" i="1" s="1"/>
  <c r="K461" i="1" s="1"/>
  <c r="K465" i="1" s="1"/>
  <c r="K492" i="1" s="1"/>
  <c r="D36" i="1"/>
  <c r="D43" i="1" s="1"/>
  <c r="D47" i="1" s="1"/>
  <c r="D74" i="1" s="1"/>
  <c r="J36" i="1"/>
  <c r="J43" i="1" s="1"/>
  <c r="J47" i="1" s="1"/>
  <c r="J74" i="1" s="1"/>
  <c r="J81" i="1" s="1"/>
  <c r="J85" i="1" s="1"/>
  <c r="J112" i="1" s="1"/>
  <c r="J119" i="1" s="1"/>
  <c r="J123" i="1" s="1"/>
  <c r="J150" i="1" s="1"/>
  <c r="J157" i="1" s="1"/>
  <c r="J161" i="1" s="1"/>
  <c r="J188" i="1" s="1"/>
  <c r="J195" i="1" s="1"/>
  <c r="J199" i="1" s="1"/>
  <c r="J226" i="1" s="1"/>
  <c r="J233" i="1" s="1"/>
  <c r="J237" i="1" s="1"/>
  <c r="J264" i="1" s="1"/>
  <c r="J271" i="1" s="1"/>
  <c r="J275" i="1" s="1"/>
  <c r="J302" i="1" s="1"/>
  <c r="J309" i="1" s="1"/>
  <c r="J313" i="1" s="1"/>
  <c r="J340" i="1" s="1"/>
  <c r="J347" i="1" s="1"/>
  <c r="J351" i="1" s="1"/>
  <c r="J378" i="1" s="1"/>
  <c r="J385" i="1" s="1"/>
  <c r="J389" i="1" s="1"/>
  <c r="J416" i="1" s="1"/>
  <c r="J423" i="1" s="1"/>
  <c r="J427" i="1" s="1"/>
  <c r="J454" i="1" s="1"/>
  <c r="J461" i="1" s="1"/>
  <c r="J465" i="1" s="1"/>
  <c r="J492" i="1" s="1"/>
  <c r="F9" i="1"/>
  <c r="C36" i="1"/>
  <c r="C43" i="1" s="1"/>
  <c r="R35" i="1"/>
  <c r="E36" i="1"/>
  <c r="E43" i="1" s="1"/>
  <c r="E47" i="1" s="1"/>
  <c r="E74" i="1" s="1"/>
  <c r="F35" i="1"/>
  <c r="L35" i="1"/>
  <c r="L73" i="1"/>
  <c r="F73" i="1"/>
  <c r="D81" i="1" l="1"/>
  <c r="D85" i="1" s="1"/>
  <c r="D112" i="1" s="1"/>
  <c r="D119" i="1" s="1"/>
  <c r="D123" i="1" s="1"/>
  <c r="D150" i="1" s="1"/>
  <c r="D157" i="1" s="1"/>
  <c r="D161" i="1" s="1"/>
  <c r="D188" i="1" s="1"/>
  <c r="D195" i="1" s="1"/>
  <c r="D199" i="1" s="1"/>
  <c r="D226" i="1" s="1"/>
  <c r="D233" i="1" s="1"/>
  <c r="D237" i="1" s="1"/>
  <c r="D264" i="1" s="1"/>
  <c r="D271" i="1" s="1"/>
  <c r="D275" i="1" s="1"/>
  <c r="D302" i="1" s="1"/>
  <c r="D309" i="1" s="1"/>
  <c r="D313" i="1" s="1"/>
  <c r="D340" i="1" s="1"/>
  <c r="D347" i="1" s="1"/>
  <c r="D351" i="1" s="1"/>
  <c r="D378" i="1" s="1"/>
  <c r="D385" i="1" s="1"/>
  <c r="D389" i="1" s="1"/>
  <c r="D416" i="1" s="1"/>
  <c r="D423" i="1" s="1"/>
  <c r="D427" i="1" s="1"/>
  <c r="D454" i="1" s="1"/>
  <c r="D461" i="1" s="1"/>
  <c r="D465" i="1" s="1"/>
  <c r="D492" i="1" s="1"/>
  <c r="D499" i="1" s="1"/>
  <c r="E81" i="1"/>
  <c r="E85" i="1" s="1"/>
  <c r="E112" i="1" s="1"/>
  <c r="E119" i="1" s="1"/>
  <c r="E123" i="1" s="1"/>
  <c r="E150" i="1" s="1"/>
  <c r="E157" i="1" s="1"/>
  <c r="E161" i="1" s="1"/>
  <c r="E188" i="1" s="1"/>
  <c r="E195" i="1" s="1"/>
  <c r="E199" i="1" s="1"/>
  <c r="E226" i="1" s="1"/>
  <c r="E233" i="1" s="1"/>
  <c r="O85" i="1"/>
  <c r="O112" i="1" s="1"/>
  <c r="R81" i="1"/>
  <c r="R85" i="1" s="1"/>
  <c r="R36" i="1"/>
  <c r="R43" i="1"/>
  <c r="R47" i="1" s="1"/>
  <c r="R74" i="1"/>
  <c r="F36" i="1"/>
  <c r="L36" i="1"/>
  <c r="L43" i="1"/>
  <c r="L47" i="1" s="1"/>
  <c r="I47" i="1"/>
  <c r="I74" i="1" s="1"/>
  <c r="C47" i="1"/>
  <c r="C74" i="1" s="1"/>
  <c r="C81" i="1" s="1"/>
  <c r="F43" i="1"/>
  <c r="F47" i="1" s="1"/>
  <c r="F499" i="1" l="1"/>
  <c r="F503" i="1" s="1"/>
  <c r="D503" i="1"/>
  <c r="D530" i="1" s="1"/>
  <c r="F530" i="1" s="1"/>
  <c r="E237" i="1"/>
  <c r="E264" i="1" s="1"/>
  <c r="E271" i="1" s="1"/>
  <c r="E275" i="1" s="1"/>
  <c r="E302" i="1" s="1"/>
  <c r="E309" i="1" s="1"/>
  <c r="E313" i="1" s="1"/>
  <c r="E340" i="1" s="1"/>
  <c r="E347" i="1" s="1"/>
  <c r="R112" i="1"/>
  <c r="O119" i="1"/>
  <c r="F74" i="1"/>
  <c r="L74" i="1"/>
  <c r="I81" i="1"/>
  <c r="E351" i="1" l="1"/>
  <c r="E378" i="1" s="1"/>
  <c r="O123" i="1"/>
  <c r="O150" i="1" s="1"/>
  <c r="R119" i="1"/>
  <c r="R123" i="1" s="1"/>
  <c r="I85" i="1"/>
  <c r="I112" i="1" s="1"/>
  <c r="L81" i="1"/>
  <c r="L85" i="1" s="1"/>
  <c r="C85" i="1"/>
  <c r="C112" i="1" s="1"/>
  <c r="F81" i="1"/>
  <c r="F85" i="1" s="1"/>
  <c r="E385" i="1" l="1"/>
  <c r="E389" i="1" s="1"/>
  <c r="E416" i="1" s="1"/>
  <c r="E423" i="1" s="1"/>
  <c r="R150" i="1"/>
  <c r="O157" i="1"/>
  <c r="L112" i="1"/>
  <c r="I119" i="1"/>
  <c r="F112" i="1"/>
  <c r="C119" i="1"/>
  <c r="E427" i="1" l="1"/>
  <c r="E454" i="1" s="1"/>
  <c r="O161" i="1"/>
  <c r="O188" i="1" s="1"/>
  <c r="R188" i="1" s="1"/>
  <c r="R157" i="1"/>
  <c r="R161" i="1" s="1"/>
  <c r="I123" i="1"/>
  <c r="I150" i="1" s="1"/>
  <c r="L119" i="1"/>
  <c r="L123" i="1" s="1"/>
  <c r="C123" i="1"/>
  <c r="C150" i="1" s="1"/>
  <c r="F119" i="1"/>
  <c r="F123" i="1" s="1"/>
  <c r="E461" i="1" l="1"/>
  <c r="E465" i="1" s="1"/>
  <c r="E492" i="1" s="1"/>
  <c r="L150" i="1"/>
  <c r="I157" i="1"/>
  <c r="F150" i="1"/>
  <c r="C157" i="1"/>
  <c r="I161" i="1" l="1"/>
  <c r="I188" i="1" s="1"/>
  <c r="L157" i="1"/>
  <c r="L161" i="1" s="1"/>
  <c r="F157" i="1"/>
  <c r="F161" i="1" s="1"/>
  <c r="C161" i="1"/>
  <c r="C188" i="1" s="1"/>
  <c r="F188" i="1" l="1"/>
  <c r="C195" i="1"/>
  <c r="L188" i="1"/>
  <c r="I195" i="1"/>
  <c r="I199" i="1" l="1"/>
  <c r="I226" i="1" s="1"/>
  <c r="L195" i="1"/>
  <c r="L199" i="1" s="1"/>
  <c r="C199" i="1"/>
  <c r="C226" i="1" s="1"/>
  <c r="F195" i="1"/>
  <c r="F199" i="1" s="1"/>
  <c r="F226" i="1" l="1"/>
  <c r="C233" i="1"/>
  <c r="L226" i="1"/>
  <c r="I233" i="1"/>
  <c r="C237" i="1" l="1"/>
  <c r="C264" i="1" s="1"/>
  <c r="F233" i="1"/>
  <c r="F237" i="1" s="1"/>
  <c r="I237" i="1"/>
  <c r="I264" i="1" s="1"/>
  <c r="L233" i="1"/>
  <c r="L237" i="1" s="1"/>
  <c r="L264" i="1" l="1"/>
  <c r="I271" i="1"/>
  <c r="F264" i="1"/>
  <c r="C271" i="1"/>
  <c r="L271" i="1" l="1"/>
  <c r="L275" i="1" s="1"/>
  <c r="I275" i="1"/>
  <c r="I302" i="1" s="1"/>
  <c r="F271" i="1"/>
  <c r="F275" i="1" s="1"/>
  <c r="C275" i="1"/>
  <c r="C302" i="1" s="1"/>
  <c r="F302" i="1" l="1"/>
  <c r="C309" i="1"/>
  <c r="L302" i="1"/>
  <c r="I309" i="1"/>
  <c r="C313" i="1" l="1"/>
  <c r="C340" i="1" s="1"/>
  <c r="F309" i="1"/>
  <c r="F313" i="1" s="1"/>
  <c r="L309" i="1"/>
  <c r="L313" i="1" s="1"/>
  <c r="I313" i="1"/>
  <c r="I340" i="1" s="1"/>
  <c r="L340" i="1" l="1"/>
  <c r="I347" i="1"/>
  <c r="F340" i="1"/>
  <c r="C347" i="1"/>
  <c r="I351" i="1" l="1"/>
  <c r="I378" i="1" s="1"/>
  <c r="L347" i="1"/>
  <c r="L351" i="1" s="1"/>
  <c r="C351" i="1"/>
  <c r="C378" i="1" s="1"/>
  <c r="F347" i="1"/>
  <c r="F351" i="1" s="1"/>
  <c r="I385" i="1" l="1"/>
  <c r="L378" i="1"/>
  <c r="C385" i="1"/>
  <c r="F378" i="1"/>
  <c r="I389" i="1" l="1"/>
  <c r="I416" i="1" s="1"/>
  <c r="L385" i="1"/>
  <c r="L389" i="1" s="1"/>
  <c r="C389" i="1"/>
  <c r="C416" i="1" s="1"/>
  <c r="F385" i="1"/>
  <c r="F389" i="1" s="1"/>
  <c r="F416" i="1" l="1"/>
  <c r="C423" i="1"/>
  <c r="I423" i="1"/>
  <c r="L416" i="1"/>
  <c r="I427" i="1" l="1"/>
  <c r="I454" i="1" s="1"/>
  <c r="L423" i="1"/>
  <c r="L427" i="1" s="1"/>
  <c r="C427" i="1"/>
  <c r="C454" i="1" s="1"/>
  <c r="F423" i="1"/>
  <c r="F427" i="1" s="1"/>
  <c r="C461" i="1" l="1"/>
  <c r="F454" i="1"/>
  <c r="L454" i="1"/>
  <c r="I461" i="1"/>
  <c r="I465" i="1" l="1"/>
  <c r="I492" i="1" s="1"/>
  <c r="L492" i="1" s="1"/>
  <c r="L461" i="1"/>
  <c r="L465" i="1" s="1"/>
  <c r="C465" i="1"/>
  <c r="C492" i="1" s="1"/>
  <c r="F492" i="1" s="1"/>
  <c r="F461" i="1"/>
  <c r="F465" i="1" s="1"/>
</calcChain>
</file>

<file path=xl/sharedStrings.xml><?xml version="1.0" encoding="utf-8"?>
<sst xmlns="http://schemas.openxmlformats.org/spreadsheetml/2006/main" count="816" uniqueCount="83">
  <si>
    <t>計</t>
    <rPh sb="0" eb="1">
      <t>ケイ</t>
    </rPh>
    <phoneticPr fontId="1"/>
  </si>
  <si>
    <t>総数</t>
    <rPh sb="0" eb="2">
      <t>ソウスウ</t>
    </rPh>
    <phoneticPr fontId="1"/>
  </si>
  <si>
    <t>出荷数</t>
    <rPh sb="0" eb="2">
      <t>シュッカ</t>
    </rPh>
    <rPh sb="2" eb="3">
      <t>スウ</t>
    </rPh>
    <phoneticPr fontId="1"/>
  </si>
  <si>
    <t>残数</t>
    <rPh sb="0" eb="2">
      <t>ザンスウ</t>
    </rPh>
    <phoneticPr fontId="1"/>
  </si>
  <si>
    <t>追加</t>
    <rPh sb="0" eb="2">
      <t>ツイカ</t>
    </rPh>
    <phoneticPr fontId="1"/>
  </si>
  <si>
    <t>初回</t>
    <rPh sb="0" eb="2">
      <t>ショカイ</t>
    </rPh>
    <phoneticPr fontId="1"/>
  </si>
  <si>
    <t>夢販</t>
    <rPh sb="0" eb="2">
      <t>ユメハン</t>
    </rPh>
    <phoneticPr fontId="1"/>
  </si>
  <si>
    <t>息がしやすいＵＶフェイスカバー&lt;夢販在庫＞</t>
    <rPh sb="0" eb="1">
      <t>イキ</t>
    </rPh>
    <rPh sb="16" eb="18">
      <t>ユメハン</t>
    </rPh>
    <rPh sb="18" eb="20">
      <t>ザイコ</t>
    </rPh>
    <phoneticPr fontId="1"/>
  </si>
  <si>
    <t>息がしやすいＵＶフェイスカバー＜KPORT在庫＞</t>
    <rPh sb="0" eb="1">
      <t>イキ</t>
    </rPh>
    <rPh sb="21" eb="23">
      <t>ザイコ</t>
    </rPh>
    <phoneticPr fontId="1"/>
  </si>
  <si>
    <t>カラー</t>
    <phoneticPr fontId="1"/>
  </si>
  <si>
    <t>ネイビー×グレー</t>
    <phoneticPr fontId="1"/>
  </si>
  <si>
    <t>グレー×ピンク</t>
    <phoneticPr fontId="1"/>
  </si>
  <si>
    <t>ベージュ×ホワイト</t>
    <phoneticPr fontId="1"/>
  </si>
  <si>
    <t>ネット</t>
    <phoneticPr fontId="1"/>
  </si>
  <si>
    <t>田中さん</t>
    <rPh sb="0" eb="2">
      <t>タナカ</t>
    </rPh>
    <phoneticPr fontId="1"/>
  </si>
  <si>
    <t>酒井</t>
    <rPh sb="0" eb="2">
      <t>サカイ</t>
    </rPh>
    <phoneticPr fontId="1"/>
  </si>
  <si>
    <t>ネット</t>
  </si>
  <si>
    <t>真木さん買戻し</t>
    <rPh sb="0" eb="2">
      <t>マキ</t>
    </rPh>
    <rPh sb="4" eb="6">
      <t>カイモド</t>
    </rPh>
    <phoneticPr fontId="1"/>
  </si>
  <si>
    <t>ユーセン</t>
    <phoneticPr fontId="1"/>
  </si>
  <si>
    <r>
      <t>K</t>
    </r>
    <r>
      <rPr>
        <sz val="11"/>
        <rFont val="ＭＳ Ｐゴシック"/>
        <family val="3"/>
        <charset val="128"/>
      </rPr>
      <t>PORT</t>
    </r>
    <phoneticPr fontId="1"/>
  </si>
  <si>
    <t>息がしやすいＵＶフェイスカバー＜シンツウ在庫＞</t>
    <rPh sb="0" eb="1">
      <t>イキ</t>
    </rPh>
    <rPh sb="20" eb="22">
      <t>ザイコ</t>
    </rPh>
    <phoneticPr fontId="1"/>
  </si>
  <si>
    <t>セシールsample</t>
    <phoneticPr fontId="1"/>
  </si>
  <si>
    <t>3月上旬～</t>
    <rPh sb="1" eb="2">
      <t>ガツ</t>
    </rPh>
    <rPh sb="2" eb="4">
      <t>ジョウジュン</t>
    </rPh>
    <phoneticPr fontId="1"/>
  </si>
  <si>
    <t>セシール21年夏特別号</t>
    <rPh sb="6" eb="7">
      <t>ネン</t>
    </rPh>
    <rPh sb="7" eb="8">
      <t>ナツ</t>
    </rPh>
    <rPh sb="8" eb="10">
      <t>トクベツ</t>
    </rPh>
    <rPh sb="10" eb="11">
      <t>ゴウ</t>
    </rPh>
    <phoneticPr fontId="1"/>
  </si>
  <si>
    <t>セシール色校正用sample</t>
    <rPh sb="4" eb="8">
      <t>イロコウセイヨウ</t>
    </rPh>
    <phoneticPr fontId="1"/>
  </si>
  <si>
    <t>丸藤sample</t>
    <rPh sb="0" eb="2">
      <t>マルフジ</t>
    </rPh>
    <phoneticPr fontId="1"/>
  </si>
  <si>
    <t>オバタsample</t>
    <phoneticPr fontId="1"/>
  </si>
  <si>
    <t>セシールsample返却</t>
    <rPh sb="10" eb="12">
      <t>ヘンキャク</t>
    </rPh>
    <phoneticPr fontId="1"/>
  </si>
  <si>
    <t>セシール21年夏特別号①</t>
    <rPh sb="6" eb="7">
      <t>ネン</t>
    </rPh>
    <rPh sb="7" eb="8">
      <t>ナツ</t>
    </rPh>
    <rPh sb="8" eb="10">
      <t>トクベツ</t>
    </rPh>
    <rPh sb="10" eb="11">
      <t>ゴウ</t>
    </rPh>
    <phoneticPr fontId="1"/>
  </si>
  <si>
    <t>セシール21年夏特別号②</t>
    <rPh sb="6" eb="7">
      <t>ネン</t>
    </rPh>
    <rPh sb="7" eb="8">
      <t>ナツ</t>
    </rPh>
    <rPh sb="8" eb="10">
      <t>トクベツ</t>
    </rPh>
    <rPh sb="10" eb="11">
      <t>ゴウ</t>
    </rPh>
    <phoneticPr fontId="1"/>
  </si>
  <si>
    <t>グリーンコープ8号①</t>
    <rPh sb="8" eb="9">
      <t>ゴウ</t>
    </rPh>
    <phoneticPr fontId="1"/>
  </si>
  <si>
    <t>グリーンコープ8号②</t>
    <rPh sb="8" eb="9">
      <t>ゴウ</t>
    </rPh>
    <phoneticPr fontId="1"/>
  </si>
  <si>
    <t>グリーンコープ8号③</t>
    <rPh sb="8" eb="9">
      <t>ゴウ</t>
    </rPh>
    <phoneticPr fontId="1"/>
  </si>
  <si>
    <t>グリーンコープ8号④</t>
    <rPh sb="8" eb="9">
      <t>ゴウ</t>
    </rPh>
    <phoneticPr fontId="1"/>
  </si>
  <si>
    <t>コープさっぽろ5-4w①</t>
    <phoneticPr fontId="1"/>
  </si>
  <si>
    <t>セシール返品</t>
    <rPh sb="4" eb="6">
      <t>ヘンピン</t>
    </rPh>
    <phoneticPr fontId="1"/>
  </si>
  <si>
    <t>コープさっぽろ8-2ｗ（オバタ）</t>
    <phoneticPr fontId="1"/>
  </si>
  <si>
    <t>8/6、8/10</t>
    <phoneticPr fontId="1"/>
  </si>
  <si>
    <t>オバタサンプル返却</t>
    <rPh sb="7" eb="9">
      <t>ヘンキャク</t>
    </rPh>
    <phoneticPr fontId="1"/>
  </si>
  <si>
    <t>オバタ返品</t>
    <rPh sb="3" eb="5">
      <t>ヘンピン</t>
    </rPh>
    <phoneticPr fontId="1"/>
  </si>
  <si>
    <t>コープさっぽろ8-2ｗ（オバタ）①</t>
    <phoneticPr fontId="1"/>
  </si>
  <si>
    <t>コープさっぽろ8-2ｗ（オバタ）②</t>
    <phoneticPr fontId="1"/>
  </si>
  <si>
    <t>点検9/29、アバウト10/5、本10/7、11</t>
    <rPh sb="0" eb="2">
      <t>テンケン</t>
    </rPh>
    <rPh sb="16" eb="17">
      <t>ホン</t>
    </rPh>
    <phoneticPr fontId="1"/>
  </si>
  <si>
    <t>夢販</t>
    <rPh sb="0" eb="2">
      <t>ユメハン</t>
    </rPh>
    <phoneticPr fontId="1"/>
  </si>
  <si>
    <t>セシール色校正用sample返却</t>
    <rPh sb="4" eb="8">
      <t>イロコウセイヨウ</t>
    </rPh>
    <rPh sb="14" eb="16">
      <t>ヘンキャク</t>
    </rPh>
    <phoneticPr fontId="1"/>
  </si>
  <si>
    <r>
      <t>グリーンコープ29号</t>
    </r>
    <r>
      <rPr>
        <b/>
        <sz val="10"/>
        <rFont val="ＭＳ Ｐゴシック"/>
        <family val="3"/>
        <charset val="128"/>
      </rPr>
      <t>（旧JAN）</t>
    </r>
    <r>
      <rPr>
        <sz val="10"/>
        <rFont val="ＭＳ Ｐゴシック"/>
        <family val="3"/>
        <charset val="128"/>
      </rPr>
      <t>①</t>
    </r>
    <rPh sb="9" eb="10">
      <t>ゴウ</t>
    </rPh>
    <rPh sb="11" eb="12">
      <t>キュウ</t>
    </rPh>
    <phoneticPr fontId="1"/>
  </si>
  <si>
    <r>
      <t>グリーンコープ29号</t>
    </r>
    <r>
      <rPr>
        <b/>
        <sz val="10"/>
        <rFont val="ＭＳ Ｐゴシック"/>
        <family val="3"/>
        <charset val="128"/>
      </rPr>
      <t>（旧JAN）②</t>
    </r>
    <rPh sb="9" eb="10">
      <t>ゴウ</t>
    </rPh>
    <rPh sb="11" eb="12">
      <t>キュウ</t>
    </rPh>
    <phoneticPr fontId="1"/>
  </si>
  <si>
    <r>
      <t>グリーンコープ29号</t>
    </r>
    <r>
      <rPr>
        <b/>
        <sz val="10"/>
        <rFont val="ＭＳ Ｐゴシック"/>
        <family val="3"/>
        <charset val="128"/>
      </rPr>
      <t>（旧JAN）</t>
    </r>
    <rPh sb="9" eb="10">
      <t>ゴウ</t>
    </rPh>
    <rPh sb="11" eb="12">
      <t>キュウ</t>
    </rPh>
    <phoneticPr fontId="1"/>
  </si>
  <si>
    <r>
      <t>グリーンコープ29号</t>
    </r>
    <r>
      <rPr>
        <b/>
        <sz val="10"/>
        <rFont val="ＭＳ Ｐゴシック"/>
        <family val="3"/>
        <charset val="128"/>
      </rPr>
      <t>（旧JAN）③</t>
    </r>
    <rPh sb="9" eb="10">
      <t>ゴウ</t>
    </rPh>
    <rPh sb="11" eb="12">
      <t>キュウ</t>
    </rPh>
    <phoneticPr fontId="1"/>
  </si>
  <si>
    <t>オバタ￥1480</t>
    <phoneticPr fontId="1"/>
  </si>
  <si>
    <t>グリーン￥1480</t>
    <phoneticPr fontId="1"/>
  </si>
  <si>
    <t>サクラマチ￥1480</t>
    <phoneticPr fontId="1"/>
  </si>
  <si>
    <t>サクラマチ（齋藤さん）</t>
    <rPh sb="6" eb="8">
      <t>サイトウ</t>
    </rPh>
    <phoneticPr fontId="1"/>
  </si>
  <si>
    <t>夢販</t>
    <rPh sb="0" eb="2">
      <t>ユメハン</t>
    </rPh>
    <phoneticPr fontId="1"/>
  </si>
  <si>
    <t>ネット</t>
    <phoneticPr fontId="1"/>
  </si>
  <si>
    <t>夢販</t>
    <rPh sb="0" eb="2">
      <t>ユメハン</t>
    </rPh>
    <phoneticPr fontId="1"/>
  </si>
  <si>
    <t>夢販</t>
    <rPh sb="0" eb="2">
      <t>ユメハン</t>
    </rPh>
    <phoneticPr fontId="1"/>
  </si>
  <si>
    <t>棚卸</t>
    <rPh sb="0" eb="2">
      <t>タナオロシ</t>
    </rPh>
    <phoneticPr fontId="1"/>
  </si>
  <si>
    <t>丸藤sample返却</t>
    <rPh sb="0" eb="2">
      <t>マルフジ</t>
    </rPh>
    <rPh sb="8" eb="10">
      <t>ヘンキャク</t>
    </rPh>
    <phoneticPr fontId="1"/>
  </si>
  <si>
    <t>くらし企画sample</t>
    <rPh sb="3" eb="5">
      <t>キカク</t>
    </rPh>
    <phoneticPr fontId="1"/>
  </si>
  <si>
    <t>追加</t>
    <rPh sb="0" eb="2">
      <t>ツイカ</t>
    </rPh>
    <phoneticPr fontId="1"/>
  </si>
  <si>
    <t>コープデリ8月4回限定</t>
    <rPh sb="6" eb="7">
      <t>ガツ</t>
    </rPh>
    <rPh sb="8" eb="9">
      <t>カイ</t>
    </rPh>
    <rPh sb="9" eb="11">
      <t>ゲンテイ</t>
    </rPh>
    <phoneticPr fontId="1"/>
  </si>
  <si>
    <t>初8/2、アバウト8/15、本8/16～21</t>
    <rPh sb="0" eb="1">
      <t>ハツ</t>
    </rPh>
    <rPh sb="14" eb="15">
      <t>ホン</t>
    </rPh>
    <phoneticPr fontId="1"/>
  </si>
  <si>
    <t>在庫調整</t>
    <rPh sb="0" eb="4">
      <t>ザイコチョウセイ</t>
    </rPh>
    <phoneticPr fontId="1"/>
  </si>
  <si>
    <t>K-PORT</t>
    <phoneticPr fontId="1"/>
  </si>
  <si>
    <t>夢販</t>
    <rPh sb="0" eb="1">
      <t>ユメ</t>
    </rPh>
    <rPh sb="1" eb="2">
      <t>ハン</t>
    </rPh>
    <phoneticPr fontId="1"/>
  </si>
  <si>
    <t>電話注文</t>
    <rPh sb="0" eb="2">
      <t>デンワ</t>
    </rPh>
    <rPh sb="2" eb="4">
      <t>チュウモン</t>
    </rPh>
    <phoneticPr fontId="1"/>
  </si>
  <si>
    <t>くらし返品予定</t>
    <rPh sb="3" eb="5">
      <t>ヘンピン</t>
    </rPh>
    <rPh sb="5" eb="7">
      <t>ヨテイ</t>
    </rPh>
    <phoneticPr fontId="1"/>
  </si>
  <si>
    <t>K-PORT</t>
    <phoneticPr fontId="1"/>
  </si>
  <si>
    <t>在庫確認</t>
    <rPh sb="0" eb="4">
      <t>ザイコカクニン</t>
    </rPh>
    <phoneticPr fontId="1"/>
  </si>
  <si>
    <t>千趣会</t>
    <rPh sb="0" eb="3">
      <t>センシュカイ</t>
    </rPh>
    <phoneticPr fontId="1"/>
  </si>
  <si>
    <t>千趣会sample</t>
    <rPh sb="0" eb="3">
      <t>センシュカイ</t>
    </rPh>
    <phoneticPr fontId="1"/>
  </si>
  <si>
    <t>千趣会①</t>
    <rPh sb="0" eb="4">
      <t>センシュカイ1</t>
    </rPh>
    <phoneticPr fontId="1"/>
  </si>
  <si>
    <t>千趣会sample返却</t>
    <rPh sb="0" eb="3">
      <t>センシュカイ</t>
    </rPh>
    <rPh sb="9" eb="11">
      <t>ヘンキャク</t>
    </rPh>
    <phoneticPr fontId="1"/>
  </si>
  <si>
    <t>追加</t>
    <rPh sb="0" eb="2">
      <t>ツイカ</t>
    </rPh>
    <phoneticPr fontId="1"/>
  </si>
  <si>
    <t>千趣会②</t>
    <rPh sb="0" eb="3">
      <t>センシュカイ</t>
    </rPh>
    <phoneticPr fontId="1"/>
  </si>
  <si>
    <t>千趣会③</t>
    <rPh sb="0" eb="3">
      <t>センシュカイ</t>
    </rPh>
    <phoneticPr fontId="1"/>
  </si>
  <si>
    <t>千趣会④</t>
    <rPh sb="0" eb="3">
      <t>センシュカイ</t>
    </rPh>
    <phoneticPr fontId="1"/>
  </si>
  <si>
    <t>千趣会⑤</t>
    <rPh sb="0" eb="3">
      <t>センシュカイ</t>
    </rPh>
    <phoneticPr fontId="1"/>
  </si>
  <si>
    <t>千趣会⑥</t>
    <rPh sb="0" eb="3">
      <t>センシュカイ</t>
    </rPh>
    <phoneticPr fontId="1"/>
  </si>
  <si>
    <t>千趣会⑦</t>
    <rPh sb="0" eb="3">
      <t>センシュカイ</t>
    </rPh>
    <phoneticPr fontId="1"/>
  </si>
  <si>
    <t>千趣会返品</t>
    <rPh sb="0" eb="3">
      <t>センシュカイ</t>
    </rPh>
    <rPh sb="3" eb="5">
      <t>ヘンピン</t>
    </rPh>
    <phoneticPr fontId="1"/>
  </si>
  <si>
    <t>追加</t>
    <rPh sb="0" eb="2">
      <t>ツイカ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</si>
</sst>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9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56" fontId="3" fillId="0" borderId="7" xfId="0" applyNumberFormat="1" applyFont="1" applyBorder="1" applyAlignment="1">
      <alignment horizontal="center"/>
    </xf>
    <xf numFmtId="56" fontId="0" fillId="0" borderId="7" xfId="0" applyNumberFormat="1" applyBorder="1" applyAlignment="1">
      <alignment horizontal="center"/>
    </xf>
    <xf numFmtId="0" fontId="0" fillId="0" borderId="1" xfId="0" applyBorder="1"/>
    <xf numFmtId="56" fontId="0" fillId="0" borderId="0" xfId="0" applyNumberFormat="1"/>
    <xf numFmtId="0" fontId="5" fillId="0" borderId="8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56" fontId="5" fillId="0" borderId="3" xfId="0" applyNumberFormat="1" applyFont="1" applyBorder="1" applyAlignment="1">
      <alignment horizontal="center"/>
    </xf>
    <xf numFmtId="0" fontId="5" fillId="0" borderId="10" xfId="0" applyFont="1" applyBorder="1"/>
    <xf numFmtId="56" fontId="0" fillId="0" borderId="4" xfId="0" applyNumberFormat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8" xfId="0" applyBorder="1" applyAlignment="1">
      <alignment horizontal="center"/>
    </xf>
    <xf numFmtId="0" fontId="0" fillId="0" borderId="13" xfId="0" applyBorder="1"/>
    <xf numFmtId="0" fontId="0" fillId="0" borderId="14" xfId="0" applyBorder="1" applyAlignment="1">
      <alignment horizontal="center"/>
    </xf>
    <xf numFmtId="0" fontId="5" fillId="0" borderId="15" xfId="0" applyFont="1" applyBorder="1"/>
    <xf numFmtId="0" fontId="0" fillId="0" borderId="16" xfId="0" applyBorder="1"/>
    <xf numFmtId="0" fontId="0" fillId="0" borderId="14" xfId="0" applyBorder="1"/>
    <xf numFmtId="0" fontId="0" fillId="0" borderId="17" xfId="0" applyBorder="1"/>
    <xf numFmtId="0" fontId="3" fillId="0" borderId="16" xfId="0" applyFont="1" applyBorder="1"/>
    <xf numFmtId="0" fontId="0" fillId="0" borderId="15" xfId="0" applyBorder="1"/>
    <xf numFmtId="0" fontId="5" fillId="0" borderId="18" xfId="0" applyFont="1" applyBorder="1"/>
    <xf numFmtId="0" fontId="0" fillId="0" borderId="18" xfId="0" applyBorder="1"/>
    <xf numFmtId="0" fontId="0" fillId="0" borderId="19" xfId="0" applyBorder="1"/>
    <xf numFmtId="0" fontId="5" fillId="0" borderId="20" xfId="0" applyFont="1" applyBorder="1"/>
    <xf numFmtId="0" fontId="5" fillId="0" borderId="21" xfId="0" applyFont="1" applyBorder="1" applyAlignment="1">
      <alignment horizontal="center"/>
    </xf>
    <xf numFmtId="0" fontId="5" fillId="0" borderId="22" xfId="0" applyFont="1" applyBorder="1"/>
    <xf numFmtId="0" fontId="0" fillId="0" borderId="23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5" xfId="0" applyBorder="1"/>
    <xf numFmtId="0" fontId="5" fillId="0" borderId="26" xfId="0" applyFont="1" applyBorder="1"/>
    <xf numFmtId="0" fontId="0" fillId="0" borderId="27" xfId="0" applyBorder="1"/>
    <xf numFmtId="0" fontId="5" fillId="0" borderId="28" xfId="0" applyFont="1" applyBorder="1"/>
    <xf numFmtId="0" fontId="0" fillId="0" borderId="24" xfId="0" applyBorder="1"/>
    <xf numFmtId="0" fontId="5" fillId="0" borderId="21" xfId="0" applyFont="1" applyBorder="1"/>
    <xf numFmtId="0" fontId="0" fillId="0" borderId="3" xfId="0" applyBorder="1"/>
    <xf numFmtId="0" fontId="5" fillId="0" borderId="8" xfId="0" applyFont="1" applyBorder="1"/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3" fillId="0" borderId="31" xfId="0" applyFont="1" applyBorder="1"/>
    <xf numFmtId="0" fontId="0" fillId="0" borderId="32" xfId="0" applyBorder="1"/>
    <xf numFmtId="0" fontId="0" fillId="0" borderId="33" xfId="0" applyBorder="1" applyAlignment="1">
      <alignment horizontal="center"/>
    </xf>
    <xf numFmtId="0" fontId="0" fillId="0" borderId="7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26" xfId="0" applyBorder="1"/>
    <xf numFmtId="0" fontId="5" fillId="0" borderId="35" xfId="0" applyFont="1" applyBorder="1"/>
    <xf numFmtId="0" fontId="5" fillId="0" borderId="30" xfId="0" applyFont="1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5" fillId="0" borderId="7" xfId="0" applyFont="1" applyBorder="1"/>
    <xf numFmtId="56" fontId="0" fillId="0" borderId="3" xfId="0" applyNumberFormat="1" applyBorder="1" applyAlignment="1">
      <alignment horizontal="center"/>
    </xf>
    <xf numFmtId="0" fontId="0" fillId="0" borderId="10" xfId="0" applyBorder="1"/>
    <xf numFmtId="0" fontId="0" fillId="0" borderId="7" xfId="0" applyBorder="1" applyAlignment="1">
      <alignment horizontal="center"/>
    </xf>
    <xf numFmtId="0" fontId="0" fillId="0" borderId="43" xfId="0" applyBorder="1"/>
    <xf numFmtId="0" fontId="0" fillId="0" borderId="2" xfId="0" applyBorder="1" applyAlignment="1">
      <alignment horizontal="center" shrinkToFit="1"/>
    </xf>
    <xf numFmtId="0" fontId="6" fillId="0" borderId="2" xfId="0" applyFont="1" applyBorder="1" applyAlignment="1">
      <alignment horizontal="center"/>
    </xf>
    <xf numFmtId="0" fontId="0" fillId="0" borderId="9" xfId="0" applyBorder="1" applyAlignment="1">
      <alignment horizontal="center" shrinkToFit="1"/>
    </xf>
    <xf numFmtId="0" fontId="0" fillId="0" borderId="5" xfId="0" applyBorder="1" applyAlignment="1">
      <alignment horizontal="center" shrinkToFit="1"/>
    </xf>
    <xf numFmtId="56" fontId="0" fillId="0" borderId="7" xfId="0" applyNumberFormat="1" applyBorder="1" applyAlignment="1">
      <alignment horizontal="center" shrinkToFit="1"/>
    </xf>
    <xf numFmtId="0" fontId="4" fillId="0" borderId="2" xfId="0" applyFont="1" applyBorder="1" applyAlignment="1">
      <alignment horizontal="center" shrinkToFit="1"/>
    </xf>
    <xf numFmtId="0" fontId="6" fillId="0" borderId="2" xfId="0" applyFont="1" applyBorder="1" applyAlignment="1">
      <alignment horizontal="center" shrinkToFit="1"/>
    </xf>
    <xf numFmtId="0" fontId="0" fillId="2" borderId="6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5" fillId="0" borderId="44" xfId="0" applyFont="1" applyBorder="1"/>
    <xf numFmtId="0" fontId="8" fillId="0" borderId="9" xfId="0" applyFont="1" applyBorder="1" applyAlignment="1">
      <alignment horizontal="center" shrinkToFit="1"/>
    </xf>
    <xf numFmtId="0" fontId="8" fillId="0" borderId="1" xfId="0" applyFont="1" applyBorder="1"/>
    <xf numFmtId="0" fontId="8" fillId="0" borderId="16" xfId="0" applyFont="1" applyBorder="1"/>
    <xf numFmtId="0" fontId="8" fillId="0" borderId="31" xfId="0" applyFont="1" applyBorder="1"/>
    <xf numFmtId="0" fontId="8" fillId="0" borderId="7" xfId="0" applyFont="1" applyBorder="1"/>
    <xf numFmtId="0" fontId="0" fillId="0" borderId="0" xfId="0" applyAlignment="1">
      <alignment horizontal="left"/>
    </xf>
    <xf numFmtId="56" fontId="5" fillId="0" borderId="0" xfId="0" applyNumberFormat="1" applyFont="1" applyAlignment="1">
      <alignment horizontal="left"/>
    </xf>
    <xf numFmtId="56" fontId="0" fillId="0" borderId="0" xfId="0" applyNumberFormat="1" applyAlignment="1">
      <alignment horizontal="left"/>
    </xf>
    <xf numFmtId="56" fontId="3" fillId="0" borderId="0" xfId="0" applyNumberFormat="1" applyFont="1" applyAlignment="1">
      <alignment horizontal="left"/>
    </xf>
    <xf numFmtId="56" fontId="8" fillId="0" borderId="0" xfId="0" applyNumberFormat="1" applyFont="1" applyAlignment="1">
      <alignment horizontal="left"/>
    </xf>
    <xf numFmtId="6" fontId="0" fillId="0" borderId="0" xfId="0" applyNumberFormat="1" applyAlignment="1">
      <alignment horizontal="left"/>
    </xf>
    <xf numFmtId="0" fontId="5" fillId="0" borderId="5" xfId="0" applyFont="1" applyBorder="1" applyAlignment="1">
      <alignment horizontal="center" shrinkToFit="1"/>
    </xf>
    <xf numFmtId="0" fontId="5" fillId="0" borderId="5" xfId="0" applyFont="1" applyBorder="1"/>
    <xf numFmtId="0" fontId="5" fillId="0" borderId="19" xfId="0" applyFont="1" applyBorder="1"/>
    <xf numFmtId="0" fontId="5" fillId="0" borderId="45" xfId="0" applyFont="1" applyBorder="1"/>
    <xf numFmtId="0" fontId="5" fillId="0" borderId="33" xfId="0" applyFont="1" applyBorder="1"/>
    <xf numFmtId="56" fontId="5" fillId="0" borderId="5" xfId="0" applyNumberFormat="1" applyFont="1" applyBorder="1" applyAlignment="1">
      <alignment horizontal="center"/>
    </xf>
    <xf numFmtId="0" fontId="0" fillId="0" borderId="3" xfId="0" applyBorder="1" applyAlignment="1">
      <alignment horizontal="center" shrinkToFit="1"/>
    </xf>
    <xf numFmtId="0" fontId="0" fillId="0" borderId="27" xfId="0" applyBorder="1" applyAlignment="1">
      <alignment horizontal="center"/>
    </xf>
    <xf numFmtId="0" fontId="0" fillId="5" borderId="14" xfId="0" applyFill="1" applyBorder="1"/>
    <xf numFmtId="0" fontId="5" fillId="5" borderId="22" xfId="0" applyFont="1" applyFill="1" applyBorder="1"/>
    <xf numFmtId="0" fontId="0" fillId="0" borderId="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0"/>
  <sheetViews>
    <sheetView tabSelected="1" topLeftCell="A494" workbookViewId="0">
      <selection activeCell="G517" sqref="G517"/>
    </sheetView>
  </sheetViews>
  <sheetFormatPr defaultRowHeight="13.5" x14ac:dyDescent="0.15"/>
  <cols>
    <col min="2" max="2" width="21" style="1" customWidth="1"/>
    <col min="3" max="5" width="15.375" customWidth="1"/>
    <col min="6" max="6" width="11.375" customWidth="1"/>
    <col min="7" max="7" width="12.5" style="85" customWidth="1"/>
    <col min="8" max="8" width="26.125" customWidth="1"/>
    <col min="9" max="11" width="15.375" customWidth="1"/>
    <col min="12" max="12" width="10.375" customWidth="1"/>
    <col min="13" max="13" width="9.25" style="85" bestFit="1" customWidth="1"/>
    <col min="14" max="18" width="16.125" customWidth="1"/>
  </cols>
  <sheetData>
    <row r="1" spans="2:19" ht="18.75" x14ac:dyDescent="0.2">
      <c r="B1" s="14" t="s">
        <v>7</v>
      </c>
      <c r="H1" s="14" t="s">
        <v>8</v>
      </c>
      <c r="N1" s="14" t="s">
        <v>20</v>
      </c>
    </row>
    <row r="2" spans="2:19" ht="20.25" customHeight="1" thickBot="1" x14ac:dyDescent="0.2">
      <c r="H2" s="1"/>
      <c r="N2" s="1"/>
    </row>
    <row r="3" spans="2:19" ht="14.25" thickBot="1" x14ac:dyDescent="0.2">
      <c r="B3" s="6"/>
      <c r="C3" s="104"/>
      <c r="D3" s="105"/>
      <c r="E3" s="105"/>
      <c r="F3" s="106"/>
      <c r="H3" s="6"/>
      <c r="I3" s="101"/>
      <c r="J3" s="102"/>
      <c r="K3" s="102"/>
      <c r="L3" s="103"/>
      <c r="N3" s="6"/>
      <c r="O3" s="101"/>
      <c r="P3" s="102"/>
      <c r="Q3" s="102"/>
      <c r="R3" s="103"/>
    </row>
    <row r="4" spans="2:19" s="1" customFormat="1" ht="14.25" thickBot="1" x14ac:dyDescent="0.2">
      <c r="B4" s="7" t="s">
        <v>9</v>
      </c>
      <c r="C4" s="8" t="s">
        <v>10</v>
      </c>
      <c r="D4" s="24" t="s">
        <v>11</v>
      </c>
      <c r="E4" s="48" t="s">
        <v>12</v>
      </c>
      <c r="F4" s="53" t="s">
        <v>0</v>
      </c>
      <c r="G4" s="85"/>
      <c r="H4" s="7" t="s">
        <v>9</v>
      </c>
      <c r="I4" s="8" t="s">
        <v>10</v>
      </c>
      <c r="J4" s="24" t="s">
        <v>11</v>
      </c>
      <c r="K4" s="48" t="s">
        <v>12</v>
      </c>
      <c r="L4" s="53" t="s">
        <v>0</v>
      </c>
      <c r="M4" s="85"/>
      <c r="N4" s="7" t="s">
        <v>9</v>
      </c>
      <c r="O4" s="8" t="s">
        <v>10</v>
      </c>
      <c r="P4" s="24" t="s">
        <v>11</v>
      </c>
      <c r="Q4" s="48" t="s">
        <v>12</v>
      </c>
      <c r="R4" s="53" t="s">
        <v>0</v>
      </c>
      <c r="S4"/>
    </row>
    <row r="5" spans="2:19" x14ac:dyDescent="0.15">
      <c r="B5" s="17" t="s">
        <v>5</v>
      </c>
      <c r="C5" s="18">
        <v>100</v>
      </c>
      <c r="D5" s="25">
        <v>100</v>
      </c>
      <c r="E5" s="60">
        <v>100</v>
      </c>
      <c r="F5" s="41">
        <f>SUM(C5:E5)</f>
        <v>300</v>
      </c>
      <c r="G5" s="86">
        <v>44043</v>
      </c>
      <c r="H5" s="65" t="s">
        <v>4</v>
      </c>
      <c r="I5" s="66">
        <v>200</v>
      </c>
      <c r="J5" s="30">
        <v>200</v>
      </c>
      <c r="K5" s="49">
        <v>200</v>
      </c>
      <c r="L5" s="54">
        <f>SUM(I5:K5)</f>
        <v>600</v>
      </c>
      <c r="M5" s="87">
        <v>44063</v>
      </c>
      <c r="N5" s="17" t="s">
        <v>4</v>
      </c>
      <c r="O5" s="18">
        <v>580</v>
      </c>
      <c r="P5" s="25">
        <v>580</v>
      </c>
      <c r="Q5" s="60">
        <v>580</v>
      </c>
      <c r="R5" s="64">
        <f>SUM(O5:Q5)</f>
        <v>1740</v>
      </c>
    </row>
    <row r="6" spans="2:19" x14ac:dyDescent="0.15">
      <c r="B6" s="15" t="s">
        <v>4</v>
      </c>
      <c r="C6" s="11"/>
      <c r="D6" s="26"/>
      <c r="E6" s="50"/>
      <c r="F6" s="54">
        <f>SUM(C6:E6)</f>
        <v>0</v>
      </c>
      <c r="G6" s="87"/>
      <c r="H6" s="15" t="s">
        <v>4</v>
      </c>
      <c r="I6" s="11">
        <v>290</v>
      </c>
      <c r="J6" s="26">
        <v>290</v>
      </c>
      <c r="K6" s="50">
        <v>290</v>
      </c>
      <c r="L6" s="54">
        <f>SUM(I6:K6)</f>
        <v>870</v>
      </c>
      <c r="M6" s="87">
        <v>44085</v>
      </c>
      <c r="N6" s="15" t="s">
        <v>4</v>
      </c>
      <c r="O6" s="11">
        <v>10</v>
      </c>
      <c r="P6" s="26">
        <v>10</v>
      </c>
      <c r="Q6" s="50">
        <v>10</v>
      </c>
      <c r="R6" s="54">
        <f>SUM(O6:Q6)</f>
        <v>30</v>
      </c>
    </row>
    <row r="7" spans="2:19" x14ac:dyDescent="0.15">
      <c r="B7" s="15" t="s">
        <v>4</v>
      </c>
      <c r="C7" s="11"/>
      <c r="D7" s="26"/>
      <c r="E7" s="50"/>
      <c r="F7" s="54">
        <f>SUM(C7:E7)</f>
        <v>0</v>
      </c>
      <c r="G7" s="87"/>
      <c r="H7" s="15" t="s">
        <v>4</v>
      </c>
      <c r="I7" s="11"/>
      <c r="J7" s="26"/>
      <c r="K7" s="50"/>
      <c r="L7" s="54">
        <f>SUM(I7:K7)</f>
        <v>0</v>
      </c>
      <c r="N7" s="15" t="s">
        <v>4</v>
      </c>
      <c r="O7" s="11"/>
      <c r="P7" s="26"/>
      <c r="Q7" s="50"/>
      <c r="R7" s="54">
        <f>SUM(O7:Q7)</f>
        <v>0</v>
      </c>
    </row>
    <row r="8" spans="2:19" ht="14.25" thickBot="1" x14ac:dyDescent="0.2">
      <c r="B8" s="15" t="s">
        <v>4</v>
      </c>
      <c r="C8" s="11"/>
      <c r="D8" s="26"/>
      <c r="E8" s="50"/>
      <c r="F8" s="54">
        <f>SUM(C8:E8)</f>
        <v>0</v>
      </c>
      <c r="G8" s="87"/>
      <c r="H8" s="15" t="s">
        <v>4</v>
      </c>
      <c r="I8" s="11"/>
      <c r="J8" s="26"/>
      <c r="K8" s="50"/>
      <c r="L8" s="54">
        <f>SUM(I8:K8)</f>
        <v>0</v>
      </c>
      <c r="N8" s="15" t="s">
        <v>4</v>
      </c>
      <c r="O8" s="11"/>
      <c r="P8" s="26"/>
      <c r="Q8" s="50"/>
      <c r="R8" s="54">
        <f>SUM(O8:Q8)</f>
        <v>0</v>
      </c>
    </row>
    <row r="9" spans="2:19" ht="14.25" thickBot="1" x14ac:dyDescent="0.2">
      <c r="B9" s="7" t="s">
        <v>1</v>
      </c>
      <c r="C9" s="40">
        <f>SUM(C5:C8)</f>
        <v>100</v>
      </c>
      <c r="D9" s="33">
        <f>SUM(D5:D8)</f>
        <v>100</v>
      </c>
      <c r="E9" s="27">
        <f>SUM(E5:E8)</f>
        <v>100</v>
      </c>
      <c r="F9" s="55">
        <f>SUM(F5:F8)</f>
        <v>300</v>
      </c>
      <c r="H9" s="7" t="s">
        <v>1</v>
      </c>
      <c r="I9" s="40">
        <f>SUM(I5:I8)</f>
        <v>490</v>
      </c>
      <c r="J9" s="33">
        <f>SUM(J5:J8)</f>
        <v>490</v>
      </c>
      <c r="K9" s="27">
        <f>SUM(K5:K8)</f>
        <v>490</v>
      </c>
      <c r="L9" s="55">
        <f>SUM(L5:L8)</f>
        <v>1470</v>
      </c>
      <c r="N9" s="7" t="s">
        <v>1</v>
      </c>
      <c r="O9" s="40">
        <f>SUM(O5:O8)</f>
        <v>590</v>
      </c>
      <c r="P9" s="33">
        <f>SUM(P5:P8)</f>
        <v>590</v>
      </c>
      <c r="Q9" s="27">
        <f>SUM(Q5:Q8)</f>
        <v>590</v>
      </c>
      <c r="R9" s="55">
        <f>SUM(R5:R8)</f>
        <v>1770</v>
      </c>
    </row>
    <row r="10" spans="2:19" x14ac:dyDescent="0.15">
      <c r="B10" s="19" t="s">
        <v>13</v>
      </c>
      <c r="C10" s="20">
        <v>1</v>
      </c>
      <c r="D10" s="28"/>
      <c r="E10" s="61"/>
      <c r="F10" s="42">
        <f>SUM(C10:E10)</f>
        <v>1</v>
      </c>
      <c r="G10" s="87">
        <v>44043</v>
      </c>
      <c r="H10" s="16"/>
      <c r="I10" s="11"/>
      <c r="J10" s="30"/>
      <c r="K10" s="49"/>
      <c r="L10" s="56">
        <f>SUM(I10:K10)</f>
        <v>0</v>
      </c>
      <c r="M10" s="87"/>
      <c r="N10" s="16" t="s">
        <v>6</v>
      </c>
      <c r="O10" s="11">
        <v>100</v>
      </c>
      <c r="P10" s="30">
        <v>100</v>
      </c>
      <c r="Q10" s="49">
        <v>100</v>
      </c>
      <c r="R10" s="56">
        <f>SUM(O10:Q10)</f>
        <v>300</v>
      </c>
      <c r="S10" s="12">
        <v>44043</v>
      </c>
    </row>
    <row r="11" spans="2:19" x14ac:dyDescent="0.15">
      <c r="B11" s="10" t="s">
        <v>14</v>
      </c>
      <c r="C11" s="11">
        <v>1</v>
      </c>
      <c r="D11" s="26"/>
      <c r="E11" s="50"/>
      <c r="F11" s="54">
        <f>SUM(C11:E11)</f>
        <v>1</v>
      </c>
      <c r="G11" s="87">
        <v>44043</v>
      </c>
      <c r="H11" s="9"/>
      <c r="I11" s="2"/>
      <c r="J11" s="29"/>
      <c r="K11" s="51"/>
      <c r="L11" s="54">
        <f t="shared" ref="L11:L34" si="0">SUM(I11:K11)</f>
        <v>0</v>
      </c>
      <c r="N11" s="10" t="s">
        <v>19</v>
      </c>
      <c r="O11" s="2">
        <v>200</v>
      </c>
      <c r="P11" s="29">
        <v>200</v>
      </c>
      <c r="Q11" s="51">
        <v>200</v>
      </c>
      <c r="R11" s="54">
        <f t="shared" ref="R11:R34" si="1">SUM(O11:Q11)</f>
        <v>600</v>
      </c>
      <c r="S11" s="12">
        <v>44063</v>
      </c>
    </row>
    <row r="12" spans="2:19" x14ac:dyDescent="0.15">
      <c r="B12" s="10" t="s">
        <v>15</v>
      </c>
      <c r="C12" s="11"/>
      <c r="D12" s="26"/>
      <c r="E12" s="50">
        <v>1</v>
      </c>
      <c r="F12" s="54">
        <f t="shared" ref="F12:F34" si="2">SUM(C12:E12)</f>
        <v>1</v>
      </c>
      <c r="G12" s="87">
        <v>44043</v>
      </c>
      <c r="H12" s="4"/>
      <c r="I12" s="11"/>
      <c r="J12" s="26"/>
      <c r="K12" s="50"/>
      <c r="L12" s="54">
        <f t="shared" si="0"/>
        <v>0</v>
      </c>
      <c r="N12" s="10" t="s">
        <v>19</v>
      </c>
      <c r="O12" s="11">
        <v>290</v>
      </c>
      <c r="P12" s="26">
        <v>290</v>
      </c>
      <c r="Q12" s="50">
        <v>290</v>
      </c>
      <c r="R12" s="54">
        <f t="shared" si="1"/>
        <v>870</v>
      </c>
      <c r="S12" s="12">
        <v>44085</v>
      </c>
    </row>
    <row r="13" spans="2:19" x14ac:dyDescent="0.15">
      <c r="B13" s="10" t="s">
        <v>16</v>
      </c>
      <c r="C13" s="2"/>
      <c r="D13" s="29"/>
      <c r="E13" s="51">
        <v>1</v>
      </c>
      <c r="F13" s="54">
        <f t="shared" si="2"/>
        <v>1</v>
      </c>
      <c r="G13" s="87">
        <v>44044</v>
      </c>
      <c r="H13" s="9"/>
      <c r="I13" s="2"/>
      <c r="J13" s="29"/>
      <c r="K13" s="51"/>
      <c r="L13" s="54">
        <f t="shared" si="0"/>
        <v>0</v>
      </c>
      <c r="N13" s="9"/>
      <c r="O13" s="2"/>
      <c r="P13" s="29"/>
      <c r="Q13" s="51"/>
      <c r="R13" s="54">
        <f t="shared" si="1"/>
        <v>0</v>
      </c>
    </row>
    <row r="14" spans="2:19" x14ac:dyDescent="0.15">
      <c r="B14" s="10" t="s">
        <v>16</v>
      </c>
      <c r="C14" s="2">
        <v>4</v>
      </c>
      <c r="D14" s="29">
        <v>3</v>
      </c>
      <c r="E14" s="51">
        <v>1</v>
      </c>
      <c r="F14" s="54">
        <f t="shared" si="2"/>
        <v>8</v>
      </c>
      <c r="G14" s="87">
        <v>44046</v>
      </c>
      <c r="H14" s="9"/>
      <c r="I14" s="2"/>
      <c r="J14" s="29"/>
      <c r="K14" s="51"/>
      <c r="L14" s="54">
        <f t="shared" si="0"/>
        <v>0</v>
      </c>
      <c r="N14" s="9"/>
      <c r="O14" s="2"/>
      <c r="P14" s="29"/>
      <c r="Q14" s="51"/>
      <c r="R14" s="54">
        <f t="shared" si="1"/>
        <v>0</v>
      </c>
    </row>
    <row r="15" spans="2:19" x14ac:dyDescent="0.15">
      <c r="B15" s="10" t="s">
        <v>16</v>
      </c>
      <c r="C15" s="11">
        <v>2</v>
      </c>
      <c r="D15" s="26"/>
      <c r="E15" s="50">
        <v>1</v>
      </c>
      <c r="F15" s="54">
        <f t="shared" si="2"/>
        <v>3</v>
      </c>
      <c r="G15" s="87">
        <v>44047</v>
      </c>
      <c r="H15" s="9"/>
      <c r="I15" s="11"/>
      <c r="J15" s="26"/>
      <c r="K15" s="50"/>
      <c r="L15" s="54">
        <f t="shared" si="0"/>
        <v>0</v>
      </c>
      <c r="N15" s="9"/>
      <c r="O15" s="11"/>
      <c r="P15" s="26"/>
      <c r="Q15" s="50"/>
      <c r="R15" s="54">
        <f t="shared" si="1"/>
        <v>0</v>
      </c>
    </row>
    <row r="16" spans="2:19" x14ac:dyDescent="0.15">
      <c r="B16" s="10" t="s">
        <v>17</v>
      </c>
      <c r="C16" s="11">
        <v>6</v>
      </c>
      <c r="D16" s="26">
        <v>4</v>
      </c>
      <c r="E16" s="50">
        <v>2</v>
      </c>
      <c r="F16" s="54">
        <f t="shared" si="2"/>
        <v>12</v>
      </c>
      <c r="G16" s="87">
        <v>44049</v>
      </c>
      <c r="H16" s="10"/>
      <c r="I16" s="2"/>
      <c r="J16" s="29"/>
      <c r="K16" s="51"/>
      <c r="L16" s="54">
        <f t="shared" si="0"/>
        <v>0</v>
      </c>
      <c r="N16" s="10"/>
      <c r="O16" s="2"/>
      <c r="P16" s="29"/>
      <c r="Q16" s="51"/>
      <c r="R16" s="54">
        <f t="shared" si="1"/>
        <v>0</v>
      </c>
    </row>
    <row r="17" spans="2:18" x14ac:dyDescent="0.15">
      <c r="B17" s="10" t="s">
        <v>16</v>
      </c>
      <c r="C17" s="11">
        <v>3</v>
      </c>
      <c r="D17" s="26">
        <v>3</v>
      </c>
      <c r="E17" s="50">
        <v>13</v>
      </c>
      <c r="F17" s="54">
        <f t="shared" si="2"/>
        <v>19</v>
      </c>
      <c r="G17" s="87">
        <v>44048</v>
      </c>
      <c r="H17" s="9"/>
      <c r="I17" s="2"/>
      <c r="J17" s="29"/>
      <c r="K17" s="51"/>
      <c r="L17" s="54">
        <f t="shared" si="0"/>
        <v>0</v>
      </c>
      <c r="N17" s="9"/>
      <c r="O17" s="2"/>
      <c r="P17" s="29"/>
      <c r="Q17" s="51"/>
      <c r="R17" s="54">
        <f t="shared" si="1"/>
        <v>0</v>
      </c>
    </row>
    <row r="18" spans="2:18" x14ac:dyDescent="0.15">
      <c r="B18" s="10" t="s">
        <v>16</v>
      </c>
      <c r="C18" s="11"/>
      <c r="D18" s="26">
        <v>1</v>
      </c>
      <c r="E18" s="50">
        <v>4</v>
      </c>
      <c r="F18" s="54">
        <f t="shared" si="2"/>
        <v>5</v>
      </c>
      <c r="G18" s="87">
        <v>44049</v>
      </c>
      <c r="H18" s="9"/>
      <c r="I18" s="2"/>
      <c r="J18" s="29"/>
      <c r="K18" s="51"/>
      <c r="L18" s="54">
        <f t="shared" si="0"/>
        <v>0</v>
      </c>
      <c r="N18" s="9"/>
      <c r="O18" s="2"/>
      <c r="P18" s="29"/>
      <c r="Q18" s="51"/>
      <c r="R18" s="54">
        <f t="shared" si="1"/>
        <v>0</v>
      </c>
    </row>
    <row r="19" spans="2:18" x14ac:dyDescent="0.15">
      <c r="B19" s="10" t="s">
        <v>15</v>
      </c>
      <c r="C19" s="11"/>
      <c r="D19" s="26">
        <v>1</v>
      </c>
      <c r="E19" s="50">
        <v>1</v>
      </c>
      <c r="F19" s="54">
        <f t="shared" si="2"/>
        <v>2</v>
      </c>
      <c r="G19" s="87">
        <v>44050</v>
      </c>
      <c r="H19" s="9"/>
      <c r="I19" s="2"/>
      <c r="J19" s="29"/>
      <c r="K19" s="51"/>
      <c r="L19" s="54">
        <f t="shared" si="0"/>
        <v>0</v>
      </c>
      <c r="N19" s="9"/>
      <c r="O19" s="2"/>
      <c r="P19" s="29"/>
      <c r="Q19" s="51"/>
      <c r="R19" s="54">
        <f t="shared" si="1"/>
        <v>0</v>
      </c>
    </row>
    <row r="20" spans="2:18" x14ac:dyDescent="0.15">
      <c r="B20" s="10" t="s">
        <v>16</v>
      </c>
      <c r="C20" s="2">
        <v>2</v>
      </c>
      <c r="D20" s="29">
        <v>3</v>
      </c>
      <c r="E20" s="51">
        <v>3</v>
      </c>
      <c r="F20" s="54">
        <f t="shared" si="2"/>
        <v>8</v>
      </c>
      <c r="G20" s="88">
        <v>44050</v>
      </c>
      <c r="H20" s="9"/>
      <c r="I20" s="2"/>
      <c r="J20" s="29"/>
      <c r="K20" s="51"/>
      <c r="L20" s="54">
        <f t="shared" si="0"/>
        <v>0</v>
      </c>
      <c r="N20" s="9"/>
      <c r="O20" s="2"/>
      <c r="P20" s="29"/>
      <c r="Q20" s="51"/>
      <c r="R20" s="54">
        <f t="shared" si="1"/>
        <v>0</v>
      </c>
    </row>
    <row r="21" spans="2:18" x14ac:dyDescent="0.15">
      <c r="B21" s="10" t="s">
        <v>18</v>
      </c>
      <c r="C21" s="11">
        <v>1</v>
      </c>
      <c r="D21" s="26"/>
      <c r="E21" s="50"/>
      <c r="F21" s="54">
        <f t="shared" si="2"/>
        <v>1</v>
      </c>
      <c r="G21" s="87">
        <v>44055</v>
      </c>
      <c r="H21" s="9"/>
      <c r="I21" s="2"/>
      <c r="J21" s="29"/>
      <c r="K21" s="51"/>
      <c r="L21" s="54">
        <f t="shared" si="0"/>
        <v>0</v>
      </c>
      <c r="N21" s="9"/>
      <c r="O21" s="2"/>
      <c r="P21" s="29"/>
      <c r="Q21" s="51"/>
      <c r="R21" s="54">
        <f t="shared" si="1"/>
        <v>0</v>
      </c>
    </row>
    <row r="22" spans="2:18" x14ac:dyDescent="0.15">
      <c r="B22" s="10" t="s">
        <v>16</v>
      </c>
      <c r="C22" s="11">
        <v>3</v>
      </c>
      <c r="D22" s="26">
        <v>3</v>
      </c>
      <c r="E22" s="50">
        <v>1</v>
      </c>
      <c r="F22" s="54">
        <f t="shared" si="2"/>
        <v>7</v>
      </c>
      <c r="G22" s="87">
        <v>44054</v>
      </c>
      <c r="H22" s="9"/>
      <c r="I22" s="2"/>
      <c r="J22" s="29"/>
      <c r="K22" s="51"/>
      <c r="L22" s="54">
        <f t="shared" si="0"/>
        <v>0</v>
      </c>
      <c r="N22" s="9"/>
      <c r="O22" s="2"/>
      <c r="P22" s="29"/>
      <c r="Q22" s="51"/>
      <c r="R22" s="54">
        <f t="shared" si="1"/>
        <v>0</v>
      </c>
    </row>
    <row r="23" spans="2:18" x14ac:dyDescent="0.15">
      <c r="B23" s="10" t="s">
        <v>16</v>
      </c>
      <c r="C23" s="11">
        <v>2</v>
      </c>
      <c r="D23" s="26">
        <v>1</v>
      </c>
      <c r="E23" s="50">
        <v>1</v>
      </c>
      <c r="F23" s="54">
        <f t="shared" si="2"/>
        <v>4</v>
      </c>
      <c r="G23" s="87">
        <v>44061</v>
      </c>
      <c r="H23" s="3"/>
      <c r="I23" s="2"/>
      <c r="J23" s="29"/>
      <c r="K23" s="51"/>
      <c r="L23" s="54">
        <f t="shared" si="0"/>
        <v>0</v>
      </c>
      <c r="N23" s="3"/>
      <c r="O23" s="2"/>
      <c r="P23" s="29"/>
      <c r="Q23" s="51"/>
      <c r="R23" s="54">
        <f t="shared" si="1"/>
        <v>0</v>
      </c>
    </row>
    <row r="24" spans="2:18" x14ac:dyDescent="0.15">
      <c r="B24" s="10" t="s">
        <v>16</v>
      </c>
      <c r="C24" s="11"/>
      <c r="D24" s="26">
        <v>1</v>
      </c>
      <c r="E24" s="50"/>
      <c r="F24" s="54">
        <f t="shared" si="2"/>
        <v>1</v>
      </c>
      <c r="G24" s="87">
        <v>44063</v>
      </c>
      <c r="H24" s="3"/>
      <c r="I24" s="2"/>
      <c r="J24" s="29"/>
      <c r="K24" s="51"/>
      <c r="L24" s="54">
        <f t="shared" si="0"/>
        <v>0</v>
      </c>
      <c r="N24" s="3"/>
      <c r="O24" s="2"/>
      <c r="P24" s="29"/>
      <c r="Q24" s="51"/>
      <c r="R24" s="54">
        <f t="shared" si="1"/>
        <v>0</v>
      </c>
    </row>
    <row r="25" spans="2:18" x14ac:dyDescent="0.15">
      <c r="B25" s="10" t="s">
        <v>16</v>
      </c>
      <c r="C25" s="2">
        <v>1</v>
      </c>
      <c r="D25" s="29"/>
      <c r="E25" s="51"/>
      <c r="F25" s="54">
        <f t="shared" si="2"/>
        <v>1</v>
      </c>
      <c r="G25" s="88">
        <v>44079</v>
      </c>
      <c r="H25" s="3"/>
      <c r="I25" s="2"/>
      <c r="J25" s="29"/>
      <c r="K25" s="51"/>
      <c r="L25" s="54">
        <f t="shared" si="0"/>
        <v>0</v>
      </c>
      <c r="N25" s="3"/>
      <c r="O25" s="2"/>
      <c r="P25" s="29"/>
      <c r="Q25" s="51"/>
      <c r="R25" s="54">
        <f t="shared" si="1"/>
        <v>0</v>
      </c>
    </row>
    <row r="26" spans="2:18" x14ac:dyDescent="0.15">
      <c r="B26" s="10" t="s">
        <v>16</v>
      </c>
      <c r="C26" s="2">
        <v>1</v>
      </c>
      <c r="D26" s="29">
        <v>1</v>
      </c>
      <c r="E26" s="51"/>
      <c r="F26" s="54">
        <f t="shared" si="2"/>
        <v>2</v>
      </c>
      <c r="G26" s="88">
        <v>44081</v>
      </c>
      <c r="H26" s="3"/>
      <c r="I26" s="2"/>
      <c r="J26" s="29"/>
      <c r="K26" s="51"/>
      <c r="L26" s="54">
        <f t="shared" si="0"/>
        <v>0</v>
      </c>
      <c r="N26" s="3"/>
      <c r="O26" s="2"/>
      <c r="P26" s="29"/>
      <c r="Q26" s="51"/>
      <c r="R26" s="54">
        <f t="shared" si="1"/>
        <v>0</v>
      </c>
    </row>
    <row r="27" spans="2:18" x14ac:dyDescent="0.15">
      <c r="B27" s="10" t="s">
        <v>16</v>
      </c>
      <c r="C27" s="2">
        <v>1</v>
      </c>
      <c r="D27" s="29"/>
      <c r="E27" s="51"/>
      <c r="F27" s="54">
        <f t="shared" si="2"/>
        <v>1</v>
      </c>
      <c r="G27" s="88">
        <v>44083</v>
      </c>
      <c r="H27" s="3"/>
      <c r="I27" s="2"/>
      <c r="J27" s="29"/>
      <c r="K27" s="51"/>
      <c r="L27" s="54">
        <f t="shared" si="0"/>
        <v>0</v>
      </c>
      <c r="N27" s="3"/>
      <c r="O27" s="2"/>
      <c r="P27" s="29"/>
      <c r="Q27" s="51"/>
      <c r="R27" s="54">
        <f t="shared" si="1"/>
        <v>0</v>
      </c>
    </row>
    <row r="28" spans="2:18" x14ac:dyDescent="0.15">
      <c r="B28" s="10" t="s">
        <v>16</v>
      </c>
      <c r="C28" s="2"/>
      <c r="D28" s="29"/>
      <c r="E28" s="51">
        <v>1</v>
      </c>
      <c r="F28" s="54">
        <f t="shared" si="2"/>
        <v>1</v>
      </c>
      <c r="G28" s="88">
        <v>44097</v>
      </c>
      <c r="H28" s="3"/>
      <c r="I28" s="2"/>
      <c r="J28" s="29"/>
      <c r="K28" s="51"/>
      <c r="L28" s="54">
        <f t="shared" si="0"/>
        <v>0</v>
      </c>
      <c r="N28" s="3"/>
      <c r="O28" s="2"/>
      <c r="P28" s="29"/>
      <c r="Q28" s="51"/>
      <c r="R28" s="54">
        <f t="shared" si="1"/>
        <v>0</v>
      </c>
    </row>
    <row r="29" spans="2:18" x14ac:dyDescent="0.15">
      <c r="B29" s="10" t="s">
        <v>16</v>
      </c>
      <c r="C29" s="2"/>
      <c r="D29" s="29">
        <v>1</v>
      </c>
      <c r="E29" s="51"/>
      <c r="F29" s="54">
        <f t="shared" si="2"/>
        <v>1</v>
      </c>
      <c r="G29" s="87">
        <v>44113</v>
      </c>
      <c r="H29" s="3"/>
      <c r="I29" s="2"/>
      <c r="J29" s="29"/>
      <c r="K29" s="51"/>
      <c r="L29" s="54">
        <f t="shared" si="0"/>
        <v>0</v>
      </c>
      <c r="N29" s="3"/>
      <c r="O29" s="2"/>
      <c r="P29" s="29"/>
      <c r="Q29" s="51"/>
      <c r="R29" s="54">
        <f t="shared" si="1"/>
        <v>0</v>
      </c>
    </row>
    <row r="30" spans="2:18" x14ac:dyDescent="0.15">
      <c r="B30" s="10" t="s">
        <v>21</v>
      </c>
      <c r="C30" s="11">
        <v>1</v>
      </c>
      <c r="D30" s="26"/>
      <c r="E30" s="50"/>
      <c r="F30" s="54">
        <f t="shared" si="2"/>
        <v>1</v>
      </c>
      <c r="G30" s="87">
        <v>44112</v>
      </c>
      <c r="H30" s="3"/>
      <c r="I30" s="2"/>
      <c r="J30" s="29"/>
      <c r="K30" s="51"/>
      <c r="L30" s="54">
        <f t="shared" si="0"/>
        <v>0</v>
      </c>
      <c r="N30" s="3"/>
      <c r="O30" s="2"/>
      <c r="P30" s="29"/>
      <c r="Q30" s="51"/>
      <c r="R30" s="54">
        <f t="shared" si="1"/>
        <v>0</v>
      </c>
    </row>
    <row r="31" spans="2:18" x14ac:dyDescent="0.15">
      <c r="B31" s="10" t="s">
        <v>16</v>
      </c>
      <c r="C31" s="11">
        <v>1</v>
      </c>
      <c r="D31" s="26"/>
      <c r="E31" s="50"/>
      <c r="F31" s="54">
        <f t="shared" si="2"/>
        <v>1</v>
      </c>
      <c r="G31" s="87">
        <v>44159</v>
      </c>
      <c r="H31" s="4"/>
      <c r="I31" s="11"/>
      <c r="J31" s="26"/>
      <c r="K31" s="50"/>
      <c r="L31" s="54">
        <f t="shared" si="0"/>
        <v>0</v>
      </c>
      <c r="N31" s="4"/>
      <c r="O31" s="11"/>
      <c r="P31" s="26"/>
      <c r="Q31" s="50"/>
      <c r="R31" s="54">
        <f t="shared" si="1"/>
        <v>0</v>
      </c>
    </row>
    <row r="32" spans="2:18" x14ac:dyDescent="0.15">
      <c r="B32" s="10" t="s">
        <v>16</v>
      </c>
      <c r="C32" s="11"/>
      <c r="D32" s="26">
        <v>1</v>
      </c>
      <c r="E32" s="50"/>
      <c r="F32" s="54">
        <f t="shared" si="2"/>
        <v>1</v>
      </c>
      <c r="G32" s="87">
        <v>44190</v>
      </c>
      <c r="H32" s="4"/>
      <c r="I32" s="11"/>
      <c r="J32" s="26"/>
      <c r="K32" s="50"/>
      <c r="L32" s="54">
        <f t="shared" si="0"/>
        <v>0</v>
      </c>
      <c r="N32" s="4"/>
      <c r="O32" s="11"/>
      <c r="P32" s="26"/>
      <c r="Q32" s="50"/>
      <c r="R32" s="54">
        <f t="shared" si="1"/>
        <v>0</v>
      </c>
    </row>
    <row r="33" spans="1:19" x14ac:dyDescent="0.15">
      <c r="B33" s="16" t="s">
        <v>24</v>
      </c>
      <c r="C33" s="11"/>
      <c r="D33" s="26"/>
      <c r="E33" s="50">
        <v>1</v>
      </c>
      <c r="F33" s="54">
        <f t="shared" si="2"/>
        <v>1</v>
      </c>
      <c r="G33" s="87">
        <v>44215</v>
      </c>
      <c r="H33" s="16"/>
      <c r="I33" s="11"/>
      <c r="J33" s="26"/>
      <c r="K33" s="50"/>
      <c r="L33" s="54">
        <f t="shared" si="0"/>
        <v>0</v>
      </c>
      <c r="N33" s="4"/>
      <c r="O33" s="11"/>
      <c r="P33" s="26"/>
      <c r="Q33" s="50"/>
      <c r="R33" s="54">
        <f t="shared" si="1"/>
        <v>0</v>
      </c>
    </row>
    <row r="34" spans="1:19" ht="14.25" thickBot="1" x14ac:dyDescent="0.2">
      <c r="B34" s="15" t="s">
        <v>25</v>
      </c>
      <c r="C34" s="23">
        <v>1</v>
      </c>
      <c r="D34" s="37">
        <v>1</v>
      </c>
      <c r="E34" s="62">
        <v>1</v>
      </c>
      <c r="F34" s="63">
        <f t="shared" si="2"/>
        <v>3</v>
      </c>
      <c r="G34" s="87">
        <v>44215</v>
      </c>
      <c r="H34" s="22"/>
      <c r="I34" s="21"/>
      <c r="J34" s="32"/>
      <c r="K34" s="52"/>
      <c r="L34" s="57">
        <f t="shared" si="0"/>
        <v>0</v>
      </c>
      <c r="M34" s="87"/>
      <c r="N34" s="22"/>
      <c r="O34" s="21"/>
      <c r="P34" s="32"/>
      <c r="Q34" s="52"/>
      <c r="R34" s="57">
        <f t="shared" si="1"/>
        <v>0</v>
      </c>
      <c r="S34" s="12"/>
    </row>
    <row r="35" spans="1:19" x14ac:dyDescent="0.15">
      <c r="B35" s="38" t="s">
        <v>2</v>
      </c>
      <c r="C35" s="44">
        <f>SUM(C10:C34)</f>
        <v>31</v>
      </c>
      <c r="D35" s="39">
        <f>SUM(D10:D34)</f>
        <v>24</v>
      </c>
      <c r="E35" s="28">
        <f>SUM(E10:E34)</f>
        <v>32</v>
      </c>
      <c r="F35" s="42">
        <f>SUM(F10:F34)</f>
        <v>87</v>
      </c>
      <c r="H35" s="5" t="s">
        <v>2</v>
      </c>
      <c r="I35" s="46">
        <f>SUM(I10:I34)</f>
        <v>0</v>
      </c>
      <c r="J35" s="39">
        <f>SUM(J10:J34)</f>
        <v>0</v>
      </c>
      <c r="K35" s="30">
        <f>SUM(K10:K34)</f>
        <v>0</v>
      </c>
      <c r="L35" s="58">
        <f>SUM(L10:L34)</f>
        <v>0</v>
      </c>
      <c r="N35" s="5" t="s">
        <v>2</v>
      </c>
      <c r="O35" s="46">
        <f>SUM(O10:O34)</f>
        <v>590</v>
      </c>
      <c r="P35" s="39">
        <f>SUM(P10:P34)</f>
        <v>590</v>
      </c>
      <c r="Q35" s="30">
        <f>SUM(Q10:Q34)</f>
        <v>590</v>
      </c>
      <c r="R35" s="58">
        <f>SUM(R10:R34)</f>
        <v>1770</v>
      </c>
    </row>
    <row r="36" spans="1:19" ht="14.25" thickBot="1" x14ac:dyDescent="0.2">
      <c r="B36" s="35" t="s">
        <v>3</v>
      </c>
      <c r="C36" s="45">
        <f>C9-C35</f>
        <v>69</v>
      </c>
      <c r="D36" s="34">
        <f>D9-D35</f>
        <v>76</v>
      </c>
      <c r="E36" s="36">
        <f>E9-E35</f>
        <v>68</v>
      </c>
      <c r="F36" s="43">
        <f>SUM(C36:E36)</f>
        <v>213</v>
      </c>
      <c r="H36" s="13" t="s">
        <v>3</v>
      </c>
      <c r="I36" s="47">
        <f>I9-I35</f>
        <v>490</v>
      </c>
      <c r="J36" s="34">
        <f>J9-J35</f>
        <v>490</v>
      </c>
      <c r="K36" s="31">
        <f>K9-K35</f>
        <v>490</v>
      </c>
      <c r="L36" s="59">
        <f>SUM(I36:K36)</f>
        <v>1470</v>
      </c>
      <c r="N36" s="13" t="s">
        <v>3</v>
      </c>
      <c r="O36" s="47">
        <f>O9-O35</f>
        <v>0</v>
      </c>
      <c r="P36" s="34">
        <f>P9-P35</f>
        <v>0</v>
      </c>
      <c r="Q36" s="31">
        <f>Q9-Q35</f>
        <v>0</v>
      </c>
      <c r="R36" s="59">
        <f>SUM(O36:Q36)</f>
        <v>0</v>
      </c>
    </row>
    <row r="39" spans="1:19" ht="18.75" x14ac:dyDescent="0.2">
      <c r="B39" s="14" t="s">
        <v>7</v>
      </c>
      <c r="H39" s="14" t="s">
        <v>8</v>
      </c>
      <c r="N39" s="14" t="s">
        <v>20</v>
      </c>
    </row>
    <row r="40" spans="1:19" ht="14.25" thickBot="1" x14ac:dyDescent="0.2">
      <c r="H40" s="1"/>
      <c r="N40" s="1"/>
    </row>
    <row r="41" spans="1:19" ht="14.25" thickBot="1" x14ac:dyDescent="0.2">
      <c r="B41" s="6"/>
      <c r="C41" s="104"/>
      <c r="D41" s="105"/>
      <c r="E41" s="105"/>
      <c r="F41" s="106"/>
      <c r="H41" s="6"/>
      <c r="I41" s="101"/>
      <c r="J41" s="102"/>
      <c r="K41" s="102"/>
      <c r="L41" s="103"/>
      <c r="N41" s="6"/>
      <c r="O41" s="101"/>
      <c r="P41" s="102"/>
      <c r="Q41" s="102"/>
      <c r="R41" s="103"/>
    </row>
    <row r="42" spans="1:19" ht="14.25" thickBot="1" x14ac:dyDescent="0.2">
      <c r="A42" s="1"/>
      <c r="B42" s="7" t="s">
        <v>9</v>
      </c>
      <c r="C42" s="8" t="s">
        <v>10</v>
      </c>
      <c r="D42" s="24" t="s">
        <v>11</v>
      </c>
      <c r="E42" s="48" t="s">
        <v>12</v>
      </c>
      <c r="F42" s="53" t="s">
        <v>0</v>
      </c>
      <c r="H42" s="7" t="s">
        <v>9</v>
      </c>
      <c r="I42" s="8" t="s">
        <v>10</v>
      </c>
      <c r="J42" s="24" t="s">
        <v>11</v>
      </c>
      <c r="K42" s="48" t="s">
        <v>12</v>
      </c>
      <c r="L42" s="53" t="s">
        <v>0</v>
      </c>
      <c r="N42" s="7" t="s">
        <v>9</v>
      </c>
      <c r="O42" s="8" t="s">
        <v>10</v>
      </c>
      <c r="P42" s="24" t="s">
        <v>11</v>
      </c>
      <c r="Q42" s="48" t="s">
        <v>12</v>
      </c>
      <c r="R42" s="53" t="s">
        <v>0</v>
      </c>
    </row>
    <row r="43" spans="1:19" x14ac:dyDescent="0.15">
      <c r="B43" s="15" t="s">
        <v>4</v>
      </c>
      <c r="C43" s="46">
        <f>C36</f>
        <v>69</v>
      </c>
      <c r="D43" s="39">
        <f>D36</f>
        <v>76</v>
      </c>
      <c r="E43" s="68">
        <f>E36</f>
        <v>68</v>
      </c>
      <c r="F43" s="58">
        <f>SUM(C43:E43)</f>
        <v>213</v>
      </c>
      <c r="G43" s="87"/>
      <c r="H43" s="65" t="s">
        <v>4</v>
      </c>
      <c r="I43" s="46">
        <f>I36</f>
        <v>490</v>
      </c>
      <c r="J43" s="39">
        <f>J36</f>
        <v>490</v>
      </c>
      <c r="K43" s="68">
        <f>K36</f>
        <v>490</v>
      </c>
      <c r="L43" s="54">
        <f>SUM(I43:K43)</f>
        <v>1470</v>
      </c>
      <c r="M43" s="87"/>
      <c r="N43" s="65" t="s">
        <v>4</v>
      </c>
      <c r="O43" s="46">
        <f>O36</f>
        <v>0</v>
      </c>
      <c r="P43" s="39">
        <f>P36</f>
        <v>0</v>
      </c>
      <c r="Q43" s="68">
        <f>Q36</f>
        <v>0</v>
      </c>
      <c r="R43" s="54">
        <f>SUM(O43:Q43)</f>
        <v>0</v>
      </c>
    </row>
    <row r="44" spans="1:19" x14ac:dyDescent="0.15">
      <c r="B44" s="10" t="s">
        <v>27</v>
      </c>
      <c r="C44" s="11">
        <v>1</v>
      </c>
      <c r="D44" s="26"/>
      <c r="E44" s="50"/>
      <c r="F44" s="54">
        <f>SUM(C44:E44)</f>
        <v>1</v>
      </c>
      <c r="G44" s="87">
        <v>44280</v>
      </c>
      <c r="H44" s="15" t="s">
        <v>4</v>
      </c>
      <c r="I44" s="11"/>
      <c r="J44" s="26"/>
      <c r="K44" s="50"/>
      <c r="L44" s="54">
        <f>SUM(I44:K44)</f>
        <v>0</v>
      </c>
      <c r="M44" s="87"/>
      <c r="N44" s="15" t="s">
        <v>4</v>
      </c>
      <c r="O44" s="11"/>
      <c r="P44" s="26"/>
      <c r="Q44" s="50"/>
      <c r="R44" s="54">
        <f>SUM(O44:Q44)</f>
        <v>0</v>
      </c>
    </row>
    <row r="45" spans="1:19" x14ac:dyDescent="0.15">
      <c r="B45" s="15" t="s">
        <v>35</v>
      </c>
      <c r="C45" s="11">
        <v>1</v>
      </c>
      <c r="D45" s="26"/>
      <c r="E45" s="50">
        <v>1</v>
      </c>
      <c r="F45" s="54">
        <f>SUM(C45:E45)</f>
        <v>2</v>
      </c>
      <c r="G45" s="87">
        <v>44340</v>
      </c>
      <c r="H45" s="15" t="s">
        <v>4</v>
      </c>
      <c r="I45" s="11"/>
      <c r="J45" s="26"/>
      <c r="K45" s="50"/>
      <c r="L45" s="54">
        <f>SUM(I45:K45)</f>
        <v>0</v>
      </c>
      <c r="N45" s="15" t="s">
        <v>4</v>
      </c>
      <c r="O45" s="11"/>
      <c r="P45" s="26"/>
      <c r="Q45" s="50"/>
      <c r="R45" s="54">
        <f>SUM(O45:Q45)</f>
        <v>0</v>
      </c>
    </row>
    <row r="46" spans="1:19" ht="14.25" thickBot="1" x14ac:dyDescent="0.2">
      <c r="B46" s="15" t="s">
        <v>4</v>
      </c>
      <c r="C46" s="11"/>
      <c r="D46" s="26"/>
      <c r="E46" s="50"/>
      <c r="F46" s="54">
        <f>SUM(C46:E46)</f>
        <v>0</v>
      </c>
      <c r="G46" s="87"/>
      <c r="H46" s="15" t="s">
        <v>4</v>
      </c>
      <c r="I46" s="11"/>
      <c r="J46" s="26"/>
      <c r="K46" s="50"/>
      <c r="L46" s="54">
        <f>SUM(I46:K46)</f>
        <v>0</v>
      </c>
      <c r="N46" s="15" t="s">
        <v>4</v>
      </c>
      <c r="O46" s="11"/>
      <c r="P46" s="26"/>
      <c r="Q46" s="50"/>
      <c r="R46" s="54">
        <f>SUM(O46:Q46)</f>
        <v>0</v>
      </c>
    </row>
    <row r="47" spans="1:19" ht="14.25" thickBot="1" x14ac:dyDescent="0.2">
      <c r="B47" s="7" t="s">
        <v>1</v>
      </c>
      <c r="C47" s="40">
        <f>SUM(C43:C46)</f>
        <v>71</v>
      </c>
      <c r="D47" s="33">
        <f>SUM(D43:D46)</f>
        <v>76</v>
      </c>
      <c r="E47" s="27">
        <f>SUM(E43:E46)</f>
        <v>69</v>
      </c>
      <c r="F47" s="55">
        <f>SUM(F43:F46)</f>
        <v>216</v>
      </c>
      <c r="H47" s="7" t="s">
        <v>1</v>
      </c>
      <c r="I47" s="40">
        <f>SUM(I43:I46)</f>
        <v>490</v>
      </c>
      <c r="J47" s="33">
        <f>SUM(J43:J46)</f>
        <v>490</v>
      </c>
      <c r="K47" s="27">
        <f>SUM(K43:K46)</f>
        <v>490</v>
      </c>
      <c r="L47" s="55">
        <f>SUM(L43:L46)</f>
        <v>1470</v>
      </c>
      <c r="N47" s="7" t="s">
        <v>1</v>
      </c>
      <c r="O47" s="40">
        <f>SUM(O43:O46)</f>
        <v>0</v>
      </c>
      <c r="P47" s="33">
        <f>SUM(P43:P46)</f>
        <v>0</v>
      </c>
      <c r="Q47" s="27">
        <f>SUM(Q43:Q46)</f>
        <v>0</v>
      </c>
      <c r="R47" s="55">
        <f>SUM(R43:R46)</f>
        <v>0</v>
      </c>
    </row>
    <row r="48" spans="1:19" x14ac:dyDescent="0.15">
      <c r="B48" s="19" t="s">
        <v>26</v>
      </c>
      <c r="C48" s="20"/>
      <c r="D48" s="28">
        <v>1</v>
      </c>
      <c r="E48" s="61"/>
      <c r="F48" s="42">
        <f>SUM(C48:E48)</f>
        <v>1</v>
      </c>
      <c r="G48" s="87">
        <v>44226</v>
      </c>
      <c r="H48" s="16" t="s">
        <v>32</v>
      </c>
      <c r="I48" s="11">
        <v>20</v>
      </c>
      <c r="J48" s="30">
        <v>20</v>
      </c>
      <c r="K48" s="49">
        <v>20</v>
      </c>
      <c r="L48" s="56">
        <f>SUM(I48:K48)</f>
        <v>60</v>
      </c>
      <c r="M48" s="87">
        <v>44333</v>
      </c>
      <c r="N48" s="16"/>
      <c r="O48" s="11"/>
      <c r="P48" s="30"/>
      <c r="Q48" s="49"/>
      <c r="R48" s="56">
        <f>SUM(O48:Q48)</f>
        <v>0</v>
      </c>
    </row>
    <row r="49" spans="2:18" x14ac:dyDescent="0.15">
      <c r="B49" s="10" t="s">
        <v>16</v>
      </c>
      <c r="C49" s="11"/>
      <c r="D49" s="26"/>
      <c r="E49" s="50">
        <v>1</v>
      </c>
      <c r="F49" s="54">
        <f>SUM(C49:E49)</f>
        <v>1</v>
      </c>
      <c r="G49" s="87">
        <v>44242</v>
      </c>
      <c r="H49" s="16" t="s">
        <v>33</v>
      </c>
      <c r="I49" s="11">
        <v>13</v>
      </c>
      <c r="J49" s="26">
        <v>22</v>
      </c>
      <c r="K49" s="50">
        <v>6</v>
      </c>
      <c r="L49" s="54">
        <f t="shared" ref="L49:L72" si="3">SUM(I49:K49)</f>
        <v>41</v>
      </c>
      <c r="M49" s="87">
        <v>44334</v>
      </c>
      <c r="N49" s="10"/>
      <c r="O49" s="2"/>
      <c r="P49" s="29"/>
      <c r="Q49" s="51"/>
      <c r="R49" s="54">
        <f t="shared" ref="R49:R72" si="4">SUM(O49:Q49)</f>
        <v>0</v>
      </c>
    </row>
    <row r="50" spans="2:18" x14ac:dyDescent="0.15">
      <c r="B50" s="67" t="s">
        <v>28</v>
      </c>
      <c r="C50" s="11">
        <v>20</v>
      </c>
      <c r="D50" s="26">
        <v>20</v>
      </c>
      <c r="E50" s="50">
        <v>20</v>
      </c>
      <c r="F50" s="54">
        <f t="shared" ref="F50:F72" si="5">SUM(C50:E50)</f>
        <v>60</v>
      </c>
      <c r="G50" s="87">
        <v>44270</v>
      </c>
      <c r="H50" s="16" t="s">
        <v>34</v>
      </c>
      <c r="I50" s="11">
        <v>5</v>
      </c>
      <c r="J50" s="26">
        <v>10</v>
      </c>
      <c r="K50" s="50">
        <v>15</v>
      </c>
      <c r="L50" s="54">
        <f t="shared" si="3"/>
        <v>30</v>
      </c>
      <c r="M50" s="87">
        <v>44337</v>
      </c>
      <c r="N50" s="10"/>
      <c r="O50" s="11"/>
      <c r="P50" s="26"/>
      <c r="Q50" s="50"/>
      <c r="R50" s="54">
        <f t="shared" si="4"/>
        <v>0</v>
      </c>
    </row>
    <row r="51" spans="2:18" x14ac:dyDescent="0.15">
      <c r="B51" s="10" t="s">
        <v>16</v>
      </c>
      <c r="C51" s="2">
        <v>1</v>
      </c>
      <c r="D51" s="29"/>
      <c r="E51" s="51"/>
      <c r="F51" s="54">
        <f t="shared" si="5"/>
        <v>1</v>
      </c>
      <c r="G51" s="87">
        <v>44261</v>
      </c>
      <c r="H51" s="9"/>
      <c r="I51" s="2"/>
      <c r="J51" s="29"/>
      <c r="K51" s="51"/>
      <c r="L51" s="54">
        <f t="shared" si="3"/>
        <v>0</v>
      </c>
      <c r="N51" s="9"/>
      <c r="O51" s="2"/>
      <c r="P51" s="29"/>
      <c r="Q51" s="51"/>
      <c r="R51" s="54">
        <f t="shared" si="4"/>
        <v>0</v>
      </c>
    </row>
    <row r="52" spans="2:18" x14ac:dyDescent="0.15">
      <c r="B52" s="10" t="s">
        <v>16</v>
      </c>
      <c r="C52" s="2"/>
      <c r="D52" s="29">
        <v>1</v>
      </c>
      <c r="E52" s="51"/>
      <c r="F52" s="54">
        <f t="shared" si="5"/>
        <v>1</v>
      </c>
      <c r="G52" s="87">
        <v>44265</v>
      </c>
      <c r="H52" s="9"/>
      <c r="I52" s="2"/>
      <c r="J52" s="29"/>
      <c r="K52" s="51"/>
      <c r="L52" s="54">
        <f t="shared" si="3"/>
        <v>0</v>
      </c>
      <c r="N52" s="9"/>
      <c r="O52" s="2"/>
      <c r="P52" s="29"/>
      <c r="Q52" s="51"/>
      <c r="R52" s="54">
        <f t="shared" si="4"/>
        <v>0</v>
      </c>
    </row>
    <row r="53" spans="2:18" x14ac:dyDescent="0.15">
      <c r="B53" s="10" t="s">
        <v>16</v>
      </c>
      <c r="C53" s="11"/>
      <c r="D53" s="26"/>
      <c r="E53" s="50">
        <v>1</v>
      </c>
      <c r="F53" s="54">
        <f t="shared" si="5"/>
        <v>1</v>
      </c>
      <c r="G53" s="87">
        <v>44294</v>
      </c>
      <c r="H53" s="9"/>
      <c r="I53" s="11"/>
      <c r="J53" s="26"/>
      <c r="K53" s="50"/>
      <c r="L53" s="54">
        <f t="shared" si="3"/>
        <v>0</v>
      </c>
      <c r="N53" s="9"/>
      <c r="O53" s="11"/>
      <c r="P53" s="26"/>
      <c r="Q53" s="50"/>
      <c r="R53" s="54">
        <f t="shared" si="4"/>
        <v>0</v>
      </c>
    </row>
    <row r="54" spans="2:18" x14ac:dyDescent="0.15">
      <c r="B54" s="10" t="s">
        <v>16</v>
      </c>
      <c r="C54" s="11">
        <v>1</v>
      </c>
      <c r="D54" s="26">
        <v>2</v>
      </c>
      <c r="E54" s="50">
        <f>1+2</f>
        <v>3</v>
      </c>
      <c r="F54" s="54">
        <f t="shared" si="5"/>
        <v>6</v>
      </c>
      <c r="G54" s="87">
        <v>44301</v>
      </c>
      <c r="H54" s="10"/>
      <c r="I54" s="2"/>
      <c r="J54" s="29"/>
      <c r="K54" s="51"/>
      <c r="L54" s="54">
        <f t="shared" si="3"/>
        <v>0</v>
      </c>
      <c r="N54" s="10"/>
      <c r="O54" s="2"/>
      <c r="P54" s="29"/>
      <c r="Q54" s="51"/>
      <c r="R54" s="54">
        <f t="shared" si="4"/>
        <v>0</v>
      </c>
    </row>
    <row r="55" spans="2:18" x14ac:dyDescent="0.15">
      <c r="B55" s="10" t="s">
        <v>16</v>
      </c>
      <c r="C55" s="11">
        <v>1</v>
      </c>
      <c r="D55" s="26"/>
      <c r="E55" s="50"/>
      <c r="F55" s="54">
        <f t="shared" si="5"/>
        <v>1</v>
      </c>
      <c r="G55" s="87">
        <v>44306</v>
      </c>
      <c r="H55" s="9"/>
      <c r="I55" s="2"/>
      <c r="J55" s="29"/>
      <c r="K55" s="51"/>
      <c r="L55" s="54">
        <f t="shared" si="3"/>
        <v>0</v>
      </c>
      <c r="N55" s="9"/>
      <c r="O55" s="2"/>
      <c r="P55" s="29"/>
      <c r="Q55" s="51"/>
      <c r="R55" s="54">
        <f t="shared" si="4"/>
        <v>0</v>
      </c>
    </row>
    <row r="56" spans="2:18" x14ac:dyDescent="0.15">
      <c r="B56" s="10" t="s">
        <v>16</v>
      </c>
      <c r="C56" s="11"/>
      <c r="D56" s="26">
        <v>2</v>
      </c>
      <c r="E56" s="50"/>
      <c r="F56" s="54">
        <f t="shared" si="5"/>
        <v>2</v>
      </c>
      <c r="G56" s="87">
        <v>44309</v>
      </c>
      <c r="H56" s="9"/>
      <c r="I56" s="2"/>
      <c r="J56" s="29"/>
      <c r="K56" s="51"/>
      <c r="L56" s="54">
        <f t="shared" si="3"/>
        <v>0</v>
      </c>
      <c r="N56" s="9"/>
      <c r="O56" s="2"/>
      <c r="P56" s="29"/>
      <c r="Q56" s="51"/>
      <c r="R56" s="54">
        <f t="shared" si="4"/>
        <v>0</v>
      </c>
    </row>
    <row r="57" spans="2:18" x14ac:dyDescent="0.15">
      <c r="B57" s="67" t="s">
        <v>29</v>
      </c>
      <c r="C57" s="11">
        <v>20</v>
      </c>
      <c r="D57" s="26"/>
      <c r="E57" s="50"/>
      <c r="F57" s="54">
        <f t="shared" si="5"/>
        <v>20</v>
      </c>
      <c r="G57" s="87">
        <v>44316</v>
      </c>
      <c r="H57" s="9"/>
      <c r="I57" s="2"/>
      <c r="J57" s="29"/>
      <c r="K57" s="51"/>
      <c r="L57" s="54">
        <f t="shared" si="3"/>
        <v>0</v>
      </c>
      <c r="N57" s="9"/>
      <c r="O57" s="2"/>
      <c r="P57" s="29"/>
      <c r="Q57" s="51"/>
      <c r="R57" s="54">
        <f t="shared" si="4"/>
        <v>0</v>
      </c>
    </row>
    <row r="58" spans="2:18" x14ac:dyDescent="0.15">
      <c r="B58" s="10" t="s">
        <v>16</v>
      </c>
      <c r="C58" s="2">
        <f>1+1</f>
        <v>2</v>
      </c>
      <c r="D58" s="29"/>
      <c r="E58" s="51"/>
      <c r="F58" s="54">
        <f t="shared" si="5"/>
        <v>2</v>
      </c>
      <c r="G58" s="88">
        <v>44312</v>
      </c>
      <c r="H58" s="9"/>
      <c r="I58" s="2"/>
      <c r="J58" s="29"/>
      <c r="K58" s="51"/>
      <c r="L58" s="54">
        <f t="shared" si="3"/>
        <v>0</v>
      </c>
      <c r="N58" s="9"/>
      <c r="O58" s="2"/>
      <c r="P58" s="29"/>
      <c r="Q58" s="51"/>
      <c r="R58" s="54">
        <f t="shared" si="4"/>
        <v>0</v>
      </c>
    </row>
    <row r="59" spans="2:18" x14ac:dyDescent="0.15">
      <c r="B59" s="10" t="s">
        <v>16</v>
      </c>
      <c r="C59" s="11">
        <v>1</v>
      </c>
      <c r="D59" s="26"/>
      <c r="E59" s="50">
        <v>1</v>
      </c>
      <c r="F59" s="54">
        <f t="shared" si="5"/>
        <v>2</v>
      </c>
      <c r="G59" s="87">
        <v>44313</v>
      </c>
      <c r="H59" s="9"/>
      <c r="I59" s="2"/>
      <c r="J59" s="29"/>
      <c r="K59" s="51"/>
      <c r="L59" s="54">
        <f t="shared" si="3"/>
        <v>0</v>
      </c>
      <c r="N59" s="9"/>
      <c r="O59" s="2"/>
      <c r="P59" s="29"/>
      <c r="Q59" s="51"/>
      <c r="R59" s="54">
        <f t="shared" si="4"/>
        <v>0</v>
      </c>
    </row>
    <row r="60" spans="2:18" x14ac:dyDescent="0.15">
      <c r="B60" s="16" t="s">
        <v>30</v>
      </c>
      <c r="C60" s="11">
        <v>10</v>
      </c>
      <c r="D60" s="26">
        <v>10</v>
      </c>
      <c r="E60" s="50">
        <v>10</v>
      </c>
      <c r="F60" s="54">
        <f t="shared" si="5"/>
        <v>30</v>
      </c>
      <c r="G60" s="87">
        <v>44322</v>
      </c>
      <c r="H60" s="9"/>
      <c r="I60" s="2"/>
      <c r="J60" s="29"/>
      <c r="K60" s="51"/>
      <c r="L60" s="54">
        <f t="shared" si="3"/>
        <v>0</v>
      </c>
      <c r="N60" s="9"/>
      <c r="O60" s="2"/>
      <c r="P60" s="29"/>
      <c r="Q60" s="51"/>
      <c r="R60" s="54">
        <f t="shared" si="4"/>
        <v>0</v>
      </c>
    </row>
    <row r="61" spans="2:18" x14ac:dyDescent="0.15">
      <c r="B61" s="16" t="s">
        <v>31</v>
      </c>
      <c r="C61" s="11"/>
      <c r="D61" s="26">
        <v>10</v>
      </c>
      <c r="E61" s="50"/>
      <c r="F61" s="54">
        <f t="shared" si="5"/>
        <v>10</v>
      </c>
      <c r="G61" s="87">
        <v>44330</v>
      </c>
      <c r="H61" s="3"/>
      <c r="I61" s="2"/>
      <c r="J61" s="29"/>
      <c r="K61" s="51"/>
      <c r="L61" s="54">
        <f t="shared" si="3"/>
        <v>0</v>
      </c>
      <c r="N61" s="3"/>
      <c r="O61" s="2"/>
      <c r="P61" s="29"/>
      <c r="Q61" s="51"/>
      <c r="R61" s="54">
        <f t="shared" si="4"/>
        <v>0</v>
      </c>
    </row>
    <row r="62" spans="2:18" x14ac:dyDescent="0.15">
      <c r="B62" s="10" t="s">
        <v>16</v>
      </c>
      <c r="C62" s="11"/>
      <c r="D62" s="26">
        <v>1</v>
      </c>
      <c r="E62" s="50"/>
      <c r="F62" s="54">
        <f t="shared" si="5"/>
        <v>1</v>
      </c>
      <c r="G62" s="87">
        <v>44328</v>
      </c>
      <c r="H62" s="3"/>
      <c r="I62" s="2"/>
      <c r="J62" s="29"/>
      <c r="K62" s="51"/>
      <c r="L62" s="54">
        <f t="shared" si="3"/>
        <v>0</v>
      </c>
      <c r="N62" s="3"/>
      <c r="O62" s="2"/>
      <c r="P62" s="29"/>
      <c r="Q62" s="51"/>
      <c r="R62" s="54">
        <f t="shared" si="4"/>
        <v>0</v>
      </c>
    </row>
    <row r="63" spans="2:18" x14ac:dyDescent="0.15">
      <c r="B63" s="10" t="s">
        <v>16</v>
      </c>
      <c r="C63" s="2"/>
      <c r="D63" s="29"/>
      <c r="E63" s="51">
        <v>1</v>
      </c>
      <c r="F63" s="54">
        <f t="shared" si="5"/>
        <v>1</v>
      </c>
      <c r="G63" s="88">
        <v>44333</v>
      </c>
      <c r="H63" s="3"/>
      <c r="I63" s="2"/>
      <c r="J63" s="29"/>
      <c r="K63" s="51"/>
      <c r="L63" s="54">
        <f t="shared" si="3"/>
        <v>0</v>
      </c>
      <c r="N63" s="3"/>
      <c r="O63" s="2"/>
      <c r="P63" s="29"/>
      <c r="Q63" s="51"/>
      <c r="R63" s="54">
        <f t="shared" si="4"/>
        <v>0</v>
      </c>
    </row>
    <row r="64" spans="2:18" x14ac:dyDescent="0.15">
      <c r="B64" s="10" t="s">
        <v>16</v>
      </c>
      <c r="C64" s="2"/>
      <c r="D64" s="29">
        <v>1</v>
      </c>
      <c r="E64" s="51"/>
      <c r="F64" s="54">
        <f t="shared" si="5"/>
        <v>1</v>
      </c>
      <c r="G64" s="88">
        <v>44336</v>
      </c>
      <c r="H64" s="16"/>
      <c r="I64" s="11"/>
      <c r="J64" s="26"/>
      <c r="K64" s="50"/>
      <c r="L64" s="54">
        <f t="shared" si="3"/>
        <v>0</v>
      </c>
      <c r="N64" s="3"/>
      <c r="O64" s="2"/>
      <c r="P64" s="29"/>
      <c r="Q64" s="51"/>
      <c r="R64" s="54">
        <f t="shared" si="4"/>
        <v>0</v>
      </c>
    </row>
    <row r="65" spans="1:18" x14ac:dyDescent="0.15">
      <c r="B65" s="10" t="s">
        <v>16</v>
      </c>
      <c r="C65" s="2"/>
      <c r="D65" s="29">
        <v>1</v>
      </c>
      <c r="E65" s="51"/>
      <c r="F65" s="54">
        <f t="shared" si="5"/>
        <v>1</v>
      </c>
      <c r="G65" s="88">
        <v>44341</v>
      </c>
      <c r="H65" s="16"/>
      <c r="I65" s="11"/>
      <c r="J65" s="26"/>
      <c r="K65" s="50"/>
      <c r="L65" s="54">
        <f t="shared" si="3"/>
        <v>0</v>
      </c>
      <c r="N65" s="3"/>
      <c r="O65" s="2"/>
      <c r="P65" s="29"/>
      <c r="Q65" s="51"/>
      <c r="R65" s="54">
        <f t="shared" si="4"/>
        <v>0</v>
      </c>
    </row>
    <row r="66" spans="1:18" x14ac:dyDescent="0.15">
      <c r="B66" s="10" t="s">
        <v>16</v>
      </c>
      <c r="C66" s="2">
        <v>1</v>
      </c>
      <c r="D66" s="29">
        <f>1+1</f>
        <v>2</v>
      </c>
      <c r="E66" s="51">
        <f>1+1</f>
        <v>2</v>
      </c>
      <c r="F66" s="54">
        <f t="shared" si="5"/>
        <v>5</v>
      </c>
      <c r="G66" s="88">
        <v>44342</v>
      </c>
      <c r="H66" s="3"/>
      <c r="I66" s="2"/>
      <c r="J66" s="29"/>
      <c r="K66" s="51"/>
      <c r="L66" s="54">
        <f t="shared" si="3"/>
        <v>0</v>
      </c>
      <c r="N66" s="3"/>
      <c r="O66" s="2"/>
      <c r="P66" s="29"/>
      <c r="Q66" s="51"/>
      <c r="R66" s="54">
        <f t="shared" si="4"/>
        <v>0</v>
      </c>
    </row>
    <row r="67" spans="1:18" x14ac:dyDescent="0.15">
      <c r="B67" s="10" t="s">
        <v>16</v>
      </c>
      <c r="C67" s="2"/>
      <c r="D67" s="29">
        <v>1</v>
      </c>
      <c r="E67" s="51">
        <f>1+1</f>
        <v>2</v>
      </c>
      <c r="F67" s="54">
        <f t="shared" si="5"/>
        <v>3</v>
      </c>
      <c r="G67" s="87">
        <v>44355</v>
      </c>
      <c r="H67" s="3"/>
      <c r="I67" s="2"/>
      <c r="J67" s="29"/>
      <c r="K67" s="51"/>
      <c r="L67" s="54">
        <f t="shared" si="3"/>
        <v>0</v>
      </c>
      <c r="N67" s="3"/>
      <c r="O67" s="2"/>
      <c r="P67" s="29"/>
      <c r="Q67" s="51"/>
      <c r="R67" s="54">
        <f t="shared" si="4"/>
        <v>0</v>
      </c>
    </row>
    <row r="68" spans="1:18" x14ac:dyDescent="0.15">
      <c r="B68" s="10" t="s">
        <v>16</v>
      </c>
      <c r="C68" s="11"/>
      <c r="D68" s="26"/>
      <c r="E68" s="50">
        <v>1</v>
      </c>
      <c r="F68" s="54">
        <f t="shared" si="5"/>
        <v>1</v>
      </c>
      <c r="G68" s="87">
        <v>44357</v>
      </c>
      <c r="H68" s="16"/>
      <c r="I68" s="11"/>
      <c r="J68" s="26"/>
      <c r="K68" s="50"/>
      <c r="L68" s="54">
        <f t="shared" ref="L68:L70" si="6">SUM(I68:K68)</f>
        <v>0</v>
      </c>
      <c r="N68" s="3"/>
      <c r="O68" s="2"/>
      <c r="P68" s="29"/>
      <c r="Q68" s="51"/>
      <c r="R68" s="54">
        <f t="shared" si="4"/>
        <v>0</v>
      </c>
    </row>
    <row r="69" spans="1:18" x14ac:dyDescent="0.15">
      <c r="B69" s="10" t="s">
        <v>16</v>
      </c>
      <c r="C69" s="11"/>
      <c r="D69" s="26">
        <f>1+1+1</f>
        <v>3</v>
      </c>
      <c r="E69" s="50"/>
      <c r="F69" s="54">
        <f t="shared" si="5"/>
        <v>3</v>
      </c>
      <c r="G69" s="87">
        <v>44358</v>
      </c>
      <c r="H69" s="16"/>
      <c r="I69" s="11"/>
      <c r="J69" s="26"/>
      <c r="K69" s="50"/>
      <c r="L69" s="54">
        <f t="shared" si="6"/>
        <v>0</v>
      </c>
      <c r="M69" s="90"/>
      <c r="N69" s="4"/>
      <c r="O69" s="11"/>
      <c r="P69" s="26"/>
      <c r="Q69" s="50"/>
      <c r="R69" s="54">
        <f t="shared" si="4"/>
        <v>0</v>
      </c>
    </row>
    <row r="70" spans="1:18" x14ac:dyDescent="0.15">
      <c r="B70" s="10" t="s">
        <v>16</v>
      </c>
      <c r="C70" s="11"/>
      <c r="D70" s="26">
        <v>1</v>
      </c>
      <c r="E70" s="50"/>
      <c r="F70" s="54">
        <f t="shared" si="5"/>
        <v>1</v>
      </c>
      <c r="G70" s="87">
        <v>44362</v>
      </c>
      <c r="H70" s="16"/>
      <c r="I70" s="11"/>
      <c r="J70" s="26"/>
      <c r="K70" s="50"/>
      <c r="L70" s="54">
        <f t="shared" si="6"/>
        <v>0</v>
      </c>
      <c r="N70" s="4"/>
      <c r="O70" s="11"/>
      <c r="P70" s="26"/>
      <c r="Q70" s="50"/>
      <c r="R70" s="54">
        <f t="shared" si="4"/>
        <v>0</v>
      </c>
    </row>
    <row r="71" spans="1:18" x14ac:dyDescent="0.15">
      <c r="B71" s="10" t="s">
        <v>16</v>
      </c>
      <c r="C71" s="11"/>
      <c r="D71" s="26">
        <v>1</v>
      </c>
      <c r="E71" s="50"/>
      <c r="F71" s="54">
        <f t="shared" si="5"/>
        <v>1</v>
      </c>
      <c r="G71" s="87">
        <v>44364</v>
      </c>
      <c r="H71" s="16"/>
      <c r="I71" s="11"/>
      <c r="J71" s="26"/>
      <c r="K71" s="50"/>
      <c r="L71" s="54">
        <f t="shared" si="3"/>
        <v>0</v>
      </c>
      <c r="N71" s="4"/>
      <c r="O71" s="11"/>
      <c r="P71" s="26"/>
      <c r="Q71" s="50"/>
      <c r="R71" s="54">
        <f t="shared" si="4"/>
        <v>0</v>
      </c>
    </row>
    <row r="72" spans="1:18" ht="14.25" thickBot="1" x14ac:dyDescent="0.2">
      <c r="B72" s="10" t="s">
        <v>16</v>
      </c>
      <c r="C72" s="23"/>
      <c r="D72" s="37"/>
      <c r="E72" s="62">
        <v>1</v>
      </c>
      <c r="F72" s="63">
        <f t="shared" si="5"/>
        <v>1</v>
      </c>
      <c r="G72" s="87">
        <v>44368</v>
      </c>
      <c r="H72" s="22"/>
      <c r="I72" s="21"/>
      <c r="J72" s="32"/>
      <c r="K72" s="52"/>
      <c r="L72" s="57">
        <f t="shared" si="3"/>
        <v>0</v>
      </c>
      <c r="M72" s="87"/>
      <c r="N72" s="22"/>
      <c r="O72" s="21"/>
      <c r="P72" s="32"/>
      <c r="Q72" s="52"/>
      <c r="R72" s="57">
        <f t="shared" si="4"/>
        <v>0</v>
      </c>
    </row>
    <row r="73" spans="1:18" x14ac:dyDescent="0.15">
      <c r="B73" s="38" t="s">
        <v>2</v>
      </c>
      <c r="C73" s="44">
        <f>SUM(C48:C72)</f>
        <v>57</v>
      </c>
      <c r="D73" s="39">
        <f>SUM(D48:D72)</f>
        <v>57</v>
      </c>
      <c r="E73" s="28">
        <f>SUM(E48:E72)</f>
        <v>43</v>
      </c>
      <c r="F73" s="42">
        <f>SUM(F48:F72)</f>
        <v>157</v>
      </c>
      <c r="H73" s="5" t="s">
        <v>2</v>
      </c>
      <c r="I73" s="46">
        <f>SUM(I48:I72)</f>
        <v>38</v>
      </c>
      <c r="J73" s="39">
        <f>SUM(J48:J72)</f>
        <v>52</v>
      </c>
      <c r="K73" s="30">
        <f>SUM(K48:K72)</f>
        <v>41</v>
      </c>
      <c r="L73" s="58">
        <f>SUM(L48:L72)</f>
        <v>131</v>
      </c>
      <c r="N73" s="5" t="s">
        <v>2</v>
      </c>
      <c r="O73" s="46">
        <f>SUM(O48:O72)</f>
        <v>0</v>
      </c>
      <c r="P73" s="39">
        <f>SUM(P48:P72)</f>
        <v>0</v>
      </c>
      <c r="Q73" s="30">
        <f>SUM(Q48:Q72)</f>
        <v>0</v>
      </c>
      <c r="R73" s="58">
        <f>SUM(R48:R72)</f>
        <v>0</v>
      </c>
    </row>
    <row r="74" spans="1:18" ht="14.25" thickBot="1" x14ac:dyDescent="0.2">
      <c r="B74" s="35" t="s">
        <v>3</v>
      </c>
      <c r="C74" s="45">
        <f>C47-C73</f>
        <v>14</v>
      </c>
      <c r="D74" s="34">
        <f>D47-D73</f>
        <v>19</v>
      </c>
      <c r="E74" s="36">
        <f>E47-E73</f>
        <v>26</v>
      </c>
      <c r="F74" s="43">
        <f>SUM(C74:E74)</f>
        <v>59</v>
      </c>
      <c r="H74" s="13" t="s">
        <v>3</v>
      </c>
      <c r="I74" s="47">
        <f>I47-I73</f>
        <v>452</v>
      </c>
      <c r="J74" s="34">
        <f>J47-J73</f>
        <v>438</v>
      </c>
      <c r="K74" s="31">
        <f>K47-K73</f>
        <v>449</v>
      </c>
      <c r="L74" s="59">
        <f>SUM(I74:K74)</f>
        <v>1339</v>
      </c>
      <c r="N74" s="13" t="s">
        <v>3</v>
      </c>
      <c r="O74" s="47">
        <f>O47-O73</f>
        <v>0</v>
      </c>
      <c r="P74" s="34">
        <f>P47-P73</f>
        <v>0</v>
      </c>
      <c r="Q74" s="31">
        <f>Q47-Q73</f>
        <v>0</v>
      </c>
      <c r="R74" s="59">
        <f>SUM(O74:Q74)</f>
        <v>0</v>
      </c>
    </row>
    <row r="77" spans="1:18" ht="18.75" x14ac:dyDescent="0.2">
      <c r="B77" s="14" t="s">
        <v>7</v>
      </c>
      <c r="H77" s="14" t="s">
        <v>8</v>
      </c>
      <c r="N77" s="14" t="s">
        <v>20</v>
      </c>
    </row>
    <row r="78" spans="1:18" ht="14.25" thickBot="1" x14ac:dyDescent="0.2">
      <c r="H78" s="1"/>
      <c r="N78" s="1"/>
    </row>
    <row r="79" spans="1:18" ht="14.25" thickBot="1" x14ac:dyDescent="0.2">
      <c r="B79" s="6"/>
      <c r="C79" s="104"/>
      <c r="D79" s="105"/>
      <c r="E79" s="105"/>
      <c r="F79" s="106"/>
      <c r="H79" s="6"/>
      <c r="I79" s="101"/>
      <c r="J79" s="102"/>
      <c r="K79" s="102"/>
      <c r="L79" s="103"/>
      <c r="N79" s="6"/>
      <c r="O79" s="101"/>
      <c r="P79" s="102"/>
      <c r="Q79" s="102"/>
      <c r="R79" s="103"/>
    </row>
    <row r="80" spans="1:18" ht="14.25" thickBot="1" x14ac:dyDescent="0.2">
      <c r="A80" s="1"/>
      <c r="B80" s="7" t="s">
        <v>9</v>
      </c>
      <c r="C80" s="8" t="s">
        <v>10</v>
      </c>
      <c r="D80" s="24" t="s">
        <v>11</v>
      </c>
      <c r="E80" s="48" t="s">
        <v>12</v>
      </c>
      <c r="F80" s="53" t="s">
        <v>0</v>
      </c>
      <c r="H80" s="7" t="s">
        <v>9</v>
      </c>
      <c r="I80" s="8" t="s">
        <v>10</v>
      </c>
      <c r="J80" s="24" t="s">
        <v>11</v>
      </c>
      <c r="K80" s="48" t="s">
        <v>12</v>
      </c>
      <c r="L80" s="53" t="s">
        <v>0</v>
      </c>
      <c r="N80" s="7" t="s">
        <v>9</v>
      </c>
      <c r="O80" s="8" t="s">
        <v>10</v>
      </c>
      <c r="P80" s="24" t="s">
        <v>11</v>
      </c>
      <c r="Q80" s="48" t="s">
        <v>12</v>
      </c>
      <c r="R80" s="53" t="s">
        <v>0</v>
      </c>
    </row>
    <row r="81" spans="2:18" x14ac:dyDescent="0.15">
      <c r="B81" s="71" t="s">
        <v>3</v>
      </c>
      <c r="C81" s="46">
        <f>C74</f>
        <v>14</v>
      </c>
      <c r="D81" s="39">
        <f>D74</f>
        <v>19</v>
      </c>
      <c r="E81" s="68">
        <f>E74</f>
        <v>26</v>
      </c>
      <c r="F81" s="58">
        <f>SUM(C81:E81)</f>
        <v>59</v>
      </c>
      <c r="G81" s="87"/>
      <c r="H81" s="65" t="s">
        <v>3</v>
      </c>
      <c r="I81" s="46">
        <f>I74</f>
        <v>452</v>
      </c>
      <c r="J81" s="39">
        <f>J74</f>
        <v>438</v>
      </c>
      <c r="K81" s="68">
        <f>K74</f>
        <v>449</v>
      </c>
      <c r="L81" s="54">
        <f>SUM(I81:K81)</f>
        <v>1339</v>
      </c>
      <c r="M81" s="87"/>
      <c r="N81" s="65" t="s">
        <v>4</v>
      </c>
      <c r="O81" s="46">
        <f>O74</f>
        <v>0</v>
      </c>
      <c r="P81" s="39">
        <f>P74</f>
        <v>0</v>
      </c>
      <c r="Q81" s="68">
        <f>Q74</f>
        <v>0</v>
      </c>
      <c r="R81" s="54">
        <f>SUM(O81:Q81)</f>
        <v>0</v>
      </c>
    </row>
    <row r="82" spans="2:18" x14ac:dyDescent="0.15">
      <c r="B82" s="71" t="s">
        <v>38</v>
      </c>
      <c r="C82" s="11"/>
      <c r="D82" s="26">
        <v>1</v>
      </c>
      <c r="E82" s="50"/>
      <c r="F82" s="54">
        <f>SUM(C82:E82)</f>
        <v>1</v>
      </c>
      <c r="G82" s="87">
        <v>44406</v>
      </c>
      <c r="H82" s="15" t="s">
        <v>4</v>
      </c>
      <c r="I82" s="11"/>
      <c r="J82" s="26"/>
      <c r="K82" s="50"/>
      <c r="L82" s="54">
        <f>SUM(I82:K82)</f>
        <v>0</v>
      </c>
      <c r="M82" s="87"/>
      <c r="N82" s="15" t="s">
        <v>4</v>
      </c>
      <c r="O82" s="11"/>
      <c r="P82" s="26"/>
      <c r="Q82" s="50"/>
      <c r="R82" s="54">
        <f>SUM(O82:Q82)</f>
        <v>0</v>
      </c>
    </row>
    <row r="83" spans="2:18" x14ac:dyDescent="0.15">
      <c r="B83" s="71" t="s">
        <v>39</v>
      </c>
      <c r="C83" s="11">
        <v>2</v>
      </c>
      <c r="D83" s="26">
        <v>4</v>
      </c>
      <c r="E83" s="50">
        <v>1</v>
      </c>
      <c r="F83" s="54">
        <f>SUM(C83:E83)</f>
        <v>7</v>
      </c>
      <c r="G83" s="87">
        <v>44410</v>
      </c>
      <c r="H83" s="15" t="s">
        <v>4</v>
      </c>
      <c r="I83" s="11"/>
      <c r="J83" s="26"/>
      <c r="K83" s="50"/>
      <c r="L83" s="54">
        <f>SUM(I83:K83)</f>
        <v>0</v>
      </c>
      <c r="N83" s="15" t="s">
        <v>4</v>
      </c>
      <c r="O83" s="11"/>
      <c r="P83" s="26"/>
      <c r="Q83" s="50"/>
      <c r="R83" s="54">
        <f>SUM(O83:Q83)</f>
        <v>0</v>
      </c>
    </row>
    <row r="84" spans="2:18" ht="14.25" thickBot="1" x14ac:dyDescent="0.2">
      <c r="B84" s="71" t="s">
        <v>4</v>
      </c>
      <c r="C84" s="11">
        <v>5</v>
      </c>
      <c r="D84" s="26"/>
      <c r="E84" s="50"/>
      <c r="F84" s="54">
        <f>SUM(C84:E84)</f>
        <v>5</v>
      </c>
      <c r="G84" s="87">
        <v>44429</v>
      </c>
      <c r="H84" s="15" t="s">
        <v>4</v>
      </c>
      <c r="I84" s="11"/>
      <c r="J84" s="26"/>
      <c r="K84" s="50"/>
      <c r="L84" s="54">
        <f>SUM(I84:K84)</f>
        <v>0</v>
      </c>
      <c r="N84" s="15" t="s">
        <v>4</v>
      </c>
      <c r="O84" s="11"/>
      <c r="P84" s="26"/>
      <c r="Q84" s="50"/>
      <c r="R84" s="54">
        <f>SUM(O84:Q84)</f>
        <v>0</v>
      </c>
    </row>
    <row r="85" spans="2:18" ht="14.25" thickBot="1" x14ac:dyDescent="0.2">
      <c r="B85" s="72" t="s">
        <v>1</v>
      </c>
      <c r="C85" s="40">
        <f>SUM(C81:C84)</f>
        <v>21</v>
      </c>
      <c r="D85" s="33">
        <f>SUM(D81:D84)</f>
        <v>24</v>
      </c>
      <c r="E85" s="27">
        <f>SUM(E81:E84)</f>
        <v>27</v>
      </c>
      <c r="F85" s="55">
        <f>SUM(F81:F84)</f>
        <v>72</v>
      </c>
      <c r="H85" s="7" t="s">
        <v>1</v>
      </c>
      <c r="I85" s="40">
        <f>SUM(I81:I84)</f>
        <v>452</v>
      </c>
      <c r="J85" s="33">
        <f>SUM(J81:J84)</f>
        <v>438</v>
      </c>
      <c r="K85" s="27">
        <f>SUM(K81:K84)</f>
        <v>449</v>
      </c>
      <c r="L85" s="55">
        <f>SUM(L81:L84)</f>
        <v>1339</v>
      </c>
      <c r="N85" s="7" t="s">
        <v>1</v>
      </c>
      <c r="O85" s="40">
        <f>SUM(O81:O84)</f>
        <v>0</v>
      </c>
      <c r="P85" s="33">
        <f>SUM(P81:P84)</f>
        <v>0</v>
      </c>
      <c r="Q85" s="27">
        <f>SUM(Q81:Q84)</f>
        <v>0</v>
      </c>
      <c r="R85" s="55">
        <f>SUM(R81:R84)</f>
        <v>0</v>
      </c>
    </row>
    <row r="86" spans="2:18" x14ac:dyDescent="0.15">
      <c r="B86" s="73" t="s">
        <v>16</v>
      </c>
      <c r="C86" s="20"/>
      <c r="D86" s="28"/>
      <c r="E86" s="61">
        <v>3</v>
      </c>
      <c r="F86" s="42">
        <f>SUM(C86:E86)</f>
        <v>3</v>
      </c>
      <c r="G86" s="87">
        <v>44370</v>
      </c>
      <c r="H86" s="69" t="s">
        <v>40</v>
      </c>
      <c r="I86" s="11">
        <v>5</v>
      </c>
      <c r="J86" s="30">
        <v>5</v>
      </c>
      <c r="K86" s="49">
        <v>10</v>
      </c>
      <c r="L86" s="56">
        <f>SUM(I86:K86)</f>
        <v>20</v>
      </c>
      <c r="M86" s="87">
        <v>44414</v>
      </c>
      <c r="N86" s="16"/>
      <c r="O86" s="11"/>
      <c r="P86" s="30"/>
      <c r="Q86" s="49"/>
      <c r="R86" s="56">
        <f>SUM(O86:Q86)</f>
        <v>0</v>
      </c>
    </row>
    <row r="87" spans="2:18" x14ac:dyDescent="0.15">
      <c r="B87" s="73" t="s">
        <v>16</v>
      </c>
      <c r="C87" s="11">
        <v>1</v>
      </c>
      <c r="D87" s="26"/>
      <c r="E87" s="50"/>
      <c r="F87" s="54">
        <f t="shared" ref="F87:F107" si="7">SUM(C87:E87)</f>
        <v>1</v>
      </c>
      <c r="G87" s="87">
        <v>44375</v>
      </c>
      <c r="H87" s="69" t="s">
        <v>41</v>
      </c>
      <c r="I87" s="11">
        <v>3</v>
      </c>
      <c r="J87" s="26">
        <v>6</v>
      </c>
      <c r="K87" s="50">
        <v>4</v>
      </c>
      <c r="L87" s="54">
        <f t="shared" ref="L87:L110" si="8">SUM(I87:K87)</f>
        <v>13</v>
      </c>
      <c r="M87" s="87">
        <v>44415</v>
      </c>
      <c r="N87" s="10"/>
      <c r="O87" s="11"/>
      <c r="P87" s="26"/>
      <c r="Q87" s="50"/>
      <c r="R87" s="54">
        <f t="shared" ref="R87:R110" si="9">SUM(O87:Q87)</f>
        <v>0</v>
      </c>
    </row>
    <row r="88" spans="2:18" x14ac:dyDescent="0.15">
      <c r="B88" s="73" t="s">
        <v>16</v>
      </c>
      <c r="C88" s="11"/>
      <c r="D88" s="26">
        <f>1+1</f>
        <v>2</v>
      </c>
      <c r="E88" s="50"/>
      <c r="F88" s="54">
        <f t="shared" si="7"/>
        <v>2</v>
      </c>
      <c r="G88" s="87">
        <v>44379</v>
      </c>
      <c r="H88" s="16" t="s">
        <v>28</v>
      </c>
      <c r="I88" s="11">
        <v>20</v>
      </c>
      <c r="J88" s="26"/>
      <c r="K88" s="50"/>
      <c r="L88" s="54">
        <f t="shared" si="8"/>
        <v>20</v>
      </c>
      <c r="M88" s="87">
        <v>44426</v>
      </c>
      <c r="N88" s="10"/>
      <c r="O88" s="11"/>
      <c r="P88" s="26"/>
      <c r="Q88" s="50"/>
      <c r="R88" s="54">
        <f t="shared" si="9"/>
        <v>0</v>
      </c>
    </row>
    <row r="89" spans="2:18" x14ac:dyDescent="0.15">
      <c r="B89" s="73" t="s">
        <v>16</v>
      </c>
      <c r="C89" s="11"/>
      <c r="D89" s="26"/>
      <c r="E89" s="50">
        <v>1</v>
      </c>
      <c r="F89" s="54">
        <f t="shared" si="7"/>
        <v>1</v>
      </c>
      <c r="G89" s="87">
        <v>44380</v>
      </c>
      <c r="H89" s="10" t="s">
        <v>43</v>
      </c>
      <c r="I89" s="11">
        <v>5</v>
      </c>
      <c r="J89" s="26"/>
      <c r="K89" s="50"/>
      <c r="L89" s="54">
        <f>SUM(I89:K89)</f>
        <v>5</v>
      </c>
      <c r="M89" s="87">
        <v>44429</v>
      </c>
      <c r="N89" s="10"/>
      <c r="O89" s="11"/>
      <c r="P89" s="26"/>
      <c r="Q89" s="50"/>
      <c r="R89" s="54">
        <f t="shared" si="9"/>
        <v>0</v>
      </c>
    </row>
    <row r="90" spans="2:18" x14ac:dyDescent="0.15">
      <c r="B90" s="73" t="s">
        <v>16</v>
      </c>
      <c r="C90" s="11">
        <v>1</v>
      </c>
      <c r="D90" s="26"/>
      <c r="E90" s="50"/>
      <c r="F90" s="54">
        <f t="shared" si="7"/>
        <v>1</v>
      </c>
      <c r="G90" s="87">
        <v>44390</v>
      </c>
      <c r="H90" s="73" t="s">
        <v>6</v>
      </c>
      <c r="I90" s="11">
        <v>20</v>
      </c>
      <c r="J90" s="26">
        <v>30</v>
      </c>
      <c r="K90" s="50">
        <v>20</v>
      </c>
      <c r="L90" s="54">
        <f t="shared" ref="L90" si="10">SUM(I90:K90)</f>
        <v>70</v>
      </c>
      <c r="M90" s="87">
        <v>44471</v>
      </c>
      <c r="N90" s="10"/>
      <c r="O90" s="11"/>
      <c r="P90" s="26"/>
      <c r="Q90" s="50"/>
      <c r="R90" s="54">
        <f t="shared" si="9"/>
        <v>0</v>
      </c>
    </row>
    <row r="91" spans="2:18" x14ac:dyDescent="0.15">
      <c r="B91" s="73" t="s">
        <v>16</v>
      </c>
      <c r="C91" s="11"/>
      <c r="D91" s="26"/>
      <c r="E91" s="50">
        <v>1</v>
      </c>
      <c r="F91" s="54">
        <f t="shared" si="7"/>
        <v>1</v>
      </c>
      <c r="G91" s="87">
        <v>44397</v>
      </c>
      <c r="H91" s="73" t="s">
        <v>6</v>
      </c>
      <c r="I91" s="11">
        <v>20</v>
      </c>
      <c r="J91" s="26"/>
      <c r="K91" s="50"/>
      <c r="L91" s="54">
        <f t="shared" si="8"/>
        <v>20</v>
      </c>
      <c r="M91" s="87">
        <v>44480</v>
      </c>
      <c r="N91" s="10"/>
      <c r="O91" s="11"/>
      <c r="P91" s="26"/>
      <c r="Q91" s="50"/>
      <c r="R91" s="54">
        <f t="shared" si="9"/>
        <v>0</v>
      </c>
    </row>
    <row r="92" spans="2:18" x14ac:dyDescent="0.15">
      <c r="B92" s="73" t="s">
        <v>16</v>
      </c>
      <c r="C92" s="11"/>
      <c r="D92" s="26"/>
      <c r="E92" s="50">
        <f>1+2</f>
        <v>3</v>
      </c>
      <c r="F92" s="54">
        <f t="shared" si="7"/>
        <v>3</v>
      </c>
      <c r="G92" s="87">
        <v>44398</v>
      </c>
      <c r="H92" s="10"/>
      <c r="I92" s="11"/>
      <c r="J92" s="26"/>
      <c r="K92" s="50"/>
      <c r="L92" s="54">
        <f t="shared" si="8"/>
        <v>0</v>
      </c>
      <c r="N92" s="10"/>
      <c r="O92" s="11"/>
      <c r="P92" s="26"/>
      <c r="Q92" s="50"/>
      <c r="R92" s="54">
        <f t="shared" si="9"/>
        <v>0</v>
      </c>
    </row>
    <row r="93" spans="2:18" x14ac:dyDescent="0.15">
      <c r="B93" s="73" t="s">
        <v>16</v>
      </c>
      <c r="C93" s="11"/>
      <c r="D93" s="26"/>
      <c r="E93" s="50">
        <f>1+1+4</f>
        <v>6</v>
      </c>
      <c r="F93" s="54">
        <f t="shared" si="7"/>
        <v>6</v>
      </c>
      <c r="G93" s="87">
        <v>44403</v>
      </c>
      <c r="H93" s="10"/>
      <c r="I93" s="11"/>
      <c r="J93" s="26"/>
      <c r="K93" s="50"/>
      <c r="L93" s="54">
        <f t="shared" si="8"/>
        <v>0</v>
      </c>
      <c r="N93" s="10"/>
      <c r="O93" s="11"/>
      <c r="P93" s="26"/>
      <c r="Q93" s="50"/>
      <c r="R93" s="54">
        <f t="shared" si="9"/>
        <v>0</v>
      </c>
    </row>
    <row r="94" spans="2:18" x14ac:dyDescent="0.15">
      <c r="B94" s="73" t="s">
        <v>16</v>
      </c>
      <c r="C94" s="11">
        <v>1</v>
      </c>
      <c r="D94" s="26"/>
      <c r="E94" s="50">
        <v>1</v>
      </c>
      <c r="F94" s="54">
        <f t="shared" si="7"/>
        <v>2</v>
      </c>
      <c r="G94" s="87">
        <v>44405</v>
      </c>
      <c r="H94" s="10"/>
      <c r="I94" s="11"/>
      <c r="J94" s="26"/>
      <c r="K94" s="50"/>
      <c r="L94" s="54">
        <f t="shared" si="8"/>
        <v>0</v>
      </c>
      <c r="N94" s="10"/>
      <c r="O94" s="11"/>
      <c r="P94" s="26"/>
      <c r="Q94" s="50"/>
      <c r="R94" s="54">
        <f t="shared" si="9"/>
        <v>0</v>
      </c>
    </row>
    <row r="95" spans="2:18" x14ac:dyDescent="0.15">
      <c r="B95" s="73" t="s">
        <v>16</v>
      </c>
      <c r="C95" s="11"/>
      <c r="D95" s="26"/>
      <c r="E95" s="50">
        <v>1</v>
      </c>
      <c r="F95" s="54">
        <f t="shared" si="7"/>
        <v>1</v>
      </c>
      <c r="G95" s="87">
        <v>44411</v>
      </c>
      <c r="H95" s="10"/>
      <c r="I95" s="11"/>
      <c r="J95" s="26"/>
      <c r="K95" s="50"/>
      <c r="L95" s="54">
        <f t="shared" si="8"/>
        <v>0</v>
      </c>
      <c r="N95" s="10"/>
      <c r="O95" s="11"/>
      <c r="P95" s="26"/>
      <c r="Q95" s="50"/>
      <c r="R95" s="54">
        <f t="shared" si="9"/>
        <v>0</v>
      </c>
    </row>
    <row r="96" spans="2:18" x14ac:dyDescent="0.15">
      <c r="B96" s="73" t="s">
        <v>16</v>
      </c>
      <c r="C96" s="11">
        <v>1</v>
      </c>
      <c r="D96" s="26"/>
      <c r="E96" s="50">
        <v>1</v>
      </c>
      <c r="F96" s="54">
        <f t="shared" si="7"/>
        <v>2</v>
      </c>
      <c r="G96" s="87">
        <v>44413</v>
      </c>
      <c r="H96" s="10"/>
      <c r="I96" s="11"/>
      <c r="J96" s="26"/>
      <c r="K96" s="50"/>
      <c r="L96" s="54">
        <f t="shared" si="8"/>
        <v>0</v>
      </c>
      <c r="N96" s="10"/>
      <c r="O96" s="11"/>
      <c r="P96" s="26"/>
      <c r="Q96" s="50"/>
      <c r="R96" s="54">
        <f t="shared" si="9"/>
        <v>0</v>
      </c>
    </row>
    <row r="97" spans="2:18" x14ac:dyDescent="0.15">
      <c r="B97" s="73" t="s">
        <v>16</v>
      </c>
      <c r="C97" s="11">
        <v>1</v>
      </c>
      <c r="D97" s="26"/>
      <c r="E97" s="50"/>
      <c r="F97" s="54">
        <f t="shared" si="7"/>
        <v>1</v>
      </c>
      <c r="G97" s="87">
        <v>44418</v>
      </c>
      <c r="H97" s="10"/>
      <c r="I97" s="11"/>
      <c r="J97" s="26"/>
      <c r="K97" s="50"/>
      <c r="L97" s="54">
        <f t="shared" si="8"/>
        <v>0</v>
      </c>
      <c r="N97" s="10"/>
      <c r="O97" s="11"/>
      <c r="P97" s="26"/>
      <c r="Q97" s="50"/>
      <c r="R97" s="54">
        <f t="shared" si="9"/>
        <v>0</v>
      </c>
    </row>
    <row r="98" spans="2:18" x14ac:dyDescent="0.15">
      <c r="B98" s="73" t="s">
        <v>16</v>
      </c>
      <c r="C98" s="11">
        <v>1</v>
      </c>
      <c r="D98" s="26"/>
      <c r="E98" s="50"/>
      <c r="F98" s="54">
        <f t="shared" si="7"/>
        <v>1</v>
      </c>
      <c r="G98" s="87">
        <v>44419</v>
      </c>
      <c r="H98" s="10"/>
      <c r="I98" s="11"/>
      <c r="J98" s="26"/>
      <c r="K98" s="50"/>
      <c r="L98" s="54">
        <f t="shared" si="8"/>
        <v>0</v>
      </c>
      <c r="N98" s="10"/>
      <c r="O98" s="11"/>
      <c r="P98" s="26"/>
      <c r="Q98" s="50"/>
      <c r="R98" s="54">
        <f t="shared" si="9"/>
        <v>0</v>
      </c>
    </row>
    <row r="99" spans="2:18" x14ac:dyDescent="0.15">
      <c r="B99" s="73" t="s">
        <v>16</v>
      </c>
      <c r="C99" s="11">
        <f>1+1</f>
        <v>2</v>
      </c>
      <c r="D99" s="26"/>
      <c r="E99" s="50"/>
      <c r="F99" s="54">
        <f t="shared" si="7"/>
        <v>2</v>
      </c>
      <c r="G99" s="87">
        <v>44424</v>
      </c>
      <c r="H99" s="16"/>
      <c r="I99" s="11"/>
      <c r="J99" s="26"/>
      <c r="K99" s="50"/>
      <c r="L99" s="54">
        <f t="shared" si="8"/>
        <v>0</v>
      </c>
      <c r="N99" s="16"/>
      <c r="O99" s="11"/>
      <c r="P99" s="26"/>
      <c r="Q99" s="50"/>
      <c r="R99" s="54">
        <f t="shared" si="9"/>
        <v>0</v>
      </c>
    </row>
    <row r="100" spans="2:18" x14ac:dyDescent="0.15">
      <c r="B100" s="73" t="s">
        <v>16</v>
      </c>
      <c r="C100" s="11">
        <v>2</v>
      </c>
      <c r="D100" s="26"/>
      <c r="E100" s="50"/>
      <c r="F100" s="54">
        <f t="shared" si="7"/>
        <v>2</v>
      </c>
      <c r="G100" s="87">
        <v>44431</v>
      </c>
      <c r="H100" s="16"/>
      <c r="I100" s="11"/>
      <c r="J100" s="26"/>
      <c r="K100" s="50"/>
      <c r="L100" s="54">
        <f t="shared" si="8"/>
        <v>0</v>
      </c>
      <c r="N100" s="16"/>
      <c r="O100" s="11"/>
      <c r="P100" s="26"/>
      <c r="Q100" s="50"/>
      <c r="R100" s="54">
        <f t="shared" si="9"/>
        <v>0</v>
      </c>
    </row>
    <row r="101" spans="2:18" x14ac:dyDescent="0.15">
      <c r="B101" s="73" t="s">
        <v>16</v>
      </c>
      <c r="C101" s="11">
        <v>1</v>
      </c>
      <c r="D101" s="26">
        <v>1</v>
      </c>
      <c r="E101" s="50"/>
      <c r="F101" s="54">
        <f t="shared" si="7"/>
        <v>2</v>
      </c>
      <c r="G101" s="87">
        <v>44438</v>
      </c>
      <c r="H101" s="16"/>
      <c r="I101" s="11"/>
      <c r="J101" s="26"/>
      <c r="K101" s="50"/>
      <c r="L101" s="54">
        <f t="shared" si="8"/>
        <v>0</v>
      </c>
      <c r="N101" s="16"/>
      <c r="O101" s="11"/>
      <c r="P101" s="26"/>
      <c r="Q101" s="50"/>
      <c r="R101" s="54">
        <f t="shared" si="9"/>
        <v>0</v>
      </c>
    </row>
    <row r="102" spans="2:18" x14ac:dyDescent="0.15">
      <c r="B102" s="71" t="s">
        <v>39</v>
      </c>
      <c r="C102" s="11">
        <v>-5</v>
      </c>
      <c r="D102" s="26">
        <v>-3</v>
      </c>
      <c r="E102" s="50">
        <v>-7</v>
      </c>
      <c r="F102" s="54">
        <f t="shared" si="7"/>
        <v>-15</v>
      </c>
      <c r="G102" s="87">
        <v>44455</v>
      </c>
      <c r="H102" s="16"/>
      <c r="I102" s="11"/>
      <c r="J102" s="26"/>
      <c r="K102" s="50"/>
      <c r="L102" s="54">
        <f t="shared" si="8"/>
        <v>0</v>
      </c>
      <c r="N102" s="16"/>
      <c r="O102" s="11"/>
      <c r="P102" s="26"/>
      <c r="Q102" s="50"/>
      <c r="R102" s="54">
        <f t="shared" si="9"/>
        <v>0</v>
      </c>
    </row>
    <row r="103" spans="2:18" x14ac:dyDescent="0.15">
      <c r="B103" s="74" t="s">
        <v>44</v>
      </c>
      <c r="C103" s="11"/>
      <c r="D103" s="26"/>
      <c r="E103" s="50">
        <v>-1</v>
      </c>
      <c r="F103" s="54">
        <f t="shared" si="7"/>
        <v>-1</v>
      </c>
      <c r="G103" s="87">
        <v>44457</v>
      </c>
      <c r="H103" s="16"/>
      <c r="I103" s="11"/>
      <c r="J103" s="26"/>
      <c r="K103" s="50"/>
      <c r="L103" s="54">
        <f t="shared" si="8"/>
        <v>0</v>
      </c>
      <c r="N103" s="16"/>
      <c r="O103" s="11"/>
      <c r="P103" s="26"/>
      <c r="Q103" s="50"/>
      <c r="R103" s="54">
        <f t="shared" si="9"/>
        <v>0</v>
      </c>
    </row>
    <row r="104" spans="2:18" x14ac:dyDescent="0.15">
      <c r="B104" s="73" t="s">
        <v>16</v>
      </c>
      <c r="C104" s="11"/>
      <c r="D104" s="26">
        <v>1</v>
      </c>
      <c r="E104" s="50"/>
      <c r="F104" s="54">
        <f t="shared" si="7"/>
        <v>1</v>
      </c>
      <c r="G104" s="87">
        <v>44466</v>
      </c>
      <c r="H104" s="16"/>
      <c r="I104" s="11"/>
      <c r="J104" s="26"/>
      <c r="K104" s="50"/>
      <c r="L104" s="54">
        <f t="shared" si="8"/>
        <v>0</v>
      </c>
      <c r="N104" s="16"/>
      <c r="O104" s="11"/>
      <c r="P104" s="26"/>
      <c r="Q104" s="50"/>
      <c r="R104" s="54">
        <f t="shared" si="9"/>
        <v>0</v>
      </c>
    </row>
    <row r="105" spans="2:18" x14ac:dyDescent="0.15">
      <c r="B105" s="75" t="s">
        <v>45</v>
      </c>
      <c r="C105" s="11">
        <v>10</v>
      </c>
      <c r="D105" s="26">
        <v>10</v>
      </c>
      <c r="E105" s="50">
        <v>10</v>
      </c>
      <c r="F105" s="54">
        <f t="shared" si="7"/>
        <v>30</v>
      </c>
      <c r="G105" s="87">
        <v>44471</v>
      </c>
      <c r="H105" s="16"/>
      <c r="I105" s="11"/>
      <c r="J105" s="26"/>
      <c r="K105" s="50"/>
      <c r="L105" s="54">
        <f t="shared" si="8"/>
        <v>0</v>
      </c>
      <c r="N105" s="16"/>
      <c r="O105" s="11"/>
      <c r="P105" s="26"/>
      <c r="Q105" s="50"/>
      <c r="R105" s="54">
        <f t="shared" si="9"/>
        <v>0</v>
      </c>
    </row>
    <row r="106" spans="2:18" x14ac:dyDescent="0.15">
      <c r="B106" s="73" t="s">
        <v>4</v>
      </c>
      <c r="C106" s="11">
        <v>-20</v>
      </c>
      <c r="D106" s="26">
        <v>-30</v>
      </c>
      <c r="E106" s="50">
        <v>-20</v>
      </c>
      <c r="F106" s="54">
        <f t="shared" si="7"/>
        <v>-70</v>
      </c>
      <c r="G106" s="87">
        <v>44471</v>
      </c>
      <c r="H106" s="16"/>
      <c r="I106" s="11"/>
      <c r="J106" s="26"/>
      <c r="K106" s="50"/>
      <c r="L106" s="54">
        <f t="shared" si="8"/>
        <v>0</v>
      </c>
      <c r="N106" s="16"/>
      <c r="O106" s="11"/>
      <c r="P106" s="26"/>
      <c r="Q106" s="50"/>
      <c r="R106" s="54">
        <f t="shared" si="9"/>
        <v>0</v>
      </c>
    </row>
    <row r="107" spans="2:18" x14ac:dyDescent="0.15">
      <c r="B107" s="75" t="s">
        <v>46</v>
      </c>
      <c r="C107" s="11">
        <v>20</v>
      </c>
      <c r="D107" s="26">
        <v>10</v>
      </c>
      <c r="E107" s="50">
        <v>10</v>
      </c>
      <c r="F107" s="54">
        <f t="shared" si="7"/>
        <v>40</v>
      </c>
      <c r="G107" s="87">
        <v>44476</v>
      </c>
      <c r="H107" s="16"/>
      <c r="I107" s="11"/>
      <c r="J107" s="26"/>
      <c r="K107" s="50"/>
      <c r="L107" s="54">
        <f t="shared" si="8"/>
        <v>0</v>
      </c>
      <c r="M107" s="90"/>
      <c r="N107" s="4"/>
      <c r="O107" s="11"/>
      <c r="P107" s="26"/>
      <c r="Q107" s="50"/>
      <c r="R107" s="54">
        <f t="shared" si="9"/>
        <v>0</v>
      </c>
    </row>
    <row r="108" spans="2:18" x14ac:dyDescent="0.15">
      <c r="B108" s="73" t="s">
        <v>4</v>
      </c>
      <c r="C108" s="11">
        <v>-20</v>
      </c>
      <c r="D108" s="26"/>
      <c r="E108" s="50"/>
      <c r="F108" s="54">
        <f t="shared" ref="F108:F110" si="11">SUM(C108:E108)</f>
        <v>-20</v>
      </c>
      <c r="G108" s="87">
        <v>44480</v>
      </c>
      <c r="H108" s="70" t="s">
        <v>47</v>
      </c>
      <c r="I108" s="11"/>
      <c r="J108" s="26"/>
      <c r="K108" s="50"/>
      <c r="L108" s="54">
        <f t="shared" si="8"/>
        <v>0</v>
      </c>
      <c r="M108" s="85" t="s">
        <v>42</v>
      </c>
      <c r="N108" s="4"/>
      <c r="O108" s="11"/>
      <c r="P108" s="26"/>
      <c r="Q108" s="50"/>
      <c r="R108" s="54">
        <f t="shared" si="9"/>
        <v>0</v>
      </c>
    </row>
    <row r="109" spans="2:18" x14ac:dyDescent="0.15">
      <c r="B109" s="75" t="s">
        <v>48</v>
      </c>
      <c r="C109" s="11">
        <v>10</v>
      </c>
      <c r="D109" s="26">
        <v>10</v>
      </c>
      <c r="E109" s="50"/>
      <c r="F109" s="54">
        <f t="shared" si="11"/>
        <v>20</v>
      </c>
      <c r="G109" s="87">
        <v>44481</v>
      </c>
      <c r="H109" s="70" t="s">
        <v>36</v>
      </c>
      <c r="I109" s="11"/>
      <c r="J109" s="26"/>
      <c r="K109" s="50"/>
      <c r="L109" s="54">
        <f t="shared" si="8"/>
        <v>0</v>
      </c>
      <c r="M109" s="85" t="s">
        <v>37</v>
      </c>
      <c r="N109" s="4"/>
      <c r="O109" s="11"/>
      <c r="P109" s="26"/>
      <c r="Q109" s="50"/>
      <c r="R109" s="54">
        <f t="shared" si="9"/>
        <v>0</v>
      </c>
    </row>
    <row r="110" spans="2:18" ht="14.25" thickBot="1" x14ac:dyDescent="0.2">
      <c r="B110" s="71"/>
      <c r="C110" s="23"/>
      <c r="D110" s="37">
        <v>10</v>
      </c>
      <c r="E110" s="62">
        <v>-10</v>
      </c>
      <c r="F110" s="63">
        <f t="shared" si="11"/>
        <v>0</v>
      </c>
      <c r="G110" s="87"/>
      <c r="H110" s="22" t="s">
        <v>23</v>
      </c>
      <c r="I110" s="21"/>
      <c r="J110" s="32"/>
      <c r="K110" s="52"/>
      <c r="L110" s="57">
        <f t="shared" si="8"/>
        <v>0</v>
      </c>
      <c r="M110" s="87" t="s">
        <v>22</v>
      </c>
      <c r="N110" s="22"/>
      <c r="O110" s="21"/>
      <c r="P110" s="32"/>
      <c r="Q110" s="52"/>
      <c r="R110" s="57">
        <f t="shared" si="9"/>
        <v>0</v>
      </c>
    </row>
    <row r="111" spans="2:18" x14ac:dyDescent="0.15">
      <c r="B111" s="38" t="s">
        <v>2</v>
      </c>
      <c r="C111" s="44">
        <f>SUM(C86:C110)</f>
        <v>6</v>
      </c>
      <c r="D111" s="39">
        <f>SUM(D86:D110)</f>
        <v>11</v>
      </c>
      <c r="E111" s="28">
        <f>SUM(E86:E110)</f>
        <v>-1</v>
      </c>
      <c r="F111" s="42">
        <f>SUM(F86:F110)</f>
        <v>16</v>
      </c>
      <c r="H111" s="5" t="s">
        <v>2</v>
      </c>
      <c r="I111" s="46">
        <f>SUM(I86:I110)</f>
        <v>73</v>
      </c>
      <c r="J111" s="39">
        <f>SUM(J86:J110)</f>
        <v>41</v>
      </c>
      <c r="K111" s="30">
        <f>SUM(K86:K110)</f>
        <v>34</v>
      </c>
      <c r="L111" s="58">
        <f>SUM(L86:L110)</f>
        <v>148</v>
      </c>
      <c r="N111" s="5" t="s">
        <v>2</v>
      </c>
      <c r="O111" s="46">
        <f>SUM(O86:O110)</f>
        <v>0</v>
      </c>
      <c r="P111" s="39">
        <f>SUM(P86:P110)</f>
        <v>0</v>
      </c>
      <c r="Q111" s="30">
        <f>SUM(Q86:Q110)</f>
        <v>0</v>
      </c>
      <c r="R111" s="58">
        <f>SUM(R86:R110)</f>
        <v>0</v>
      </c>
    </row>
    <row r="112" spans="2:18" ht="14.25" thickBot="1" x14ac:dyDescent="0.2">
      <c r="B112" s="35" t="s">
        <v>3</v>
      </c>
      <c r="C112" s="45">
        <f>C85-C111</f>
        <v>15</v>
      </c>
      <c r="D112" s="34">
        <f>D85-D111</f>
        <v>13</v>
      </c>
      <c r="E112" s="36">
        <f>E85-E111</f>
        <v>28</v>
      </c>
      <c r="F112" s="43">
        <f>SUM(C112:E112)</f>
        <v>56</v>
      </c>
      <c r="H112" s="13" t="s">
        <v>3</v>
      </c>
      <c r="I112" s="47">
        <f>I85-I111</f>
        <v>379</v>
      </c>
      <c r="J112" s="34">
        <f>J85-J111</f>
        <v>397</v>
      </c>
      <c r="K112" s="31">
        <f>K85-K111</f>
        <v>415</v>
      </c>
      <c r="L112" s="59">
        <f>SUM(I112:K112)</f>
        <v>1191</v>
      </c>
      <c r="N112" s="13" t="s">
        <v>3</v>
      </c>
      <c r="O112" s="47">
        <f>O85-O111</f>
        <v>0</v>
      </c>
      <c r="P112" s="34">
        <f>P85-P111</f>
        <v>0</v>
      </c>
      <c r="Q112" s="31">
        <f>Q85-Q111</f>
        <v>0</v>
      </c>
      <c r="R112" s="59">
        <f>SUM(O112:Q112)</f>
        <v>0</v>
      </c>
    </row>
    <row r="115" spans="1:18" ht="18.75" x14ac:dyDescent="0.2">
      <c r="B115" s="14" t="s">
        <v>7</v>
      </c>
      <c r="H115" s="14" t="s">
        <v>8</v>
      </c>
      <c r="N115" s="14" t="s">
        <v>20</v>
      </c>
    </row>
    <row r="116" spans="1:18" ht="14.25" thickBot="1" x14ac:dyDescent="0.2">
      <c r="H116" s="1"/>
      <c r="N116" s="1"/>
    </row>
    <row r="117" spans="1:18" ht="14.25" thickBot="1" x14ac:dyDescent="0.2">
      <c r="B117" s="6"/>
      <c r="C117" s="104"/>
      <c r="D117" s="105"/>
      <c r="E117" s="105"/>
      <c r="F117" s="106"/>
      <c r="H117" s="6"/>
      <c r="I117" s="101"/>
      <c r="J117" s="102"/>
      <c r="K117" s="102"/>
      <c r="L117" s="103"/>
      <c r="N117" s="6"/>
      <c r="O117" s="101"/>
      <c r="P117" s="102"/>
      <c r="Q117" s="102"/>
      <c r="R117" s="103"/>
    </row>
    <row r="118" spans="1:18" ht="14.25" thickBot="1" x14ac:dyDescent="0.2">
      <c r="A118" s="1"/>
      <c r="B118" s="7" t="s">
        <v>9</v>
      </c>
      <c r="C118" s="8" t="s">
        <v>10</v>
      </c>
      <c r="D118" s="24" t="s">
        <v>11</v>
      </c>
      <c r="E118" s="48" t="s">
        <v>12</v>
      </c>
      <c r="F118" s="53" t="s">
        <v>0</v>
      </c>
      <c r="H118" s="7" t="s">
        <v>9</v>
      </c>
      <c r="I118" s="8" t="s">
        <v>10</v>
      </c>
      <c r="J118" s="24" t="s">
        <v>11</v>
      </c>
      <c r="K118" s="48" t="s">
        <v>12</v>
      </c>
      <c r="L118" s="53" t="s">
        <v>0</v>
      </c>
      <c r="N118" s="7" t="s">
        <v>9</v>
      </c>
      <c r="O118" s="8" t="s">
        <v>10</v>
      </c>
      <c r="P118" s="24" t="s">
        <v>11</v>
      </c>
      <c r="Q118" s="48" t="s">
        <v>12</v>
      </c>
      <c r="R118" s="53" t="s">
        <v>0</v>
      </c>
    </row>
    <row r="119" spans="1:18" x14ac:dyDescent="0.15">
      <c r="B119" s="71" t="s">
        <v>3</v>
      </c>
      <c r="C119" s="46">
        <f>C112</f>
        <v>15</v>
      </c>
      <c r="D119" s="39">
        <f>D112</f>
        <v>13</v>
      </c>
      <c r="E119" s="68">
        <f>E112</f>
        <v>28</v>
      </c>
      <c r="F119" s="58">
        <f>SUM(C119:E119)</f>
        <v>56</v>
      </c>
      <c r="G119" s="87"/>
      <c r="H119" s="65" t="s">
        <v>3</v>
      </c>
      <c r="I119" s="46">
        <f>I112</f>
        <v>379</v>
      </c>
      <c r="J119" s="39">
        <f>J112</f>
        <v>397</v>
      </c>
      <c r="K119" s="68">
        <f>K112</f>
        <v>415</v>
      </c>
      <c r="L119" s="54">
        <f>SUM(I119:K119)</f>
        <v>1191</v>
      </c>
      <c r="M119" s="87"/>
      <c r="N119" s="65" t="s">
        <v>4</v>
      </c>
      <c r="O119" s="46">
        <f>O112</f>
        <v>0</v>
      </c>
      <c r="P119" s="39">
        <f>P112</f>
        <v>0</v>
      </c>
      <c r="Q119" s="68">
        <f>Q112</f>
        <v>0</v>
      </c>
      <c r="R119" s="54">
        <f>SUM(O119:Q119)</f>
        <v>0</v>
      </c>
    </row>
    <row r="120" spans="1:18" x14ac:dyDescent="0.15">
      <c r="B120" s="71" t="s">
        <v>35</v>
      </c>
      <c r="C120" s="11">
        <v>19</v>
      </c>
      <c r="D120" s="26"/>
      <c r="E120" s="50"/>
      <c r="F120" s="54">
        <f>SUM(C120:E120)</f>
        <v>19</v>
      </c>
      <c r="G120" s="87">
        <v>44539</v>
      </c>
      <c r="H120" s="15" t="s">
        <v>4</v>
      </c>
      <c r="I120" s="11"/>
      <c r="J120" s="26"/>
      <c r="K120" s="50"/>
      <c r="L120" s="54">
        <f>SUM(I120:K120)</f>
        <v>0</v>
      </c>
      <c r="M120" s="87"/>
      <c r="N120" s="15" t="s">
        <v>4</v>
      </c>
      <c r="O120" s="11"/>
      <c r="P120" s="26"/>
      <c r="Q120" s="50"/>
      <c r="R120" s="54">
        <f>SUM(O120:Q120)</f>
        <v>0</v>
      </c>
    </row>
    <row r="121" spans="1:18" x14ac:dyDescent="0.15">
      <c r="B121" s="71" t="s">
        <v>4</v>
      </c>
      <c r="C121" s="11">
        <v>10</v>
      </c>
      <c r="D121" s="26">
        <v>30</v>
      </c>
      <c r="E121" s="50">
        <v>30</v>
      </c>
      <c r="F121" s="54">
        <f>SUM(C121:E121)</f>
        <v>70</v>
      </c>
      <c r="G121" s="87">
        <v>44643</v>
      </c>
      <c r="H121" s="15" t="s">
        <v>4</v>
      </c>
      <c r="I121" s="11"/>
      <c r="J121" s="26"/>
      <c r="K121" s="50"/>
      <c r="L121" s="54">
        <f>SUM(I121:K121)</f>
        <v>0</v>
      </c>
      <c r="N121" s="15" t="s">
        <v>4</v>
      </c>
      <c r="O121" s="11"/>
      <c r="P121" s="26"/>
      <c r="Q121" s="50"/>
      <c r="R121" s="54">
        <f>SUM(O121:Q121)</f>
        <v>0</v>
      </c>
    </row>
    <row r="122" spans="1:18" ht="14.25" thickBot="1" x14ac:dyDescent="0.2">
      <c r="B122" s="71" t="s">
        <v>4</v>
      </c>
      <c r="C122" s="11"/>
      <c r="D122" s="26"/>
      <c r="E122" s="50"/>
      <c r="F122" s="54">
        <f>SUM(C122:E122)</f>
        <v>0</v>
      </c>
      <c r="G122" s="87"/>
      <c r="H122" s="15" t="s">
        <v>4</v>
      </c>
      <c r="I122" s="11"/>
      <c r="J122" s="26"/>
      <c r="K122" s="50"/>
      <c r="L122" s="54">
        <f>SUM(I122:K122)</f>
        <v>0</v>
      </c>
      <c r="N122" s="15" t="s">
        <v>4</v>
      </c>
      <c r="O122" s="11"/>
      <c r="P122" s="26"/>
      <c r="Q122" s="50"/>
      <c r="R122" s="54">
        <f>SUM(O122:Q122)</f>
        <v>0</v>
      </c>
    </row>
    <row r="123" spans="1:18" ht="14.25" thickBot="1" x14ac:dyDescent="0.2">
      <c r="B123" s="72" t="s">
        <v>1</v>
      </c>
      <c r="C123" s="40">
        <f>SUM(C119:C122)</f>
        <v>44</v>
      </c>
      <c r="D123" s="33">
        <f>SUM(D119:D122)</f>
        <v>43</v>
      </c>
      <c r="E123" s="27">
        <f>SUM(E119:E122)</f>
        <v>58</v>
      </c>
      <c r="F123" s="55">
        <f>SUM(F119:F122)</f>
        <v>145</v>
      </c>
      <c r="H123" s="7" t="s">
        <v>1</v>
      </c>
      <c r="I123" s="40">
        <f>SUM(I119:I122)</f>
        <v>379</v>
      </c>
      <c r="J123" s="33">
        <f>SUM(J119:J122)</f>
        <v>397</v>
      </c>
      <c r="K123" s="27">
        <f>SUM(K119:K122)</f>
        <v>415</v>
      </c>
      <c r="L123" s="55">
        <f>SUM(L119:L122)</f>
        <v>1191</v>
      </c>
      <c r="N123" s="7" t="s">
        <v>1</v>
      </c>
      <c r="O123" s="40">
        <f>SUM(O119:O122)</f>
        <v>0</v>
      </c>
      <c r="P123" s="33">
        <f>SUM(P119:P122)</f>
        <v>0</v>
      </c>
      <c r="Q123" s="27">
        <f>SUM(Q119:Q122)</f>
        <v>0</v>
      </c>
      <c r="R123" s="55">
        <f>SUM(R119:R122)</f>
        <v>0</v>
      </c>
    </row>
    <row r="124" spans="1:18" x14ac:dyDescent="0.15">
      <c r="B124" s="73" t="s">
        <v>16</v>
      </c>
      <c r="C124" s="20"/>
      <c r="D124" s="28">
        <v>1</v>
      </c>
      <c r="E124" s="61"/>
      <c r="F124" s="42">
        <f>SUM(C124:E124)</f>
        <v>1</v>
      </c>
      <c r="G124" s="87">
        <v>44480</v>
      </c>
      <c r="H124" s="69" t="s">
        <v>53</v>
      </c>
      <c r="I124" s="11">
        <v>10</v>
      </c>
      <c r="J124" s="30">
        <v>30</v>
      </c>
      <c r="K124" s="49">
        <v>30</v>
      </c>
      <c r="L124" s="56">
        <f>SUM(I124:K124)</f>
        <v>70</v>
      </c>
      <c r="M124" s="87">
        <v>44643</v>
      </c>
      <c r="N124" s="16"/>
      <c r="O124" s="11"/>
      <c r="P124" s="30"/>
      <c r="Q124" s="49"/>
      <c r="R124" s="56">
        <f>SUM(O124:Q124)</f>
        <v>0</v>
      </c>
    </row>
    <row r="125" spans="1:18" x14ac:dyDescent="0.15">
      <c r="B125" s="73" t="s">
        <v>16</v>
      </c>
      <c r="C125" s="11">
        <v>1</v>
      </c>
      <c r="D125" s="26">
        <v>1</v>
      </c>
      <c r="E125" s="50"/>
      <c r="F125" s="54">
        <f t="shared" ref="F125:F148" si="12">SUM(C125:E125)</f>
        <v>2</v>
      </c>
      <c r="G125" s="87">
        <v>44481</v>
      </c>
      <c r="H125" s="69"/>
      <c r="I125" s="11"/>
      <c r="J125" s="26"/>
      <c r="K125" s="50"/>
      <c r="L125" s="54">
        <f t="shared" ref="L125:L126" si="13">SUM(I125:K125)</f>
        <v>0</v>
      </c>
      <c r="M125" s="87"/>
      <c r="N125" s="10"/>
      <c r="O125" s="11"/>
      <c r="P125" s="26"/>
      <c r="Q125" s="50"/>
      <c r="R125" s="54">
        <f t="shared" ref="R125:R148" si="14">SUM(O125:Q125)</f>
        <v>0</v>
      </c>
    </row>
    <row r="126" spans="1:18" x14ac:dyDescent="0.15">
      <c r="B126" s="73" t="s">
        <v>16</v>
      </c>
      <c r="C126" s="11"/>
      <c r="D126" s="26"/>
      <c r="E126" s="50">
        <v>1</v>
      </c>
      <c r="F126" s="54">
        <f t="shared" si="12"/>
        <v>1</v>
      </c>
      <c r="G126" s="87">
        <v>44516</v>
      </c>
      <c r="H126" s="16"/>
      <c r="I126" s="11"/>
      <c r="J126" s="26"/>
      <c r="K126" s="50"/>
      <c r="L126" s="54">
        <f t="shared" si="13"/>
        <v>0</v>
      </c>
      <c r="M126" s="87"/>
      <c r="N126" s="10"/>
      <c r="O126" s="11"/>
      <c r="P126" s="26"/>
      <c r="Q126" s="50"/>
      <c r="R126" s="54">
        <f t="shared" si="14"/>
        <v>0</v>
      </c>
    </row>
    <row r="127" spans="1:18" x14ac:dyDescent="0.15">
      <c r="B127" s="73" t="s">
        <v>16</v>
      </c>
      <c r="C127" s="11">
        <v>1</v>
      </c>
      <c r="D127" s="26">
        <v>1</v>
      </c>
      <c r="E127" s="50">
        <v>1</v>
      </c>
      <c r="F127" s="54">
        <f t="shared" si="12"/>
        <v>3</v>
      </c>
      <c r="G127" s="87">
        <v>44529</v>
      </c>
      <c r="H127" s="10"/>
      <c r="I127" s="11"/>
      <c r="J127" s="26"/>
      <c r="K127" s="50"/>
      <c r="L127" s="54">
        <f>SUM(I127:K127)</f>
        <v>0</v>
      </c>
      <c r="M127" s="87"/>
      <c r="N127" s="10"/>
      <c r="O127" s="11"/>
      <c r="P127" s="26"/>
      <c r="Q127" s="50"/>
      <c r="R127" s="54">
        <f t="shared" si="14"/>
        <v>0</v>
      </c>
    </row>
    <row r="128" spans="1:18" x14ac:dyDescent="0.15">
      <c r="B128" s="73" t="s">
        <v>16</v>
      </c>
      <c r="C128" s="11">
        <v>1</v>
      </c>
      <c r="D128" s="26"/>
      <c r="E128" s="50"/>
      <c r="F128" s="54">
        <f t="shared" si="12"/>
        <v>1</v>
      </c>
      <c r="G128" s="87">
        <v>44540</v>
      </c>
      <c r="H128" s="73"/>
      <c r="I128" s="11"/>
      <c r="J128" s="26"/>
      <c r="K128" s="50"/>
      <c r="L128" s="54">
        <f t="shared" ref="L128:L148" si="15">SUM(I128:K128)</f>
        <v>0</v>
      </c>
      <c r="M128" s="87"/>
      <c r="N128" s="10"/>
      <c r="O128" s="11"/>
      <c r="P128" s="26"/>
      <c r="Q128" s="50"/>
      <c r="R128" s="54">
        <f t="shared" si="14"/>
        <v>0</v>
      </c>
    </row>
    <row r="129" spans="2:18" x14ac:dyDescent="0.15">
      <c r="B129" s="73" t="s">
        <v>52</v>
      </c>
      <c r="C129" s="11">
        <v>1</v>
      </c>
      <c r="D129" s="26">
        <v>1</v>
      </c>
      <c r="E129" s="50"/>
      <c r="F129" s="54">
        <f t="shared" si="12"/>
        <v>2</v>
      </c>
      <c r="G129" s="87">
        <v>44621</v>
      </c>
      <c r="H129" s="73"/>
      <c r="I129" s="11"/>
      <c r="J129" s="26"/>
      <c r="K129" s="50"/>
      <c r="L129" s="54">
        <f t="shared" si="15"/>
        <v>0</v>
      </c>
      <c r="M129" s="87"/>
      <c r="N129" s="10"/>
      <c r="O129" s="11"/>
      <c r="P129" s="26"/>
      <c r="Q129" s="50"/>
      <c r="R129" s="54">
        <f t="shared" si="14"/>
        <v>0</v>
      </c>
    </row>
    <row r="130" spans="2:18" x14ac:dyDescent="0.15">
      <c r="B130" s="73" t="s">
        <v>16</v>
      </c>
      <c r="C130" s="11"/>
      <c r="D130" s="26"/>
      <c r="E130" s="50">
        <v>1</v>
      </c>
      <c r="F130" s="54">
        <f t="shared" si="12"/>
        <v>1</v>
      </c>
      <c r="G130" s="87">
        <v>44627</v>
      </c>
      <c r="H130" s="10"/>
      <c r="I130" s="11"/>
      <c r="J130" s="26"/>
      <c r="K130" s="50"/>
      <c r="L130" s="54">
        <f t="shared" si="15"/>
        <v>0</v>
      </c>
      <c r="N130" s="10"/>
      <c r="O130" s="11"/>
      <c r="P130" s="26"/>
      <c r="Q130" s="50"/>
      <c r="R130" s="54">
        <f t="shared" si="14"/>
        <v>0</v>
      </c>
    </row>
    <row r="131" spans="2:18" x14ac:dyDescent="0.15">
      <c r="B131" s="73" t="s">
        <v>16</v>
      </c>
      <c r="C131" s="11"/>
      <c r="D131" s="26"/>
      <c r="E131" s="50">
        <v>1</v>
      </c>
      <c r="F131" s="54">
        <f t="shared" si="12"/>
        <v>1</v>
      </c>
      <c r="G131" s="87">
        <v>44630</v>
      </c>
      <c r="H131" s="10"/>
      <c r="I131" s="11"/>
      <c r="J131" s="26"/>
      <c r="K131" s="50"/>
      <c r="L131" s="54">
        <f t="shared" si="15"/>
        <v>0</v>
      </c>
      <c r="N131" s="10"/>
      <c r="O131" s="11"/>
      <c r="P131" s="26"/>
      <c r="Q131" s="50"/>
      <c r="R131" s="54">
        <f t="shared" si="14"/>
        <v>0</v>
      </c>
    </row>
    <row r="132" spans="2:18" x14ac:dyDescent="0.15">
      <c r="B132" s="73" t="s">
        <v>16</v>
      </c>
      <c r="C132" s="11">
        <v>1</v>
      </c>
      <c r="D132" s="26">
        <v>1</v>
      </c>
      <c r="E132" s="50"/>
      <c r="F132" s="54">
        <f t="shared" si="12"/>
        <v>2</v>
      </c>
      <c r="G132" s="87">
        <v>44631</v>
      </c>
      <c r="H132" s="10"/>
      <c r="I132" s="11"/>
      <c r="J132" s="26"/>
      <c r="K132" s="50"/>
      <c r="L132" s="54">
        <f t="shared" si="15"/>
        <v>0</v>
      </c>
      <c r="N132" s="10"/>
      <c r="O132" s="11"/>
      <c r="P132" s="26"/>
      <c r="Q132" s="50"/>
      <c r="R132" s="54">
        <f t="shared" si="14"/>
        <v>0</v>
      </c>
    </row>
    <row r="133" spans="2:18" x14ac:dyDescent="0.15">
      <c r="B133" s="73" t="s">
        <v>16</v>
      </c>
      <c r="C133" s="11"/>
      <c r="D133" s="26"/>
      <c r="E133" s="50">
        <v>1</v>
      </c>
      <c r="F133" s="54">
        <f t="shared" si="12"/>
        <v>1</v>
      </c>
      <c r="G133" s="87">
        <v>44634</v>
      </c>
      <c r="H133" s="10"/>
      <c r="I133" s="11"/>
      <c r="J133" s="26"/>
      <c r="K133" s="50"/>
      <c r="L133" s="54">
        <f t="shared" si="15"/>
        <v>0</v>
      </c>
      <c r="N133" s="10"/>
      <c r="O133" s="11"/>
      <c r="P133" s="26"/>
      <c r="Q133" s="50"/>
      <c r="R133" s="54">
        <f t="shared" si="14"/>
        <v>0</v>
      </c>
    </row>
    <row r="134" spans="2:18" x14ac:dyDescent="0.15">
      <c r="B134" s="73" t="s">
        <v>16</v>
      </c>
      <c r="C134" s="11"/>
      <c r="D134" s="26">
        <v>2</v>
      </c>
      <c r="E134" s="50">
        <v>1</v>
      </c>
      <c r="F134" s="54">
        <f t="shared" si="12"/>
        <v>3</v>
      </c>
      <c r="G134" s="87">
        <v>44635</v>
      </c>
      <c r="H134" s="10"/>
      <c r="I134" s="11"/>
      <c r="J134" s="26"/>
      <c r="K134" s="50"/>
      <c r="L134" s="54">
        <f t="shared" si="15"/>
        <v>0</v>
      </c>
      <c r="N134" s="10"/>
      <c r="O134" s="11"/>
      <c r="P134" s="26"/>
      <c r="Q134" s="50"/>
      <c r="R134" s="54">
        <f t="shared" si="14"/>
        <v>0</v>
      </c>
    </row>
    <row r="135" spans="2:18" x14ac:dyDescent="0.15">
      <c r="B135" s="73" t="s">
        <v>16</v>
      </c>
      <c r="C135" s="11"/>
      <c r="D135" s="26">
        <v>1</v>
      </c>
      <c r="E135" s="50">
        <v>1</v>
      </c>
      <c r="F135" s="54">
        <f t="shared" si="12"/>
        <v>2</v>
      </c>
      <c r="G135" s="87">
        <v>44638</v>
      </c>
      <c r="H135" s="10"/>
      <c r="I135" s="11"/>
      <c r="J135" s="26"/>
      <c r="K135" s="50"/>
      <c r="L135" s="54">
        <f t="shared" si="15"/>
        <v>0</v>
      </c>
      <c r="N135" s="10"/>
      <c r="O135" s="11"/>
      <c r="P135" s="26"/>
      <c r="Q135" s="50"/>
      <c r="R135" s="54">
        <f t="shared" si="14"/>
        <v>0</v>
      </c>
    </row>
    <row r="136" spans="2:18" x14ac:dyDescent="0.15">
      <c r="B136" s="73" t="s">
        <v>16</v>
      </c>
      <c r="C136" s="11"/>
      <c r="D136" s="26">
        <f>1+1</f>
        <v>2</v>
      </c>
      <c r="E136" s="50">
        <v>1</v>
      </c>
      <c r="F136" s="54">
        <f t="shared" si="12"/>
        <v>3</v>
      </c>
      <c r="G136" s="87">
        <v>44639</v>
      </c>
      <c r="H136" s="10"/>
      <c r="I136" s="11"/>
      <c r="J136" s="26"/>
      <c r="K136" s="50"/>
      <c r="L136" s="54">
        <f t="shared" si="15"/>
        <v>0</v>
      </c>
      <c r="N136" s="10"/>
      <c r="O136" s="11"/>
      <c r="P136" s="26"/>
      <c r="Q136" s="50"/>
      <c r="R136" s="54">
        <f t="shared" si="14"/>
        <v>0</v>
      </c>
    </row>
    <row r="137" spans="2:18" x14ac:dyDescent="0.15">
      <c r="B137" s="73" t="s">
        <v>16</v>
      </c>
      <c r="C137" s="11">
        <v>4</v>
      </c>
      <c r="D137" s="26">
        <v>3</v>
      </c>
      <c r="E137" s="50">
        <v>6</v>
      </c>
      <c r="F137" s="54">
        <f t="shared" si="12"/>
        <v>13</v>
      </c>
      <c r="G137" s="87">
        <v>44642</v>
      </c>
      <c r="H137" s="16"/>
      <c r="I137" s="11"/>
      <c r="J137" s="26"/>
      <c r="K137" s="50"/>
      <c r="L137" s="54">
        <f t="shared" si="15"/>
        <v>0</v>
      </c>
      <c r="N137" s="16"/>
      <c r="O137" s="11"/>
      <c r="P137" s="26"/>
      <c r="Q137" s="50"/>
      <c r="R137" s="54">
        <f t="shared" si="14"/>
        <v>0</v>
      </c>
    </row>
    <row r="138" spans="2:18" x14ac:dyDescent="0.15">
      <c r="B138" s="73" t="s">
        <v>16</v>
      </c>
      <c r="C138" s="11"/>
      <c r="D138" s="26">
        <v>2</v>
      </c>
      <c r="E138" s="50"/>
      <c r="F138" s="54">
        <f t="shared" si="12"/>
        <v>2</v>
      </c>
      <c r="G138" s="87">
        <v>44643</v>
      </c>
      <c r="H138" s="16"/>
      <c r="I138" s="11"/>
      <c r="J138" s="26"/>
      <c r="K138" s="50"/>
      <c r="L138" s="54">
        <f t="shared" si="15"/>
        <v>0</v>
      </c>
      <c r="N138" s="16"/>
      <c r="O138" s="11"/>
      <c r="P138" s="26"/>
      <c r="Q138" s="50"/>
      <c r="R138" s="54">
        <f t="shared" si="14"/>
        <v>0</v>
      </c>
    </row>
    <row r="139" spans="2:18" x14ac:dyDescent="0.15">
      <c r="B139" s="73" t="s">
        <v>16</v>
      </c>
      <c r="C139" s="11"/>
      <c r="D139" s="26"/>
      <c r="E139" s="50">
        <v>1</v>
      </c>
      <c r="F139" s="54">
        <f t="shared" si="12"/>
        <v>1</v>
      </c>
      <c r="G139" s="87">
        <v>44644</v>
      </c>
      <c r="H139" s="16"/>
      <c r="I139" s="11"/>
      <c r="J139" s="26"/>
      <c r="K139" s="50"/>
      <c r="L139" s="54">
        <f t="shared" si="15"/>
        <v>0</v>
      </c>
      <c r="N139" s="16"/>
      <c r="O139" s="11"/>
      <c r="P139" s="26"/>
      <c r="Q139" s="50"/>
      <c r="R139" s="54">
        <f t="shared" si="14"/>
        <v>0</v>
      </c>
    </row>
    <row r="140" spans="2:18" x14ac:dyDescent="0.15">
      <c r="B140" s="73" t="s">
        <v>16</v>
      </c>
      <c r="C140" s="11"/>
      <c r="D140" s="26">
        <v>1</v>
      </c>
      <c r="E140" s="50"/>
      <c r="F140" s="54">
        <f t="shared" si="12"/>
        <v>1</v>
      </c>
      <c r="G140" s="87">
        <v>44645</v>
      </c>
      <c r="H140" s="16"/>
      <c r="I140" s="11"/>
      <c r="J140" s="26"/>
      <c r="K140" s="50"/>
      <c r="L140" s="54">
        <f t="shared" si="15"/>
        <v>0</v>
      </c>
      <c r="N140" s="16"/>
      <c r="O140" s="11"/>
      <c r="P140" s="26"/>
      <c r="Q140" s="50"/>
      <c r="R140" s="54">
        <f t="shared" si="14"/>
        <v>0</v>
      </c>
    </row>
    <row r="141" spans="2:18" x14ac:dyDescent="0.15">
      <c r="B141" s="73" t="s">
        <v>16</v>
      </c>
      <c r="C141" s="11">
        <v>1</v>
      </c>
      <c r="D141" s="26">
        <f>1+2</f>
        <v>3</v>
      </c>
      <c r="E141" s="50">
        <f>2+2</f>
        <v>4</v>
      </c>
      <c r="F141" s="54">
        <f t="shared" si="12"/>
        <v>8</v>
      </c>
      <c r="G141" s="87">
        <v>44648</v>
      </c>
      <c r="H141" s="16"/>
      <c r="I141" s="11"/>
      <c r="J141" s="26"/>
      <c r="K141" s="50"/>
      <c r="L141" s="54">
        <f t="shared" si="15"/>
        <v>0</v>
      </c>
      <c r="N141" s="16"/>
      <c r="O141" s="11"/>
      <c r="P141" s="26"/>
      <c r="Q141" s="50"/>
      <c r="R141" s="54">
        <f t="shared" si="14"/>
        <v>0</v>
      </c>
    </row>
    <row r="142" spans="2:18" x14ac:dyDescent="0.15">
      <c r="B142" s="73" t="s">
        <v>16</v>
      </c>
      <c r="C142" s="11"/>
      <c r="D142" s="26"/>
      <c r="E142" s="50">
        <v>1</v>
      </c>
      <c r="F142" s="54">
        <f t="shared" si="12"/>
        <v>1</v>
      </c>
      <c r="G142" s="87">
        <v>44651</v>
      </c>
      <c r="H142" s="16"/>
      <c r="I142" s="11"/>
      <c r="J142" s="26"/>
      <c r="K142" s="50"/>
      <c r="L142" s="54">
        <f t="shared" si="15"/>
        <v>0</v>
      </c>
      <c r="N142" s="16"/>
      <c r="O142" s="11"/>
      <c r="P142" s="26"/>
      <c r="Q142" s="50"/>
      <c r="R142" s="54">
        <f t="shared" si="14"/>
        <v>0</v>
      </c>
    </row>
    <row r="143" spans="2:18" x14ac:dyDescent="0.15">
      <c r="B143" s="73" t="s">
        <v>16</v>
      </c>
      <c r="C143" s="11"/>
      <c r="D143" s="26">
        <v>1</v>
      </c>
      <c r="E143" s="50"/>
      <c r="F143" s="54">
        <f t="shared" si="12"/>
        <v>1</v>
      </c>
      <c r="G143" s="87">
        <v>44653</v>
      </c>
      <c r="H143" s="16"/>
      <c r="I143" s="11"/>
      <c r="J143" s="26"/>
      <c r="K143" s="50"/>
      <c r="L143" s="54">
        <f t="shared" si="15"/>
        <v>0</v>
      </c>
      <c r="N143" s="16"/>
      <c r="O143" s="11"/>
      <c r="P143" s="26"/>
      <c r="Q143" s="50"/>
      <c r="R143" s="54">
        <f t="shared" si="14"/>
        <v>0</v>
      </c>
    </row>
    <row r="144" spans="2:18" x14ac:dyDescent="0.15">
      <c r="B144" s="73" t="s">
        <v>16</v>
      </c>
      <c r="C144" s="11"/>
      <c r="D144" s="26">
        <v>1</v>
      </c>
      <c r="E144" s="50"/>
      <c r="F144" s="54">
        <f t="shared" si="12"/>
        <v>1</v>
      </c>
      <c r="G144" s="87">
        <v>44657</v>
      </c>
      <c r="H144" s="16"/>
      <c r="I144" s="11"/>
      <c r="J144" s="26"/>
      <c r="K144" s="50"/>
      <c r="L144" s="54">
        <f t="shared" si="15"/>
        <v>0</v>
      </c>
      <c r="N144" s="16"/>
      <c r="O144" s="11"/>
      <c r="P144" s="26"/>
      <c r="Q144" s="50"/>
      <c r="R144" s="54">
        <f t="shared" si="14"/>
        <v>0</v>
      </c>
    </row>
    <row r="145" spans="1:18" x14ac:dyDescent="0.15">
      <c r="B145" s="73" t="s">
        <v>16</v>
      </c>
      <c r="C145" s="11"/>
      <c r="D145" s="26">
        <v>1</v>
      </c>
      <c r="E145" s="50"/>
      <c r="F145" s="54">
        <f t="shared" si="12"/>
        <v>1</v>
      </c>
      <c r="G145" s="87">
        <v>44658</v>
      </c>
      <c r="H145" s="16"/>
      <c r="I145" s="11"/>
      <c r="J145" s="26"/>
      <c r="K145" s="50"/>
      <c r="L145" s="54">
        <f t="shared" si="15"/>
        <v>0</v>
      </c>
      <c r="M145" s="90"/>
      <c r="N145" s="4"/>
      <c r="O145" s="11"/>
      <c r="P145" s="26"/>
      <c r="Q145" s="50"/>
      <c r="R145" s="54">
        <f t="shared" si="14"/>
        <v>0</v>
      </c>
    </row>
    <row r="146" spans="1:18" x14ac:dyDescent="0.15">
      <c r="B146" s="73" t="s">
        <v>16</v>
      </c>
      <c r="C146" s="11"/>
      <c r="D146" s="26"/>
      <c r="E146" s="50">
        <v>1</v>
      </c>
      <c r="F146" s="54">
        <f t="shared" si="12"/>
        <v>1</v>
      </c>
      <c r="G146" s="87">
        <v>44659</v>
      </c>
      <c r="H146" s="70"/>
      <c r="I146" s="11"/>
      <c r="J146" s="26"/>
      <c r="K146" s="50"/>
      <c r="L146" s="54">
        <f t="shared" si="15"/>
        <v>0</v>
      </c>
      <c r="N146" s="4"/>
      <c r="O146" s="11"/>
      <c r="P146" s="26"/>
      <c r="Q146" s="50"/>
      <c r="R146" s="54">
        <f t="shared" si="14"/>
        <v>0</v>
      </c>
    </row>
    <row r="147" spans="1:18" x14ac:dyDescent="0.15">
      <c r="B147" s="73" t="s">
        <v>16</v>
      </c>
      <c r="C147" s="11">
        <v>3</v>
      </c>
      <c r="D147" s="26">
        <v>4</v>
      </c>
      <c r="E147" s="50">
        <v>2</v>
      </c>
      <c r="F147" s="54">
        <f t="shared" si="12"/>
        <v>9</v>
      </c>
      <c r="G147" s="87">
        <v>44662</v>
      </c>
      <c r="H147" s="70"/>
      <c r="I147" s="11"/>
      <c r="J147" s="26"/>
      <c r="K147" s="50"/>
      <c r="L147" s="54">
        <f t="shared" si="15"/>
        <v>0</v>
      </c>
      <c r="N147" s="4"/>
      <c r="O147" s="11"/>
      <c r="P147" s="26"/>
      <c r="Q147" s="50"/>
      <c r="R147" s="54">
        <f t="shared" si="14"/>
        <v>0</v>
      </c>
    </row>
    <row r="148" spans="1:18" ht="14.25" thickBot="1" x14ac:dyDescent="0.2">
      <c r="B148" s="73" t="s">
        <v>16</v>
      </c>
      <c r="C148" s="23">
        <v>1</v>
      </c>
      <c r="D148" s="37"/>
      <c r="E148" s="62"/>
      <c r="F148" s="63">
        <f t="shared" si="12"/>
        <v>1</v>
      </c>
      <c r="G148" s="87">
        <v>44663</v>
      </c>
      <c r="H148" s="22"/>
      <c r="I148" s="21"/>
      <c r="J148" s="32"/>
      <c r="K148" s="52"/>
      <c r="L148" s="57">
        <f t="shared" si="15"/>
        <v>0</v>
      </c>
      <c r="M148" s="87"/>
      <c r="N148" s="22"/>
      <c r="O148" s="21"/>
      <c r="P148" s="32"/>
      <c r="Q148" s="52"/>
      <c r="R148" s="57">
        <f t="shared" si="14"/>
        <v>0</v>
      </c>
    </row>
    <row r="149" spans="1:18" ht="14.25" thickBot="1" x14ac:dyDescent="0.2">
      <c r="B149" s="7" t="s">
        <v>2</v>
      </c>
      <c r="C149" s="40">
        <f>SUM(C124:C148)</f>
        <v>14</v>
      </c>
      <c r="D149" s="33">
        <f>SUM(D124:D148)</f>
        <v>26</v>
      </c>
      <c r="E149" s="27">
        <f>SUM(E124:E148)</f>
        <v>23</v>
      </c>
      <c r="F149" s="55">
        <f>SUM(F124:F148)</f>
        <v>63</v>
      </c>
      <c r="H149" s="7" t="s">
        <v>2</v>
      </c>
      <c r="I149" s="40">
        <f>SUM(I124:I148)</f>
        <v>10</v>
      </c>
      <c r="J149" s="33">
        <f>SUM(J124:J148)</f>
        <v>30</v>
      </c>
      <c r="K149" s="27">
        <f>SUM(K124:K148)</f>
        <v>30</v>
      </c>
      <c r="L149" s="55">
        <f>SUM(L124:L148)</f>
        <v>70</v>
      </c>
      <c r="N149" s="5" t="s">
        <v>2</v>
      </c>
      <c r="O149" s="46">
        <f>SUM(O124:O148)</f>
        <v>0</v>
      </c>
      <c r="P149" s="39">
        <f>SUM(P124:P148)</f>
        <v>0</v>
      </c>
      <c r="Q149" s="30">
        <f>SUM(Q124:Q148)</f>
        <v>0</v>
      </c>
      <c r="R149" s="58">
        <f>SUM(R124:R148)</f>
        <v>0</v>
      </c>
    </row>
    <row r="150" spans="1:18" ht="14.25" thickBot="1" x14ac:dyDescent="0.2">
      <c r="B150" s="35" t="s">
        <v>3</v>
      </c>
      <c r="C150" s="45">
        <f>C123-C149</f>
        <v>30</v>
      </c>
      <c r="D150" s="79">
        <f>D123-D149</f>
        <v>17</v>
      </c>
      <c r="E150" s="36">
        <f>E123-E149</f>
        <v>35</v>
      </c>
      <c r="F150" s="43">
        <f>SUM(C150:E150)</f>
        <v>82</v>
      </c>
      <c r="H150" s="35" t="s">
        <v>3</v>
      </c>
      <c r="I150" s="45">
        <f>I123-I149</f>
        <v>369</v>
      </c>
      <c r="J150" s="79">
        <f>J123-J149</f>
        <v>367</v>
      </c>
      <c r="K150" s="36">
        <f>K123-K149</f>
        <v>385</v>
      </c>
      <c r="L150" s="43">
        <f>SUM(I150:K150)</f>
        <v>1121</v>
      </c>
      <c r="N150" s="13" t="s">
        <v>3</v>
      </c>
      <c r="O150" s="47">
        <f>O123-O149</f>
        <v>0</v>
      </c>
      <c r="P150" s="34">
        <f>P123-P149</f>
        <v>0</v>
      </c>
      <c r="Q150" s="31">
        <f>Q123-Q149</f>
        <v>0</v>
      </c>
      <c r="R150" s="59">
        <f>SUM(O150:Q150)</f>
        <v>0</v>
      </c>
    </row>
    <row r="153" spans="1:18" ht="18.75" x14ac:dyDescent="0.2">
      <c r="B153" s="14" t="s">
        <v>7</v>
      </c>
      <c r="H153" s="14" t="s">
        <v>8</v>
      </c>
      <c r="N153" s="14" t="s">
        <v>20</v>
      </c>
    </row>
    <row r="154" spans="1:18" ht="14.25" thickBot="1" x14ac:dyDescent="0.2">
      <c r="H154" s="1"/>
      <c r="N154" s="1"/>
    </row>
    <row r="155" spans="1:18" ht="14.25" thickBot="1" x14ac:dyDescent="0.2">
      <c r="B155" s="6"/>
      <c r="C155" s="104"/>
      <c r="D155" s="105"/>
      <c r="E155" s="105"/>
      <c r="F155" s="106"/>
      <c r="H155" s="6"/>
      <c r="I155" s="101"/>
      <c r="J155" s="102"/>
      <c r="K155" s="102"/>
      <c r="L155" s="103"/>
      <c r="N155" s="6"/>
      <c r="O155" s="101"/>
      <c r="P155" s="102"/>
      <c r="Q155" s="102"/>
      <c r="R155" s="103"/>
    </row>
    <row r="156" spans="1:18" ht="14.25" thickBot="1" x14ac:dyDescent="0.2">
      <c r="A156" s="1"/>
      <c r="B156" s="7" t="s">
        <v>9</v>
      </c>
      <c r="C156" s="76" t="s">
        <v>10</v>
      </c>
      <c r="D156" s="77" t="s">
        <v>11</v>
      </c>
      <c r="E156" s="78" t="s">
        <v>12</v>
      </c>
      <c r="F156" s="53" t="s">
        <v>0</v>
      </c>
      <c r="H156" s="7" t="s">
        <v>9</v>
      </c>
      <c r="I156" s="76" t="s">
        <v>10</v>
      </c>
      <c r="J156" s="77" t="s">
        <v>11</v>
      </c>
      <c r="K156" s="78" t="s">
        <v>12</v>
      </c>
      <c r="L156" s="53" t="s">
        <v>0</v>
      </c>
      <c r="N156" s="7" t="s">
        <v>9</v>
      </c>
      <c r="O156" s="76" t="s">
        <v>10</v>
      </c>
      <c r="P156" s="77" t="s">
        <v>11</v>
      </c>
      <c r="Q156" s="78" t="s">
        <v>12</v>
      </c>
      <c r="R156" s="53" t="s">
        <v>0</v>
      </c>
    </row>
    <row r="157" spans="1:18" x14ac:dyDescent="0.15">
      <c r="B157" s="71" t="s">
        <v>3</v>
      </c>
      <c r="C157" s="46">
        <f>C150</f>
        <v>30</v>
      </c>
      <c r="D157" s="39">
        <f>D150</f>
        <v>17</v>
      </c>
      <c r="E157" s="68">
        <f>E150</f>
        <v>35</v>
      </c>
      <c r="F157" s="58">
        <f>SUM(C157:E157)</f>
        <v>82</v>
      </c>
      <c r="G157" s="87"/>
      <c r="H157" s="65" t="s">
        <v>3</v>
      </c>
      <c r="I157" s="46">
        <f>I150</f>
        <v>369</v>
      </c>
      <c r="J157" s="39">
        <f>J150</f>
        <v>367</v>
      </c>
      <c r="K157" s="68">
        <f>K150</f>
        <v>385</v>
      </c>
      <c r="L157" s="54">
        <f>SUM(I157:K157)</f>
        <v>1121</v>
      </c>
      <c r="M157" s="87"/>
      <c r="N157" s="65" t="s">
        <v>4</v>
      </c>
      <c r="O157" s="46">
        <f>O150</f>
        <v>0</v>
      </c>
      <c r="P157" s="39">
        <f>P150</f>
        <v>0</v>
      </c>
      <c r="Q157" s="68">
        <f>Q150</f>
        <v>0</v>
      </c>
      <c r="R157" s="54">
        <f>SUM(O157:Q157)</f>
        <v>0</v>
      </c>
    </row>
    <row r="158" spans="1:18" x14ac:dyDescent="0.15">
      <c r="B158" s="71" t="s">
        <v>4</v>
      </c>
      <c r="C158" s="11"/>
      <c r="D158" s="26"/>
      <c r="E158" s="50">
        <v>10</v>
      </c>
      <c r="F158" s="54">
        <f>SUM(C158:E158)</f>
        <v>10</v>
      </c>
      <c r="G158" s="87">
        <v>44683</v>
      </c>
      <c r="H158" s="15" t="s">
        <v>4</v>
      </c>
      <c r="I158" s="11"/>
      <c r="J158" s="26"/>
      <c r="K158" s="50"/>
      <c r="L158" s="54">
        <f>SUM(I158:K158)</f>
        <v>0</v>
      </c>
      <c r="M158" s="87"/>
      <c r="N158" s="15" t="s">
        <v>4</v>
      </c>
      <c r="O158" s="11"/>
      <c r="P158" s="26"/>
      <c r="Q158" s="50"/>
      <c r="R158" s="54">
        <f>SUM(O158:Q158)</f>
        <v>0</v>
      </c>
    </row>
    <row r="159" spans="1:18" x14ac:dyDescent="0.15">
      <c r="B159" s="71" t="s">
        <v>4</v>
      </c>
      <c r="C159" s="11"/>
      <c r="D159" s="26">
        <v>10</v>
      </c>
      <c r="E159" s="50"/>
      <c r="F159" s="54">
        <f>SUM(C159:E159)</f>
        <v>10</v>
      </c>
      <c r="G159" s="87">
        <v>44688</v>
      </c>
      <c r="H159" s="15" t="s">
        <v>4</v>
      </c>
      <c r="I159" s="11"/>
      <c r="J159" s="26"/>
      <c r="K159" s="50"/>
      <c r="L159" s="54">
        <f>SUM(I159:K159)</f>
        <v>0</v>
      </c>
      <c r="N159" s="15" t="s">
        <v>4</v>
      </c>
      <c r="O159" s="11"/>
      <c r="P159" s="26"/>
      <c r="Q159" s="50"/>
      <c r="R159" s="54">
        <f>SUM(O159:Q159)</f>
        <v>0</v>
      </c>
    </row>
    <row r="160" spans="1:18" ht="14.25" thickBot="1" x14ac:dyDescent="0.2">
      <c r="B160" s="71" t="s">
        <v>4</v>
      </c>
      <c r="C160" s="11"/>
      <c r="D160" s="26">
        <v>10</v>
      </c>
      <c r="E160" s="50"/>
      <c r="F160" s="54">
        <f>SUM(C160:E160)</f>
        <v>10</v>
      </c>
      <c r="G160" s="87">
        <v>44718</v>
      </c>
      <c r="H160" s="15" t="s">
        <v>4</v>
      </c>
      <c r="I160" s="11"/>
      <c r="J160" s="26"/>
      <c r="K160" s="50"/>
      <c r="L160" s="54">
        <f>SUM(I160:K160)</f>
        <v>0</v>
      </c>
      <c r="N160" s="15" t="s">
        <v>4</v>
      </c>
      <c r="O160" s="11"/>
      <c r="P160" s="26"/>
      <c r="Q160" s="50"/>
      <c r="R160" s="54">
        <f>SUM(O160:Q160)</f>
        <v>0</v>
      </c>
    </row>
    <row r="161" spans="2:18" ht="14.25" thickBot="1" x14ac:dyDescent="0.2">
      <c r="B161" s="72" t="s">
        <v>1</v>
      </c>
      <c r="C161" s="40">
        <f>SUM(C157:C160)</f>
        <v>30</v>
      </c>
      <c r="D161" s="33">
        <f>SUM(D157:D160)</f>
        <v>37</v>
      </c>
      <c r="E161" s="27">
        <f>SUM(E157:E160)</f>
        <v>45</v>
      </c>
      <c r="F161" s="55">
        <f>SUM(F157:F160)</f>
        <v>112</v>
      </c>
      <c r="H161" s="7" t="s">
        <v>1</v>
      </c>
      <c r="I161" s="40">
        <f>SUM(I157:I160)</f>
        <v>369</v>
      </c>
      <c r="J161" s="33">
        <f>SUM(J157:J160)</f>
        <v>367</v>
      </c>
      <c r="K161" s="27">
        <f>SUM(K157:K160)</f>
        <v>385</v>
      </c>
      <c r="L161" s="55">
        <f>SUM(L157:L160)</f>
        <v>1121</v>
      </c>
      <c r="N161" s="7" t="s">
        <v>1</v>
      </c>
      <c r="O161" s="40">
        <f>SUM(O157:O160)</f>
        <v>0</v>
      </c>
      <c r="P161" s="33">
        <f>SUM(P157:P160)</f>
        <v>0</v>
      </c>
      <c r="Q161" s="27">
        <f>SUM(Q157:Q160)</f>
        <v>0</v>
      </c>
      <c r="R161" s="55">
        <f>SUM(R157:R160)</f>
        <v>0</v>
      </c>
    </row>
    <row r="162" spans="2:18" x14ac:dyDescent="0.15">
      <c r="B162" s="73" t="s">
        <v>54</v>
      </c>
      <c r="C162" s="20"/>
      <c r="D162" s="28">
        <v>1</v>
      </c>
      <c r="E162" s="61">
        <v>1</v>
      </c>
      <c r="F162" s="42">
        <f>SUM(C162:E162)</f>
        <v>2</v>
      </c>
      <c r="G162" s="87">
        <v>44664</v>
      </c>
      <c r="H162" s="69" t="s">
        <v>55</v>
      </c>
      <c r="I162" s="11"/>
      <c r="J162" s="30"/>
      <c r="K162" s="49">
        <v>10</v>
      </c>
      <c r="L162" s="56">
        <f>SUM(I162:K162)</f>
        <v>10</v>
      </c>
      <c r="M162" s="87">
        <v>44683</v>
      </c>
      <c r="N162" s="16"/>
      <c r="O162" s="11"/>
      <c r="P162" s="30"/>
      <c r="Q162" s="49"/>
      <c r="R162" s="56">
        <f>SUM(O162:Q162)</f>
        <v>0</v>
      </c>
    </row>
    <row r="163" spans="2:18" x14ac:dyDescent="0.15">
      <c r="B163" s="73" t="s">
        <v>13</v>
      </c>
      <c r="C163" s="11">
        <v>3</v>
      </c>
      <c r="D163" s="26">
        <v>1</v>
      </c>
      <c r="E163" s="50">
        <f>1+1</f>
        <v>2</v>
      </c>
      <c r="F163" s="54">
        <f t="shared" ref="F163:F186" si="16">SUM(C163:E163)</f>
        <v>6</v>
      </c>
      <c r="G163" s="87">
        <v>44664</v>
      </c>
      <c r="H163" s="69" t="s">
        <v>6</v>
      </c>
      <c r="I163" s="11"/>
      <c r="J163" s="26">
        <v>10</v>
      </c>
      <c r="K163" s="50"/>
      <c r="L163" s="54">
        <f t="shared" ref="L163:L164" si="17">SUM(I163:K163)</f>
        <v>10</v>
      </c>
      <c r="M163" s="87">
        <v>44688</v>
      </c>
      <c r="N163" s="10"/>
      <c r="O163" s="11"/>
      <c r="P163" s="26"/>
      <c r="Q163" s="50"/>
      <c r="R163" s="54">
        <f t="shared" ref="R163:R186" si="18">SUM(O163:Q163)</f>
        <v>0</v>
      </c>
    </row>
    <row r="164" spans="2:18" x14ac:dyDescent="0.15">
      <c r="B164" s="73" t="s">
        <v>13</v>
      </c>
      <c r="C164" s="11">
        <v>1</v>
      </c>
      <c r="D164" s="26">
        <v>1</v>
      </c>
      <c r="E164" s="50"/>
      <c r="F164" s="54">
        <f t="shared" si="16"/>
        <v>2</v>
      </c>
      <c r="G164" s="87">
        <v>44667</v>
      </c>
      <c r="H164" s="69" t="s">
        <v>6</v>
      </c>
      <c r="I164" s="11"/>
      <c r="J164" s="26">
        <v>10</v>
      </c>
      <c r="K164" s="50"/>
      <c r="L164" s="54">
        <f t="shared" si="17"/>
        <v>10</v>
      </c>
      <c r="M164" s="87">
        <v>44718</v>
      </c>
      <c r="N164" s="10"/>
      <c r="O164" s="11"/>
      <c r="P164" s="26"/>
      <c r="Q164" s="50"/>
      <c r="R164" s="54">
        <f t="shared" si="18"/>
        <v>0</v>
      </c>
    </row>
    <row r="165" spans="2:18" x14ac:dyDescent="0.15">
      <c r="B165" s="73" t="s">
        <v>13</v>
      </c>
      <c r="C165" s="11">
        <v>2</v>
      </c>
      <c r="D165" s="26">
        <f>2+1+1</f>
        <v>4</v>
      </c>
      <c r="E165" s="50">
        <v>2</v>
      </c>
      <c r="F165" s="54">
        <f t="shared" si="16"/>
        <v>8</v>
      </c>
      <c r="G165" s="87">
        <v>44669</v>
      </c>
      <c r="H165" s="10"/>
      <c r="I165" s="11"/>
      <c r="J165" s="26"/>
      <c r="K165" s="50"/>
      <c r="L165" s="54">
        <f>SUM(I165:K165)</f>
        <v>0</v>
      </c>
      <c r="M165" s="87"/>
      <c r="N165" s="10"/>
      <c r="O165" s="11"/>
      <c r="P165" s="26"/>
      <c r="Q165" s="50"/>
      <c r="R165" s="54">
        <f t="shared" si="18"/>
        <v>0</v>
      </c>
    </row>
    <row r="166" spans="2:18" x14ac:dyDescent="0.15">
      <c r="B166" s="73" t="s">
        <v>13</v>
      </c>
      <c r="C166" s="11"/>
      <c r="D166" s="26"/>
      <c r="E166" s="50">
        <f>2+2+1</f>
        <v>5</v>
      </c>
      <c r="F166" s="54">
        <f t="shared" si="16"/>
        <v>5</v>
      </c>
      <c r="G166" s="87">
        <v>44676</v>
      </c>
      <c r="H166" s="73"/>
      <c r="I166" s="11"/>
      <c r="J166" s="26"/>
      <c r="K166" s="50"/>
      <c r="L166" s="54">
        <f t="shared" ref="L166:L186" si="19">SUM(I166:K166)</f>
        <v>0</v>
      </c>
      <c r="M166" s="87"/>
      <c r="N166" s="10"/>
      <c r="O166" s="11"/>
      <c r="P166" s="26"/>
      <c r="Q166" s="50"/>
      <c r="R166" s="54">
        <f t="shared" si="18"/>
        <v>0</v>
      </c>
    </row>
    <row r="167" spans="2:18" x14ac:dyDescent="0.15">
      <c r="B167" s="73" t="s">
        <v>13</v>
      </c>
      <c r="C167" s="11"/>
      <c r="D167" s="26">
        <v>1</v>
      </c>
      <c r="E167" s="50">
        <f>1+1</f>
        <v>2</v>
      </c>
      <c r="F167" s="54">
        <f t="shared" si="16"/>
        <v>3</v>
      </c>
      <c r="G167" s="87">
        <v>44678</v>
      </c>
      <c r="H167" s="73"/>
      <c r="I167" s="11"/>
      <c r="J167" s="26"/>
      <c r="K167" s="50"/>
      <c r="L167" s="54">
        <f t="shared" si="19"/>
        <v>0</v>
      </c>
      <c r="M167" s="87"/>
      <c r="N167" s="10"/>
      <c r="O167" s="11"/>
      <c r="P167" s="26"/>
      <c r="Q167" s="50"/>
      <c r="R167" s="54">
        <f t="shared" si="18"/>
        <v>0</v>
      </c>
    </row>
    <row r="168" spans="2:18" x14ac:dyDescent="0.15">
      <c r="B168" s="73" t="s">
        <v>13</v>
      </c>
      <c r="C168" s="11"/>
      <c r="D168" s="26"/>
      <c r="E168" s="50">
        <v>1</v>
      </c>
      <c r="F168" s="54">
        <f t="shared" si="16"/>
        <v>1</v>
      </c>
      <c r="G168" s="87">
        <v>44683</v>
      </c>
      <c r="H168" s="10"/>
      <c r="I168" s="11"/>
      <c r="J168" s="26"/>
      <c r="K168" s="50"/>
      <c r="L168" s="54">
        <f t="shared" si="19"/>
        <v>0</v>
      </c>
      <c r="N168" s="10"/>
      <c r="O168" s="11"/>
      <c r="P168" s="26"/>
      <c r="Q168" s="50"/>
      <c r="R168" s="54">
        <f t="shared" si="18"/>
        <v>0</v>
      </c>
    </row>
    <row r="169" spans="2:18" x14ac:dyDescent="0.15">
      <c r="B169" s="73" t="s">
        <v>13</v>
      </c>
      <c r="C169" s="11">
        <v>1</v>
      </c>
      <c r="D169" s="26">
        <v>1</v>
      </c>
      <c r="E169" s="50">
        <v>1</v>
      </c>
      <c r="F169" s="54">
        <f t="shared" si="16"/>
        <v>3</v>
      </c>
      <c r="G169" s="87">
        <v>44687</v>
      </c>
      <c r="H169" s="10"/>
      <c r="I169" s="11"/>
      <c r="J169" s="26"/>
      <c r="K169" s="50"/>
      <c r="L169" s="54">
        <f t="shared" si="19"/>
        <v>0</v>
      </c>
      <c r="N169" s="10"/>
      <c r="O169" s="11"/>
      <c r="P169" s="26"/>
      <c r="Q169" s="50"/>
      <c r="R169" s="54">
        <f t="shared" si="18"/>
        <v>0</v>
      </c>
    </row>
    <row r="170" spans="2:18" x14ac:dyDescent="0.15">
      <c r="B170" s="73" t="s">
        <v>13</v>
      </c>
      <c r="C170" s="11">
        <v>1</v>
      </c>
      <c r="D170" s="26"/>
      <c r="E170" s="50"/>
      <c r="F170" s="54">
        <f t="shared" si="16"/>
        <v>1</v>
      </c>
      <c r="G170" s="87">
        <v>44688</v>
      </c>
      <c r="H170" s="10"/>
      <c r="I170" s="11"/>
      <c r="J170" s="26"/>
      <c r="K170" s="50"/>
      <c r="L170" s="54">
        <f t="shared" si="19"/>
        <v>0</v>
      </c>
      <c r="N170" s="10"/>
      <c r="O170" s="11"/>
      <c r="P170" s="26"/>
      <c r="Q170" s="50"/>
      <c r="R170" s="54">
        <f t="shared" si="18"/>
        <v>0</v>
      </c>
    </row>
    <row r="171" spans="2:18" x14ac:dyDescent="0.15">
      <c r="B171" s="73" t="s">
        <v>13</v>
      </c>
      <c r="C171" s="11"/>
      <c r="D171" s="26"/>
      <c r="E171" s="50">
        <v>1</v>
      </c>
      <c r="F171" s="54">
        <f t="shared" si="16"/>
        <v>1</v>
      </c>
      <c r="G171" s="87">
        <v>44690</v>
      </c>
      <c r="H171" s="10"/>
      <c r="I171" s="11"/>
      <c r="J171" s="26"/>
      <c r="K171" s="50"/>
      <c r="L171" s="54">
        <f t="shared" si="19"/>
        <v>0</v>
      </c>
      <c r="N171" s="10"/>
      <c r="O171" s="11"/>
      <c r="P171" s="26"/>
      <c r="Q171" s="50"/>
      <c r="R171" s="54">
        <f t="shared" si="18"/>
        <v>0</v>
      </c>
    </row>
    <row r="172" spans="2:18" x14ac:dyDescent="0.15">
      <c r="B172" s="73" t="s">
        <v>13</v>
      </c>
      <c r="C172" s="11">
        <v>1</v>
      </c>
      <c r="D172" s="26"/>
      <c r="E172" s="50"/>
      <c r="F172" s="54">
        <f t="shared" si="16"/>
        <v>1</v>
      </c>
      <c r="G172" s="87">
        <v>44693</v>
      </c>
      <c r="H172" s="10"/>
      <c r="I172" s="11"/>
      <c r="J172" s="26"/>
      <c r="K172" s="50"/>
      <c r="L172" s="54">
        <f t="shared" si="19"/>
        <v>0</v>
      </c>
      <c r="N172" s="10"/>
      <c r="O172" s="11"/>
      <c r="P172" s="26"/>
      <c r="Q172" s="50"/>
      <c r="R172" s="54">
        <f t="shared" si="18"/>
        <v>0</v>
      </c>
    </row>
    <row r="173" spans="2:18" x14ac:dyDescent="0.15">
      <c r="B173" s="73" t="s">
        <v>13</v>
      </c>
      <c r="C173" s="11">
        <v>1</v>
      </c>
      <c r="D173" s="26">
        <v>1</v>
      </c>
      <c r="E173" s="50">
        <v>1</v>
      </c>
      <c r="F173" s="54">
        <f t="shared" si="16"/>
        <v>3</v>
      </c>
      <c r="G173" s="87">
        <v>44694</v>
      </c>
      <c r="H173" s="10"/>
      <c r="I173" s="11"/>
      <c r="J173" s="26"/>
      <c r="K173" s="50"/>
      <c r="L173" s="54">
        <f t="shared" si="19"/>
        <v>0</v>
      </c>
      <c r="N173" s="10"/>
      <c r="O173" s="11"/>
      <c r="P173" s="26"/>
      <c r="Q173" s="50"/>
      <c r="R173" s="54">
        <f t="shared" si="18"/>
        <v>0</v>
      </c>
    </row>
    <row r="174" spans="2:18" x14ac:dyDescent="0.15">
      <c r="B174" s="73" t="s">
        <v>13</v>
      </c>
      <c r="C174" s="11"/>
      <c r="D174" s="26">
        <v>1</v>
      </c>
      <c r="E174" s="50"/>
      <c r="F174" s="54">
        <f t="shared" si="16"/>
        <v>1</v>
      </c>
      <c r="G174" s="87">
        <v>44697</v>
      </c>
      <c r="H174" s="10"/>
      <c r="I174" s="11"/>
      <c r="J174" s="26"/>
      <c r="K174" s="50"/>
      <c r="L174" s="54">
        <f t="shared" si="19"/>
        <v>0</v>
      </c>
      <c r="N174" s="10"/>
      <c r="O174" s="11"/>
      <c r="P174" s="26"/>
      <c r="Q174" s="50"/>
      <c r="R174" s="54">
        <f t="shared" si="18"/>
        <v>0</v>
      </c>
    </row>
    <row r="175" spans="2:18" x14ac:dyDescent="0.15">
      <c r="B175" s="73" t="s">
        <v>13</v>
      </c>
      <c r="C175" s="11"/>
      <c r="D175" s="26"/>
      <c r="E175" s="50">
        <v>2</v>
      </c>
      <c r="F175" s="54">
        <f t="shared" si="16"/>
        <v>2</v>
      </c>
      <c r="G175" s="87">
        <v>44702</v>
      </c>
      <c r="H175" s="16"/>
      <c r="I175" s="11"/>
      <c r="J175" s="26"/>
      <c r="K175" s="50"/>
      <c r="L175" s="54">
        <f t="shared" si="19"/>
        <v>0</v>
      </c>
      <c r="N175" s="16"/>
      <c r="O175" s="11"/>
      <c r="P175" s="26"/>
      <c r="Q175" s="50"/>
      <c r="R175" s="54">
        <f t="shared" si="18"/>
        <v>0</v>
      </c>
    </row>
    <row r="176" spans="2:18" x14ac:dyDescent="0.15">
      <c r="B176" s="73" t="s">
        <v>13</v>
      </c>
      <c r="C176" s="11"/>
      <c r="D176" s="26"/>
      <c r="E176" s="50">
        <v>1</v>
      </c>
      <c r="F176" s="54">
        <f t="shared" si="16"/>
        <v>1</v>
      </c>
      <c r="G176" s="87">
        <v>44707</v>
      </c>
      <c r="H176" s="16"/>
      <c r="I176" s="11"/>
      <c r="J176" s="26"/>
      <c r="K176" s="50"/>
      <c r="L176" s="54">
        <f t="shared" si="19"/>
        <v>0</v>
      </c>
      <c r="N176" s="16"/>
      <c r="O176" s="11"/>
      <c r="P176" s="26"/>
      <c r="Q176" s="50"/>
      <c r="R176" s="54">
        <f t="shared" si="18"/>
        <v>0</v>
      </c>
    </row>
    <row r="177" spans="2:18" x14ac:dyDescent="0.15">
      <c r="B177" s="73" t="s">
        <v>13</v>
      </c>
      <c r="C177" s="11">
        <f>1+1</f>
        <v>2</v>
      </c>
      <c r="D177" s="26">
        <f>1+1</f>
        <v>2</v>
      </c>
      <c r="E177" s="50">
        <f>1+1</f>
        <v>2</v>
      </c>
      <c r="F177" s="54">
        <f t="shared" si="16"/>
        <v>6</v>
      </c>
      <c r="G177" s="87">
        <v>44708</v>
      </c>
      <c r="H177" s="16"/>
      <c r="I177" s="11"/>
      <c r="J177" s="26"/>
      <c r="K177" s="50"/>
      <c r="L177" s="54">
        <f t="shared" si="19"/>
        <v>0</v>
      </c>
      <c r="N177" s="16"/>
      <c r="O177" s="11"/>
      <c r="P177" s="26"/>
      <c r="Q177" s="50"/>
      <c r="R177" s="54">
        <f t="shared" si="18"/>
        <v>0</v>
      </c>
    </row>
    <row r="178" spans="2:18" x14ac:dyDescent="0.15">
      <c r="B178" s="73" t="s">
        <v>13</v>
      </c>
      <c r="C178" s="11"/>
      <c r="D178" s="26">
        <f>1+1</f>
        <v>2</v>
      </c>
      <c r="E178" s="50">
        <v>1</v>
      </c>
      <c r="F178" s="54">
        <f t="shared" si="16"/>
        <v>3</v>
      </c>
      <c r="G178" s="87">
        <v>44711</v>
      </c>
      <c r="H178" s="16"/>
      <c r="I178" s="11"/>
      <c r="J178" s="26"/>
      <c r="K178" s="50"/>
      <c r="L178" s="54">
        <f t="shared" si="19"/>
        <v>0</v>
      </c>
      <c r="N178" s="16"/>
      <c r="O178" s="11"/>
      <c r="P178" s="26"/>
      <c r="Q178" s="50"/>
      <c r="R178" s="54">
        <f t="shared" si="18"/>
        <v>0</v>
      </c>
    </row>
    <row r="179" spans="2:18" x14ac:dyDescent="0.15">
      <c r="B179" s="73" t="s">
        <v>13</v>
      </c>
      <c r="C179" s="11"/>
      <c r="D179" s="26">
        <v>1</v>
      </c>
      <c r="E179" s="50">
        <v>2</v>
      </c>
      <c r="F179" s="54">
        <f t="shared" si="16"/>
        <v>3</v>
      </c>
      <c r="G179" s="87">
        <v>44712</v>
      </c>
      <c r="H179" s="16"/>
      <c r="I179" s="11"/>
      <c r="J179" s="26"/>
      <c r="K179" s="50"/>
      <c r="L179" s="54">
        <f t="shared" si="19"/>
        <v>0</v>
      </c>
      <c r="N179" s="16"/>
      <c r="O179" s="11"/>
      <c r="P179" s="26"/>
      <c r="Q179" s="50"/>
      <c r="R179" s="54">
        <f t="shared" si="18"/>
        <v>0</v>
      </c>
    </row>
    <row r="180" spans="2:18" x14ac:dyDescent="0.15">
      <c r="B180" s="73" t="s">
        <v>13</v>
      </c>
      <c r="C180" s="11"/>
      <c r="D180" s="26">
        <v>3</v>
      </c>
      <c r="E180" s="50">
        <v>1</v>
      </c>
      <c r="F180" s="54">
        <f t="shared" si="16"/>
        <v>4</v>
      </c>
      <c r="G180" s="87">
        <v>44713</v>
      </c>
      <c r="H180" s="16"/>
      <c r="I180" s="11"/>
      <c r="J180" s="26"/>
      <c r="K180" s="50"/>
      <c r="L180" s="54">
        <f t="shared" si="19"/>
        <v>0</v>
      </c>
      <c r="N180" s="16"/>
      <c r="O180" s="11"/>
      <c r="P180" s="26"/>
      <c r="Q180" s="50"/>
      <c r="R180" s="54">
        <f t="shared" si="18"/>
        <v>0</v>
      </c>
    </row>
    <row r="181" spans="2:18" x14ac:dyDescent="0.15">
      <c r="B181" s="73" t="s">
        <v>13</v>
      </c>
      <c r="C181" s="11">
        <f>2+1+1</f>
        <v>4</v>
      </c>
      <c r="D181" s="26">
        <f>1+1</f>
        <v>2</v>
      </c>
      <c r="E181" s="50"/>
      <c r="F181" s="54">
        <f t="shared" si="16"/>
        <v>6</v>
      </c>
      <c r="G181" s="87">
        <v>44718</v>
      </c>
      <c r="H181" s="16"/>
      <c r="I181" s="11"/>
      <c r="J181" s="26"/>
      <c r="K181" s="50"/>
      <c r="L181" s="54">
        <f t="shared" si="19"/>
        <v>0</v>
      </c>
      <c r="N181" s="16"/>
      <c r="O181" s="11"/>
      <c r="P181" s="26"/>
      <c r="Q181" s="50"/>
      <c r="R181" s="54">
        <f t="shared" si="18"/>
        <v>0</v>
      </c>
    </row>
    <row r="182" spans="2:18" x14ac:dyDescent="0.15">
      <c r="B182" s="73" t="s">
        <v>13</v>
      </c>
      <c r="C182" s="11">
        <f>1+1</f>
        <v>2</v>
      </c>
      <c r="D182" s="26">
        <f>3+1</f>
        <v>4</v>
      </c>
      <c r="E182" s="50"/>
      <c r="F182" s="54">
        <f t="shared" si="16"/>
        <v>6</v>
      </c>
      <c r="G182" s="87">
        <v>44720</v>
      </c>
      <c r="H182" s="16"/>
      <c r="I182" s="11"/>
      <c r="J182" s="26"/>
      <c r="K182" s="50"/>
      <c r="L182" s="54">
        <f t="shared" si="19"/>
        <v>0</v>
      </c>
      <c r="N182" s="16"/>
      <c r="O182" s="11"/>
      <c r="P182" s="26"/>
      <c r="Q182" s="50"/>
      <c r="R182" s="54">
        <f t="shared" si="18"/>
        <v>0</v>
      </c>
    </row>
    <row r="183" spans="2:18" x14ac:dyDescent="0.15">
      <c r="B183" s="73" t="s">
        <v>13</v>
      </c>
      <c r="C183" s="11"/>
      <c r="D183" s="26">
        <v>1</v>
      </c>
      <c r="E183" s="50">
        <v>1</v>
      </c>
      <c r="F183" s="54">
        <f t="shared" si="16"/>
        <v>2</v>
      </c>
      <c r="G183" s="87">
        <v>44721</v>
      </c>
      <c r="H183" s="16"/>
      <c r="I183" s="11"/>
      <c r="J183" s="26"/>
      <c r="K183" s="50"/>
      <c r="L183" s="54">
        <f t="shared" si="19"/>
        <v>0</v>
      </c>
      <c r="M183" s="90"/>
      <c r="N183" s="4"/>
      <c r="O183" s="11"/>
      <c r="P183" s="26"/>
      <c r="Q183" s="50"/>
      <c r="R183" s="54">
        <f t="shared" si="18"/>
        <v>0</v>
      </c>
    </row>
    <row r="184" spans="2:18" x14ac:dyDescent="0.15">
      <c r="B184" s="73" t="s">
        <v>13</v>
      </c>
      <c r="C184" s="11"/>
      <c r="D184" s="26"/>
      <c r="E184" s="50">
        <v>1</v>
      </c>
      <c r="F184" s="54">
        <f t="shared" si="16"/>
        <v>1</v>
      </c>
      <c r="G184" s="87">
        <v>44722</v>
      </c>
      <c r="H184" s="70"/>
      <c r="I184" s="11"/>
      <c r="J184" s="26"/>
      <c r="K184" s="50"/>
      <c r="L184" s="54">
        <f t="shared" si="19"/>
        <v>0</v>
      </c>
      <c r="N184" s="4"/>
      <c r="O184" s="11"/>
      <c r="P184" s="26"/>
      <c r="Q184" s="50"/>
      <c r="R184" s="54">
        <f t="shared" si="18"/>
        <v>0</v>
      </c>
    </row>
    <row r="185" spans="2:18" x14ac:dyDescent="0.15">
      <c r="B185" s="73" t="s">
        <v>13</v>
      </c>
      <c r="C185" s="11">
        <v>1</v>
      </c>
      <c r="D185" s="26">
        <v>1</v>
      </c>
      <c r="E185" s="50">
        <f>1+1</f>
        <v>2</v>
      </c>
      <c r="F185" s="54">
        <f t="shared" si="16"/>
        <v>4</v>
      </c>
      <c r="G185" s="87">
        <v>44725</v>
      </c>
      <c r="H185" s="70"/>
      <c r="I185" s="11"/>
      <c r="J185" s="26"/>
      <c r="K185" s="50"/>
      <c r="L185" s="54">
        <f t="shared" si="19"/>
        <v>0</v>
      </c>
      <c r="N185" s="4"/>
      <c r="O185" s="11"/>
      <c r="P185" s="26"/>
      <c r="Q185" s="50"/>
      <c r="R185" s="54">
        <f t="shared" si="18"/>
        <v>0</v>
      </c>
    </row>
    <row r="186" spans="2:18" ht="14.25" thickBot="1" x14ac:dyDescent="0.2">
      <c r="B186" s="73" t="s">
        <v>13</v>
      </c>
      <c r="C186" s="23"/>
      <c r="D186" s="37">
        <v>1</v>
      </c>
      <c r="E186" s="62"/>
      <c r="F186" s="63">
        <f t="shared" si="16"/>
        <v>1</v>
      </c>
      <c r="G186" s="87">
        <v>44733</v>
      </c>
      <c r="H186" s="22"/>
      <c r="I186" s="21"/>
      <c r="J186" s="32"/>
      <c r="K186" s="52"/>
      <c r="L186" s="57">
        <f t="shared" si="19"/>
        <v>0</v>
      </c>
      <c r="M186" s="87"/>
      <c r="N186" s="22"/>
      <c r="O186" s="21"/>
      <c r="P186" s="32"/>
      <c r="Q186" s="52"/>
      <c r="R186" s="57">
        <f t="shared" si="18"/>
        <v>0</v>
      </c>
    </row>
    <row r="187" spans="2:18" ht="14.25" thickBot="1" x14ac:dyDescent="0.2">
      <c r="B187" s="7" t="s">
        <v>2</v>
      </c>
      <c r="C187" s="40">
        <f>SUM(C162:C186)</f>
        <v>19</v>
      </c>
      <c r="D187" s="33">
        <f>SUM(D162:D186)</f>
        <v>28</v>
      </c>
      <c r="E187" s="27">
        <f>SUM(E162:E186)</f>
        <v>29</v>
      </c>
      <c r="F187" s="55">
        <f>SUM(F162:F186)</f>
        <v>76</v>
      </c>
      <c r="H187" s="7" t="s">
        <v>2</v>
      </c>
      <c r="I187" s="40">
        <f>SUM(I162:I186)</f>
        <v>0</v>
      </c>
      <c r="J187" s="33">
        <f>SUM(J162:J186)</f>
        <v>20</v>
      </c>
      <c r="K187" s="27">
        <f>SUM(K162:K186)</f>
        <v>10</v>
      </c>
      <c r="L187" s="55">
        <f>SUM(L162:L186)</f>
        <v>30</v>
      </c>
      <c r="N187" s="5" t="s">
        <v>2</v>
      </c>
      <c r="O187" s="46">
        <f>SUM(O162:O186)</f>
        <v>0</v>
      </c>
      <c r="P187" s="39">
        <f>SUM(P162:P186)</f>
        <v>0</v>
      </c>
      <c r="Q187" s="30">
        <f>SUM(Q162:Q186)</f>
        <v>0</v>
      </c>
      <c r="R187" s="58">
        <f>SUM(R162:R186)</f>
        <v>0</v>
      </c>
    </row>
    <row r="188" spans="2:18" ht="14.25" thickBot="1" x14ac:dyDescent="0.2">
      <c r="B188" s="35" t="s">
        <v>3</v>
      </c>
      <c r="C188" s="45">
        <f>C161-C187</f>
        <v>11</v>
      </c>
      <c r="D188" s="79">
        <f>D161-D187</f>
        <v>9</v>
      </c>
      <c r="E188" s="36">
        <f>E161-E187</f>
        <v>16</v>
      </c>
      <c r="F188" s="43">
        <f>SUM(C188:E188)</f>
        <v>36</v>
      </c>
      <c r="H188" s="35" t="s">
        <v>3</v>
      </c>
      <c r="I188" s="45">
        <f>I161-I187</f>
        <v>369</v>
      </c>
      <c r="J188" s="79">
        <f>J161-J187</f>
        <v>347</v>
      </c>
      <c r="K188" s="36">
        <f>K161-K187</f>
        <v>375</v>
      </c>
      <c r="L188" s="43">
        <f>SUM(I188:K188)</f>
        <v>1091</v>
      </c>
      <c r="N188" s="13" t="s">
        <v>3</v>
      </c>
      <c r="O188" s="47">
        <f>O161-O187</f>
        <v>0</v>
      </c>
      <c r="P188" s="34">
        <f>P161-P187</f>
        <v>0</v>
      </c>
      <c r="Q188" s="31">
        <f>Q161-Q187</f>
        <v>0</v>
      </c>
      <c r="R188" s="59">
        <f>SUM(O188:Q188)</f>
        <v>0</v>
      </c>
    </row>
    <row r="191" spans="2:18" ht="18.75" x14ac:dyDescent="0.2">
      <c r="B191" s="14" t="s">
        <v>7</v>
      </c>
      <c r="H191" s="14" t="s">
        <v>8</v>
      </c>
    </row>
    <row r="192" spans="2:18" ht="14.25" thickBot="1" x14ac:dyDescent="0.2">
      <c r="H192" s="1"/>
    </row>
    <row r="193" spans="1:13" ht="14.25" thickBot="1" x14ac:dyDescent="0.2">
      <c r="B193" s="6"/>
      <c r="C193" s="104"/>
      <c r="D193" s="105"/>
      <c r="E193" s="105"/>
      <c r="F193" s="106"/>
      <c r="H193" s="6"/>
      <c r="I193" s="101"/>
      <c r="J193" s="102"/>
      <c r="K193" s="102"/>
      <c r="L193" s="103"/>
    </row>
    <row r="194" spans="1:13" ht="14.25" thickBot="1" x14ac:dyDescent="0.2">
      <c r="A194" s="1"/>
      <c r="B194" s="7" t="s">
        <v>9</v>
      </c>
      <c r="C194" s="76" t="s">
        <v>10</v>
      </c>
      <c r="D194" s="77" t="s">
        <v>11</v>
      </c>
      <c r="E194" s="78" t="s">
        <v>12</v>
      </c>
      <c r="F194" s="53" t="s">
        <v>0</v>
      </c>
      <c r="H194" s="7" t="s">
        <v>9</v>
      </c>
      <c r="I194" s="76" t="s">
        <v>10</v>
      </c>
      <c r="J194" s="77" t="s">
        <v>11</v>
      </c>
      <c r="K194" s="78" t="s">
        <v>12</v>
      </c>
      <c r="L194" s="53" t="s">
        <v>0</v>
      </c>
    </row>
    <row r="195" spans="1:13" x14ac:dyDescent="0.15">
      <c r="B195" s="71" t="s">
        <v>3</v>
      </c>
      <c r="C195" s="46">
        <f>C188</f>
        <v>11</v>
      </c>
      <c r="D195" s="39">
        <f>D188</f>
        <v>9</v>
      </c>
      <c r="E195" s="68">
        <f>E188</f>
        <v>16</v>
      </c>
      <c r="F195" s="58">
        <f>SUM(C195:E195)</f>
        <v>36</v>
      </c>
      <c r="G195" s="87"/>
      <c r="H195" s="65" t="s">
        <v>3</v>
      </c>
      <c r="I195" s="46">
        <f>I188</f>
        <v>369</v>
      </c>
      <c r="J195" s="39">
        <f>J188</f>
        <v>347</v>
      </c>
      <c r="K195" s="68">
        <f>K188</f>
        <v>375</v>
      </c>
      <c r="L195" s="54">
        <f>SUM(I195:K195)</f>
        <v>1091</v>
      </c>
      <c r="M195" s="87"/>
    </row>
    <row r="196" spans="1:13" x14ac:dyDescent="0.15">
      <c r="B196" s="71" t="s">
        <v>4</v>
      </c>
      <c r="C196" s="11">
        <v>10</v>
      </c>
      <c r="D196" s="26">
        <v>10</v>
      </c>
      <c r="E196" s="50"/>
      <c r="F196" s="54">
        <f>SUM(C196:E196)</f>
        <v>20</v>
      </c>
      <c r="G196" s="87">
        <v>44739</v>
      </c>
      <c r="H196" s="15" t="s">
        <v>4</v>
      </c>
      <c r="I196" s="11"/>
      <c r="J196" s="26"/>
      <c r="K196" s="50"/>
      <c r="L196" s="54">
        <f>SUM(I196:K196)</f>
        <v>0</v>
      </c>
      <c r="M196" s="87"/>
    </row>
    <row r="197" spans="1:13" x14ac:dyDescent="0.15">
      <c r="B197" s="71" t="s">
        <v>4</v>
      </c>
      <c r="C197" s="11"/>
      <c r="D197" s="26"/>
      <c r="E197" s="50">
        <v>10</v>
      </c>
      <c r="F197" s="54">
        <f>SUM(C197:E197)</f>
        <v>10</v>
      </c>
      <c r="G197" s="87">
        <v>44749</v>
      </c>
      <c r="H197" s="15" t="s">
        <v>4</v>
      </c>
      <c r="I197" s="11"/>
      <c r="J197" s="26"/>
      <c r="K197" s="50"/>
      <c r="L197" s="54">
        <f>SUM(I197:K197)</f>
        <v>0</v>
      </c>
    </row>
    <row r="198" spans="1:13" ht="14.25" thickBot="1" x14ac:dyDescent="0.2">
      <c r="B198" s="71" t="s">
        <v>4</v>
      </c>
      <c r="C198" s="11">
        <v>10</v>
      </c>
      <c r="D198" s="26">
        <v>5</v>
      </c>
      <c r="E198" s="50">
        <v>5</v>
      </c>
      <c r="F198" s="54">
        <f>SUM(C198:E198)</f>
        <v>20</v>
      </c>
      <c r="G198" s="87">
        <v>44783</v>
      </c>
      <c r="H198" s="15" t="s">
        <v>4</v>
      </c>
      <c r="I198" s="11"/>
      <c r="J198" s="26"/>
      <c r="K198" s="50"/>
      <c r="L198" s="54">
        <f>SUM(I198:K198)</f>
        <v>0</v>
      </c>
    </row>
    <row r="199" spans="1:13" ht="14.25" thickBot="1" x14ac:dyDescent="0.2">
      <c r="B199" s="72" t="s">
        <v>1</v>
      </c>
      <c r="C199" s="40">
        <f>SUM(C195:C198)</f>
        <v>31</v>
      </c>
      <c r="D199" s="33">
        <f>SUM(D195:D198)</f>
        <v>24</v>
      </c>
      <c r="E199" s="27">
        <f>SUM(E195:E198)</f>
        <v>31</v>
      </c>
      <c r="F199" s="55">
        <f>SUM(F195:F198)</f>
        <v>86</v>
      </c>
      <c r="H199" s="7" t="s">
        <v>1</v>
      </c>
      <c r="I199" s="40">
        <f>SUM(I195:I198)</f>
        <v>369</v>
      </c>
      <c r="J199" s="33">
        <f>SUM(J195:J198)</f>
        <v>347</v>
      </c>
      <c r="K199" s="27">
        <f>SUM(K195:K198)</f>
        <v>375</v>
      </c>
      <c r="L199" s="55">
        <f>SUM(L195:L198)</f>
        <v>1091</v>
      </c>
    </row>
    <row r="200" spans="1:13" x14ac:dyDescent="0.15">
      <c r="B200" s="73" t="s">
        <v>13</v>
      </c>
      <c r="C200" s="20">
        <v>1</v>
      </c>
      <c r="D200" s="28"/>
      <c r="E200" s="61"/>
      <c r="F200" s="42">
        <f>SUM(C200:E200)</f>
        <v>1</v>
      </c>
      <c r="G200" s="87">
        <v>44734</v>
      </c>
      <c r="H200" s="69" t="s">
        <v>56</v>
      </c>
      <c r="I200" s="11">
        <v>10</v>
      </c>
      <c r="J200" s="30">
        <v>10</v>
      </c>
      <c r="K200" s="49"/>
      <c r="L200" s="56">
        <f>SUM(I200:K200)</f>
        <v>20</v>
      </c>
      <c r="M200" s="87">
        <v>44739</v>
      </c>
    </row>
    <row r="201" spans="1:13" x14ac:dyDescent="0.15">
      <c r="B201" s="73" t="s">
        <v>13</v>
      </c>
      <c r="C201" s="11"/>
      <c r="D201" s="26"/>
      <c r="E201" s="50">
        <f>1+1</f>
        <v>2</v>
      </c>
      <c r="F201" s="54">
        <f t="shared" ref="F201:F224" si="20">SUM(C201:E201)</f>
        <v>2</v>
      </c>
      <c r="G201" s="87">
        <v>44735</v>
      </c>
      <c r="H201" s="69" t="s">
        <v>6</v>
      </c>
      <c r="I201" s="11"/>
      <c r="J201" s="26"/>
      <c r="K201" s="50">
        <v>10</v>
      </c>
      <c r="L201" s="54">
        <f t="shared" ref="L201" si="21">SUM(I201:K201)</f>
        <v>10</v>
      </c>
      <c r="M201" s="87">
        <v>44749</v>
      </c>
    </row>
    <row r="202" spans="1:13" x14ac:dyDescent="0.15">
      <c r="B202" s="73" t="s">
        <v>13</v>
      </c>
      <c r="C202" s="11">
        <v>1</v>
      </c>
      <c r="D202" s="26">
        <v>1</v>
      </c>
      <c r="E202" s="50">
        <f>2+1</f>
        <v>3</v>
      </c>
      <c r="F202" s="54">
        <f t="shared" si="20"/>
        <v>5</v>
      </c>
      <c r="G202" s="87">
        <v>44739</v>
      </c>
      <c r="H202" s="69" t="s">
        <v>6</v>
      </c>
      <c r="I202" s="11">
        <v>10</v>
      </c>
      <c r="J202" s="26">
        <v>5</v>
      </c>
      <c r="K202" s="50">
        <v>5</v>
      </c>
      <c r="L202" s="54">
        <f>SUM(I202:K202)</f>
        <v>20</v>
      </c>
      <c r="M202" s="87">
        <v>44783</v>
      </c>
    </row>
    <row r="203" spans="1:13" x14ac:dyDescent="0.15">
      <c r="B203" s="73" t="s">
        <v>13</v>
      </c>
      <c r="C203" s="11"/>
      <c r="D203" s="26"/>
      <c r="E203" s="50">
        <v>1</v>
      </c>
      <c r="F203" s="54">
        <f t="shared" si="20"/>
        <v>1</v>
      </c>
      <c r="G203" s="87">
        <v>44740</v>
      </c>
      <c r="H203" s="10"/>
      <c r="I203" s="11"/>
      <c r="J203" s="26"/>
      <c r="K203" s="50"/>
      <c r="L203" s="54">
        <f>SUM(I203:K203)</f>
        <v>0</v>
      </c>
      <c r="M203" s="87"/>
    </row>
    <row r="204" spans="1:13" x14ac:dyDescent="0.15">
      <c r="B204" s="73" t="s">
        <v>13</v>
      </c>
      <c r="C204" s="11">
        <v>1</v>
      </c>
      <c r="D204" s="26"/>
      <c r="E204" s="50">
        <v>1</v>
      </c>
      <c r="F204" s="54">
        <f t="shared" si="20"/>
        <v>2</v>
      </c>
      <c r="G204" s="87">
        <v>44742</v>
      </c>
      <c r="H204" s="73"/>
      <c r="I204" s="11"/>
      <c r="J204" s="26"/>
      <c r="K204" s="50"/>
      <c r="L204" s="54">
        <f t="shared" ref="L204:L224" si="22">SUM(I204:K204)</f>
        <v>0</v>
      </c>
      <c r="M204" s="87"/>
    </row>
    <row r="205" spans="1:13" x14ac:dyDescent="0.15">
      <c r="B205" s="73" t="s">
        <v>13</v>
      </c>
      <c r="C205" s="11"/>
      <c r="D205" s="26">
        <v>1</v>
      </c>
      <c r="E205" s="50"/>
      <c r="F205" s="54">
        <f t="shared" si="20"/>
        <v>1</v>
      </c>
      <c r="G205" s="87">
        <v>44744</v>
      </c>
      <c r="H205" s="73"/>
      <c r="I205" s="11"/>
      <c r="J205" s="26"/>
      <c r="K205" s="50"/>
      <c r="L205" s="54">
        <f t="shared" si="22"/>
        <v>0</v>
      </c>
      <c r="M205" s="87"/>
    </row>
    <row r="206" spans="1:13" x14ac:dyDescent="0.15">
      <c r="B206" s="73" t="s">
        <v>13</v>
      </c>
      <c r="C206" s="11">
        <f>1+1</f>
        <v>2</v>
      </c>
      <c r="D206" s="26">
        <v>1</v>
      </c>
      <c r="E206" s="50"/>
      <c r="F206" s="54">
        <f t="shared" si="20"/>
        <v>3</v>
      </c>
      <c r="G206" s="87">
        <v>44746</v>
      </c>
      <c r="H206" s="10"/>
      <c r="I206" s="11"/>
      <c r="J206" s="26"/>
      <c r="K206" s="50"/>
      <c r="L206" s="54">
        <f t="shared" si="22"/>
        <v>0</v>
      </c>
    </row>
    <row r="207" spans="1:13" x14ac:dyDescent="0.15">
      <c r="B207" s="73" t="s">
        <v>13</v>
      </c>
      <c r="C207" s="11"/>
      <c r="D207" s="26">
        <v>1</v>
      </c>
      <c r="E207" s="50"/>
      <c r="F207" s="54">
        <f t="shared" si="20"/>
        <v>1</v>
      </c>
      <c r="G207" s="87">
        <v>44747</v>
      </c>
      <c r="H207" s="10"/>
      <c r="I207" s="11"/>
      <c r="J207" s="26"/>
      <c r="K207" s="50"/>
      <c r="L207" s="54">
        <f t="shared" si="22"/>
        <v>0</v>
      </c>
    </row>
    <row r="208" spans="1:13" x14ac:dyDescent="0.15">
      <c r="B208" s="73" t="s">
        <v>13</v>
      </c>
      <c r="C208" s="11"/>
      <c r="D208" s="26">
        <v>1</v>
      </c>
      <c r="E208" s="50">
        <v>1</v>
      </c>
      <c r="F208" s="54">
        <f t="shared" si="20"/>
        <v>2</v>
      </c>
      <c r="G208" s="87">
        <v>44748</v>
      </c>
      <c r="H208" s="10"/>
      <c r="I208" s="11"/>
      <c r="J208" s="26"/>
      <c r="K208" s="50"/>
      <c r="L208" s="54">
        <f t="shared" si="22"/>
        <v>0</v>
      </c>
    </row>
    <row r="209" spans="2:13" x14ac:dyDescent="0.15">
      <c r="B209" s="73" t="s">
        <v>13</v>
      </c>
      <c r="C209" s="11">
        <v>1</v>
      </c>
      <c r="D209" s="26"/>
      <c r="E209" s="50"/>
      <c r="F209" s="54">
        <f t="shared" si="20"/>
        <v>1</v>
      </c>
      <c r="G209" s="87">
        <v>44753</v>
      </c>
      <c r="H209" s="10"/>
      <c r="I209" s="11"/>
      <c r="J209" s="26"/>
      <c r="K209" s="50"/>
      <c r="L209" s="54">
        <f t="shared" si="22"/>
        <v>0</v>
      </c>
    </row>
    <row r="210" spans="2:13" x14ac:dyDescent="0.15">
      <c r="B210" s="73" t="s">
        <v>13</v>
      </c>
      <c r="C210" s="11">
        <v>1</v>
      </c>
      <c r="D210" s="26"/>
      <c r="E210" s="50">
        <v>2</v>
      </c>
      <c r="F210" s="54">
        <f t="shared" si="20"/>
        <v>3</v>
      </c>
      <c r="G210" s="87">
        <v>44754</v>
      </c>
      <c r="H210" s="10"/>
      <c r="I210" s="11"/>
      <c r="J210" s="26"/>
      <c r="K210" s="50"/>
      <c r="L210" s="54">
        <f t="shared" si="22"/>
        <v>0</v>
      </c>
    </row>
    <row r="211" spans="2:13" x14ac:dyDescent="0.15">
      <c r="B211" s="73" t="s">
        <v>13</v>
      </c>
      <c r="C211" s="11"/>
      <c r="D211" s="26"/>
      <c r="E211" s="50">
        <v>1</v>
      </c>
      <c r="F211" s="54">
        <f t="shared" si="20"/>
        <v>1</v>
      </c>
      <c r="G211" s="87">
        <v>44761</v>
      </c>
      <c r="H211" s="10"/>
      <c r="I211" s="11"/>
      <c r="J211" s="26"/>
      <c r="K211" s="50"/>
      <c r="L211" s="54">
        <f t="shared" si="22"/>
        <v>0</v>
      </c>
    </row>
    <row r="212" spans="2:13" x14ac:dyDescent="0.15">
      <c r="B212" s="73" t="s">
        <v>13</v>
      </c>
      <c r="C212" s="11"/>
      <c r="D212" s="26">
        <v>1</v>
      </c>
      <c r="E212" s="50"/>
      <c r="F212" s="54">
        <f t="shared" si="20"/>
        <v>1</v>
      </c>
      <c r="G212" s="87">
        <v>44763</v>
      </c>
      <c r="H212" s="10"/>
      <c r="I212" s="11"/>
      <c r="J212" s="26"/>
      <c r="K212" s="50"/>
      <c r="L212" s="54">
        <f t="shared" si="22"/>
        <v>0</v>
      </c>
    </row>
    <row r="213" spans="2:13" x14ac:dyDescent="0.15">
      <c r="B213" s="73" t="s">
        <v>13</v>
      </c>
      <c r="C213" s="11">
        <v>1</v>
      </c>
      <c r="D213" s="26">
        <v>1</v>
      </c>
      <c r="E213" s="50"/>
      <c r="F213" s="54">
        <f t="shared" si="20"/>
        <v>2</v>
      </c>
      <c r="G213" s="87">
        <v>44767</v>
      </c>
      <c r="H213" s="16"/>
      <c r="I213" s="11"/>
      <c r="J213" s="26"/>
      <c r="K213" s="50"/>
      <c r="L213" s="54">
        <f t="shared" si="22"/>
        <v>0</v>
      </c>
    </row>
    <row r="214" spans="2:13" x14ac:dyDescent="0.15">
      <c r="B214" s="73" t="s">
        <v>13</v>
      </c>
      <c r="C214" s="11"/>
      <c r="D214" s="26"/>
      <c r="E214" s="50">
        <v>1</v>
      </c>
      <c r="F214" s="54">
        <f t="shared" si="20"/>
        <v>1</v>
      </c>
      <c r="G214" s="87">
        <v>44768</v>
      </c>
      <c r="H214" s="16"/>
      <c r="I214" s="11"/>
      <c r="J214" s="26"/>
      <c r="K214" s="50"/>
      <c r="L214" s="54">
        <f t="shared" si="22"/>
        <v>0</v>
      </c>
    </row>
    <row r="215" spans="2:13" x14ac:dyDescent="0.15">
      <c r="B215" s="73" t="s">
        <v>13</v>
      </c>
      <c r="C215" s="11">
        <v>1</v>
      </c>
      <c r="D215" s="26">
        <v>1</v>
      </c>
      <c r="E215" s="50"/>
      <c r="F215" s="54">
        <f t="shared" si="20"/>
        <v>2</v>
      </c>
      <c r="G215" s="87">
        <v>44770</v>
      </c>
      <c r="H215" s="16"/>
      <c r="I215" s="11"/>
      <c r="J215" s="26"/>
      <c r="K215" s="50"/>
      <c r="L215" s="54">
        <f t="shared" si="22"/>
        <v>0</v>
      </c>
    </row>
    <row r="216" spans="2:13" x14ac:dyDescent="0.15">
      <c r="B216" s="73" t="s">
        <v>13</v>
      </c>
      <c r="C216" s="11"/>
      <c r="D216" s="26">
        <v>1</v>
      </c>
      <c r="E216" s="50"/>
      <c r="F216" s="54">
        <f t="shared" si="20"/>
        <v>1</v>
      </c>
      <c r="G216" s="87">
        <v>44774</v>
      </c>
      <c r="H216" s="16"/>
      <c r="I216" s="11"/>
      <c r="J216" s="26"/>
      <c r="K216" s="50"/>
      <c r="L216" s="54">
        <f t="shared" si="22"/>
        <v>0</v>
      </c>
    </row>
    <row r="217" spans="2:13" x14ac:dyDescent="0.15">
      <c r="B217" s="73" t="s">
        <v>13</v>
      </c>
      <c r="C217" s="11">
        <v>1</v>
      </c>
      <c r="D217" s="26"/>
      <c r="E217" s="50"/>
      <c r="F217" s="54">
        <f t="shared" si="20"/>
        <v>1</v>
      </c>
      <c r="G217" s="87">
        <v>44778</v>
      </c>
      <c r="H217" s="16"/>
      <c r="I217" s="11"/>
      <c r="J217" s="26"/>
      <c r="K217" s="50"/>
      <c r="L217" s="54">
        <f t="shared" si="22"/>
        <v>0</v>
      </c>
    </row>
    <row r="218" spans="2:13" x14ac:dyDescent="0.15">
      <c r="B218" s="73" t="s">
        <v>13</v>
      </c>
      <c r="C218" s="11">
        <f>1+3</f>
        <v>4</v>
      </c>
      <c r="D218" s="26"/>
      <c r="E218" s="50"/>
      <c r="F218" s="54">
        <f t="shared" si="20"/>
        <v>4</v>
      </c>
      <c r="G218" s="87">
        <v>44781</v>
      </c>
      <c r="H218" s="16"/>
      <c r="I218" s="11"/>
      <c r="J218" s="26"/>
      <c r="K218" s="50"/>
      <c r="L218" s="54">
        <f t="shared" si="22"/>
        <v>0</v>
      </c>
    </row>
    <row r="219" spans="2:13" x14ac:dyDescent="0.15">
      <c r="B219" s="73" t="s">
        <v>13</v>
      </c>
      <c r="C219" s="11"/>
      <c r="D219" s="26"/>
      <c r="E219" s="50">
        <v>1</v>
      </c>
      <c r="F219" s="54">
        <f t="shared" si="20"/>
        <v>1</v>
      </c>
      <c r="G219" s="87">
        <v>44790</v>
      </c>
      <c r="H219" s="16"/>
      <c r="I219" s="11"/>
      <c r="J219" s="26"/>
      <c r="K219" s="50"/>
      <c r="L219" s="54">
        <f t="shared" si="22"/>
        <v>0</v>
      </c>
    </row>
    <row r="220" spans="2:13" x14ac:dyDescent="0.15">
      <c r="B220" s="73" t="s">
        <v>13</v>
      </c>
      <c r="C220" s="11"/>
      <c r="D220" s="26"/>
      <c r="E220" s="50">
        <v>1</v>
      </c>
      <c r="F220" s="54">
        <f t="shared" si="20"/>
        <v>1</v>
      </c>
      <c r="G220" s="87">
        <v>44798</v>
      </c>
      <c r="H220" s="16"/>
      <c r="I220" s="11"/>
      <c r="J220" s="26"/>
      <c r="K220" s="50"/>
      <c r="L220" s="54">
        <f t="shared" si="22"/>
        <v>0</v>
      </c>
    </row>
    <row r="221" spans="2:13" x14ac:dyDescent="0.15">
      <c r="B221" s="73"/>
      <c r="C221" s="11"/>
      <c r="D221" s="26"/>
      <c r="E221" s="50"/>
      <c r="F221" s="54">
        <f t="shared" si="20"/>
        <v>0</v>
      </c>
      <c r="G221" s="87"/>
      <c r="H221" s="16"/>
      <c r="I221" s="11"/>
      <c r="J221" s="26"/>
      <c r="K221" s="50"/>
      <c r="L221" s="54">
        <f t="shared" si="22"/>
        <v>0</v>
      </c>
      <c r="M221" s="90"/>
    </row>
    <row r="222" spans="2:13" x14ac:dyDescent="0.15">
      <c r="B222" s="73"/>
      <c r="C222" s="11"/>
      <c r="D222" s="26"/>
      <c r="E222" s="50"/>
      <c r="F222" s="54">
        <f t="shared" si="20"/>
        <v>0</v>
      </c>
      <c r="G222" s="87"/>
      <c r="H222" s="70" t="s">
        <v>51</v>
      </c>
      <c r="I222" s="11"/>
      <c r="J222" s="26"/>
      <c r="K222" s="50"/>
      <c r="L222" s="54">
        <f t="shared" si="22"/>
        <v>0</v>
      </c>
    </row>
    <row r="223" spans="2:13" x14ac:dyDescent="0.15">
      <c r="B223" s="73"/>
      <c r="C223" s="11"/>
      <c r="D223" s="26"/>
      <c r="E223" s="50"/>
      <c r="F223" s="54">
        <f t="shared" si="20"/>
        <v>0</v>
      </c>
      <c r="G223" s="87"/>
      <c r="H223" s="70" t="s">
        <v>50</v>
      </c>
      <c r="I223" s="11"/>
      <c r="J223" s="26"/>
      <c r="K223" s="50"/>
      <c r="L223" s="54">
        <f t="shared" si="22"/>
        <v>0</v>
      </c>
    </row>
    <row r="224" spans="2:13" ht="14.25" thickBot="1" x14ac:dyDescent="0.2">
      <c r="B224" s="71"/>
      <c r="C224" s="23"/>
      <c r="D224" s="37"/>
      <c r="E224" s="62"/>
      <c r="F224" s="63">
        <f t="shared" si="20"/>
        <v>0</v>
      </c>
      <c r="G224" s="87"/>
      <c r="H224" s="22" t="s">
        <v>49</v>
      </c>
      <c r="I224" s="21"/>
      <c r="J224" s="32"/>
      <c r="K224" s="52"/>
      <c r="L224" s="57">
        <f t="shared" si="22"/>
        <v>0</v>
      </c>
      <c r="M224" s="87"/>
    </row>
    <row r="225" spans="1:13" ht="14.25" thickBot="1" x14ac:dyDescent="0.2">
      <c r="B225" s="7" t="s">
        <v>2</v>
      </c>
      <c r="C225" s="40">
        <f>SUM(C200:C224)</f>
        <v>14</v>
      </c>
      <c r="D225" s="33">
        <f>SUM(D200:D224)</f>
        <v>9</v>
      </c>
      <c r="E225" s="27">
        <f>SUM(E200:E224)</f>
        <v>14</v>
      </c>
      <c r="F225" s="55">
        <f>SUM(F200:F224)</f>
        <v>37</v>
      </c>
      <c r="H225" s="7" t="s">
        <v>2</v>
      </c>
      <c r="I225" s="40">
        <f>SUM(I200:I224)</f>
        <v>20</v>
      </c>
      <c r="J225" s="33">
        <f>SUM(J200:J224)</f>
        <v>15</v>
      </c>
      <c r="K225" s="27">
        <f>SUM(K200:K224)</f>
        <v>15</v>
      </c>
      <c r="L225" s="55">
        <f>SUM(L200:L224)</f>
        <v>50</v>
      </c>
    </row>
    <row r="226" spans="1:13" ht="14.25" thickBot="1" x14ac:dyDescent="0.2">
      <c r="B226" s="35" t="s">
        <v>3</v>
      </c>
      <c r="C226" s="45">
        <f>C199-C225</f>
        <v>17</v>
      </c>
      <c r="D226" s="79">
        <f>D199-D225</f>
        <v>15</v>
      </c>
      <c r="E226" s="36">
        <f>E199-E225</f>
        <v>17</v>
      </c>
      <c r="F226" s="43">
        <f>SUM(C226:E226)</f>
        <v>49</v>
      </c>
      <c r="H226" s="35" t="s">
        <v>3</v>
      </c>
      <c r="I226" s="45">
        <f>I199-I225</f>
        <v>349</v>
      </c>
      <c r="J226" s="79">
        <f>J199-J225</f>
        <v>332</v>
      </c>
      <c r="K226" s="36">
        <f>K199-K225</f>
        <v>360</v>
      </c>
      <c r="L226" s="43">
        <f>SUM(I226:K226)</f>
        <v>1041</v>
      </c>
    </row>
    <row r="229" spans="1:13" ht="18.75" x14ac:dyDescent="0.2">
      <c r="B229" s="14" t="s">
        <v>7</v>
      </c>
      <c r="H229" s="14" t="s">
        <v>8</v>
      </c>
    </row>
    <row r="230" spans="1:13" ht="14.25" thickBot="1" x14ac:dyDescent="0.2">
      <c r="H230" s="1"/>
    </row>
    <row r="231" spans="1:13" ht="14.25" thickBot="1" x14ac:dyDescent="0.2">
      <c r="B231" s="6"/>
      <c r="C231" s="104"/>
      <c r="D231" s="105"/>
      <c r="E231" s="105"/>
      <c r="F231" s="106"/>
      <c r="H231" s="6"/>
      <c r="I231" s="101"/>
      <c r="J231" s="102"/>
      <c r="K231" s="102"/>
      <c r="L231" s="103"/>
    </row>
    <row r="232" spans="1:13" ht="14.25" thickBot="1" x14ac:dyDescent="0.2">
      <c r="A232" s="1"/>
      <c r="B232" s="7" t="s">
        <v>9</v>
      </c>
      <c r="C232" s="76" t="s">
        <v>10</v>
      </c>
      <c r="D232" s="77" t="s">
        <v>11</v>
      </c>
      <c r="E232" s="78" t="s">
        <v>12</v>
      </c>
      <c r="F232" s="53" t="s">
        <v>0</v>
      </c>
      <c r="H232" s="7" t="s">
        <v>9</v>
      </c>
      <c r="I232" s="76" t="s">
        <v>10</v>
      </c>
      <c r="J232" s="77" t="s">
        <v>11</v>
      </c>
      <c r="K232" s="78" t="s">
        <v>12</v>
      </c>
      <c r="L232" s="53" t="s">
        <v>0</v>
      </c>
    </row>
    <row r="233" spans="1:13" x14ac:dyDescent="0.15">
      <c r="B233" s="71" t="s">
        <v>3</v>
      </c>
      <c r="C233" s="46">
        <f>C226</f>
        <v>17</v>
      </c>
      <c r="D233" s="39">
        <f>D226</f>
        <v>15</v>
      </c>
      <c r="E233" s="68">
        <f>E226</f>
        <v>17</v>
      </c>
      <c r="F233" s="58">
        <f>SUM(C233:E233)</f>
        <v>49</v>
      </c>
      <c r="G233" s="87"/>
      <c r="H233" s="65" t="s">
        <v>3</v>
      </c>
      <c r="I233" s="46">
        <f>I226</f>
        <v>349</v>
      </c>
      <c r="J233" s="39">
        <f>J226</f>
        <v>332</v>
      </c>
      <c r="K233" s="68">
        <f>K226</f>
        <v>360</v>
      </c>
      <c r="L233" s="54">
        <f>SUM(I233:K233)</f>
        <v>1041</v>
      </c>
    </row>
    <row r="234" spans="1:13" x14ac:dyDescent="0.15">
      <c r="B234" s="80" t="s">
        <v>57</v>
      </c>
      <c r="C234" s="81">
        <v>0</v>
      </c>
      <c r="D234" s="82">
        <v>0</v>
      </c>
      <c r="E234" s="83">
        <v>0</v>
      </c>
      <c r="F234" s="84">
        <f>SUM(C234:E234)</f>
        <v>0</v>
      </c>
      <c r="G234" s="89">
        <v>44798</v>
      </c>
      <c r="H234" s="15" t="s">
        <v>4</v>
      </c>
      <c r="I234" s="11"/>
      <c r="J234" s="26"/>
      <c r="K234" s="50"/>
      <c r="L234" s="54">
        <f>SUM(I234:K234)</f>
        <v>0</v>
      </c>
    </row>
    <row r="235" spans="1:13" x14ac:dyDescent="0.15">
      <c r="B235" s="15" t="s">
        <v>58</v>
      </c>
      <c r="C235" s="23">
        <v>1</v>
      </c>
      <c r="D235" s="37">
        <v>1</v>
      </c>
      <c r="E235" s="62">
        <v>1</v>
      </c>
      <c r="F235" s="63">
        <f t="shared" ref="F235" si="23">SUM(C235:E235)</f>
        <v>3</v>
      </c>
      <c r="G235" s="87">
        <v>44809</v>
      </c>
      <c r="H235" s="15" t="s">
        <v>4</v>
      </c>
      <c r="I235" s="11"/>
      <c r="J235" s="26"/>
      <c r="K235" s="50"/>
      <c r="L235" s="54">
        <f>SUM(I235:K235)</f>
        <v>0</v>
      </c>
    </row>
    <row r="236" spans="1:13" ht="14.25" thickBot="1" x14ac:dyDescent="0.2">
      <c r="B236" s="71" t="s">
        <v>4</v>
      </c>
      <c r="C236" s="11"/>
      <c r="D236" s="26"/>
      <c r="E236" s="50">
        <v>10</v>
      </c>
      <c r="F236" s="54">
        <f>SUM(C236:E236)</f>
        <v>10</v>
      </c>
      <c r="G236" s="87">
        <v>44964</v>
      </c>
      <c r="H236" s="15" t="s">
        <v>4</v>
      </c>
      <c r="I236" s="11"/>
      <c r="J236" s="26"/>
      <c r="K236" s="50"/>
      <c r="L236" s="54">
        <f>SUM(I236:K236)</f>
        <v>0</v>
      </c>
    </row>
    <row r="237" spans="1:13" ht="14.25" thickBot="1" x14ac:dyDescent="0.2">
      <c r="B237" s="72" t="s">
        <v>1</v>
      </c>
      <c r="C237" s="40">
        <f>SUM(C233:C236)</f>
        <v>18</v>
      </c>
      <c r="D237" s="33">
        <f>SUM(D233:D236)</f>
        <v>16</v>
      </c>
      <c r="E237" s="27">
        <f>SUM(E233:E236)</f>
        <v>28</v>
      </c>
      <c r="F237" s="55">
        <f>SUM(F233:F236)</f>
        <v>62</v>
      </c>
      <c r="H237" s="7" t="s">
        <v>1</v>
      </c>
      <c r="I237" s="40">
        <f>SUM(I233:I236)</f>
        <v>349</v>
      </c>
      <c r="J237" s="33">
        <f>SUM(J233:J236)</f>
        <v>332</v>
      </c>
      <c r="K237" s="27">
        <f>SUM(K233:K236)</f>
        <v>360</v>
      </c>
      <c r="L237" s="55">
        <f>SUM(L233:L236)</f>
        <v>1041</v>
      </c>
    </row>
    <row r="238" spans="1:13" x14ac:dyDescent="0.15">
      <c r="B238" s="73" t="s">
        <v>13</v>
      </c>
      <c r="C238" s="20"/>
      <c r="D238" s="28"/>
      <c r="E238" s="61">
        <v>1</v>
      </c>
      <c r="F238" s="42">
        <f>SUM(C238:E238)</f>
        <v>1</v>
      </c>
      <c r="G238" s="87">
        <v>44802</v>
      </c>
      <c r="H238" s="69" t="s">
        <v>6</v>
      </c>
      <c r="I238" s="11"/>
      <c r="J238" s="30"/>
      <c r="K238" s="49">
        <v>10</v>
      </c>
      <c r="L238" s="56">
        <f>SUM(I238:K238)</f>
        <v>10</v>
      </c>
      <c r="M238" s="87">
        <v>44964</v>
      </c>
    </row>
    <row r="239" spans="1:13" x14ac:dyDescent="0.15">
      <c r="B239" s="73" t="s">
        <v>13</v>
      </c>
      <c r="C239" s="11"/>
      <c r="D239" s="26"/>
      <c r="E239" s="50">
        <v>1</v>
      </c>
      <c r="F239" s="54">
        <f t="shared" ref="F239:F262" si="24">SUM(C239:E239)</f>
        <v>1</v>
      </c>
      <c r="G239" s="87">
        <v>44838</v>
      </c>
      <c r="H239" s="69"/>
      <c r="I239" s="11"/>
      <c r="J239" s="26"/>
      <c r="K239" s="50"/>
      <c r="L239" s="54">
        <f t="shared" ref="L239" si="25">SUM(I239:K239)</f>
        <v>0</v>
      </c>
    </row>
    <row r="240" spans="1:13" x14ac:dyDescent="0.15">
      <c r="B240" s="73" t="s">
        <v>13</v>
      </c>
      <c r="C240" s="11"/>
      <c r="D240" s="26"/>
      <c r="E240" s="50">
        <v>1</v>
      </c>
      <c r="F240" s="54">
        <f t="shared" si="24"/>
        <v>1</v>
      </c>
      <c r="G240" s="87">
        <v>44839</v>
      </c>
      <c r="H240" s="69"/>
      <c r="I240" s="11"/>
      <c r="J240" s="26"/>
      <c r="K240" s="50"/>
      <c r="L240" s="54">
        <f>SUM(I240:K240)</f>
        <v>0</v>
      </c>
    </row>
    <row r="241" spans="2:12" x14ac:dyDescent="0.15">
      <c r="B241" s="73" t="s">
        <v>13</v>
      </c>
      <c r="C241" s="11"/>
      <c r="D241" s="26">
        <f>1+1</f>
        <v>2</v>
      </c>
      <c r="E241" s="50">
        <v>1</v>
      </c>
      <c r="F241" s="54">
        <f t="shared" si="24"/>
        <v>3</v>
      </c>
      <c r="G241" s="87">
        <v>44845</v>
      </c>
      <c r="H241" s="10"/>
      <c r="I241" s="11"/>
      <c r="J241" s="26"/>
      <c r="K241" s="50"/>
      <c r="L241" s="54">
        <f>SUM(I241:K241)</f>
        <v>0</v>
      </c>
    </row>
    <row r="242" spans="2:12" x14ac:dyDescent="0.15">
      <c r="B242" s="73" t="s">
        <v>13</v>
      </c>
      <c r="C242" s="11"/>
      <c r="D242" s="26"/>
      <c r="E242" s="50">
        <v>1</v>
      </c>
      <c r="F242" s="54">
        <f t="shared" si="24"/>
        <v>1</v>
      </c>
      <c r="G242" s="87">
        <v>44847</v>
      </c>
      <c r="H242" s="73"/>
      <c r="I242" s="11"/>
      <c r="J242" s="26"/>
      <c r="K242" s="50"/>
      <c r="L242" s="54">
        <f t="shared" ref="L242:L262" si="26">SUM(I242:K242)</f>
        <v>0</v>
      </c>
    </row>
    <row r="243" spans="2:12" x14ac:dyDescent="0.15">
      <c r="B243" s="73" t="s">
        <v>13</v>
      </c>
      <c r="C243" s="11"/>
      <c r="D243" s="26"/>
      <c r="E243" s="50">
        <v>1</v>
      </c>
      <c r="F243" s="54">
        <f t="shared" si="24"/>
        <v>1</v>
      </c>
      <c r="G243" s="87">
        <v>44848</v>
      </c>
      <c r="H243" s="73"/>
      <c r="I243" s="11"/>
      <c r="J243" s="26"/>
      <c r="K243" s="50"/>
      <c r="L243" s="54">
        <f t="shared" si="26"/>
        <v>0</v>
      </c>
    </row>
    <row r="244" spans="2:12" x14ac:dyDescent="0.15">
      <c r="B244" s="73" t="s">
        <v>13</v>
      </c>
      <c r="C244" s="11">
        <v>1</v>
      </c>
      <c r="D244" s="26"/>
      <c r="E244" s="50">
        <v>1</v>
      </c>
      <c r="F244" s="54">
        <f t="shared" si="24"/>
        <v>2</v>
      </c>
      <c r="G244" s="87">
        <v>44870</v>
      </c>
      <c r="H244" s="10"/>
      <c r="I244" s="11"/>
      <c r="J244" s="26"/>
      <c r="K244" s="50"/>
      <c r="L244" s="54">
        <f t="shared" si="26"/>
        <v>0</v>
      </c>
    </row>
    <row r="245" spans="2:12" x14ac:dyDescent="0.15">
      <c r="B245" s="73" t="s">
        <v>13</v>
      </c>
      <c r="C245" s="11">
        <f>1+1</f>
        <v>2</v>
      </c>
      <c r="D245" s="26"/>
      <c r="E245" s="50"/>
      <c r="F245" s="54">
        <f t="shared" si="24"/>
        <v>2</v>
      </c>
      <c r="G245" s="87">
        <v>44872</v>
      </c>
      <c r="H245" s="10"/>
      <c r="I245" s="11"/>
      <c r="J245" s="26"/>
      <c r="K245" s="50"/>
      <c r="L245" s="54">
        <f t="shared" si="26"/>
        <v>0</v>
      </c>
    </row>
    <row r="246" spans="2:12" x14ac:dyDescent="0.15">
      <c r="B246" s="73" t="s">
        <v>13</v>
      </c>
      <c r="C246" s="11"/>
      <c r="D246" s="26">
        <v>1</v>
      </c>
      <c r="E246" s="50"/>
      <c r="F246" s="54">
        <f t="shared" si="24"/>
        <v>1</v>
      </c>
      <c r="G246" s="87">
        <v>44886</v>
      </c>
      <c r="H246" s="10"/>
      <c r="I246" s="11"/>
      <c r="J246" s="26"/>
      <c r="K246" s="50"/>
      <c r="L246" s="54">
        <f t="shared" si="26"/>
        <v>0</v>
      </c>
    </row>
    <row r="247" spans="2:12" x14ac:dyDescent="0.15">
      <c r="B247" s="73" t="s">
        <v>13</v>
      </c>
      <c r="C247" s="11">
        <v>1</v>
      </c>
      <c r="D247" s="26"/>
      <c r="E247" s="50">
        <v>1</v>
      </c>
      <c r="F247" s="54">
        <f t="shared" si="24"/>
        <v>2</v>
      </c>
      <c r="G247" s="87">
        <v>44921</v>
      </c>
      <c r="H247" s="10"/>
      <c r="I247" s="11"/>
      <c r="J247" s="26"/>
      <c r="K247" s="50"/>
      <c r="L247" s="54">
        <f t="shared" si="26"/>
        <v>0</v>
      </c>
    </row>
    <row r="248" spans="2:12" x14ac:dyDescent="0.15">
      <c r="B248" s="73" t="s">
        <v>13</v>
      </c>
      <c r="C248" s="11"/>
      <c r="D248" s="26"/>
      <c r="E248" s="50">
        <v>1</v>
      </c>
      <c r="F248" s="54">
        <f t="shared" si="24"/>
        <v>1</v>
      </c>
      <c r="G248" s="87">
        <v>44932</v>
      </c>
      <c r="H248" s="10"/>
      <c r="I248" s="11"/>
      <c r="J248" s="26"/>
      <c r="K248" s="50"/>
      <c r="L248" s="54">
        <f t="shared" si="26"/>
        <v>0</v>
      </c>
    </row>
    <row r="249" spans="2:12" x14ac:dyDescent="0.15">
      <c r="B249" s="73" t="s">
        <v>13</v>
      </c>
      <c r="C249" s="11"/>
      <c r="D249" s="26"/>
      <c r="E249" s="50">
        <v>1</v>
      </c>
      <c r="F249" s="54">
        <f t="shared" si="24"/>
        <v>1</v>
      </c>
      <c r="G249" s="87">
        <v>44950</v>
      </c>
      <c r="H249" s="10"/>
      <c r="I249" s="11"/>
      <c r="J249" s="26"/>
      <c r="K249" s="50"/>
      <c r="L249" s="54">
        <f t="shared" si="26"/>
        <v>0</v>
      </c>
    </row>
    <row r="250" spans="2:12" x14ac:dyDescent="0.15">
      <c r="B250" s="73" t="s">
        <v>13</v>
      </c>
      <c r="C250" s="11"/>
      <c r="D250" s="26"/>
      <c r="E250" s="50">
        <v>1</v>
      </c>
      <c r="F250" s="54">
        <f t="shared" si="24"/>
        <v>1</v>
      </c>
      <c r="G250" s="87">
        <v>44952</v>
      </c>
      <c r="H250" s="10"/>
      <c r="I250" s="11"/>
      <c r="J250" s="26"/>
      <c r="K250" s="50"/>
      <c r="L250" s="54">
        <f t="shared" si="26"/>
        <v>0</v>
      </c>
    </row>
    <row r="251" spans="2:12" x14ac:dyDescent="0.15">
      <c r="B251" s="73" t="s">
        <v>13</v>
      </c>
      <c r="C251" s="11"/>
      <c r="D251" s="26"/>
      <c r="E251" s="50">
        <v>1</v>
      </c>
      <c r="F251" s="54">
        <f t="shared" si="24"/>
        <v>1</v>
      </c>
      <c r="G251" s="87">
        <v>44963</v>
      </c>
      <c r="H251" s="16"/>
      <c r="I251" s="11"/>
      <c r="J251" s="26"/>
      <c r="K251" s="50"/>
      <c r="L251" s="54">
        <f t="shared" si="26"/>
        <v>0</v>
      </c>
    </row>
    <row r="252" spans="2:12" x14ac:dyDescent="0.15">
      <c r="B252" s="73" t="s">
        <v>13</v>
      </c>
      <c r="C252" s="11"/>
      <c r="D252" s="26"/>
      <c r="E252" s="50">
        <v>2</v>
      </c>
      <c r="F252" s="54">
        <f t="shared" si="24"/>
        <v>2</v>
      </c>
      <c r="G252" s="87">
        <v>44970</v>
      </c>
      <c r="H252" s="16"/>
      <c r="I252" s="11"/>
      <c r="J252" s="26"/>
      <c r="K252" s="50"/>
      <c r="L252" s="54">
        <f t="shared" si="26"/>
        <v>0</v>
      </c>
    </row>
    <row r="253" spans="2:12" x14ac:dyDescent="0.15">
      <c r="B253" s="73" t="s">
        <v>13</v>
      </c>
      <c r="C253" s="11"/>
      <c r="D253" s="26">
        <v>1</v>
      </c>
      <c r="E253" s="50"/>
      <c r="F253" s="54">
        <f t="shared" si="24"/>
        <v>1</v>
      </c>
      <c r="G253" s="87">
        <v>44975</v>
      </c>
      <c r="H253" s="16"/>
      <c r="I253" s="11"/>
      <c r="J253" s="26"/>
      <c r="K253" s="50"/>
      <c r="L253" s="54">
        <f t="shared" si="26"/>
        <v>0</v>
      </c>
    </row>
    <row r="254" spans="2:12" x14ac:dyDescent="0.15">
      <c r="B254" s="73" t="s">
        <v>13</v>
      </c>
      <c r="C254" s="11">
        <v>1</v>
      </c>
      <c r="D254" s="26">
        <v>1</v>
      </c>
      <c r="E254" s="50">
        <v>2</v>
      </c>
      <c r="F254" s="54">
        <f t="shared" si="24"/>
        <v>4</v>
      </c>
      <c r="G254" s="87">
        <v>44979</v>
      </c>
      <c r="H254" s="16"/>
      <c r="I254" s="11"/>
      <c r="J254" s="26"/>
      <c r="K254" s="50"/>
      <c r="L254" s="54">
        <f t="shared" si="26"/>
        <v>0</v>
      </c>
    </row>
    <row r="255" spans="2:12" x14ac:dyDescent="0.15">
      <c r="B255" s="73" t="s">
        <v>13</v>
      </c>
      <c r="C255" s="11"/>
      <c r="D255" s="26"/>
      <c r="E255" s="50">
        <v>1</v>
      </c>
      <c r="F255" s="54">
        <f t="shared" si="24"/>
        <v>1</v>
      </c>
      <c r="G255" s="87">
        <v>44984</v>
      </c>
      <c r="H255" s="16"/>
      <c r="I255" s="11"/>
      <c r="J255" s="26"/>
      <c r="K255" s="50"/>
      <c r="L255" s="54">
        <f t="shared" si="26"/>
        <v>0</v>
      </c>
    </row>
    <row r="256" spans="2:12" x14ac:dyDescent="0.15">
      <c r="B256" s="73" t="s">
        <v>13</v>
      </c>
      <c r="C256" s="11">
        <v>1</v>
      </c>
      <c r="D256" s="26">
        <v>1</v>
      </c>
      <c r="E256" s="50">
        <v>1</v>
      </c>
      <c r="F256" s="54">
        <f t="shared" si="24"/>
        <v>3</v>
      </c>
      <c r="G256" s="87">
        <v>44998</v>
      </c>
      <c r="H256" s="16"/>
      <c r="I256" s="11"/>
      <c r="J256" s="26"/>
      <c r="K256" s="50"/>
      <c r="L256" s="54">
        <f t="shared" si="26"/>
        <v>0</v>
      </c>
    </row>
    <row r="257" spans="1:12" x14ac:dyDescent="0.15">
      <c r="B257" s="73" t="s">
        <v>13</v>
      </c>
      <c r="C257" s="11"/>
      <c r="D257" s="26"/>
      <c r="E257" s="50">
        <v>1</v>
      </c>
      <c r="F257" s="54">
        <f t="shared" si="24"/>
        <v>1</v>
      </c>
      <c r="G257" s="87">
        <v>45003</v>
      </c>
      <c r="H257" s="16"/>
      <c r="I257" s="11"/>
      <c r="J257" s="26"/>
      <c r="K257" s="50"/>
      <c r="L257" s="54">
        <f t="shared" si="26"/>
        <v>0</v>
      </c>
    </row>
    <row r="258" spans="1:12" x14ac:dyDescent="0.15">
      <c r="B258" s="73" t="s">
        <v>13</v>
      </c>
      <c r="C258" s="11"/>
      <c r="D258" s="26"/>
      <c r="E258" s="50">
        <v>1</v>
      </c>
      <c r="F258" s="54">
        <f t="shared" si="24"/>
        <v>1</v>
      </c>
      <c r="G258" s="87">
        <v>45012</v>
      </c>
      <c r="H258" s="16"/>
      <c r="I258" s="11"/>
      <c r="J258" s="26"/>
      <c r="K258" s="50"/>
      <c r="L258" s="54">
        <f t="shared" si="26"/>
        <v>0</v>
      </c>
    </row>
    <row r="259" spans="1:12" x14ac:dyDescent="0.15">
      <c r="B259" s="73" t="s">
        <v>13</v>
      </c>
      <c r="C259" s="11">
        <v>1</v>
      </c>
      <c r="D259" s="26"/>
      <c r="E259" s="50"/>
      <c r="F259" s="54">
        <f t="shared" si="24"/>
        <v>1</v>
      </c>
      <c r="G259" s="87">
        <v>45021</v>
      </c>
      <c r="H259" s="16"/>
      <c r="I259" s="11"/>
      <c r="J259" s="26"/>
      <c r="K259" s="50"/>
      <c r="L259" s="54">
        <f t="shared" si="26"/>
        <v>0</v>
      </c>
    </row>
    <row r="260" spans="1:12" x14ac:dyDescent="0.15">
      <c r="B260" s="73" t="s">
        <v>13</v>
      </c>
      <c r="C260" s="11"/>
      <c r="D260" s="26">
        <v>1</v>
      </c>
      <c r="E260" s="50">
        <v>1</v>
      </c>
      <c r="F260" s="54">
        <f t="shared" si="24"/>
        <v>2</v>
      </c>
      <c r="G260" s="87">
        <v>45028</v>
      </c>
      <c r="H260" s="70"/>
      <c r="I260" s="11"/>
      <c r="J260" s="26"/>
      <c r="K260" s="50"/>
      <c r="L260" s="54">
        <f t="shared" si="26"/>
        <v>0</v>
      </c>
    </row>
    <row r="261" spans="1:12" x14ac:dyDescent="0.15">
      <c r="B261" s="73" t="s">
        <v>13</v>
      </c>
      <c r="C261" s="11">
        <v>1</v>
      </c>
      <c r="D261" s="26"/>
      <c r="E261" s="50"/>
      <c r="F261" s="54">
        <f t="shared" si="24"/>
        <v>1</v>
      </c>
      <c r="G261" s="87">
        <v>45030</v>
      </c>
      <c r="H261" s="70"/>
      <c r="I261" s="11"/>
      <c r="J261" s="26"/>
      <c r="K261" s="50"/>
      <c r="L261" s="54">
        <f t="shared" si="26"/>
        <v>0</v>
      </c>
    </row>
    <row r="262" spans="1:12" ht="14.25" thickBot="1" x14ac:dyDescent="0.2">
      <c r="B262" s="73" t="s">
        <v>13</v>
      </c>
      <c r="C262" s="23">
        <v>2</v>
      </c>
      <c r="D262" s="37">
        <v>1</v>
      </c>
      <c r="E262" s="62">
        <v>1</v>
      </c>
      <c r="F262" s="63">
        <f t="shared" si="24"/>
        <v>4</v>
      </c>
      <c r="G262" s="87">
        <v>45031</v>
      </c>
      <c r="H262" s="22"/>
      <c r="I262" s="21"/>
      <c r="J262" s="32"/>
      <c r="K262" s="52"/>
      <c r="L262" s="57">
        <f t="shared" si="26"/>
        <v>0</v>
      </c>
    </row>
    <row r="263" spans="1:12" ht="14.25" thickBot="1" x14ac:dyDescent="0.2">
      <c r="B263" s="7" t="s">
        <v>2</v>
      </c>
      <c r="C263" s="40">
        <f>SUM(C238:C262)</f>
        <v>10</v>
      </c>
      <c r="D263" s="33">
        <f>SUM(D238:D262)</f>
        <v>8</v>
      </c>
      <c r="E263" s="27">
        <f>SUM(E238:E262)</f>
        <v>22</v>
      </c>
      <c r="F263" s="55">
        <f>SUM(F238:F262)</f>
        <v>40</v>
      </c>
      <c r="H263" s="7" t="s">
        <v>2</v>
      </c>
      <c r="I263" s="40">
        <f>SUM(I238:I262)</f>
        <v>0</v>
      </c>
      <c r="J263" s="33">
        <f>SUM(J238:J262)</f>
        <v>0</v>
      </c>
      <c r="K263" s="27">
        <f>SUM(K238:K262)</f>
        <v>10</v>
      </c>
      <c r="L263" s="55">
        <f>SUM(L238:L262)</f>
        <v>10</v>
      </c>
    </row>
    <row r="264" spans="1:12" ht="14.25" thickBot="1" x14ac:dyDescent="0.2">
      <c r="B264" s="35" t="s">
        <v>3</v>
      </c>
      <c r="C264" s="45">
        <f>C237-C263</f>
        <v>8</v>
      </c>
      <c r="D264" s="79">
        <f>D237-D263</f>
        <v>8</v>
      </c>
      <c r="E264" s="36">
        <f>E237-E263</f>
        <v>6</v>
      </c>
      <c r="F264" s="43">
        <f>SUM(C264:E264)</f>
        <v>22</v>
      </c>
      <c r="H264" s="35" t="s">
        <v>3</v>
      </c>
      <c r="I264" s="45">
        <f>I237-I263</f>
        <v>349</v>
      </c>
      <c r="J264" s="79">
        <f>J237-J263</f>
        <v>332</v>
      </c>
      <c r="K264" s="36">
        <f>K237-K263</f>
        <v>350</v>
      </c>
      <c r="L264" s="43">
        <f>SUM(I264:K264)</f>
        <v>1031</v>
      </c>
    </row>
    <row r="267" spans="1:12" ht="18.75" x14ac:dyDescent="0.2">
      <c r="B267" s="14" t="s">
        <v>7</v>
      </c>
      <c r="H267" s="14" t="s">
        <v>8</v>
      </c>
    </row>
    <row r="268" spans="1:12" ht="14.25" thickBot="1" x14ac:dyDescent="0.2">
      <c r="H268" s="1"/>
    </row>
    <row r="269" spans="1:12" ht="14.25" thickBot="1" x14ac:dyDescent="0.2">
      <c r="B269" s="6"/>
      <c r="C269" s="104"/>
      <c r="D269" s="105"/>
      <c r="E269" s="105"/>
      <c r="F269" s="106"/>
      <c r="H269" s="6"/>
      <c r="I269" s="101"/>
      <c r="J269" s="102"/>
      <c r="K269" s="102"/>
      <c r="L269" s="103"/>
    </row>
    <row r="270" spans="1:12" ht="14.25" thickBot="1" x14ac:dyDescent="0.2">
      <c r="A270" s="1"/>
      <c r="B270" s="7" t="s">
        <v>9</v>
      </c>
      <c r="C270" s="76" t="s">
        <v>10</v>
      </c>
      <c r="D270" s="77" t="s">
        <v>11</v>
      </c>
      <c r="E270" s="78" t="s">
        <v>12</v>
      </c>
      <c r="F270" s="53" t="s">
        <v>0</v>
      </c>
      <c r="H270" s="7" t="s">
        <v>9</v>
      </c>
      <c r="I270" s="76" t="s">
        <v>10</v>
      </c>
      <c r="J270" s="77" t="s">
        <v>11</v>
      </c>
      <c r="K270" s="78" t="s">
        <v>12</v>
      </c>
      <c r="L270" s="53" t="s">
        <v>0</v>
      </c>
    </row>
    <row r="271" spans="1:12" x14ac:dyDescent="0.15">
      <c r="B271" s="71" t="s">
        <v>3</v>
      </c>
      <c r="C271" s="46">
        <f>C264</f>
        <v>8</v>
      </c>
      <c r="D271" s="39">
        <f>D264</f>
        <v>8</v>
      </c>
      <c r="E271" s="68">
        <f>E264</f>
        <v>6</v>
      </c>
      <c r="F271" s="58">
        <f>SUM(C271:E271)</f>
        <v>22</v>
      </c>
      <c r="G271" s="87"/>
      <c r="H271" s="65" t="s">
        <v>3</v>
      </c>
      <c r="I271" s="46">
        <f>I264</f>
        <v>349</v>
      </c>
      <c r="J271" s="39">
        <f>J264</f>
        <v>332</v>
      </c>
      <c r="K271" s="68">
        <f>K264</f>
        <v>350</v>
      </c>
      <c r="L271" s="54">
        <f>SUM(I271:K271)</f>
        <v>1031</v>
      </c>
    </row>
    <row r="272" spans="1:12" x14ac:dyDescent="0.15">
      <c r="B272" s="71" t="s">
        <v>4</v>
      </c>
      <c r="C272" s="11"/>
      <c r="D272" s="26"/>
      <c r="E272" s="50">
        <v>10</v>
      </c>
      <c r="F272" s="54">
        <f t="shared" ref="F272:F273" si="27">SUM(C272:E272)</f>
        <v>10</v>
      </c>
      <c r="G272" s="87">
        <v>45036</v>
      </c>
      <c r="H272" s="15" t="s">
        <v>4</v>
      </c>
      <c r="I272" s="11"/>
      <c r="J272" s="26"/>
      <c r="K272" s="50"/>
      <c r="L272" s="54">
        <f>SUM(I272:K272)</f>
        <v>0</v>
      </c>
    </row>
    <row r="273" spans="2:13" x14ac:dyDescent="0.15">
      <c r="B273" s="71" t="s">
        <v>4</v>
      </c>
      <c r="C273" s="11">
        <v>5</v>
      </c>
      <c r="D273" s="26">
        <v>10</v>
      </c>
      <c r="E273" s="50">
        <v>5</v>
      </c>
      <c r="F273" s="54">
        <f t="shared" si="27"/>
        <v>20</v>
      </c>
      <c r="G273" s="87">
        <v>45054</v>
      </c>
      <c r="H273" s="15" t="s">
        <v>4</v>
      </c>
      <c r="I273" s="11"/>
      <c r="J273" s="26"/>
      <c r="K273" s="50"/>
      <c r="L273" s="54">
        <f>SUM(I273:K273)</f>
        <v>0</v>
      </c>
    </row>
    <row r="274" spans="2:13" ht="14.25" thickBot="1" x14ac:dyDescent="0.2">
      <c r="B274" s="71" t="s">
        <v>4</v>
      </c>
      <c r="C274" s="11">
        <v>5</v>
      </c>
      <c r="D274" s="26">
        <v>10</v>
      </c>
      <c r="E274" s="50">
        <v>10</v>
      </c>
      <c r="F274" s="54">
        <f>SUM(C274:E274)</f>
        <v>25</v>
      </c>
      <c r="G274" s="87">
        <v>45072</v>
      </c>
      <c r="H274" s="15" t="s">
        <v>63</v>
      </c>
      <c r="I274" s="11"/>
      <c r="J274" s="26">
        <v>8</v>
      </c>
      <c r="K274" s="50">
        <v>-10</v>
      </c>
      <c r="L274" s="54">
        <f>SUM(I274:K274)</f>
        <v>-2</v>
      </c>
    </row>
    <row r="275" spans="2:13" ht="14.25" thickBot="1" x14ac:dyDescent="0.2">
      <c r="B275" s="72" t="s">
        <v>1</v>
      </c>
      <c r="C275" s="40">
        <f>SUM(C271:C274)</f>
        <v>18</v>
      </c>
      <c r="D275" s="33">
        <f>SUM(D271:D274)</f>
        <v>28</v>
      </c>
      <c r="E275" s="27">
        <f>SUM(E271:E274)</f>
        <v>31</v>
      </c>
      <c r="F275" s="55">
        <f>SUM(F271:F274)</f>
        <v>77</v>
      </c>
      <c r="H275" s="7" t="s">
        <v>1</v>
      </c>
      <c r="I275" s="40">
        <f>SUM(I271:I274)</f>
        <v>349</v>
      </c>
      <c r="J275" s="33">
        <f>SUM(J271:J274)</f>
        <v>340</v>
      </c>
      <c r="K275" s="27">
        <f>SUM(K271:K274)</f>
        <v>340</v>
      </c>
      <c r="L275" s="55">
        <f>SUM(L271:L274)</f>
        <v>1029</v>
      </c>
    </row>
    <row r="276" spans="2:13" x14ac:dyDescent="0.15">
      <c r="B276" s="73" t="s">
        <v>13</v>
      </c>
      <c r="C276" s="11"/>
      <c r="D276" s="26"/>
      <c r="E276" s="50">
        <f>2+2</f>
        <v>4</v>
      </c>
      <c r="F276" s="54">
        <f t="shared" ref="F276:F297" si="28">SUM(C276:E276)</f>
        <v>4</v>
      </c>
      <c r="G276" s="87">
        <v>45033</v>
      </c>
      <c r="H276" s="69" t="s">
        <v>6</v>
      </c>
      <c r="I276" s="11"/>
      <c r="J276" s="26"/>
      <c r="K276" s="50">
        <v>10</v>
      </c>
      <c r="L276" s="54">
        <f t="shared" ref="L276:L277" si="29">SUM(I276:K276)</f>
        <v>10</v>
      </c>
      <c r="M276" s="87">
        <v>45036</v>
      </c>
    </row>
    <row r="277" spans="2:13" x14ac:dyDescent="0.15">
      <c r="B277" s="73" t="s">
        <v>13</v>
      </c>
      <c r="C277" s="11"/>
      <c r="D277" s="26">
        <v>1</v>
      </c>
      <c r="E277" s="50">
        <f>1+1</f>
        <v>2</v>
      </c>
      <c r="F277" s="54">
        <f t="shared" si="28"/>
        <v>3</v>
      </c>
      <c r="G277" s="87">
        <v>45035</v>
      </c>
      <c r="H277" s="69" t="s">
        <v>6</v>
      </c>
      <c r="I277" s="11">
        <v>5</v>
      </c>
      <c r="J277" s="26">
        <v>10</v>
      </c>
      <c r="K277" s="50">
        <v>5</v>
      </c>
      <c r="L277" s="54">
        <f t="shared" si="29"/>
        <v>20</v>
      </c>
      <c r="M277" s="87">
        <v>45054</v>
      </c>
    </row>
    <row r="278" spans="2:13" x14ac:dyDescent="0.15">
      <c r="B278" s="73" t="s">
        <v>13</v>
      </c>
      <c r="C278" s="11"/>
      <c r="D278" s="26">
        <v>1</v>
      </c>
      <c r="E278" s="50"/>
      <c r="F278" s="54">
        <f t="shared" si="28"/>
        <v>1</v>
      </c>
      <c r="G278" s="87">
        <v>45037</v>
      </c>
      <c r="H278" s="69" t="s">
        <v>6</v>
      </c>
      <c r="I278" s="11">
        <v>5</v>
      </c>
      <c r="J278" s="26">
        <v>10</v>
      </c>
      <c r="K278" s="50">
        <v>10</v>
      </c>
      <c r="L278" s="54">
        <f>SUM(I278:K278)</f>
        <v>25</v>
      </c>
      <c r="M278" s="87">
        <v>45072</v>
      </c>
    </row>
    <row r="279" spans="2:13" x14ac:dyDescent="0.15">
      <c r="B279" s="73" t="s">
        <v>13</v>
      </c>
      <c r="C279" s="11"/>
      <c r="D279" s="26">
        <v>1</v>
      </c>
      <c r="E279" s="50">
        <v>1</v>
      </c>
      <c r="F279" s="54">
        <f t="shared" si="28"/>
        <v>2</v>
      </c>
      <c r="G279" s="87">
        <v>45040</v>
      </c>
      <c r="H279" s="69" t="s">
        <v>6</v>
      </c>
      <c r="I279" s="11">
        <v>10</v>
      </c>
      <c r="J279" s="26">
        <v>10</v>
      </c>
      <c r="K279" s="50">
        <v>15</v>
      </c>
      <c r="L279" s="54">
        <f t="shared" ref="L279" si="30">SUM(I279:K279)</f>
        <v>35</v>
      </c>
      <c r="M279" s="87">
        <v>45089</v>
      </c>
    </row>
    <row r="280" spans="2:13" x14ac:dyDescent="0.15">
      <c r="B280" s="73" t="s">
        <v>13</v>
      </c>
      <c r="C280" s="11">
        <v>1</v>
      </c>
      <c r="D280" s="26">
        <v>1</v>
      </c>
      <c r="E280" s="50">
        <v>1</v>
      </c>
      <c r="F280" s="54">
        <f t="shared" si="28"/>
        <v>3</v>
      </c>
      <c r="G280" s="87">
        <v>45042</v>
      </c>
      <c r="H280" s="73"/>
      <c r="I280" s="11"/>
      <c r="J280" s="26"/>
      <c r="K280" s="50"/>
      <c r="L280" s="54">
        <f t="shared" ref="L280:L299" si="31">SUM(I280:K280)</f>
        <v>0</v>
      </c>
    </row>
    <row r="281" spans="2:13" x14ac:dyDescent="0.15">
      <c r="B281" s="73" t="s">
        <v>13</v>
      </c>
      <c r="C281" s="11"/>
      <c r="D281" s="26">
        <v>1</v>
      </c>
      <c r="E281" s="50">
        <v>1</v>
      </c>
      <c r="F281" s="54">
        <f t="shared" si="28"/>
        <v>2</v>
      </c>
      <c r="G281" s="87">
        <v>45047</v>
      </c>
      <c r="H281" s="73"/>
      <c r="I281" s="11"/>
      <c r="J281" s="26"/>
      <c r="K281" s="50"/>
      <c r="L281" s="54">
        <f t="shared" si="31"/>
        <v>0</v>
      </c>
    </row>
    <row r="282" spans="2:13" x14ac:dyDescent="0.15">
      <c r="B282" s="73" t="s">
        <v>13</v>
      </c>
      <c r="C282" s="11">
        <v>1</v>
      </c>
      <c r="D282" s="26"/>
      <c r="E282" s="50">
        <v>1</v>
      </c>
      <c r="F282" s="54">
        <f t="shared" si="28"/>
        <v>2</v>
      </c>
      <c r="G282" s="87">
        <v>45054</v>
      </c>
      <c r="H282" s="10"/>
      <c r="I282" s="11"/>
      <c r="J282" s="26"/>
      <c r="K282" s="50"/>
      <c r="L282" s="54">
        <f t="shared" si="31"/>
        <v>0</v>
      </c>
    </row>
    <row r="283" spans="2:13" x14ac:dyDescent="0.15">
      <c r="B283" s="73" t="s">
        <v>13</v>
      </c>
      <c r="C283" s="11"/>
      <c r="D283" s="26"/>
      <c r="E283" s="50">
        <v>1</v>
      </c>
      <c r="F283" s="54">
        <f t="shared" si="28"/>
        <v>1</v>
      </c>
      <c r="G283" s="87">
        <v>45055</v>
      </c>
      <c r="H283" s="10"/>
      <c r="I283" s="11"/>
      <c r="J283" s="26"/>
      <c r="K283" s="50"/>
      <c r="L283" s="54">
        <f t="shared" si="31"/>
        <v>0</v>
      </c>
    </row>
    <row r="284" spans="2:13" x14ac:dyDescent="0.15">
      <c r="B284" s="73" t="s">
        <v>13</v>
      </c>
      <c r="C284" s="11">
        <v>1</v>
      </c>
      <c r="D284" s="26"/>
      <c r="E284" s="50">
        <v>1</v>
      </c>
      <c r="F284" s="54">
        <f t="shared" si="28"/>
        <v>2</v>
      </c>
      <c r="G284" s="87">
        <v>45056</v>
      </c>
      <c r="H284" s="10"/>
      <c r="I284" s="11"/>
      <c r="J284" s="26"/>
      <c r="K284" s="50"/>
      <c r="L284" s="54">
        <f t="shared" si="31"/>
        <v>0</v>
      </c>
    </row>
    <row r="285" spans="2:13" x14ac:dyDescent="0.15">
      <c r="B285" s="73" t="s">
        <v>13</v>
      </c>
      <c r="C285" s="11"/>
      <c r="D285" s="26">
        <v>1</v>
      </c>
      <c r="E285" s="50"/>
      <c r="F285" s="54">
        <f t="shared" si="28"/>
        <v>1</v>
      </c>
      <c r="G285" s="87">
        <v>45059</v>
      </c>
      <c r="H285" s="10"/>
      <c r="I285" s="11"/>
      <c r="J285" s="26"/>
      <c r="K285" s="50"/>
      <c r="L285" s="54">
        <f t="shared" si="31"/>
        <v>0</v>
      </c>
    </row>
    <row r="286" spans="2:13" x14ac:dyDescent="0.15">
      <c r="B286" s="73" t="s">
        <v>13</v>
      </c>
      <c r="C286" s="11"/>
      <c r="D286" s="26">
        <v>2</v>
      </c>
      <c r="E286" s="50"/>
      <c r="F286" s="54">
        <f t="shared" si="28"/>
        <v>2</v>
      </c>
      <c r="G286" s="87">
        <v>45062</v>
      </c>
      <c r="H286" s="10"/>
      <c r="I286" s="11"/>
      <c r="J286" s="26"/>
      <c r="K286" s="50"/>
      <c r="L286" s="54">
        <f t="shared" si="31"/>
        <v>0</v>
      </c>
    </row>
    <row r="287" spans="2:13" x14ac:dyDescent="0.15">
      <c r="B287" s="73" t="s">
        <v>13</v>
      </c>
      <c r="C287" s="11"/>
      <c r="D287" s="26">
        <f>1+1</f>
        <v>2</v>
      </c>
      <c r="E287" s="50">
        <v>1</v>
      </c>
      <c r="F287" s="54">
        <f t="shared" si="28"/>
        <v>3</v>
      </c>
      <c r="G287" s="87">
        <v>45068</v>
      </c>
      <c r="H287" s="10"/>
      <c r="I287" s="11"/>
      <c r="J287" s="26"/>
      <c r="K287" s="50"/>
      <c r="L287" s="54">
        <f t="shared" si="31"/>
        <v>0</v>
      </c>
    </row>
    <row r="288" spans="2:13" x14ac:dyDescent="0.15">
      <c r="B288" s="73" t="s">
        <v>13</v>
      </c>
      <c r="C288" s="11"/>
      <c r="D288" s="26">
        <v>1</v>
      </c>
      <c r="E288" s="50">
        <v>2</v>
      </c>
      <c r="F288" s="54">
        <f t="shared" si="28"/>
        <v>3</v>
      </c>
      <c r="G288" s="87">
        <v>45071</v>
      </c>
      <c r="H288" s="10"/>
      <c r="I288" s="11"/>
      <c r="J288" s="26"/>
      <c r="K288" s="50"/>
      <c r="L288" s="54">
        <f t="shared" si="31"/>
        <v>0</v>
      </c>
    </row>
    <row r="289" spans="2:12" x14ac:dyDescent="0.15">
      <c r="B289" s="73" t="s">
        <v>13</v>
      </c>
      <c r="C289" s="11"/>
      <c r="D289" s="26"/>
      <c r="E289" s="50">
        <v>2</v>
      </c>
      <c r="F289" s="54">
        <f t="shared" si="28"/>
        <v>2</v>
      </c>
      <c r="G289" s="87">
        <v>45072</v>
      </c>
      <c r="H289" s="16"/>
      <c r="I289" s="11"/>
      <c r="J289" s="26"/>
      <c r="K289" s="50"/>
      <c r="L289" s="54">
        <f t="shared" si="31"/>
        <v>0</v>
      </c>
    </row>
    <row r="290" spans="2:12" x14ac:dyDescent="0.15">
      <c r="B290" s="73" t="s">
        <v>13</v>
      </c>
      <c r="C290" s="11"/>
      <c r="D290" s="26">
        <v>1</v>
      </c>
      <c r="E290" s="50">
        <v>1</v>
      </c>
      <c r="F290" s="54">
        <f t="shared" si="28"/>
        <v>2</v>
      </c>
      <c r="G290" s="87">
        <v>45075</v>
      </c>
      <c r="H290" s="16"/>
      <c r="I290" s="11"/>
      <c r="J290" s="26"/>
      <c r="K290" s="50"/>
      <c r="L290" s="54">
        <f t="shared" si="31"/>
        <v>0</v>
      </c>
    </row>
    <row r="291" spans="2:12" x14ac:dyDescent="0.15">
      <c r="B291" s="73" t="s">
        <v>59</v>
      </c>
      <c r="C291" s="11">
        <v>1</v>
      </c>
      <c r="D291" s="26">
        <v>1</v>
      </c>
      <c r="E291" s="50">
        <v>1</v>
      </c>
      <c r="F291" s="54">
        <f t="shared" si="28"/>
        <v>3</v>
      </c>
      <c r="G291" s="87">
        <v>45082</v>
      </c>
      <c r="H291" s="16"/>
      <c r="I291" s="11"/>
      <c r="J291" s="26"/>
      <c r="K291" s="50"/>
      <c r="L291" s="54">
        <f t="shared" si="31"/>
        <v>0</v>
      </c>
    </row>
    <row r="292" spans="2:12" x14ac:dyDescent="0.15">
      <c r="B292" s="73" t="s">
        <v>13</v>
      </c>
      <c r="C292" s="11">
        <v>2</v>
      </c>
      <c r="D292" s="26">
        <v>1</v>
      </c>
      <c r="E292" s="50">
        <v>2</v>
      </c>
      <c r="F292" s="54">
        <f t="shared" si="28"/>
        <v>5</v>
      </c>
      <c r="G292" s="87">
        <v>45082</v>
      </c>
      <c r="H292" s="16"/>
      <c r="I292" s="11"/>
      <c r="J292" s="26"/>
      <c r="K292" s="50"/>
      <c r="L292" s="54">
        <f t="shared" si="31"/>
        <v>0</v>
      </c>
    </row>
    <row r="293" spans="2:12" x14ac:dyDescent="0.15">
      <c r="B293" s="73" t="s">
        <v>13</v>
      </c>
      <c r="C293" s="11">
        <v>1</v>
      </c>
      <c r="D293" s="26"/>
      <c r="E293" s="50">
        <v>1</v>
      </c>
      <c r="F293" s="54">
        <f t="shared" si="28"/>
        <v>2</v>
      </c>
      <c r="G293" s="87">
        <v>45083</v>
      </c>
      <c r="H293" s="16"/>
      <c r="I293" s="11"/>
      <c r="J293" s="26"/>
      <c r="K293" s="50"/>
      <c r="L293" s="54">
        <f t="shared" si="31"/>
        <v>0</v>
      </c>
    </row>
    <row r="294" spans="2:12" x14ac:dyDescent="0.15">
      <c r="B294" s="73" t="s">
        <v>13</v>
      </c>
      <c r="C294" s="11"/>
      <c r="D294" s="26">
        <v>1</v>
      </c>
      <c r="E294" s="50">
        <v>2</v>
      </c>
      <c r="F294" s="54">
        <f t="shared" si="28"/>
        <v>3</v>
      </c>
      <c r="G294" s="87">
        <v>45086</v>
      </c>
      <c r="H294" s="16"/>
      <c r="I294" s="11"/>
      <c r="J294" s="26"/>
      <c r="K294" s="50"/>
      <c r="L294" s="54">
        <f t="shared" si="31"/>
        <v>0</v>
      </c>
    </row>
    <row r="295" spans="2:12" x14ac:dyDescent="0.15">
      <c r="B295" s="73" t="s">
        <v>60</v>
      </c>
      <c r="C295" s="11">
        <v>-10</v>
      </c>
      <c r="D295" s="26">
        <v>-10</v>
      </c>
      <c r="E295" s="50">
        <v>-15</v>
      </c>
      <c r="F295" s="54">
        <f t="shared" si="28"/>
        <v>-35</v>
      </c>
      <c r="G295" s="87">
        <v>45089</v>
      </c>
      <c r="H295" s="16"/>
      <c r="I295" s="11"/>
      <c r="J295" s="26"/>
      <c r="K295" s="50"/>
      <c r="L295" s="54">
        <f t="shared" si="31"/>
        <v>0</v>
      </c>
    </row>
    <row r="296" spans="2:12" x14ac:dyDescent="0.15">
      <c r="B296" s="73" t="s">
        <v>13</v>
      </c>
      <c r="C296" s="11"/>
      <c r="D296" s="26"/>
      <c r="E296" s="50">
        <v>1</v>
      </c>
      <c r="F296" s="54">
        <f t="shared" si="28"/>
        <v>1</v>
      </c>
      <c r="G296" s="87">
        <v>45089</v>
      </c>
      <c r="H296" s="16"/>
      <c r="I296" s="11"/>
      <c r="J296" s="26"/>
      <c r="K296" s="50"/>
      <c r="L296" s="54">
        <f t="shared" si="31"/>
        <v>0</v>
      </c>
    </row>
    <row r="297" spans="2:12" x14ac:dyDescent="0.15">
      <c r="B297" s="73" t="s">
        <v>13</v>
      </c>
      <c r="C297" s="11">
        <v>1</v>
      </c>
      <c r="D297" s="26">
        <v>1</v>
      </c>
      <c r="E297" s="50"/>
      <c r="F297" s="54">
        <f t="shared" si="28"/>
        <v>2</v>
      </c>
      <c r="G297" s="87">
        <v>45090</v>
      </c>
      <c r="H297" s="16"/>
      <c r="I297" s="11"/>
      <c r="J297" s="26"/>
      <c r="K297" s="50"/>
      <c r="L297" s="54">
        <f t="shared" si="31"/>
        <v>0</v>
      </c>
    </row>
    <row r="298" spans="2:12" x14ac:dyDescent="0.15">
      <c r="B298" s="73" t="s">
        <v>13</v>
      </c>
      <c r="C298" s="11"/>
      <c r="D298" s="26"/>
      <c r="E298" s="50">
        <v>1</v>
      </c>
      <c r="F298" s="54">
        <f>SUM(C298:E298)</f>
        <v>1</v>
      </c>
      <c r="G298" s="87">
        <v>45096</v>
      </c>
      <c r="H298" s="70"/>
      <c r="I298" s="11"/>
      <c r="J298" s="26"/>
      <c r="K298" s="50"/>
      <c r="L298" s="54">
        <f t="shared" si="31"/>
        <v>0</v>
      </c>
    </row>
    <row r="299" spans="2:12" x14ac:dyDescent="0.15">
      <c r="B299" s="73" t="s">
        <v>13</v>
      </c>
      <c r="C299" s="11"/>
      <c r="D299" s="26"/>
      <c r="E299" s="50">
        <v>1</v>
      </c>
      <c r="F299" s="54">
        <f t="shared" ref="F299:F300" si="32">SUM(C299:E299)</f>
        <v>1</v>
      </c>
      <c r="G299" s="87">
        <v>45106</v>
      </c>
      <c r="H299" s="70"/>
      <c r="I299" s="11"/>
      <c r="J299" s="26"/>
      <c r="K299" s="50"/>
      <c r="L299" s="54">
        <f t="shared" si="31"/>
        <v>0</v>
      </c>
    </row>
    <row r="300" spans="2:12" ht="14.25" thickBot="1" x14ac:dyDescent="0.2">
      <c r="B300" s="71"/>
      <c r="C300" s="23"/>
      <c r="D300" s="37"/>
      <c r="E300" s="62"/>
      <c r="F300" s="63">
        <f t="shared" si="32"/>
        <v>0</v>
      </c>
      <c r="G300" s="87"/>
      <c r="H300" s="70"/>
      <c r="I300" s="11"/>
      <c r="J300" s="26"/>
      <c r="K300" s="50"/>
      <c r="L300" s="54">
        <f t="shared" ref="L300" si="33">SUM(I300:K300)</f>
        <v>0</v>
      </c>
    </row>
    <row r="301" spans="2:12" ht="14.25" thickBot="1" x14ac:dyDescent="0.2">
      <c r="B301" s="7" t="s">
        <v>2</v>
      </c>
      <c r="C301" s="40">
        <f>SUM(C276:C300)</f>
        <v>-2</v>
      </c>
      <c r="D301" s="33">
        <f>SUM(D276:D300)</f>
        <v>6</v>
      </c>
      <c r="E301" s="27">
        <f>SUM(E276:E300)</f>
        <v>12</v>
      </c>
      <c r="F301" s="55">
        <f>SUM(F276:F300)</f>
        <v>16</v>
      </c>
      <c r="H301" s="7" t="s">
        <v>2</v>
      </c>
      <c r="I301" s="40">
        <f>SUM(I276:I300)</f>
        <v>20</v>
      </c>
      <c r="J301" s="33">
        <f>SUM(J276:J300)</f>
        <v>30</v>
      </c>
      <c r="K301" s="27">
        <f>SUM(K276:K300)</f>
        <v>40</v>
      </c>
      <c r="L301" s="55">
        <f>SUM(L276:L300)</f>
        <v>90</v>
      </c>
    </row>
    <row r="302" spans="2:12" ht="14.25" thickBot="1" x14ac:dyDescent="0.2">
      <c r="B302" s="35" t="s">
        <v>3</v>
      </c>
      <c r="C302" s="45">
        <f>C275-C301</f>
        <v>20</v>
      </c>
      <c r="D302" s="79">
        <f>D275-D301</f>
        <v>22</v>
      </c>
      <c r="E302" s="36">
        <f>E275-E301</f>
        <v>19</v>
      </c>
      <c r="F302" s="43">
        <f>SUM(C302:E302)</f>
        <v>61</v>
      </c>
      <c r="H302" s="35" t="s">
        <v>3</v>
      </c>
      <c r="I302" s="45">
        <f>I275-I301</f>
        <v>329</v>
      </c>
      <c r="J302" s="79">
        <f>J275-J301</f>
        <v>310</v>
      </c>
      <c r="K302" s="36">
        <f>K275-K301</f>
        <v>300</v>
      </c>
      <c r="L302" s="43">
        <f>SUM(I302:K302)</f>
        <v>939</v>
      </c>
    </row>
    <row r="305" spans="2:13" ht="18.75" x14ac:dyDescent="0.2">
      <c r="B305" s="14" t="s">
        <v>7</v>
      </c>
      <c r="H305" s="14" t="s">
        <v>8</v>
      </c>
    </row>
    <row r="306" spans="2:13" ht="14.25" thickBot="1" x14ac:dyDescent="0.2">
      <c r="H306" s="1"/>
    </row>
    <row r="307" spans="2:13" ht="14.25" thickBot="1" x14ac:dyDescent="0.2">
      <c r="B307" s="6"/>
      <c r="C307" s="104"/>
      <c r="D307" s="105"/>
      <c r="E307" s="105"/>
      <c r="F307" s="106"/>
      <c r="H307" s="6"/>
      <c r="I307" s="101"/>
      <c r="J307" s="102"/>
      <c r="K307" s="102"/>
      <c r="L307" s="103"/>
    </row>
    <row r="308" spans="2:13" ht="14.25" thickBot="1" x14ac:dyDescent="0.2">
      <c r="B308" s="7" t="s">
        <v>9</v>
      </c>
      <c r="C308" s="76" t="s">
        <v>10</v>
      </c>
      <c r="D308" s="77" t="s">
        <v>11</v>
      </c>
      <c r="E308" s="78" t="s">
        <v>12</v>
      </c>
      <c r="F308" s="53" t="s">
        <v>0</v>
      </c>
      <c r="H308" s="7" t="s">
        <v>9</v>
      </c>
      <c r="I308" s="76" t="s">
        <v>10</v>
      </c>
      <c r="J308" s="77" t="s">
        <v>11</v>
      </c>
      <c r="K308" s="78" t="s">
        <v>12</v>
      </c>
      <c r="L308" s="53" t="s">
        <v>0</v>
      </c>
    </row>
    <row r="309" spans="2:13" ht="14.25" thickBot="1" x14ac:dyDescent="0.2">
      <c r="B309" s="91" t="s">
        <v>3</v>
      </c>
      <c r="C309" s="92">
        <f>C302</f>
        <v>20</v>
      </c>
      <c r="D309" s="93">
        <f>D302</f>
        <v>22</v>
      </c>
      <c r="E309" s="94">
        <f>E302</f>
        <v>19</v>
      </c>
      <c r="F309" s="95">
        <f>SUM(C309:E309)</f>
        <v>61</v>
      </c>
      <c r="G309" s="87"/>
      <c r="H309" s="96" t="s">
        <v>3</v>
      </c>
      <c r="I309" s="92">
        <f>I302</f>
        <v>329</v>
      </c>
      <c r="J309" s="93">
        <f>J302</f>
        <v>310</v>
      </c>
      <c r="K309" s="94">
        <f>K302</f>
        <v>300</v>
      </c>
      <c r="L309" s="95">
        <f>SUM(I309:K309)</f>
        <v>939</v>
      </c>
    </row>
    <row r="310" spans="2:13" x14ac:dyDescent="0.15">
      <c r="B310" s="71" t="s">
        <v>4</v>
      </c>
      <c r="C310" s="66">
        <v>19</v>
      </c>
      <c r="D310" s="30"/>
      <c r="E310" s="49"/>
      <c r="F310" s="58">
        <f t="shared" ref="F310:F311" si="34">SUM(C310:E310)</f>
        <v>19</v>
      </c>
      <c r="G310" s="87">
        <v>45143</v>
      </c>
      <c r="H310" s="71" t="s">
        <v>65</v>
      </c>
      <c r="I310" s="11"/>
      <c r="J310" s="26"/>
      <c r="K310" s="50">
        <v>10</v>
      </c>
      <c r="L310" s="54">
        <f>SUM(I310:K310)</f>
        <v>10</v>
      </c>
      <c r="M310" s="87">
        <v>45122</v>
      </c>
    </row>
    <row r="311" spans="2:13" x14ac:dyDescent="0.15">
      <c r="B311" s="71" t="s">
        <v>4</v>
      </c>
      <c r="C311" s="11"/>
      <c r="D311" s="26"/>
      <c r="E311" s="50">
        <v>14</v>
      </c>
      <c r="F311" s="54">
        <f t="shared" si="34"/>
        <v>14</v>
      </c>
      <c r="G311" s="87">
        <v>45204</v>
      </c>
      <c r="H311" s="15" t="s">
        <v>67</v>
      </c>
      <c r="I311" s="11">
        <v>195</v>
      </c>
      <c r="J311" s="26">
        <v>112</v>
      </c>
      <c r="K311" s="50">
        <v>94</v>
      </c>
      <c r="L311" s="54">
        <f>SUM(I311:K311)</f>
        <v>401</v>
      </c>
      <c r="M311" s="87">
        <v>45204</v>
      </c>
    </row>
    <row r="312" spans="2:13" ht="14.25" thickBot="1" x14ac:dyDescent="0.2">
      <c r="B312" s="71" t="s">
        <v>69</v>
      </c>
      <c r="C312" s="11">
        <v>1</v>
      </c>
      <c r="D312" s="26"/>
      <c r="E312" s="50">
        <v>-1</v>
      </c>
      <c r="F312" s="54">
        <f>SUM(C312:E312)</f>
        <v>0</v>
      </c>
      <c r="G312" s="87">
        <v>45404</v>
      </c>
      <c r="H312" s="15" t="s">
        <v>4</v>
      </c>
      <c r="I312" s="11"/>
      <c r="J312" s="26"/>
      <c r="K312" s="50"/>
      <c r="L312" s="54">
        <f>SUM(I312:K312)</f>
        <v>0</v>
      </c>
    </row>
    <row r="313" spans="2:13" ht="14.25" thickBot="1" x14ac:dyDescent="0.2">
      <c r="B313" s="72" t="s">
        <v>1</v>
      </c>
      <c r="C313" s="40">
        <f>SUM(C309:C312)</f>
        <v>40</v>
      </c>
      <c r="D313" s="33">
        <f>SUM(D309:D312)</f>
        <v>22</v>
      </c>
      <c r="E313" s="27">
        <f>SUM(E309:E312)</f>
        <v>32</v>
      </c>
      <c r="F313" s="55">
        <f>SUM(F309:F312)</f>
        <v>94</v>
      </c>
      <c r="H313" s="7" t="s">
        <v>1</v>
      </c>
      <c r="I313" s="40">
        <f>SUM(I309:I312)</f>
        <v>524</v>
      </c>
      <c r="J313" s="33">
        <f>SUM(J309:J312)</f>
        <v>422</v>
      </c>
      <c r="K313" s="27">
        <f>SUM(K309:K312)</f>
        <v>404</v>
      </c>
      <c r="L313" s="55">
        <f>SUM(L309:L312)</f>
        <v>1350</v>
      </c>
    </row>
    <row r="314" spans="2:13" x14ac:dyDescent="0.15">
      <c r="B314" s="73" t="s">
        <v>13</v>
      </c>
      <c r="C314" s="11"/>
      <c r="D314" s="26"/>
      <c r="E314" s="50">
        <v>1</v>
      </c>
      <c r="F314" s="54">
        <f t="shared" ref="F314:F316" si="35">SUM(C314:E314)</f>
        <v>1</v>
      </c>
      <c r="G314" s="87">
        <v>45110</v>
      </c>
      <c r="H314" s="98" t="s">
        <v>61</v>
      </c>
      <c r="I314" s="11">
        <v>310</v>
      </c>
      <c r="J314" s="26">
        <v>310</v>
      </c>
      <c r="K314" s="50">
        <v>310</v>
      </c>
      <c r="L314" s="54">
        <f t="shared" ref="L314:L315" si="36">SUM(I314:K314)</f>
        <v>930</v>
      </c>
      <c r="M314" s="87">
        <v>45145</v>
      </c>
    </row>
    <row r="315" spans="2:13" x14ac:dyDescent="0.15">
      <c r="B315" s="73" t="s">
        <v>13</v>
      </c>
      <c r="C315" s="11"/>
      <c r="D315" s="26">
        <v>1</v>
      </c>
      <c r="E315" s="50"/>
      <c r="F315" s="54">
        <f t="shared" si="35"/>
        <v>1</v>
      </c>
      <c r="G315" s="87">
        <v>45112</v>
      </c>
      <c r="H315" s="97" t="s">
        <v>65</v>
      </c>
      <c r="I315" s="11">
        <v>19</v>
      </c>
      <c r="J315" s="26"/>
      <c r="K315" s="50"/>
      <c r="L315" s="54">
        <f t="shared" si="36"/>
        <v>19</v>
      </c>
      <c r="M315" s="87">
        <v>45143</v>
      </c>
    </row>
    <row r="316" spans="2:13" x14ac:dyDescent="0.15">
      <c r="B316" s="73" t="s">
        <v>64</v>
      </c>
      <c r="C316" s="11"/>
      <c r="D316" s="26"/>
      <c r="E316" s="50">
        <v>10</v>
      </c>
      <c r="F316" s="54">
        <f t="shared" si="35"/>
        <v>10</v>
      </c>
      <c r="G316" s="87">
        <v>45122</v>
      </c>
      <c r="H316" s="97" t="s">
        <v>65</v>
      </c>
      <c r="I316" s="11"/>
      <c r="J316" s="26"/>
      <c r="K316" s="50">
        <v>14</v>
      </c>
      <c r="L316" s="54">
        <f>SUM(I316:K316)</f>
        <v>14</v>
      </c>
      <c r="M316" s="87">
        <v>45204</v>
      </c>
    </row>
    <row r="317" spans="2:13" x14ac:dyDescent="0.15">
      <c r="B317" s="73" t="s">
        <v>13</v>
      </c>
      <c r="C317" s="11"/>
      <c r="D317" s="26"/>
      <c r="E317" s="50">
        <v>1</v>
      </c>
      <c r="F317" s="54">
        <f t="shared" ref="F317:F335" si="37">SUM(C317:E317)</f>
        <v>1</v>
      </c>
      <c r="G317" s="87">
        <v>45125</v>
      </c>
      <c r="H317" s="69"/>
      <c r="I317" s="11"/>
      <c r="J317" s="26"/>
      <c r="K317" s="50"/>
      <c r="L317" s="54">
        <f t="shared" ref="L317:L338" si="38">SUM(I317:K317)</f>
        <v>0</v>
      </c>
      <c r="M317" s="87"/>
    </row>
    <row r="318" spans="2:13" x14ac:dyDescent="0.15">
      <c r="B318" s="73" t="s">
        <v>13</v>
      </c>
      <c r="C318" s="11"/>
      <c r="D318" s="26">
        <v>1</v>
      </c>
      <c r="E318" s="50">
        <v>1</v>
      </c>
      <c r="F318" s="54">
        <f t="shared" si="37"/>
        <v>2</v>
      </c>
      <c r="G318" s="87">
        <v>45126</v>
      </c>
      <c r="H318" s="73"/>
      <c r="I318" s="11"/>
      <c r="J318" s="26"/>
      <c r="K318" s="50"/>
      <c r="L318" s="54">
        <f t="shared" si="38"/>
        <v>0</v>
      </c>
    </row>
    <row r="319" spans="2:13" x14ac:dyDescent="0.15">
      <c r="B319" s="73" t="s">
        <v>13</v>
      </c>
      <c r="C319" s="11">
        <v>1</v>
      </c>
      <c r="D319" s="26"/>
      <c r="E319" s="50"/>
      <c r="F319" s="54">
        <f t="shared" si="37"/>
        <v>1</v>
      </c>
      <c r="G319" s="87">
        <v>45133</v>
      </c>
      <c r="H319" s="73"/>
      <c r="I319" s="11"/>
      <c r="J319" s="26"/>
      <c r="K319" s="50"/>
      <c r="L319" s="54">
        <f t="shared" si="38"/>
        <v>0</v>
      </c>
    </row>
    <row r="320" spans="2:13" x14ac:dyDescent="0.15">
      <c r="B320" s="73" t="s">
        <v>13</v>
      </c>
      <c r="C320" s="11"/>
      <c r="D320" s="26"/>
      <c r="E320" s="50">
        <v>1</v>
      </c>
      <c r="F320" s="54">
        <f t="shared" si="37"/>
        <v>1</v>
      </c>
      <c r="G320" s="87">
        <v>45136</v>
      </c>
      <c r="H320" s="10"/>
      <c r="I320" s="11"/>
      <c r="J320" s="26"/>
      <c r="K320" s="50"/>
      <c r="L320" s="54">
        <f t="shared" si="38"/>
        <v>0</v>
      </c>
    </row>
    <row r="321" spans="2:12" x14ac:dyDescent="0.15">
      <c r="B321" s="73" t="s">
        <v>13</v>
      </c>
      <c r="C321" s="11"/>
      <c r="D321" s="26"/>
      <c r="E321" s="50">
        <v>2</v>
      </c>
      <c r="F321" s="54">
        <f t="shared" si="37"/>
        <v>2</v>
      </c>
      <c r="G321" s="87">
        <v>45138</v>
      </c>
      <c r="H321" s="10"/>
      <c r="I321" s="11"/>
      <c r="J321" s="26"/>
      <c r="K321" s="50"/>
      <c r="L321" s="54">
        <f t="shared" si="38"/>
        <v>0</v>
      </c>
    </row>
    <row r="322" spans="2:12" x14ac:dyDescent="0.15">
      <c r="B322" s="73" t="s">
        <v>13</v>
      </c>
      <c r="C322" s="11">
        <v>1</v>
      </c>
      <c r="D322" s="26"/>
      <c r="E322" s="50"/>
      <c r="F322" s="54">
        <f t="shared" si="37"/>
        <v>1</v>
      </c>
      <c r="G322" s="87">
        <v>45139</v>
      </c>
      <c r="H322" s="10"/>
      <c r="I322" s="11"/>
      <c r="J322" s="26"/>
      <c r="K322" s="50"/>
      <c r="L322" s="54">
        <f t="shared" si="38"/>
        <v>0</v>
      </c>
    </row>
    <row r="323" spans="2:12" x14ac:dyDescent="0.15">
      <c r="B323" s="73" t="s">
        <v>13</v>
      </c>
      <c r="C323" s="11"/>
      <c r="D323" s="26"/>
      <c r="E323" s="50">
        <v>1</v>
      </c>
      <c r="F323" s="54">
        <f t="shared" si="37"/>
        <v>1</v>
      </c>
      <c r="G323" s="87">
        <v>45141</v>
      </c>
      <c r="H323" s="10"/>
      <c r="I323" s="11"/>
      <c r="J323" s="26"/>
      <c r="K323" s="50"/>
      <c r="L323" s="54">
        <f t="shared" si="38"/>
        <v>0</v>
      </c>
    </row>
    <row r="324" spans="2:12" x14ac:dyDescent="0.15">
      <c r="B324" s="73" t="s">
        <v>13</v>
      </c>
      <c r="C324" s="11">
        <v>1</v>
      </c>
      <c r="D324" s="26"/>
      <c r="E324" s="50"/>
      <c r="F324" s="54">
        <f t="shared" si="37"/>
        <v>1</v>
      </c>
      <c r="G324" s="87">
        <v>45149</v>
      </c>
      <c r="H324" s="10"/>
      <c r="I324" s="11"/>
      <c r="J324" s="26"/>
      <c r="K324" s="50"/>
      <c r="L324" s="54">
        <f t="shared" si="38"/>
        <v>0</v>
      </c>
    </row>
    <row r="325" spans="2:12" x14ac:dyDescent="0.15">
      <c r="B325" s="73" t="s">
        <v>13</v>
      </c>
      <c r="C325" s="11">
        <v>1</v>
      </c>
      <c r="D325" s="26"/>
      <c r="E325" s="50"/>
      <c r="F325" s="54">
        <f t="shared" si="37"/>
        <v>1</v>
      </c>
      <c r="G325" s="87">
        <v>45163</v>
      </c>
      <c r="H325" s="10"/>
      <c r="I325" s="11"/>
      <c r="J325" s="26"/>
      <c r="K325" s="50"/>
      <c r="L325" s="54">
        <f t="shared" si="38"/>
        <v>0</v>
      </c>
    </row>
    <row r="326" spans="2:12" x14ac:dyDescent="0.15">
      <c r="B326" s="73" t="s">
        <v>13</v>
      </c>
      <c r="C326" s="11">
        <v>1</v>
      </c>
      <c r="D326" s="26"/>
      <c r="E326" s="50"/>
      <c r="F326" s="54">
        <f>SUM(C326:E326)</f>
        <v>1</v>
      </c>
      <c r="G326" s="87">
        <v>45167</v>
      </c>
      <c r="H326" s="10"/>
      <c r="I326" s="11"/>
      <c r="J326" s="26"/>
      <c r="K326" s="50"/>
      <c r="L326" s="54">
        <f t="shared" si="38"/>
        <v>0</v>
      </c>
    </row>
    <row r="327" spans="2:12" x14ac:dyDescent="0.15">
      <c r="B327" s="73" t="s">
        <v>13</v>
      </c>
      <c r="C327" s="11"/>
      <c r="D327" s="26"/>
      <c r="E327" s="50">
        <v>1</v>
      </c>
      <c r="F327" s="54">
        <f t="shared" si="37"/>
        <v>1</v>
      </c>
      <c r="G327" s="87">
        <v>45171</v>
      </c>
      <c r="H327" s="16"/>
      <c r="I327" s="11"/>
      <c r="J327" s="26"/>
      <c r="K327" s="50"/>
      <c r="L327" s="54">
        <f t="shared" si="38"/>
        <v>0</v>
      </c>
    </row>
    <row r="328" spans="2:12" x14ac:dyDescent="0.15">
      <c r="B328" s="73" t="s">
        <v>66</v>
      </c>
      <c r="C328" s="11">
        <v>2</v>
      </c>
      <c r="D328" s="26">
        <v>2</v>
      </c>
      <c r="E328" s="50"/>
      <c r="F328" s="54">
        <f t="shared" si="37"/>
        <v>4</v>
      </c>
      <c r="G328" s="87">
        <v>45184</v>
      </c>
      <c r="H328" s="16"/>
      <c r="I328" s="11"/>
      <c r="J328" s="26"/>
      <c r="K328" s="50"/>
      <c r="L328" s="54">
        <f t="shared" si="38"/>
        <v>0</v>
      </c>
    </row>
    <row r="329" spans="2:12" x14ac:dyDescent="0.15">
      <c r="B329" s="73" t="s">
        <v>13</v>
      </c>
      <c r="C329" s="11"/>
      <c r="D329" s="26"/>
      <c r="E329" s="50">
        <v>1</v>
      </c>
      <c r="F329" s="54">
        <f t="shared" si="37"/>
        <v>1</v>
      </c>
      <c r="G329" s="87">
        <v>45190</v>
      </c>
      <c r="H329" s="16"/>
      <c r="I329" s="11"/>
      <c r="J329" s="26"/>
      <c r="K329" s="50"/>
      <c r="L329" s="54">
        <f t="shared" si="38"/>
        <v>0</v>
      </c>
    </row>
    <row r="330" spans="2:12" x14ac:dyDescent="0.15">
      <c r="B330" s="73" t="s">
        <v>13</v>
      </c>
      <c r="C330" s="11">
        <v>1</v>
      </c>
      <c r="D330" s="26"/>
      <c r="E330" s="50"/>
      <c r="F330" s="54">
        <f t="shared" si="37"/>
        <v>1</v>
      </c>
      <c r="G330" s="87">
        <v>45201</v>
      </c>
      <c r="H330" s="16"/>
      <c r="I330" s="11"/>
      <c r="J330" s="26"/>
      <c r="K330" s="50"/>
      <c r="L330" s="54">
        <f t="shared" si="38"/>
        <v>0</v>
      </c>
    </row>
    <row r="331" spans="2:12" x14ac:dyDescent="0.15">
      <c r="B331" s="73" t="s">
        <v>13</v>
      </c>
      <c r="C331" s="11">
        <v>1</v>
      </c>
      <c r="D331" s="26"/>
      <c r="E331" s="50"/>
      <c r="F331" s="54">
        <f t="shared" si="37"/>
        <v>1</v>
      </c>
      <c r="G331" s="87">
        <v>45204</v>
      </c>
      <c r="H331" s="16"/>
      <c r="I331" s="11"/>
      <c r="J331" s="26"/>
      <c r="K331" s="50"/>
      <c r="L331" s="54">
        <f t="shared" si="38"/>
        <v>0</v>
      </c>
    </row>
    <row r="332" spans="2:12" x14ac:dyDescent="0.15">
      <c r="B332" s="73" t="s">
        <v>13</v>
      </c>
      <c r="C332" s="11">
        <v>1</v>
      </c>
      <c r="D332" s="26"/>
      <c r="E332" s="50"/>
      <c r="F332" s="54">
        <f t="shared" si="37"/>
        <v>1</v>
      </c>
      <c r="G332" s="87">
        <v>45219</v>
      </c>
      <c r="H332" s="16"/>
      <c r="I332" s="11"/>
      <c r="J332" s="26"/>
      <c r="K332" s="50"/>
      <c r="L332" s="54">
        <f t="shared" si="38"/>
        <v>0</v>
      </c>
    </row>
    <row r="333" spans="2:12" x14ac:dyDescent="0.15">
      <c r="B333" s="73" t="s">
        <v>13</v>
      </c>
      <c r="C333" s="11">
        <v>1</v>
      </c>
      <c r="D333" s="26"/>
      <c r="E333" s="50"/>
      <c r="F333" s="54">
        <f t="shared" si="37"/>
        <v>1</v>
      </c>
      <c r="G333" s="87">
        <v>45224</v>
      </c>
      <c r="H333" s="16"/>
      <c r="I333" s="11"/>
      <c r="J333" s="26"/>
      <c r="K333" s="50"/>
      <c r="L333" s="54">
        <f t="shared" si="38"/>
        <v>0</v>
      </c>
    </row>
    <row r="334" spans="2:12" x14ac:dyDescent="0.15">
      <c r="B334" s="73" t="s">
        <v>13</v>
      </c>
      <c r="C334" s="11">
        <v>1</v>
      </c>
      <c r="D334" s="26"/>
      <c r="E334" s="50"/>
      <c r="F334" s="54">
        <f t="shared" si="37"/>
        <v>1</v>
      </c>
      <c r="G334" s="87">
        <v>45245</v>
      </c>
      <c r="H334" s="16"/>
      <c r="I334" s="11"/>
      <c r="J334" s="26"/>
      <c r="K334" s="50"/>
      <c r="L334" s="54">
        <f t="shared" si="38"/>
        <v>0</v>
      </c>
    </row>
    <row r="335" spans="2:12" x14ac:dyDescent="0.15">
      <c r="B335" s="73" t="s">
        <v>13</v>
      </c>
      <c r="C335" s="11"/>
      <c r="D335" s="26"/>
      <c r="E335" s="50">
        <v>1</v>
      </c>
      <c r="F335" s="54">
        <f t="shared" si="37"/>
        <v>1</v>
      </c>
      <c r="G335" s="87">
        <v>45252</v>
      </c>
      <c r="H335" s="16"/>
      <c r="I335" s="11"/>
      <c r="J335" s="26"/>
      <c r="K335" s="50"/>
      <c r="L335" s="54">
        <f t="shared" si="38"/>
        <v>0</v>
      </c>
    </row>
    <row r="336" spans="2:12" x14ac:dyDescent="0.15">
      <c r="B336" s="73" t="s">
        <v>13</v>
      </c>
      <c r="C336" s="11">
        <v>1</v>
      </c>
      <c r="D336" s="26"/>
      <c r="E336" s="50"/>
      <c r="F336" s="54">
        <f t="shared" ref="F336:F337" si="39">SUM(C336:E336)</f>
        <v>1</v>
      </c>
      <c r="G336" s="87">
        <v>45254</v>
      </c>
      <c r="H336" s="70"/>
      <c r="I336" s="11"/>
      <c r="J336" s="26"/>
      <c r="K336" s="50"/>
      <c r="L336" s="54">
        <f t="shared" si="38"/>
        <v>0</v>
      </c>
    </row>
    <row r="337" spans="2:13" x14ac:dyDescent="0.15">
      <c r="B337" s="73" t="s">
        <v>13</v>
      </c>
      <c r="C337" s="11"/>
      <c r="D337" s="26"/>
      <c r="E337" s="50">
        <v>1</v>
      </c>
      <c r="F337" s="54">
        <f t="shared" si="39"/>
        <v>1</v>
      </c>
      <c r="G337" s="87">
        <v>45257</v>
      </c>
      <c r="H337" s="70"/>
      <c r="I337" s="11"/>
      <c r="J337" s="26"/>
      <c r="K337" s="50"/>
      <c r="L337" s="54">
        <f t="shared" si="38"/>
        <v>0</v>
      </c>
    </row>
    <row r="338" spans="2:13" ht="14.25" thickBot="1" x14ac:dyDescent="0.2">
      <c r="B338" s="73" t="s">
        <v>13</v>
      </c>
      <c r="C338" s="11"/>
      <c r="D338" s="26"/>
      <c r="E338" s="50">
        <v>1</v>
      </c>
      <c r="F338" s="54">
        <f t="shared" ref="F338" si="40">SUM(C338:E338)</f>
        <v>1</v>
      </c>
      <c r="G338" s="87">
        <v>45280</v>
      </c>
      <c r="H338" s="22" t="s">
        <v>61</v>
      </c>
      <c r="I338" s="21"/>
      <c r="J338" s="32"/>
      <c r="K338" s="52"/>
      <c r="L338" s="57">
        <f t="shared" si="38"/>
        <v>0</v>
      </c>
      <c r="M338" s="85" t="s">
        <v>62</v>
      </c>
    </row>
    <row r="339" spans="2:13" ht="14.25" thickBot="1" x14ac:dyDescent="0.2">
      <c r="B339" s="7" t="s">
        <v>2</v>
      </c>
      <c r="C339" s="40">
        <f>SUM(C314:C338)</f>
        <v>13</v>
      </c>
      <c r="D339" s="33">
        <f>SUM(D314:D338)</f>
        <v>4</v>
      </c>
      <c r="E339" s="27">
        <f>SUM(E314:E338)</f>
        <v>22</v>
      </c>
      <c r="F339" s="55">
        <f>SUM(F314:F338)</f>
        <v>39</v>
      </c>
      <c r="H339" s="7" t="s">
        <v>2</v>
      </c>
      <c r="I339" s="40">
        <f>SUM(I314:I338)</f>
        <v>329</v>
      </c>
      <c r="J339" s="33">
        <f>SUM(J314:J338)</f>
        <v>310</v>
      </c>
      <c r="K339" s="27">
        <f>SUM(K314:K338)</f>
        <v>324</v>
      </c>
      <c r="L339" s="55">
        <f>SUM(L314:L338)</f>
        <v>963</v>
      </c>
    </row>
    <row r="340" spans="2:13" ht="14.25" thickBot="1" x14ac:dyDescent="0.2">
      <c r="B340" s="35" t="s">
        <v>3</v>
      </c>
      <c r="C340" s="45">
        <f>C313-C339</f>
        <v>27</v>
      </c>
      <c r="D340" s="79">
        <f>D313-D339</f>
        <v>18</v>
      </c>
      <c r="E340" s="36">
        <f>E313-E339</f>
        <v>10</v>
      </c>
      <c r="F340" s="43">
        <f>SUM(C340:E340)</f>
        <v>55</v>
      </c>
      <c r="H340" s="35" t="s">
        <v>3</v>
      </c>
      <c r="I340" s="45">
        <f>I313-I339</f>
        <v>195</v>
      </c>
      <c r="J340" s="79">
        <f>J313-J339</f>
        <v>112</v>
      </c>
      <c r="K340" s="36">
        <f>K313-K339</f>
        <v>80</v>
      </c>
      <c r="L340" s="43">
        <f>SUM(I340:K340)</f>
        <v>387</v>
      </c>
    </row>
    <row r="343" spans="2:13" ht="18.75" x14ac:dyDescent="0.2">
      <c r="B343" s="14" t="s">
        <v>7</v>
      </c>
      <c r="H343" s="14" t="s">
        <v>8</v>
      </c>
    </row>
    <row r="344" spans="2:13" ht="14.25" thickBot="1" x14ac:dyDescent="0.2">
      <c r="H344" s="1"/>
    </row>
    <row r="345" spans="2:13" ht="14.25" thickBot="1" x14ac:dyDescent="0.2">
      <c r="B345" s="6"/>
      <c r="C345" s="104"/>
      <c r="D345" s="105"/>
      <c r="E345" s="105"/>
      <c r="F345" s="106"/>
      <c r="H345" s="6"/>
      <c r="I345" s="101"/>
      <c r="J345" s="102"/>
      <c r="K345" s="102"/>
      <c r="L345" s="103"/>
    </row>
    <row r="346" spans="2:13" ht="14.25" thickBot="1" x14ac:dyDescent="0.2">
      <c r="B346" s="7" t="s">
        <v>9</v>
      </c>
      <c r="C346" s="76" t="s">
        <v>10</v>
      </c>
      <c r="D346" s="77" t="s">
        <v>11</v>
      </c>
      <c r="E346" s="78" t="s">
        <v>12</v>
      </c>
      <c r="F346" s="53" t="s">
        <v>0</v>
      </c>
      <c r="H346" s="7" t="s">
        <v>9</v>
      </c>
      <c r="I346" s="76" t="s">
        <v>10</v>
      </c>
      <c r="J346" s="77" t="s">
        <v>11</v>
      </c>
      <c r="K346" s="78" t="s">
        <v>12</v>
      </c>
      <c r="L346" s="53" t="s">
        <v>0</v>
      </c>
    </row>
    <row r="347" spans="2:13" ht="14.25" thickBot="1" x14ac:dyDescent="0.2">
      <c r="B347" s="91" t="s">
        <v>3</v>
      </c>
      <c r="C347" s="92">
        <f>C340</f>
        <v>27</v>
      </c>
      <c r="D347" s="93">
        <f>D340</f>
        <v>18</v>
      </c>
      <c r="E347" s="94">
        <f>E340</f>
        <v>10</v>
      </c>
      <c r="F347" s="95">
        <f>SUM(C347:E347)</f>
        <v>55</v>
      </c>
      <c r="G347" s="87"/>
      <c r="H347" s="96" t="s">
        <v>3</v>
      </c>
      <c r="I347" s="92">
        <f>I340</f>
        <v>195</v>
      </c>
      <c r="J347" s="93">
        <f>J340</f>
        <v>112</v>
      </c>
      <c r="K347" s="94">
        <f>K340</f>
        <v>80</v>
      </c>
      <c r="L347" s="95">
        <f>SUM(I347:K347)</f>
        <v>387</v>
      </c>
    </row>
    <row r="348" spans="2:13" x14ac:dyDescent="0.15">
      <c r="B348" s="71" t="s">
        <v>4</v>
      </c>
      <c r="C348" s="66">
        <v>5</v>
      </c>
      <c r="D348" s="30">
        <v>10</v>
      </c>
      <c r="E348" s="49">
        <v>10</v>
      </c>
      <c r="F348" s="58">
        <f t="shared" ref="F348:F350" si="41">SUM(C348:E348)</f>
        <v>25</v>
      </c>
      <c r="G348" s="87">
        <v>45423</v>
      </c>
      <c r="H348" s="15" t="s">
        <v>6</v>
      </c>
      <c r="I348" s="11">
        <v>5</v>
      </c>
      <c r="J348" s="26">
        <v>8</v>
      </c>
      <c r="K348" s="50"/>
      <c r="L348" s="54">
        <f>SUM(I348:K348)</f>
        <v>13</v>
      </c>
      <c r="M348" s="87">
        <v>45381</v>
      </c>
    </row>
    <row r="349" spans="2:13" x14ac:dyDescent="0.15">
      <c r="B349" s="71" t="s">
        <v>4</v>
      </c>
      <c r="C349" s="11"/>
      <c r="D349" s="26"/>
      <c r="E349" s="50"/>
      <c r="F349" s="54">
        <f t="shared" si="41"/>
        <v>0</v>
      </c>
      <c r="G349" s="87"/>
      <c r="H349" s="15" t="s">
        <v>4</v>
      </c>
      <c r="I349" s="11"/>
      <c r="J349" s="26"/>
      <c r="K349" s="50"/>
      <c r="L349" s="54">
        <f>SUM(I349:K349)</f>
        <v>0</v>
      </c>
    </row>
    <row r="350" spans="2:13" ht="14.25" thickBot="1" x14ac:dyDescent="0.2">
      <c r="B350" s="73" t="s">
        <v>73</v>
      </c>
      <c r="C350" s="11">
        <v>1</v>
      </c>
      <c r="D350" s="26"/>
      <c r="E350" s="50"/>
      <c r="F350" s="54">
        <f t="shared" si="41"/>
        <v>1</v>
      </c>
      <c r="G350" s="87">
        <v>45444</v>
      </c>
      <c r="H350" s="15" t="s">
        <v>4</v>
      </c>
      <c r="I350" s="11"/>
      <c r="J350" s="26"/>
      <c r="K350" s="50"/>
      <c r="L350" s="54">
        <f t="shared" ref="L350" si="42">SUM(I350:K350)</f>
        <v>0</v>
      </c>
      <c r="M350" s="87"/>
    </row>
    <row r="351" spans="2:13" ht="14.25" thickBot="1" x14ac:dyDescent="0.2">
      <c r="B351" s="72" t="s">
        <v>1</v>
      </c>
      <c r="C351" s="40">
        <f>SUM(C347:C350)</f>
        <v>33</v>
      </c>
      <c r="D351" s="33">
        <f>SUM(D347:D350)</f>
        <v>28</v>
      </c>
      <c r="E351" s="27">
        <f>SUM(E347:E350)</f>
        <v>20</v>
      </c>
      <c r="F351" s="55">
        <f>SUM(F347:F350)</f>
        <v>81</v>
      </c>
      <c r="H351" s="7" t="s">
        <v>1</v>
      </c>
      <c r="I351" s="40">
        <f>SUM(I347:I350)</f>
        <v>200</v>
      </c>
      <c r="J351" s="33">
        <f>SUM(J347:J350)</f>
        <v>120</v>
      </c>
      <c r="K351" s="27">
        <f>SUM(K347:K350)</f>
        <v>80</v>
      </c>
      <c r="L351" s="55">
        <f>SUM(L347:L350)</f>
        <v>400</v>
      </c>
    </row>
    <row r="352" spans="2:13" x14ac:dyDescent="0.15">
      <c r="B352" s="73" t="s">
        <v>13</v>
      </c>
      <c r="C352" s="11"/>
      <c r="D352" s="26">
        <v>2</v>
      </c>
      <c r="E352" s="50"/>
      <c r="F352" s="54">
        <f t="shared" ref="F352:F374" si="43">SUM(C352:E352)</f>
        <v>2</v>
      </c>
      <c r="G352" s="87">
        <v>45287</v>
      </c>
      <c r="H352" s="97" t="s">
        <v>65</v>
      </c>
      <c r="I352" s="11">
        <v>5</v>
      </c>
      <c r="J352" s="26">
        <v>10</v>
      </c>
      <c r="K352" s="50">
        <v>10</v>
      </c>
      <c r="L352" s="54">
        <f t="shared" ref="L352" si="44">SUM(I352:K352)</f>
        <v>25</v>
      </c>
      <c r="M352" s="87">
        <v>45423</v>
      </c>
    </row>
    <row r="353" spans="2:12" x14ac:dyDescent="0.15">
      <c r="B353" s="73" t="s">
        <v>13</v>
      </c>
      <c r="C353" s="11"/>
      <c r="D353" s="26"/>
      <c r="E353" s="50">
        <v>1</v>
      </c>
      <c r="F353" s="54">
        <f t="shared" si="43"/>
        <v>1</v>
      </c>
      <c r="G353" s="87">
        <v>45297</v>
      </c>
      <c r="H353" s="16"/>
      <c r="I353" s="11"/>
      <c r="J353" s="26"/>
      <c r="K353" s="50"/>
      <c r="L353" s="54">
        <f t="shared" ref="L353:L370" si="45">SUM(I353:K353)</f>
        <v>0</v>
      </c>
    </row>
    <row r="354" spans="2:12" x14ac:dyDescent="0.15">
      <c r="B354" s="73" t="s">
        <v>13</v>
      </c>
      <c r="C354" s="11">
        <v>1</v>
      </c>
      <c r="D354" s="26">
        <v>1</v>
      </c>
      <c r="E354" s="50"/>
      <c r="F354" s="54">
        <f t="shared" si="43"/>
        <v>2</v>
      </c>
      <c r="G354" s="87">
        <v>45309</v>
      </c>
      <c r="H354" s="16"/>
      <c r="I354" s="11"/>
      <c r="J354" s="26"/>
      <c r="K354" s="50"/>
      <c r="L354" s="54">
        <f t="shared" si="45"/>
        <v>0</v>
      </c>
    </row>
    <row r="355" spans="2:12" x14ac:dyDescent="0.15">
      <c r="B355" s="73" t="s">
        <v>13</v>
      </c>
      <c r="C355" s="11"/>
      <c r="D355" s="26">
        <v>1</v>
      </c>
      <c r="E355" s="50"/>
      <c r="F355" s="54">
        <f t="shared" si="43"/>
        <v>1</v>
      </c>
      <c r="G355" s="87">
        <v>45313</v>
      </c>
      <c r="H355" s="16"/>
      <c r="I355" s="11"/>
      <c r="J355" s="26"/>
      <c r="K355" s="50"/>
      <c r="L355" s="54">
        <f t="shared" si="45"/>
        <v>0</v>
      </c>
    </row>
    <row r="356" spans="2:12" x14ac:dyDescent="0.15">
      <c r="B356" s="73" t="s">
        <v>13</v>
      </c>
      <c r="C356" s="11">
        <v>2</v>
      </c>
      <c r="D356" s="26"/>
      <c r="E356" s="50"/>
      <c r="F356" s="54">
        <f t="shared" si="43"/>
        <v>2</v>
      </c>
      <c r="G356" s="87">
        <v>45343</v>
      </c>
      <c r="H356" s="16"/>
      <c r="I356" s="11"/>
      <c r="J356" s="26"/>
      <c r="K356" s="50"/>
      <c r="L356" s="54">
        <f t="shared" si="45"/>
        <v>0</v>
      </c>
    </row>
    <row r="357" spans="2:12" x14ac:dyDescent="0.15">
      <c r="B357" s="73" t="s">
        <v>13</v>
      </c>
      <c r="C357" s="11">
        <v>2</v>
      </c>
      <c r="D357" s="26"/>
      <c r="E357" s="50"/>
      <c r="F357" s="54">
        <f t="shared" si="43"/>
        <v>2</v>
      </c>
      <c r="G357" s="87">
        <v>45353</v>
      </c>
      <c r="H357" s="16"/>
      <c r="I357" s="11"/>
      <c r="J357" s="26"/>
      <c r="K357" s="50"/>
      <c r="L357" s="54">
        <f t="shared" si="45"/>
        <v>0</v>
      </c>
    </row>
    <row r="358" spans="2:12" x14ac:dyDescent="0.15">
      <c r="B358" s="73" t="s">
        <v>13</v>
      </c>
      <c r="C358" s="11"/>
      <c r="D358" s="26"/>
      <c r="E358" s="50">
        <v>1</v>
      </c>
      <c r="F358" s="54">
        <f t="shared" si="43"/>
        <v>1</v>
      </c>
      <c r="G358" s="87">
        <v>45357</v>
      </c>
      <c r="H358" s="16"/>
      <c r="I358" s="11"/>
      <c r="J358" s="26"/>
      <c r="K358" s="50"/>
      <c r="L358" s="54">
        <f t="shared" si="45"/>
        <v>0</v>
      </c>
    </row>
    <row r="359" spans="2:12" x14ac:dyDescent="0.15">
      <c r="B359" s="73" t="s">
        <v>13</v>
      </c>
      <c r="C359" s="11">
        <v>1</v>
      </c>
      <c r="D359" s="26"/>
      <c r="E359" s="50"/>
      <c r="F359" s="54">
        <f t="shared" si="43"/>
        <v>1</v>
      </c>
      <c r="G359" s="87">
        <v>45359</v>
      </c>
      <c r="H359" s="16"/>
      <c r="I359" s="11"/>
      <c r="J359" s="26"/>
      <c r="K359" s="50"/>
      <c r="L359" s="54">
        <f t="shared" si="45"/>
        <v>0</v>
      </c>
    </row>
    <row r="360" spans="2:12" x14ac:dyDescent="0.15">
      <c r="B360" s="73" t="s">
        <v>13</v>
      </c>
      <c r="C360" s="11"/>
      <c r="D360" s="26"/>
      <c r="E360" s="50">
        <v>1</v>
      </c>
      <c r="F360" s="54">
        <f t="shared" si="43"/>
        <v>1</v>
      </c>
      <c r="G360" s="87">
        <v>45362</v>
      </c>
      <c r="H360" s="16"/>
      <c r="I360" s="11"/>
      <c r="J360" s="26"/>
      <c r="K360" s="50"/>
      <c r="L360" s="54">
        <f t="shared" si="45"/>
        <v>0</v>
      </c>
    </row>
    <row r="361" spans="2:12" x14ac:dyDescent="0.15">
      <c r="B361" s="73" t="s">
        <v>13</v>
      </c>
      <c r="C361" s="11">
        <v>1</v>
      </c>
      <c r="D361" s="26"/>
      <c r="E361" s="50"/>
      <c r="F361" s="54">
        <f t="shared" si="43"/>
        <v>1</v>
      </c>
      <c r="G361" s="87">
        <v>45369</v>
      </c>
      <c r="H361" s="16"/>
      <c r="I361" s="11"/>
      <c r="J361" s="26"/>
      <c r="K361" s="50"/>
      <c r="L361" s="54">
        <f t="shared" si="45"/>
        <v>0</v>
      </c>
    </row>
    <row r="362" spans="2:12" x14ac:dyDescent="0.15">
      <c r="B362" s="73" t="s">
        <v>68</v>
      </c>
      <c r="C362" s="11">
        <v>5</v>
      </c>
      <c r="D362" s="26">
        <v>8</v>
      </c>
      <c r="E362" s="50"/>
      <c r="F362" s="54">
        <f t="shared" si="43"/>
        <v>13</v>
      </c>
      <c r="G362" s="87">
        <v>45381</v>
      </c>
      <c r="H362" s="16"/>
      <c r="I362" s="11"/>
      <c r="J362" s="26"/>
      <c r="K362" s="50"/>
      <c r="L362" s="54">
        <f t="shared" si="45"/>
        <v>0</v>
      </c>
    </row>
    <row r="363" spans="2:12" x14ac:dyDescent="0.15">
      <c r="B363" s="73" t="s">
        <v>13</v>
      </c>
      <c r="C363" s="11">
        <v>1</v>
      </c>
      <c r="D363" s="26"/>
      <c r="E363" s="50"/>
      <c r="F363" s="54">
        <f t="shared" si="43"/>
        <v>1</v>
      </c>
      <c r="G363" s="87">
        <v>45376</v>
      </c>
      <c r="H363" s="16"/>
      <c r="I363" s="11"/>
      <c r="J363" s="26"/>
      <c r="K363" s="50"/>
      <c r="L363" s="54">
        <f t="shared" si="45"/>
        <v>0</v>
      </c>
    </row>
    <row r="364" spans="2:12" x14ac:dyDescent="0.15">
      <c r="B364" s="73" t="s">
        <v>13</v>
      </c>
      <c r="C364" s="11">
        <v>1</v>
      </c>
      <c r="D364" s="26"/>
      <c r="E364" s="50">
        <v>1</v>
      </c>
      <c r="F364" s="54">
        <f t="shared" si="43"/>
        <v>2</v>
      </c>
      <c r="G364" s="87">
        <v>45383</v>
      </c>
      <c r="H364" s="16"/>
      <c r="I364" s="11"/>
      <c r="J364" s="26"/>
      <c r="K364" s="50"/>
      <c r="L364" s="54">
        <f t="shared" si="45"/>
        <v>0</v>
      </c>
    </row>
    <row r="365" spans="2:12" x14ac:dyDescent="0.15">
      <c r="B365" s="73" t="s">
        <v>13</v>
      </c>
      <c r="C365" s="11"/>
      <c r="D365" s="26"/>
      <c r="E365" s="50">
        <v>1</v>
      </c>
      <c r="F365" s="54">
        <f t="shared" si="43"/>
        <v>1</v>
      </c>
      <c r="G365" s="87">
        <v>45387</v>
      </c>
      <c r="H365" s="16"/>
      <c r="I365" s="11"/>
      <c r="J365" s="26"/>
      <c r="K365" s="50"/>
      <c r="L365" s="54">
        <f t="shared" si="45"/>
        <v>0</v>
      </c>
    </row>
    <row r="366" spans="2:12" x14ac:dyDescent="0.15">
      <c r="B366" s="73" t="s">
        <v>13</v>
      </c>
      <c r="C366" s="11"/>
      <c r="D366" s="26">
        <v>1</v>
      </c>
      <c r="E366" s="50">
        <v>1</v>
      </c>
      <c r="F366" s="54">
        <f t="shared" si="43"/>
        <v>2</v>
      </c>
      <c r="G366" s="87">
        <v>45394</v>
      </c>
      <c r="H366" s="16"/>
      <c r="I366" s="11"/>
      <c r="J366" s="26"/>
      <c r="K366" s="50"/>
      <c r="L366" s="54">
        <f t="shared" si="45"/>
        <v>0</v>
      </c>
    </row>
    <row r="367" spans="2:12" x14ac:dyDescent="0.15">
      <c r="B367" s="73" t="s">
        <v>13</v>
      </c>
      <c r="C367" s="11">
        <v>1</v>
      </c>
      <c r="D367" s="26">
        <v>1</v>
      </c>
      <c r="E367" s="50">
        <v>2</v>
      </c>
      <c r="F367" s="54">
        <f t="shared" si="43"/>
        <v>4</v>
      </c>
      <c r="G367" s="87">
        <v>45397</v>
      </c>
      <c r="H367" s="16"/>
      <c r="I367" s="11"/>
      <c r="J367" s="26"/>
      <c r="K367" s="50"/>
      <c r="L367" s="54">
        <f t="shared" si="45"/>
        <v>0</v>
      </c>
    </row>
    <row r="368" spans="2:12" x14ac:dyDescent="0.15">
      <c r="B368" s="73" t="s">
        <v>13</v>
      </c>
      <c r="C368" s="11">
        <v>2</v>
      </c>
      <c r="D368" s="26"/>
      <c r="E368" s="50"/>
      <c r="F368" s="54">
        <f t="shared" si="43"/>
        <v>2</v>
      </c>
      <c r="G368" s="87">
        <v>45398</v>
      </c>
      <c r="H368" s="16"/>
      <c r="I368" s="11"/>
      <c r="J368" s="26"/>
      <c r="K368" s="50"/>
      <c r="L368" s="54">
        <f t="shared" si="45"/>
        <v>0</v>
      </c>
    </row>
    <row r="369" spans="2:12" x14ac:dyDescent="0.15">
      <c r="B369" s="73" t="s">
        <v>13</v>
      </c>
      <c r="C369" s="11"/>
      <c r="D369" s="26"/>
      <c r="E369" s="50">
        <v>2</v>
      </c>
      <c r="F369" s="54">
        <f t="shared" si="43"/>
        <v>2</v>
      </c>
      <c r="G369" s="87">
        <v>45399</v>
      </c>
      <c r="H369" s="16"/>
      <c r="I369" s="11"/>
      <c r="J369" s="26"/>
      <c r="K369" s="50"/>
      <c r="L369" s="54">
        <f t="shared" si="45"/>
        <v>0</v>
      </c>
    </row>
    <row r="370" spans="2:12" x14ac:dyDescent="0.15">
      <c r="B370" s="73" t="s">
        <v>13</v>
      </c>
      <c r="C370" s="11">
        <v>1</v>
      </c>
      <c r="D370" s="26">
        <v>3</v>
      </c>
      <c r="E370" s="50"/>
      <c r="F370" s="54">
        <f t="shared" si="43"/>
        <v>4</v>
      </c>
      <c r="G370" s="87">
        <v>45404</v>
      </c>
      <c r="H370" s="16"/>
      <c r="I370" s="11"/>
      <c r="J370" s="26"/>
      <c r="K370" s="50"/>
      <c r="L370" s="54">
        <f t="shared" si="45"/>
        <v>0</v>
      </c>
    </row>
    <row r="371" spans="2:12" x14ac:dyDescent="0.15">
      <c r="B371" s="73" t="s">
        <v>71</v>
      </c>
      <c r="C371" s="11">
        <v>1</v>
      </c>
      <c r="D371" s="26"/>
      <c r="E371" s="50"/>
      <c r="F371" s="54">
        <f t="shared" si="43"/>
        <v>1</v>
      </c>
      <c r="G371" s="87">
        <v>45420</v>
      </c>
      <c r="H371" s="16"/>
      <c r="I371" s="11"/>
      <c r="J371" s="26"/>
      <c r="K371" s="50"/>
      <c r="L371" s="54">
        <f t="shared" ref="L371:L376" si="46">SUM(I371:K371)</f>
        <v>0</v>
      </c>
    </row>
    <row r="372" spans="2:12" x14ac:dyDescent="0.15">
      <c r="B372" s="73" t="s">
        <v>13</v>
      </c>
      <c r="C372" s="11">
        <v>1</v>
      </c>
      <c r="D372" s="26"/>
      <c r="E372" s="50"/>
      <c r="F372" s="54">
        <f t="shared" si="43"/>
        <v>1</v>
      </c>
      <c r="G372" s="87">
        <v>45422</v>
      </c>
      <c r="H372" s="16"/>
      <c r="I372" s="11"/>
      <c r="J372" s="26"/>
      <c r="K372" s="50"/>
      <c r="L372" s="54">
        <f t="shared" si="46"/>
        <v>0</v>
      </c>
    </row>
    <row r="373" spans="2:12" x14ac:dyDescent="0.15">
      <c r="B373" s="73" t="s">
        <v>13</v>
      </c>
      <c r="C373" s="11">
        <v>1</v>
      </c>
      <c r="D373" s="26"/>
      <c r="E373" s="50"/>
      <c r="F373" s="54">
        <f t="shared" si="43"/>
        <v>1</v>
      </c>
      <c r="G373" s="87">
        <v>45423</v>
      </c>
      <c r="H373" s="16"/>
      <c r="I373" s="11"/>
      <c r="J373" s="26"/>
      <c r="K373" s="50"/>
      <c r="L373" s="54">
        <f t="shared" si="46"/>
        <v>0</v>
      </c>
    </row>
    <row r="374" spans="2:12" x14ac:dyDescent="0.15">
      <c r="B374" s="73" t="s">
        <v>13</v>
      </c>
      <c r="C374" s="11"/>
      <c r="D374" s="26"/>
      <c r="E374" s="50">
        <v>1</v>
      </c>
      <c r="F374" s="54">
        <f t="shared" si="43"/>
        <v>1</v>
      </c>
      <c r="G374" s="87">
        <v>45425</v>
      </c>
      <c r="H374" s="16"/>
      <c r="I374" s="11"/>
      <c r="J374" s="26"/>
      <c r="K374" s="50"/>
      <c r="L374" s="54">
        <f t="shared" si="46"/>
        <v>0</v>
      </c>
    </row>
    <row r="375" spans="2:12" x14ac:dyDescent="0.15">
      <c r="B375" s="73" t="s">
        <v>13</v>
      </c>
      <c r="C375" s="11"/>
      <c r="D375" s="26">
        <v>1</v>
      </c>
      <c r="E375" s="50"/>
      <c r="F375" s="54">
        <f t="shared" ref="F375:F376" si="47">SUM(C375:E375)</f>
        <v>1</v>
      </c>
      <c r="G375" s="87">
        <v>45428</v>
      </c>
      <c r="H375" s="16"/>
      <c r="I375" s="11"/>
      <c r="J375" s="26"/>
      <c r="K375" s="50"/>
      <c r="L375" s="54">
        <f t="shared" si="46"/>
        <v>0</v>
      </c>
    </row>
    <row r="376" spans="2:12" ht="14.25" thickBot="1" x14ac:dyDescent="0.2">
      <c r="B376" s="73" t="s">
        <v>13</v>
      </c>
      <c r="C376" s="11"/>
      <c r="D376" s="26"/>
      <c r="E376" s="50">
        <v>1</v>
      </c>
      <c r="F376" s="54">
        <f t="shared" si="47"/>
        <v>1</v>
      </c>
      <c r="G376" s="87">
        <v>45432</v>
      </c>
      <c r="H376" s="16"/>
      <c r="I376" s="11"/>
      <c r="J376" s="26"/>
      <c r="K376" s="50"/>
      <c r="L376" s="54">
        <f t="shared" si="46"/>
        <v>0</v>
      </c>
    </row>
    <row r="377" spans="2:12" ht="14.25" thickBot="1" x14ac:dyDescent="0.2">
      <c r="B377" s="7" t="s">
        <v>2</v>
      </c>
      <c r="C377" s="40">
        <f>SUM(C352:C376)</f>
        <v>21</v>
      </c>
      <c r="D377" s="33">
        <f>SUM(D352:D376)</f>
        <v>18</v>
      </c>
      <c r="E377" s="27">
        <f>SUM(E352:E376)</f>
        <v>12</v>
      </c>
      <c r="F377" s="55">
        <f>SUM(F352:F376)</f>
        <v>51</v>
      </c>
      <c r="H377" s="7" t="s">
        <v>2</v>
      </c>
      <c r="I377" s="40">
        <f>SUM(I352:I376)</f>
        <v>5</v>
      </c>
      <c r="J377" s="33">
        <f>SUM(J352:J376)</f>
        <v>10</v>
      </c>
      <c r="K377" s="27">
        <f>SUM(K352:K376)</f>
        <v>10</v>
      </c>
      <c r="L377" s="55">
        <f>SUM(L352:L376)</f>
        <v>25</v>
      </c>
    </row>
    <row r="378" spans="2:12" ht="14.25" thickBot="1" x14ac:dyDescent="0.2">
      <c r="B378" s="35" t="s">
        <v>3</v>
      </c>
      <c r="C378" s="45">
        <f>C351-C377</f>
        <v>12</v>
      </c>
      <c r="D378" s="79">
        <f>D351-D377</f>
        <v>10</v>
      </c>
      <c r="E378" s="36">
        <f>E351-E377</f>
        <v>8</v>
      </c>
      <c r="F378" s="43">
        <f>SUM(C378:E378)</f>
        <v>30</v>
      </c>
      <c r="H378" s="35" t="s">
        <v>3</v>
      </c>
      <c r="I378" s="45">
        <f>I351-I377</f>
        <v>195</v>
      </c>
      <c r="J378" s="79">
        <f>J351-J377</f>
        <v>110</v>
      </c>
      <c r="K378" s="36">
        <f>K351-K377</f>
        <v>70</v>
      </c>
      <c r="L378" s="43">
        <f>SUM(I378:K378)</f>
        <v>375</v>
      </c>
    </row>
    <row r="381" spans="2:12" ht="18.75" x14ac:dyDescent="0.2">
      <c r="B381" s="14" t="s">
        <v>7</v>
      </c>
      <c r="H381" s="14" t="s">
        <v>8</v>
      </c>
    </row>
    <row r="382" spans="2:12" ht="14.25" thickBot="1" x14ac:dyDescent="0.2">
      <c r="H382" s="1"/>
    </row>
    <row r="383" spans="2:12" ht="14.25" thickBot="1" x14ac:dyDescent="0.2">
      <c r="B383" s="6"/>
      <c r="C383" s="104"/>
      <c r="D383" s="105"/>
      <c r="E383" s="105"/>
      <c r="F383" s="106"/>
      <c r="H383" s="6"/>
      <c r="I383" s="101"/>
      <c r="J383" s="102"/>
      <c r="K383" s="102"/>
      <c r="L383" s="103"/>
    </row>
    <row r="384" spans="2:12" ht="14.25" thickBot="1" x14ac:dyDescent="0.2">
      <c r="B384" s="7" t="s">
        <v>9</v>
      </c>
      <c r="C384" s="76" t="s">
        <v>10</v>
      </c>
      <c r="D384" s="77" t="s">
        <v>11</v>
      </c>
      <c r="E384" s="78" t="s">
        <v>12</v>
      </c>
      <c r="F384" s="53" t="s">
        <v>0</v>
      </c>
      <c r="H384" s="7" t="s">
        <v>9</v>
      </c>
      <c r="I384" s="76" t="s">
        <v>10</v>
      </c>
      <c r="J384" s="77" t="s">
        <v>11</v>
      </c>
      <c r="K384" s="78" t="s">
        <v>12</v>
      </c>
      <c r="L384" s="53" t="s">
        <v>0</v>
      </c>
    </row>
    <row r="385" spans="2:13" ht="14.25" thickBot="1" x14ac:dyDescent="0.2">
      <c r="B385" s="91" t="s">
        <v>3</v>
      </c>
      <c r="C385" s="92">
        <f>C378</f>
        <v>12</v>
      </c>
      <c r="D385" s="93">
        <f>D378</f>
        <v>10</v>
      </c>
      <c r="E385" s="94">
        <f>E378</f>
        <v>8</v>
      </c>
      <c r="F385" s="95">
        <f>SUM(C385:E385)</f>
        <v>30</v>
      </c>
      <c r="G385" s="87"/>
      <c r="H385" s="96" t="s">
        <v>3</v>
      </c>
      <c r="I385" s="92">
        <f>I378</f>
        <v>195</v>
      </c>
      <c r="J385" s="93">
        <f>J378</f>
        <v>110</v>
      </c>
      <c r="K385" s="94">
        <f>K378</f>
        <v>70</v>
      </c>
      <c r="L385" s="95">
        <f>SUM(I385:K385)</f>
        <v>375</v>
      </c>
    </row>
    <row r="386" spans="2:13" x14ac:dyDescent="0.15">
      <c r="B386" s="71" t="s">
        <v>4</v>
      </c>
      <c r="C386" s="11">
        <v>5</v>
      </c>
      <c r="D386" s="26">
        <v>5</v>
      </c>
      <c r="E386" s="50">
        <v>5</v>
      </c>
      <c r="F386" s="54">
        <f t="shared" ref="F386:F387" si="48">SUM(C386:E386)</f>
        <v>15</v>
      </c>
      <c r="G386" s="87">
        <v>45453</v>
      </c>
      <c r="H386" s="15" t="s">
        <v>4</v>
      </c>
      <c r="I386" s="11"/>
      <c r="J386" s="26"/>
      <c r="K386" s="50"/>
      <c r="L386" s="54">
        <f>SUM(I386:K386)</f>
        <v>0</v>
      </c>
    </row>
    <row r="387" spans="2:13" x14ac:dyDescent="0.15">
      <c r="B387" s="71" t="s">
        <v>4</v>
      </c>
      <c r="C387" s="11"/>
      <c r="D387" s="26"/>
      <c r="E387" s="50">
        <v>10</v>
      </c>
      <c r="F387" s="54">
        <f t="shared" si="48"/>
        <v>10</v>
      </c>
      <c r="G387" s="87">
        <v>45472</v>
      </c>
      <c r="H387" s="15" t="s">
        <v>4</v>
      </c>
      <c r="I387" s="11"/>
      <c r="J387" s="26"/>
      <c r="K387" s="50"/>
      <c r="L387" s="54">
        <f>SUM(I387:K387)</f>
        <v>0</v>
      </c>
    </row>
    <row r="388" spans="2:13" ht="14.25" thickBot="1" x14ac:dyDescent="0.2">
      <c r="B388" s="71" t="s">
        <v>69</v>
      </c>
      <c r="C388" s="11">
        <v>0</v>
      </c>
      <c r="D388" s="26">
        <v>0</v>
      </c>
      <c r="E388" s="50">
        <v>0</v>
      </c>
      <c r="F388" s="54">
        <f t="shared" ref="F388" si="49">SUM(C388:E388)</f>
        <v>0</v>
      </c>
      <c r="G388" s="87">
        <v>45526</v>
      </c>
      <c r="H388" s="15" t="s">
        <v>4</v>
      </c>
      <c r="I388" s="11"/>
      <c r="J388" s="26"/>
      <c r="K388" s="50"/>
      <c r="L388" s="54">
        <f>SUM(I388:K388)</f>
        <v>0</v>
      </c>
    </row>
    <row r="389" spans="2:13" ht="14.25" thickBot="1" x14ac:dyDescent="0.2">
      <c r="B389" s="72" t="s">
        <v>1</v>
      </c>
      <c r="C389" s="40">
        <f>SUM(C385:C388)</f>
        <v>17</v>
      </c>
      <c r="D389" s="33">
        <f>SUM(D385:D388)</f>
        <v>15</v>
      </c>
      <c r="E389" s="27">
        <f>SUM(E385:E388)</f>
        <v>23</v>
      </c>
      <c r="F389" s="55">
        <f>SUM(F385:F388)</f>
        <v>55</v>
      </c>
      <c r="H389" s="7" t="s">
        <v>1</v>
      </c>
      <c r="I389" s="40">
        <f>SUM(I385:I388)</f>
        <v>195</v>
      </c>
      <c r="J389" s="33">
        <f>SUM(J385:J388)</f>
        <v>110</v>
      </c>
      <c r="K389" s="27">
        <f>SUM(K385:K388)</f>
        <v>70</v>
      </c>
      <c r="L389" s="55">
        <f>SUM(L385:L388)</f>
        <v>375</v>
      </c>
    </row>
    <row r="390" spans="2:13" x14ac:dyDescent="0.15">
      <c r="B390" s="73" t="s">
        <v>13</v>
      </c>
      <c r="C390" s="11"/>
      <c r="D390" s="26"/>
      <c r="E390" s="50">
        <v>1</v>
      </c>
      <c r="F390" s="54">
        <f t="shared" ref="F390:F410" si="50">SUM(C390:E390)</f>
        <v>1</v>
      </c>
      <c r="G390" s="87">
        <v>45433</v>
      </c>
      <c r="H390" s="16" t="s">
        <v>72</v>
      </c>
      <c r="I390" s="11">
        <v>10</v>
      </c>
      <c r="J390" s="26">
        <v>10</v>
      </c>
      <c r="K390" s="50">
        <v>10</v>
      </c>
      <c r="L390" s="54">
        <f t="shared" ref="L390:L410" si="51">SUM(I390:K390)</f>
        <v>30</v>
      </c>
      <c r="M390" s="87">
        <v>45455</v>
      </c>
    </row>
    <row r="391" spans="2:13" x14ac:dyDescent="0.15">
      <c r="B391" s="73" t="s">
        <v>13</v>
      </c>
      <c r="C391" s="11"/>
      <c r="D391" s="26">
        <v>1</v>
      </c>
      <c r="E391" s="50">
        <v>1</v>
      </c>
      <c r="F391" s="54">
        <f t="shared" si="50"/>
        <v>2</v>
      </c>
      <c r="G391" s="87">
        <v>45440</v>
      </c>
      <c r="H391" s="97" t="s">
        <v>65</v>
      </c>
      <c r="I391" s="11">
        <v>5</v>
      </c>
      <c r="J391" s="26">
        <v>5</v>
      </c>
      <c r="K391" s="50">
        <v>5</v>
      </c>
      <c r="L391" s="54">
        <f t="shared" si="51"/>
        <v>15</v>
      </c>
      <c r="M391" s="87">
        <v>45453</v>
      </c>
    </row>
    <row r="392" spans="2:13" x14ac:dyDescent="0.15">
      <c r="B392" s="73" t="s">
        <v>13</v>
      </c>
      <c r="C392" s="11"/>
      <c r="D392" s="26"/>
      <c r="E392" s="50">
        <v>1</v>
      </c>
      <c r="F392" s="54">
        <f t="shared" si="50"/>
        <v>1</v>
      </c>
      <c r="G392" s="87">
        <v>45442</v>
      </c>
      <c r="H392" s="97" t="s">
        <v>65</v>
      </c>
      <c r="I392" s="11"/>
      <c r="J392" s="26"/>
      <c r="K392" s="50">
        <v>10</v>
      </c>
      <c r="L392" s="54">
        <f t="shared" si="51"/>
        <v>10</v>
      </c>
      <c r="M392" s="87">
        <v>45472</v>
      </c>
    </row>
    <row r="393" spans="2:13" x14ac:dyDescent="0.15">
      <c r="B393" s="73" t="s">
        <v>13</v>
      </c>
      <c r="C393" s="11">
        <v>4</v>
      </c>
      <c r="D393" s="26">
        <v>1</v>
      </c>
      <c r="E393" s="50"/>
      <c r="F393" s="54">
        <f t="shared" si="50"/>
        <v>5</v>
      </c>
      <c r="G393" s="87">
        <v>45448</v>
      </c>
      <c r="H393" s="16" t="s">
        <v>75</v>
      </c>
      <c r="I393" s="11"/>
      <c r="J393" s="26"/>
      <c r="K393" s="50">
        <v>4</v>
      </c>
      <c r="L393" s="54">
        <f t="shared" si="51"/>
        <v>4</v>
      </c>
      <c r="M393" s="87">
        <v>45485</v>
      </c>
    </row>
    <row r="394" spans="2:13" x14ac:dyDescent="0.15">
      <c r="B394" s="73" t="s">
        <v>13</v>
      </c>
      <c r="C394" s="11">
        <v>1</v>
      </c>
      <c r="D394" s="26">
        <v>2</v>
      </c>
      <c r="E394" s="50">
        <v>1</v>
      </c>
      <c r="F394" s="54">
        <f t="shared" si="50"/>
        <v>4</v>
      </c>
      <c r="G394" s="87">
        <v>45449</v>
      </c>
      <c r="H394" s="97" t="s">
        <v>65</v>
      </c>
      <c r="I394" s="11">
        <v>5</v>
      </c>
      <c r="J394" s="26">
        <v>5</v>
      </c>
      <c r="K394" s="50">
        <v>5</v>
      </c>
      <c r="L394" s="54">
        <f t="shared" si="51"/>
        <v>15</v>
      </c>
      <c r="M394" s="87">
        <v>45491</v>
      </c>
    </row>
    <row r="395" spans="2:13" x14ac:dyDescent="0.15">
      <c r="B395" s="73" t="s">
        <v>13</v>
      </c>
      <c r="C395" s="11"/>
      <c r="D395" s="26"/>
      <c r="E395" s="50">
        <f>1+2</f>
        <v>3</v>
      </c>
      <c r="F395" s="54">
        <f t="shared" si="50"/>
        <v>3</v>
      </c>
      <c r="G395" s="87">
        <v>45453</v>
      </c>
      <c r="H395" s="16" t="s">
        <v>76</v>
      </c>
      <c r="I395" s="11"/>
      <c r="J395" s="26"/>
      <c r="K395" s="50">
        <v>2</v>
      </c>
      <c r="L395" s="54">
        <f t="shared" si="51"/>
        <v>2</v>
      </c>
      <c r="M395" s="87">
        <v>45502</v>
      </c>
    </row>
    <row r="396" spans="2:13" x14ac:dyDescent="0.15">
      <c r="B396" s="73" t="s">
        <v>13</v>
      </c>
      <c r="C396" s="11"/>
      <c r="D396" s="26"/>
      <c r="E396" s="50">
        <v>1</v>
      </c>
      <c r="F396" s="54">
        <f t="shared" si="50"/>
        <v>1</v>
      </c>
      <c r="G396" s="87">
        <v>45455</v>
      </c>
      <c r="H396" s="16" t="s">
        <v>77</v>
      </c>
      <c r="I396" s="11"/>
      <c r="J396" s="26">
        <v>2</v>
      </c>
      <c r="K396" s="50">
        <v>3</v>
      </c>
      <c r="L396" s="54">
        <f t="shared" si="51"/>
        <v>5</v>
      </c>
      <c r="M396" s="87">
        <v>45509</v>
      </c>
    </row>
    <row r="397" spans="2:13" x14ac:dyDescent="0.15">
      <c r="B397" s="73" t="s">
        <v>13</v>
      </c>
      <c r="C397" s="11">
        <v>1</v>
      </c>
      <c r="D397" s="26"/>
      <c r="E397" s="50"/>
      <c r="F397" s="54">
        <f t="shared" si="50"/>
        <v>1</v>
      </c>
      <c r="G397" s="87">
        <v>45463</v>
      </c>
      <c r="H397" s="16" t="s">
        <v>78</v>
      </c>
      <c r="I397" s="11"/>
      <c r="J397" s="26">
        <v>1</v>
      </c>
      <c r="K397" s="50">
        <v>1</v>
      </c>
      <c r="L397" s="54">
        <f t="shared" si="51"/>
        <v>2</v>
      </c>
      <c r="M397" s="87">
        <v>45513</v>
      </c>
    </row>
    <row r="398" spans="2:13" x14ac:dyDescent="0.15">
      <c r="B398" s="73" t="s">
        <v>13</v>
      </c>
      <c r="C398" s="11"/>
      <c r="D398" s="26"/>
      <c r="E398" s="50">
        <v>1</v>
      </c>
      <c r="F398" s="54">
        <f t="shared" si="50"/>
        <v>1</v>
      </c>
      <c r="G398" s="87">
        <v>45468</v>
      </c>
      <c r="H398" s="16" t="s">
        <v>79</v>
      </c>
      <c r="I398" s="11"/>
      <c r="J398" s="26"/>
      <c r="K398" s="50">
        <v>5</v>
      </c>
      <c r="L398" s="54">
        <f t="shared" si="51"/>
        <v>5</v>
      </c>
      <c r="M398" s="87">
        <v>45530</v>
      </c>
    </row>
    <row r="399" spans="2:13" x14ac:dyDescent="0.15">
      <c r="B399" s="73" t="s">
        <v>13</v>
      </c>
      <c r="C399" s="11"/>
      <c r="D399" s="26">
        <v>1</v>
      </c>
      <c r="E399" s="50">
        <v>1</v>
      </c>
      <c r="F399" s="54">
        <f t="shared" si="50"/>
        <v>2</v>
      </c>
      <c r="G399" s="87">
        <v>45469</v>
      </c>
      <c r="H399" s="16" t="s">
        <v>80</v>
      </c>
      <c r="I399" s="11"/>
      <c r="J399" s="26">
        <v>3</v>
      </c>
      <c r="K399" s="50"/>
      <c r="L399" s="54">
        <f t="shared" si="51"/>
        <v>3</v>
      </c>
      <c r="M399" s="87">
        <v>45534</v>
      </c>
    </row>
    <row r="400" spans="2:13" x14ac:dyDescent="0.15">
      <c r="B400" s="73" t="s">
        <v>13</v>
      </c>
      <c r="C400" s="11"/>
      <c r="D400" s="26">
        <v>1</v>
      </c>
      <c r="E400" s="50"/>
      <c r="F400" s="54">
        <f t="shared" si="50"/>
        <v>1</v>
      </c>
      <c r="G400" s="87">
        <v>45471</v>
      </c>
      <c r="H400" s="16"/>
      <c r="I400" s="11"/>
      <c r="J400" s="26"/>
      <c r="K400" s="50"/>
      <c r="L400" s="54">
        <f t="shared" si="51"/>
        <v>0</v>
      </c>
    </row>
    <row r="401" spans="2:12" x14ac:dyDescent="0.15">
      <c r="B401" s="73" t="s">
        <v>13</v>
      </c>
      <c r="C401" s="11"/>
      <c r="D401" s="26"/>
      <c r="E401" s="50">
        <v>1</v>
      </c>
      <c r="F401" s="54">
        <f t="shared" si="50"/>
        <v>1</v>
      </c>
      <c r="G401" s="87">
        <v>45472</v>
      </c>
      <c r="H401" s="16"/>
      <c r="I401" s="11"/>
      <c r="J401" s="26"/>
      <c r="K401" s="50"/>
      <c r="L401" s="54">
        <f t="shared" si="51"/>
        <v>0</v>
      </c>
    </row>
    <row r="402" spans="2:12" x14ac:dyDescent="0.15">
      <c r="B402" s="73" t="s">
        <v>13</v>
      </c>
      <c r="C402" s="11">
        <v>1</v>
      </c>
      <c r="D402" s="26"/>
      <c r="E402" s="50"/>
      <c r="F402" s="54">
        <f t="shared" si="50"/>
        <v>1</v>
      </c>
      <c r="G402" s="87">
        <v>45475</v>
      </c>
      <c r="H402" s="16"/>
      <c r="I402" s="11"/>
      <c r="J402" s="26"/>
      <c r="K402" s="50"/>
      <c r="L402" s="54">
        <f t="shared" si="51"/>
        <v>0</v>
      </c>
    </row>
    <row r="403" spans="2:12" x14ac:dyDescent="0.15">
      <c r="B403" s="73" t="s">
        <v>13</v>
      </c>
      <c r="C403" s="11"/>
      <c r="D403" s="26"/>
      <c r="E403" s="50">
        <v>1</v>
      </c>
      <c r="F403" s="54">
        <f t="shared" si="50"/>
        <v>1</v>
      </c>
      <c r="G403" s="87">
        <v>45476</v>
      </c>
      <c r="H403" s="16"/>
      <c r="I403" s="11"/>
      <c r="J403" s="26"/>
      <c r="K403" s="50"/>
      <c r="L403" s="54">
        <f t="shared" si="51"/>
        <v>0</v>
      </c>
    </row>
    <row r="404" spans="2:12" x14ac:dyDescent="0.15">
      <c r="B404" s="73" t="s">
        <v>13</v>
      </c>
      <c r="C404" s="11">
        <v>2</v>
      </c>
      <c r="D404" s="26"/>
      <c r="E404" s="50">
        <v>2</v>
      </c>
      <c r="F404" s="54">
        <f t="shared" si="50"/>
        <v>4</v>
      </c>
      <c r="G404" s="87">
        <v>45479</v>
      </c>
      <c r="H404" s="16"/>
      <c r="I404" s="11"/>
      <c r="J404" s="26"/>
      <c r="K404" s="50"/>
      <c r="L404" s="54">
        <f t="shared" si="51"/>
        <v>0</v>
      </c>
    </row>
    <row r="405" spans="2:12" x14ac:dyDescent="0.15">
      <c r="B405" s="73" t="s">
        <v>13</v>
      </c>
      <c r="C405" s="11">
        <v>2</v>
      </c>
      <c r="D405" s="26">
        <v>1</v>
      </c>
      <c r="E405" s="50">
        <v>1</v>
      </c>
      <c r="F405" s="54">
        <f t="shared" si="50"/>
        <v>4</v>
      </c>
      <c r="G405" s="87">
        <v>45484</v>
      </c>
      <c r="H405" s="16"/>
      <c r="I405" s="11"/>
      <c r="J405" s="26"/>
      <c r="K405" s="50"/>
      <c r="L405" s="54">
        <f t="shared" si="51"/>
        <v>0</v>
      </c>
    </row>
    <row r="406" spans="2:12" x14ac:dyDescent="0.15">
      <c r="B406" s="73" t="s">
        <v>13</v>
      </c>
      <c r="C406" s="11"/>
      <c r="D406" s="26"/>
      <c r="E406" s="50">
        <v>1</v>
      </c>
      <c r="F406" s="54">
        <f t="shared" si="50"/>
        <v>1</v>
      </c>
      <c r="G406" s="87">
        <v>45485</v>
      </c>
      <c r="H406" s="16"/>
      <c r="I406" s="11"/>
      <c r="J406" s="26"/>
      <c r="K406" s="50"/>
      <c r="L406" s="54">
        <f t="shared" si="51"/>
        <v>0</v>
      </c>
    </row>
    <row r="407" spans="2:12" x14ac:dyDescent="0.15">
      <c r="B407" s="73" t="s">
        <v>13</v>
      </c>
      <c r="C407" s="11"/>
      <c r="D407" s="26">
        <v>1</v>
      </c>
      <c r="E407" s="50">
        <v>2</v>
      </c>
      <c r="F407" s="54">
        <f t="shared" si="50"/>
        <v>3</v>
      </c>
      <c r="G407" s="87">
        <v>45489</v>
      </c>
      <c r="H407" s="16"/>
      <c r="I407" s="11"/>
      <c r="J407" s="26"/>
      <c r="K407" s="50"/>
      <c r="L407" s="54">
        <f t="shared" si="51"/>
        <v>0</v>
      </c>
    </row>
    <row r="408" spans="2:12" x14ac:dyDescent="0.15">
      <c r="B408" s="73" t="s">
        <v>74</v>
      </c>
      <c r="C408" s="11">
        <v>-5</v>
      </c>
      <c r="D408" s="26">
        <v>-5</v>
      </c>
      <c r="E408" s="50">
        <v>-5</v>
      </c>
      <c r="F408" s="54">
        <f t="shared" si="50"/>
        <v>-15</v>
      </c>
      <c r="G408" s="87">
        <v>45491</v>
      </c>
      <c r="H408" s="16"/>
      <c r="I408" s="11"/>
      <c r="J408" s="26"/>
      <c r="K408" s="50"/>
      <c r="L408" s="54">
        <f t="shared" si="51"/>
        <v>0</v>
      </c>
    </row>
    <row r="409" spans="2:12" x14ac:dyDescent="0.15">
      <c r="B409" s="73" t="s">
        <v>13</v>
      </c>
      <c r="C409" s="11"/>
      <c r="D409" s="26"/>
      <c r="E409" s="50">
        <v>1</v>
      </c>
      <c r="F409" s="54">
        <f t="shared" si="50"/>
        <v>1</v>
      </c>
      <c r="G409" s="87">
        <v>45506</v>
      </c>
      <c r="H409" s="16"/>
      <c r="I409" s="11"/>
      <c r="J409" s="26"/>
      <c r="K409" s="50"/>
      <c r="L409" s="54">
        <f t="shared" si="51"/>
        <v>0</v>
      </c>
    </row>
    <row r="410" spans="2:12" x14ac:dyDescent="0.15">
      <c r="B410" s="73" t="s">
        <v>13</v>
      </c>
      <c r="C410" s="11"/>
      <c r="D410" s="26">
        <v>1</v>
      </c>
      <c r="E410" s="50">
        <v>3</v>
      </c>
      <c r="F410" s="54">
        <f t="shared" si="50"/>
        <v>4</v>
      </c>
      <c r="G410" s="87">
        <v>45510</v>
      </c>
      <c r="H410" s="16"/>
      <c r="I410" s="11"/>
      <c r="J410" s="26"/>
      <c r="K410" s="50"/>
      <c r="L410" s="54">
        <f t="shared" si="51"/>
        <v>0</v>
      </c>
    </row>
    <row r="411" spans="2:12" x14ac:dyDescent="0.15">
      <c r="B411" s="73" t="s">
        <v>13</v>
      </c>
      <c r="C411" s="11"/>
      <c r="D411" s="26">
        <v>1</v>
      </c>
      <c r="E411" s="50"/>
      <c r="F411" s="54">
        <f t="shared" ref="F411" si="52">SUM(C411:E411)</f>
        <v>1</v>
      </c>
      <c r="G411" s="87">
        <v>45511</v>
      </c>
      <c r="H411" s="16"/>
      <c r="I411" s="11"/>
      <c r="J411" s="26"/>
      <c r="K411" s="50"/>
      <c r="L411" s="54">
        <f t="shared" ref="L411:L414" si="53">SUM(I411:K411)</f>
        <v>0</v>
      </c>
    </row>
    <row r="412" spans="2:12" x14ac:dyDescent="0.15">
      <c r="B412" s="73" t="s">
        <v>13</v>
      </c>
      <c r="C412" s="11">
        <v>3</v>
      </c>
      <c r="D412" s="26"/>
      <c r="E412" s="50">
        <v>1</v>
      </c>
      <c r="F412" s="54">
        <f t="shared" ref="F412:F414" si="54">SUM(C412:E412)</f>
        <v>4</v>
      </c>
      <c r="G412" s="87">
        <v>45515</v>
      </c>
      <c r="H412" s="16"/>
      <c r="I412" s="11"/>
      <c r="J412" s="26"/>
      <c r="K412" s="50"/>
      <c r="L412" s="54">
        <f t="shared" si="53"/>
        <v>0</v>
      </c>
    </row>
    <row r="413" spans="2:12" x14ac:dyDescent="0.15">
      <c r="B413" s="73" t="s">
        <v>13</v>
      </c>
      <c r="C413" s="11"/>
      <c r="D413" s="26"/>
      <c r="E413" s="50">
        <v>1</v>
      </c>
      <c r="F413" s="54">
        <f t="shared" si="54"/>
        <v>1</v>
      </c>
      <c r="G413" s="87">
        <v>45520</v>
      </c>
      <c r="H413" s="16" t="s">
        <v>13</v>
      </c>
      <c r="I413" s="11"/>
      <c r="J413" s="26"/>
      <c r="K413" s="50"/>
      <c r="L413" s="54">
        <f t="shared" si="53"/>
        <v>0</v>
      </c>
    </row>
    <row r="414" spans="2:12" ht="14.25" thickBot="1" x14ac:dyDescent="0.2">
      <c r="B414" s="73" t="s">
        <v>13</v>
      </c>
      <c r="C414" s="11"/>
      <c r="D414" s="26"/>
      <c r="E414" s="50">
        <v>1</v>
      </c>
      <c r="F414" s="54">
        <f t="shared" si="54"/>
        <v>1</v>
      </c>
      <c r="G414" s="87">
        <v>45531</v>
      </c>
      <c r="H414" s="16" t="s">
        <v>70</v>
      </c>
      <c r="I414" s="11"/>
      <c r="J414" s="26"/>
      <c r="K414" s="50"/>
      <c r="L414" s="54">
        <f t="shared" si="53"/>
        <v>0</v>
      </c>
    </row>
    <row r="415" spans="2:12" ht="14.25" thickBot="1" x14ac:dyDescent="0.2">
      <c r="B415" s="7" t="s">
        <v>2</v>
      </c>
      <c r="C415" s="40">
        <f>SUM(C390:C414)</f>
        <v>9</v>
      </c>
      <c r="D415" s="33">
        <f>SUM(D390:D414)</f>
        <v>5</v>
      </c>
      <c r="E415" s="27">
        <f>SUM(E390:E414)</f>
        <v>20</v>
      </c>
      <c r="F415" s="55">
        <f>SUM(F390:F414)</f>
        <v>34</v>
      </c>
      <c r="H415" s="7" t="s">
        <v>2</v>
      </c>
      <c r="I415" s="40">
        <f>SUM(I390:I414)</f>
        <v>20</v>
      </c>
      <c r="J415" s="33">
        <f>SUM(J390:J414)</f>
        <v>26</v>
      </c>
      <c r="K415" s="27">
        <f>SUM(K390:K414)</f>
        <v>45</v>
      </c>
      <c r="L415" s="55">
        <f>SUM(L390:L414)</f>
        <v>91</v>
      </c>
    </row>
    <row r="416" spans="2:12" ht="14.25" thickBot="1" x14ac:dyDescent="0.2">
      <c r="B416" s="35" t="s">
        <v>3</v>
      </c>
      <c r="C416" s="45">
        <f>C389-C415</f>
        <v>8</v>
      </c>
      <c r="D416" s="79">
        <f>D389-D415</f>
        <v>10</v>
      </c>
      <c r="E416" s="36">
        <f>E389-E415</f>
        <v>3</v>
      </c>
      <c r="F416" s="43">
        <f>SUM(C416:E416)</f>
        <v>21</v>
      </c>
      <c r="H416" s="35" t="s">
        <v>3</v>
      </c>
      <c r="I416" s="45">
        <f>I389-I415</f>
        <v>175</v>
      </c>
      <c r="J416" s="79">
        <f>J389-J415</f>
        <v>84</v>
      </c>
      <c r="K416" s="36">
        <f>K389-K415</f>
        <v>25</v>
      </c>
      <c r="L416" s="43">
        <f>SUM(I416:K416)</f>
        <v>284</v>
      </c>
    </row>
    <row r="419" spans="2:13" ht="18.75" x14ac:dyDescent="0.2">
      <c r="B419" s="14" t="s">
        <v>7</v>
      </c>
      <c r="H419" s="14" t="s">
        <v>8</v>
      </c>
    </row>
    <row r="420" spans="2:13" ht="14.25" thickBot="1" x14ac:dyDescent="0.2">
      <c r="H420" s="1"/>
    </row>
    <row r="421" spans="2:13" ht="14.25" thickBot="1" x14ac:dyDescent="0.2">
      <c r="B421" s="6"/>
      <c r="C421" s="104"/>
      <c r="D421" s="105"/>
      <c r="E421" s="105"/>
      <c r="F421" s="106"/>
      <c r="H421" s="6"/>
      <c r="I421" s="101"/>
      <c r="J421" s="102"/>
      <c r="K421" s="102"/>
      <c r="L421" s="103"/>
    </row>
    <row r="422" spans="2:13" ht="14.25" thickBot="1" x14ac:dyDescent="0.2">
      <c r="B422" s="7" t="s">
        <v>9</v>
      </c>
      <c r="C422" s="76" t="s">
        <v>10</v>
      </c>
      <c r="D422" s="77" t="s">
        <v>11</v>
      </c>
      <c r="E422" s="78" t="s">
        <v>12</v>
      </c>
      <c r="F422" s="53" t="s">
        <v>0</v>
      </c>
      <c r="H422" s="7" t="s">
        <v>9</v>
      </c>
      <c r="I422" s="76" t="s">
        <v>10</v>
      </c>
      <c r="J422" s="77" t="s">
        <v>11</v>
      </c>
      <c r="K422" s="78" t="s">
        <v>12</v>
      </c>
      <c r="L422" s="53" t="s">
        <v>0</v>
      </c>
    </row>
    <row r="423" spans="2:13" ht="14.25" thickBot="1" x14ac:dyDescent="0.2">
      <c r="B423" s="91" t="s">
        <v>3</v>
      </c>
      <c r="C423" s="92">
        <f>C416</f>
        <v>8</v>
      </c>
      <c r="D423" s="93">
        <f>D416</f>
        <v>10</v>
      </c>
      <c r="E423" s="94">
        <f>E416</f>
        <v>3</v>
      </c>
      <c r="F423" s="95">
        <f>SUM(C423:E423)</f>
        <v>21</v>
      </c>
      <c r="G423" s="87"/>
      <c r="H423" s="96" t="s">
        <v>3</v>
      </c>
      <c r="I423" s="92">
        <f>I416</f>
        <v>175</v>
      </c>
      <c r="J423" s="93">
        <f>J416</f>
        <v>84</v>
      </c>
      <c r="K423" s="94">
        <f>K416</f>
        <v>25</v>
      </c>
      <c r="L423" s="95">
        <f>SUM(I423:K423)</f>
        <v>284</v>
      </c>
    </row>
    <row r="424" spans="2:13" x14ac:dyDescent="0.15">
      <c r="B424" s="15" t="s">
        <v>4</v>
      </c>
      <c r="C424" s="11"/>
      <c r="D424" s="26"/>
      <c r="E424" s="50">
        <v>5</v>
      </c>
      <c r="F424" s="54">
        <f>SUM(C424:E424)</f>
        <v>5</v>
      </c>
      <c r="G424" s="87">
        <v>45542</v>
      </c>
      <c r="H424" s="15" t="s">
        <v>81</v>
      </c>
      <c r="I424" s="11">
        <v>5</v>
      </c>
      <c r="J424" s="26">
        <v>1</v>
      </c>
      <c r="K424" s="50"/>
      <c r="L424" s="54">
        <f>SUM(I424:K424)</f>
        <v>6</v>
      </c>
      <c r="M424" s="87">
        <v>45611</v>
      </c>
    </row>
    <row r="425" spans="2:13" x14ac:dyDescent="0.15">
      <c r="B425" s="15" t="s">
        <v>4</v>
      </c>
      <c r="C425" s="11">
        <v>5</v>
      </c>
      <c r="D425" s="26">
        <v>5</v>
      </c>
      <c r="E425" s="50">
        <v>10</v>
      </c>
      <c r="F425" s="54">
        <f>SUM(C425:E425)</f>
        <v>20</v>
      </c>
      <c r="G425" s="87">
        <v>45584</v>
      </c>
      <c r="H425" s="15" t="s">
        <v>4</v>
      </c>
      <c r="I425" s="11"/>
      <c r="J425" s="26"/>
      <c r="K425" s="50"/>
      <c r="L425" s="54">
        <f>SUM(I425:K425)</f>
        <v>0</v>
      </c>
    </row>
    <row r="426" spans="2:13" ht="14.25" thickBot="1" x14ac:dyDescent="0.2">
      <c r="B426" s="15" t="s">
        <v>4</v>
      </c>
      <c r="C426" s="11">
        <v>5</v>
      </c>
      <c r="D426" s="26">
        <v>1</v>
      </c>
      <c r="E426" s="50">
        <v>10</v>
      </c>
      <c r="F426" s="54">
        <f>SUM(C426:E426)</f>
        <v>16</v>
      </c>
      <c r="G426" s="87">
        <v>45615</v>
      </c>
      <c r="H426" s="15" t="s">
        <v>4</v>
      </c>
      <c r="I426" s="11"/>
      <c r="J426" s="26"/>
      <c r="K426" s="50"/>
      <c r="L426" s="54">
        <f>SUM(I426:K426)</f>
        <v>0</v>
      </c>
    </row>
    <row r="427" spans="2:13" ht="14.25" thickBot="1" x14ac:dyDescent="0.2">
      <c r="B427" s="72" t="s">
        <v>1</v>
      </c>
      <c r="C427" s="40">
        <f>SUM(C423:C426)</f>
        <v>18</v>
      </c>
      <c r="D427" s="33">
        <f>SUM(D423:D426)</f>
        <v>16</v>
      </c>
      <c r="E427" s="27">
        <f>SUM(E423:E426)</f>
        <v>28</v>
      </c>
      <c r="F427" s="55">
        <f>SUM(F423:F426)</f>
        <v>62</v>
      </c>
      <c r="H427" s="7" t="s">
        <v>1</v>
      </c>
      <c r="I427" s="40">
        <f>SUM(I423:I426)</f>
        <v>180</v>
      </c>
      <c r="J427" s="33">
        <f>SUM(J423:J426)</f>
        <v>85</v>
      </c>
      <c r="K427" s="27">
        <f>SUM(K423:K426)</f>
        <v>25</v>
      </c>
      <c r="L427" s="55">
        <f>SUM(L423:L426)</f>
        <v>290</v>
      </c>
    </row>
    <row r="428" spans="2:13" x14ac:dyDescent="0.15">
      <c r="B428" s="73" t="s">
        <v>13</v>
      </c>
      <c r="C428" s="11">
        <v>1</v>
      </c>
      <c r="D428" s="26"/>
      <c r="E428" s="50"/>
      <c r="F428" s="54">
        <f t="shared" ref="F428:F451" si="55">SUM(C428:E428)</f>
        <v>1</v>
      </c>
      <c r="G428" s="87">
        <v>45540</v>
      </c>
      <c r="H428" s="97" t="s">
        <v>65</v>
      </c>
      <c r="I428" s="11"/>
      <c r="J428" s="26"/>
      <c r="K428" s="50">
        <v>5</v>
      </c>
      <c r="L428" s="54">
        <f t="shared" ref="L428:L440" si="56">SUM(I428:K428)</f>
        <v>5</v>
      </c>
      <c r="M428" s="87">
        <v>45542</v>
      </c>
    </row>
    <row r="429" spans="2:13" x14ac:dyDescent="0.15">
      <c r="B429" s="73" t="s">
        <v>13</v>
      </c>
      <c r="C429" s="11"/>
      <c r="D429" s="26"/>
      <c r="E429" s="50">
        <v>1</v>
      </c>
      <c r="F429" s="54">
        <f t="shared" si="55"/>
        <v>1</v>
      </c>
      <c r="G429" s="87">
        <v>45546</v>
      </c>
      <c r="H429" s="97" t="s">
        <v>65</v>
      </c>
      <c r="I429" s="11">
        <v>5</v>
      </c>
      <c r="J429" s="26">
        <v>5</v>
      </c>
      <c r="K429" s="50">
        <v>10</v>
      </c>
      <c r="L429" s="54">
        <f>SUM(I429:K429)</f>
        <v>20</v>
      </c>
      <c r="M429" s="87">
        <v>45584</v>
      </c>
    </row>
    <row r="430" spans="2:13" x14ac:dyDescent="0.15">
      <c r="B430" s="73" t="s">
        <v>13</v>
      </c>
      <c r="C430" s="11">
        <v>1</v>
      </c>
      <c r="D430" s="26">
        <v>1</v>
      </c>
      <c r="E430" s="50"/>
      <c r="F430" s="54">
        <f t="shared" si="55"/>
        <v>2</v>
      </c>
      <c r="G430" s="87">
        <v>45552</v>
      </c>
      <c r="H430" s="97" t="s">
        <v>65</v>
      </c>
      <c r="I430" s="11"/>
      <c r="J430" s="26"/>
      <c r="K430" s="50">
        <v>10</v>
      </c>
      <c r="L430" s="54">
        <f>SUM(I430:K430)</f>
        <v>10</v>
      </c>
      <c r="M430" s="87">
        <v>45615</v>
      </c>
    </row>
    <row r="431" spans="2:13" x14ac:dyDescent="0.15">
      <c r="B431" s="73" t="s">
        <v>13</v>
      </c>
      <c r="C431" s="11"/>
      <c r="D431" s="26">
        <v>1</v>
      </c>
      <c r="E431" s="50">
        <v>1</v>
      </c>
      <c r="F431" s="54">
        <f t="shared" si="55"/>
        <v>2</v>
      </c>
      <c r="G431" s="87">
        <v>45559</v>
      </c>
      <c r="H431" s="97" t="s">
        <v>65</v>
      </c>
      <c r="I431" s="11">
        <v>5</v>
      </c>
      <c r="J431" s="26">
        <v>1</v>
      </c>
      <c r="K431" s="50"/>
      <c r="L431" s="54">
        <f t="shared" si="56"/>
        <v>6</v>
      </c>
      <c r="M431" s="87">
        <v>45626</v>
      </c>
    </row>
    <row r="432" spans="2:13" x14ac:dyDescent="0.15">
      <c r="B432" s="73" t="s">
        <v>13</v>
      </c>
      <c r="C432" s="11">
        <v>1</v>
      </c>
      <c r="D432" s="26"/>
      <c r="E432" s="50">
        <v>2</v>
      </c>
      <c r="F432" s="54">
        <f t="shared" si="55"/>
        <v>3</v>
      </c>
      <c r="G432" s="87">
        <v>45572</v>
      </c>
      <c r="H432" s="97" t="s">
        <v>65</v>
      </c>
      <c r="I432" s="11">
        <v>10</v>
      </c>
      <c r="J432" s="26">
        <v>20</v>
      </c>
      <c r="K432" s="50"/>
      <c r="L432" s="54">
        <f t="shared" si="56"/>
        <v>30</v>
      </c>
      <c r="M432" s="87">
        <v>45766</v>
      </c>
    </row>
    <row r="433" spans="2:12" x14ac:dyDescent="0.15">
      <c r="B433" s="73" t="s">
        <v>13</v>
      </c>
      <c r="C433" s="11"/>
      <c r="D433" s="26"/>
      <c r="E433" s="50">
        <v>1</v>
      </c>
      <c r="F433" s="54">
        <f t="shared" si="55"/>
        <v>1</v>
      </c>
      <c r="G433" s="87">
        <v>45582</v>
      </c>
      <c r="H433" s="16"/>
      <c r="I433" s="11"/>
      <c r="J433" s="26"/>
      <c r="K433" s="50"/>
      <c r="L433" s="54">
        <f t="shared" si="56"/>
        <v>0</v>
      </c>
    </row>
    <row r="434" spans="2:12" x14ac:dyDescent="0.15">
      <c r="B434" s="73" t="s">
        <v>13</v>
      </c>
      <c r="C434" s="11"/>
      <c r="D434" s="26"/>
      <c r="E434" s="50">
        <v>1</v>
      </c>
      <c r="F434" s="54">
        <f t="shared" si="55"/>
        <v>1</v>
      </c>
      <c r="G434" s="87">
        <v>45590</v>
      </c>
      <c r="H434" s="16"/>
      <c r="I434" s="11"/>
      <c r="J434" s="26"/>
      <c r="K434" s="50"/>
      <c r="L434" s="54">
        <f t="shared" si="56"/>
        <v>0</v>
      </c>
    </row>
    <row r="435" spans="2:12" x14ac:dyDescent="0.15">
      <c r="B435" s="73" t="s">
        <v>13</v>
      </c>
      <c r="C435" s="11"/>
      <c r="D435" s="26"/>
      <c r="E435" s="50">
        <v>1</v>
      </c>
      <c r="F435" s="54">
        <f t="shared" si="55"/>
        <v>1</v>
      </c>
      <c r="G435" s="87">
        <v>45593</v>
      </c>
      <c r="H435" s="16"/>
      <c r="I435" s="11"/>
      <c r="J435" s="26"/>
      <c r="K435" s="50"/>
      <c r="L435" s="54">
        <f t="shared" si="56"/>
        <v>0</v>
      </c>
    </row>
    <row r="436" spans="2:12" x14ac:dyDescent="0.15">
      <c r="B436" s="73" t="s">
        <v>13</v>
      </c>
      <c r="C436" s="11"/>
      <c r="D436" s="26"/>
      <c r="E436" s="50">
        <v>1</v>
      </c>
      <c r="F436" s="54">
        <f t="shared" si="55"/>
        <v>1</v>
      </c>
      <c r="G436" s="87">
        <v>45671</v>
      </c>
      <c r="H436" s="16"/>
      <c r="I436" s="11"/>
      <c r="J436" s="26"/>
      <c r="K436" s="50"/>
      <c r="L436" s="54">
        <f t="shared" si="56"/>
        <v>0</v>
      </c>
    </row>
    <row r="437" spans="2:12" x14ac:dyDescent="0.15">
      <c r="B437" s="73" t="s">
        <v>13</v>
      </c>
      <c r="C437" s="11"/>
      <c r="D437" s="26"/>
      <c r="E437" s="50">
        <v>1</v>
      </c>
      <c r="F437" s="54">
        <f t="shared" si="55"/>
        <v>1</v>
      </c>
      <c r="G437" s="87">
        <v>45674</v>
      </c>
      <c r="H437" s="16"/>
      <c r="I437" s="11"/>
      <c r="J437" s="26"/>
      <c r="K437" s="50"/>
      <c r="L437" s="54">
        <f t="shared" si="56"/>
        <v>0</v>
      </c>
    </row>
    <row r="438" spans="2:12" x14ac:dyDescent="0.15">
      <c r="B438" s="73" t="s">
        <v>13</v>
      </c>
      <c r="C438" s="11">
        <v>1</v>
      </c>
      <c r="D438" s="26">
        <v>1</v>
      </c>
      <c r="E438" s="50"/>
      <c r="F438" s="54">
        <f t="shared" si="55"/>
        <v>2</v>
      </c>
      <c r="G438" s="87">
        <v>45698</v>
      </c>
      <c r="H438" s="16"/>
      <c r="I438" s="11"/>
      <c r="J438" s="26"/>
      <c r="K438" s="50"/>
      <c r="L438" s="54">
        <f t="shared" si="56"/>
        <v>0</v>
      </c>
    </row>
    <row r="439" spans="2:12" x14ac:dyDescent="0.15">
      <c r="B439" s="73" t="s">
        <v>13</v>
      </c>
      <c r="C439" s="11"/>
      <c r="D439" s="26"/>
      <c r="E439" s="50">
        <v>1</v>
      </c>
      <c r="F439" s="54">
        <f t="shared" si="55"/>
        <v>1</v>
      </c>
      <c r="G439" s="87">
        <v>45705</v>
      </c>
      <c r="H439" s="16"/>
      <c r="I439" s="11"/>
      <c r="J439" s="26"/>
      <c r="K439" s="50"/>
      <c r="L439" s="54">
        <f t="shared" si="56"/>
        <v>0</v>
      </c>
    </row>
    <row r="440" spans="2:12" x14ac:dyDescent="0.15">
      <c r="B440" s="73" t="s">
        <v>13</v>
      </c>
      <c r="C440" s="11"/>
      <c r="D440" s="26">
        <v>1</v>
      </c>
      <c r="E440" s="50">
        <v>1</v>
      </c>
      <c r="F440" s="54">
        <f t="shared" si="55"/>
        <v>2</v>
      </c>
      <c r="G440" s="87">
        <v>45722</v>
      </c>
      <c r="H440" s="16"/>
      <c r="I440" s="11"/>
      <c r="J440" s="26"/>
      <c r="K440" s="50"/>
      <c r="L440" s="54">
        <f t="shared" si="56"/>
        <v>0</v>
      </c>
    </row>
    <row r="441" spans="2:12" x14ac:dyDescent="0.15">
      <c r="B441" s="73" t="s">
        <v>13</v>
      </c>
      <c r="C441" s="11"/>
      <c r="D441" s="26"/>
      <c r="E441" s="50">
        <v>1</v>
      </c>
      <c r="F441" s="54">
        <f t="shared" si="55"/>
        <v>1</v>
      </c>
      <c r="G441" s="87">
        <v>45723</v>
      </c>
      <c r="H441" s="16"/>
      <c r="I441" s="11"/>
      <c r="J441" s="26"/>
      <c r="K441" s="50"/>
      <c r="L441" s="54">
        <f t="shared" ref="L441:L452" si="57">SUM(I441:K441)</f>
        <v>0</v>
      </c>
    </row>
    <row r="442" spans="2:12" x14ac:dyDescent="0.15">
      <c r="B442" s="73" t="s">
        <v>13</v>
      </c>
      <c r="C442" s="11"/>
      <c r="D442" s="26"/>
      <c r="E442" s="50">
        <v>1</v>
      </c>
      <c r="F442" s="54">
        <f t="shared" si="55"/>
        <v>1</v>
      </c>
      <c r="G442" s="87">
        <v>45726</v>
      </c>
      <c r="H442" s="16"/>
      <c r="I442" s="11"/>
      <c r="J442" s="26"/>
      <c r="K442" s="50"/>
      <c r="L442" s="54">
        <f t="shared" si="57"/>
        <v>0</v>
      </c>
    </row>
    <row r="443" spans="2:12" x14ac:dyDescent="0.15">
      <c r="B443" s="73" t="s">
        <v>13</v>
      </c>
      <c r="C443" s="11"/>
      <c r="D443" s="26"/>
      <c r="E443" s="50">
        <v>1</v>
      </c>
      <c r="F443" s="54">
        <f t="shared" si="55"/>
        <v>1</v>
      </c>
      <c r="G443" s="87">
        <v>45733</v>
      </c>
      <c r="H443" s="16"/>
      <c r="I443" s="11"/>
      <c r="J443" s="26"/>
      <c r="K443" s="50"/>
      <c r="L443" s="54">
        <f t="shared" si="57"/>
        <v>0</v>
      </c>
    </row>
    <row r="444" spans="2:12" x14ac:dyDescent="0.15">
      <c r="B444" s="73" t="s">
        <v>13</v>
      </c>
      <c r="C444" s="11"/>
      <c r="D444" s="26">
        <v>1</v>
      </c>
      <c r="E444" s="50">
        <f>1+1+1</f>
        <v>3</v>
      </c>
      <c r="F444" s="54">
        <f t="shared" si="55"/>
        <v>4</v>
      </c>
      <c r="G444" s="87">
        <v>45740</v>
      </c>
      <c r="H444" s="16"/>
      <c r="I444" s="11"/>
      <c r="J444" s="26"/>
      <c r="K444" s="50"/>
      <c r="L444" s="54">
        <f t="shared" si="57"/>
        <v>0</v>
      </c>
    </row>
    <row r="445" spans="2:12" x14ac:dyDescent="0.15">
      <c r="B445" s="73" t="s">
        <v>13</v>
      </c>
      <c r="C445" s="11">
        <v>1</v>
      </c>
      <c r="D445" s="26">
        <v>2</v>
      </c>
      <c r="E445" s="50">
        <v>2</v>
      </c>
      <c r="F445" s="54">
        <f t="shared" si="55"/>
        <v>5</v>
      </c>
      <c r="G445" s="87">
        <v>45754</v>
      </c>
      <c r="H445" s="16"/>
      <c r="I445" s="11"/>
      <c r="J445" s="26"/>
      <c r="K445" s="50"/>
      <c r="L445" s="54">
        <f t="shared" si="57"/>
        <v>0</v>
      </c>
    </row>
    <row r="446" spans="2:12" x14ac:dyDescent="0.15">
      <c r="B446" s="73" t="s">
        <v>13</v>
      </c>
      <c r="C446" s="11"/>
      <c r="D446" s="26"/>
      <c r="E446" s="50">
        <v>1</v>
      </c>
      <c r="F446" s="54">
        <f t="shared" si="55"/>
        <v>1</v>
      </c>
      <c r="G446" s="87">
        <v>45757</v>
      </c>
      <c r="H446" s="16"/>
      <c r="I446" s="11"/>
      <c r="J446" s="26"/>
      <c r="K446" s="50"/>
      <c r="L446" s="54">
        <f t="shared" si="57"/>
        <v>0</v>
      </c>
    </row>
    <row r="447" spans="2:12" x14ac:dyDescent="0.15">
      <c r="B447" s="73" t="s">
        <v>13</v>
      </c>
      <c r="C447" s="11"/>
      <c r="D447" s="26"/>
      <c r="E447" s="50">
        <v>1</v>
      </c>
      <c r="F447" s="54">
        <f t="shared" si="55"/>
        <v>1</v>
      </c>
      <c r="G447" s="87">
        <v>45761</v>
      </c>
      <c r="H447" s="16"/>
      <c r="I447" s="11"/>
      <c r="J447" s="26"/>
      <c r="K447" s="50"/>
      <c r="L447" s="54">
        <f t="shared" si="57"/>
        <v>0</v>
      </c>
    </row>
    <row r="448" spans="2:12" x14ac:dyDescent="0.15">
      <c r="B448" s="73" t="s">
        <v>13</v>
      </c>
      <c r="C448" s="11">
        <v>1</v>
      </c>
      <c r="D448" s="26"/>
      <c r="E448" s="50"/>
      <c r="F448" s="54">
        <f t="shared" si="55"/>
        <v>1</v>
      </c>
      <c r="G448" s="87">
        <v>45762</v>
      </c>
      <c r="H448" s="16"/>
      <c r="I448" s="11"/>
      <c r="J448" s="26"/>
      <c r="K448" s="50"/>
      <c r="L448" s="54">
        <f t="shared" si="57"/>
        <v>0</v>
      </c>
    </row>
    <row r="449" spans="2:12" x14ac:dyDescent="0.15">
      <c r="B449" s="73" t="s">
        <v>13</v>
      </c>
      <c r="C449" s="11"/>
      <c r="D449" s="26">
        <v>1</v>
      </c>
      <c r="E449" s="50"/>
      <c r="F449" s="54">
        <f t="shared" si="55"/>
        <v>1</v>
      </c>
      <c r="G449" s="87">
        <v>45765</v>
      </c>
      <c r="H449" s="16"/>
      <c r="I449" s="11"/>
      <c r="J449" s="26"/>
      <c r="K449" s="50"/>
      <c r="L449" s="54">
        <f t="shared" si="57"/>
        <v>0</v>
      </c>
    </row>
    <row r="450" spans="2:12" x14ac:dyDescent="0.15">
      <c r="B450" s="16" t="s">
        <v>82</v>
      </c>
      <c r="C450" s="11">
        <v>-10</v>
      </c>
      <c r="D450" s="26">
        <v>-20</v>
      </c>
      <c r="E450" s="50"/>
      <c r="F450" s="54">
        <f t="shared" si="55"/>
        <v>-30</v>
      </c>
      <c r="G450" s="87">
        <v>45766</v>
      </c>
      <c r="H450" s="16"/>
      <c r="I450" s="11"/>
      <c r="J450" s="26"/>
      <c r="K450" s="50"/>
      <c r="L450" s="54">
        <f t="shared" si="57"/>
        <v>0</v>
      </c>
    </row>
    <row r="451" spans="2:12" x14ac:dyDescent="0.15">
      <c r="B451" s="73" t="s">
        <v>13</v>
      </c>
      <c r="C451" s="11"/>
      <c r="D451" s="26"/>
      <c r="E451" s="50">
        <f>1+1</f>
        <v>2</v>
      </c>
      <c r="F451" s="54">
        <f t="shared" si="55"/>
        <v>2</v>
      </c>
      <c r="G451" s="87">
        <v>45769</v>
      </c>
      <c r="H451" s="16"/>
      <c r="I451" s="11"/>
      <c r="J451" s="26"/>
      <c r="K451" s="50"/>
      <c r="L451" s="54">
        <f t="shared" si="57"/>
        <v>0</v>
      </c>
    </row>
    <row r="452" spans="2:12" ht="14.25" thickBot="1" x14ac:dyDescent="0.2">
      <c r="B452" s="73" t="s">
        <v>13</v>
      </c>
      <c r="C452" s="11">
        <v>1</v>
      </c>
      <c r="D452" s="26"/>
      <c r="E452" s="50"/>
      <c r="F452" s="54">
        <f>SUM(C452:E452)</f>
        <v>1</v>
      </c>
      <c r="G452" s="87">
        <v>45772</v>
      </c>
      <c r="H452" s="16"/>
      <c r="I452" s="11"/>
      <c r="J452" s="26"/>
      <c r="K452" s="50"/>
      <c r="L452" s="54">
        <f t="shared" si="57"/>
        <v>0</v>
      </c>
    </row>
    <row r="453" spans="2:12" ht="14.25" thickBot="1" x14ac:dyDescent="0.2">
      <c r="B453" s="7" t="s">
        <v>2</v>
      </c>
      <c r="C453" s="40">
        <f>SUM(C428:C452)</f>
        <v>-3</v>
      </c>
      <c r="D453" s="33">
        <f>SUM(D428:D452)</f>
        <v>-12</v>
      </c>
      <c r="E453" s="27">
        <f>SUM(E428:E452)</f>
        <v>23</v>
      </c>
      <c r="F453" s="55">
        <f>SUM(F428:F452)</f>
        <v>8</v>
      </c>
      <c r="H453" s="7" t="s">
        <v>2</v>
      </c>
      <c r="I453" s="40">
        <f>SUM(I428:I452)</f>
        <v>20</v>
      </c>
      <c r="J453" s="33">
        <f>SUM(J428:J452)</f>
        <v>26</v>
      </c>
      <c r="K453" s="99">
        <f>SUM(K428:K452)</f>
        <v>25</v>
      </c>
      <c r="L453" s="55">
        <f>SUM(L428:L452)</f>
        <v>71</v>
      </c>
    </row>
    <row r="454" spans="2:12" ht="14.25" thickBot="1" x14ac:dyDescent="0.2">
      <c r="B454" s="35" t="s">
        <v>3</v>
      </c>
      <c r="C454" s="45">
        <f>C427-C453</f>
        <v>21</v>
      </c>
      <c r="D454" s="79">
        <f>D427-D453</f>
        <v>28</v>
      </c>
      <c r="E454" s="36">
        <f>E427-E453</f>
        <v>5</v>
      </c>
      <c r="F454" s="43">
        <f>SUM(C454:E454)</f>
        <v>54</v>
      </c>
      <c r="H454" s="35" t="s">
        <v>3</v>
      </c>
      <c r="I454" s="45">
        <f>I427-I453</f>
        <v>160</v>
      </c>
      <c r="J454" s="79">
        <f>J427-J453</f>
        <v>59</v>
      </c>
      <c r="K454" s="100">
        <f>K427-K453</f>
        <v>0</v>
      </c>
      <c r="L454" s="43">
        <f>SUM(I454:K454)</f>
        <v>219</v>
      </c>
    </row>
    <row r="457" spans="2:12" ht="18.75" x14ac:dyDescent="0.2">
      <c r="B457" s="14" t="s">
        <v>7</v>
      </c>
      <c r="H457" s="14" t="s">
        <v>8</v>
      </c>
    </row>
    <row r="458" spans="2:12" ht="14.25" thickBot="1" x14ac:dyDescent="0.2">
      <c r="H458" s="1"/>
    </row>
    <row r="459" spans="2:12" ht="14.25" thickBot="1" x14ac:dyDescent="0.2">
      <c r="B459" s="6"/>
      <c r="C459" s="104"/>
      <c r="D459" s="105"/>
      <c r="E459" s="105"/>
      <c r="F459" s="106"/>
      <c r="H459" s="6"/>
      <c r="I459" s="101"/>
      <c r="J459" s="102"/>
      <c r="K459" s="102"/>
      <c r="L459" s="103"/>
    </row>
    <row r="460" spans="2:12" ht="14.25" thickBot="1" x14ac:dyDescent="0.2">
      <c r="B460" s="7" t="s">
        <v>9</v>
      </c>
      <c r="C460" s="76" t="s">
        <v>10</v>
      </c>
      <c r="D460" s="77" t="s">
        <v>11</v>
      </c>
      <c r="E460" s="78" t="s">
        <v>12</v>
      </c>
      <c r="F460" s="53" t="s">
        <v>0</v>
      </c>
      <c r="H460" s="7" t="s">
        <v>9</v>
      </c>
      <c r="I460" s="76" t="s">
        <v>10</v>
      </c>
      <c r="J460" s="77" t="s">
        <v>11</v>
      </c>
      <c r="K460" s="78" t="s">
        <v>12</v>
      </c>
      <c r="L460" s="53" t="s">
        <v>0</v>
      </c>
    </row>
    <row r="461" spans="2:12" ht="14.25" thickBot="1" x14ac:dyDescent="0.2">
      <c r="B461" s="91" t="s">
        <v>3</v>
      </c>
      <c r="C461" s="92">
        <f>C454</f>
        <v>21</v>
      </c>
      <c r="D461" s="93">
        <f>D454</f>
        <v>28</v>
      </c>
      <c r="E461" s="94">
        <f>E454</f>
        <v>5</v>
      </c>
      <c r="F461" s="95">
        <f>SUM(C461:E461)</f>
        <v>54</v>
      </c>
      <c r="G461" s="87"/>
      <c r="H461" s="96" t="s">
        <v>3</v>
      </c>
      <c r="I461" s="92">
        <f>I454</f>
        <v>160</v>
      </c>
      <c r="J461" s="93">
        <f>J454</f>
        <v>59</v>
      </c>
      <c r="K461" s="94">
        <f>K454</f>
        <v>0</v>
      </c>
      <c r="L461" s="95">
        <f>SUM(I461:K461)</f>
        <v>219</v>
      </c>
    </row>
    <row r="462" spans="2:12" x14ac:dyDescent="0.15">
      <c r="B462" s="15" t="s">
        <v>4</v>
      </c>
      <c r="C462" s="11">
        <v>20</v>
      </c>
      <c r="D462" s="26">
        <v>20</v>
      </c>
      <c r="E462" s="50"/>
      <c r="F462" s="54">
        <f>SUM(C462:E462)</f>
        <v>40</v>
      </c>
      <c r="G462" s="87">
        <v>45849</v>
      </c>
      <c r="H462" s="15" t="s">
        <v>4</v>
      </c>
      <c r="I462" s="11"/>
      <c r="J462" s="26"/>
      <c r="K462" s="50"/>
      <c r="L462" s="54">
        <f>SUM(I462:K462)</f>
        <v>0</v>
      </c>
    </row>
    <row r="463" spans="2:12" x14ac:dyDescent="0.15">
      <c r="B463" s="15" t="s">
        <v>4</v>
      </c>
      <c r="C463" s="11"/>
      <c r="D463" s="26"/>
      <c r="E463" s="50"/>
      <c r="F463" s="54">
        <f>SUM(C463:E463)</f>
        <v>0</v>
      </c>
      <c r="H463" s="15" t="s">
        <v>4</v>
      </c>
      <c r="I463" s="11"/>
      <c r="J463" s="26"/>
      <c r="K463" s="50"/>
      <c r="L463" s="54">
        <f>SUM(I463:K463)</f>
        <v>0</v>
      </c>
    </row>
    <row r="464" spans="2:12" ht="14.25" thickBot="1" x14ac:dyDescent="0.2">
      <c r="B464" s="15" t="s">
        <v>4</v>
      </c>
      <c r="C464" s="11"/>
      <c r="D464" s="26"/>
      <c r="E464" s="50"/>
      <c r="F464" s="54">
        <f>SUM(C464:E464)</f>
        <v>0</v>
      </c>
      <c r="H464" s="15" t="s">
        <v>4</v>
      </c>
      <c r="I464" s="11"/>
      <c r="J464" s="26"/>
      <c r="K464" s="50"/>
      <c r="L464" s="54">
        <f>SUM(I464:K464)</f>
        <v>0</v>
      </c>
    </row>
    <row r="465" spans="2:13" ht="14.25" thickBot="1" x14ac:dyDescent="0.2">
      <c r="B465" s="72" t="s">
        <v>1</v>
      </c>
      <c r="C465" s="40">
        <f>SUM(C461:C464)</f>
        <v>41</v>
      </c>
      <c r="D465" s="33">
        <f>SUM(D461:D464)</f>
        <v>48</v>
      </c>
      <c r="E465" s="27">
        <f>SUM(E461:E464)</f>
        <v>5</v>
      </c>
      <c r="F465" s="55">
        <f>SUM(F461:F464)</f>
        <v>94</v>
      </c>
      <c r="H465" s="7" t="s">
        <v>1</v>
      </c>
      <c r="I465" s="40">
        <f>SUM(I461:I464)</f>
        <v>160</v>
      </c>
      <c r="J465" s="33">
        <f>SUM(J461:J464)</f>
        <v>59</v>
      </c>
      <c r="K465" s="27">
        <f>SUM(K461:K464)</f>
        <v>0</v>
      </c>
      <c r="L465" s="55">
        <f>SUM(L461:L464)</f>
        <v>219</v>
      </c>
    </row>
    <row r="466" spans="2:13" x14ac:dyDescent="0.15">
      <c r="B466" s="73" t="s">
        <v>13</v>
      </c>
      <c r="C466" s="11"/>
      <c r="D466" s="26"/>
      <c r="E466" s="50">
        <v>1</v>
      </c>
      <c r="F466" s="54">
        <f t="shared" ref="F466:F488" si="58">SUM(C466:E466)</f>
        <v>1</v>
      </c>
      <c r="G466" s="87">
        <v>45775</v>
      </c>
      <c r="H466" s="97" t="s">
        <v>65</v>
      </c>
      <c r="I466" s="11">
        <v>20</v>
      </c>
      <c r="J466" s="26">
        <v>20</v>
      </c>
      <c r="K466" s="50"/>
      <c r="L466" s="54">
        <f>SUM(I466:K466)</f>
        <v>40</v>
      </c>
      <c r="M466" s="87">
        <v>45849</v>
      </c>
    </row>
    <row r="467" spans="2:13" x14ac:dyDescent="0.15">
      <c r="B467" s="73" t="s">
        <v>13</v>
      </c>
      <c r="C467" s="11"/>
      <c r="D467" s="26"/>
      <c r="E467" s="50">
        <v>1</v>
      </c>
      <c r="F467" s="54">
        <f t="shared" si="58"/>
        <v>1</v>
      </c>
      <c r="G467" s="87">
        <v>45789</v>
      </c>
      <c r="H467" s="16"/>
      <c r="I467" s="11"/>
      <c r="J467" s="26"/>
      <c r="K467" s="50"/>
      <c r="L467" s="54">
        <f t="shared" ref="L467:L488" si="59">SUM(I467:K467)</f>
        <v>0</v>
      </c>
    </row>
    <row r="468" spans="2:13" x14ac:dyDescent="0.15">
      <c r="B468" s="73" t="s">
        <v>13</v>
      </c>
      <c r="C468" s="11"/>
      <c r="D468" s="26"/>
      <c r="E468" s="50">
        <v>1</v>
      </c>
      <c r="F468" s="54">
        <f t="shared" si="58"/>
        <v>1</v>
      </c>
      <c r="G468" s="87">
        <v>45796</v>
      </c>
      <c r="H468" s="16"/>
      <c r="I468" s="11"/>
      <c r="J468" s="26"/>
      <c r="K468" s="50"/>
      <c r="L468" s="54">
        <f t="shared" si="59"/>
        <v>0</v>
      </c>
    </row>
    <row r="469" spans="2:13" x14ac:dyDescent="0.15">
      <c r="B469" s="73" t="s">
        <v>13</v>
      </c>
      <c r="C469" s="11"/>
      <c r="D469" s="26">
        <v>1</v>
      </c>
      <c r="E469" s="50"/>
      <c r="F469" s="54">
        <f t="shared" si="58"/>
        <v>1</v>
      </c>
      <c r="G469" s="87">
        <v>45800</v>
      </c>
      <c r="H469" s="16"/>
      <c r="I469" s="11"/>
      <c r="J469" s="26"/>
      <c r="K469" s="50"/>
      <c r="L469" s="54">
        <f t="shared" si="59"/>
        <v>0</v>
      </c>
    </row>
    <row r="470" spans="2:13" x14ac:dyDescent="0.15">
      <c r="B470" s="73" t="s">
        <v>13</v>
      </c>
      <c r="C470" s="11"/>
      <c r="D470" s="26">
        <v>1</v>
      </c>
      <c r="E470" s="50"/>
      <c r="F470" s="54">
        <f t="shared" si="58"/>
        <v>1</v>
      </c>
      <c r="G470" s="87">
        <v>45812</v>
      </c>
      <c r="H470" s="16"/>
      <c r="I470" s="11"/>
      <c r="J470" s="26"/>
      <c r="K470" s="50"/>
      <c r="L470" s="54">
        <f t="shared" si="59"/>
        <v>0</v>
      </c>
    </row>
    <row r="471" spans="2:13" x14ac:dyDescent="0.15">
      <c r="B471" s="73" t="s">
        <v>13</v>
      </c>
      <c r="C471" s="11"/>
      <c r="D471" s="26">
        <v>2</v>
      </c>
      <c r="E471" s="50"/>
      <c r="F471" s="54">
        <f t="shared" si="58"/>
        <v>2</v>
      </c>
      <c r="G471" s="87">
        <v>45813</v>
      </c>
      <c r="H471" s="16"/>
      <c r="I471" s="11"/>
      <c r="J471" s="26"/>
      <c r="K471" s="50"/>
      <c r="L471" s="54">
        <f t="shared" si="59"/>
        <v>0</v>
      </c>
    </row>
    <row r="472" spans="2:13" x14ac:dyDescent="0.15">
      <c r="B472" s="73" t="s">
        <v>13</v>
      </c>
      <c r="C472" s="11"/>
      <c r="D472" s="26">
        <v>1</v>
      </c>
      <c r="E472" s="50"/>
      <c r="F472" s="54">
        <f t="shared" si="58"/>
        <v>1</v>
      </c>
      <c r="G472" s="87">
        <v>45814</v>
      </c>
      <c r="H472" s="16"/>
      <c r="I472" s="11"/>
      <c r="J472" s="26"/>
      <c r="K472" s="50"/>
      <c r="L472" s="54">
        <f t="shared" si="59"/>
        <v>0</v>
      </c>
    </row>
    <row r="473" spans="2:13" x14ac:dyDescent="0.15">
      <c r="B473" s="73" t="s">
        <v>13</v>
      </c>
      <c r="C473" s="11"/>
      <c r="D473" s="26">
        <v>1</v>
      </c>
      <c r="E473" s="50"/>
      <c r="F473" s="54">
        <f t="shared" si="58"/>
        <v>1</v>
      </c>
      <c r="G473" s="87">
        <v>45817</v>
      </c>
      <c r="H473" s="16"/>
      <c r="I473" s="11"/>
      <c r="J473" s="26"/>
      <c r="K473" s="50"/>
      <c r="L473" s="54">
        <f t="shared" si="59"/>
        <v>0</v>
      </c>
    </row>
    <row r="474" spans="2:13" x14ac:dyDescent="0.15">
      <c r="B474" s="73" t="s">
        <v>13</v>
      </c>
      <c r="C474" s="11"/>
      <c r="D474" s="26">
        <v>1</v>
      </c>
      <c r="E474" s="50"/>
      <c r="F474" s="54">
        <f t="shared" si="58"/>
        <v>1</v>
      </c>
      <c r="G474" s="87">
        <v>45818</v>
      </c>
      <c r="H474" s="16"/>
      <c r="I474" s="11"/>
      <c r="J474" s="26"/>
      <c r="K474" s="50"/>
      <c r="L474" s="54">
        <f t="shared" si="59"/>
        <v>0</v>
      </c>
    </row>
    <row r="475" spans="2:13" x14ac:dyDescent="0.15">
      <c r="B475" s="73" t="s">
        <v>13</v>
      </c>
      <c r="C475" s="11"/>
      <c r="D475" s="26">
        <v>1</v>
      </c>
      <c r="E475" s="50"/>
      <c r="F475" s="54">
        <f t="shared" si="58"/>
        <v>1</v>
      </c>
      <c r="G475" s="87">
        <v>45824</v>
      </c>
      <c r="H475" s="16"/>
      <c r="I475" s="11"/>
      <c r="J475" s="26"/>
      <c r="K475" s="50"/>
      <c r="L475" s="54">
        <f t="shared" si="59"/>
        <v>0</v>
      </c>
    </row>
    <row r="476" spans="2:13" x14ac:dyDescent="0.15">
      <c r="B476" s="73" t="s">
        <v>13</v>
      </c>
      <c r="C476" s="11">
        <v>1</v>
      </c>
      <c r="D476" s="26"/>
      <c r="E476" s="50"/>
      <c r="F476" s="54">
        <f t="shared" si="58"/>
        <v>1</v>
      </c>
      <c r="G476" s="87">
        <v>45825</v>
      </c>
      <c r="H476" s="16"/>
      <c r="I476" s="11"/>
      <c r="J476" s="26"/>
      <c r="K476" s="50"/>
      <c r="L476" s="54">
        <f t="shared" si="59"/>
        <v>0</v>
      </c>
    </row>
    <row r="477" spans="2:13" x14ac:dyDescent="0.15">
      <c r="B477" s="73" t="s">
        <v>13</v>
      </c>
      <c r="C477" s="11">
        <v>1</v>
      </c>
      <c r="D477" s="26">
        <v>1</v>
      </c>
      <c r="E477" s="50">
        <v>1</v>
      </c>
      <c r="F477" s="54">
        <f t="shared" si="58"/>
        <v>3</v>
      </c>
      <c r="G477" s="87">
        <v>45827</v>
      </c>
      <c r="H477" s="16"/>
      <c r="I477" s="11"/>
      <c r="J477" s="26"/>
      <c r="K477" s="50"/>
      <c r="L477" s="54">
        <f t="shared" si="59"/>
        <v>0</v>
      </c>
    </row>
    <row r="478" spans="2:13" x14ac:dyDescent="0.15">
      <c r="B478" s="73" t="s">
        <v>13</v>
      </c>
      <c r="C478" s="11"/>
      <c r="D478" s="26">
        <v>1</v>
      </c>
      <c r="E478" s="50">
        <v>1</v>
      </c>
      <c r="F478" s="54">
        <f t="shared" si="58"/>
        <v>2</v>
      </c>
      <c r="G478" s="87">
        <v>45829</v>
      </c>
      <c r="H478" s="16"/>
      <c r="I478" s="11"/>
      <c r="J478" s="26"/>
      <c r="K478" s="50"/>
      <c r="L478" s="54">
        <f t="shared" si="59"/>
        <v>0</v>
      </c>
    </row>
    <row r="479" spans="2:13" x14ac:dyDescent="0.15">
      <c r="B479" s="73" t="s">
        <v>13</v>
      </c>
      <c r="C479" s="11">
        <v>1</v>
      </c>
      <c r="D479" s="26"/>
      <c r="E479" s="50"/>
      <c r="F479" s="54">
        <f t="shared" si="58"/>
        <v>1</v>
      </c>
      <c r="G479" s="87">
        <v>45833</v>
      </c>
      <c r="H479" s="16"/>
      <c r="I479" s="11"/>
      <c r="J479" s="26"/>
      <c r="K479" s="50"/>
      <c r="L479" s="54">
        <f t="shared" si="59"/>
        <v>0</v>
      </c>
    </row>
    <row r="480" spans="2:13" x14ac:dyDescent="0.15">
      <c r="B480" s="73" t="s">
        <v>13</v>
      </c>
      <c r="C480" s="11"/>
      <c r="D480" s="26">
        <f>1+1</f>
        <v>2</v>
      </c>
      <c r="E480" s="50"/>
      <c r="F480" s="54">
        <f t="shared" si="58"/>
        <v>2</v>
      </c>
      <c r="G480" s="87">
        <v>45845</v>
      </c>
      <c r="H480" s="16"/>
      <c r="I480" s="11"/>
      <c r="J480" s="26"/>
      <c r="K480" s="50"/>
      <c r="L480" s="54">
        <f t="shared" si="59"/>
        <v>0</v>
      </c>
    </row>
    <row r="481" spans="2:12" x14ac:dyDescent="0.15">
      <c r="B481" s="73" t="s">
        <v>13</v>
      </c>
      <c r="C481" s="11">
        <v>1</v>
      </c>
      <c r="D481" s="26"/>
      <c r="E481" s="50"/>
      <c r="F481" s="54">
        <f t="shared" si="58"/>
        <v>1</v>
      </c>
      <c r="G481" s="87">
        <v>45846</v>
      </c>
      <c r="H481" s="16"/>
      <c r="I481" s="11"/>
      <c r="J481" s="26"/>
      <c r="K481" s="50"/>
      <c r="L481" s="54">
        <f t="shared" si="59"/>
        <v>0</v>
      </c>
    </row>
    <row r="482" spans="2:12" x14ac:dyDescent="0.15">
      <c r="B482" s="73" t="s">
        <v>13</v>
      </c>
      <c r="C482" s="11"/>
      <c r="D482" s="26">
        <v>3</v>
      </c>
      <c r="E482" s="50"/>
      <c r="F482" s="54">
        <f t="shared" si="58"/>
        <v>3</v>
      </c>
      <c r="G482" s="87">
        <v>45848</v>
      </c>
      <c r="H482" s="16"/>
      <c r="I482" s="11"/>
      <c r="J482" s="26"/>
      <c r="K482" s="50"/>
      <c r="L482" s="54">
        <f t="shared" si="59"/>
        <v>0</v>
      </c>
    </row>
    <row r="483" spans="2:12" x14ac:dyDescent="0.15">
      <c r="B483" s="73" t="s">
        <v>13</v>
      </c>
      <c r="C483" s="11"/>
      <c r="D483" s="26">
        <v>1</v>
      </c>
      <c r="E483" s="50"/>
      <c r="F483" s="54">
        <f t="shared" si="58"/>
        <v>1</v>
      </c>
      <c r="G483" s="87">
        <v>45874</v>
      </c>
      <c r="H483" s="16"/>
      <c r="I483" s="11"/>
      <c r="J483" s="26"/>
      <c r="K483" s="50"/>
      <c r="L483" s="54">
        <f t="shared" si="59"/>
        <v>0</v>
      </c>
    </row>
    <row r="484" spans="2:12" x14ac:dyDescent="0.15">
      <c r="B484" s="73" t="s">
        <v>13</v>
      </c>
      <c r="C484" s="11"/>
      <c r="D484" s="26">
        <v>1</v>
      </c>
      <c r="E484" s="50"/>
      <c r="F484" s="54">
        <f t="shared" si="58"/>
        <v>1</v>
      </c>
      <c r="G484" s="87">
        <v>45901</v>
      </c>
      <c r="H484" s="16"/>
      <c r="I484" s="11"/>
      <c r="J484" s="26"/>
      <c r="K484" s="50"/>
      <c r="L484" s="54">
        <f t="shared" si="59"/>
        <v>0</v>
      </c>
    </row>
    <row r="485" spans="2:12" x14ac:dyDescent="0.15">
      <c r="B485" s="73" t="s">
        <v>13</v>
      </c>
      <c r="C485" s="11"/>
      <c r="D485" s="26">
        <v>1</v>
      </c>
      <c r="E485" s="50"/>
      <c r="F485" s="54">
        <f t="shared" si="58"/>
        <v>1</v>
      </c>
      <c r="G485" s="87">
        <v>45903</v>
      </c>
      <c r="H485" s="16"/>
      <c r="I485" s="11"/>
      <c r="J485" s="26"/>
      <c r="K485" s="50"/>
      <c r="L485" s="54">
        <f t="shared" si="59"/>
        <v>0</v>
      </c>
    </row>
    <row r="486" spans="2:12" x14ac:dyDescent="0.15">
      <c r="B486" s="73" t="s">
        <v>13</v>
      </c>
      <c r="C486" s="11">
        <v>1</v>
      </c>
      <c r="D486" s="26"/>
      <c r="E486" s="50"/>
      <c r="F486" s="54">
        <f t="shared" si="58"/>
        <v>1</v>
      </c>
      <c r="G486" s="87">
        <v>45906</v>
      </c>
      <c r="H486" s="16"/>
      <c r="I486" s="11"/>
      <c r="J486" s="26"/>
      <c r="K486" s="50"/>
      <c r="L486" s="54">
        <f t="shared" si="59"/>
        <v>0</v>
      </c>
    </row>
    <row r="487" spans="2:12" x14ac:dyDescent="0.15">
      <c r="B487" s="73" t="s">
        <v>13</v>
      </c>
      <c r="C487" s="11">
        <v>1</v>
      </c>
      <c r="D487" s="26"/>
      <c r="E487" s="50"/>
      <c r="F487" s="54">
        <f t="shared" si="58"/>
        <v>1</v>
      </c>
      <c r="G487" s="87">
        <v>45908</v>
      </c>
      <c r="H487" s="16"/>
      <c r="I487" s="11"/>
      <c r="J487" s="26"/>
      <c r="K487" s="50"/>
      <c r="L487" s="54">
        <f t="shared" si="59"/>
        <v>0</v>
      </c>
    </row>
    <row r="488" spans="2:12" x14ac:dyDescent="0.15">
      <c r="B488" s="73" t="s">
        <v>13</v>
      </c>
      <c r="C488" s="11"/>
      <c r="D488" s="26">
        <v>1</v>
      </c>
      <c r="E488" s="50"/>
      <c r="F488" s="54">
        <f t="shared" si="58"/>
        <v>1</v>
      </c>
      <c r="G488" s="87">
        <v>45909</v>
      </c>
      <c r="H488" s="16"/>
      <c r="I488" s="11"/>
      <c r="J488" s="26"/>
      <c r="K488" s="50"/>
      <c r="L488" s="54">
        <f t="shared" si="59"/>
        <v>0</v>
      </c>
    </row>
    <row r="489" spans="2:12" x14ac:dyDescent="0.15">
      <c r="B489" s="73" t="s">
        <v>13</v>
      </c>
      <c r="C489" s="11"/>
      <c r="D489" s="26">
        <v>1</v>
      </c>
      <c r="E489" s="50"/>
      <c r="F489" s="54">
        <f t="shared" ref="F489:F490" si="60">SUM(C489:E489)</f>
        <v>1</v>
      </c>
      <c r="G489" s="87">
        <v>45939</v>
      </c>
      <c r="H489" s="16"/>
      <c r="I489" s="11"/>
      <c r="J489" s="26"/>
      <c r="K489" s="50"/>
      <c r="L489" s="54">
        <f t="shared" ref="L489:L490" si="61">SUM(I489:K489)</f>
        <v>0</v>
      </c>
    </row>
    <row r="490" spans="2:12" ht="14.25" thickBot="1" x14ac:dyDescent="0.2">
      <c r="B490" s="73" t="s">
        <v>13</v>
      </c>
      <c r="C490" s="11"/>
      <c r="D490" s="26">
        <v>1</v>
      </c>
      <c r="E490" s="50"/>
      <c r="F490" s="54">
        <f t="shared" si="60"/>
        <v>1</v>
      </c>
      <c r="G490" s="87">
        <v>45973</v>
      </c>
      <c r="H490" s="16"/>
      <c r="I490" s="11"/>
      <c r="J490" s="26"/>
      <c r="K490" s="50"/>
      <c r="L490" s="54">
        <f t="shared" si="61"/>
        <v>0</v>
      </c>
    </row>
    <row r="491" spans="2:12" ht="14.25" thickBot="1" x14ac:dyDescent="0.2">
      <c r="B491" s="7" t="s">
        <v>2</v>
      </c>
      <c r="C491" s="40">
        <f>SUM(C466:C490)</f>
        <v>6</v>
      </c>
      <c r="D491" s="33">
        <f>SUM(D466:D490)</f>
        <v>21</v>
      </c>
      <c r="E491" s="99">
        <f>SUM(E466:E490)</f>
        <v>5</v>
      </c>
      <c r="F491" s="55">
        <f>SUM(F466:F490)</f>
        <v>32</v>
      </c>
      <c r="H491" s="7" t="s">
        <v>2</v>
      </c>
      <c r="I491" s="40">
        <f>SUM(I466:I490)</f>
        <v>20</v>
      </c>
      <c r="J491" s="33">
        <f>SUM(J466:J490)</f>
        <v>20</v>
      </c>
      <c r="K491" s="99">
        <f>SUM(K466:K490)</f>
        <v>0</v>
      </c>
      <c r="L491" s="55">
        <f>SUM(L466:L490)</f>
        <v>40</v>
      </c>
    </row>
    <row r="492" spans="2:12" ht="14.25" thickBot="1" x14ac:dyDescent="0.2">
      <c r="B492" s="35" t="s">
        <v>3</v>
      </c>
      <c r="C492" s="45">
        <f>C465-C491</f>
        <v>35</v>
      </c>
      <c r="D492" s="79">
        <f>D465-D491</f>
        <v>27</v>
      </c>
      <c r="E492" s="100">
        <f>E465-E491</f>
        <v>0</v>
      </c>
      <c r="F492" s="43">
        <f>SUM(C492:E492)</f>
        <v>62</v>
      </c>
      <c r="H492" s="35" t="s">
        <v>3</v>
      </c>
      <c r="I492" s="45">
        <f>I465-I491</f>
        <v>140</v>
      </c>
      <c r="J492" s="79">
        <f>J465-J491</f>
        <v>39</v>
      </c>
      <c r="K492" s="100">
        <f>K465-K491</f>
        <v>0</v>
      </c>
      <c r="L492" s="43">
        <f>SUM(I492:K492)</f>
        <v>179</v>
      </c>
    </row>
    <row r="495" spans="2:12" ht="18.75" x14ac:dyDescent="0.2">
      <c r="B495" s="14" t="s">
        <v>7</v>
      </c>
      <c r="H495" s="14" t="s">
        <v>8</v>
      </c>
    </row>
    <row r="496" spans="2:12" ht="14.25" thickBot="1" x14ac:dyDescent="0.2">
      <c r="H496" s="1"/>
    </row>
    <row r="497" spans="2:12" ht="14.25" thickBot="1" x14ac:dyDescent="0.2">
      <c r="B497" s="6"/>
      <c r="C497" s="104"/>
      <c r="D497" s="105"/>
      <c r="E497" s="105"/>
      <c r="F497" s="106"/>
      <c r="H497" s="6"/>
      <c r="I497" s="101"/>
      <c r="J497" s="102"/>
      <c r="K497" s="102"/>
      <c r="L497" s="103"/>
    </row>
    <row r="498" spans="2:12" ht="14.25" thickBot="1" x14ac:dyDescent="0.2">
      <c r="B498" s="7" t="s">
        <v>9</v>
      </c>
      <c r="C498" s="76" t="s">
        <v>10</v>
      </c>
      <c r="D498" s="77" t="s">
        <v>11</v>
      </c>
      <c r="E498" s="78" t="s">
        <v>12</v>
      </c>
      <c r="F498" s="53" t="s">
        <v>0</v>
      </c>
      <c r="H498" s="7" t="s">
        <v>9</v>
      </c>
      <c r="I498" s="76" t="s">
        <v>10</v>
      </c>
      <c r="J498" s="77" t="s">
        <v>11</v>
      </c>
      <c r="K498" s="78" t="s">
        <v>12</v>
      </c>
      <c r="L498" s="53" t="s">
        <v>0</v>
      </c>
    </row>
    <row r="499" spans="2:12" ht="14.25" thickBot="1" x14ac:dyDescent="0.2">
      <c r="B499" s="91" t="s">
        <v>3</v>
      </c>
      <c r="C499" s="92">
        <f>C492</f>
        <v>35</v>
      </c>
      <c r="D499" s="93">
        <f>D492</f>
        <v>27</v>
      </c>
      <c r="E499" s="94">
        <f>E492</f>
        <v>0</v>
      </c>
      <c r="F499" s="95">
        <f>SUM(C499:E499)</f>
        <v>62</v>
      </c>
      <c r="G499" s="87"/>
      <c r="H499" s="96" t="s">
        <v>3</v>
      </c>
      <c r="I499" s="92">
        <f>I492</f>
        <v>140</v>
      </c>
      <c r="J499" s="93">
        <f>J492</f>
        <v>39</v>
      </c>
      <c r="K499" s="94">
        <f>K492</f>
        <v>0</v>
      </c>
      <c r="L499" s="95">
        <f>SUM(I499:K499)</f>
        <v>179</v>
      </c>
    </row>
    <row r="500" spans="2:12" x14ac:dyDescent="0.15">
      <c r="B500" s="15" t="s">
        <v>4</v>
      </c>
      <c r="C500" s="11"/>
      <c r="D500" s="26"/>
      <c r="E500" s="50"/>
      <c r="F500" s="54">
        <f>SUM(C500:E500)</f>
        <v>0</v>
      </c>
      <c r="H500" s="15" t="s">
        <v>4</v>
      </c>
      <c r="I500" s="11"/>
      <c r="J500" s="26"/>
      <c r="K500" s="50"/>
      <c r="L500" s="54">
        <f>SUM(I500:K500)</f>
        <v>0</v>
      </c>
    </row>
    <row r="501" spans="2:12" x14ac:dyDescent="0.15">
      <c r="B501" s="15" t="s">
        <v>4</v>
      </c>
      <c r="C501" s="11"/>
      <c r="D501" s="26"/>
      <c r="E501" s="50"/>
      <c r="F501" s="54">
        <f>SUM(C501:E501)</f>
        <v>0</v>
      </c>
      <c r="H501" s="15" t="s">
        <v>4</v>
      </c>
      <c r="I501" s="11"/>
      <c r="J501" s="26"/>
      <c r="K501" s="50"/>
      <c r="L501" s="54">
        <f>SUM(I501:K501)</f>
        <v>0</v>
      </c>
    </row>
    <row r="502" spans="2:12" ht="14.25" thickBot="1" x14ac:dyDescent="0.2">
      <c r="B502" s="15" t="s">
        <v>4</v>
      </c>
      <c r="C502" s="11"/>
      <c r="D502" s="26"/>
      <c r="E502" s="50"/>
      <c r="F502" s="54">
        <f>SUM(C502:E502)</f>
        <v>0</v>
      </c>
      <c r="H502" s="15" t="s">
        <v>4</v>
      </c>
      <c r="I502" s="11"/>
      <c r="J502" s="26"/>
      <c r="K502" s="50"/>
      <c r="L502" s="54">
        <f>SUM(I502:K502)</f>
        <v>0</v>
      </c>
    </row>
    <row r="503" spans="2:12" ht="14.25" thickBot="1" x14ac:dyDescent="0.2">
      <c r="B503" s="72" t="s">
        <v>1</v>
      </c>
      <c r="C503" s="40">
        <f>SUM(C499:C502)</f>
        <v>35</v>
      </c>
      <c r="D503" s="33">
        <f>SUM(D499:D502)</f>
        <v>27</v>
      </c>
      <c r="E503" s="27">
        <f>SUM(E499:E502)</f>
        <v>0</v>
      </c>
      <c r="F503" s="55">
        <f>SUM(F499:F502)</f>
        <v>62</v>
      </c>
      <c r="H503" s="7" t="s">
        <v>1</v>
      </c>
      <c r="I503" s="40">
        <f>SUM(I499:I502)</f>
        <v>140</v>
      </c>
      <c r="J503" s="33">
        <f>SUM(J499:J502)</f>
        <v>39</v>
      </c>
      <c r="K503" s="27">
        <f>SUM(K499:K502)</f>
        <v>0</v>
      </c>
      <c r="L503" s="55">
        <f>SUM(L499:L502)</f>
        <v>179</v>
      </c>
    </row>
    <row r="504" spans="2:12" x14ac:dyDescent="0.15">
      <c r="B504" s="73" t="s">
        <v>13</v>
      </c>
      <c r="C504" s="11"/>
      <c r="D504" s="26">
        <v>1</v>
      </c>
      <c r="E504" s="50"/>
      <c r="F504" s="54">
        <f t="shared" ref="F504:F528" si="62">SUM(C504:E504)</f>
        <v>1</v>
      </c>
      <c r="G504" s="87">
        <v>45978</v>
      </c>
      <c r="H504" s="16"/>
      <c r="I504" s="11"/>
      <c r="J504" s="26"/>
      <c r="K504" s="50"/>
      <c r="L504" s="54">
        <f t="shared" ref="L504" si="63">SUM(I504:K504)</f>
        <v>0</v>
      </c>
    </row>
    <row r="505" spans="2:12" x14ac:dyDescent="0.15">
      <c r="B505" s="73" t="s">
        <v>13</v>
      </c>
      <c r="C505" s="11">
        <v>1</v>
      </c>
      <c r="D505" s="26"/>
      <c r="E505" s="50"/>
      <c r="F505" s="54">
        <f t="shared" si="62"/>
        <v>1</v>
      </c>
      <c r="G505" s="87">
        <v>45987</v>
      </c>
      <c r="H505" s="16"/>
      <c r="I505" s="11"/>
      <c r="J505" s="26"/>
      <c r="K505" s="50"/>
      <c r="L505" s="54">
        <f t="shared" ref="L505:L528" si="64">SUM(I505:K505)</f>
        <v>0</v>
      </c>
    </row>
    <row r="506" spans="2:12" x14ac:dyDescent="0.15">
      <c r="B506" s="73" t="s">
        <v>13</v>
      </c>
      <c r="C506" s="11"/>
      <c r="D506" s="26">
        <v>1</v>
      </c>
      <c r="E506" s="50"/>
      <c r="F506" s="54">
        <f t="shared" si="62"/>
        <v>1</v>
      </c>
      <c r="G506" s="87">
        <v>46086</v>
      </c>
      <c r="H506" s="16"/>
      <c r="I506" s="11"/>
      <c r="J506" s="26"/>
      <c r="K506" s="50"/>
      <c r="L506" s="54">
        <f t="shared" si="64"/>
        <v>0</v>
      </c>
    </row>
    <row r="507" spans="2:12" x14ac:dyDescent="0.15">
      <c r="B507" s="73" t="s">
        <v>13</v>
      </c>
      <c r="C507" s="11"/>
      <c r="D507" s="26">
        <v>1</v>
      </c>
      <c r="E507" s="50"/>
      <c r="F507" s="54">
        <f t="shared" si="62"/>
        <v>1</v>
      </c>
      <c r="G507" s="87">
        <v>46090</v>
      </c>
      <c r="H507" s="16"/>
      <c r="I507" s="11"/>
      <c r="J507" s="26"/>
      <c r="K507" s="50"/>
      <c r="L507" s="54">
        <f t="shared" si="64"/>
        <v>0</v>
      </c>
    </row>
    <row r="508" spans="2:12" x14ac:dyDescent="0.15">
      <c r="B508" s="73" t="s">
        <v>13</v>
      </c>
      <c r="C508" s="11"/>
      <c r="D508" s="26">
        <v>1</v>
      </c>
      <c r="E508" s="50"/>
      <c r="F508" s="54">
        <f t="shared" si="62"/>
        <v>1</v>
      </c>
      <c r="G508" s="87">
        <v>46097</v>
      </c>
      <c r="H508" s="16"/>
      <c r="I508" s="11"/>
      <c r="J508" s="26"/>
      <c r="K508" s="50"/>
      <c r="L508" s="54">
        <f t="shared" si="64"/>
        <v>0</v>
      </c>
    </row>
    <row r="509" spans="2:12" x14ac:dyDescent="0.15">
      <c r="B509" s="73" t="s">
        <v>13</v>
      </c>
      <c r="C509" s="11"/>
      <c r="D509" s="26">
        <f>1+3</f>
        <v>4</v>
      </c>
      <c r="E509" s="50"/>
      <c r="F509" s="54">
        <f t="shared" si="62"/>
        <v>4</v>
      </c>
      <c r="G509" s="87">
        <v>46104</v>
      </c>
      <c r="H509" s="16"/>
      <c r="I509" s="11"/>
      <c r="J509" s="26"/>
      <c r="K509" s="50"/>
      <c r="L509" s="54">
        <f t="shared" si="64"/>
        <v>0</v>
      </c>
    </row>
    <row r="510" spans="2:12" x14ac:dyDescent="0.15">
      <c r="B510" s="73" t="s">
        <v>13</v>
      </c>
      <c r="C510" s="11">
        <v>2</v>
      </c>
      <c r="D510" s="26">
        <v>1</v>
      </c>
      <c r="E510" s="50"/>
      <c r="F510" s="54">
        <f t="shared" si="62"/>
        <v>3</v>
      </c>
      <c r="G510" s="87">
        <v>46149</v>
      </c>
      <c r="H510" s="16"/>
      <c r="I510" s="11"/>
      <c r="J510" s="26"/>
      <c r="K510" s="50"/>
      <c r="L510" s="54">
        <f t="shared" si="64"/>
        <v>0</v>
      </c>
    </row>
    <row r="511" spans="2:12" x14ac:dyDescent="0.15">
      <c r="B511" s="73" t="s">
        <v>13</v>
      </c>
      <c r="C511" s="11">
        <v>1</v>
      </c>
      <c r="D511" s="26">
        <v>1</v>
      </c>
      <c r="E511" s="50"/>
      <c r="F511" s="54">
        <f t="shared" si="62"/>
        <v>2</v>
      </c>
      <c r="G511" s="87">
        <v>46160</v>
      </c>
      <c r="H511" s="16"/>
      <c r="I511" s="11"/>
      <c r="J511" s="26"/>
      <c r="K511" s="50"/>
      <c r="L511" s="54">
        <f t="shared" si="64"/>
        <v>0</v>
      </c>
    </row>
    <row r="512" spans="2:12" x14ac:dyDescent="0.15">
      <c r="B512" s="73" t="s">
        <v>13</v>
      </c>
      <c r="C512" s="11"/>
      <c r="D512" s="26">
        <v>1</v>
      </c>
      <c r="E512" s="50"/>
      <c r="F512" s="54">
        <f t="shared" si="62"/>
        <v>1</v>
      </c>
      <c r="G512" s="87">
        <v>46174</v>
      </c>
      <c r="H512" s="16"/>
      <c r="I512" s="11"/>
      <c r="J512" s="26"/>
      <c r="K512" s="50"/>
      <c r="L512" s="54">
        <f t="shared" si="64"/>
        <v>0</v>
      </c>
    </row>
    <row r="513" spans="2:12" x14ac:dyDescent="0.15">
      <c r="B513" s="73" t="s">
        <v>13</v>
      </c>
      <c r="C513" s="11">
        <v>1</v>
      </c>
      <c r="D513" s="26"/>
      <c r="E513" s="50"/>
      <c r="F513" s="54">
        <f t="shared" si="62"/>
        <v>1</v>
      </c>
      <c r="G513" s="87">
        <v>46181</v>
      </c>
      <c r="H513" s="16"/>
      <c r="I513" s="11"/>
      <c r="J513" s="26"/>
      <c r="K513" s="50"/>
      <c r="L513" s="54">
        <f t="shared" si="64"/>
        <v>0</v>
      </c>
    </row>
    <row r="514" spans="2:12" x14ac:dyDescent="0.15">
      <c r="B514" s="73" t="s">
        <v>13</v>
      </c>
      <c r="C514" s="11"/>
      <c r="D514" s="26">
        <v>1</v>
      </c>
      <c r="E514" s="50"/>
      <c r="F514" s="54">
        <f t="shared" si="62"/>
        <v>1</v>
      </c>
      <c r="G514" s="87">
        <v>46188</v>
      </c>
      <c r="H514" s="16"/>
      <c r="I514" s="11"/>
      <c r="J514" s="26"/>
      <c r="K514" s="50"/>
      <c r="L514" s="54">
        <f t="shared" si="64"/>
        <v>0</v>
      </c>
    </row>
    <row r="515" spans="2:12" x14ac:dyDescent="0.15">
      <c r="B515" s="73"/>
      <c r="C515" s="11"/>
      <c r="D515" s="26"/>
      <c r="E515" s="50"/>
      <c r="F515" s="54">
        <f t="shared" si="62"/>
        <v>0</v>
      </c>
      <c r="G515" s="87"/>
      <c r="H515" s="16"/>
      <c r="I515" s="11"/>
      <c r="J515" s="26"/>
      <c r="K515" s="50"/>
      <c r="L515" s="54">
        <f t="shared" si="64"/>
        <v>0</v>
      </c>
    </row>
    <row r="516" spans="2:12" x14ac:dyDescent="0.15">
      <c r="B516" s="73"/>
      <c r="C516" s="11"/>
      <c r="D516" s="26"/>
      <c r="E516" s="50"/>
      <c r="F516" s="54">
        <f t="shared" si="62"/>
        <v>0</v>
      </c>
      <c r="G516" s="87"/>
      <c r="H516" s="16"/>
      <c r="I516" s="11"/>
      <c r="J516" s="26"/>
      <c r="K516" s="50"/>
      <c r="L516" s="54">
        <f t="shared" si="64"/>
        <v>0</v>
      </c>
    </row>
    <row r="517" spans="2:12" x14ac:dyDescent="0.15">
      <c r="B517" s="73"/>
      <c r="C517" s="11"/>
      <c r="D517" s="26"/>
      <c r="E517" s="50"/>
      <c r="F517" s="54">
        <f t="shared" si="62"/>
        <v>0</v>
      </c>
      <c r="G517" s="87"/>
      <c r="H517" s="16"/>
      <c r="I517" s="11"/>
      <c r="J517" s="26"/>
      <c r="K517" s="50"/>
      <c r="L517" s="54">
        <f t="shared" si="64"/>
        <v>0</v>
      </c>
    </row>
    <row r="518" spans="2:12" x14ac:dyDescent="0.15">
      <c r="B518" s="73"/>
      <c r="C518" s="11"/>
      <c r="D518" s="26"/>
      <c r="E518" s="50"/>
      <c r="F518" s="54">
        <f t="shared" si="62"/>
        <v>0</v>
      </c>
      <c r="G518" s="87"/>
      <c r="H518" s="16"/>
      <c r="I518" s="11"/>
      <c r="J518" s="26"/>
      <c r="K518" s="50"/>
      <c r="L518" s="54">
        <f t="shared" si="64"/>
        <v>0</v>
      </c>
    </row>
    <row r="519" spans="2:12" x14ac:dyDescent="0.15">
      <c r="B519" s="73"/>
      <c r="C519" s="11"/>
      <c r="D519" s="26"/>
      <c r="E519" s="50"/>
      <c r="F519" s="54">
        <f t="shared" si="62"/>
        <v>0</v>
      </c>
      <c r="G519" s="87"/>
      <c r="H519" s="16"/>
      <c r="I519" s="11"/>
      <c r="J519" s="26"/>
      <c r="K519" s="50"/>
      <c r="L519" s="54">
        <f t="shared" si="64"/>
        <v>0</v>
      </c>
    </row>
    <row r="520" spans="2:12" x14ac:dyDescent="0.15">
      <c r="B520" s="73"/>
      <c r="C520" s="11"/>
      <c r="D520" s="26"/>
      <c r="E520" s="50"/>
      <c r="F520" s="54">
        <f t="shared" si="62"/>
        <v>0</v>
      </c>
      <c r="G520" s="87"/>
      <c r="H520" s="16"/>
      <c r="I520" s="11"/>
      <c r="J520" s="26"/>
      <c r="K520" s="50"/>
      <c r="L520" s="54">
        <f t="shared" si="64"/>
        <v>0</v>
      </c>
    </row>
    <row r="521" spans="2:12" x14ac:dyDescent="0.15">
      <c r="B521" s="73"/>
      <c r="C521" s="11"/>
      <c r="D521" s="26"/>
      <c r="E521" s="50"/>
      <c r="F521" s="54">
        <f t="shared" si="62"/>
        <v>0</v>
      </c>
      <c r="G521" s="87"/>
      <c r="H521" s="16"/>
      <c r="I521" s="11"/>
      <c r="J521" s="26"/>
      <c r="K521" s="50"/>
      <c r="L521" s="54">
        <f t="shared" si="64"/>
        <v>0</v>
      </c>
    </row>
    <row r="522" spans="2:12" x14ac:dyDescent="0.15">
      <c r="B522" s="73"/>
      <c r="C522" s="11"/>
      <c r="D522" s="26"/>
      <c r="E522" s="50"/>
      <c r="F522" s="54">
        <f t="shared" si="62"/>
        <v>0</v>
      </c>
      <c r="G522" s="87"/>
      <c r="H522" s="16"/>
      <c r="I522" s="11"/>
      <c r="J522" s="26"/>
      <c r="K522" s="50"/>
      <c r="L522" s="54">
        <f t="shared" si="64"/>
        <v>0</v>
      </c>
    </row>
    <row r="523" spans="2:12" x14ac:dyDescent="0.15">
      <c r="B523" s="73"/>
      <c r="C523" s="11"/>
      <c r="D523" s="26"/>
      <c r="E523" s="50"/>
      <c r="F523" s="54">
        <f t="shared" si="62"/>
        <v>0</v>
      </c>
      <c r="G523" s="87"/>
      <c r="H523" s="16"/>
      <c r="I523" s="11"/>
      <c r="J523" s="26"/>
      <c r="K523" s="50"/>
      <c r="L523" s="54">
        <f t="shared" si="64"/>
        <v>0</v>
      </c>
    </row>
    <row r="524" spans="2:12" x14ac:dyDescent="0.15">
      <c r="B524" s="73"/>
      <c r="C524" s="11"/>
      <c r="D524" s="26"/>
      <c r="E524" s="50"/>
      <c r="F524" s="54">
        <f t="shared" si="62"/>
        <v>0</v>
      </c>
      <c r="G524" s="87"/>
      <c r="H524" s="16"/>
      <c r="I524" s="11"/>
      <c r="J524" s="26"/>
      <c r="K524" s="50"/>
      <c r="L524" s="54">
        <f t="shared" si="64"/>
        <v>0</v>
      </c>
    </row>
    <row r="525" spans="2:12" x14ac:dyDescent="0.15">
      <c r="B525" s="73"/>
      <c r="C525" s="11"/>
      <c r="D525" s="26"/>
      <c r="E525" s="50"/>
      <c r="F525" s="54">
        <f t="shared" si="62"/>
        <v>0</v>
      </c>
      <c r="G525" s="87"/>
      <c r="H525" s="16"/>
      <c r="I525" s="11"/>
      <c r="J525" s="26"/>
      <c r="K525" s="50"/>
      <c r="L525" s="54">
        <f t="shared" si="64"/>
        <v>0</v>
      </c>
    </row>
    <row r="526" spans="2:12" x14ac:dyDescent="0.15">
      <c r="B526" s="73"/>
      <c r="C526" s="11"/>
      <c r="D526" s="26"/>
      <c r="E526" s="50"/>
      <c r="F526" s="54">
        <f t="shared" si="62"/>
        <v>0</v>
      </c>
      <c r="G526" s="87"/>
      <c r="H526" s="16"/>
      <c r="I526" s="11"/>
      <c r="J526" s="26"/>
      <c r="K526" s="50"/>
      <c r="L526" s="54">
        <f t="shared" si="64"/>
        <v>0</v>
      </c>
    </row>
    <row r="527" spans="2:12" x14ac:dyDescent="0.15">
      <c r="B527" s="73"/>
      <c r="C527" s="11"/>
      <c r="D527" s="26"/>
      <c r="E527" s="50"/>
      <c r="F527" s="54">
        <f t="shared" si="62"/>
        <v>0</v>
      </c>
      <c r="G527" s="87"/>
      <c r="H527" s="16"/>
      <c r="I527" s="11"/>
      <c r="J527" s="26"/>
      <c r="K527" s="50"/>
      <c r="L527" s="54">
        <f t="shared" si="64"/>
        <v>0</v>
      </c>
    </row>
    <row r="528" spans="2:12" ht="14.25" thickBot="1" x14ac:dyDescent="0.2">
      <c r="B528" s="16"/>
      <c r="C528" s="11"/>
      <c r="D528" s="26"/>
      <c r="E528" s="50"/>
      <c r="F528" s="54">
        <f t="shared" si="62"/>
        <v>0</v>
      </c>
      <c r="H528" s="16"/>
      <c r="I528" s="11"/>
      <c r="J528" s="26"/>
      <c r="K528" s="50"/>
      <c r="L528" s="54">
        <f t="shared" si="64"/>
        <v>0</v>
      </c>
    </row>
    <row r="529" spans="2:12" ht="14.25" thickBot="1" x14ac:dyDescent="0.2">
      <c r="B529" s="7" t="s">
        <v>2</v>
      </c>
      <c r="C529" s="40">
        <f>SUM(C504:C528)</f>
        <v>5</v>
      </c>
      <c r="D529" s="33">
        <f>SUM(D504:D528)</f>
        <v>12</v>
      </c>
      <c r="E529" s="99">
        <f>SUM(E504:E528)</f>
        <v>0</v>
      </c>
      <c r="F529" s="55">
        <f>SUM(F504:F528)</f>
        <v>17</v>
      </c>
      <c r="H529" s="7" t="s">
        <v>2</v>
      </c>
      <c r="I529" s="40">
        <f>SUM(I504:I528)</f>
        <v>0</v>
      </c>
      <c r="J529" s="33">
        <f>SUM(J504:J528)</f>
        <v>0</v>
      </c>
      <c r="K529" s="99">
        <f>SUM(K504:K528)</f>
        <v>0</v>
      </c>
      <c r="L529" s="55">
        <f>SUM(L504:L528)</f>
        <v>0</v>
      </c>
    </row>
    <row r="530" spans="2:12" ht="14.25" thickBot="1" x14ac:dyDescent="0.2">
      <c r="B530" s="35" t="s">
        <v>3</v>
      </c>
      <c r="C530" s="45">
        <f>C503-C529</f>
        <v>30</v>
      </c>
      <c r="D530" s="79">
        <f>D503-D529</f>
        <v>15</v>
      </c>
      <c r="E530" s="100">
        <f>E503-E529</f>
        <v>0</v>
      </c>
      <c r="F530" s="43">
        <f>SUM(C530:E530)</f>
        <v>45</v>
      </c>
      <c r="H530" s="35" t="s">
        <v>3</v>
      </c>
      <c r="I530" s="45">
        <f>I503-I529</f>
        <v>140</v>
      </c>
      <c r="J530" s="79">
        <f>J503-J529</f>
        <v>39</v>
      </c>
      <c r="K530" s="100">
        <f>K503-K529</f>
        <v>0</v>
      </c>
      <c r="L530" s="43">
        <f>SUM(I530:K530)</f>
        <v>179</v>
      </c>
    </row>
  </sheetData>
  <mergeCells count="33">
    <mergeCell ref="C497:F497"/>
    <mergeCell ref="I497:L497"/>
    <mergeCell ref="C231:F231"/>
    <mergeCell ref="C345:F345"/>
    <mergeCell ref="I345:L345"/>
    <mergeCell ref="C307:F307"/>
    <mergeCell ref="I307:L307"/>
    <mergeCell ref="I231:L231"/>
    <mergeCell ref="C459:F459"/>
    <mergeCell ref="I459:L459"/>
    <mergeCell ref="C421:F421"/>
    <mergeCell ref="I421:L421"/>
    <mergeCell ref="C383:F383"/>
    <mergeCell ref="I383:L383"/>
    <mergeCell ref="C269:F269"/>
    <mergeCell ref="I269:L269"/>
    <mergeCell ref="O3:R3"/>
    <mergeCell ref="C41:F41"/>
    <mergeCell ref="I41:L41"/>
    <mergeCell ref="O41:R41"/>
    <mergeCell ref="O79:R79"/>
    <mergeCell ref="C79:F79"/>
    <mergeCell ref="I79:L79"/>
    <mergeCell ref="I3:L3"/>
    <mergeCell ref="C3:F3"/>
    <mergeCell ref="O155:R155"/>
    <mergeCell ref="C117:F117"/>
    <mergeCell ref="I117:L117"/>
    <mergeCell ref="O117:R117"/>
    <mergeCell ref="C193:F193"/>
    <mergeCell ref="I193:L193"/>
    <mergeCell ref="C155:F155"/>
    <mergeCell ref="I155:L155"/>
  </mergeCells>
  <phoneticPr fontId="1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  <ignoredErrors>
    <ignoredError sqref="L9 F9 F35 L3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/>
  <pageMargins left="0.78700000000000003" right="0.78700000000000003" top="0.98399999999999999" bottom="0.98399999999999999" header="0.51200000000000001" footer="0.5120000000000000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8700000000000003" right="0.78700000000000003" top="0.98399999999999999" bottom="0.98399999999999999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フェイスカバー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村田敦彦</cp:lastModifiedBy>
  <dcterms:created xsi:type="dcterms:W3CDTF">1997-01-08T22:48:59Z</dcterms:created>
  <dcterms:modified xsi:type="dcterms:W3CDTF">2026-06-15T05:16:50Z</dcterms:modified>
</cp:coreProperties>
</file>