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シン・ツゥ・コーポレーション\"/>
    </mc:Choice>
  </mc:AlternateContent>
  <xr:revisionPtr revIDLastSave="0" documentId="13_ncr:1_{303FBAD6-FA1C-451C-95FA-DA600DE5BB6C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54" i="1" l="1"/>
  <c r="S1254" i="1"/>
  <c r="R1215" i="1"/>
  <c r="V1215" i="1"/>
  <c r="W1215" i="1"/>
  <c r="J1251" i="1"/>
  <c r="I1251" i="1"/>
  <c r="H1251" i="1"/>
  <c r="G1251" i="1"/>
  <c r="K1251" i="1" s="1"/>
  <c r="E1251" i="1"/>
  <c r="D1251" i="1"/>
  <c r="C1251" i="1"/>
  <c r="B1251" i="1"/>
  <c r="F1251" i="1" s="1"/>
  <c r="L1251" i="1" s="1"/>
  <c r="K1250" i="1"/>
  <c r="F1250" i="1"/>
  <c r="L1250" i="1" s="1"/>
  <c r="K1249" i="1"/>
  <c r="F1249" i="1"/>
  <c r="L1249" i="1" s="1"/>
  <c r="L1248" i="1"/>
  <c r="K1248" i="1"/>
  <c r="F1248" i="1"/>
  <c r="L1247" i="1"/>
  <c r="K1247" i="1"/>
  <c r="F1247" i="1"/>
  <c r="K1246" i="1"/>
  <c r="F1246" i="1"/>
  <c r="L1246" i="1" s="1"/>
  <c r="K1245" i="1"/>
  <c r="F1245" i="1"/>
  <c r="L1245" i="1" s="1"/>
  <c r="L1244" i="1"/>
  <c r="K1244" i="1"/>
  <c r="F1244" i="1"/>
  <c r="L1243" i="1"/>
  <c r="K1243" i="1"/>
  <c r="F1243" i="1"/>
  <c r="K1242" i="1"/>
  <c r="F1242" i="1"/>
  <c r="L1242" i="1" s="1"/>
  <c r="K1241" i="1"/>
  <c r="F1241" i="1"/>
  <c r="L1241" i="1" s="1"/>
  <c r="L1240" i="1"/>
  <c r="K1240" i="1"/>
  <c r="F1240" i="1"/>
  <c r="L1239" i="1"/>
  <c r="K1239" i="1"/>
  <c r="F1239" i="1"/>
  <c r="K1238" i="1"/>
  <c r="F1238" i="1"/>
  <c r="L1238" i="1" s="1"/>
  <c r="K1237" i="1"/>
  <c r="F1237" i="1"/>
  <c r="L1237" i="1" s="1"/>
  <c r="L1236" i="1"/>
  <c r="K1236" i="1"/>
  <c r="F1236" i="1"/>
  <c r="L1235" i="1"/>
  <c r="K1235" i="1"/>
  <c r="F1235" i="1"/>
  <c r="K1234" i="1"/>
  <c r="F1234" i="1"/>
  <c r="L1234" i="1" s="1"/>
  <c r="K1233" i="1"/>
  <c r="F1233" i="1"/>
  <c r="L1233" i="1" s="1"/>
  <c r="L1232" i="1"/>
  <c r="K1232" i="1"/>
  <c r="F1232" i="1"/>
  <c r="L1231" i="1"/>
  <c r="K1231" i="1"/>
  <c r="F1231" i="1"/>
  <c r="K1230" i="1"/>
  <c r="F1230" i="1"/>
  <c r="L1230" i="1" s="1"/>
  <c r="K1229" i="1"/>
  <c r="F1229" i="1"/>
  <c r="L1229" i="1" s="1"/>
  <c r="L1228" i="1"/>
  <c r="K1228" i="1"/>
  <c r="F1228" i="1"/>
  <c r="L1227" i="1"/>
  <c r="K1227" i="1"/>
  <c r="F1227" i="1"/>
  <c r="K1226" i="1"/>
  <c r="F1226" i="1"/>
  <c r="L1226" i="1" s="1"/>
  <c r="L1224" i="1"/>
  <c r="K1224" i="1"/>
  <c r="F1224" i="1"/>
  <c r="L1223" i="1"/>
  <c r="K1223" i="1"/>
  <c r="F1223" i="1"/>
  <c r="K1222" i="1"/>
  <c r="F1222" i="1"/>
  <c r="L1222" i="1" s="1"/>
  <c r="K1221" i="1"/>
  <c r="F1221" i="1"/>
  <c r="L1221" i="1" s="1"/>
  <c r="S1250" i="1"/>
  <c r="Y1250" i="1" s="1"/>
  <c r="X1250" i="1"/>
  <c r="W1251" i="1"/>
  <c r="V1251" i="1"/>
  <c r="U1251" i="1"/>
  <c r="T1251" i="1"/>
  <c r="R1251" i="1"/>
  <c r="Q1251" i="1"/>
  <c r="P1251" i="1"/>
  <c r="O1251" i="1"/>
  <c r="X1249" i="1"/>
  <c r="S1249" i="1"/>
  <c r="Y1249" i="1" s="1"/>
  <c r="X1248" i="1"/>
  <c r="Y1248" i="1" s="1"/>
  <c r="S1248" i="1"/>
  <c r="Y1247" i="1"/>
  <c r="X1247" i="1"/>
  <c r="S1247" i="1"/>
  <c r="X1246" i="1"/>
  <c r="S1246" i="1"/>
  <c r="Y1246" i="1" s="1"/>
  <c r="X1245" i="1"/>
  <c r="S1245" i="1"/>
  <c r="Y1245" i="1" s="1"/>
  <c r="X1244" i="1"/>
  <c r="Y1244" i="1" s="1"/>
  <c r="S1244" i="1"/>
  <c r="Y1243" i="1"/>
  <c r="X1243" i="1"/>
  <c r="S1243" i="1"/>
  <c r="X1242" i="1"/>
  <c r="S1242" i="1"/>
  <c r="Y1242" i="1" s="1"/>
  <c r="X1241" i="1"/>
  <c r="S1241" i="1"/>
  <c r="Y1241" i="1" s="1"/>
  <c r="X1240" i="1"/>
  <c r="Y1240" i="1" s="1"/>
  <c r="S1240" i="1"/>
  <c r="Y1239" i="1"/>
  <c r="X1239" i="1"/>
  <c r="S1239" i="1"/>
  <c r="X1238" i="1"/>
  <c r="S1238" i="1"/>
  <c r="Y1238" i="1" s="1"/>
  <c r="X1237" i="1"/>
  <c r="S1237" i="1"/>
  <c r="Y1237" i="1" s="1"/>
  <c r="X1236" i="1"/>
  <c r="Y1236" i="1" s="1"/>
  <c r="S1236" i="1"/>
  <c r="Y1235" i="1"/>
  <c r="X1235" i="1"/>
  <c r="S1235" i="1"/>
  <c r="X1234" i="1"/>
  <c r="S1234" i="1"/>
  <c r="Y1234" i="1" s="1"/>
  <c r="X1233" i="1"/>
  <c r="S1233" i="1"/>
  <c r="Y1233" i="1" s="1"/>
  <c r="X1232" i="1"/>
  <c r="Y1232" i="1" s="1"/>
  <c r="S1232" i="1"/>
  <c r="Y1231" i="1"/>
  <c r="X1231" i="1"/>
  <c r="S1231" i="1"/>
  <c r="X1230" i="1"/>
  <c r="S1230" i="1"/>
  <c r="Y1230" i="1" s="1"/>
  <c r="X1229" i="1"/>
  <c r="S1229" i="1"/>
  <c r="Y1229" i="1" s="1"/>
  <c r="X1228" i="1"/>
  <c r="Y1228" i="1" s="1"/>
  <c r="S1228" i="1"/>
  <c r="Y1227" i="1"/>
  <c r="X1227" i="1"/>
  <c r="S1227" i="1"/>
  <c r="X1226" i="1"/>
  <c r="S1226" i="1"/>
  <c r="Y1226" i="1" s="1"/>
  <c r="X1224" i="1"/>
  <c r="Y1224" i="1" s="1"/>
  <c r="S1224" i="1"/>
  <c r="Y1223" i="1"/>
  <c r="X1223" i="1"/>
  <c r="S1223" i="1"/>
  <c r="X1222" i="1"/>
  <c r="S1222" i="1"/>
  <c r="X1221" i="1"/>
  <c r="S1221" i="1"/>
  <c r="Y1221" i="1" s="1"/>
  <c r="F1183" i="1"/>
  <c r="K1183" i="1"/>
  <c r="F1184" i="1"/>
  <c r="K1184" i="1"/>
  <c r="F1185" i="1"/>
  <c r="K1185" i="1"/>
  <c r="L1185" i="1" s="1"/>
  <c r="F1188" i="1"/>
  <c r="K1188" i="1"/>
  <c r="L1188" i="1" s="1"/>
  <c r="F1189" i="1"/>
  <c r="K1189" i="1"/>
  <c r="F1190" i="1"/>
  <c r="K1190" i="1"/>
  <c r="F1191" i="1"/>
  <c r="K1191" i="1"/>
  <c r="L1191" i="1" s="1"/>
  <c r="F1192" i="1"/>
  <c r="K1192" i="1"/>
  <c r="F1193" i="1"/>
  <c r="L1193" i="1" s="1"/>
  <c r="K1193" i="1"/>
  <c r="F1194" i="1"/>
  <c r="L1194" i="1" s="1"/>
  <c r="K1194" i="1"/>
  <c r="F1195" i="1"/>
  <c r="K1195" i="1"/>
  <c r="L1195" i="1"/>
  <c r="F1196" i="1"/>
  <c r="K1196" i="1"/>
  <c r="L1196" i="1" s="1"/>
  <c r="F1197" i="1"/>
  <c r="L1197" i="1" s="1"/>
  <c r="K1197" i="1"/>
  <c r="F1198" i="1"/>
  <c r="L1198" i="1" s="1"/>
  <c r="K1198" i="1"/>
  <c r="F1199" i="1"/>
  <c r="K1199" i="1"/>
  <c r="L1199" i="1"/>
  <c r="J1213" i="1"/>
  <c r="I1213" i="1"/>
  <c r="H1213" i="1"/>
  <c r="G1213" i="1"/>
  <c r="E1213" i="1"/>
  <c r="D1213" i="1"/>
  <c r="C1213" i="1"/>
  <c r="B1213" i="1"/>
  <c r="K1212" i="1"/>
  <c r="F1212" i="1"/>
  <c r="L1212" i="1" s="1"/>
  <c r="K1211" i="1"/>
  <c r="F1211" i="1"/>
  <c r="L1211" i="1" s="1"/>
  <c r="K1210" i="1"/>
  <c r="F1210" i="1"/>
  <c r="L1210" i="1" s="1"/>
  <c r="K1209" i="1"/>
  <c r="F1209" i="1"/>
  <c r="L1209" i="1" s="1"/>
  <c r="K1208" i="1"/>
  <c r="F1208" i="1"/>
  <c r="L1208" i="1" s="1"/>
  <c r="K1207" i="1"/>
  <c r="F1207" i="1"/>
  <c r="L1207" i="1" s="1"/>
  <c r="K1206" i="1"/>
  <c r="F1206" i="1"/>
  <c r="L1206" i="1" s="1"/>
  <c r="K1205" i="1"/>
  <c r="F1205" i="1"/>
  <c r="L1205" i="1" s="1"/>
  <c r="K1204" i="1"/>
  <c r="F1204" i="1"/>
  <c r="L1204" i="1" s="1"/>
  <c r="K1203" i="1"/>
  <c r="F1203" i="1"/>
  <c r="L1203" i="1" s="1"/>
  <c r="K1202" i="1"/>
  <c r="F1202" i="1"/>
  <c r="L1202" i="1" s="1"/>
  <c r="K1201" i="1"/>
  <c r="F1201" i="1"/>
  <c r="L1201" i="1" s="1"/>
  <c r="K1200" i="1"/>
  <c r="F1200" i="1"/>
  <c r="L1200" i="1" s="1"/>
  <c r="K1186" i="1"/>
  <c r="F1186" i="1"/>
  <c r="L1186" i="1" s="1"/>
  <c r="S1188" i="1"/>
  <c r="Y1188" i="1" s="1"/>
  <c r="X1188" i="1"/>
  <c r="S1189" i="1"/>
  <c r="Y1189" i="1" s="1"/>
  <c r="X1189" i="1"/>
  <c r="S1190" i="1"/>
  <c r="X1190" i="1"/>
  <c r="S1191" i="1"/>
  <c r="X1191" i="1"/>
  <c r="Y1191" i="1"/>
  <c r="S1192" i="1"/>
  <c r="X1192" i="1"/>
  <c r="S1193" i="1"/>
  <c r="X1193" i="1"/>
  <c r="S1194" i="1"/>
  <c r="X1194" i="1"/>
  <c r="Y1194" i="1" s="1"/>
  <c r="S1195" i="1"/>
  <c r="X1195" i="1"/>
  <c r="Y1195" i="1" s="1"/>
  <c r="S1196" i="1"/>
  <c r="Y1196" i="1" s="1"/>
  <c r="X1196" i="1"/>
  <c r="S1185" i="1"/>
  <c r="X1185" i="1"/>
  <c r="Y1185" i="1"/>
  <c r="W1213" i="1"/>
  <c r="V1213" i="1"/>
  <c r="U1213" i="1"/>
  <c r="T1213" i="1"/>
  <c r="R1213" i="1"/>
  <c r="Q1213" i="1"/>
  <c r="P1213" i="1"/>
  <c r="O1213" i="1"/>
  <c r="X1212" i="1"/>
  <c r="S1212" i="1"/>
  <c r="X1211" i="1"/>
  <c r="S1211" i="1"/>
  <c r="Y1211" i="1" s="1"/>
  <c r="X1210" i="1"/>
  <c r="S1210" i="1"/>
  <c r="X1209" i="1"/>
  <c r="S1209" i="1"/>
  <c r="X1208" i="1"/>
  <c r="Y1208" i="1" s="1"/>
  <c r="S1208" i="1"/>
  <c r="X1207" i="1"/>
  <c r="S1207" i="1"/>
  <c r="X1206" i="1"/>
  <c r="S1206" i="1"/>
  <c r="X1205" i="1"/>
  <c r="S1205" i="1"/>
  <c r="Y1205" i="1" s="1"/>
  <c r="X1204" i="1"/>
  <c r="S1204" i="1"/>
  <c r="X1203" i="1"/>
  <c r="S1203" i="1"/>
  <c r="Y1203" i="1" s="1"/>
  <c r="X1202" i="1"/>
  <c r="S1202" i="1"/>
  <c r="Y1202" i="1" s="1"/>
  <c r="X1201" i="1"/>
  <c r="S1201" i="1"/>
  <c r="Y1201" i="1" s="1"/>
  <c r="X1200" i="1"/>
  <c r="Y1200" i="1" s="1"/>
  <c r="S1200" i="1"/>
  <c r="X1199" i="1"/>
  <c r="S1199" i="1"/>
  <c r="X1198" i="1"/>
  <c r="S1198" i="1"/>
  <c r="X1197" i="1"/>
  <c r="S1197" i="1"/>
  <c r="Y1197" i="1" s="1"/>
  <c r="X1186" i="1"/>
  <c r="S1186" i="1"/>
  <c r="X1184" i="1"/>
  <c r="Y1184" i="1" s="1"/>
  <c r="S1184" i="1"/>
  <c r="X1183" i="1"/>
  <c r="S1183" i="1"/>
  <c r="K1157" i="1"/>
  <c r="F1157" i="1"/>
  <c r="L1157" i="1" s="1"/>
  <c r="S1108" i="1"/>
  <c r="X1108" i="1"/>
  <c r="X1147" i="1"/>
  <c r="S1147" i="1"/>
  <c r="K1152" i="1"/>
  <c r="K1153" i="1"/>
  <c r="K1154" i="1"/>
  <c r="K1155" i="1"/>
  <c r="F1152" i="1"/>
  <c r="F1153" i="1"/>
  <c r="F1154" i="1"/>
  <c r="F1155" i="1"/>
  <c r="F1156" i="1"/>
  <c r="F1150" i="1"/>
  <c r="L1150" i="1" s="1"/>
  <c r="K1150" i="1"/>
  <c r="F1151" i="1"/>
  <c r="L1151" i="1" s="1"/>
  <c r="K1151" i="1"/>
  <c r="L1154" i="1"/>
  <c r="K1156" i="1"/>
  <c r="L1156" i="1" s="1"/>
  <c r="F1145" i="1"/>
  <c r="K1145" i="1"/>
  <c r="J1175" i="1"/>
  <c r="I1175" i="1"/>
  <c r="H1175" i="1"/>
  <c r="G1175" i="1"/>
  <c r="E1175" i="1"/>
  <c r="D1175" i="1"/>
  <c r="C1175" i="1"/>
  <c r="B1175" i="1"/>
  <c r="K1174" i="1"/>
  <c r="F1174" i="1"/>
  <c r="K1173" i="1"/>
  <c r="F1173" i="1"/>
  <c r="K1172" i="1"/>
  <c r="F1172" i="1"/>
  <c r="K1171" i="1"/>
  <c r="F1171" i="1"/>
  <c r="L1171" i="1" s="1"/>
  <c r="K1170" i="1"/>
  <c r="F1170" i="1"/>
  <c r="K1169" i="1"/>
  <c r="F1169" i="1"/>
  <c r="L1169" i="1" s="1"/>
  <c r="K1168" i="1"/>
  <c r="F1168" i="1"/>
  <c r="L1168" i="1" s="1"/>
  <c r="K1167" i="1"/>
  <c r="F1167" i="1"/>
  <c r="K1166" i="1"/>
  <c r="F1166" i="1"/>
  <c r="K1165" i="1"/>
  <c r="F1165" i="1"/>
  <c r="K1164" i="1"/>
  <c r="F1164" i="1"/>
  <c r="K1163" i="1"/>
  <c r="F1163" i="1"/>
  <c r="L1163" i="1" s="1"/>
  <c r="K1162" i="1"/>
  <c r="F1162" i="1"/>
  <c r="K1161" i="1"/>
  <c r="F1161" i="1"/>
  <c r="L1161" i="1" s="1"/>
  <c r="K1160" i="1"/>
  <c r="F1160" i="1"/>
  <c r="L1160" i="1" s="1"/>
  <c r="K1159" i="1"/>
  <c r="F1159" i="1"/>
  <c r="K1158" i="1"/>
  <c r="F1158" i="1"/>
  <c r="K1148" i="1"/>
  <c r="F1148" i="1"/>
  <c r="L1148" i="1" s="1"/>
  <c r="K1147" i="1"/>
  <c r="F1147" i="1"/>
  <c r="K1146" i="1"/>
  <c r="F1146" i="1"/>
  <c r="S1172" i="1"/>
  <c r="X1172" i="1"/>
  <c r="S1173" i="1"/>
  <c r="X1173" i="1"/>
  <c r="S1174" i="1"/>
  <c r="X1174" i="1"/>
  <c r="Y1174" i="1" s="1"/>
  <c r="S1146" i="1"/>
  <c r="X1146" i="1"/>
  <c r="U1175" i="1"/>
  <c r="U1215" i="1" s="1"/>
  <c r="Q1175" i="1"/>
  <c r="Q1215" i="1" s="1"/>
  <c r="W1175" i="1"/>
  <c r="V1175" i="1"/>
  <c r="T1175" i="1"/>
  <c r="T1215" i="1" s="1"/>
  <c r="R1175" i="1"/>
  <c r="P1175" i="1"/>
  <c r="P1215" i="1" s="1"/>
  <c r="X1171" i="1"/>
  <c r="S1171" i="1"/>
  <c r="X1170" i="1"/>
  <c r="S1170" i="1"/>
  <c r="X1169" i="1"/>
  <c r="S1169" i="1"/>
  <c r="X1168" i="1"/>
  <c r="S1168" i="1"/>
  <c r="X1167" i="1"/>
  <c r="S1167" i="1"/>
  <c r="X1166" i="1"/>
  <c r="S1166" i="1"/>
  <c r="X1165" i="1"/>
  <c r="S1165" i="1"/>
  <c r="X1164" i="1"/>
  <c r="Y1164" i="1" s="1"/>
  <c r="S1164" i="1"/>
  <c r="X1163" i="1"/>
  <c r="S1163" i="1"/>
  <c r="X1162" i="1"/>
  <c r="S1162" i="1"/>
  <c r="X1161" i="1"/>
  <c r="S1161" i="1"/>
  <c r="X1160" i="1"/>
  <c r="S1160" i="1"/>
  <c r="X1159" i="1"/>
  <c r="S1159" i="1"/>
  <c r="X1158" i="1"/>
  <c r="S1158" i="1"/>
  <c r="X1157" i="1"/>
  <c r="S1157" i="1"/>
  <c r="X1156" i="1"/>
  <c r="Y1156" i="1" s="1"/>
  <c r="S1156" i="1"/>
  <c r="X1155" i="1"/>
  <c r="S1155" i="1"/>
  <c r="X1154" i="1"/>
  <c r="S1154" i="1"/>
  <c r="X1153" i="1"/>
  <c r="S1153" i="1"/>
  <c r="X1152" i="1"/>
  <c r="Y1152" i="1" s="1"/>
  <c r="S1152" i="1"/>
  <c r="X1151" i="1"/>
  <c r="S1151" i="1"/>
  <c r="X1150" i="1"/>
  <c r="S1150" i="1"/>
  <c r="X1148" i="1"/>
  <c r="Y1148" i="1" s="1"/>
  <c r="S1148" i="1"/>
  <c r="X1145" i="1"/>
  <c r="S1145" i="1"/>
  <c r="F1108" i="1"/>
  <c r="K1108" i="1"/>
  <c r="S1051" i="1"/>
  <c r="Y1051" i="1" s="1"/>
  <c r="X1051" i="1"/>
  <c r="X1050" i="1"/>
  <c r="S1050" i="1"/>
  <c r="S1052" i="1"/>
  <c r="Y1052" i="1" s="1"/>
  <c r="X1052" i="1"/>
  <c r="X1076" i="1"/>
  <c r="S1076" i="1"/>
  <c r="X1075" i="1"/>
  <c r="Y1075" i="1" s="1"/>
  <c r="S1075" i="1"/>
  <c r="K1033" i="1"/>
  <c r="F1033" i="1"/>
  <c r="U1061" i="1"/>
  <c r="X1057" i="1"/>
  <c r="V1061" i="1"/>
  <c r="Q1061" i="1"/>
  <c r="O1061" i="1"/>
  <c r="X1101" i="1"/>
  <c r="S1101" i="1"/>
  <c r="S1055" i="1"/>
  <c r="X1055" i="1"/>
  <c r="S1056" i="1"/>
  <c r="X1056" i="1"/>
  <c r="W1023" i="1"/>
  <c r="V1023" i="1"/>
  <c r="R1023" i="1"/>
  <c r="Q1023" i="1"/>
  <c r="X1021" i="1"/>
  <c r="S1021" i="1"/>
  <c r="F973" i="1"/>
  <c r="K973" i="1"/>
  <c r="J1137" i="1"/>
  <c r="I1137" i="1"/>
  <c r="H1137" i="1"/>
  <c r="G1137" i="1"/>
  <c r="E1137" i="1"/>
  <c r="D1137" i="1"/>
  <c r="C1137" i="1"/>
  <c r="B1137" i="1"/>
  <c r="K1136" i="1"/>
  <c r="F1136" i="1"/>
  <c r="K1135" i="1"/>
  <c r="F1135" i="1"/>
  <c r="K1134" i="1"/>
  <c r="F1134" i="1"/>
  <c r="K1133" i="1"/>
  <c r="F1133" i="1"/>
  <c r="K1132" i="1"/>
  <c r="F1132" i="1"/>
  <c r="K1131" i="1"/>
  <c r="F1131" i="1"/>
  <c r="K1130" i="1"/>
  <c r="F1130" i="1"/>
  <c r="K1129" i="1"/>
  <c r="F1129" i="1"/>
  <c r="K1128" i="1"/>
  <c r="F1128" i="1"/>
  <c r="K1127" i="1"/>
  <c r="F1127" i="1"/>
  <c r="K1126" i="1"/>
  <c r="F1126" i="1"/>
  <c r="K1125" i="1"/>
  <c r="F1125" i="1"/>
  <c r="K1124" i="1"/>
  <c r="F1124" i="1"/>
  <c r="K1123" i="1"/>
  <c r="F1123" i="1"/>
  <c r="K1122" i="1"/>
  <c r="F1122" i="1"/>
  <c r="K1121" i="1"/>
  <c r="F1121" i="1"/>
  <c r="L1121" i="1" s="1"/>
  <c r="K1120" i="1"/>
  <c r="F1120" i="1"/>
  <c r="K1119" i="1"/>
  <c r="F1119" i="1"/>
  <c r="K1118" i="1"/>
  <c r="F1118" i="1"/>
  <c r="K1117" i="1"/>
  <c r="F1117" i="1"/>
  <c r="K1116" i="1"/>
  <c r="F1116" i="1"/>
  <c r="K1115" i="1"/>
  <c r="F1115" i="1"/>
  <c r="K1114" i="1"/>
  <c r="F1114" i="1"/>
  <c r="K1113" i="1"/>
  <c r="F1113" i="1"/>
  <c r="K1112" i="1"/>
  <c r="F1112" i="1"/>
  <c r="K1110" i="1"/>
  <c r="F1110" i="1"/>
  <c r="K1109" i="1"/>
  <c r="F1109" i="1"/>
  <c r="K1107" i="1"/>
  <c r="F1107" i="1"/>
  <c r="S1054" i="1"/>
  <c r="X1054" i="1"/>
  <c r="S1057" i="1"/>
  <c r="S1059" i="1"/>
  <c r="S1060" i="1"/>
  <c r="X1098" i="1"/>
  <c r="S1098" i="1"/>
  <c r="X1097" i="1"/>
  <c r="S1097" i="1"/>
  <c r="W1137" i="1"/>
  <c r="V1137" i="1"/>
  <c r="U1137" i="1"/>
  <c r="T1137" i="1"/>
  <c r="R1137" i="1"/>
  <c r="Q1137" i="1"/>
  <c r="P1137" i="1"/>
  <c r="O1137" i="1"/>
  <c r="X1136" i="1"/>
  <c r="S1136" i="1"/>
  <c r="X1135" i="1"/>
  <c r="S1135" i="1"/>
  <c r="X1134" i="1"/>
  <c r="S1134" i="1"/>
  <c r="X1133" i="1"/>
  <c r="S1133" i="1"/>
  <c r="X1132" i="1"/>
  <c r="S1132" i="1"/>
  <c r="X1131" i="1"/>
  <c r="S1131" i="1"/>
  <c r="X1130" i="1"/>
  <c r="S1130" i="1"/>
  <c r="X1129" i="1"/>
  <c r="S1129" i="1"/>
  <c r="X1128" i="1"/>
  <c r="S1128" i="1"/>
  <c r="X1127" i="1"/>
  <c r="S1127" i="1"/>
  <c r="X1126" i="1"/>
  <c r="Y1126" i="1" s="1"/>
  <c r="S1126" i="1"/>
  <c r="X1125" i="1"/>
  <c r="S1125" i="1"/>
  <c r="X1124" i="1"/>
  <c r="S1124" i="1"/>
  <c r="X1123" i="1"/>
  <c r="S1123" i="1"/>
  <c r="X1122" i="1"/>
  <c r="S1122" i="1"/>
  <c r="X1121" i="1"/>
  <c r="S1121" i="1"/>
  <c r="X1120" i="1"/>
  <c r="S1120" i="1"/>
  <c r="X1119" i="1"/>
  <c r="S1119" i="1"/>
  <c r="X1118" i="1"/>
  <c r="Y1118" i="1" s="1"/>
  <c r="S1118" i="1"/>
  <c r="X1117" i="1"/>
  <c r="S1117" i="1"/>
  <c r="X1116" i="1"/>
  <c r="S1116" i="1"/>
  <c r="X1115" i="1"/>
  <c r="S1115" i="1"/>
  <c r="X1114" i="1"/>
  <c r="S1114" i="1"/>
  <c r="X1113" i="1"/>
  <c r="S1113" i="1"/>
  <c r="X1112" i="1"/>
  <c r="S1112" i="1"/>
  <c r="X1110" i="1"/>
  <c r="S1110" i="1"/>
  <c r="X1109" i="1"/>
  <c r="S1109" i="1"/>
  <c r="X1107" i="1"/>
  <c r="S1107" i="1"/>
  <c r="S1093" i="1"/>
  <c r="X1093" i="1"/>
  <c r="S1094" i="1"/>
  <c r="X1094" i="1"/>
  <c r="Y1094" i="1"/>
  <c r="S1095" i="1"/>
  <c r="X1095" i="1"/>
  <c r="S1096" i="1"/>
  <c r="X1096" i="1"/>
  <c r="W1099" i="1"/>
  <c r="V1099" i="1"/>
  <c r="U1099" i="1"/>
  <c r="T1099" i="1"/>
  <c r="R1099" i="1"/>
  <c r="Q1099" i="1"/>
  <c r="P1099" i="1"/>
  <c r="O1099" i="1"/>
  <c r="J1099" i="1"/>
  <c r="I1099" i="1"/>
  <c r="H1099" i="1"/>
  <c r="G1099" i="1"/>
  <c r="E1099" i="1"/>
  <c r="D1099" i="1"/>
  <c r="C1099" i="1"/>
  <c r="B1099" i="1"/>
  <c r="K1098" i="1"/>
  <c r="F1098" i="1"/>
  <c r="K1097" i="1"/>
  <c r="F1097" i="1"/>
  <c r="K1096" i="1"/>
  <c r="F1096" i="1"/>
  <c r="K1095" i="1"/>
  <c r="F1095" i="1"/>
  <c r="K1094" i="1"/>
  <c r="F1094" i="1"/>
  <c r="K1093" i="1"/>
  <c r="F1093" i="1"/>
  <c r="X1092" i="1"/>
  <c r="S1092" i="1"/>
  <c r="K1092" i="1"/>
  <c r="F1092" i="1"/>
  <c r="X1091" i="1"/>
  <c r="S1091" i="1"/>
  <c r="K1091" i="1"/>
  <c r="F1091" i="1"/>
  <c r="X1090" i="1"/>
  <c r="S1090" i="1"/>
  <c r="K1090" i="1"/>
  <c r="F1090" i="1"/>
  <c r="X1089" i="1"/>
  <c r="S1089" i="1"/>
  <c r="K1089" i="1"/>
  <c r="F1089" i="1"/>
  <c r="X1088" i="1"/>
  <c r="S1088" i="1"/>
  <c r="K1088" i="1"/>
  <c r="F1088" i="1"/>
  <c r="X1087" i="1"/>
  <c r="S1087" i="1"/>
  <c r="K1087" i="1"/>
  <c r="F1087" i="1"/>
  <c r="X1086" i="1"/>
  <c r="S1086" i="1"/>
  <c r="K1086" i="1"/>
  <c r="F1086" i="1"/>
  <c r="X1085" i="1"/>
  <c r="S1085" i="1"/>
  <c r="K1085" i="1"/>
  <c r="F1085" i="1"/>
  <c r="X1084" i="1"/>
  <c r="S1084" i="1"/>
  <c r="K1084" i="1"/>
  <c r="F1084" i="1"/>
  <c r="X1083" i="1"/>
  <c r="S1083" i="1"/>
  <c r="K1083" i="1"/>
  <c r="F1083" i="1"/>
  <c r="L1083" i="1" s="1"/>
  <c r="X1082" i="1"/>
  <c r="S1082" i="1"/>
  <c r="K1082" i="1"/>
  <c r="F1082" i="1"/>
  <c r="X1081" i="1"/>
  <c r="S1081" i="1"/>
  <c r="K1081" i="1"/>
  <c r="F1081" i="1"/>
  <c r="X1080" i="1"/>
  <c r="S1080" i="1"/>
  <c r="K1080" i="1"/>
  <c r="F1080" i="1"/>
  <c r="X1079" i="1"/>
  <c r="S1079" i="1"/>
  <c r="K1079" i="1"/>
  <c r="F1079" i="1"/>
  <c r="X1078" i="1"/>
  <c r="S1078" i="1"/>
  <c r="K1078" i="1"/>
  <c r="F1078" i="1"/>
  <c r="L1078" i="1" s="1"/>
  <c r="X1077" i="1"/>
  <c r="S1077" i="1"/>
  <c r="K1077" i="1"/>
  <c r="F1077" i="1"/>
  <c r="L1077" i="1" s="1"/>
  <c r="K1076" i="1"/>
  <c r="F1076" i="1"/>
  <c r="K1075" i="1"/>
  <c r="F1075" i="1"/>
  <c r="L1075" i="1" s="1"/>
  <c r="X1074" i="1"/>
  <c r="S1074" i="1"/>
  <c r="K1074" i="1"/>
  <c r="F1074" i="1"/>
  <c r="X1072" i="1"/>
  <c r="S1072" i="1"/>
  <c r="K1072" i="1"/>
  <c r="F1072" i="1"/>
  <c r="X1071" i="1"/>
  <c r="S1071" i="1"/>
  <c r="K1071" i="1"/>
  <c r="F1071" i="1"/>
  <c r="X1070" i="1"/>
  <c r="S1070" i="1"/>
  <c r="K1070" i="1"/>
  <c r="F1070" i="1"/>
  <c r="X1069" i="1"/>
  <c r="S1069" i="1"/>
  <c r="K1069" i="1"/>
  <c r="F1069" i="1"/>
  <c r="S994" i="1"/>
  <c r="X994" i="1"/>
  <c r="X956" i="1"/>
  <c r="S956" i="1"/>
  <c r="X984" i="1"/>
  <c r="S984" i="1"/>
  <c r="X983" i="1"/>
  <c r="S983" i="1"/>
  <c r="F923" i="1"/>
  <c r="K923" i="1"/>
  <c r="F903" i="1"/>
  <c r="K903" i="1"/>
  <c r="S923" i="1"/>
  <c r="X923" i="1"/>
  <c r="J1061" i="1"/>
  <c r="I1061" i="1"/>
  <c r="H1061" i="1"/>
  <c r="G1061" i="1"/>
  <c r="E1061" i="1"/>
  <c r="D1061" i="1"/>
  <c r="C1061" i="1"/>
  <c r="B1061" i="1"/>
  <c r="K1060" i="1"/>
  <c r="F1060" i="1"/>
  <c r="K1059" i="1"/>
  <c r="F1059" i="1"/>
  <c r="K1058" i="1"/>
  <c r="F1058" i="1"/>
  <c r="K1057" i="1"/>
  <c r="F1057" i="1"/>
  <c r="K1056" i="1"/>
  <c r="F1056" i="1"/>
  <c r="K1055" i="1"/>
  <c r="F1055" i="1"/>
  <c r="K1054" i="1"/>
  <c r="F1054" i="1"/>
  <c r="K1053" i="1"/>
  <c r="F1053" i="1"/>
  <c r="K1052" i="1"/>
  <c r="F1052" i="1"/>
  <c r="K1051" i="1"/>
  <c r="F1051" i="1"/>
  <c r="K1050" i="1"/>
  <c r="F1050" i="1"/>
  <c r="K1049" i="1"/>
  <c r="F1049" i="1"/>
  <c r="K1048" i="1"/>
  <c r="F1048" i="1"/>
  <c r="K1047" i="1"/>
  <c r="F1047" i="1"/>
  <c r="K1046" i="1"/>
  <c r="F1046" i="1"/>
  <c r="K1045" i="1"/>
  <c r="F1045" i="1"/>
  <c r="K1044" i="1"/>
  <c r="F1044" i="1"/>
  <c r="K1043" i="1"/>
  <c r="F1043" i="1"/>
  <c r="K1042" i="1"/>
  <c r="F1042" i="1"/>
  <c r="K1041" i="1"/>
  <c r="F1041" i="1"/>
  <c r="K1040" i="1"/>
  <c r="F1040" i="1"/>
  <c r="K1039" i="1"/>
  <c r="F1039" i="1"/>
  <c r="K1038" i="1"/>
  <c r="F1038" i="1"/>
  <c r="K1037" i="1"/>
  <c r="F1037" i="1"/>
  <c r="K1036" i="1"/>
  <c r="F1036" i="1"/>
  <c r="K1034" i="1"/>
  <c r="F1034" i="1"/>
  <c r="K1032" i="1"/>
  <c r="F1032" i="1"/>
  <c r="K1031" i="1"/>
  <c r="F1031" i="1"/>
  <c r="S1019" i="1"/>
  <c r="X1019" i="1"/>
  <c r="S1020" i="1"/>
  <c r="X1020" i="1"/>
  <c r="X1063" i="1"/>
  <c r="S1063" i="1"/>
  <c r="W1061" i="1"/>
  <c r="R1061" i="1"/>
  <c r="P1061" i="1"/>
  <c r="X1053" i="1"/>
  <c r="S1053" i="1"/>
  <c r="X1049" i="1"/>
  <c r="S1049" i="1"/>
  <c r="X1048" i="1"/>
  <c r="S1048" i="1"/>
  <c r="X1047" i="1"/>
  <c r="S1047" i="1"/>
  <c r="X1046" i="1"/>
  <c r="S1046" i="1"/>
  <c r="X1045" i="1"/>
  <c r="S1045" i="1"/>
  <c r="X1044" i="1"/>
  <c r="S1044" i="1"/>
  <c r="X1043" i="1"/>
  <c r="S1043" i="1"/>
  <c r="X1042" i="1"/>
  <c r="S1042" i="1"/>
  <c r="X1041" i="1"/>
  <c r="S1041" i="1"/>
  <c r="X1040" i="1"/>
  <c r="S1040" i="1"/>
  <c r="X1039" i="1"/>
  <c r="S1039" i="1"/>
  <c r="X1038" i="1"/>
  <c r="S1038" i="1"/>
  <c r="X1037" i="1"/>
  <c r="S1037" i="1"/>
  <c r="X1036" i="1"/>
  <c r="S1036" i="1"/>
  <c r="X1034" i="1"/>
  <c r="S1034" i="1"/>
  <c r="X1033" i="1"/>
  <c r="S1033" i="1"/>
  <c r="X1032" i="1"/>
  <c r="S1032" i="1"/>
  <c r="X1031" i="1"/>
  <c r="S1031" i="1"/>
  <c r="F946" i="1"/>
  <c r="K946" i="1"/>
  <c r="F984" i="1"/>
  <c r="K984" i="1"/>
  <c r="F1022" i="1"/>
  <c r="K1022" i="1"/>
  <c r="J1023" i="1"/>
  <c r="I1023" i="1"/>
  <c r="H1023" i="1"/>
  <c r="G1023" i="1"/>
  <c r="E1023" i="1"/>
  <c r="D1023" i="1"/>
  <c r="C1023" i="1"/>
  <c r="B1023" i="1"/>
  <c r="K1021" i="1"/>
  <c r="F1021" i="1"/>
  <c r="K1020" i="1"/>
  <c r="F1020" i="1"/>
  <c r="K1019" i="1"/>
  <c r="F1019" i="1"/>
  <c r="K1018" i="1"/>
  <c r="F1018" i="1"/>
  <c r="K1017" i="1"/>
  <c r="F1017" i="1"/>
  <c r="K1016" i="1"/>
  <c r="F1016" i="1"/>
  <c r="K1015" i="1"/>
  <c r="L1015" i="1" s="1"/>
  <c r="F1015" i="1"/>
  <c r="K1014" i="1"/>
  <c r="F1014" i="1"/>
  <c r="K1013" i="1"/>
  <c r="F1013" i="1"/>
  <c r="K1012" i="1"/>
  <c r="F1012" i="1"/>
  <c r="K1011" i="1"/>
  <c r="F1011" i="1"/>
  <c r="K1010" i="1"/>
  <c r="F1010" i="1"/>
  <c r="K1009" i="1"/>
  <c r="F1009" i="1"/>
  <c r="K1008" i="1"/>
  <c r="F1008" i="1"/>
  <c r="K1007" i="1"/>
  <c r="F1007" i="1"/>
  <c r="K1006" i="1"/>
  <c r="F1006" i="1"/>
  <c r="K1005" i="1"/>
  <c r="F1005" i="1"/>
  <c r="K1004" i="1"/>
  <c r="F1004" i="1"/>
  <c r="K1003" i="1"/>
  <c r="F1003" i="1"/>
  <c r="K1002" i="1"/>
  <c r="F1002" i="1"/>
  <c r="K1001" i="1"/>
  <c r="F1001" i="1"/>
  <c r="K1000" i="1"/>
  <c r="F1000" i="1"/>
  <c r="K999" i="1"/>
  <c r="F999" i="1"/>
  <c r="K998" i="1"/>
  <c r="F998" i="1"/>
  <c r="K996" i="1"/>
  <c r="F996" i="1"/>
  <c r="K995" i="1"/>
  <c r="F995" i="1"/>
  <c r="K994" i="1"/>
  <c r="F994" i="1"/>
  <c r="K993" i="1"/>
  <c r="F993" i="1"/>
  <c r="S981" i="1"/>
  <c r="X981" i="1"/>
  <c r="S982" i="1"/>
  <c r="X982" i="1"/>
  <c r="U1023" i="1"/>
  <c r="P1023" i="1"/>
  <c r="O1023" i="1"/>
  <c r="X1018" i="1"/>
  <c r="S1018" i="1"/>
  <c r="X1017" i="1"/>
  <c r="S1017" i="1"/>
  <c r="X1016" i="1"/>
  <c r="S1016" i="1"/>
  <c r="X1015" i="1"/>
  <c r="S1015" i="1"/>
  <c r="X1014" i="1"/>
  <c r="S1014" i="1"/>
  <c r="X1013" i="1"/>
  <c r="S1013" i="1"/>
  <c r="X1012" i="1"/>
  <c r="S1012" i="1"/>
  <c r="X1011" i="1"/>
  <c r="S1011" i="1"/>
  <c r="X1010" i="1"/>
  <c r="S1010" i="1"/>
  <c r="X1009" i="1"/>
  <c r="S1009" i="1"/>
  <c r="X1008" i="1"/>
  <c r="S1008" i="1"/>
  <c r="Y1008" i="1" s="1"/>
  <c r="X1007" i="1"/>
  <c r="S1007" i="1"/>
  <c r="X1006" i="1"/>
  <c r="S1006" i="1"/>
  <c r="X1005" i="1"/>
  <c r="S1005" i="1"/>
  <c r="X1004" i="1"/>
  <c r="S1004" i="1"/>
  <c r="X1003" i="1"/>
  <c r="S1003" i="1"/>
  <c r="X1002" i="1"/>
  <c r="S1002" i="1"/>
  <c r="X1001" i="1"/>
  <c r="S1001" i="1"/>
  <c r="X1000" i="1"/>
  <c r="S1000" i="1"/>
  <c r="Y1000" i="1" s="1"/>
  <c r="X999" i="1"/>
  <c r="S999" i="1"/>
  <c r="X998" i="1"/>
  <c r="S998" i="1"/>
  <c r="X996" i="1"/>
  <c r="S996" i="1"/>
  <c r="X995" i="1"/>
  <c r="S995" i="1"/>
  <c r="X993" i="1"/>
  <c r="S993" i="1"/>
  <c r="X891" i="1"/>
  <c r="S891" i="1"/>
  <c r="J985" i="1"/>
  <c r="I985" i="1"/>
  <c r="H985" i="1"/>
  <c r="G985" i="1"/>
  <c r="E985" i="1"/>
  <c r="D985" i="1"/>
  <c r="C985" i="1"/>
  <c r="B985" i="1"/>
  <c r="K983" i="1"/>
  <c r="F983" i="1"/>
  <c r="K982" i="1"/>
  <c r="F982" i="1"/>
  <c r="L982" i="1" s="1"/>
  <c r="K981" i="1"/>
  <c r="F981" i="1"/>
  <c r="K980" i="1"/>
  <c r="F980" i="1"/>
  <c r="L980" i="1" s="1"/>
  <c r="K979" i="1"/>
  <c r="F979" i="1"/>
  <c r="K978" i="1"/>
  <c r="F978" i="1"/>
  <c r="L978" i="1" s="1"/>
  <c r="K977" i="1"/>
  <c r="F977" i="1"/>
  <c r="K976" i="1"/>
  <c r="F976" i="1"/>
  <c r="L976" i="1" s="1"/>
  <c r="K975" i="1"/>
  <c r="F975" i="1"/>
  <c r="K974" i="1"/>
  <c r="F974" i="1"/>
  <c r="L974" i="1" s="1"/>
  <c r="K972" i="1"/>
  <c r="F972" i="1"/>
  <c r="K971" i="1"/>
  <c r="F971" i="1"/>
  <c r="L971" i="1" s="1"/>
  <c r="K970" i="1"/>
  <c r="F970" i="1"/>
  <c r="K969" i="1"/>
  <c r="F969" i="1"/>
  <c r="L969" i="1" s="1"/>
  <c r="K968" i="1"/>
  <c r="F968" i="1"/>
  <c r="K967" i="1"/>
  <c r="F967" i="1"/>
  <c r="K966" i="1"/>
  <c r="F966" i="1"/>
  <c r="K965" i="1"/>
  <c r="F965" i="1"/>
  <c r="L965" i="1" s="1"/>
  <c r="K964" i="1"/>
  <c r="F964" i="1"/>
  <c r="K963" i="1"/>
  <c r="F963" i="1"/>
  <c r="L963" i="1" s="1"/>
  <c r="K962" i="1"/>
  <c r="F962" i="1"/>
  <c r="K961" i="1"/>
  <c r="F961" i="1"/>
  <c r="L961" i="1" s="1"/>
  <c r="K960" i="1"/>
  <c r="F960" i="1"/>
  <c r="K958" i="1"/>
  <c r="F958" i="1"/>
  <c r="K957" i="1"/>
  <c r="F957" i="1"/>
  <c r="K956" i="1"/>
  <c r="F956" i="1"/>
  <c r="L956" i="1" s="1"/>
  <c r="K955" i="1"/>
  <c r="F955" i="1"/>
  <c r="S943" i="1"/>
  <c r="X943" i="1"/>
  <c r="S944" i="1"/>
  <c r="X944" i="1"/>
  <c r="W985" i="1"/>
  <c r="V985" i="1"/>
  <c r="U985" i="1"/>
  <c r="T985" i="1"/>
  <c r="R985" i="1"/>
  <c r="Q985" i="1"/>
  <c r="P985" i="1"/>
  <c r="O985" i="1"/>
  <c r="X980" i="1"/>
  <c r="S980" i="1"/>
  <c r="Y980" i="1" s="1"/>
  <c r="X979" i="1"/>
  <c r="S979" i="1"/>
  <c r="X978" i="1"/>
  <c r="S978" i="1"/>
  <c r="Y978" i="1" s="1"/>
  <c r="X977" i="1"/>
  <c r="S977" i="1"/>
  <c r="X976" i="1"/>
  <c r="S976" i="1"/>
  <c r="X975" i="1"/>
  <c r="S975" i="1"/>
  <c r="X974" i="1"/>
  <c r="S974" i="1"/>
  <c r="Y974" i="1" s="1"/>
  <c r="X973" i="1"/>
  <c r="S973" i="1"/>
  <c r="X972" i="1"/>
  <c r="S972" i="1"/>
  <c r="X971" i="1"/>
  <c r="S971" i="1"/>
  <c r="X970" i="1"/>
  <c r="S970" i="1"/>
  <c r="X969" i="1"/>
  <c r="S969" i="1"/>
  <c r="X968" i="1"/>
  <c r="S968" i="1"/>
  <c r="Y968" i="1" s="1"/>
  <c r="X967" i="1"/>
  <c r="S967" i="1"/>
  <c r="X966" i="1"/>
  <c r="S966" i="1"/>
  <c r="Y966" i="1" s="1"/>
  <c r="X965" i="1"/>
  <c r="S965" i="1"/>
  <c r="X964" i="1"/>
  <c r="S964" i="1"/>
  <c r="X963" i="1"/>
  <c r="S963" i="1"/>
  <c r="X962" i="1"/>
  <c r="S962" i="1"/>
  <c r="Y962" i="1" s="1"/>
  <c r="X961" i="1"/>
  <c r="S961" i="1"/>
  <c r="X960" i="1"/>
  <c r="S960" i="1"/>
  <c r="X958" i="1"/>
  <c r="S958" i="1"/>
  <c r="X957" i="1"/>
  <c r="S957" i="1"/>
  <c r="X955" i="1"/>
  <c r="S955" i="1"/>
  <c r="X886" i="1"/>
  <c r="S886" i="1"/>
  <c r="S945" i="1"/>
  <c r="X945" i="1"/>
  <c r="F922" i="1"/>
  <c r="K922" i="1"/>
  <c r="F924" i="1"/>
  <c r="K924" i="1"/>
  <c r="F925" i="1"/>
  <c r="K925" i="1"/>
  <c r="F917" i="1"/>
  <c r="K917" i="1"/>
  <c r="W947" i="1"/>
  <c r="V947" i="1"/>
  <c r="U947" i="1"/>
  <c r="T947" i="1"/>
  <c r="R947" i="1"/>
  <c r="Q947" i="1"/>
  <c r="P947" i="1"/>
  <c r="O947" i="1"/>
  <c r="J947" i="1"/>
  <c r="I947" i="1"/>
  <c r="H947" i="1"/>
  <c r="G947" i="1"/>
  <c r="E947" i="1"/>
  <c r="D947" i="1"/>
  <c r="C947" i="1"/>
  <c r="B947" i="1"/>
  <c r="X946" i="1"/>
  <c r="S946" i="1"/>
  <c r="K945" i="1"/>
  <c r="F945" i="1"/>
  <c r="K944" i="1"/>
  <c r="F944" i="1"/>
  <c r="K943" i="1"/>
  <c r="F943" i="1"/>
  <c r="X942" i="1"/>
  <c r="S942" i="1"/>
  <c r="K942" i="1"/>
  <c r="F942" i="1"/>
  <c r="X941" i="1"/>
  <c r="S941" i="1"/>
  <c r="K941" i="1"/>
  <c r="F941" i="1"/>
  <c r="X940" i="1"/>
  <c r="S940" i="1"/>
  <c r="K940" i="1"/>
  <c r="F940" i="1"/>
  <c r="L940" i="1" s="1"/>
  <c r="X939" i="1"/>
  <c r="S939" i="1"/>
  <c r="K939" i="1"/>
  <c r="F939" i="1"/>
  <c r="X938" i="1"/>
  <c r="S938" i="1"/>
  <c r="K938" i="1"/>
  <c r="F938" i="1"/>
  <c r="X937" i="1"/>
  <c r="S937" i="1"/>
  <c r="K937" i="1"/>
  <c r="F937" i="1"/>
  <c r="X936" i="1"/>
  <c r="S936" i="1"/>
  <c r="K936" i="1"/>
  <c r="F936" i="1"/>
  <c r="X935" i="1"/>
  <c r="S935" i="1"/>
  <c r="K935" i="1"/>
  <c r="F935" i="1"/>
  <c r="L935" i="1" s="1"/>
  <c r="X934" i="1"/>
  <c r="S934" i="1"/>
  <c r="K934" i="1"/>
  <c r="F934" i="1"/>
  <c r="L934" i="1" s="1"/>
  <c r="X933" i="1"/>
  <c r="S933" i="1"/>
  <c r="K933" i="1"/>
  <c r="F933" i="1"/>
  <c r="X932" i="1"/>
  <c r="S932" i="1"/>
  <c r="K932" i="1"/>
  <c r="F932" i="1"/>
  <c r="L932" i="1" s="1"/>
  <c r="X931" i="1"/>
  <c r="S931" i="1"/>
  <c r="K931" i="1"/>
  <c r="F931" i="1"/>
  <c r="L931" i="1" s="1"/>
  <c r="X930" i="1"/>
  <c r="S930" i="1"/>
  <c r="K930" i="1"/>
  <c r="F930" i="1"/>
  <c r="L930" i="1" s="1"/>
  <c r="X929" i="1"/>
  <c r="S929" i="1"/>
  <c r="K929" i="1"/>
  <c r="F929" i="1"/>
  <c r="X928" i="1"/>
  <c r="S928" i="1"/>
  <c r="K928" i="1"/>
  <c r="F928" i="1"/>
  <c r="L928" i="1" s="1"/>
  <c r="X927" i="1"/>
  <c r="S927" i="1"/>
  <c r="K927" i="1"/>
  <c r="F927" i="1"/>
  <c r="L927" i="1" s="1"/>
  <c r="X926" i="1"/>
  <c r="S926" i="1"/>
  <c r="K926" i="1"/>
  <c r="F926" i="1"/>
  <c r="X925" i="1"/>
  <c r="S925" i="1"/>
  <c r="X924" i="1"/>
  <c r="S924" i="1"/>
  <c r="Y924" i="1" s="1"/>
  <c r="X922" i="1"/>
  <c r="S922" i="1"/>
  <c r="X920" i="1"/>
  <c r="S920" i="1"/>
  <c r="Y920" i="1" s="1"/>
  <c r="K920" i="1"/>
  <c r="F920" i="1"/>
  <c r="X919" i="1"/>
  <c r="S919" i="1"/>
  <c r="Y919" i="1" s="1"/>
  <c r="K919" i="1"/>
  <c r="F919" i="1"/>
  <c r="X918" i="1"/>
  <c r="S918" i="1"/>
  <c r="Y918" i="1" s="1"/>
  <c r="K918" i="1"/>
  <c r="F918" i="1"/>
  <c r="X917" i="1"/>
  <c r="S917" i="1"/>
  <c r="X907" i="1"/>
  <c r="S907" i="1"/>
  <c r="X906" i="1"/>
  <c r="S906" i="1"/>
  <c r="X905" i="1"/>
  <c r="S905" i="1"/>
  <c r="S854" i="1"/>
  <c r="X854" i="1"/>
  <c r="S855" i="1"/>
  <c r="X855" i="1"/>
  <c r="X885" i="1"/>
  <c r="S885" i="1"/>
  <c r="X884" i="1"/>
  <c r="S884" i="1"/>
  <c r="X853" i="1"/>
  <c r="S853" i="1"/>
  <c r="B867" i="1"/>
  <c r="F867" i="1" s="1"/>
  <c r="K867" i="1"/>
  <c r="L1192" i="1" l="1"/>
  <c r="K1213" i="1"/>
  <c r="L1190" i="1"/>
  <c r="L1189" i="1"/>
  <c r="F1213" i="1"/>
  <c r="L1174" i="1"/>
  <c r="Y1222" i="1"/>
  <c r="Y1210" i="1"/>
  <c r="S1251" i="1"/>
  <c r="X1251" i="1"/>
  <c r="L1166" i="1"/>
  <c r="L1167" i="1"/>
  <c r="L1155" i="1"/>
  <c r="Y1209" i="1"/>
  <c r="Y941" i="1"/>
  <c r="Y961" i="1"/>
  <c r="Y973" i="1"/>
  <c r="Y1007" i="1"/>
  <c r="L998" i="1"/>
  <c r="L1002" i="1"/>
  <c r="L1006" i="1"/>
  <c r="L1010" i="1"/>
  <c r="L1012" i="1"/>
  <c r="L1014" i="1"/>
  <c r="L1037" i="1"/>
  <c r="Y1074" i="1"/>
  <c r="Y1090" i="1"/>
  <c r="Y1095" i="1"/>
  <c r="Y1110" i="1"/>
  <c r="Y1117" i="1"/>
  <c r="Y1119" i="1"/>
  <c r="Y1121" i="1"/>
  <c r="Y1123" i="1"/>
  <c r="Y1125" i="1"/>
  <c r="Y1129" i="1"/>
  <c r="L1126" i="1"/>
  <c r="L1033" i="1"/>
  <c r="Y1076" i="1"/>
  <c r="Y1050" i="1"/>
  <c r="L1108" i="1"/>
  <c r="Y1145" i="1"/>
  <c r="Y1150" i="1"/>
  <c r="Y1159" i="1"/>
  <c r="Y1161" i="1"/>
  <c r="Y1162" i="1"/>
  <c r="Y1163" i="1"/>
  <c r="Y1165" i="1"/>
  <c r="Y1166" i="1"/>
  <c r="Y1167" i="1"/>
  <c r="Y1169" i="1"/>
  <c r="Y1170" i="1"/>
  <c r="Y1171" i="1"/>
  <c r="Y1146" i="1"/>
  <c r="Y1173" i="1"/>
  <c r="Y1172" i="1"/>
  <c r="L1158" i="1"/>
  <c r="L1162" i="1"/>
  <c r="L1164" i="1"/>
  <c r="L1165" i="1"/>
  <c r="L1170" i="1"/>
  <c r="L1172" i="1"/>
  <c r="L1173" i="1"/>
  <c r="Y1147" i="1"/>
  <c r="Y1108" i="1"/>
  <c r="Y1183" i="1"/>
  <c r="Y1186" i="1"/>
  <c r="Y1198" i="1"/>
  <c r="Y1199" i="1"/>
  <c r="Y1204" i="1"/>
  <c r="Y1206" i="1"/>
  <c r="Y1207" i="1"/>
  <c r="Y1212" i="1"/>
  <c r="Y1193" i="1"/>
  <c r="Y1192" i="1"/>
  <c r="Y1190" i="1"/>
  <c r="L1184" i="1"/>
  <c r="L1183" i="1"/>
  <c r="Y1160" i="1"/>
  <c r="Y1168" i="1"/>
  <c r="S1213" i="1"/>
  <c r="X1213" i="1"/>
  <c r="L1159" i="1"/>
  <c r="Y1158" i="1"/>
  <c r="L1147" i="1"/>
  <c r="Y1157" i="1"/>
  <c r="L1146" i="1"/>
  <c r="Y1155" i="1"/>
  <c r="L1153" i="1"/>
  <c r="Y1154" i="1"/>
  <c r="Y1153" i="1"/>
  <c r="L1152" i="1"/>
  <c r="L1145" i="1"/>
  <c r="Y1151" i="1"/>
  <c r="Y1115" i="1"/>
  <c r="Y1113" i="1"/>
  <c r="L1119" i="1"/>
  <c r="F1175" i="1"/>
  <c r="K1175" i="1"/>
  <c r="X1175" i="1"/>
  <c r="X1215" i="1" s="1"/>
  <c r="O1175" i="1"/>
  <c r="L1093" i="1"/>
  <c r="L1091" i="1"/>
  <c r="L1090" i="1"/>
  <c r="L1089" i="1"/>
  <c r="Y1082" i="1"/>
  <c r="L1087" i="1"/>
  <c r="L1086" i="1"/>
  <c r="L1085" i="1"/>
  <c r="L1082" i="1"/>
  <c r="L1081" i="1"/>
  <c r="L1079" i="1"/>
  <c r="X1060" i="1"/>
  <c r="Y1060" i="1" s="1"/>
  <c r="X1058" i="1"/>
  <c r="X1059" i="1"/>
  <c r="Y1059" i="1" s="1"/>
  <c r="L922" i="1"/>
  <c r="Y1042" i="1"/>
  <c r="L1134" i="1"/>
  <c r="L942" i="1"/>
  <c r="L943" i="1"/>
  <c r="Y955" i="1"/>
  <c r="Y958" i="1"/>
  <c r="L979" i="1"/>
  <c r="Y1013" i="1"/>
  <c r="Y1015" i="1"/>
  <c r="Y1017" i="1"/>
  <c r="L1016" i="1"/>
  <c r="L1018" i="1"/>
  <c r="L1020" i="1"/>
  <c r="Y1032" i="1"/>
  <c r="Y1034" i="1"/>
  <c r="Y1039" i="1"/>
  <c r="Y1041" i="1"/>
  <c r="Y1047" i="1"/>
  <c r="L1048" i="1"/>
  <c r="L1052" i="1"/>
  <c r="L1074" i="1"/>
  <c r="S1058" i="1"/>
  <c r="Y1058" i="1" s="1"/>
  <c r="Y1054" i="1"/>
  <c r="L1117" i="1"/>
  <c r="L1127" i="1"/>
  <c r="L1129" i="1"/>
  <c r="L1135" i="1"/>
  <c r="L973" i="1"/>
  <c r="Y957" i="1"/>
  <c r="Y1038" i="1"/>
  <c r="Y884" i="1"/>
  <c r="L919" i="1"/>
  <c r="Y934" i="1"/>
  <c r="Y935" i="1"/>
  <c r="Y936" i="1"/>
  <c r="Y937" i="1"/>
  <c r="L996" i="1"/>
  <c r="L1043" i="1"/>
  <c r="L1045" i="1"/>
  <c r="L1047" i="1"/>
  <c r="L1049" i="1"/>
  <c r="L1051" i="1"/>
  <c r="L1053" i="1"/>
  <c r="L1057" i="1"/>
  <c r="Y1070" i="1"/>
  <c r="Y1071" i="1"/>
  <c r="Y1072" i="1"/>
  <c r="Y1130" i="1"/>
  <c r="Y1132" i="1"/>
  <c r="Y1098" i="1"/>
  <c r="L1107" i="1"/>
  <c r="L1109" i="1"/>
  <c r="L1114" i="1"/>
  <c r="L1116" i="1"/>
  <c r="L1118" i="1"/>
  <c r="L1124" i="1"/>
  <c r="Y1011" i="1"/>
  <c r="Y982" i="1"/>
  <c r="L1041" i="1"/>
  <c r="K1099" i="1"/>
  <c r="Y1021" i="1"/>
  <c r="L867" i="1"/>
  <c r="Y938" i="1"/>
  <c r="Y939" i="1"/>
  <c r="Y963" i="1"/>
  <c r="Y965" i="1"/>
  <c r="Y967" i="1"/>
  <c r="Y969" i="1"/>
  <c r="L981" i="1"/>
  <c r="Y891" i="1"/>
  <c r="Y995" i="1"/>
  <c r="Y1012" i="1"/>
  <c r="L1001" i="1"/>
  <c r="L1003" i="1"/>
  <c r="L1005" i="1"/>
  <c r="L1009" i="1"/>
  <c r="L1013" i="1"/>
  <c r="L1038" i="1"/>
  <c r="L1042" i="1"/>
  <c r="L1054" i="1"/>
  <c r="Y994" i="1"/>
  <c r="Y1077" i="1"/>
  <c r="Y1079" i="1"/>
  <c r="Y1080" i="1"/>
  <c r="Y1081" i="1"/>
  <c r="Y1083" i="1"/>
  <c r="Y1084" i="1"/>
  <c r="Y1085" i="1"/>
  <c r="Y1107" i="1"/>
  <c r="Y1109" i="1"/>
  <c r="Y1112" i="1"/>
  <c r="Y1116" i="1"/>
  <c r="Y1120" i="1"/>
  <c r="Y1127" i="1"/>
  <c r="Y1134" i="1"/>
  <c r="L1133" i="1"/>
  <c r="L937" i="1"/>
  <c r="L995" i="1"/>
  <c r="F1099" i="1"/>
  <c r="Y1093" i="1"/>
  <c r="L1125" i="1"/>
  <c r="Y927" i="1"/>
  <c r="Y933" i="1"/>
  <c r="L977" i="1"/>
  <c r="L983" i="1"/>
  <c r="Y993" i="1"/>
  <c r="Y996" i="1"/>
  <c r="Y999" i="1"/>
  <c r="Y1001" i="1"/>
  <c r="Y1003" i="1"/>
  <c r="Y1005" i="1"/>
  <c r="Y1018" i="1"/>
  <c r="Y1044" i="1"/>
  <c r="Y1046" i="1"/>
  <c r="L1034" i="1"/>
  <c r="L1058" i="1"/>
  <c r="L903" i="1"/>
  <c r="Y956" i="1"/>
  <c r="L1069" i="1"/>
  <c r="L1070" i="1"/>
  <c r="L1071" i="1"/>
  <c r="Y1086" i="1"/>
  <c r="Y1087" i="1"/>
  <c r="Y1088" i="1"/>
  <c r="Y1089" i="1"/>
  <c r="Y1091" i="1"/>
  <c r="Y1092" i="1"/>
  <c r="L1094" i="1"/>
  <c r="L1098" i="1"/>
  <c r="Y1122" i="1"/>
  <c r="Y1124" i="1"/>
  <c r="Y1131" i="1"/>
  <c r="Y1133" i="1"/>
  <c r="Y1097" i="1"/>
  <c r="L1113" i="1"/>
  <c r="L1130" i="1"/>
  <c r="L1132" i="1"/>
  <c r="Y854" i="1"/>
  <c r="L941" i="1"/>
  <c r="L1000" i="1"/>
  <c r="L1004" i="1"/>
  <c r="L1036" i="1"/>
  <c r="L1056" i="1"/>
  <c r="L1088" i="1"/>
  <c r="Y1096" i="1"/>
  <c r="F1137" i="1"/>
  <c r="K1137" i="1"/>
  <c r="Y1055" i="1"/>
  <c r="Y998" i="1"/>
  <c r="Y1002" i="1"/>
  <c r="Y1006" i="1"/>
  <c r="Y981" i="1"/>
  <c r="L1022" i="1"/>
  <c r="T1061" i="1"/>
  <c r="X1061" i="1" s="1"/>
  <c r="Y1019" i="1"/>
  <c r="L1032" i="1"/>
  <c r="L1040" i="1"/>
  <c r="L1080" i="1"/>
  <c r="L1096" i="1"/>
  <c r="Y855" i="1"/>
  <c r="L938" i="1"/>
  <c r="L939" i="1"/>
  <c r="Y942" i="1"/>
  <c r="L944" i="1"/>
  <c r="Y886" i="1"/>
  <c r="Y970" i="1"/>
  <c r="Y972" i="1"/>
  <c r="Y975" i="1"/>
  <c r="Y977" i="1"/>
  <c r="Y1010" i="1"/>
  <c r="Y1040" i="1"/>
  <c r="Y1049" i="1"/>
  <c r="L1050" i="1"/>
  <c r="L1059" i="1"/>
  <c r="F1061" i="1"/>
  <c r="K1061" i="1"/>
  <c r="Y923" i="1"/>
  <c r="L923" i="1"/>
  <c r="Y1069" i="1"/>
  <c r="L1072" i="1"/>
  <c r="Y1078" i="1"/>
  <c r="Y1114" i="1"/>
  <c r="Y1128" i="1"/>
  <c r="L1110" i="1"/>
  <c r="L1122" i="1"/>
  <c r="Y1057" i="1"/>
  <c r="S1022" i="1"/>
  <c r="X1022" i="1"/>
  <c r="Y885" i="1"/>
  <c r="L920" i="1"/>
  <c r="Y929" i="1"/>
  <c r="Y930" i="1"/>
  <c r="Y932" i="1"/>
  <c r="Y940" i="1"/>
  <c r="L917" i="1"/>
  <c r="L924" i="1"/>
  <c r="Y964" i="1"/>
  <c r="Y971" i="1"/>
  <c r="Y976" i="1"/>
  <c r="Y979" i="1"/>
  <c r="L957" i="1"/>
  <c r="L960" i="1"/>
  <c r="L962" i="1"/>
  <c r="L968" i="1"/>
  <c r="L970" i="1"/>
  <c r="L975" i="1"/>
  <c r="Y1009" i="1"/>
  <c r="Y1014" i="1"/>
  <c r="Y1016" i="1"/>
  <c r="L993" i="1"/>
  <c r="L1007" i="1"/>
  <c r="L1011" i="1"/>
  <c r="L1017" i="1"/>
  <c r="L1019" i="1"/>
  <c r="Y1031" i="1"/>
  <c r="Y1033" i="1"/>
  <c r="Y1043" i="1"/>
  <c r="Y1045" i="1"/>
  <c r="Y1048" i="1"/>
  <c r="Y1053" i="1"/>
  <c r="L1039" i="1"/>
  <c r="L1044" i="1"/>
  <c r="L1046" i="1"/>
  <c r="L1055" i="1"/>
  <c r="L1060" i="1"/>
  <c r="L1076" i="1"/>
  <c r="L1084" i="1"/>
  <c r="L1092" i="1"/>
  <c r="L1095" i="1"/>
  <c r="L1097" i="1"/>
  <c r="L1112" i="1"/>
  <c r="L1115" i="1"/>
  <c r="L1120" i="1"/>
  <c r="L1123" i="1"/>
  <c r="L1128" i="1"/>
  <c r="L1131" i="1"/>
  <c r="L1136" i="1"/>
  <c r="Y1056" i="1"/>
  <c r="Y1101" i="1"/>
  <c r="L1031" i="1"/>
  <c r="L1021" i="1"/>
  <c r="Y1037" i="1"/>
  <c r="Y1135" i="1"/>
  <c r="X1137" i="1"/>
  <c r="Y1136" i="1"/>
  <c r="S1137" i="1"/>
  <c r="Y1004" i="1"/>
  <c r="Y1036" i="1"/>
  <c r="X1099" i="1"/>
  <c r="T1023" i="1"/>
  <c r="X1023" i="1" s="1"/>
  <c r="L1008" i="1"/>
  <c r="L994" i="1"/>
  <c r="L999" i="1"/>
  <c r="L984" i="1"/>
  <c r="L958" i="1"/>
  <c r="Y983" i="1"/>
  <c r="L972" i="1"/>
  <c r="L967" i="1"/>
  <c r="S1099" i="1"/>
  <c r="L966" i="1"/>
  <c r="L964" i="1"/>
  <c r="L955" i="1"/>
  <c r="Y984" i="1"/>
  <c r="Y960" i="1"/>
  <c r="L946" i="1"/>
  <c r="L945" i="1"/>
  <c r="Y931" i="1"/>
  <c r="L936" i="1"/>
  <c r="L933" i="1"/>
  <c r="L929" i="1"/>
  <c r="Y928" i="1"/>
  <c r="L926" i="1"/>
  <c r="L925" i="1"/>
  <c r="Y926" i="1"/>
  <c r="Y925" i="1"/>
  <c r="L918" i="1"/>
  <c r="Y917" i="1"/>
  <c r="Y944" i="1"/>
  <c r="S1061" i="1"/>
  <c r="Y1020" i="1"/>
  <c r="Y943" i="1"/>
  <c r="S1023" i="1"/>
  <c r="K985" i="1"/>
  <c r="F947" i="1"/>
  <c r="F1023" i="1"/>
  <c r="K1023" i="1"/>
  <c r="F985" i="1"/>
  <c r="S985" i="1"/>
  <c r="X985" i="1"/>
  <c r="Y907" i="1"/>
  <c r="Y905" i="1"/>
  <c r="Y945" i="1"/>
  <c r="X947" i="1"/>
  <c r="Y946" i="1"/>
  <c r="S947" i="1"/>
  <c r="Y922" i="1"/>
  <c r="K947" i="1"/>
  <c r="Y906" i="1"/>
  <c r="Y853" i="1"/>
  <c r="S868" i="1"/>
  <c r="X868" i="1"/>
  <c r="S869" i="1"/>
  <c r="X869" i="1"/>
  <c r="Y869" i="1"/>
  <c r="S870" i="1"/>
  <c r="X870" i="1"/>
  <c r="S879" i="1"/>
  <c r="X879" i="1"/>
  <c r="Y879" i="1" s="1"/>
  <c r="S887" i="1"/>
  <c r="X887" i="1"/>
  <c r="S888" i="1"/>
  <c r="X888" i="1"/>
  <c r="Y888" i="1" s="1"/>
  <c r="S889" i="1"/>
  <c r="X889" i="1"/>
  <c r="S890" i="1"/>
  <c r="X890" i="1"/>
  <c r="F884" i="1"/>
  <c r="K884" i="1"/>
  <c r="F885" i="1"/>
  <c r="K885" i="1"/>
  <c r="F886" i="1"/>
  <c r="K886" i="1"/>
  <c r="F887" i="1"/>
  <c r="K887" i="1"/>
  <c r="F888" i="1"/>
  <c r="K888" i="1"/>
  <c r="F889" i="1"/>
  <c r="K889" i="1"/>
  <c r="F890" i="1"/>
  <c r="K890" i="1"/>
  <c r="F891" i="1"/>
  <c r="K891" i="1"/>
  <c r="L891" i="1" s="1"/>
  <c r="F892" i="1"/>
  <c r="K892" i="1"/>
  <c r="F893" i="1"/>
  <c r="K893" i="1"/>
  <c r="F894" i="1"/>
  <c r="K894" i="1"/>
  <c r="F895" i="1"/>
  <c r="K895" i="1"/>
  <c r="F896" i="1"/>
  <c r="K896" i="1"/>
  <c r="F897" i="1"/>
  <c r="K897" i="1"/>
  <c r="F898" i="1"/>
  <c r="K898" i="1"/>
  <c r="F899" i="1"/>
  <c r="K899" i="1"/>
  <c r="F900" i="1"/>
  <c r="K900" i="1"/>
  <c r="F901" i="1"/>
  <c r="K901" i="1"/>
  <c r="L901" i="1" s="1"/>
  <c r="F902" i="1"/>
  <c r="K902" i="1"/>
  <c r="F904" i="1"/>
  <c r="K904" i="1"/>
  <c r="L904" i="1" s="1"/>
  <c r="W909" i="1"/>
  <c r="V909" i="1"/>
  <c r="U909" i="1"/>
  <c r="T909" i="1"/>
  <c r="R909" i="1"/>
  <c r="Q909" i="1"/>
  <c r="P909" i="1"/>
  <c r="O909" i="1"/>
  <c r="I909" i="1"/>
  <c r="G909" i="1"/>
  <c r="E909" i="1"/>
  <c r="D909" i="1"/>
  <c r="B909" i="1"/>
  <c r="X908" i="1"/>
  <c r="S908" i="1"/>
  <c r="K908" i="1"/>
  <c r="F908" i="1"/>
  <c r="K907" i="1"/>
  <c r="F907" i="1"/>
  <c r="K906" i="1"/>
  <c r="F906" i="1"/>
  <c r="K905" i="1"/>
  <c r="F905" i="1"/>
  <c r="X904" i="1"/>
  <c r="S904" i="1"/>
  <c r="X903" i="1"/>
  <c r="S903" i="1"/>
  <c r="X902" i="1"/>
  <c r="S902" i="1"/>
  <c r="X901" i="1"/>
  <c r="S901" i="1"/>
  <c r="X900" i="1"/>
  <c r="S900" i="1"/>
  <c r="X899" i="1"/>
  <c r="S899" i="1"/>
  <c r="X898" i="1"/>
  <c r="S898" i="1"/>
  <c r="X897" i="1"/>
  <c r="S897" i="1"/>
  <c r="X896" i="1"/>
  <c r="S896" i="1"/>
  <c r="X895" i="1"/>
  <c r="S895" i="1"/>
  <c r="X894" i="1"/>
  <c r="S894" i="1"/>
  <c r="X893" i="1"/>
  <c r="S893" i="1"/>
  <c r="X892" i="1"/>
  <c r="S892" i="1"/>
  <c r="X882" i="1"/>
  <c r="S882" i="1"/>
  <c r="K882" i="1"/>
  <c r="F882" i="1"/>
  <c r="X881" i="1"/>
  <c r="S881" i="1"/>
  <c r="K881" i="1"/>
  <c r="F881" i="1"/>
  <c r="X880" i="1"/>
  <c r="S880" i="1"/>
  <c r="K880" i="1"/>
  <c r="F880" i="1"/>
  <c r="K879" i="1"/>
  <c r="F879" i="1"/>
  <c r="X852" i="1"/>
  <c r="S852" i="1"/>
  <c r="H864" i="1"/>
  <c r="H871" i="1" s="1"/>
  <c r="C864" i="1"/>
  <c r="F864" i="1" s="1"/>
  <c r="X851" i="1"/>
  <c r="S851" i="1"/>
  <c r="X841" i="1"/>
  <c r="S841" i="1"/>
  <c r="J854" i="1"/>
  <c r="J871" i="1" s="1"/>
  <c r="S820" i="1"/>
  <c r="X820" i="1"/>
  <c r="S821" i="1"/>
  <c r="X821" i="1"/>
  <c r="X847" i="1"/>
  <c r="S847" i="1"/>
  <c r="X846" i="1"/>
  <c r="S846" i="1"/>
  <c r="C850" i="1"/>
  <c r="F850" i="1" s="1"/>
  <c r="S842" i="1"/>
  <c r="X842" i="1"/>
  <c r="S848" i="1"/>
  <c r="X848" i="1"/>
  <c r="S849" i="1"/>
  <c r="Y849" i="1" s="1"/>
  <c r="X849" i="1"/>
  <c r="S850" i="1"/>
  <c r="X850" i="1"/>
  <c r="S856" i="1"/>
  <c r="X856" i="1"/>
  <c r="W871" i="1"/>
  <c r="V871" i="1"/>
  <c r="U871" i="1"/>
  <c r="T871" i="1"/>
  <c r="R871" i="1"/>
  <c r="Q871" i="1"/>
  <c r="P871" i="1"/>
  <c r="O871" i="1"/>
  <c r="I871" i="1"/>
  <c r="G871" i="1"/>
  <c r="E871" i="1"/>
  <c r="D871" i="1"/>
  <c r="B871" i="1"/>
  <c r="K870" i="1"/>
  <c r="F870" i="1"/>
  <c r="K869" i="1"/>
  <c r="F869" i="1"/>
  <c r="K868" i="1"/>
  <c r="F868" i="1"/>
  <c r="X867" i="1"/>
  <c r="S867" i="1"/>
  <c r="X866" i="1"/>
  <c r="S866" i="1"/>
  <c r="K866" i="1"/>
  <c r="F866" i="1"/>
  <c r="X865" i="1"/>
  <c r="S865" i="1"/>
  <c r="K865" i="1"/>
  <c r="F865" i="1"/>
  <c r="X864" i="1"/>
  <c r="S864" i="1"/>
  <c r="X863" i="1"/>
  <c r="S863" i="1"/>
  <c r="Y863" i="1" s="1"/>
  <c r="K863" i="1"/>
  <c r="F863" i="1"/>
  <c r="X862" i="1"/>
  <c r="S862" i="1"/>
  <c r="Y862" i="1" s="1"/>
  <c r="K862" i="1"/>
  <c r="F862" i="1"/>
  <c r="X861" i="1"/>
  <c r="S861" i="1"/>
  <c r="Y861" i="1" s="1"/>
  <c r="K861" i="1"/>
  <c r="F861" i="1"/>
  <c r="X860" i="1"/>
  <c r="S860" i="1"/>
  <c r="K860" i="1"/>
  <c r="F860" i="1"/>
  <c r="X859" i="1"/>
  <c r="S859" i="1"/>
  <c r="K859" i="1"/>
  <c r="F859" i="1"/>
  <c r="X858" i="1"/>
  <c r="S858" i="1"/>
  <c r="K858" i="1"/>
  <c r="F858" i="1"/>
  <c r="X857" i="1"/>
  <c r="S857" i="1"/>
  <c r="K857" i="1"/>
  <c r="F857" i="1"/>
  <c r="K856" i="1"/>
  <c r="F856" i="1"/>
  <c r="K855" i="1"/>
  <c r="F855" i="1"/>
  <c r="F854" i="1"/>
  <c r="K853" i="1"/>
  <c r="F853" i="1"/>
  <c r="K852" i="1"/>
  <c r="F852" i="1"/>
  <c r="K851" i="1"/>
  <c r="F851" i="1"/>
  <c r="K850" i="1"/>
  <c r="K849" i="1"/>
  <c r="F849" i="1"/>
  <c r="K848" i="1"/>
  <c r="F848" i="1"/>
  <c r="K847" i="1"/>
  <c r="F847" i="1"/>
  <c r="K846" i="1"/>
  <c r="F846" i="1"/>
  <c r="X844" i="1"/>
  <c r="S844" i="1"/>
  <c r="K844" i="1"/>
  <c r="F844" i="1"/>
  <c r="X843" i="1"/>
  <c r="S843" i="1"/>
  <c r="K843" i="1"/>
  <c r="F843" i="1"/>
  <c r="K842" i="1"/>
  <c r="F842" i="1"/>
  <c r="K841" i="1"/>
  <c r="F841" i="1"/>
  <c r="X818" i="1"/>
  <c r="S818" i="1"/>
  <c r="X817" i="1"/>
  <c r="S817" i="1"/>
  <c r="C825" i="1"/>
  <c r="F825" i="1" s="1"/>
  <c r="D824" i="1"/>
  <c r="D833" i="1" s="1"/>
  <c r="X815" i="1"/>
  <c r="S815" i="1"/>
  <c r="X812" i="1"/>
  <c r="S812" i="1"/>
  <c r="S776" i="1"/>
  <c r="X776" i="1"/>
  <c r="X810" i="1"/>
  <c r="S810" i="1"/>
  <c r="G780" i="1"/>
  <c r="K780" i="1" s="1"/>
  <c r="X775" i="1"/>
  <c r="S775" i="1"/>
  <c r="X733" i="1"/>
  <c r="S733" i="1"/>
  <c r="W833" i="1"/>
  <c r="V833" i="1"/>
  <c r="U833" i="1"/>
  <c r="T833" i="1"/>
  <c r="R833" i="1"/>
  <c r="Q833" i="1"/>
  <c r="P833" i="1"/>
  <c r="O833" i="1"/>
  <c r="J833" i="1"/>
  <c r="I833" i="1"/>
  <c r="H833" i="1"/>
  <c r="G833" i="1"/>
  <c r="E833" i="1"/>
  <c r="C833" i="1"/>
  <c r="B833" i="1"/>
  <c r="X832" i="1"/>
  <c r="S832" i="1"/>
  <c r="K832" i="1"/>
  <c r="F832" i="1"/>
  <c r="X831" i="1"/>
  <c r="S831" i="1"/>
  <c r="K831" i="1"/>
  <c r="F831" i="1"/>
  <c r="X830" i="1"/>
  <c r="S830" i="1"/>
  <c r="Y830" i="1" s="1"/>
  <c r="K830" i="1"/>
  <c r="F830" i="1"/>
  <c r="X829" i="1"/>
  <c r="S829" i="1"/>
  <c r="K829" i="1"/>
  <c r="F829" i="1"/>
  <c r="X828" i="1"/>
  <c r="S828" i="1"/>
  <c r="Y828" i="1" s="1"/>
  <c r="K828" i="1"/>
  <c r="F828" i="1"/>
  <c r="X827" i="1"/>
  <c r="S827" i="1"/>
  <c r="Y827" i="1" s="1"/>
  <c r="K827" i="1"/>
  <c r="F827" i="1"/>
  <c r="X826" i="1"/>
  <c r="S826" i="1"/>
  <c r="Y826" i="1" s="1"/>
  <c r="K826" i="1"/>
  <c r="F826" i="1"/>
  <c r="X825" i="1"/>
  <c r="S825" i="1"/>
  <c r="K825" i="1"/>
  <c r="X824" i="1"/>
  <c r="S824" i="1"/>
  <c r="K824" i="1"/>
  <c r="X823" i="1"/>
  <c r="S823" i="1"/>
  <c r="K823" i="1"/>
  <c r="F823" i="1"/>
  <c r="L823" i="1" s="1"/>
  <c r="X822" i="1"/>
  <c r="S822" i="1"/>
  <c r="K822" i="1"/>
  <c r="F822" i="1"/>
  <c r="L822" i="1" s="1"/>
  <c r="K821" i="1"/>
  <c r="F821" i="1"/>
  <c r="K820" i="1"/>
  <c r="F820" i="1"/>
  <c r="L820" i="1" s="1"/>
  <c r="X819" i="1"/>
  <c r="S819" i="1"/>
  <c r="K819" i="1"/>
  <c r="F819" i="1"/>
  <c r="L819" i="1" s="1"/>
  <c r="K818" i="1"/>
  <c r="F818" i="1"/>
  <c r="K817" i="1"/>
  <c r="F817" i="1"/>
  <c r="L817" i="1" s="1"/>
  <c r="X816" i="1"/>
  <c r="S816" i="1"/>
  <c r="K816" i="1"/>
  <c r="F816" i="1"/>
  <c r="K815" i="1"/>
  <c r="F815" i="1"/>
  <c r="X814" i="1"/>
  <c r="S814" i="1"/>
  <c r="K814" i="1"/>
  <c r="F814" i="1"/>
  <c r="X813" i="1"/>
  <c r="S813" i="1"/>
  <c r="K813" i="1"/>
  <c r="F813" i="1"/>
  <c r="K812" i="1"/>
  <c r="F812" i="1"/>
  <c r="X811" i="1"/>
  <c r="S811" i="1"/>
  <c r="K811" i="1"/>
  <c r="F811" i="1"/>
  <c r="L811" i="1" s="1"/>
  <c r="K810" i="1"/>
  <c r="F810" i="1"/>
  <c r="X809" i="1"/>
  <c r="S809" i="1"/>
  <c r="K809" i="1"/>
  <c r="F809" i="1"/>
  <c r="X808" i="1"/>
  <c r="S808" i="1"/>
  <c r="Y808" i="1" s="1"/>
  <c r="K808" i="1"/>
  <c r="F808" i="1"/>
  <c r="X806" i="1"/>
  <c r="S806" i="1"/>
  <c r="Y806" i="1" s="1"/>
  <c r="K806" i="1"/>
  <c r="F806" i="1"/>
  <c r="X805" i="1"/>
  <c r="S805" i="1"/>
  <c r="K805" i="1"/>
  <c r="F805" i="1"/>
  <c r="X804" i="1"/>
  <c r="S804" i="1"/>
  <c r="K804" i="1"/>
  <c r="F804" i="1"/>
  <c r="X803" i="1"/>
  <c r="S803" i="1"/>
  <c r="Y803" i="1" s="1"/>
  <c r="K803" i="1"/>
  <c r="F803" i="1"/>
  <c r="S727" i="1"/>
  <c r="X727" i="1"/>
  <c r="Y727" i="1" s="1"/>
  <c r="S728" i="1"/>
  <c r="X728" i="1"/>
  <c r="X690" i="1"/>
  <c r="S690" i="1"/>
  <c r="Y690" i="1" s="1"/>
  <c r="X698" i="1"/>
  <c r="S698" i="1"/>
  <c r="X697" i="1"/>
  <c r="S697" i="1"/>
  <c r="Y697" i="1" s="1"/>
  <c r="G699" i="1"/>
  <c r="S756" i="1"/>
  <c r="X756" i="1"/>
  <c r="W795" i="1"/>
  <c r="V795" i="1"/>
  <c r="U795" i="1"/>
  <c r="T795" i="1"/>
  <c r="R795" i="1"/>
  <c r="Q795" i="1"/>
  <c r="P795" i="1"/>
  <c r="O795" i="1"/>
  <c r="J795" i="1"/>
  <c r="I795" i="1"/>
  <c r="H795" i="1"/>
  <c r="E795" i="1"/>
  <c r="D795" i="1"/>
  <c r="C795" i="1"/>
  <c r="B795" i="1"/>
  <c r="X794" i="1"/>
  <c r="S794" i="1"/>
  <c r="K794" i="1"/>
  <c r="F794" i="1"/>
  <c r="X793" i="1"/>
  <c r="S793" i="1"/>
  <c r="K793" i="1"/>
  <c r="F793" i="1"/>
  <c r="X792" i="1"/>
  <c r="S792" i="1"/>
  <c r="K792" i="1"/>
  <c r="F792" i="1"/>
  <c r="X791" i="1"/>
  <c r="S791" i="1"/>
  <c r="K791" i="1"/>
  <c r="F791" i="1"/>
  <c r="X790" i="1"/>
  <c r="S790" i="1"/>
  <c r="K790" i="1"/>
  <c r="F790" i="1"/>
  <c r="X789" i="1"/>
  <c r="S789" i="1"/>
  <c r="K789" i="1"/>
  <c r="F789" i="1"/>
  <c r="X788" i="1"/>
  <c r="S788" i="1"/>
  <c r="K788" i="1"/>
  <c r="F788" i="1"/>
  <c r="X787" i="1"/>
  <c r="S787" i="1"/>
  <c r="K787" i="1"/>
  <c r="F787" i="1"/>
  <c r="X786" i="1"/>
  <c r="S786" i="1"/>
  <c r="K786" i="1"/>
  <c r="F786" i="1"/>
  <c r="X785" i="1"/>
  <c r="S785" i="1"/>
  <c r="K785" i="1"/>
  <c r="F785" i="1"/>
  <c r="X784" i="1"/>
  <c r="S784" i="1"/>
  <c r="K784" i="1"/>
  <c r="F784" i="1"/>
  <c r="X783" i="1"/>
  <c r="S783" i="1"/>
  <c r="K783" i="1"/>
  <c r="F783" i="1"/>
  <c r="X782" i="1"/>
  <c r="S782" i="1"/>
  <c r="K782" i="1"/>
  <c r="F782" i="1"/>
  <c r="X781" i="1"/>
  <c r="S781" i="1"/>
  <c r="K781" i="1"/>
  <c r="F781" i="1"/>
  <c r="X780" i="1"/>
  <c r="S780" i="1"/>
  <c r="F780" i="1"/>
  <c r="X779" i="1"/>
  <c r="S779" i="1"/>
  <c r="K779" i="1"/>
  <c r="F779" i="1"/>
  <c r="X778" i="1"/>
  <c r="S778" i="1"/>
  <c r="K778" i="1"/>
  <c r="F778" i="1"/>
  <c r="X777" i="1"/>
  <c r="S777" i="1"/>
  <c r="K777" i="1"/>
  <c r="F777" i="1"/>
  <c r="K776" i="1"/>
  <c r="F776" i="1"/>
  <c r="K775" i="1"/>
  <c r="F775" i="1"/>
  <c r="X774" i="1"/>
  <c r="S774" i="1"/>
  <c r="K774" i="1"/>
  <c r="F774" i="1"/>
  <c r="X773" i="1"/>
  <c r="S773" i="1"/>
  <c r="K773" i="1"/>
  <c r="F773" i="1"/>
  <c r="X772" i="1"/>
  <c r="S772" i="1"/>
  <c r="K772" i="1"/>
  <c r="F772" i="1"/>
  <c r="X771" i="1"/>
  <c r="S771" i="1"/>
  <c r="K771" i="1"/>
  <c r="F771" i="1"/>
  <c r="X770" i="1"/>
  <c r="S770" i="1"/>
  <c r="K770" i="1"/>
  <c r="F770" i="1"/>
  <c r="X768" i="1"/>
  <c r="S768" i="1"/>
  <c r="K768" i="1"/>
  <c r="F768" i="1"/>
  <c r="X767" i="1"/>
  <c r="S767" i="1"/>
  <c r="K767" i="1"/>
  <c r="F767" i="1"/>
  <c r="X766" i="1"/>
  <c r="S766" i="1"/>
  <c r="K766" i="1"/>
  <c r="F766" i="1"/>
  <c r="X765" i="1"/>
  <c r="S765" i="1"/>
  <c r="K765" i="1"/>
  <c r="F765" i="1"/>
  <c r="F727" i="1"/>
  <c r="K727" i="1"/>
  <c r="F728" i="1"/>
  <c r="K728" i="1"/>
  <c r="K690" i="1"/>
  <c r="F690" i="1"/>
  <c r="F732" i="1"/>
  <c r="K732" i="1"/>
  <c r="F733" i="1"/>
  <c r="K733" i="1"/>
  <c r="F734" i="1"/>
  <c r="K734" i="1"/>
  <c r="F735" i="1"/>
  <c r="K735" i="1"/>
  <c r="K696" i="1"/>
  <c r="F696" i="1"/>
  <c r="X664" i="1"/>
  <c r="S664" i="1"/>
  <c r="S755" i="1"/>
  <c r="X755" i="1"/>
  <c r="W757" i="1"/>
  <c r="V757" i="1"/>
  <c r="U757" i="1"/>
  <c r="T757" i="1"/>
  <c r="R757" i="1"/>
  <c r="Q757" i="1"/>
  <c r="P757" i="1"/>
  <c r="O757" i="1"/>
  <c r="J757" i="1"/>
  <c r="I757" i="1"/>
  <c r="H757" i="1"/>
  <c r="G757" i="1"/>
  <c r="E757" i="1"/>
  <c r="D757" i="1"/>
  <c r="C757" i="1"/>
  <c r="B757" i="1"/>
  <c r="K756" i="1"/>
  <c r="F756" i="1"/>
  <c r="K755" i="1"/>
  <c r="F755" i="1"/>
  <c r="X754" i="1"/>
  <c r="S754" i="1"/>
  <c r="K754" i="1"/>
  <c r="F754" i="1"/>
  <c r="X753" i="1"/>
  <c r="S753" i="1"/>
  <c r="K753" i="1"/>
  <c r="F753" i="1"/>
  <c r="X752" i="1"/>
  <c r="S752" i="1"/>
  <c r="K752" i="1"/>
  <c r="F752" i="1"/>
  <c r="X751" i="1"/>
  <c r="S751" i="1"/>
  <c r="K751" i="1"/>
  <c r="F751" i="1"/>
  <c r="X750" i="1"/>
  <c r="S750" i="1"/>
  <c r="K750" i="1"/>
  <c r="F750" i="1"/>
  <c r="X749" i="1"/>
  <c r="S749" i="1"/>
  <c r="K749" i="1"/>
  <c r="F749" i="1"/>
  <c r="X748" i="1"/>
  <c r="Y748" i="1" s="1"/>
  <c r="S748" i="1"/>
  <c r="K748" i="1"/>
  <c r="F748" i="1"/>
  <c r="X747" i="1"/>
  <c r="S747" i="1"/>
  <c r="K747" i="1"/>
  <c r="F747" i="1"/>
  <c r="X746" i="1"/>
  <c r="S746" i="1"/>
  <c r="K746" i="1"/>
  <c r="F746" i="1"/>
  <c r="X745" i="1"/>
  <c r="S745" i="1"/>
  <c r="K745" i="1"/>
  <c r="F745" i="1"/>
  <c r="X744" i="1"/>
  <c r="S744" i="1"/>
  <c r="K744" i="1"/>
  <c r="F744" i="1"/>
  <c r="X743" i="1"/>
  <c r="S743" i="1"/>
  <c r="K743" i="1"/>
  <c r="F743" i="1"/>
  <c r="X742" i="1"/>
  <c r="S742" i="1"/>
  <c r="K742" i="1"/>
  <c r="F742" i="1"/>
  <c r="X741" i="1"/>
  <c r="S741" i="1"/>
  <c r="K741" i="1"/>
  <c r="F741" i="1"/>
  <c r="X740" i="1"/>
  <c r="S740" i="1"/>
  <c r="K740" i="1"/>
  <c r="F740" i="1"/>
  <c r="X739" i="1"/>
  <c r="Y739" i="1" s="1"/>
  <c r="S739" i="1"/>
  <c r="K739" i="1"/>
  <c r="F739" i="1"/>
  <c r="X738" i="1"/>
  <c r="S738" i="1"/>
  <c r="K738" i="1"/>
  <c r="F738" i="1"/>
  <c r="X737" i="1"/>
  <c r="S737" i="1"/>
  <c r="K737" i="1"/>
  <c r="F737" i="1"/>
  <c r="X736" i="1"/>
  <c r="Y736" i="1" s="1"/>
  <c r="S736" i="1"/>
  <c r="K736" i="1"/>
  <c r="F736" i="1"/>
  <c r="X735" i="1"/>
  <c r="S735" i="1"/>
  <c r="X734" i="1"/>
  <c r="S734" i="1"/>
  <c r="X732" i="1"/>
  <c r="S732" i="1"/>
  <c r="X730" i="1"/>
  <c r="S730" i="1"/>
  <c r="K730" i="1"/>
  <c r="F730" i="1"/>
  <c r="X729" i="1"/>
  <c r="S729" i="1"/>
  <c r="K729" i="1"/>
  <c r="F729" i="1"/>
  <c r="X663" i="1"/>
  <c r="S663" i="1"/>
  <c r="X662" i="1"/>
  <c r="S662" i="1"/>
  <c r="X661" i="1"/>
  <c r="S661" i="1"/>
  <c r="X660" i="1"/>
  <c r="S660" i="1"/>
  <c r="K653" i="1"/>
  <c r="F653" i="1"/>
  <c r="K652" i="1"/>
  <c r="F652" i="1"/>
  <c r="K651" i="1"/>
  <c r="F651" i="1"/>
  <c r="K614" i="1"/>
  <c r="F614" i="1"/>
  <c r="X659" i="1"/>
  <c r="S659" i="1"/>
  <c r="S641" i="1"/>
  <c r="X641" i="1"/>
  <c r="S642" i="1"/>
  <c r="X642" i="1"/>
  <c r="X680" i="1"/>
  <c r="S680" i="1"/>
  <c r="X679" i="1"/>
  <c r="S679" i="1"/>
  <c r="X619" i="1"/>
  <c r="S619" i="1"/>
  <c r="S1175" i="1" l="1"/>
  <c r="S1215" i="1" s="1"/>
  <c r="O1215" i="1"/>
  <c r="L1213" i="1"/>
  <c r="W1216" i="1"/>
  <c r="T1216" i="1"/>
  <c r="V1216" i="1"/>
  <c r="X1216" i="1"/>
  <c r="U1216" i="1"/>
  <c r="Q1216" i="1"/>
  <c r="S1216" i="1"/>
  <c r="R1216" i="1"/>
  <c r="O1216" i="1"/>
  <c r="P1216" i="1"/>
  <c r="Y1251" i="1"/>
  <c r="Y619" i="1"/>
  <c r="Y641" i="1"/>
  <c r="L614" i="1"/>
  <c r="L652" i="1"/>
  <c r="Y660" i="1"/>
  <c r="L729" i="1"/>
  <c r="L730" i="1"/>
  <c r="Y735" i="1"/>
  <c r="L736" i="1"/>
  <c r="L737" i="1"/>
  <c r="L738" i="1"/>
  <c r="L739" i="1"/>
  <c r="L742" i="1"/>
  <c r="L748" i="1"/>
  <c r="L749" i="1"/>
  <c r="L750" i="1"/>
  <c r="L751" i="1"/>
  <c r="L752" i="1"/>
  <c r="L754" i="1"/>
  <c r="L755" i="1"/>
  <c r="Y842" i="1"/>
  <c r="Y821" i="1"/>
  <c r="Y1213" i="1"/>
  <c r="Y1175" i="1"/>
  <c r="Y1215" i="1" s="1"/>
  <c r="L1175" i="1"/>
  <c r="L1099" i="1"/>
  <c r="L1061" i="1"/>
  <c r="L825" i="1"/>
  <c r="K854" i="1"/>
  <c r="L893" i="1"/>
  <c r="Y753" i="1"/>
  <c r="Y754" i="1"/>
  <c r="L756" i="1"/>
  <c r="Y756" i="1"/>
  <c r="Y824" i="1"/>
  <c r="Y848" i="1"/>
  <c r="Y820" i="1"/>
  <c r="Y841" i="1"/>
  <c r="L900" i="1"/>
  <c r="L892" i="1"/>
  <c r="L886" i="1"/>
  <c r="Y889" i="1"/>
  <c r="L895" i="1"/>
  <c r="Y729" i="1"/>
  <c r="Y730" i="1"/>
  <c r="Y734" i="1"/>
  <c r="L781" i="1"/>
  <c r="L782" i="1"/>
  <c r="L783" i="1"/>
  <c r="L784" i="1"/>
  <c r="L785" i="1"/>
  <c r="L786" i="1"/>
  <c r="L788" i="1"/>
  <c r="L789" i="1"/>
  <c r="L790" i="1"/>
  <c r="L791" i="1"/>
  <c r="L792" i="1"/>
  <c r="L793" i="1"/>
  <c r="L794" i="1"/>
  <c r="Y698" i="1"/>
  <c r="L804" i="1"/>
  <c r="L805" i="1"/>
  <c r="L806" i="1"/>
  <c r="L809" i="1"/>
  <c r="Y811" i="1"/>
  <c r="L814" i="1"/>
  <c r="L815" i="1"/>
  <c r="L818" i="1"/>
  <c r="Y819" i="1"/>
  <c r="Y822" i="1"/>
  <c r="Y823" i="1"/>
  <c r="L830" i="1"/>
  <c r="L831" i="1"/>
  <c r="L832" i="1"/>
  <c r="Y810" i="1"/>
  <c r="Y812" i="1"/>
  <c r="Y818" i="1"/>
  <c r="L842" i="1"/>
  <c r="Y865" i="1"/>
  <c r="Y866" i="1"/>
  <c r="Y856" i="1"/>
  <c r="Y846" i="1"/>
  <c r="Y851" i="1"/>
  <c r="Y852" i="1"/>
  <c r="L880" i="1"/>
  <c r="Y894" i="1"/>
  <c r="Y896" i="1"/>
  <c r="Y898" i="1"/>
  <c r="Y900" i="1"/>
  <c r="Y902" i="1"/>
  <c r="L906" i="1"/>
  <c r="L908" i="1"/>
  <c r="L829" i="1"/>
  <c r="L887" i="1"/>
  <c r="L885" i="1"/>
  <c r="Y642" i="1"/>
  <c r="L745" i="1"/>
  <c r="L735" i="1"/>
  <c r="L690" i="1"/>
  <c r="Y857" i="1"/>
  <c r="Y858" i="1"/>
  <c r="Y859" i="1"/>
  <c r="Y860" i="1"/>
  <c r="Y864" i="1"/>
  <c r="L870" i="1"/>
  <c r="Y1022" i="1"/>
  <c r="Y741" i="1"/>
  <c r="Y742" i="1"/>
  <c r="Y743" i="1"/>
  <c r="Y745" i="1"/>
  <c r="Y746" i="1"/>
  <c r="Y747" i="1"/>
  <c r="Y749" i="1"/>
  <c r="Y750" i="1"/>
  <c r="Y751" i="1"/>
  <c r="L753" i="1"/>
  <c r="L696" i="1"/>
  <c r="L732" i="1"/>
  <c r="L766" i="1"/>
  <c r="L768" i="1"/>
  <c r="L771" i="1"/>
  <c r="L772" i="1"/>
  <c r="L773" i="1"/>
  <c r="L774" i="1"/>
  <c r="L775" i="1"/>
  <c r="L779" i="1"/>
  <c r="Y728" i="1"/>
  <c r="Y733" i="1"/>
  <c r="L861" i="1"/>
  <c r="L865" i="1"/>
  <c r="Y867" i="1"/>
  <c r="L869" i="1"/>
  <c r="L899" i="1"/>
  <c r="L897" i="1"/>
  <c r="Y887" i="1"/>
  <c r="Y868" i="1"/>
  <c r="Y1099" i="1"/>
  <c r="Y740" i="1"/>
  <c r="G795" i="1"/>
  <c r="K795" i="1" s="1"/>
  <c r="L813" i="1"/>
  <c r="L821" i="1"/>
  <c r="Y744" i="1"/>
  <c r="Y752" i="1"/>
  <c r="Y755" i="1"/>
  <c r="L728" i="1"/>
  <c r="F824" i="1"/>
  <c r="L824" i="1" s="1"/>
  <c r="Y825" i="1"/>
  <c r="Y843" i="1"/>
  <c r="Y844" i="1"/>
  <c r="K864" i="1"/>
  <c r="L864" i="1" s="1"/>
  <c r="C871" i="1"/>
  <c r="F871" i="1" s="1"/>
  <c r="Y659" i="1"/>
  <c r="L651" i="1"/>
  <c r="L653" i="1"/>
  <c r="Y661" i="1"/>
  <c r="Y663" i="1"/>
  <c r="Y732" i="1"/>
  <c r="Y737" i="1"/>
  <c r="Y738" i="1"/>
  <c r="L741" i="1"/>
  <c r="L744" i="1"/>
  <c r="L746" i="1"/>
  <c r="L747" i="1"/>
  <c r="Y664" i="1"/>
  <c r="L733" i="1"/>
  <c r="Y766" i="1"/>
  <c r="Y768" i="1"/>
  <c r="L776" i="1"/>
  <c r="Y778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L803" i="1"/>
  <c r="Y805" i="1"/>
  <c r="Y809" i="1"/>
  <c r="Y813" i="1"/>
  <c r="L826" i="1"/>
  <c r="L827" i="1"/>
  <c r="L828" i="1"/>
  <c r="Y829" i="1"/>
  <c r="Y775" i="1"/>
  <c r="Y776" i="1"/>
  <c r="Y815" i="1"/>
  <c r="Y817" i="1"/>
  <c r="L843" i="1"/>
  <c r="L844" i="1"/>
  <c r="Y847" i="1"/>
  <c r="L879" i="1"/>
  <c r="Y880" i="1"/>
  <c r="Y882" i="1"/>
  <c r="Y903" i="1"/>
  <c r="L905" i="1"/>
  <c r="L907" i="1"/>
  <c r="L894" i="1"/>
  <c r="L889" i="1"/>
  <c r="Y870" i="1"/>
  <c r="L1137" i="1"/>
  <c r="Y1137" i="1"/>
  <c r="L881" i="1"/>
  <c r="L985" i="1"/>
  <c r="Y1061" i="1"/>
  <c r="Y892" i="1"/>
  <c r="L902" i="1"/>
  <c r="Y1023" i="1"/>
  <c r="Y904" i="1"/>
  <c r="L947" i="1"/>
  <c r="L1023" i="1"/>
  <c r="L882" i="1"/>
  <c r="L898" i="1"/>
  <c r="Y985" i="1"/>
  <c r="L896" i="1"/>
  <c r="Y890" i="1"/>
  <c r="Y947" i="1"/>
  <c r="L890" i="1"/>
  <c r="L888" i="1"/>
  <c r="X909" i="1"/>
  <c r="Y908" i="1"/>
  <c r="S909" i="1"/>
  <c r="L884" i="1"/>
  <c r="L868" i="1"/>
  <c r="L767" i="1"/>
  <c r="J909" i="1"/>
  <c r="H909" i="1"/>
  <c r="Y881" i="1"/>
  <c r="C909" i="1"/>
  <c r="F909" i="1" s="1"/>
  <c r="Y893" i="1"/>
  <c r="Y895" i="1"/>
  <c r="Y897" i="1"/>
  <c r="Y899" i="1"/>
  <c r="Y901" i="1"/>
  <c r="L863" i="1"/>
  <c r="Y850" i="1"/>
  <c r="K871" i="1"/>
  <c r="S871" i="1"/>
  <c r="X871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2" i="1"/>
  <c r="L866" i="1"/>
  <c r="L841" i="1"/>
  <c r="Y816" i="1"/>
  <c r="Y804" i="1"/>
  <c r="L816" i="1"/>
  <c r="L812" i="1"/>
  <c r="F833" i="1"/>
  <c r="L810" i="1"/>
  <c r="Y814" i="1"/>
  <c r="L808" i="1"/>
  <c r="K833" i="1"/>
  <c r="L787" i="1"/>
  <c r="L780" i="1"/>
  <c r="L778" i="1"/>
  <c r="L777" i="1"/>
  <c r="Y774" i="1"/>
  <c r="Y772" i="1"/>
  <c r="F795" i="1"/>
  <c r="L770" i="1"/>
  <c r="Y794" i="1"/>
  <c r="Y770" i="1"/>
  <c r="X795" i="1"/>
  <c r="S795" i="1"/>
  <c r="L743" i="1"/>
  <c r="L740" i="1"/>
  <c r="L765" i="1"/>
  <c r="L734" i="1"/>
  <c r="L727" i="1"/>
  <c r="Y831" i="1"/>
  <c r="X833" i="1"/>
  <c r="Y832" i="1"/>
  <c r="S833" i="1"/>
  <c r="Y765" i="1"/>
  <c r="Y767" i="1"/>
  <c r="Y771" i="1"/>
  <c r="Y773" i="1"/>
  <c r="Y777" i="1"/>
  <c r="Y779" i="1"/>
  <c r="K757" i="1"/>
  <c r="F757" i="1"/>
  <c r="S757" i="1"/>
  <c r="X757" i="1"/>
  <c r="Y662" i="1"/>
  <c r="Y679" i="1"/>
  <c r="Y680" i="1"/>
  <c r="F689" i="1"/>
  <c r="K689" i="1"/>
  <c r="J719" i="1"/>
  <c r="I719" i="1"/>
  <c r="H719" i="1"/>
  <c r="G719" i="1"/>
  <c r="E719" i="1"/>
  <c r="D719" i="1"/>
  <c r="C719" i="1"/>
  <c r="B719" i="1"/>
  <c r="K718" i="1"/>
  <c r="F718" i="1"/>
  <c r="K717" i="1"/>
  <c r="F717" i="1"/>
  <c r="K716" i="1"/>
  <c r="F716" i="1"/>
  <c r="K715" i="1"/>
  <c r="F715" i="1"/>
  <c r="K714" i="1"/>
  <c r="F714" i="1"/>
  <c r="K713" i="1"/>
  <c r="F713" i="1"/>
  <c r="L713" i="1" s="1"/>
  <c r="K712" i="1"/>
  <c r="F712" i="1"/>
  <c r="K711" i="1"/>
  <c r="F711" i="1"/>
  <c r="L711" i="1" s="1"/>
  <c r="K710" i="1"/>
  <c r="F710" i="1"/>
  <c r="K709" i="1"/>
  <c r="F709" i="1"/>
  <c r="K708" i="1"/>
  <c r="F708" i="1"/>
  <c r="K707" i="1"/>
  <c r="F707" i="1"/>
  <c r="L707" i="1" s="1"/>
  <c r="K706" i="1"/>
  <c r="F706" i="1"/>
  <c r="K705" i="1"/>
  <c r="F705" i="1"/>
  <c r="K704" i="1"/>
  <c r="F704" i="1"/>
  <c r="K703" i="1"/>
  <c r="F703" i="1"/>
  <c r="L703" i="1" s="1"/>
  <c r="K702" i="1"/>
  <c r="F702" i="1"/>
  <c r="K701" i="1"/>
  <c r="F701" i="1"/>
  <c r="L701" i="1" s="1"/>
  <c r="K700" i="1"/>
  <c r="F700" i="1"/>
  <c r="K699" i="1"/>
  <c r="F699" i="1"/>
  <c r="K698" i="1"/>
  <c r="F698" i="1"/>
  <c r="K697" i="1"/>
  <c r="F697" i="1"/>
  <c r="K695" i="1"/>
  <c r="F695" i="1"/>
  <c r="K694" i="1"/>
  <c r="F694" i="1"/>
  <c r="K692" i="1"/>
  <c r="F692" i="1"/>
  <c r="K691" i="1"/>
  <c r="F691" i="1"/>
  <c r="W719" i="1"/>
  <c r="V719" i="1"/>
  <c r="U719" i="1"/>
  <c r="T719" i="1"/>
  <c r="R719" i="1"/>
  <c r="Q719" i="1"/>
  <c r="P719" i="1"/>
  <c r="O719" i="1"/>
  <c r="X718" i="1"/>
  <c r="S718" i="1"/>
  <c r="X717" i="1"/>
  <c r="S717" i="1"/>
  <c r="Y717" i="1" s="1"/>
  <c r="X716" i="1"/>
  <c r="S716" i="1"/>
  <c r="X715" i="1"/>
  <c r="S715" i="1"/>
  <c r="Y715" i="1" s="1"/>
  <c r="X714" i="1"/>
  <c r="S714" i="1"/>
  <c r="X713" i="1"/>
  <c r="S713" i="1"/>
  <c r="X712" i="1"/>
  <c r="S712" i="1"/>
  <c r="X711" i="1"/>
  <c r="S711" i="1"/>
  <c r="X710" i="1"/>
  <c r="S710" i="1"/>
  <c r="X709" i="1"/>
  <c r="S709" i="1"/>
  <c r="Y709" i="1" s="1"/>
  <c r="X708" i="1"/>
  <c r="S708" i="1"/>
  <c r="X707" i="1"/>
  <c r="S707" i="1"/>
  <c r="Y707" i="1" s="1"/>
  <c r="X706" i="1"/>
  <c r="S706" i="1"/>
  <c r="X705" i="1"/>
  <c r="S705" i="1"/>
  <c r="Y705" i="1" s="1"/>
  <c r="X704" i="1"/>
  <c r="S704" i="1"/>
  <c r="X703" i="1"/>
  <c r="S703" i="1"/>
  <c r="Y703" i="1" s="1"/>
  <c r="X702" i="1"/>
  <c r="S702" i="1"/>
  <c r="X701" i="1"/>
  <c r="S701" i="1"/>
  <c r="Y701" i="1" s="1"/>
  <c r="X700" i="1"/>
  <c r="S700" i="1"/>
  <c r="X699" i="1"/>
  <c r="S699" i="1"/>
  <c r="X696" i="1"/>
  <c r="S696" i="1"/>
  <c r="X695" i="1"/>
  <c r="S695" i="1"/>
  <c r="Y695" i="1" s="1"/>
  <c r="X694" i="1"/>
  <c r="S694" i="1"/>
  <c r="X692" i="1"/>
  <c r="S692" i="1"/>
  <c r="X691" i="1"/>
  <c r="S691" i="1"/>
  <c r="X689" i="1"/>
  <c r="S689" i="1"/>
  <c r="X584" i="1"/>
  <c r="S584" i="1"/>
  <c r="B604" i="1"/>
  <c r="F604" i="1" s="1"/>
  <c r="J576" i="1"/>
  <c r="K576" i="1" s="1"/>
  <c r="B592" i="1"/>
  <c r="F592" i="1" s="1"/>
  <c r="W681" i="1"/>
  <c r="V681" i="1"/>
  <c r="U681" i="1"/>
  <c r="T681" i="1"/>
  <c r="R681" i="1"/>
  <c r="Q681" i="1"/>
  <c r="P681" i="1"/>
  <c r="O681" i="1"/>
  <c r="J681" i="1"/>
  <c r="I681" i="1"/>
  <c r="H681" i="1"/>
  <c r="G681" i="1"/>
  <c r="E681" i="1"/>
  <c r="D681" i="1"/>
  <c r="C681" i="1"/>
  <c r="B681" i="1"/>
  <c r="K680" i="1"/>
  <c r="F680" i="1"/>
  <c r="K679" i="1"/>
  <c r="F679" i="1"/>
  <c r="X678" i="1"/>
  <c r="S678" i="1"/>
  <c r="K678" i="1"/>
  <c r="F678" i="1"/>
  <c r="X677" i="1"/>
  <c r="S677" i="1"/>
  <c r="K677" i="1"/>
  <c r="F677" i="1"/>
  <c r="X676" i="1"/>
  <c r="S676" i="1"/>
  <c r="K676" i="1"/>
  <c r="F676" i="1"/>
  <c r="X675" i="1"/>
  <c r="S675" i="1"/>
  <c r="K675" i="1"/>
  <c r="F675" i="1"/>
  <c r="X674" i="1"/>
  <c r="S674" i="1"/>
  <c r="K674" i="1"/>
  <c r="F674" i="1"/>
  <c r="X673" i="1"/>
  <c r="S673" i="1"/>
  <c r="K673" i="1"/>
  <c r="F673" i="1"/>
  <c r="X672" i="1"/>
  <c r="S672" i="1"/>
  <c r="K672" i="1"/>
  <c r="F672" i="1"/>
  <c r="X671" i="1"/>
  <c r="S671" i="1"/>
  <c r="K671" i="1"/>
  <c r="F671" i="1"/>
  <c r="X670" i="1"/>
  <c r="S670" i="1"/>
  <c r="K670" i="1"/>
  <c r="F670" i="1"/>
  <c r="X669" i="1"/>
  <c r="S669" i="1"/>
  <c r="K669" i="1"/>
  <c r="F669" i="1"/>
  <c r="X668" i="1"/>
  <c r="S668" i="1"/>
  <c r="K668" i="1"/>
  <c r="F668" i="1"/>
  <c r="X667" i="1"/>
  <c r="S667" i="1"/>
  <c r="K667" i="1"/>
  <c r="F667" i="1"/>
  <c r="X666" i="1"/>
  <c r="S666" i="1"/>
  <c r="K666" i="1"/>
  <c r="F666" i="1"/>
  <c r="X665" i="1"/>
  <c r="S665" i="1"/>
  <c r="K665" i="1"/>
  <c r="F665" i="1"/>
  <c r="K664" i="1"/>
  <c r="F664" i="1"/>
  <c r="K663" i="1"/>
  <c r="F663" i="1"/>
  <c r="K662" i="1"/>
  <c r="F662" i="1"/>
  <c r="K661" i="1"/>
  <c r="F661" i="1"/>
  <c r="K660" i="1"/>
  <c r="F660" i="1"/>
  <c r="K659" i="1"/>
  <c r="F659" i="1"/>
  <c r="X658" i="1"/>
  <c r="S658" i="1"/>
  <c r="K658" i="1"/>
  <c r="F658" i="1"/>
  <c r="X657" i="1"/>
  <c r="S657" i="1"/>
  <c r="K657" i="1"/>
  <c r="F657" i="1"/>
  <c r="X656" i="1"/>
  <c r="S656" i="1"/>
  <c r="K656" i="1"/>
  <c r="F656" i="1"/>
  <c r="X654" i="1"/>
  <c r="S654" i="1"/>
  <c r="K654" i="1"/>
  <c r="F654" i="1"/>
  <c r="X653" i="1"/>
  <c r="S653" i="1"/>
  <c r="X652" i="1"/>
  <c r="S652" i="1"/>
  <c r="X651" i="1"/>
  <c r="S651" i="1"/>
  <c r="K586" i="1"/>
  <c r="K587" i="1"/>
  <c r="K588" i="1"/>
  <c r="K589" i="1"/>
  <c r="K590" i="1"/>
  <c r="K591" i="1"/>
  <c r="K592" i="1"/>
  <c r="K593" i="1"/>
  <c r="K594" i="1"/>
  <c r="S603" i="1"/>
  <c r="X603" i="1"/>
  <c r="S604" i="1"/>
  <c r="X604" i="1"/>
  <c r="Y604" i="1" s="1"/>
  <c r="S618" i="1"/>
  <c r="X618" i="1"/>
  <c r="F613" i="1"/>
  <c r="K613" i="1"/>
  <c r="F618" i="1"/>
  <c r="K618" i="1"/>
  <c r="F619" i="1"/>
  <c r="K619" i="1"/>
  <c r="F620" i="1"/>
  <c r="K620" i="1"/>
  <c r="F621" i="1"/>
  <c r="K621" i="1"/>
  <c r="F622" i="1"/>
  <c r="K622" i="1"/>
  <c r="F623" i="1"/>
  <c r="K623" i="1"/>
  <c r="F624" i="1"/>
  <c r="K624" i="1"/>
  <c r="F625" i="1"/>
  <c r="K625" i="1"/>
  <c r="W643" i="1"/>
  <c r="V643" i="1"/>
  <c r="U643" i="1"/>
  <c r="T643" i="1"/>
  <c r="R643" i="1"/>
  <c r="Q643" i="1"/>
  <c r="P643" i="1"/>
  <c r="O643" i="1"/>
  <c r="J643" i="1"/>
  <c r="I643" i="1"/>
  <c r="H643" i="1"/>
  <c r="G643" i="1"/>
  <c r="E643" i="1"/>
  <c r="D643" i="1"/>
  <c r="C643" i="1"/>
  <c r="B643" i="1"/>
  <c r="K642" i="1"/>
  <c r="F642" i="1"/>
  <c r="K641" i="1"/>
  <c r="F641" i="1"/>
  <c r="X640" i="1"/>
  <c r="S640" i="1"/>
  <c r="K640" i="1"/>
  <c r="F640" i="1"/>
  <c r="X639" i="1"/>
  <c r="S639" i="1"/>
  <c r="K639" i="1"/>
  <c r="F639" i="1"/>
  <c r="X638" i="1"/>
  <c r="S638" i="1"/>
  <c r="K638" i="1"/>
  <c r="F638" i="1"/>
  <c r="X637" i="1"/>
  <c r="S637" i="1"/>
  <c r="K637" i="1"/>
  <c r="F637" i="1"/>
  <c r="X636" i="1"/>
  <c r="S636" i="1"/>
  <c r="K636" i="1"/>
  <c r="F636" i="1"/>
  <c r="X635" i="1"/>
  <c r="S635" i="1"/>
  <c r="K635" i="1"/>
  <c r="F635" i="1"/>
  <c r="X634" i="1"/>
  <c r="S634" i="1"/>
  <c r="K634" i="1"/>
  <c r="F634" i="1"/>
  <c r="X633" i="1"/>
  <c r="S633" i="1"/>
  <c r="K633" i="1"/>
  <c r="F633" i="1"/>
  <c r="X632" i="1"/>
  <c r="S632" i="1"/>
  <c r="K632" i="1"/>
  <c r="F632" i="1"/>
  <c r="X631" i="1"/>
  <c r="S631" i="1"/>
  <c r="K631" i="1"/>
  <c r="F631" i="1"/>
  <c r="X630" i="1"/>
  <c r="S630" i="1"/>
  <c r="K630" i="1"/>
  <c r="F630" i="1"/>
  <c r="X629" i="1"/>
  <c r="S629" i="1"/>
  <c r="K629" i="1"/>
  <c r="F629" i="1"/>
  <c r="X628" i="1"/>
  <c r="S628" i="1"/>
  <c r="K628" i="1"/>
  <c r="F628" i="1"/>
  <c r="X627" i="1"/>
  <c r="S627" i="1"/>
  <c r="K627" i="1"/>
  <c r="F627" i="1"/>
  <c r="X626" i="1"/>
  <c r="S626" i="1"/>
  <c r="K626" i="1"/>
  <c r="F626" i="1"/>
  <c r="X625" i="1"/>
  <c r="S625" i="1"/>
  <c r="X624" i="1"/>
  <c r="S624" i="1"/>
  <c r="X623" i="1"/>
  <c r="S623" i="1"/>
  <c r="X622" i="1"/>
  <c r="S622" i="1"/>
  <c r="X621" i="1"/>
  <c r="S621" i="1"/>
  <c r="X620" i="1"/>
  <c r="S620" i="1"/>
  <c r="X616" i="1"/>
  <c r="S616" i="1"/>
  <c r="K616" i="1"/>
  <c r="F616" i="1"/>
  <c r="X615" i="1"/>
  <c r="S615" i="1"/>
  <c r="K615" i="1"/>
  <c r="F615" i="1"/>
  <c r="X614" i="1"/>
  <c r="S614" i="1"/>
  <c r="X613" i="1"/>
  <c r="S613" i="1"/>
  <c r="S547" i="1"/>
  <c r="X547" i="1"/>
  <c r="X580" i="1"/>
  <c r="S580" i="1"/>
  <c r="X546" i="1"/>
  <c r="S546" i="1"/>
  <c r="D584" i="1"/>
  <c r="D605" i="1" s="1"/>
  <c r="S565" i="1"/>
  <c r="X565" i="1"/>
  <c r="S566" i="1"/>
  <c r="X566" i="1"/>
  <c r="Y566" i="1" s="1"/>
  <c r="S575" i="1"/>
  <c r="X575" i="1"/>
  <c r="S581" i="1"/>
  <c r="X581" i="1"/>
  <c r="S582" i="1"/>
  <c r="X582" i="1"/>
  <c r="S583" i="1"/>
  <c r="X583" i="1"/>
  <c r="W605" i="1"/>
  <c r="V605" i="1"/>
  <c r="U605" i="1"/>
  <c r="T605" i="1"/>
  <c r="R605" i="1"/>
  <c r="Q605" i="1"/>
  <c r="P605" i="1"/>
  <c r="O605" i="1"/>
  <c r="X602" i="1"/>
  <c r="S602" i="1"/>
  <c r="X601" i="1"/>
  <c r="S601" i="1"/>
  <c r="X600" i="1"/>
  <c r="S600" i="1"/>
  <c r="X599" i="1"/>
  <c r="S599" i="1"/>
  <c r="X598" i="1"/>
  <c r="S598" i="1"/>
  <c r="X597" i="1"/>
  <c r="S597" i="1"/>
  <c r="X596" i="1"/>
  <c r="S596" i="1"/>
  <c r="X595" i="1"/>
  <c r="S595" i="1"/>
  <c r="X594" i="1"/>
  <c r="S594" i="1"/>
  <c r="X593" i="1"/>
  <c r="S593" i="1"/>
  <c r="X592" i="1"/>
  <c r="S592" i="1"/>
  <c r="X591" i="1"/>
  <c r="S591" i="1"/>
  <c r="X590" i="1"/>
  <c r="S590" i="1"/>
  <c r="X589" i="1"/>
  <c r="S589" i="1"/>
  <c r="X588" i="1"/>
  <c r="S588" i="1"/>
  <c r="X587" i="1"/>
  <c r="S587" i="1"/>
  <c r="X586" i="1"/>
  <c r="S586" i="1"/>
  <c r="X585" i="1"/>
  <c r="S585" i="1"/>
  <c r="X578" i="1"/>
  <c r="S578" i="1"/>
  <c r="X577" i="1"/>
  <c r="S577" i="1"/>
  <c r="X576" i="1"/>
  <c r="S576" i="1"/>
  <c r="J605" i="1"/>
  <c r="I605" i="1"/>
  <c r="H605" i="1"/>
  <c r="G605" i="1"/>
  <c r="E605" i="1"/>
  <c r="C605" i="1"/>
  <c r="K604" i="1"/>
  <c r="K603" i="1"/>
  <c r="F603" i="1"/>
  <c r="K602" i="1"/>
  <c r="F602" i="1"/>
  <c r="K601" i="1"/>
  <c r="F601" i="1"/>
  <c r="K600" i="1"/>
  <c r="F600" i="1"/>
  <c r="K599" i="1"/>
  <c r="F599" i="1"/>
  <c r="K598" i="1"/>
  <c r="F598" i="1"/>
  <c r="K597" i="1"/>
  <c r="F597" i="1"/>
  <c r="K596" i="1"/>
  <c r="F596" i="1"/>
  <c r="K595" i="1"/>
  <c r="F595" i="1"/>
  <c r="F594" i="1"/>
  <c r="F593" i="1"/>
  <c r="F591" i="1"/>
  <c r="F590" i="1"/>
  <c r="L590" i="1" s="1"/>
  <c r="F589" i="1"/>
  <c r="F588" i="1"/>
  <c r="F587" i="1"/>
  <c r="F586" i="1"/>
  <c r="K585" i="1"/>
  <c r="F585" i="1"/>
  <c r="K584" i="1"/>
  <c r="F584" i="1"/>
  <c r="L584" i="1" s="1"/>
  <c r="K583" i="1"/>
  <c r="F583" i="1"/>
  <c r="K582" i="1"/>
  <c r="F582" i="1"/>
  <c r="L582" i="1" s="1"/>
  <c r="K581" i="1"/>
  <c r="F581" i="1"/>
  <c r="K580" i="1"/>
  <c r="F580" i="1"/>
  <c r="L580" i="1" s="1"/>
  <c r="K578" i="1"/>
  <c r="F578" i="1"/>
  <c r="K577" i="1"/>
  <c r="F577" i="1"/>
  <c r="F576" i="1"/>
  <c r="K575" i="1"/>
  <c r="F575" i="1"/>
  <c r="X545" i="1"/>
  <c r="S545" i="1"/>
  <c r="J540" i="1"/>
  <c r="I540" i="1"/>
  <c r="H540" i="1"/>
  <c r="G540" i="1"/>
  <c r="E540" i="1"/>
  <c r="D540" i="1"/>
  <c r="C540" i="1"/>
  <c r="B540" i="1"/>
  <c r="X543" i="1"/>
  <c r="S543" i="1"/>
  <c r="X507" i="1"/>
  <c r="S507" i="1"/>
  <c r="C524" i="1"/>
  <c r="X505" i="1"/>
  <c r="S505" i="1"/>
  <c r="H512" i="1"/>
  <c r="X485" i="1"/>
  <c r="S485" i="1"/>
  <c r="X504" i="1"/>
  <c r="S504" i="1"/>
  <c r="C506" i="1"/>
  <c r="X480" i="1"/>
  <c r="S480" i="1"/>
  <c r="S524" i="1"/>
  <c r="X524" i="1"/>
  <c r="S525" i="1"/>
  <c r="X525" i="1"/>
  <c r="S526" i="1"/>
  <c r="X526" i="1"/>
  <c r="S527" i="1"/>
  <c r="X527" i="1"/>
  <c r="X528" i="1"/>
  <c r="S528" i="1"/>
  <c r="X490" i="1"/>
  <c r="S490" i="1"/>
  <c r="X489" i="1"/>
  <c r="S489" i="1"/>
  <c r="X488" i="1"/>
  <c r="S488" i="1"/>
  <c r="X487" i="1"/>
  <c r="S487" i="1"/>
  <c r="X461" i="1"/>
  <c r="S461" i="1"/>
  <c r="S537" i="1"/>
  <c r="X537" i="1"/>
  <c r="Y537" i="1" s="1"/>
  <c r="S538" i="1"/>
  <c r="X538" i="1"/>
  <c r="X500" i="1"/>
  <c r="S500" i="1"/>
  <c r="Y500" i="1" s="1"/>
  <c r="X499" i="1"/>
  <c r="S499" i="1"/>
  <c r="S502" i="1"/>
  <c r="X502" i="1"/>
  <c r="X463" i="1"/>
  <c r="S463" i="1"/>
  <c r="X474" i="1"/>
  <c r="S474" i="1"/>
  <c r="D483" i="1"/>
  <c r="X462" i="1"/>
  <c r="S462" i="1"/>
  <c r="X467" i="1"/>
  <c r="S467" i="1"/>
  <c r="C471" i="1"/>
  <c r="H449" i="1"/>
  <c r="X432" i="1"/>
  <c r="S432" i="1"/>
  <c r="X430" i="1"/>
  <c r="S430" i="1"/>
  <c r="C440" i="1"/>
  <c r="X405" i="1"/>
  <c r="S405" i="1"/>
  <c r="S400" i="1"/>
  <c r="X400" i="1"/>
  <c r="Y527" i="1" l="1"/>
  <c r="Y485" i="1"/>
  <c r="Y580" i="1"/>
  <c r="Y613" i="1"/>
  <c r="L616" i="1"/>
  <c r="Y620" i="1"/>
  <c r="Y622" i="1"/>
  <c r="Y624" i="1"/>
  <c r="L626" i="1"/>
  <c r="L627" i="1"/>
  <c r="L628" i="1"/>
  <c r="L629" i="1"/>
  <c r="L630" i="1"/>
  <c r="L631" i="1"/>
  <c r="L632" i="1"/>
  <c r="L637" i="1"/>
  <c r="L638" i="1"/>
  <c r="L639" i="1"/>
  <c r="L640" i="1"/>
  <c r="L625" i="1"/>
  <c r="L623" i="1"/>
  <c r="Y652" i="1"/>
  <c r="L656" i="1"/>
  <c r="Y656" i="1"/>
  <c r="L658" i="1"/>
  <c r="L659" i="1"/>
  <c r="L662" i="1"/>
  <c r="L663" i="1"/>
  <c r="L664" i="1"/>
  <c r="Y665" i="1"/>
  <c r="Y666" i="1"/>
  <c r="L667" i="1"/>
  <c r="Y667" i="1"/>
  <c r="Y668" i="1"/>
  <c r="Y669" i="1"/>
  <c r="Y670" i="1"/>
  <c r="Y671" i="1"/>
  <c r="Y676" i="1"/>
  <c r="Y677" i="1"/>
  <c r="Y678" i="1"/>
  <c r="L680" i="1"/>
  <c r="L704" i="1"/>
  <c r="Y505" i="1"/>
  <c r="Y651" i="1"/>
  <c r="Y584" i="1"/>
  <c r="Y691" i="1"/>
  <c r="Y706" i="1"/>
  <c r="Y689" i="1"/>
  <c r="Y463" i="1"/>
  <c r="Y499" i="1"/>
  <c r="Y461" i="1"/>
  <c r="Y488" i="1"/>
  <c r="Y490" i="1"/>
  <c r="Y524" i="1"/>
  <c r="Y504" i="1"/>
  <c r="L595" i="1"/>
  <c r="L597" i="1"/>
  <c r="L601" i="1"/>
  <c r="Y583" i="1"/>
  <c r="Y675" i="1"/>
  <c r="Y713" i="1"/>
  <c r="Y507" i="1"/>
  <c r="Y545" i="1"/>
  <c r="L576" i="1"/>
  <c r="L578" i="1"/>
  <c r="L581" i="1"/>
  <c r="L585" i="1"/>
  <c r="L592" i="1"/>
  <c r="Y576" i="1"/>
  <c r="Y578" i="1"/>
  <c r="Y586" i="1"/>
  <c r="Y588" i="1"/>
  <c r="Y590" i="1"/>
  <c r="Y592" i="1"/>
  <c r="Y594" i="1"/>
  <c r="Y596" i="1"/>
  <c r="Y598" i="1"/>
  <c r="Y600" i="1"/>
  <c r="Y602" i="1"/>
  <c r="Y582" i="1"/>
  <c r="Y575" i="1"/>
  <c r="Y546" i="1"/>
  <c r="Y547" i="1"/>
  <c r="Y614" i="1"/>
  <c r="Y615" i="1"/>
  <c r="Y616" i="1"/>
  <c r="Y621" i="1"/>
  <c r="Y626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L622" i="1"/>
  <c r="Y618" i="1"/>
  <c r="L668" i="1"/>
  <c r="L674" i="1"/>
  <c r="L675" i="1"/>
  <c r="L679" i="1"/>
  <c r="Y704" i="1"/>
  <c r="Y710" i="1"/>
  <c r="Y714" i="1"/>
  <c r="L695" i="1"/>
  <c r="L698" i="1"/>
  <c r="Y538" i="1"/>
  <c r="L591" i="1"/>
  <c r="B605" i="1"/>
  <c r="F605" i="1" s="1"/>
  <c r="Y581" i="1"/>
  <c r="L621" i="1"/>
  <c r="L619" i="1"/>
  <c r="L669" i="1"/>
  <c r="Y692" i="1"/>
  <c r="Y708" i="1"/>
  <c r="Y525" i="1"/>
  <c r="Y480" i="1"/>
  <c r="Y712" i="1"/>
  <c r="L715" i="1"/>
  <c r="Y430" i="1"/>
  <c r="Y502" i="1"/>
  <c r="Y526" i="1"/>
  <c r="Y543" i="1"/>
  <c r="L577" i="1"/>
  <c r="L596" i="1"/>
  <c r="L598" i="1"/>
  <c r="L600" i="1"/>
  <c r="Y577" i="1"/>
  <c r="Y585" i="1"/>
  <c r="Y587" i="1"/>
  <c r="Y589" i="1"/>
  <c r="Y591" i="1"/>
  <c r="Y593" i="1"/>
  <c r="Y595" i="1"/>
  <c r="Y597" i="1"/>
  <c r="Y599" i="1"/>
  <c r="Y601" i="1"/>
  <c r="Y565" i="1"/>
  <c r="Y603" i="1"/>
  <c r="Y653" i="1"/>
  <c r="Y654" i="1"/>
  <c r="L661" i="1"/>
  <c r="Y672" i="1"/>
  <c r="Y673" i="1"/>
  <c r="Y674" i="1"/>
  <c r="L676" i="1"/>
  <c r="Y696" i="1"/>
  <c r="Y700" i="1"/>
  <c r="Y702" i="1"/>
  <c r="Y711" i="1"/>
  <c r="Y716" i="1"/>
  <c r="L692" i="1"/>
  <c r="L700" i="1"/>
  <c r="L706" i="1"/>
  <c r="L710" i="1"/>
  <c r="L718" i="1"/>
  <c r="K909" i="1"/>
  <c r="L909" i="1" s="1"/>
  <c r="Y909" i="1"/>
  <c r="Y871" i="1"/>
  <c r="L871" i="1"/>
  <c r="L833" i="1"/>
  <c r="L795" i="1"/>
  <c r="Y795" i="1"/>
  <c r="L757" i="1"/>
  <c r="L717" i="1"/>
  <c r="L716" i="1"/>
  <c r="Y833" i="1"/>
  <c r="L714" i="1"/>
  <c r="L712" i="1"/>
  <c r="L709" i="1"/>
  <c r="L708" i="1"/>
  <c r="Y699" i="1"/>
  <c r="L705" i="1"/>
  <c r="L691" i="1"/>
  <c r="L702" i="1"/>
  <c r="L699" i="1"/>
  <c r="Y694" i="1"/>
  <c r="L697" i="1"/>
  <c r="Y757" i="1"/>
  <c r="F719" i="1"/>
  <c r="L694" i="1"/>
  <c r="K719" i="1"/>
  <c r="L689" i="1"/>
  <c r="L678" i="1"/>
  <c r="L677" i="1"/>
  <c r="L673" i="1"/>
  <c r="L672" i="1"/>
  <c r="L671" i="1"/>
  <c r="L670" i="1"/>
  <c r="L654" i="1"/>
  <c r="L666" i="1"/>
  <c r="Y658" i="1"/>
  <c r="L665" i="1"/>
  <c r="Y657" i="1"/>
  <c r="K681" i="1"/>
  <c r="L660" i="1"/>
  <c r="F681" i="1"/>
  <c r="L657" i="1"/>
  <c r="L642" i="1"/>
  <c r="X719" i="1"/>
  <c r="Y718" i="1"/>
  <c r="S719" i="1"/>
  <c r="L641" i="1"/>
  <c r="L636" i="1"/>
  <c r="L635" i="1"/>
  <c r="L634" i="1"/>
  <c r="L633" i="1"/>
  <c r="L613" i="1"/>
  <c r="L624" i="1"/>
  <c r="L620" i="1"/>
  <c r="F643" i="1"/>
  <c r="K643" i="1"/>
  <c r="L618" i="1"/>
  <c r="L604" i="1"/>
  <c r="L603" i="1"/>
  <c r="L602" i="1"/>
  <c r="L599" i="1"/>
  <c r="X681" i="1"/>
  <c r="S681" i="1"/>
  <c r="L587" i="1"/>
  <c r="L593" i="1"/>
  <c r="L588" i="1"/>
  <c r="L594" i="1"/>
  <c r="L589" i="1"/>
  <c r="S643" i="1"/>
  <c r="X643" i="1"/>
  <c r="L615" i="1"/>
  <c r="Y623" i="1"/>
  <c r="Y625" i="1"/>
  <c r="Y627" i="1"/>
  <c r="S605" i="1"/>
  <c r="X605" i="1"/>
  <c r="L575" i="1"/>
  <c r="L586" i="1"/>
  <c r="L583" i="1"/>
  <c r="K605" i="1"/>
  <c r="Y528" i="1"/>
  <c r="Y487" i="1"/>
  <c r="Y489" i="1"/>
  <c r="Y462" i="1"/>
  <c r="Y467" i="1"/>
  <c r="Y474" i="1"/>
  <c r="Y432" i="1"/>
  <c r="Y405" i="1"/>
  <c r="Y400" i="1"/>
  <c r="X397" i="1"/>
  <c r="S397" i="1"/>
  <c r="F499" i="1"/>
  <c r="K499" i="1"/>
  <c r="F500" i="1"/>
  <c r="K500" i="1"/>
  <c r="F501" i="1"/>
  <c r="K501" i="1"/>
  <c r="S501" i="1"/>
  <c r="X501" i="1"/>
  <c r="F502" i="1"/>
  <c r="K502" i="1"/>
  <c r="F504" i="1"/>
  <c r="K504" i="1"/>
  <c r="F505" i="1"/>
  <c r="K505" i="1"/>
  <c r="F506" i="1"/>
  <c r="K506" i="1"/>
  <c r="S506" i="1"/>
  <c r="X506" i="1"/>
  <c r="F507" i="1"/>
  <c r="K507" i="1"/>
  <c r="F508" i="1"/>
  <c r="K508" i="1"/>
  <c r="S508" i="1"/>
  <c r="X508" i="1"/>
  <c r="F509" i="1"/>
  <c r="K509" i="1"/>
  <c r="S509" i="1"/>
  <c r="X509" i="1"/>
  <c r="F510" i="1"/>
  <c r="K510" i="1"/>
  <c r="S510" i="1"/>
  <c r="X510" i="1"/>
  <c r="F511" i="1"/>
  <c r="K511" i="1"/>
  <c r="S511" i="1"/>
  <c r="X511" i="1"/>
  <c r="F512" i="1"/>
  <c r="K512" i="1"/>
  <c r="S512" i="1"/>
  <c r="X512" i="1"/>
  <c r="F513" i="1"/>
  <c r="K513" i="1"/>
  <c r="S513" i="1"/>
  <c r="X513" i="1"/>
  <c r="F514" i="1"/>
  <c r="K514" i="1"/>
  <c r="S514" i="1"/>
  <c r="X514" i="1"/>
  <c r="F515" i="1"/>
  <c r="K515" i="1"/>
  <c r="S515" i="1"/>
  <c r="X515" i="1"/>
  <c r="F516" i="1"/>
  <c r="K516" i="1"/>
  <c r="S516" i="1"/>
  <c r="X516" i="1"/>
  <c r="F517" i="1"/>
  <c r="K517" i="1"/>
  <c r="S517" i="1"/>
  <c r="X517" i="1"/>
  <c r="F518" i="1"/>
  <c r="K518" i="1"/>
  <c r="S518" i="1"/>
  <c r="X518" i="1"/>
  <c r="F519" i="1"/>
  <c r="K519" i="1"/>
  <c r="S519" i="1"/>
  <c r="X519" i="1"/>
  <c r="F520" i="1"/>
  <c r="K520" i="1"/>
  <c r="S520" i="1"/>
  <c r="X520" i="1"/>
  <c r="F521" i="1"/>
  <c r="K521" i="1"/>
  <c r="S521" i="1"/>
  <c r="X521" i="1"/>
  <c r="F522" i="1"/>
  <c r="K522" i="1"/>
  <c r="S522" i="1"/>
  <c r="X522" i="1"/>
  <c r="F523" i="1"/>
  <c r="K523" i="1"/>
  <c r="S523" i="1"/>
  <c r="X523" i="1"/>
  <c r="F524" i="1"/>
  <c r="K524" i="1"/>
  <c r="F525" i="1"/>
  <c r="K525" i="1"/>
  <c r="F526" i="1"/>
  <c r="K526" i="1"/>
  <c r="F527" i="1"/>
  <c r="K527" i="1"/>
  <c r="F528" i="1"/>
  <c r="K528" i="1"/>
  <c r="B529" i="1"/>
  <c r="C529" i="1"/>
  <c r="D529" i="1"/>
  <c r="E529" i="1"/>
  <c r="G529" i="1"/>
  <c r="H529" i="1"/>
  <c r="I529" i="1"/>
  <c r="J529" i="1"/>
  <c r="O529" i="1"/>
  <c r="P529" i="1"/>
  <c r="Q529" i="1"/>
  <c r="R529" i="1"/>
  <c r="T529" i="1"/>
  <c r="U529" i="1"/>
  <c r="V529" i="1"/>
  <c r="W529" i="1"/>
  <c r="F537" i="1"/>
  <c r="K537" i="1"/>
  <c r="F538" i="1"/>
  <c r="K538" i="1"/>
  <c r="F539" i="1"/>
  <c r="K539" i="1"/>
  <c r="S539" i="1"/>
  <c r="X539" i="1"/>
  <c r="F540" i="1"/>
  <c r="K540" i="1"/>
  <c r="S540" i="1"/>
  <c r="X540" i="1"/>
  <c r="F542" i="1"/>
  <c r="K542" i="1"/>
  <c r="S542" i="1"/>
  <c r="X542" i="1"/>
  <c r="F543" i="1"/>
  <c r="K543" i="1"/>
  <c r="F544" i="1"/>
  <c r="K544" i="1"/>
  <c r="S544" i="1"/>
  <c r="X544" i="1"/>
  <c r="F545" i="1"/>
  <c r="K545" i="1"/>
  <c r="F546" i="1"/>
  <c r="K546" i="1"/>
  <c r="F547" i="1"/>
  <c r="K547" i="1"/>
  <c r="F548" i="1"/>
  <c r="K548" i="1"/>
  <c r="S548" i="1"/>
  <c r="X548" i="1"/>
  <c r="F549" i="1"/>
  <c r="K549" i="1"/>
  <c r="S549" i="1"/>
  <c r="X549" i="1"/>
  <c r="F550" i="1"/>
  <c r="K550" i="1"/>
  <c r="S550" i="1"/>
  <c r="X550" i="1"/>
  <c r="F551" i="1"/>
  <c r="K551" i="1"/>
  <c r="S551" i="1"/>
  <c r="X551" i="1"/>
  <c r="F552" i="1"/>
  <c r="K552" i="1"/>
  <c r="S552" i="1"/>
  <c r="X552" i="1"/>
  <c r="F553" i="1"/>
  <c r="K553" i="1"/>
  <c r="S553" i="1"/>
  <c r="X553" i="1"/>
  <c r="F554" i="1"/>
  <c r="K554" i="1"/>
  <c r="S554" i="1"/>
  <c r="X554" i="1"/>
  <c r="F555" i="1"/>
  <c r="K555" i="1"/>
  <c r="S555" i="1"/>
  <c r="X555" i="1"/>
  <c r="F556" i="1"/>
  <c r="K556" i="1"/>
  <c r="S556" i="1"/>
  <c r="X556" i="1"/>
  <c r="F557" i="1"/>
  <c r="K557" i="1"/>
  <c r="S557" i="1"/>
  <c r="X557" i="1"/>
  <c r="F558" i="1"/>
  <c r="K558" i="1"/>
  <c r="S558" i="1"/>
  <c r="X558" i="1"/>
  <c r="F559" i="1"/>
  <c r="K559" i="1"/>
  <c r="S559" i="1"/>
  <c r="X559" i="1"/>
  <c r="F560" i="1"/>
  <c r="K560" i="1"/>
  <c r="S560" i="1"/>
  <c r="X560" i="1"/>
  <c r="F561" i="1"/>
  <c r="K561" i="1"/>
  <c r="S561" i="1"/>
  <c r="X561" i="1"/>
  <c r="F562" i="1"/>
  <c r="K562" i="1"/>
  <c r="S562" i="1"/>
  <c r="X562" i="1"/>
  <c r="F563" i="1"/>
  <c r="K563" i="1"/>
  <c r="S563" i="1"/>
  <c r="X563" i="1"/>
  <c r="F564" i="1"/>
  <c r="K564" i="1"/>
  <c r="S564" i="1"/>
  <c r="X564" i="1"/>
  <c r="F565" i="1"/>
  <c r="K565" i="1"/>
  <c r="F566" i="1"/>
  <c r="K566" i="1"/>
  <c r="B567" i="1"/>
  <c r="C567" i="1"/>
  <c r="D567" i="1"/>
  <c r="E567" i="1"/>
  <c r="G567" i="1"/>
  <c r="H567" i="1"/>
  <c r="I567" i="1"/>
  <c r="J567" i="1"/>
  <c r="O567" i="1"/>
  <c r="P567" i="1"/>
  <c r="Q567" i="1"/>
  <c r="R567" i="1"/>
  <c r="T567" i="1"/>
  <c r="U567" i="1"/>
  <c r="V567" i="1"/>
  <c r="W567" i="1"/>
  <c r="S452" i="1"/>
  <c r="X452" i="1"/>
  <c r="S464" i="1"/>
  <c r="X464" i="1"/>
  <c r="S466" i="1"/>
  <c r="X466" i="1"/>
  <c r="S468" i="1"/>
  <c r="X468" i="1"/>
  <c r="S469" i="1"/>
  <c r="X469" i="1"/>
  <c r="S470" i="1"/>
  <c r="X470" i="1"/>
  <c r="S471" i="1"/>
  <c r="X471" i="1"/>
  <c r="S472" i="1"/>
  <c r="X472" i="1"/>
  <c r="S473" i="1"/>
  <c r="X473" i="1"/>
  <c r="S475" i="1"/>
  <c r="X475" i="1"/>
  <c r="S476" i="1"/>
  <c r="X476" i="1"/>
  <c r="S477" i="1"/>
  <c r="X477" i="1"/>
  <c r="S478" i="1"/>
  <c r="X478" i="1"/>
  <c r="S479" i="1"/>
  <c r="X479" i="1"/>
  <c r="S481" i="1"/>
  <c r="X481" i="1"/>
  <c r="S482" i="1"/>
  <c r="X482" i="1"/>
  <c r="S483" i="1"/>
  <c r="X483" i="1"/>
  <c r="S484" i="1"/>
  <c r="X484" i="1"/>
  <c r="S486" i="1"/>
  <c r="X486" i="1"/>
  <c r="O491" i="1"/>
  <c r="P491" i="1"/>
  <c r="Q491" i="1"/>
  <c r="R491" i="1"/>
  <c r="T491" i="1"/>
  <c r="U491" i="1"/>
  <c r="V491" i="1"/>
  <c r="W491" i="1"/>
  <c r="Y719" i="1" l="1"/>
  <c r="L719" i="1"/>
  <c r="L681" i="1"/>
  <c r="Y643" i="1"/>
  <c r="L643" i="1"/>
  <c r="Y681" i="1"/>
  <c r="Y605" i="1"/>
  <c r="L605" i="1"/>
  <c r="Y397" i="1"/>
  <c r="L542" i="1"/>
  <c r="L528" i="1"/>
  <c r="Y523" i="1"/>
  <c r="Y517" i="1"/>
  <c r="Y484" i="1"/>
  <c r="L548" i="1"/>
  <c r="Y539" i="1"/>
  <c r="L525" i="1"/>
  <c r="L519" i="1"/>
  <c r="L513" i="1"/>
  <c r="Y481" i="1"/>
  <c r="L538" i="1"/>
  <c r="L522" i="1"/>
  <c r="L516" i="1"/>
  <c r="L559" i="1"/>
  <c r="L499" i="1"/>
  <c r="Y473" i="1"/>
  <c r="L556" i="1"/>
  <c r="Y554" i="1"/>
  <c r="L553" i="1"/>
  <c r="L550" i="1"/>
  <c r="Y514" i="1"/>
  <c r="Y549" i="1"/>
  <c r="Y520" i="1"/>
  <c r="Y470" i="1"/>
  <c r="L500" i="1"/>
  <c r="Y479" i="1"/>
  <c r="Y475" i="1"/>
  <c r="Y483" i="1"/>
  <c r="L558" i="1"/>
  <c r="Y556" i="1"/>
  <c r="L555" i="1"/>
  <c r="Y553" i="1"/>
  <c r="L502" i="1"/>
  <c r="Y472" i="1"/>
  <c r="Y469" i="1"/>
  <c r="Y478" i="1"/>
  <c r="Y452" i="1"/>
  <c r="L565" i="1"/>
  <c r="Y563" i="1"/>
  <c r="L562" i="1"/>
  <c r="L549" i="1"/>
  <c r="L501" i="1"/>
  <c r="Y561" i="1"/>
  <c r="L547" i="1"/>
  <c r="L544" i="1"/>
  <c r="Y482" i="1"/>
  <c r="Y471" i="1"/>
  <c r="X567" i="1"/>
  <c r="Y552" i="1"/>
  <c r="L551" i="1"/>
  <c r="Y477" i="1"/>
  <c r="Y466" i="1"/>
  <c r="L560" i="1"/>
  <c r="Y542" i="1"/>
  <c r="S491" i="1"/>
  <c r="Y464" i="1"/>
  <c r="Y476" i="1"/>
  <c r="L566" i="1"/>
  <c r="Y564" i="1"/>
  <c r="L563" i="1"/>
  <c r="Y557" i="1"/>
  <c r="L552" i="1"/>
  <c r="Y550" i="1"/>
  <c r="L545" i="1"/>
  <c r="Y468" i="1"/>
  <c r="L564" i="1"/>
  <c r="Y562" i="1"/>
  <c r="Y558" i="1"/>
  <c r="L557" i="1"/>
  <c r="Y551" i="1"/>
  <c r="L546" i="1"/>
  <c r="Y544" i="1"/>
  <c r="L527" i="1"/>
  <c r="L524" i="1"/>
  <c r="Y522" i="1"/>
  <c r="L521" i="1"/>
  <c r="Y519" i="1"/>
  <c r="L518" i="1"/>
  <c r="Y516" i="1"/>
  <c r="L515" i="1"/>
  <c r="Y513" i="1"/>
  <c r="L512" i="1"/>
  <c r="Y510" i="1"/>
  <c r="L509" i="1"/>
  <c r="L506" i="1"/>
  <c r="L561" i="1"/>
  <c r="Y559" i="1"/>
  <c r="Y555" i="1"/>
  <c r="L554" i="1"/>
  <c r="Y548" i="1"/>
  <c r="L543" i="1"/>
  <c r="Y501" i="1"/>
  <c r="K567" i="1"/>
  <c r="X491" i="1"/>
  <c r="Y486" i="1"/>
  <c r="S567" i="1"/>
  <c r="Y560" i="1"/>
  <c r="L540" i="1"/>
  <c r="L537" i="1"/>
  <c r="F529" i="1"/>
  <c r="F567" i="1"/>
  <c r="X529" i="1"/>
  <c r="Y511" i="1"/>
  <c r="L510" i="1"/>
  <c r="Y508" i="1"/>
  <c r="L507" i="1"/>
  <c r="L504" i="1"/>
  <c r="Y540" i="1"/>
  <c r="L539" i="1"/>
  <c r="K529" i="1"/>
  <c r="L526" i="1"/>
  <c r="L523" i="1"/>
  <c r="Y521" i="1"/>
  <c r="L520" i="1"/>
  <c r="Y518" i="1"/>
  <c r="L517" i="1"/>
  <c r="Y515" i="1"/>
  <c r="L514" i="1"/>
  <c r="Y512" i="1"/>
  <c r="L511" i="1"/>
  <c r="Y509" i="1"/>
  <c r="L508" i="1"/>
  <c r="Y506" i="1"/>
  <c r="L505" i="1"/>
  <c r="S529" i="1"/>
  <c r="L529" i="1" l="1"/>
  <c r="Y491" i="1"/>
  <c r="L567" i="1"/>
  <c r="Y567" i="1"/>
  <c r="Y529" i="1"/>
  <c r="J491" i="1" l="1"/>
  <c r="I491" i="1"/>
  <c r="H491" i="1"/>
  <c r="G491" i="1"/>
  <c r="E491" i="1"/>
  <c r="D491" i="1"/>
  <c r="C491" i="1"/>
  <c r="B491" i="1"/>
  <c r="K490" i="1"/>
  <c r="F490" i="1"/>
  <c r="K489" i="1"/>
  <c r="F489" i="1"/>
  <c r="K488" i="1"/>
  <c r="F488" i="1"/>
  <c r="K487" i="1"/>
  <c r="F487" i="1"/>
  <c r="K486" i="1"/>
  <c r="F486" i="1"/>
  <c r="K485" i="1"/>
  <c r="F485" i="1"/>
  <c r="K484" i="1"/>
  <c r="F484" i="1"/>
  <c r="K483" i="1"/>
  <c r="F483" i="1"/>
  <c r="K482" i="1"/>
  <c r="F482" i="1"/>
  <c r="K481" i="1"/>
  <c r="F481" i="1"/>
  <c r="K480" i="1"/>
  <c r="F480" i="1"/>
  <c r="K479" i="1"/>
  <c r="F479" i="1"/>
  <c r="K478" i="1"/>
  <c r="F478" i="1"/>
  <c r="K477" i="1"/>
  <c r="F477" i="1"/>
  <c r="K476" i="1"/>
  <c r="F476" i="1"/>
  <c r="K475" i="1"/>
  <c r="F475" i="1"/>
  <c r="K474" i="1"/>
  <c r="F474" i="1"/>
  <c r="K473" i="1"/>
  <c r="F473" i="1"/>
  <c r="K472" i="1"/>
  <c r="F472" i="1"/>
  <c r="K471" i="1"/>
  <c r="F471" i="1"/>
  <c r="K470" i="1"/>
  <c r="F470" i="1"/>
  <c r="K469" i="1"/>
  <c r="F469" i="1"/>
  <c r="K468" i="1"/>
  <c r="F468" i="1"/>
  <c r="K467" i="1"/>
  <c r="F467" i="1"/>
  <c r="K466" i="1"/>
  <c r="F466" i="1"/>
  <c r="K464" i="1"/>
  <c r="F464" i="1"/>
  <c r="K463" i="1"/>
  <c r="F463" i="1"/>
  <c r="K462" i="1"/>
  <c r="F462" i="1"/>
  <c r="K461" i="1"/>
  <c r="F461" i="1"/>
  <c r="S424" i="1"/>
  <c r="X424" i="1"/>
  <c r="S414" i="1"/>
  <c r="X414" i="1"/>
  <c r="L489" i="1" l="1"/>
  <c r="L486" i="1"/>
  <c r="L490" i="1"/>
  <c r="L470" i="1"/>
  <c r="L482" i="1"/>
  <c r="L475" i="1"/>
  <c r="L480" i="1"/>
  <c r="L466" i="1"/>
  <c r="L472" i="1"/>
  <c r="L481" i="1"/>
  <c r="L468" i="1"/>
  <c r="L471" i="1"/>
  <c r="L474" i="1"/>
  <c r="Y414" i="1"/>
  <c r="Y424" i="1"/>
  <c r="L478" i="1"/>
  <c r="L464" i="1"/>
  <c r="L476" i="1"/>
  <c r="L484" i="1"/>
  <c r="L487" i="1"/>
  <c r="L477" i="1"/>
  <c r="L488" i="1"/>
  <c r="L469" i="1"/>
  <c r="L483" i="1"/>
  <c r="L461" i="1"/>
  <c r="L462" i="1"/>
  <c r="L473" i="1"/>
  <c r="L485" i="1"/>
  <c r="K491" i="1"/>
  <c r="L463" i="1"/>
  <c r="L467" i="1"/>
  <c r="L479" i="1"/>
  <c r="F491" i="1"/>
  <c r="X371" i="1"/>
  <c r="S371" i="1"/>
  <c r="S390" i="1"/>
  <c r="X390" i="1"/>
  <c r="S391" i="1"/>
  <c r="X391" i="1"/>
  <c r="X370" i="1"/>
  <c r="S370" i="1"/>
  <c r="X369" i="1"/>
  <c r="S369" i="1"/>
  <c r="Y370" i="1" l="1"/>
  <c r="L491" i="1"/>
  <c r="Y391" i="1"/>
  <c r="Y371" i="1"/>
  <c r="Y390" i="1"/>
  <c r="Y369" i="1"/>
  <c r="X376" i="1" l="1"/>
  <c r="S376" i="1"/>
  <c r="X375" i="1"/>
  <c r="S375" i="1"/>
  <c r="K385" i="1" l="1"/>
  <c r="F385" i="1"/>
  <c r="J391" i="1"/>
  <c r="D391" i="1"/>
  <c r="L385" i="1" l="1"/>
  <c r="S274" i="1"/>
  <c r="X274" i="1"/>
  <c r="Y274" i="1" l="1"/>
  <c r="J453" i="1"/>
  <c r="I453" i="1"/>
  <c r="H453" i="1"/>
  <c r="G453" i="1"/>
  <c r="E453" i="1"/>
  <c r="D453" i="1"/>
  <c r="C453" i="1"/>
  <c r="B453" i="1"/>
  <c r="K452" i="1"/>
  <c r="F452" i="1"/>
  <c r="K451" i="1"/>
  <c r="F451" i="1"/>
  <c r="K450" i="1"/>
  <c r="F450" i="1"/>
  <c r="K449" i="1"/>
  <c r="F449" i="1"/>
  <c r="K448" i="1"/>
  <c r="F448" i="1"/>
  <c r="K447" i="1"/>
  <c r="F447" i="1"/>
  <c r="K446" i="1"/>
  <c r="F446" i="1"/>
  <c r="K445" i="1"/>
  <c r="F445" i="1"/>
  <c r="K444" i="1"/>
  <c r="F444" i="1"/>
  <c r="K443" i="1"/>
  <c r="F443" i="1"/>
  <c r="K442" i="1"/>
  <c r="F442" i="1"/>
  <c r="K441" i="1"/>
  <c r="F441" i="1"/>
  <c r="K440" i="1"/>
  <c r="F440" i="1"/>
  <c r="K439" i="1"/>
  <c r="F439" i="1"/>
  <c r="K438" i="1"/>
  <c r="F438" i="1"/>
  <c r="K437" i="1"/>
  <c r="F437" i="1"/>
  <c r="K436" i="1"/>
  <c r="F436" i="1"/>
  <c r="K435" i="1"/>
  <c r="F435" i="1"/>
  <c r="K434" i="1"/>
  <c r="F434" i="1"/>
  <c r="K433" i="1"/>
  <c r="F433" i="1"/>
  <c r="K432" i="1"/>
  <c r="F432" i="1"/>
  <c r="K431" i="1"/>
  <c r="F431" i="1"/>
  <c r="K430" i="1"/>
  <c r="F430" i="1"/>
  <c r="K429" i="1"/>
  <c r="F429" i="1"/>
  <c r="K428" i="1"/>
  <c r="F428" i="1"/>
  <c r="K426" i="1"/>
  <c r="F426" i="1"/>
  <c r="K425" i="1"/>
  <c r="F425" i="1"/>
  <c r="K424" i="1"/>
  <c r="F424" i="1"/>
  <c r="K423" i="1"/>
  <c r="F423" i="1"/>
  <c r="W453" i="1"/>
  <c r="V453" i="1"/>
  <c r="U453" i="1"/>
  <c r="T453" i="1"/>
  <c r="R453" i="1"/>
  <c r="Q453" i="1"/>
  <c r="P453" i="1"/>
  <c r="O453" i="1"/>
  <c r="X451" i="1"/>
  <c r="S451" i="1"/>
  <c r="X450" i="1"/>
  <c r="S450" i="1"/>
  <c r="X449" i="1"/>
  <c r="S449" i="1"/>
  <c r="X448" i="1"/>
  <c r="S448" i="1"/>
  <c r="X447" i="1"/>
  <c r="S447" i="1"/>
  <c r="X446" i="1"/>
  <c r="S446" i="1"/>
  <c r="X445" i="1"/>
  <c r="S445" i="1"/>
  <c r="X444" i="1"/>
  <c r="S444" i="1"/>
  <c r="X443" i="1"/>
  <c r="S443" i="1"/>
  <c r="X442" i="1"/>
  <c r="S442" i="1"/>
  <c r="X441" i="1"/>
  <c r="S441" i="1"/>
  <c r="X440" i="1"/>
  <c r="S440" i="1"/>
  <c r="X439" i="1"/>
  <c r="S439" i="1"/>
  <c r="X438" i="1"/>
  <c r="S438" i="1"/>
  <c r="X437" i="1"/>
  <c r="S437" i="1"/>
  <c r="X436" i="1"/>
  <c r="S436" i="1"/>
  <c r="X435" i="1"/>
  <c r="S435" i="1"/>
  <c r="X434" i="1"/>
  <c r="S434" i="1"/>
  <c r="X433" i="1"/>
  <c r="S433" i="1"/>
  <c r="X431" i="1"/>
  <c r="S431" i="1"/>
  <c r="X429" i="1"/>
  <c r="S429" i="1"/>
  <c r="X428" i="1"/>
  <c r="S428" i="1"/>
  <c r="X426" i="1"/>
  <c r="S426" i="1"/>
  <c r="X425" i="1"/>
  <c r="S425" i="1"/>
  <c r="X423" i="1"/>
  <c r="S423" i="1"/>
  <c r="L436" i="1" l="1"/>
  <c r="L448" i="1"/>
  <c r="L430" i="1"/>
  <c r="L442" i="1"/>
  <c r="L433" i="1"/>
  <c r="L445" i="1"/>
  <c r="Y426" i="1"/>
  <c r="Y436" i="1"/>
  <c r="Y439" i="1"/>
  <c r="L428" i="1"/>
  <c r="L434" i="1"/>
  <c r="L437" i="1"/>
  <c r="L440" i="1"/>
  <c r="L446" i="1"/>
  <c r="L449" i="1"/>
  <c r="Y431" i="1"/>
  <c r="Y434" i="1"/>
  <c r="Y440" i="1"/>
  <c r="Y443" i="1"/>
  <c r="Y446" i="1"/>
  <c r="L452" i="1"/>
  <c r="Y442" i="1"/>
  <c r="Y428" i="1"/>
  <c r="Y435" i="1"/>
  <c r="Y438" i="1"/>
  <c r="Y444" i="1"/>
  <c r="Y447" i="1"/>
  <c r="L429" i="1"/>
  <c r="L432" i="1"/>
  <c r="L450" i="1"/>
  <c r="Y450" i="1"/>
  <c r="K453" i="1"/>
  <c r="Y448" i="1"/>
  <c r="Y451" i="1"/>
  <c r="L425" i="1"/>
  <c r="L438" i="1"/>
  <c r="L441" i="1"/>
  <c r="L444" i="1"/>
  <c r="L423" i="1"/>
  <c r="Y425" i="1"/>
  <c r="Y429" i="1"/>
  <c r="Y441" i="1"/>
  <c r="S453" i="1"/>
  <c r="L424" i="1"/>
  <c r="L435" i="1"/>
  <c r="L447" i="1"/>
  <c r="Y423" i="1"/>
  <c r="Y437" i="1"/>
  <c r="Y449" i="1"/>
  <c r="L431" i="1"/>
  <c r="L443" i="1"/>
  <c r="F453" i="1"/>
  <c r="Y433" i="1"/>
  <c r="Y445" i="1"/>
  <c r="X453" i="1"/>
  <c r="L426" i="1"/>
  <c r="L439" i="1"/>
  <c r="L451" i="1"/>
  <c r="L453" i="1" l="1"/>
  <c r="Y453" i="1"/>
  <c r="X360" i="1"/>
  <c r="S360" i="1"/>
  <c r="X359" i="1"/>
  <c r="S359" i="1"/>
  <c r="F376" i="1"/>
  <c r="K376" i="1"/>
  <c r="L376" i="1" l="1"/>
  <c r="Y359" i="1"/>
  <c r="Y360" i="1"/>
  <c r="S386" i="1"/>
  <c r="X386" i="1"/>
  <c r="Y386" i="1" l="1"/>
  <c r="X317" i="1"/>
  <c r="S317" i="1"/>
  <c r="S413" i="1"/>
  <c r="X413" i="1"/>
  <c r="S348" i="1"/>
  <c r="X348" i="1"/>
  <c r="S385" i="1"/>
  <c r="X385" i="1"/>
  <c r="F386" i="1"/>
  <c r="K386" i="1"/>
  <c r="F387" i="1"/>
  <c r="K387" i="1"/>
  <c r="S387" i="1"/>
  <c r="X387" i="1"/>
  <c r="F388" i="1"/>
  <c r="K388" i="1"/>
  <c r="S388" i="1"/>
  <c r="X388" i="1"/>
  <c r="F390" i="1"/>
  <c r="K390" i="1"/>
  <c r="F391" i="1"/>
  <c r="K391" i="1"/>
  <c r="F392" i="1"/>
  <c r="K392" i="1"/>
  <c r="S392" i="1"/>
  <c r="X392" i="1"/>
  <c r="F393" i="1"/>
  <c r="K393" i="1"/>
  <c r="S393" i="1"/>
  <c r="X393" i="1"/>
  <c r="F394" i="1"/>
  <c r="K394" i="1"/>
  <c r="S394" i="1"/>
  <c r="X394" i="1"/>
  <c r="F395" i="1"/>
  <c r="K395" i="1"/>
  <c r="S395" i="1"/>
  <c r="X395" i="1"/>
  <c r="F396" i="1"/>
  <c r="K396" i="1"/>
  <c r="S396" i="1"/>
  <c r="X396" i="1"/>
  <c r="F397" i="1"/>
  <c r="K397" i="1"/>
  <c r="F398" i="1"/>
  <c r="K398" i="1"/>
  <c r="S398" i="1"/>
  <c r="X398" i="1"/>
  <c r="F399" i="1"/>
  <c r="K399" i="1"/>
  <c r="S399" i="1"/>
  <c r="X399" i="1"/>
  <c r="F400" i="1"/>
  <c r="K400" i="1"/>
  <c r="F401" i="1"/>
  <c r="K401" i="1"/>
  <c r="S401" i="1"/>
  <c r="X401" i="1"/>
  <c r="F402" i="1"/>
  <c r="K402" i="1"/>
  <c r="S402" i="1"/>
  <c r="X402" i="1"/>
  <c r="F403" i="1"/>
  <c r="K403" i="1"/>
  <c r="S403" i="1"/>
  <c r="X403" i="1"/>
  <c r="F404" i="1"/>
  <c r="K404" i="1"/>
  <c r="S404" i="1"/>
  <c r="X404" i="1"/>
  <c r="F405" i="1"/>
  <c r="K405" i="1"/>
  <c r="F406" i="1"/>
  <c r="K406" i="1"/>
  <c r="S406" i="1"/>
  <c r="X406" i="1"/>
  <c r="F407" i="1"/>
  <c r="K407" i="1"/>
  <c r="S407" i="1"/>
  <c r="X407" i="1"/>
  <c r="F408" i="1"/>
  <c r="K408" i="1"/>
  <c r="S408" i="1"/>
  <c r="X408" i="1"/>
  <c r="F409" i="1"/>
  <c r="K409" i="1"/>
  <c r="S409" i="1"/>
  <c r="X409" i="1"/>
  <c r="F410" i="1"/>
  <c r="K410" i="1"/>
  <c r="S410" i="1"/>
  <c r="X410" i="1"/>
  <c r="F411" i="1"/>
  <c r="K411" i="1"/>
  <c r="S411" i="1"/>
  <c r="X411" i="1"/>
  <c r="F412" i="1"/>
  <c r="K412" i="1"/>
  <c r="S412" i="1"/>
  <c r="X412" i="1"/>
  <c r="F413" i="1"/>
  <c r="K413" i="1"/>
  <c r="F414" i="1"/>
  <c r="K414" i="1"/>
  <c r="B415" i="1"/>
  <c r="C415" i="1"/>
  <c r="D415" i="1"/>
  <c r="E415" i="1"/>
  <c r="G415" i="1"/>
  <c r="H415" i="1"/>
  <c r="I415" i="1"/>
  <c r="J415" i="1"/>
  <c r="O415" i="1"/>
  <c r="P415" i="1"/>
  <c r="Q415" i="1"/>
  <c r="R415" i="1"/>
  <c r="T415" i="1"/>
  <c r="U415" i="1"/>
  <c r="V415" i="1"/>
  <c r="W415" i="1"/>
  <c r="L404" i="1" l="1"/>
  <c r="Y399" i="1"/>
  <c r="Y393" i="1"/>
  <c r="Y392" i="1"/>
  <c r="Y407" i="1"/>
  <c r="Y317" i="1"/>
  <c r="Y410" i="1"/>
  <c r="L394" i="1"/>
  <c r="Y411" i="1"/>
  <c r="Y406" i="1"/>
  <c r="Y409" i="1"/>
  <c r="L386" i="1"/>
  <c r="L388" i="1"/>
  <c r="L412" i="1"/>
  <c r="Y402" i="1"/>
  <c r="Y398" i="1"/>
  <c r="Y387" i="1"/>
  <c r="Y385" i="1"/>
  <c r="Y404" i="1"/>
  <c r="Y401" i="1"/>
  <c r="Y413" i="1"/>
  <c r="Y388" i="1"/>
  <c r="F415" i="1"/>
  <c r="L406" i="1"/>
  <c r="Y403" i="1"/>
  <c r="L398" i="1"/>
  <c r="Y396" i="1"/>
  <c r="Y348" i="1"/>
  <c r="Y412" i="1"/>
  <c r="L410" i="1"/>
  <c r="Y408" i="1"/>
  <c r="L400" i="1"/>
  <c r="Y394" i="1"/>
  <c r="L392" i="1"/>
  <c r="L414" i="1"/>
  <c r="Y395" i="1"/>
  <c r="L390" i="1"/>
  <c r="S415" i="1"/>
  <c r="L411" i="1"/>
  <c r="L405" i="1"/>
  <c r="L399" i="1"/>
  <c r="L393" i="1"/>
  <c r="L387" i="1"/>
  <c r="L407" i="1"/>
  <c r="L408" i="1"/>
  <c r="L402" i="1"/>
  <c r="L396" i="1"/>
  <c r="L413" i="1"/>
  <c r="L401" i="1"/>
  <c r="L395" i="1"/>
  <c r="K415" i="1"/>
  <c r="L409" i="1"/>
  <c r="L403" i="1"/>
  <c r="L397" i="1"/>
  <c r="L391" i="1"/>
  <c r="X415" i="1"/>
  <c r="K310" i="1"/>
  <c r="F310" i="1"/>
  <c r="K338" i="1"/>
  <c r="F300" i="1"/>
  <c r="K300" i="1"/>
  <c r="F338" i="1"/>
  <c r="Y415" i="1" l="1"/>
  <c r="L310" i="1"/>
  <c r="L415" i="1"/>
  <c r="L300" i="1"/>
  <c r="L338" i="1"/>
  <c r="P286" i="1"/>
  <c r="S286" i="1" s="1"/>
  <c r="C309" i="1"/>
  <c r="X286" i="1"/>
  <c r="S300" i="1"/>
  <c r="X300" i="1"/>
  <c r="X338" i="1"/>
  <c r="S338" i="1"/>
  <c r="S309" i="1"/>
  <c r="X309" i="1"/>
  <c r="Y300" i="1" l="1"/>
  <c r="Y309" i="1"/>
  <c r="Y338" i="1"/>
  <c r="Y286" i="1"/>
  <c r="S347" i="1"/>
  <c r="X347" i="1"/>
  <c r="S337" i="1"/>
  <c r="X337" i="1"/>
  <c r="W377" i="1"/>
  <c r="V377" i="1"/>
  <c r="U377" i="1"/>
  <c r="T377" i="1"/>
  <c r="R377" i="1"/>
  <c r="Q377" i="1"/>
  <c r="P377" i="1"/>
  <c r="O377" i="1"/>
  <c r="J377" i="1"/>
  <c r="I377" i="1"/>
  <c r="H377" i="1"/>
  <c r="G377" i="1"/>
  <c r="E377" i="1"/>
  <c r="D377" i="1"/>
  <c r="C377" i="1"/>
  <c r="B377" i="1"/>
  <c r="K375" i="1"/>
  <c r="F375" i="1"/>
  <c r="X374" i="1"/>
  <c r="S374" i="1"/>
  <c r="K374" i="1"/>
  <c r="F374" i="1"/>
  <c r="X373" i="1"/>
  <c r="S373" i="1"/>
  <c r="K373" i="1"/>
  <c r="F373" i="1"/>
  <c r="X372" i="1"/>
  <c r="S372" i="1"/>
  <c r="K372" i="1"/>
  <c r="F372" i="1"/>
  <c r="K371" i="1"/>
  <c r="F371" i="1"/>
  <c r="K370" i="1"/>
  <c r="F370" i="1"/>
  <c r="K369" i="1"/>
  <c r="F369" i="1"/>
  <c r="X368" i="1"/>
  <c r="S368" i="1"/>
  <c r="K368" i="1"/>
  <c r="F368" i="1"/>
  <c r="X367" i="1"/>
  <c r="S367" i="1"/>
  <c r="K367" i="1"/>
  <c r="F367" i="1"/>
  <c r="X366" i="1"/>
  <c r="S366" i="1"/>
  <c r="K366" i="1"/>
  <c r="F366" i="1"/>
  <c r="X365" i="1"/>
  <c r="S365" i="1"/>
  <c r="K365" i="1"/>
  <c r="F365" i="1"/>
  <c r="X364" i="1"/>
  <c r="S364" i="1"/>
  <c r="K364" i="1"/>
  <c r="F364" i="1"/>
  <c r="X363" i="1"/>
  <c r="S363" i="1"/>
  <c r="K363" i="1"/>
  <c r="F363" i="1"/>
  <c r="X362" i="1"/>
  <c r="S362" i="1"/>
  <c r="K362" i="1"/>
  <c r="F362" i="1"/>
  <c r="X361" i="1"/>
  <c r="S361" i="1"/>
  <c r="K361" i="1"/>
  <c r="F361" i="1"/>
  <c r="K360" i="1"/>
  <c r="F360" i="1"/>
  <c r="K359" i="1"/>
  <c r="F359" i="1"/>
  <c r="X358" i="1"/>
  <c r="S358" i="1"/>
  <c r="K358" i="1"/>
  <c r="F358" i="1"/>
  <c r="X357" i="1"/>
  <c r="S357" i="1"/>
  <c r="K357" i="1"/>
  <c r="F357" i="1"/>
  <c r="X356" i="1"/>
  <c r="S356" i="1"/>
  <c r="K356" i="1"/>
  <c r="F356" i="1"/>
  <c r="X355" i="1"/>
  <c r="S355" i="1"/>
  <c r="K355" i="1"/>
  <c r="F355" i="1"/>
  <c r="X354" i="1"/>
  <c r="S354" i="1"/>
  <c r="K354" i="1"/>
  <c r="F354" i="1"/>
  <c r="X353" i="1"/>
  <c r="S353" i="1"/>
  <c r="K353" i="1"/>
  <c r="F353" i="1"/>
  <c r="X352" i="1"/>
  <c r="S352" i="1"/>
  <c r="K352" i="1"/>
  <c r="F352" i="1"/>
  <c r="X350" i="1"/>
  <c r="S350" i="1"/>
  <c r="K350" i="1"/>
  <c r="F350" i="1"/>
  <c r="X349" i="1"/>
  <c r="S349" i="1"/>
  <c r="K349" i="1"/>
  <c r="F349" i="1"/>
  <c r="K348" i="1"/>
  <c r="F348" i="1"/>
  <c r="K347" i="1"/>
  <c r="F347" i="1"/>
  <c r="K377" i="1" l="1"/>
  <c r="L348" i="1"/>
  <c r="L350" i="1"/>
  <c r="Y352" i="1"/>
  <c r="L354" i="1"/>
  <c r="Y355" i="1"/>
  <c r="L357" i="1"/>
  <c r="Y358" i="1"/>
  <c r="L360" i="1"/>
  <c r="Y361" i="1"/>
  <c r="L363" i="1"/>
  <c r="Y364" i="1"/>
  <c r="L353" i="1"/>
  <c r="Y354" i="1"/>
  <c r="L356" i="1"/>
  <c r="Y357" i="1"/>
  <c r="L359" i="1"/>
  <c r="L362" i="1"/>
  <c r="Y363" i="1"/>
  <c r="L365" i="1"/>
  <c r="Y366" i="1"/>
  <c r="L368" i="1"/>
  <c r="L371" i="1"/>
  <c r="Y372" i="1"/>
  <c r="L374" i="1"/>
  <c r="Y375" i="1"/>
  <c r="Y347" i="1"/>
  <c r="F377" i="1"/>
  <c r="L366" i="1"/>
  <c r="Y367" i="1"/>
  <c r="L369" i="1"/>
  <c r="L372" i="1"/>
  <c r="Y373" i="1"/>
  <c r="L375" i="1"/>
  <c r="Y376" i="1"/>
  <c r="L347" i="1"/>
  <c r="L349" i="1"/>
  <c r="Y350" i="1"/>
  <c r="Y349" i="1"/>
  <c r="L352" i="1"/>
  <c r="Y353" i="1"/>
  <c r="L355" i="1"/>
  <c r="Y356" i="1"/>
  <c r="L358" i="1"/>
  <c r="L361" i="1"/>
  <c r="Y362" i="1"/>
  <c r="L364" i="1"/>
  <c r="Y365" i="1"/>
  <c r="L367" i="1"/>
  <c r="Y368" i="1"/>
  <c r="L370" i="1"/>
  <c r="L373" i="1"/>
  <c r="S377" i="1"/>
  <c r="Y374" i="1"/>
  <c r="X377" i="1"/>
  <c r="Y337" i="1"/>
  <c r="F311" i="1"/>
  <c r="K311" i="1"/>
  <c r="F312" i="1"/>
  <c r="K312" i="1"/>
  <c r="F314" i="1"/>
  <c r="K314" i="1"/>
  <c r="F315" i="1"/>
  <c r="K315" i="1"/>
  <c r="F316" i="1"/>
  <c r="K316" i="1"/>
  <c r="F317" i="1"/>
  <c r="K317" i="1"/>
  <c r="F318" i="1"/>
  <c r="K318" i="1"/>
  <c r="F319" i="1"/>
  <c r="K319" i="1"/>
  <c r="F320" i="1"/>
  <c r="K320" i="1"/>
  <c r="F321" i="1"/>
  <c r="K321" i="1"/>
  <c r="F322" i="1"/>
  <c r="K322" i="1"/>
  <c r="F323" i="1"/>
  <c r="K323" i="1"/>
  <c r="F324" i="1"/>
  <c r="K324" i="1"/>
  <c r="F325" i="1"/>
  <c r="K325" i="1"/>
  <c r="J339" i="1"/>
  <c r="I339" i="1"/>
  <c r="H339" i="1"/>
  <c r="G339" i="1"/>
  <c r="E339" i="1"/>
  <c r="D339" i="1"/>
  <c r="C339" i="1"/>
  <c r="B339" i="1"/>
  <c r="K337" i="1"/>
  <c r="F337" i="1"/>
  <c r="K336" i="1"/>
  <c r="F336" i="1"/>
  <c r="K335" i="1"/>
  <c r="F335" i="1"/>
  <c r="K334" i="1"/>
  <c r="F334" i="1"/>
  <c r="K333" i="1"/>
  <c r="F333" i="1"/>
  <c r="K332" i="1"/>
  <c r="F332" i="1"/>
  <c r="K331" i="1"/>
  <c r="F331" i="1"/>
  <c r="K330" i="1"/>
  <c r="F330" i="1"/>
  <c r="K329" i="1"/>
  <c r="F329" i="1"/>
  <c r="K328" i="1"/>
  <c r="F328" i="1"/>
  <c r="K327" i="1"/>
  <c r="F327" i="1"/>
  <c r="K326" i="1"/>
  <c r="F326" i="1"/>
  <c r="K309" i="1"/>
  <c r="F309" i="1"/>
  <c r="L377" i="1" l="1"/>
  <c r="L324" i="1"/>
  <c r="L312" i="1"/>
  <c r="L322" i="1"/>
  <c r="L318" i="1"/>
  <c r="L329" i="1"/>
  <c r="L332" i="1"/>
  <c r="L335" i="1"/>
  <c r="L320" i="1"/>
  <c r="Y377" i="1"/>
  <c r="L328" i="1"/>
  <c r="L331" i="1"/>
  <c r="L334" i="1"/>
  <c r="L337" i="1"/>
  <c r="L326" i="1"/>
  <c r="L327" i="1"/>
  <c r="L321" i="1"/>
  <c r="L316" i="1"/>
  <c r="L314" i="1"/>
  <c r="L330" i="1"/>
  <c r="L336" i="1"/>
  <c r="L323" i="1"/>
  <c r="L325" i="1"/>
  <c r="K339" i="1"/>
  <c r="L315" i="1"/>
  <c r="L309" i="1"/>
  <c r="L317" i="1"/>
  <c r="L333" i="1"/>
  <c r="L319" i="1"/>
  <c r="L311" i="1"/>
  <c r="F339" i="1"/>
  <c r="S298" i="1"/>
  <c r="X298" i="1"/>
  <c r="S299" i="1"/>
  <c r="X299" i="1"/>
  <c r="S336" i="1"/>
  <c r="X336" i="1"/>
  <c r="S314" i="1"/>
  <c r="X314" i="1"/>
  <c r="S315" i="1"/>
  <c r="X315" i="1"/>
  <c r="S316" i="1"/>
  <c r="X316" i="1"/>
  <c r="S318" i="1"/>
  <c r="X318" i="1"/>
  <c r="S319" i="1"/>
  <c r="X319" i="1"/>
  <c r="W339" i="1"/>
  <c r="V339" i="1"/>
  <c r="U339" i="1"/>
  <c r="T339" i="1"/>
  <c r="R339" i="1"/>
  <c r="Q339" i="1"/>
  <c r="P339" i="1"/>
  <c r="O339" i="1"/>
  <c r="X335" i="1"/>
  <c r="S335" i="1"/>
  <c r="X334" i="1"/>
  <c r="S334" i="1"/>
  <c r="X333" i="1"/>
  <c r="S333" i="1"/>
  <c r="X332" i="1"/>
  <c r="S332" i="1"/>
  <c r="X331" i="1"/>
  <c r="S331" i="1"/>
  <c r="X330" i="1"/>
  <c r="S330" i="1"/>
  <c r="X329" i="1"/>
  <c r="S329" i="1"/>
  <c r="X328" i="1"/>
  <c r="S328" i="1"/>
  <c r="X327" i="1"/>
  <c r="S327" i="1"/>
  <c r="X326" i="1"/>
  <c r="S326" i="1"/>
  <c r="X325" i="1"/>
  <c r="S325" i="1"/>
  <c r="X324" i="1"/>
  <c r="S324" i="1"/>
  <c r="X323" i="1"/>
  <c r="S323" i="1"/>
  <c r="X322" i="1"/>
  <c r="S322" i="1"/>
  <c r="X321" i="1"/>
  <c r="S321" i="1"/>
  <c r="X320" i="1"/>
  <c r="S320" i="1"/>
  <c r="X312" i="1"/>
  <c r="S312" i="1"/>
  <c r="X311" i="1"/>
  <c r="S311" i="1"/>
  <c r="X310" i="1"/>
  <c r="S310" i="1"/>
  <c r="Y324" i="1" l="1"/>
  <c r="Y330" i="1"/>
  <c r="Y322" i="1"/>
  <c r="Y328" i="1"/>
  <c r="Y312" i="1"/>
  <c r="Y321" i="1"/>
  <c r="Y325" i="1"/>
  <c r="Y331" i="1"/>
  <c r="Y333" i="1"/>
  <c r="L339" i="1"/>
  <c r="Y334" i="1"/>
  <c r="Y336" i="1"/>
  <c r="Y335" i="1"/>
  <c r="Y299" i="1"/>
  <c r="Y298" i="1"/>
  <c r="Y332" i="1"/>
  <c r="Y318" i="1"/>
  <c r="Y314" i="1"/>
  <c r="X339" i="1"/>
  <c r="Y316" i="1"/>
  <c r="Y320" i="1"/>
  <c r="Y323" i="1"/>
  <c r="Y326" i="1"/>
  <c r="Y329" i="1"/>
  <c r="Y311" i="1"/>
  <c r="Y315" i="1"/>
  <c r="Y310" i="1"/>
  <c r="Y327" i="1"/>
  <c r="Y319" i="1"/>
  <c r="S339" i="1"/>
  <c r="Y339" i="1" l="1"/>
  <c r="X278" i="1"/>
  <c r="S278" i="1"/>
  <c r="Y278" i="1" l="1"/>
  <c r="X247" i="1"/>
  <c r="S247" i="1"/>
  <c r="Y247" i="1" l="1"/>
  <c r="F271" i="1"/>
  <c r="K271" i="1"/>
  <c r="F257" i="1"/>
  <c r="K257" i="1"/>
  <c r="F258" i="1"/>
  <c r="K258" i="1"/>
  <c r="F259" i="1"/>
  <c r="K259" i="1"/>
  <c r="F260" i="1"/>
  <c r="K260" i="1"/>
  <c r="L257" i="1" l="1"/>
  <c r="L260" i="1"/>
  <c r="L271" i="1"/>
  <c r="L259" i="1"/>
  <c r="L258" i="1"/>
  <c r="S224" i="1"/>
  <c r="X224" i="1"/>
  <c r="Y224" i="1" l="1"/>
  <c r="S259" i="1"/>
  <c r="X259" i="1"/>
  <c r="K247" i="1"/>
  <c r="F247" i="1"/>
  <c r="X241" i="1"/>
  <c r="S241" i="1"/>
  <c r="Y259" i="1" l="1"/>
  <c r="Y241" i="1"/>
  <c r="L247" i="1"/>
  <c r="X239" i="1"/>
  <c r="S239" i="1"/>
  <c r="X210" i="1"/>
  <c r="S210" i="1"/>
  <c r="S206" i="1"/>
  <c r="X206" i="1"/>
  <c r="S207" i="1"/>
  <c r="X207" i="1"/>
  <c r="Y239" i="1" l="1"/>
  <c r="Y206" i="1"/>
  <c r="Y210" i="1"/>
  <c r="Y207" i="1"/>
  <c r="F202" i="1" l="1"/>
  <c r="K202" i="1"/>
  <c r="L202" i="1" l="1"/>
  <c r="W301" i="1"/>
  <c r="V301" i="1"/>
  <c r="U301" i="1"/>
  <c r="T301" i="1"/>
  <c r="R301" i="1"/>
  <c r="Q301" i="1"/>
  <c r="P301" i="1"/>
  <c r="O301" i="1"/>
  <c r="J301" i="1"/>
  <c r="I301" i="1"/>
  <c r="H301" i="1"/>
  <c r="G301" i="1"/>
  <c r="E301" i="1"/>
  <c r="D301" i="1"/>
  <c r="C301" i="1"/>
  <c r="B301" i="1"/>
  <c r="K299" i="1"/>
  <c r="F299" i="1"/>
  <c r="K298" i="1"/>
  <c r="F298" i="1"/>
  <c r="X297" i="1"/>
  <c r="S297" i="1"/>
  <c r="K297" i="1"/>
  <c r="F297" i="1"/>
  <c r="X296" i="1"/>
  <c r="S296" i="1"/>
  <c r="K296" i="1"/>
  <c r="F296" i="1"/>
  <c r="X295" i="1"/>
  <c r="S295" i="1"/>
  <c r="K295" i="1"/>
  <c r="F295" i="1"/>
  <c r="X294" i="1"/>
  <c r="S294" i="1"/>
  <c r="K294" i="1"/>
  <c r="F294" i="1"/>
  <c r="X293" i="1"/>
  <c r="S293" i="1"/>
  <c r="K293" i="1"/>
  <c r="F293" i="1"/>
  <c r="X292" i="1"/>
  <c r="S292" i="1"/>
  <c r="K292" i="1"/>
  <c r="F292" i="1"/>
  <c r="X291" i="1"/>
  <c r="S291" i="1"/>
  <c r="K291" i="1"/>
  <c r="F291" i="1"/>
  <c r="X290" i="1"/>
  <c r="S290" i="1"/>
  <c r="K290" i="1"/>
  <c r="F290" i="1"/>
  <c r="X289" i="1"/>
  <c r="S289" i="1"/>
  <c r="K289" i="1"/>
  <c r="F289" i="1"/>
  <c r="X288" i="1"/>
  <c r="S288" i="1"/>
  <c r="K288" i="1"/>
  <c r="F288" i="1"/>
  <c r="X287" i="1"/>
  <c r="S287" i="1"/>
  <c r="K287" i="1"/>
  <c r="F287" i="1"/>
  <c r="K286" i="1"/>
  <c r="F286" i="1"/>
  <c r="X285" i="1"/>
  <c r="S285" i="1"/>
  <c r="K285" i="1"/>
  <c r="F285" i="1"/>
  <c r="X284" i="1"/>
  <c r="S284" i="1"/>
  <c r="K284" i="1"/>
  <c r="F284" i="1"/>
  <c r="X283" i="1"/>
  <c r="S283" i="1"/>
  <c r="K283" i="1"/>
  <c r="F283" i="1"/>
  <c r="X282" i="1"/>
  <c r="S282" i="1"/>
  <c r="K282" i="1"/>
  <c r="F282" i="1"/>
  <c r="X281" i="1"/>
  <c r="S281" i="1"/>
  <c r="K281" i="1"/>
  <c r="F281" i="1"/>
  <c r="X280" i="1"/>
  <c r="S280" i="1"/>
  <c r="K280" i="1"/>
  <c r="F280" i="1"/>
  <c r="X279" i="1"/>
  <c r="S279" i="1"/>
  <c r="K279" i="1"/>
  <c r="F279" i="1"/>
  <c r="K278" i="1"/>
  <c r="F278" i="1"/>
  <c r="X277" i="1"/>
  <c r="S277" i="1"/>
  <c r="K277" i="1"/>
  <c r="F277" i="1"/>
  <c r="X276" i="1"/>
  <c r="S276" i="1"/>
  <c r="K276" i="1"/>
  <c r="F276" i="1"/>
  <c r="K274" i="1"/>
  <c r="F274" i="1"/>
  <c r="X273" i="1"/>
  <c r="S273" i="1"/>
  <c r="K273" i="1"/>
  <c r="F273" i="1"/>
  <c r="X272" i="1"/>
  <c r="S272" i="1"/>
  <c r="K272" i="1"/>
  <c r="F272" i="1"/>
  <c r="X271" i="1"/>
  <c r="S271" i="1"/>
  <c r="S260" i="1"/>
  <c r="X260" i="1"/>
  <c r="X265" i="1"/>
  <c r="S265" i="1"/>
  <c r="S222" i="1"/>
  <c r="X222" i="1"/>
  <c r="S223" i="1"/>
  <c r="X223" i="1"/>
  <c r="L280" i="1" l="1"/>
  <c r="Y272" i="1"/>
  <c r="L276" i="1"/>
  <c r="L277" i="1"/>
  <c r="L283" i="1"/>
  <c r="L284" i="1"/>
  <c r="Y280" i="1"/>
  <c r="L282" i="1"/>
  <c r="Y283" i="1"/>
  <c r="L285" i="1"/>
  <c r="L288" i="1"/>
  <c r="Y292" i="1"/>
  <c r="L294" i="1"/>
  <c r="Y295" i="1"/>
  <c r="L297" i="1"/>
  <c r="L274" i="1"/>
  <c r="F301" i="1"/>
  <c r="Y271" i="1"/>
  <c r="Y288" i="1"/>
  <c r="L290" i="1"/>
  <c r="Y291" i="1"/>
  <c r="L272" i="1"/>
  <c r="L289" i="1"/>
  <c r="Y290" i="1"/>
  <c r="L292" i="1"/>
  <c r="Y296" i="1"/>
  <c r="L298" i="1"/>
  <c r="Y277" i="1"/>
  <c r="Y276" i="1"/>
  <c r="L278" i="1"/>
  <c r="Y279" i="1"/>
  <c r="L287" i="1"/>
  <c r="Y289" i="1"/>
  <c r="Y285" i="1"/>
  <c r="Y265" i="1"/>
  <c r="Y273" i="1"/>
  <c r="L279" i="1"/>
  <c r="Y281" i="1"/>
  <c r="Y284" i="1"/>
  <c r="L286" i="1"/>
  <c r="Y287" i="1"/>
  <c r="L293" i="1"/>
  <c r="Y294" i="1"/>
  <c r="L296" i="1"/>
  <c r="L299" i="1"/>
  <c r="L273" i="1"/>
  <c r="L281" i="1"/>
  <c r="Y282" i="1"/>
  <c r="L291" i="1"/>
  <c r="Y293" i="1"/>
  <c r="K301" i="1"/>
  <c r="Y222" i="1"/>
  <c r="L295" i="1"/>
  <c r="Y297" i="1"/>
  <c r="X301" i="1"/>
  <c r="S301" i="1"/>
  <c r="Y260" i="1"/>
  <c r="Y223" i="1"/>
  <c r="X262" i="1"/>
  <c r="S262" i="1"/>
  <c r="X261" i="1"/>
  <c r="S261" i="1"/>
  <c r="L301" i="1" l="1"/>
  <c r="Y301" i="1"/>
  <c r="Y261" i="1"/>
  <c r="Y262" i="1"/>
  <c r="K180" i="1"/>
  <c r="F180" i="1"/>
  <c r="X177" i="1"/>
  <c r="S177" i="1"/>
  <c r="S234" i="1"/>
  <c r="X234" i="1"/>
  <c r="Y234" i="1" l="1"/>
  <c r="Y177" i="1"/>
  <c r="L180" i="1"/>
  <c r="T120" i="1"/>
  <c r="O120" i="1"/>
  <c r="X170" i="1" l="1"/>
  <c r="S170" i="1"/>
  <c r="F172" i="1"/>
  <c r="K172" i="1"/>
  <c r="S168" i="1"/>
  <c r="X168" i="1"/>
  <c r="X167" i="1"/>
  <c r="S167" i="1"/>
  <c r="Y170" i="1" l="1"/>
  <c r="Y168" i="1"/>
  <c r="Y167" i="1"/>
  <c r="L172" i="1"/>
  <c r="E171" i="1"/>
  <c r="X166" i="1"/>
  <c r="S166" i="1"/>
  <c r="X143" i="1"/>
  <c r="S143" i="1"/>
  <c r="F146" i="1"/>
  <c r="F144" i="1"/>
  <c r="F145" i="1"/>
  <c r="X138" i="1"/>
  <c r="S138" i="1"/>
  <c r="R120" i="1"/>
  <c r="Q120" i="1"/>
  <c r="P120" i="1"/>
  <c r="Y166" i="1" l="1"/>
  <c r="Y143" i="1"/>
  <c r="Y138" i="1"/>
  <c r="X135" i="1" l="1"/>
  <c r="S135" i="1"/>
  <c r="F84" i="1"/>
  <c r="X133" i="1"/>
  <c r="S133" i="1"/>
  <c r="J263" i="1"/>
  <c r="I263" i="1"/>
  <c r="H263" i="1"/>
  <c r="G263" i="1"/>
  <c r="E263" i="1"/>
  <c r="D263" i="1"/>
  <c r="C263" i="1"/>
  <c r="B263" i="1"/>
  <c r="K262" i="1"/>
  <c r="F262" i="1"/>
  <c r="K261" i="1"/>
  <c r="F261" i="1"/>
  <c r="K256" i="1"/>
  <c r="F256" i="1"/>
  <c r="K255" i="1"/>
  <c r="F255" i="1"/>
  <c r="K254" i="1"/>
  <c r="F254" i="1"/>
  <c r="K253" i="1"/>
  <c r="F253" i="1"/>
  <c r="K252" i="1"/>
  <c r="F252" i="1"/>
  <c r="K251" i="1"/>
  <c r="F251" i="1"/>
  <c r="K250" i="1"/>
  <c r="F250" i="1"/>
  <c r="K249" i="1"/>
  <c r="F249" i="1"/>
  <c r="K248" i="1"/>
  <c r="F248" i="1"/>
  <c r="K246" i="1"/>
  <c r="F246" i="1"/>
  <c r="K245" i="1"/>
  <c r="F245" i="1"/>
  <c r="K244" i="1"/>
  <c r="F244" i="1"/>
  <c r="K243" i="1"/>
  <c r="F243" i="1"/>
  <c r="K242" i="1"/>
  <c r="F242" i="1"/>
  <c r="K241" i="1"/>
  <c r="F241" i="1"/>
  <c r="K240" i="1"/>
  <c r="F240" i="1"/>
  <c r="K239" i="1"/>
  <c r="F239" i="1"/>
  <c r="K238" i="1"/>
  <c r="F238" i="1"/>
  <c r="K236" i="1"/>
  <c r="F236" i="1"/>
  <c r="K235" i="1"/>
  <c r="F235" i="1"/>
  <c r="K234" i="1"/>
  <c r="F234" i="1"/>
  <c r="K233" i="1"/>
  <c r="F233" i="1"/>
  <c r="S196" i="1"/>
  <c r="X196" i="1"/>
  <c r="S197" i="1"/>
  <c r="X197" i="1"/>
  <c r="S233" i="1"/>
  <c r="X233" i="1"/>
  <c r="S235" i="1"/>
  <c r="X235" i="1"/>
  <c r="S236" i="1"/>
  <c r="X236" i="1"/>
  <c r="S238" i="1"/>
  <c r="X238" i="1"/>
  <c r="S240" i="1"/>
  <c r="X240" i="1"/>
  <c r="S242" i="1"/>
  <c r="X242" i="1"/>
  <c r="S243" i="1"/>
  <c r="X243" i="1"/>
  <c r="S244" i="1"/>
  <c r="X244" i="1"/>
  <c r="S245" i="1"/>
  <c r="X245" i="1"/>
  <c r="S246" i="1"/>
  <c r="X246" i="1"/>
  <c r="S248" i="1"/>
  <c r="X248" i="1"/>
  <c r="S249" i="1"/>
  <c r="X249" i="1"/>
  <c r="S250" i="1"/>
  <c r="X250" i="1"/>
  <c r="S251" i="1"/>
  <c r="X251" i="1"/>
  <c r="S252" i="1"/>
  <c r="X252" i="1"/>
  <c r="S253" i="1"/>
  <c r="X253" i="1"/>
  <c r="S254" i="1"/>
  <c r="X254" i="1"/>
  <c r="S255" i="1"/>
  <c r="X255" i="1"/>
  <c r="S256" i="1"/>
  <c r="X256" i="1"/>
  <c r="S257" i="1"/>
  <c r="X257" i="1"/>
  <c r="S258" i="1"/>
  <c r="X258" i="1"/>
  <c r="O263" i="1"/>
  <c r="P263" i="1"/>
  <c r="Q263" i="1"/>
  <c r="R263" i="1"/>
  <c r="T263" i="1"/>
  <c r="U263" i="1"/>
  <c r="V263" i="1"/>
  <c r="W263" i="1"/>
  <c r="Y133" i="1" l="1"/>
  <c r="Y243" i="1"/>
  <c r="L244" i="1"/>
  <c r="L256" i="1"/>
  <c r="Y236" i="1"/>
  <c r="Y135" i="1"/>
  <c r="Y245" i="1"/>
  <c r="Y248" i="1"/>
  <c r="Y255" i="1"/>
  <c r="Y249" i="1"/>
  <c r="Y244" i="1"/>
  <c r="Y196" i="1"/>
  <c r="L262" i="1"/>
  <c r="Y257" i="1"/>
  <c r="Y251" i="1"/>
  <c r="L239" i="1"/>
  <c r="L242" i="1"/>
  <c r="L248" i="1"/>
  <c r="L251" i="1"/>
  <c r="L254" i="1"/>
  <c r="L233" i="1"/>
  <c r="L246" i="1"/>
  <c r="Y256" i="1"/>
  <c r="L238" i="1"/>
  <c r="Y233" i="1"/>
  <c r="L250" i="1"/>
  <c r="Y235" i="1"/>
  <c r="L235" i="1"/>
  <c r="Y253" i="1"/>
  <c r="L240" i="1"/>
  <c r="L243" i="1"/>
  <c r="L252" i="1"/>
  <c r="L255" i="1"/>
  <c r="X263" i="1"/>
  <c r="Y254" i="1"/>
  <c r="Y242" i="1"/>
  <c r="Y197" i="1"/>
  <c r="L234" i="1"/>
  <c r="L245" i="1"/>
  <c r="Y252" i="1"/>
  <c r="K263" i="1"/>
  <c r="Y240" i="1"/>
  <c r="Y258" i="1"/>
  <c r="Y246" i="1"/>
  <c r="L241" i="1"/>
  <c r="L253" i="1"/>
  <c r="F263" i="1"/>
  <c r="Y250" i="1"/>
  <c r="Y238" i="1"/>
  <c r="L236" i="1"/>
  <c r="L249" i="1"/>
  <c r="L261" i="1"/>
  <c r="S263" i="1"/>
  <c r="Y263" i="1" l="1"/>
  <c r="L263" i="1"/>
  <c r="H82" i="1"/>
  <c r="X104" i="1" l="1"/>
  <c r="S104" i="1"/>
  <c r="Y104" i="1" l="1"/>
  <c r="J225" i="1"/>
  <c r="I225" i="1"/>
  <c r="H225" i="1"/>
  <c r="G225" i="1"/>
  <c r="E225" i="1"/>
  <c r="D225" i="1"/>
  <c r="C225" i="1"/>
  <c r="B225" i="1"/>
  <c r="K224" i="1"/>
  <c r="F224" i="1"/>
  <c r="K223" i="1"/>
  <c r="F223" i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4" i="1"/>
  <c r="F214" i="1"/>
  <c r="K213" i="1"/>
  <c r="F213" i="1"/>
  <c r="K212" i="1"/>
  <c r="F212" i="1"/>
  <c r="K211" i="1"/>
  <c r="F211" i="1"/>
  <c r="K210" i="1"/>
  <c r="F210" i="1"/>
  <c r="K209" i="1"/>
  <c r="F209" i="1"/>
  <c r="K208" i="1"/>
  <c r="F208" i="1"/>
  <c r="K207" i="1"/>
  <c r="F207" i="1"/>
  <c r="K206" i="1"/>
  <c r="F206" i="1"/>
  <c r="K205" i="1"/>
  <c r="F205" i="1"/>
  <c r="K204" i="1"/>
  <c r="F204" i="1"/>
  <c r="K203" i="1"/>
  <c r="F203" i="1"/>
  <c r="K201" i="1"/>
  <c r="F201" i="1"/>
  <c r="K200" i="1"/>
  <c r="F200" i="1"/>
  <c r="K198" i="1"/>
  <c r="F198" i="1"/>
  <c r="K197" i="1"/>
  <c r="F197" i="1"/>
  <c r="K196" i="1"/>
  <c r="F196" i="1"/>
  <c r="K195" i="1"/>
  <c r="F195" i="1"/>
  <c r="S185" i="1"/>
  <c r="X185" i="1"/>
  <c r="X186" i="1"/>
  <c r="S186" i="1"/>
  <c r="S147" i="1"/>
  <c r="X147" i="1"/>
  <c r="S148" i="1"/>
  <c r="X148" i="1"/>
  <c r="W225" i="1"/>
  <c r="V225" i="1"/>
  <c r="U225" i="1"/>
  <c r="T225" i="1"/>
  <c r="R225" i="1"/>
  <c r="Q225" i="1"/>
  <c r="P225" i="1"/>
  <c r="O225" i="1"/>
  <c r="X221" i="1"/>
  <c r="S221" i="1"/>
  <c r="X220" i="1"/>
  <c r="S220" i="1"/>
  <c r="X219" i="1"/>
  <c r="S219" i="1"/>
  <c r="X218" i="1"/>
  <c r="S218" i="1"/>
  <c r="X217" i="1"/>
  <c r="S217" i="1"/>
  <c r="X216" i="1"/>
  <c r="S216" i="1"/>
  <c r="X215" i="1"/>
  <c r="S215" i="1"/>
  <c r="X214" i="1"/>
  <c r="S214" i="1"/>
  <c r="X213" i="1"/>
  <c r="S213" i="1"/>
  <c r="X212" i="1"/>
  <c r="S212" i="1"/>
  <c r="X211" i="1"/>
  <c r="S211" i="1"/>
  <c r="X209" i="1"/>
  <c r="S209" i="1"/>
  <c r="X208" i="1"/>
  <c r="S208" i="1"/>
  <c r="X205" i="1"/>
  <c r="S205" i="1"/>
  <c r="X204" i="1"/>
  <c r="S204" i="1"/>
  <c r="X203" i="1"/>
  <c r="S203" i="1"/>
  <c r="X202" i="1"/>
  <c r="S202" i="1"/>
  <c r="X201" i="1"/>
  <c r="S201" i="1"/>
  <c r="X200" i="1"/>
  <c r="S200" i="1"/>
  <c r="X198" i="1"/>
  <c r="S198" i="1"/>
  <c r="X195" i="1"/>
  <c r="S195" i="1"/>
  <c r="L198" i="1" l="1"/>
  <c r="L208" i="1"/>
  <c r="L223" i="1"/>
  <c r="L215" i="1"/>
  <c r="Y221" i="1"/>
  <c r="Y205" i="1"/>
  <c r="Y211" i="1"/>
  <c r="L214" i="1"/>
  <c r="Y200" i="1"/>
  <c r="Y203" i="1"/>
  <c r="Y209" i="1"/>
  <c r="Y215" i="1"/>
  <c r="L204" i="1"/>
  <c r="L216" i="1"/>
  <c r="L222" i="1"/>
  <c r="L200" i="1"/>
  <c r="L206" i="1"/>
  <c r="L209" i="1"/>
  <c r="L220" i="1"/>
  <c r="K225" i="1"/>
  <c r="Y198" i="1"/>
  <c r="Y201" i="1"/>
  <c r="Y213" i="1"/>
  <c r="Y216" i="1"/>
  <c r="L210" i="1"/>
  <c r="L224" i="1"/>
  <c r="Y217" i="1"/>
  <c r="Y219" i="1"/>
  <c r="L218" i="1"/>
  <c r="L221" i="1"/>
  <c r="L212" i="1"/>
  <c r="Y212" i="1"/>
  <c r="Y147" i="1"/>
  <c r="L205" i="1"/>
  <c r="Y185" i="1"/>
  <c r="Y204" i="1"/>
  <c r="Y218" i="1"/>
  <c r="L211" i="1"/>
  <c r="L203" i="1"/>
  <c r="L217" i="1"/>
  <c r="Y148" i="1"/>
  <c r="L195" i="1"/>
  <c r="Y195" i="1"/>
  <c r="Y208" i="1"/>
  <c r="Y220" i="1"/>
  <c r="L196" i="1"/>
  <c r="L207" i="1"/>
  <c r="L219" i="1"/>
  <c r="Y202" i="1"/>
  <c r="Y214" i="1"/>
  <c r="Y186" i="1"/>
  <c r="L197" i="1"/>
  <c r="L201" i="1"/>
  <c r="L213" i="1"/>
  <c r="F225" i="1"/>
  <c r="X225" i="1"/>
  <c r="S225" i="1"/>
  <c r="L225" i="1" l="1"/>
  <c r="Y225" i="1"/>
  <c r="J187" i="1"/>
  <c r="I187" i="1"/>
  <c r="H187" i="1"/>
  <c r="G187" i="1"/>
  <c r="E187" i="1"/>
  <c r="D187" i="1"/>
  <c r="C187" i="1"/>
  <c r="B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K179" i="1"/>
  <c r="F179" i="1"/>
  <c r="K178" i="1"/>
  <c r="F178" i="1"/>
  <c r="K177" i="1"/>
  <c r="F177" i="1"/>
  <c r="K176" i="1"/>
  <c r="F176" i="1"/>
  <c r="K175" i="1"/>
  <c r="F175" i="1"/>
  <c r="K174" i="1"/>
  <c r="F174" i="1"/>
  <c r="K173" i="1"/>
  <c r="F173" i="1"/>
  <c r="K171" i="1"/>
  <c r="F171" i="1"/>
  <c r="K170" i="1"/>
  <c r="F170" i="1"/>
  <c r="K169" i="1"/>
  <c r="F169" i="1"/>
  <c r="K168" i="1"/>
  <c r="F168" i="1"/>
  <c r="K167" i="1"/>
  <c r="F167" i="1"/>
  <c r="K166" i="1"/>
  <c r="F166" i="1"/>
  <c r="K165" i="1"/>
  <c r="F165" i="1"/>
  <c r="K164" i="1"/>
  <c r="F164" i="1"/>
  <c r="K163" i="1"/>
  <c r="F163" i="1"/>
  <c r="K162" i="1"/>
  <c r="F162" i="1"/>
  <c r="K160" i="1"/>
  <c r="F160" i="1"/>
  <c r="K159" i="1"/>
  <c r="F159" i="1"/>
  <c r="K158" i="1"/>
  <c r="F158" i="1"/>
  <c r="K157" i="1"/>
  <c r="F157" i="1"/>
  <c r="W187" i="1"/>
  <c r="V187" i="1"/>
  <c r="U187" i="1"/>
  <c r="T187" i="1"/>
  <c r="R187" i="1"/>
  <c r="Q187" i="1"/>
  <c r="P187" i="1"/>
  <c r="O187" i="1"/>
  <c r="X184" i="1"/>
  <c r="S184" i="1"/>
  <c r="X183" i="1"/>
  <c r="S183" i="1"/>
  <c r="X182" i="1"/>
  <c r="S182" i="1"/>
  <c r="X181" i="1"/>
  <c r="S181" i="1"/>
  <c r="X180" i="1"/>
  <c r="S180" i="1"/>
  <c r="X179" i="1"/>
  <c r="S179" i="1"/>
  <c r="X178" i="1"/>
  <c r="S178" i="1"/>
  <c r="X176" i="1"/>
  <c r="S176" i="1"/>
  <c r="X175" i="1"/>
  <c r="S175" i="1"/>
  <c r="X174" i="1"/>
  <c r="S174" i="1"/>
  <c r="X173" i="1"/>
  <c r="S173" i="1"/>
  <c r="X172" i="1"/>
  <c r="S172" i="1"/>
  <c r="X171" i="1"/>
  <c r="S171" i="1"/>
  <c r="X169" i="1"/>
  <c r="S169" i="1"/>
  <c r="X165" i="1"/>
  <c r="S165" i="1"/>
  <c r="X164" i="1"/>
  <c r="S164" i="1"/>
  <c r="X163" i="1"/>
  <c r="S163" i="1"/>
  <c r="X162" i="1"/>
  <c r="S162" i="1"/>
  <c r="X160" i="1"/>
  <c r="S160" i="1"/>
  <c r="X159" i="1"/>
  <c r="S159" i="1"/>
  <c r="X158" i="1"/>
  <c r="S158" i="1"/>
  <c r="X157" i="1"/>
  <c r="S157" i="1"/>
  <c r="L176" i="1" l="1"/>
  <c r="Y176" i="1"/>
  <c r="Y179" i="1"/>
  <c r="Y182" i="1"/>
  <c r="L163" i="1"/>
  <c r="L178" i="1"/>
  <c r="L184" i="1"/>
  <c r="L177" i="1"/>
  <c r="L183" i="1"/>
  <c r="L162" i="1"/>
  <c r="Y180" i="1"/>
  <c r="Y183" i="1"/>
  <c r="L164" i="1"/>
  <c r="L167" i="1"/>
  <c r="L170" i="1"/>
  <c r="Y163" i="1"/>
  <c r="Y169" i="1"/>
  <c r="Y172" i="1"/>
  <c r="Y175" i="1"/>
  <c r="L165" i="1"/>
  <c r="L168" i="1"/>
  <c r="L171" i="1"/>
  <c r="L174" i="1"/>
  <c r="K187" i="1"/>
  <c r="Y171" i="1"/>
  <c r="Y174" i="1"/>
  <c r="L166" i="1"/>
  <c r="L175" i="1"/>
  <c r="L186" i="1"/>
  <c r="F187" i="1"/>
  <c r="L157" i="1"/>
  <c r="Y164" i="1"/>
  <c r="Y178" i="1"/>
  <c r="Y181" i="1"/>
  <c r="Y184" i="1"/>
  <c r="L179" i="1"/>
  <c r="L182" i="1"/>
  <c r="Y162" i="1"/>
  <c r="L159" i="1"/>
  <c r="Y157" i="1"/>
  <c r="Y160" i="1"/>
  <c r="Y165" i="1"/>
  <c r="L160" i="1"/>
  <c r="L173" i="1"/>
  <c r="L185" i="1"/>
  <c r="Y159" i="1"/>
  <c r="Y173" i="1"/>
  <c r="L158" i="1"/>
  <c r="L169" i="1"/>
  <c r="L181" i="1"/>
  <c r="X187" i="1"/>
  <c r="S187" i="1"/>
  <c r="Y158" i="1"/>
  <c r="L187" i="1" l="1"/>
  <c r="Y187" i="1"/>
  <c r="X81" i="1"/>
  <c r="S81" i="1"/>
  <c r="C92" i="1"/>
  <c r="F110" i="1"/>
  <c r="K110" i="1"/>
  <c r="L110" i="1" l="1"/>
  <c r="Y81" i="1"/>
  <c r="F72" i="1"/>
  <c r="K72" i="1"/>
  <c r="L72" i="1" l="1"/>
  <c r="X68" i="1"/>
  <c r="S68" i="1"/>
  <c r="Y68" i="1" l="1"/>
  <c r="X109" i="1"/>
  <c r="X110" i="1"/>
  <c r="S109" i="1"/>
  <c r="S110" i="1"/>
  <c r="X72" i="1"/>
  <c r="X71" i="1"/>
  <c r="X70" i="1"/>
  <c r="X69" i="1"/>
  <c r="S69" i="1"/>
  <c r="S70" i="1"/>
  <c r="S71" i="1"/>
  <c r="S72" i="1"/>
  <c r="Y109" i="1" l="1"/>
  <c r="Y110" i="1"/>
  <c r="Y71" i="1"/>
  <c r="Y70" i="1"/>
  <c r="Y69" i="1"/>
  <c r="Y72" i="1"/>
  <c r="F59" i="1"/>
  <c r="K59" i="1"/>
  <c r="X66" i="1"/>
  <c r="S66" i="1"/>
  <c r="L59" i="1" l="1"/>
  <c r="Y66" i="1"/>
  <c r="X108" i="1"/>
  <c r="S108" i="1"/>
  <c r="Y108" i="1" l="1"/>
  <c r="S84" i="1"/>
  <c r="X84" i="1"/>
  <c r="S82" i="1"/>
  <c r="X82" i="1"/>
  <c r="X46" i="1"/>
  <c r="S46" i="1"/>
  <c r="Y84" i="1" l="1"/>
  <c r="Y82" i="1"/>
  <c r="Y46" i="1"/>
  <c r="S86" i="1" l="1"/>
  <c r="X86" i="1"/>
  <c r="S87" i="1"/>
  <c r="X87" i="1"/>
  <c r="X51" i="1"/>
  <c r="S51" i="1"/>
  <c r="X50" i="1"/>
  <c r="S50" i="1"/>
  <c r="Y51" i="1" l="1"/>
  <c r="Y87" i="1"/>
  <c r="Y86" i="1"/>
  <c r="Y50" i="1"/>
  <c r="S49" i="1" l="1"/>
  <c r="X49" i="1"/>
  <c r="X16" i="1"/>
  <c r="S16" i="1"/>
  <c r="Y49" i="1" l="1"/>
  <c r="Y16" i="1"/>
  <c r="U44" i="1"/>
  <c r="T44" i="1"/>
  <c r="X44" i="1" s="1"/>
  <c r="P44" i="1"/>
  <c r="O44" i="1"/>
  <c r="S44" i="1" l="1"/>
  <c r="Y44" i="1" s="1"/>
  <c r="X12" i="1" l="1"/>
  <c r="S12" i="1"/>
  <c r="S10" i="1"/>
  <c r="F4" i="1"/>
  <c r="J149" i="1"/>
  <c r="I149" i="1"/>
  <c r="H149" i="1"/>
  <c r="G149" i="1"/>
  <c r="E149" i="1"/>
  <c r="D149" i="1"/>
  <c r="C149" i="1"/>
  <c r="B149" i="1"/>
  <c r="K148" i="1"/>
  <c r="F148" i="1"/>
  <c r="K147" i="1"/>
  <c r="F147" i="1"/>
  <c r="K146" i="1"/>
  <c r="K145" i="1"/>
  <c r="K144" i="1"/>
  <c r="K143" i="1"/>
  <c r="F143" i="1"/>
  <c r="K142" i="1"/>
  <c r="F142" i="1"/>
  <c r="K141" i="1"/>
  <c r="F141" i="1"/>
  <c r="K140" i="1"/>
  <c r="F140" i="1"/>
  <c r="K139" i="1"/>
  <c r="F139" i="1"/>
  <c r="K138" i="1"/>
  <c r="F138" i="1"/>
  <c r="K137" i="1"/>
  <c r="F137" i="1"/>
  <c r="K136" i="1"/>
  <c r="F136" i="1"/>
  <c r="K135" i="1"/>
  <c r="F135" i="1"/>
  <c r="K134" i="1"/>
  <c r="F134" i="1"/>
  <c r="K133" i="1"/>
  <c r="F133" i="1"/>
  <c r="K132" i="1"/>
  <c r="F132" i="1"/>
  <c r="K131" i="1"/>
  <c r="F131" i="1"/>
  <c r="K130" i="1"/>
  <c r="F130" i="1"/>
  <c r="K129" i="1"/>
  <c r="F129" i="1"/>
  <c r="K128" i="1"/>
  <c r="F128" i="1"/>
  <c r="K127" i="1"/>
  <c r="F127" i="1"/>
  <c r="K126" i="1"/>
  <c r="F126" i="1"/>
  <c r="K125" i="1"/>
  <c r="F125" i="1"/>
  <c r="K124" i="1"/>
  <c r="F124" i="1"/>
  <c r="K122" i="1"/>
  <c r="F122" i="1"/>
  <c r="K121" i="1"/>
  <c r="F121" i="1"/>
  <c r="K120" i="1"/>
  <c r="F120" i="1"/>
  <c r="K119" i="1"/>
  <c r="F119" i="1"/>
  <c r="L125" i="1" l="1"/>
  <c r="L128" i="1"/>
  <c r="L124" i="1"/>
  <c r="L146" i="1"/>
  <c r="L138" i="1"/>
  <c r="L144" i="1"/>
  <c r="L127" i="1"/>
  <c r="L130" i="1"/>
  <c r="L133" i="1"/>
  <c r="L136" i="1"/>
  <c r="L139" i="1"/>
  <c r="L142" i="1"/>
  <c r="L145" i="1"/>
  <c r="L148" i="1"/>
  <c r="Y12" i="1"/>
  <c r="L121" i="1"/>
  <c r="L119" i="1"/>
  <c r="L126" i="1"/>
  <c r="L134" i="1"/>
  <c r="L137" i="1"/>
  <c r="L140" i="1"/>
  <c r="L120" i="1"/>
  <c r="L132" i="1"/>
  <c r="L122" i="1"/>
  <c r="L131" i="1"/>
  <c r="L143" i="1"/>
  <c r="L129" i="1"/>
  <c r="L141" i="1"/>
  <c r="K149" i="1"/>
  <c r="F149" i="1"/>
  <c r="L135" i="1"/>
  <c r="L147" i="1"/>
  <c r="V149" i="1"/>
  <c r="R149" i="1"/>
  <c r="X146" i="1"/>
  <c r="S146" i="1"/>
  <c r="X145" i="1"/>
  <c r="S145" i="1"/>
  <c r="X144" i="1"/>
  <c r="S144" i="1"/>
  <c r="X142" i="1"/>
  <c r="S142" i="1"/>
  <c r="X141" i="1"/>
  <c r="S141" i="1"/>
  <c r="X140" i="1"/>
  <c r="S140" i="1"/>
  <c r="X139" i="1"/>
  <c r="S139" i="1"/>
  <c r="X137" i="1"/>
  <c r="S137" i="1"/>
  <c r="X136" i="1"/>
  <c r="S136" i="1"/>
  <c r="X134" i="1"/>
  <c r="S134" i="1"/>
  <c r="X132" i="1"/>
  <c r="S132" i="1"/>
  <c r="X131" i="1"/>
  <c r="S131" i="1"/>
  <c r="X130" i="1"/>
  <c r="S130" i="1"/>
  <c r="X129" i="1"/>
  <c r="S129" i="1"/>
  <c r="X128" i="1"/>
  <c r="S128" i="1"/>
  <c r="X127" i="1"/>
  <c r="S127" i="1"/>
  <c r="X126" i="1"/>
  <c r="S126" i="1"/>
  <c r="X125" i="1"/>
  <c r="S125" i="1"/>
  <c r="X124" i="1"/>
  <c r="S124" i="1"/>
  <c r="X122" i="1"/>
  <c r="S122" i="1"/>
  <c r="X121" i="1"/>
  <c r="S121" i="1"/>
  <c r="X120" i="1"/>
  <c r="S120" i="1"/>
  <c r="X119" i="1"/>
  <c r="S119" i="1"/>
  <c r="Y129" i="1" l="1"/>
  <c r="L149" i="1"/>
  <c r="Q149" i="1"/>
  <c r="Y119" i="1"/>
  <c r="Y122" i="1"/>
  <c r="Y125" i="1"/>
  <c r="Y128" i="1"/>
  <c r="Y131" i="1"/>
  <c r="Y134" i="1"/>
  <c r="Y137" i="1"/>
  <c r="Y140" i="1"/>
  <c r="Y146" i="1"/>
  <c r="Y132" i="1"/>
  <c r="Y141" i="1"/>
  <c r="Y144" i="1"/>
  <c r="P149" i="1"/>
  <c r="W149" i="1"/>
  <c r="Y124" i="1"/>
  <c r="Y127" i="1"/>
  <c r="Y130" i="1"/>
  <c r="Y136" i="1"/>
  <c r="Y139" i="1"/>
  <c r="Y142" i="1"/>
  <c r="Y145" i="1"/>
  <c r="Y121" i="1"/>
  <c r="U149" i="1"/>
  <c r="T149" i="1"/>
  <c r="O149" i="1"/>
  <c r="Y126" i="1"/>
  <c r="Y120" i="1"/>
  <c r="S149" i="1" l="1"/>
  <c r="X149" i="1"/>
  <c r="X105" i="1"/>
  <c r="Y149" i="1" l="1"/>
  <c r="S105" i="1"/>
  <c r="Y105" i="1" s="1"/>
  <c r="S106" i="1"/>
  <c r="X106" i="1"/>
  <c r="Y106" i="1" l="1"/>
  <c r="J111" i="1"/>
  <c r="I111" i="1"/>
  <c r="H111" i="1"/>
  <c r="G111" i="1"/>
  <c r="E111" i="1"/>
  <c r="D111" i="1"/>
  <c r="C111" i="1"/>
  <c r="B111" i="1"/>
  <c r="K109" i="1"/>
  <c r="F109" i="1"/>
  <c r="K108" i="1"/>
  <c r="F108" i="1"/>
  <c r="K107" i="1"/>
  <c r="F107" i="1"/>
  <c r="K106" i="1"/>
  <c r="F106" i="1"/>
  <c r="K105" i="1"/>
  <c r="F105" i="1"/>
  <c r="K104" i="1"/>
  <c r="F104" i="1"/>
  <c r="K103" i="1"/>
  <c r="F103" i="1"/>
  <c r="K102" i="1"/>
  <c r="F102" i="1"/>
  <c r="K101" i="1"/>
  <c r="F101" i="1"/>
  <c r="K100" i="1"/>
  <c r="F100" i="1"/>
  <c r="K99" i="1"/>
  <c r="F99" i="1"/>
  <c r="K98" i="1"/>
  <c r="F98" i="1"/>
  <c r="K97" i="1"/>
  <c r="F97" i="1"/>
  <c r="K96" i="1"/>
  <c r="F96" i="1"/>
  <c r="K95" i="1"/>
  <c r="F95" i="1"/>
  <c r="K94" i="1"/>
  <c r="F94" i="1"/>
  <c r="K93" i="1"/>
  <c r="F93" i="1"/>
  <c r="K92" i="1"/>
  <c r="F92" i="1"/>
  <c r="K91" i="1"/>
  <c r="F91" i="1"/>
  <c r="K90" i="1"/>
  <c r="F90" i="1"/>
  <c r="K89" i="1"/>
  <c r="F89" i="1"/>
  <c r="K88" i="1"/>
  <c r="F88" i="1"/>
  <c r="K87" i="1"/>
  <c r="F87" i="1"/>
  <c r="K86" i="1"/>
  <c r="F86" i="1"/>
  <c r="K84" i="1"/>
  <c r="K83" i="1"/>
  <c r="F83" i="1"/>
  <c r="K82" i="1"/>
  <c r="F82" i="1"/>
  <c r="K81" i="1"/>
  <c r="F81" i="1"/>
  <c r="U111" i="1"/>
  <c r="O111" i="1"/>
  <c r="W111" i="1"/>
  <c r="T111" i="1"/>
  <c r="R111" i="1"/>
  <c r="Q111" i="1"/>
  <c r="X107" i="1"/>
  <c r="S107" i="1"/>
  <c r="X103" i="1"/>
  <c r="S103" i="1"/>
  <c r="X102" i="1"/>
  <c r="S102" i="1"/>
  <c r="X101" i="1"/>
  <c r="S101" i="1"/>
  <c r="X100" i="1"/>
  <c r="S100" i="1"/>
  <c r="X99" i="1"/>
  <c r="S99" i="1"/>
  <c r="X98" i="1"/>
  <c r="S98" i="1"/>
  <c r="X97" i="1"/>
  <c r="S97" i="1"/>
  <c r="X96" i="1"/>
  <c r="S96" i="1"/>
  <c r="X95" i="1"/>
  <c r="S95" i="1"/>
  <c r="X94" i="1"/>
  <c r="S94" i="1"/>
  <c r="X93" i="1"/>
  <c r="S93" i="1"/>
  <c r="X92" i="1"/>
  <c r="S92" i="1"/>
  <c r="X91" i="1"/>
  <c r="S91" i="1"/>
  <c r="X90" i="1"/>
  <c r="S90" i="1"/>
  <c r="X89" i="1"/>
  <c r="S89" i="1"/>
  <c r="X88" i="1"/>
  <c r="S88" i="1"/>
  <c r="X83" i="1"/>
  <c r="S83" i="1"/>
  <c r="L82" i="1" l="1"/>
  <c r="L86" i="1"/>
  <c r="L89" i="1"/>
  <c r="L92" i="1"/>
  <c r="L95" i="1"/>
  <c r="L98" i="1"/>
  <c r="L101" i="1"/>
  <c r="L104" i="1"/>
  <c r="L107" i="1"/>
  <c r="Y83" i="1"/>
  <c r="Y88" i="1"/>
  <c r="Y94" i="1"/>
  <c r="Y100" i="1"/>
  <c r="L88" i="1"/>
  <c r="L106" i="1"/>
  <c r="L102" i="1"/>
  <c r="Y92" i="1"/>
  <c r="Y98" i="1"/>
  <c r="L87" i="1"/>
  <c r="L105" i="1"/>
  <c r="L108" i="1"/>
  <c r="Y93" i="1"/>
  <c r="Y99" i="1"/>
  <c r="L90" i="1"/>
  <c r="L93" i="1"/>
  <c r="L96" i="1"/>
  <c r="L99" i="1"/>
  <c r="L81" i="1"/>
  <c r="L94" i="1"/>
  <c r="L100" i="1"/>
  <c r="Y91" i="1"/>
  <c r="Y97" i="1"/>
  <c r="Y103" i="1"/>
  <c r="L91" i="1"/>
  <c r="L103" i="1"/>
  <c r="K111" i="1"/>
  <c r="Y89" i="1"/>
  <c r="Y95" i="1"/>
  <c r="Y101" i="1"/>
  <c r="L83" i="1"/>
  <c r="F111" i="1"/>
  <c r="Y90" i="1"/>
  <c r="Y96" i="1"/>
  <c r="Y102" i="1"/>
  <c r="L84" i="1"/>
  <c r="L97" i="1"/>
  <c r="L109" i="1"/>
  <c r="Y107" i="1"/>
  <c r="V111" i="1"/>
  <c r="P111" i="1"/>
  <c r="S111" i="1" l="1"/>
  <c r="X111" i="1"/>
  <c r="L111" i="1"/>
  <c r="Y111" i="1" l="1"/>
  <c r="X10" i="1"/>
  <c r="S11" i="1"/>
  <c r="X11" i="1"/>
  <c r="S13" i="1"/>
  <c r="X13" i="1"/>
  <c r="S14" i="1"/>
  <c r="X14" i="1"/>
  <c r="S15" i="1"/>
  <c r="X15" i="1"/>
  <c r="S17" i="1"/>
  <c r="X17" i="1"/>
  <c r="S48" i="1"/>
  <c r="X48" i="1"/>
  <c r="S52" i="1"/>
  <c r="X52" i="1"/>
  <c r="S53" i="1"/>
  <c r="X53" i="1"/>
  <c r="S54" i="1"/>
  <c r="X54" i="1"/>
  <c r="S55" i="1"/>
  <c r="X55" i="1"/>
  <c r="S56" i="1"/>
  <c r="X56" i="1"/>
  <c r="S57" i="1"/>
  <c r="X57" i="1"/>
  <c r="S58" i="1"/>
  <c r="X58" i="1"/>
  <c r="S59" i="1"/>
  <c r="X59" i="1"/>
  <c r="S60" i="1"/>
  <c r="X60" i="1"/>
  <c r="S61" i="1"/>
  <c r="X61" i="1"/>
  <c r="S62" i="1"/>
  <c r="X62" i="1"/>
  <c r="S63" i="1"/>
  <c r="X63" i="1"/>
  <c r="S64" i="1"/>
  <c r="X64" i="1"/>
  <c r="S65" i="1"/>
  <c r="X65" i="1"/>
  <c r="S67" i="1"/>
  <c r="X67" i="1"/>
  <c r="Y64" i="1" l="1"/>
  <c r="Y15" i="1"/>
  <c r="Y10" i="1"/>
  <c r="Y48" i="1"/>
  <c r="Y11" i="1"/>
  <c r="Y60" i="1"/>
  <c r="Y17" i="1"/>
  <c r="Y63" i="1"/>
  <c r="Y55" i="1"/>
  <c r="Y54" i="1"/>
  <c r="Y56" i="1"/>
  <c r="Y52" i="1"/>
  <c r="Y58" i="1"/>
  <c r="Y62" i="1"/>
  <c r="Y61" i="1"/>
  <c r="Y59" i="1"/>
  <c r="Y65" i="1"/>
  <c r="Y67" i="1"/>
  <c r="Y57" i="1"/>
  <c r="Y14" i="1"/>
  <c r="Y53" i="1"/>
  <c r="Y13" i="1"/>
  <c r="K45" i="1"/>
  <c r="F45" i="1"/>
  <c r="K44" i="1"/>
  <c r="F44" i="1"/>
  <c r="F61" i="1"/>
  <c r="K61" i="1"/>
  <c r="F62" i="1"/>
  <c r="K62" i="1"/>
  <c r="F63" i="1"/>
  <c r="K63" i="1"/>
  <c r="F64" i="1"/>
  <c r="K64" i="1"/>
  <c r="F65" i="1"/>
  <c r="K65" i="1"/>
  <c r="F66" i="1"/>
  <c r="K66" i="1"/>
  <c r="F67" i="1"/>
  <c r="K67" i="1"/>
  <c r="F68" i="1"/>
  <c r="K68" i="1"/>
  <c r="F69" i="1"/>
  <c r="K69" i="1"/>
  <c r="L65" i="1" l="1"/>
  <c r="L67" i="1"/>
  <c r="L69" i="1"/>
  <c r="L45" i="1"/>
  <c r="L61" i="1"/>
  <c r="L44" i="1"/>
  <c r="L64" i="1"/>
  <c r="L63" i="1"/>
  <c r="L62" i="1"/>
  <c r="L66" i="1"/>
  <c r="L68" i="1"/>
  <c r="K7" i="1" l="1"/>
  <c r="F7" i="1"/>
  <c r="K6" i="1"/>
  <c r="F6" i="1"/>
  <c r="W73" i="1"/>
  <c r="V73" i="1"/>
  <c r="U73" i="1"/>
  <c r="T73" i="1"/>
  <c r="R73" i="1"/>
  <c r="Q73" i="1"/>
  <c r="P73" i="1"/>
  <c r="O73" i="1"/>
  <c r="X45" i="1"/>
  <c r="S45" i="1"/>
  <c r="X43" i="1"/>
  <c r="S43" i="1"/>
  <c r="L7" i="1" l="1"/>
  <c r="L6" i="1"/>
  <c r="Y43" i="1"/>
  <c r="X73" i="1"/>
  <c r="S73" i="1"/>
  <c r="Y45" i="1"/>
  <c r="Y73" i="1" l="1"/>
  <c r="K43" i="1"/>
  <c r="X19" i="1" l="1"/>
  <c r="S19" i="1"/>
  <c r="Y19" i="1" l="1"/>
  <c r="J73" i="1"/>
  <c r="I73" i="1"/>
  <c r="H73" i="1"/>
  <c r="G73" i="1"/>
  <c r="E73" i="1"/>
  <c r="D73" i="1"/>
  <c r="C73" i="1"/>
  <c r="B73" i="1"/>
  <c r="K71" i="1"/>
  <c r="F71" i="1"/>
  <c r="K70" i="1"/>
  <c r="F70" i="1"/>
  <c r="K60" i="1"/>
  <c r="F60" i="1"/>
  <c r="K58" i="1"/>
  <c r="F58" i="1"/>
  <c r="K57" i="1"/>
  <c r="F57" i="1"/>
  <c r="K56" i="1"/>
  <c r="F56" i="1"/>
  <c r="K55" i="1"/>
  <c r="F55" i="1"/>
  <c r="K54" i="1"/>
  <c r="F54" i="1"/>
  <c r="K53" i="1"/>
  <c r="F53" i="1"/>
  <c r="K52" i="1"/>
  <c r="F52" i="1"/>
  <c r="K51" i="1"/>
  <c r="F51" i="1"/>
  <c r="K50" i="1"/>
  <c r="F50" i="1"/>
  <c r="K49" i="1"/>
  <c r="F49" i="1"/>
  <c r="K48" i="1"/>
  <c r="F48" i="1"/>
  <c r="K46" i="1"/>
  <c r="F46" i="1"/>
  <c r="F43" i="1"/>
  <c r="L43" i="1" s="1"/>
  <c r="X22" i="1"/>
  <c r="S22" i="1"/>
  <c r="K13" i="1"/>
  <c r="F13" i="1"/>
  <c r="F10" i="1"/>
  <c r="K10" i="1"/>
  <c r="X29" i="1"/>
  <c r="S29" i="1"/>
  <c r="R9" i="1"/>
  <c r="X30" i="1"/>
  <c r="S30" i="1"/>
  <c r="X28" i="1"/>
  <c r="S28" i="1"/>
  <c r="X31" i="1"/>
  <c r="S31" i="1"/>
  <c r="Q35" i="1"/>
  <c r="J35" i="1"/>
  <c r="I35" i="1"/>
  <c r="H35" i="1"/>
  <c r="G35" i="1"/>
  <c r="E35" i="1"/>
  <c r="D35" i="1"/>
  <c r="C35" i="1"/>
  <c r="B35" i="1"/>
  <c r="K34" i="1"/>
  <c r="F34" i="1"/>
  <c r="K33" i="1"/>
  <c r="F33" i="1"/>
  <c r="K32" i="1"/>
  <c r="F32" i="1"/>
  <c r="K31" i="1"/>
  <c r="F31" i="1"/>
  <c r="K30" i="1"/>
  <c r="F30" i="1"/>
  <c r="K29" i="1"/>
  <c r="F29" i="1"/>
  <c r="K28" i="1"/>
  <c r="F28" i="1"/>
  <c r="K27" i="1"/>
  <c r="F27" i="1"/>
  <c r="K26" i="1"/>
  <c r="F26" i="1"/>
  <c r="K25" i="1"/>
  <c r="F25" i="1"/>
  <c r="K24" i="1"/>
  <c r="F24" i="1"/>
  <c r="K23" i="1"/>
  <c r="F23" i="1"/>
  <c r="K22" i="1"/>
  <c r="F22" i="1"/>
  <c r="K21" i="1"/>
  <c r="F21" i="1"/>
  <c r="K20" i="1"/>
  <c r="F20" i="1"/>
  <c r="K19" i="1"/>
  <c r="F19" i="1"/>
  <c r="K18" i="1"/>
  <c r="F18" i="1"/>
  <c r="K17" i="1"/>
  <c r="F17" i="1"/>
  <c r="K16" i="1"/>
  <c r="F16" i="1"/>
  <c r="K15" i="1"/>
  <c r="F15" i="1"/>
  <c r="K14" i="1"/>
  <c r="F14" i="1"/>
  <c r="K12" i="1"/>
  <c r="F12" i="1"/>
  <c r="K11" i="1"/>
  <c r="F11" i="1"/>
  <c r="J9" i="1"/>
  <c r="I9" i="1"/>
  <c r="H9" i="1"/>
  <c r="G9" i="1"/>
  <c r="E9" i="1"/>
  <c r="D9" i="1"/>
  <c r="C9" i="1"/>
  <c r="B9" i="1"/>
  <c r="K8" i="1"/>
  <c r="F8" i="1"/>
  <c r="K5" i="1"/>
  <c r="F5" i="1"/>
  <c r="K4" i="1"/>
  <c r="X8" i="1"/>
  <c r="X7" i="1"/>
  <c r="X6" i="1"/>
  <c r="X5" i="1"/>
  <c r="X4" i="1"/>
  <c r="S6" i="1"/>
  <c r="S7" i="1"/>
  <c r="S8" i="1"/>
  <c r="S5" i="1"/>
  <c r="S4" i="1"/>
  <c r="X34" i="1"/>
  <c r="X33" i="1"/>
  <c r="X32" i="1"/>
  <c r="X27" i="1"/>
  <c r="X26" i="1"/>
  <c r="X25" i="1"/>
  <c r="X24" i="1"/>
  <c r="X23" i="1"/>
  <c r="X21" i="1"/>
  <c r="X20" i="1"/>
  <c r="X18" i="1"/>
  <c r="S18" i="1"/>
  <c r="S20" i="1"/>
  <c r="S21" i="1"/>
  <c r="S23" i="1"/>
  <c r="S24" i="1"/>
  <c r="S25" i="1"/>
  <c r="S26" i="1"/>
  <c r="S27" i="1"/>
  <c r="S32" i="1"/>
  <c r="S33" i="1"/>
  <c r="S34" i="1"/>
  <c r="W35" i="1"/>
  <c r="V35" i="1"/>
  <c r="U35" i="1"/>
  <c r="T35" i="1"/>
  <c r="W9" i="1"/>
  <c r="V9" i="1"/>
  <c r="U9" i="1"/>
  <c r="T9" i="1"/>
  <c r="O35" i="1"/>
  <c r="O9" i="1"/>
  <c r="R35" i="1"/>
  <c r="P35" i="1"/>
  <c r="Q9" i="1"/>
  <c r="P9" i="1"/>
  <c r="W189" i="1" l="1"/>
  <c r="W303" i="1"/>
  <c r="W379" i="1" s="1"/>
  <c r="W911" i="1" s="1"/>
  <c r="P189" i="1"/>
  <c r="P303" i="1"/>
  <c r="P379" i="1" s="1"/>
  <c r="P911" i="1" s="1"/>
  <c r="R189" i="1"/>
  <c r="R303" i="1"/>
  <c r="R379" i="1" s="1"/>
  <c r="R911" i="1" s="1"/>
  <c r="T189" i="1"/>
  <c r="T303" i="1"/>
  <c r="T379" i="1" s="1"/>
  <c r="T911" i="1" s="1"/>
  <c r="U189" i="1"/>
  <c r="U303" i="1"/>
  <c r="U379" i="1" s="1"/>
  <c r="U911" i="1" s="1"/>
  <c r="Q189" i="1"/>
  <c r="Q303" i="1"/>
  <c r="Q379" i="1" s="1"/>
  <c r="Q911" i="1" s="1"/>
  <c r="O189" i="1"/>
  <c r="O303" i="1"/>
  <c r="O379" i="1" s="1"/>
  <c r="O911" i="1" s="1"/>
  <c r="V189" i="1"/>
  <c r="V303" i="1"/>
  <c r="V379" i="1" s="1"/>
  <c r="V911" i="1" s="1"/>
  <c r="L14" i="1"/>
  <c r="L20" i="1"/>
  <c r="L26" i="1"/>
  <c r="B36" i="1"/>
  <c r="B42" i="1" s="1"/>
  <c r="B47" i="1" s="1"/>
  <c r="B74" i="1" s="1"/>
  <c r="B80" i="1" s="1"/>
  <c r="C36" i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L60" i="1"/>
  <c r="L52" i="1"/>
  <c r="L46" i="1"/>
  <c r="L50" i="1"/>
  <c r="L22" i="1"/>
  <c r="L31" i="1"/>
  <c r="Y4" i="1"/>
  <c r="Y29" i="1"/>
  <c r="O36" i="1"/>
  <c r="O42" i="1" s="1"/>
  <c r="T36" i="1"/>
  <c r="Y31" i="1"/>
  <c r="L18" i="1"/>
  <c r="L71" i="1"/>
  <c r="L34" i="1"/>
  <c r="L4" i="1"/>
  <c r="Y20" i="1"/>
  <c r="V36" i="1"/>
  <c r="L8" i="1"/>
  <c r="L12" i="1"/>
  <c r="L13" i="1"/>
  <c r="L49" i="1"/>
  <c r="I36" i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I807" i="1" s="1"/>
  <c r="I834" i="1" s="1"/>
  <c r="I840" i="1" s="1"/>
  <c r="I845" i="1" s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L70" i="1"/>
  <c r="L30" i="1"/>
  <c r="L51" i="1"/>
  <c r="L53" i="1"/>
  <c r="Y33" i="1"/>
  <c r="Y26" i="1"/>
  <c r="L32" i="1"/>
  <c r="Q36" i="1"/>
  <c r="Q42" i="1" s="1"/>
  <c r="L54" i="1"/>
  <c r="L25" i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E840" i="1" s="1"/>
  <c r="E845" i="1" s="1"/>
  <c r="E872" i="1" s="1"/>
  <c r="E878" i="1" s="1"/>
  <c r="E883" i="1" s="1"/>
  <c r="E910" i="1" s="1"/>
  <c r="E916" i="1" s="1"/>
  <c r="E921" i="1" s="1"/>
  <c r="E948" i="1" s="1"/>
  <c r="E954" i="1" s="1"/>
  <c r="E959" i="1" s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Y5" i="1"/>
  <c r="G36" i="1"/>
  <c r="G42" i="1" s="1"/>
  <c r="G47" i="1" s="1"/>
  <c r="G74" i="1" s="1"/>
  <c r="G80" i="1" s="1"/>
  <c r="K35" i="1"/>
  <c r="Y27" i="1"/>
  <c r="Y8" i="1"/>
  <c r="H36" i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H232" i="1" s="1"/>
  <c r="H237" i="1" s="1"/>
  <c r="H264" i="1" s="1"/>
  <c r="H270" i="1" s="1"/>
  <c r="L16" i="1"/>
  <c r="L28" i="1"/>
  <c r="L29" i="1"/>
  <c r="S35" i="1"/>
  <c r="S303" i="1" s="1"/>
  <c r="Y7" i="1"/>
  <c r="L24" i="1"/>
  <c r="L27" i="1"/>
  <c r="Y30" i="1"/>
  <c r="L10" i="1"/>
  <c r="Y22" i="1"/>
  <c r="Y24" i="1"/>
  <c r="Y6" i="1"/>
  <c r="P36" i="1"/>
  <c r="Y23" i="1"/>
  <c r="Y32" i="1"/>
  <c r="Y21" i="1"/>
  <c r="L11" i="1"/>
  <c r="L33" i="1"/>
  <c r="Y34" i="1"/>
  <c r="K73" i="1"/>
  <c r="K9" i="1"/>
  <c r="L19" i="1"/>
  <c r="L21" i="1"/>
  <c r="Y28" i="1"/>
  <c r="L56" i="1"/>
  <c r="S9" i="1"/>
  <c r="J36" i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J883" i="1" s="1"/>
  <c r="J910" i="1" s="1"/>
  <c r="J916" i="1" s="1"/>
  <c r="J921" i="1" s="1"/>
  <c r="J948" i="1" s="1"/>
  <c r="J954" i="1" s="1"/>
  <c r="J959" i="1" s="1"/>
  <c r="J986" i="1" s="1"/>
  <c r="J992" i="1" s="1"/>
  <c r="J997" i="1" s="1"/>
  <c r="J1024" i="1" s="1"/>
  <c r="J1030" i="1" s="1"/>
  <c r="J1035" i="1" s="1"/>
  <c r="J1062" i="1" s="1"/>
  <c r="J1068" i="1" s="1"/>
  <c r="J1073" i="1" s="1"/>
  <c r="J1100" i="1" s="1"/>
  <c r="J1106" i="1" s="1"/>
  <c r="J1111" i="1" s="1"/>
  <c r="J1138" i="1" s="1"/>
  <c r="J1144" i="1" s="1"/>
  <c r="J1149" i="1" s="1"/>
  <c r="J1176" i="1" s="1"/>
  <c r="J1182" i="1" s="1"/>
  <c r="J1187" i="1" s="1"/>
  <c r="J1214" i="1" s="1"/>
  <c r="J1220" i="1" s="1"/>
  <c r="J1225" i="1" s="1"/>
  <c r="J1252" i="1" s="1"/>
  <c r="L23" i="1"/>
  <c r="L57" i="1"/>
  <c r="Y18" i="1"/>
  <c r="L5" i="1"/>
  <c r="L17" i="1"/>
  <c r="F9" i="1"/>
  <c r="D36" i="1"/>
  <c r="D42" i="1" s="1"/>
  <c r="L48" i="1"/>
  <c r="L58" i="1"/>
  <c r="Y25" i="1"/>
  <c r="W36" i="1"/>
  <c r="X9" i="1"/>
  <c r="L15" i="1"/>
  <c r="L55" i="1"/>
  <c r="F73" i="1"/>
  <c r="X35" i="1"/>
  <c r="X303" i="1" s="1"/>
  <c r="R36" i="1"/>
  <c r="R42" i="1" s="1"/>
  <c r="U36" i="1"/>
  <c r="F35" i="1"/>
  <c r="I1149" i="1" l="1"/>
  <c r="I1176" i="1" s="1"/>
  <c r="I1182" i="1" s="1"/>
  <c r="S304" i="1"/>
  <c r="S379" i="1"/>
  <c r="X304" i="1"/>
  <c r="X379" i="1"/>
  <c r="C389" i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Q304" i="1"/>
  <c r="R304" i="1"/>
  <c r="V304" i="1"/>
  <c r="U304" i="1"/>
  <c r="P304" i="1"/>
  <c r="O304" i="1"/>
  <c r="T304" i="1"/>
  <c r="W304" i="1"/>
  <c r="H275" i="1"/>
  <c r="H302" i="1" s="1"/>
  <c r="H308" i="1" s="1"/>
  <c r="H313" i="1" s="1"/>
  <c r="H340" i="1" s="1"/>
  <c r="H346" i="1" s="1"/>
  <c r="H351" i="1" s="1"/>
  <c r="H378" i="1" s="1"/>
  <c r="H384" i="1" s="1"/>
  <c r="X189" i="1"/>
  <c r="X190" i="1" s="1"/>
  <c r="S189" i="1"/>
  <c r="R190" i="1" s="1"/>
  <c r="G85" i="1"/>
  <c r="G112" i="1" s="1"/>
  <c r="G118" i="1" s="1"/>
  <c r="K80" i="1"/>
  <c r="K85" i="1" s="1"/>
  <c r="K112" i="1" s="1"/>
  <c r="B85" i="1"/>
  <c r="B112" i="1" s="1"/>
  <c r="B118" i="1" s="1"/>
  <c r="U42" i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W42" i="1"/>
  <c r="W47" i="1" s="1"/>
  <c r="W74" i="1" s="1"/>
  <c r="W80" i="1" s="1"/>
  <c r="W85" i="1" s="1"/>
  <c r="W112" i="1" s="1"/>
  <c r="W118" i="1" s="1"/>
  <c r="W123" i="1" s="1"/>
  <c r="W150" i="1" s="1"/>
  <c r="W156" i="1" s="1"/>
  <c r="V42" i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T42" i="1"/>
  <c r="R47" i="1"/>
  <c r="R74" i="1" s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Q47" i="1"/>
  <c r="Q74" i="1" s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P42" i="1"/>
  <c r="P47" i="1" s="1"/>
  <c r="P74" i="1" s="1"/>
  <c r="P80" i="1" s="1"/>
  <c r="P85" i="1" s="1"/>
  <c r="P112" i="1" s="1"/>
  <c r="P118" i="1" s="1"/>
  <c r="P123" i="1" s="1"/>
  <c r="P150" i="1" s="1"/>
  <c r="P156" i="1" s="1"/>
  <c r="O47" i="1"/>
  <c r="O74" i="1" s="1"/>
  <c r="O80" i="1" s="1"/>
  <c r="F42" i="1"/>
  <c r="F47" i="1" s="1"/>
  <c r="K36" i="1"/>
  <c r="L73" i="1"/>
  <c r="L35" i="1"/>
  <c r="S36" i="1"/>
  <c r="Y35" i="1"/>
  <c r="L9" i="1"/>
  <c r="Y9" i="1"/>
  <c r="D47" i="1"/>
  <c r="D74" i="1" s="1"/>
  <c r="D80" i="1" s="1"/>
  <c r="D85" i="1" s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D769" i="1" s="1"/>
  <c r="D796" i="1" s="1"/>
  <c r="D802" i="1" s="1"/>
  <c r="D807" i="1" s="1"/>
  <c r="D834" i="1" s="1"/>
  <c r="D840" i="1" s="1"/>
  <c r="D845" i="1" s="1"/>
  <c r="D872" i="1" s="1"/>
  <c r="D878" i="1" s="1"/>
  <c r="D883" i="1" s="1"/>
  <c r="D910" i="1" s="1"/>
  <c r="D916" i="1" s="1"/>
  <c r="D921" i="1" s="1"/>
  <c r="D948" i="1" s="1"/>
  <c r="D954" i="1" s="1"/>
  <c r="D959" i="1" s="1"/>
  <c r="D986" i="1" s="1"/>
  <c r="D992" i="1" s="1"/>
  <c r="D997" i="1" s="1"/>
  <c r="D1024" i="1" s="1"/>
  <c r="D1030" i="1" s="1"/>
  <c r="D1035" i="1" s="1"/>
  <c r="D1062" i="1" s="1"/>
  <c r="D1068" i="1" s="1"/>
  <c r="D1073" i="1" s="1"/>
  <c r="D1100" i="1" s="1"/>
  <c r="D1106" i="1" s="1"/>
  <c r="D1111" i="1" s="1"/>
  <c r="D1138" i="1" s="1"/>
  <c r="D1144" i="1" s="1"/>
  <c r="D1149" i="1" s="1"/>
  <c r="D1176" i="1" s="1"/>
  <c r="D1182" i="1" s="1"/>
  <c r="D1187" i="1" s="1"/>
  <c r="D1214" i="1" s="1"/>
  <c r="D1220" i="1" s="1"/>
  <c r="D1225" i="1" s="1"/>
  <c r="D1252" i="1" s="1"/>
  <c r="X36" i="1"/>
  <c r="K42" i="1"/>
  <c r="K47" i="1" s="1"/>
  <c r="K74" i="1" s="1"/>
  <c r="F36" i="1"/>
  <c r="I1187" i="1" l="1"/>
  <c r="I1214" i="1" s="1"/>
  <c r="I1220" i="1" s="1"/>
  <c r="I1225" i="1" s="1"/>
  <c r="I1252" i="1" s="1"/>
  <c r="X380" i="1"/>
  <c r="X911" i="1"/>
  <c r="S380" i="1"/>
  <c r="S911" i="1"/>
  <c r="C769" i="1"/>
  <c r="C796" i="1" s="1"/>
  <c r="C802" i="1" s="1"/>
  <c r="C807" i="1" s="1"/>
  <c r="C834" i="1" s="1"/>
  <c r="C840" i="1" s="1"/>
  <c r="R389" i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U389" i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380" i="1"/>
  <c r="V380" i="1"/>
  <c r="W380" i="1"/>
  <c r="O380" i="1"/>
  <c r="R380" i="1"/>
  <c r="T380" i="1"/>
  <c r="P380" i="1"/>
  <c r="Q380" i="1"/>
  <c r="H389" i="1"/>
  <c r="H416" i="1" s="1"/>
  <c r="H422" i="1" s="1"/>
  <c r="H427" i="1" s="1"/>
  <c r="H454" i="1" s="1"/>
  <c r="H460" i="1" s="1"/>
  <c r="H465" i="1" s="1"/>
  <c r="H492" i="1" s="1"/>
  <c r="H498" i="1" s="1"/>
  <c r="H503" i="1" s="1"/>
  <c r="H530" i="1" s="1"/>
  <c r="H536" i="1" s="1"/>
  <c r="H541" i="1" s="1"/>
  <c r="H568" i="1" s="1"/>
  <c r="H574" i="1" s="1"/>
  <c r="H579" i="1" s="1"/>
  <c r="H606" i="1" s="1"/>
  <c r="H612" i="1" s="1"/>
  <c r="Y189" i="1"/>
  <c r="Y303" i="1"/>
  <c r="Y379" i="1" s="1"/>
  <c r="Y911" i="1" s="1"/>
  <c r="X913" i="1" s="1"/>
  <c r="V275" i="1"/>
  <c r="V302" i="1" s="1"/>
  <c r="V308" i="1" s="1"/>
  <c r="V313" i="1" s="1"/>
  <c r="V340" i="1" s="1"/>
  <c r="V346" i="1" s="1"/>
  <c r="V351" i="1" s="1"/>
  <c r="V378" i="1" s="1"/>
  <c r="V384" i="1" s="1"/>
  <c r="Q275" i="1"/>
  <c r="Q302" i="1" s="1"/>
  <c r="Q308" i="1" s="1"/>
  <c r="Q313" i="1" s="1"/>
  <c r="Q340" i="1" s="1"/>
  <c r="Q346" i="1" s="1"/>
  <c r="Q351" i="1" s="1"/>
  <c r="Q378" i="1" s="1"/>
  <c r="Q384" i="1" s="1"/>
  <c r="U190" i="1"/>
  <c r="O190" i="1"/>
  <c r="Q190" i="1"/>
  <c r="T190" i="1"/>
  <c r="V190" i="1"/>
  <c r="W190" i="1"/>
  <c r="P190" i="1"/>
  <c r="S190" i="1"/>
  <c r="P161" i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W161" i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G123" i="1"/>
  <c r="G150" i="1" s="1"/>
  <c r="G156" i="1" s="1"/>
  <c r="K118" i="1"/>
  <c r="K123" i="1" s="1"/>
  <c r="K150" i="1" s="1"/>
  <c r="B123" i="1"/>
  <c r="B150" i="1" s="1"/>
  <c r="B156" i="1" s="1"/>
  <c r="F118" i="1"/>
  <c r="F80" i="1"/>
  <c r="S80" i="1"/>
  <c r="O85" i="1"/>
  <c r="O112" i="1" s="1"/>
  <c r="O118" i="1" s="1"/>
  <c r="S42" i="1"/>
  <c r="S47" i="1" s="1"/>
  <c r="T47" i="1"/>
  <c r="T74" i="1" s="1"/>
  <c r="T80" i="1" s="1"/>
  <c r="X42" i="1"/>
  <c r="X47" i="1" s="1"/>
  <c r="X74" i="1" s="1"/>
  <c r="L36" i="1"/>
  <c r="Y36" i="1"/>
  <c r="L42" i="1"/>
  <c r="F74" i="1"/>
  <c r="L74" i="1" s="1"/>
  <c r="L47" i="1"/>
  <c r="X912" i="1" l="1"/>
  <c r="V912" i="1"/>
  <c r="W912" i="1"/>
  <c r="U912" i="1"/>
  <c r="T912" i="1"/>
  <c r="S912" i="1"/>
  <c r="S913" i="1"/>
  <c r="O912" i="1"/>
  <c r="Q912" i="1"/>
  <c r="R912" i="1"/>
  <c r="P912" i="1"/>
  <c r="C845" i="1"/>
  <c r="C872" i="1" s="1"/>
  <c r="C878" i="1" s="1"/>
  <c r="C883" i="1" s="1"/>
  <c r="C910" i="1" s="1"/>
  <c r="C916" i="1" s="1"/>
  <c r="C921" i="1" s="1"/>
  <c r="C948" i="1" s="1"/>
  <c r="C954" i="1" s="1"/>
  <c r="H617" i="1"/>
  <c r="H644" i="1" s="1"/>
  <c r="H650" i="1" s="1"/>
  <c r="U536" i="1"/>
  <c r="U541" i="1" s="1"/>
  <c r="U568" i="1" s="1"/>
  <c r="U574" i="1" s="1"/>
  <c r="U579" i="1" s="1"/>
  <c r="U606" i="1" s="1"/>
  <c r="U612" i="1" s="1"/>
  <c r="U617" i="1" s="1"/>
  <c r="U644" i="1" s="1"/>
  <c r="U650" i="1" s="1"/>
  <c r="R536" i="1"/>
  <c r="R541" i="1" s="1"/>
  <c r="R568" i="1" s="1"/>
  <c r="R574" i="1" s="1"/>
  <c r="R579" i="1" s="1"/>
  <c r="R606" i="1" s="1"/>
  <c r="R612" i="1" s="1"/>
  <c r="R617" i="1" s="1"/>
  <c r="R644" i="1" s="1"/>
  <c r="R650" i="1" s="1"/>
  <c r="V389" i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W389" i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P389" i="1"/>
  <c r="P416" i="1" s="1"/>
  <c r="P422" i="1" s="1"/>
  <c r="P427" i="1" s="1"/>
  <c r="P454" i="1" s="1"/>
  <c r="P460" i="1" s="1"/>
  <c r="P465" i="1" s="1"/>
  <c r="P492" i="1" s="1"/>
  <c r="P498" i="1" s="1"/>
  <c r="P503" i="1" s="1"/>
  <c r="P530" i="1" s="1"/>
  <c r="Q389" i="1"/>
  <c r="Q416" i="1" s="1"/>
  <c r="Q422" i="1" s="1"/>
  <c r="Q427" i="1" s="1"/>
  <c r="Q454" i="1" s="1"/>
  <c r="Q460" i="1" s="1"/>
  <c r="Q465" i="1" s="1"/>
  <c r="Q492" i="1" s="1"/>
  <c r="Q498" i="1" s="1"/>
  <c r="Q503" i="1" s="1"/>
  <c r="Q530" i="1" s="1"/>
  <c r="B161" i="1"/>
  <c r="B188" i="1" s="1"/>
  <c r="B194" i="1" s="1"/>
  <c r="F156" i="1"/>
  <c r="G161" i="1"/>
  <c r="G188" i="1" s="1"/>
  <c r="G194" i="1" s="1"/>
  <c r="K156" i="1"/>
  <c r="K161" i="1" s="1"/>
  <c r="K188" i="1" s="1"/>
  <c r="L118" i="1"/>
  <c r="F123" i="1"/>
  <c r="S118" i="1"/>
  <c r="O123" i="1"/>
  <c r="O150" i="1" s="1"/>
  <c r="O156" i="1" s="1"/>
  <c r="F85" i="1"/>
  <c r="L80" i="1"/>
  <c r="T85" i="1"/>
  <c r="T112" i="1" s="1"/>
  <c r="T118" i="1" s="1"/>
  <c r="X80" i="1"/>
  <c r="X85" i="1" s="1"/>
  <c r="X112" i="1" s="1"/>
  <c r="S85" i="1"/>
  <c r="Y42" i="1"/>
  <c r="S74" i="1"/>
  <c r="Y74" i="1" s="1"/>
  <c r="Y47" i="1"/>
  <c r="C959" i="1" l="1"/>
  <c r="C986" i="1" s="1"/>
  <c r="C992" i="1" s="1"/>
  <c r="C997" i="1" s="1"/>
  <c r="C1024" i="1" s="1"/>
  <c r="C1030" i="1" s="1"/>
  <c r="C1035" i="1" s="1"/>
  <c r="C1062" i="1" s="1"/>
  <c r="C1068" i="1" s="1"/>
  <c r="C1073" i="1" s="1"/>
  <c r="C1100" i="1" s="1"/>
  <c r="C1106" i="1" s="1"/>
  <c r="C1111" i="1" s="1"/>
  <c r="C1138" i="1" s="1"/>
  <c r="C1144" i="1" s="1"/>
  <c r="C1149" i="1" s="1"/>
  <c r="C1176" i="1" s="1"/>
  <c r="C1182" i="1" s="1"/>
  <c r="C1187" i="1" s="1"/>
  <c r="C1214" i="1" s="1"/>
  <c r="C1220" i="1" s="1"/>
  <c r="U655" i="1"/>
  <c r="U682" i="1" s="1"/>
  <c r="U688" i="1" s="1"/>
  <c r="U693" i="1" s="1"/>
  <c r="U720" i="1" s="1"/>
  <c r="U726" i="1" s="1"/>
  <c r="U731" i="1" s="1"/>
  <c r="U758" i="1" s="1"/>
  <c r="U764" i="1" s="1"/>
  <c r="U769" i="1" s="1"/>
  <c r="U796" i="1" s="1"/>
  <c r="U802" i="1" s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U992" i="1" s="1"/>
  <c r="U997" i="1" s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U1144" i="1" s="1"/>
  <c r="U1149" i="1" s="1"/>
  <c r="U1176" i="1" s="1"/>
  <c r="U1182" i="1" s="1"/>
  <c r="U1187" i="1" s="1"/>
  <c r="U1214" i="1" s="1"/>
  <c r="U1220" i="1" s="1"/>
  <c r="U1225" i="1" s="1"/>
  <c r="U1252" i="1" s="1"/>
  <c r="R655" i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R802" i="1" s="1"/>
  <c r="R807" i="1" s="1"/>
  <c r="R834" i="1" s="1"/>
  <c r="R840" i="1" s="1"/>
  <c r="H655" i="1"/>
  <c r="H682" i="1" s="1"/>
  <c r="H688" i="1" s="1"/>
  <c r="H693" i="1" s="1"/>
  <c r="H720" i="1" s="1"/>
  <c r="H726" i="1" s="1"/>
  <c r="H731" i="1" s="1"/>
  <c r="H758" i="1" s="1"/>
  <c r="H764" i="1" s="1"/>
  <c r="H769" i="1" s="1"/>
  <c r="H796" i="1" s="1"/>
  <c r="H802" i="1" s="1"/>
  <c r="H807" i="1" s="1"/>
  <c r="H834" i="1" s="1"/>
  <c r="H840" i="1" s="1"/>
  <c r="V536" i="1"/>
  <c r="V541" i="1" s="1"/>
  <c r="V568" i="1" s="1"/>
  <c r="V574" i="1" s="1"/>
  <c r="V579" i="1" s="1"/>
  <c r="V606" i="1" s="1"/>
  <c r="V612" i="1" s="1"/>
  <c r="V617" i="1" s="1"/>
  <c r="V644" i="1" s="1"/>
  <c r="V650" i="1" s="1"/>
  <c r="V655" i="1" s="1"/>
  <c r="V682" i="1" s="1"/>
  <c r="V688" i="1" s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V992" i="1" s="1"/>
  <c r="V997" i="1" s="1"/>
  <c r="V1024" i="1" s="1"/>
  <c r="V1030" i="1" s="1"/>
  <c r="V1035" i="1" s="1"/>
  <c r="V1062" i="1" s="1"/>
  <c r="V1068" i="1" s="1"/>
  <c r="V1073" i="1" s="1"/>
  <c r="V1100" i="1" s="1"/>
  <c r="V1106" i="1" s="1"/>
  <c r="V1111" i="1" s="1"/>
  <c r="V1138" i="1" s="1"/>
  <c r="V1144" i="1" s="1"/>
  <c r="V1149" i="1" s="1"/>
  <c r="V1176" i="1" s="1"/>
  <c r="V1182" i="1" s="1"/>
  <c r="V1187" i="1" s="1"/>
  <c r="V1214" i="1" s="1"/>
  <c r="V1220" i="1" s="1"/>
  <c r="V1225" i="1" s="1"/>
  <c r="V1252" i="1" s="1"/>
  <c r="W536" i="1"/>
  <c r="W541" i="1" s="1"/>
  <c r="W568" i="1" s="1"/>
  <c r="W574" i="1" s="1"/>
  <c r="W579" i="1" s="1"/>
  <c r="W606" i="1" s="1"/>
  <c r="W612" i="1" s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W992" i="1" s="1"/>
  <c r="W997" i="1" s="1"/>
  <c r="W1024" i="1" s="1"/>
  <c r="W1030" i="1" s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Q536" i="1"/>
  <c r="Q541" i="1" s="1"/>
  <c r="Q568" i="1" s="1"/>
  <c r="Q574" i="1" s="1"/>
  <c r="Q579" i="1" s="1"/>
  <c r="Q606" i="1" s="1"/>
  <c r="Q612" i="1" s="1"/>
  <c r="Q617" i="1" s="1"/>
  <c r="Q644" i="1" s="1"/>
  <c r="Q650" i="1" s="1"/>
  <c r="Q655" i="1" s="1"/>
  <c r="Q682" i="1" s="1"/>
  <c r="Q688" i="1" s="1"/>
  <c r="Q693" i="1" s="1"/>
  <c r="Q720" i="1" s="1"/>
  <c r="Q726" i="1" s="1"/>
  <c r="Q731" i="1" s="1"/>
  <c r="Q758" i="1" s="1"/>
  <c r="Q764" i="1" s="1"/>
  <c r="Q769" i="1" s="1"/>
  <c r="Q796" i="1" s="1"/>
  <c r="Q802" i="1" s="1"/>
  <c r="Q807" i="1" s="1"/>
  <c r="Q834" i="1" s="1"/>
  <c r="Q840" i="1" s="1"/>
  <c r="Q845" i="1" s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Q992" i="1" s="1"/>
  <c r="Q997" i="1" s="1"/>
  <c r="Q1024" i="1" s="1"/>
  <c r="Q1030" i="1" s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Q1182" i="1" s="1"/>
  <c r="Q1187" i="1" s="1"/>
  <c r="Q1214" i="1" s="1"/>
  <c r="Q1220" i="1" s="1"/>
  <c r="Q1225" i="1" s="1"/>
  <c r="Q1252" i="1" s="1"/>
  <c r="P536" i="1"/>
  <c r="P541" i="1" s="1"/>
  <c r="P568" i="1" s="1"/>
  <c r="P574" i="1" s="1"/>
  <c r="P579" i="1" s="1"/>
  <c r="P606" i="1" s="1"/>
  <c r="P612" i="1" s="1"/>
  <c r="P617" i="1" s="1"/>
  <c r="P644" i="1" s="1"/>
  <c r="P650" i="1" s="1"/>
  <c r="P655" i="1" s="1"/>
  <c r="P682" i="1" s="1"/>
  <c r="P688" i="1" s="1"/>
  <c r="P693" i="1" s="1"/>
  <c r="P720" i="1" s="1"/>
  <c r="P726" i="1" s="1"/>
  <c r="P731" i="1" s="1"/>
  <c r="P758" i="1" s="1"/>
  <c r="P764" i="1" s="1"/>
  <c r="P769" i="1" s="1"/>
  <c r="P796" i="1" s="1"/>
  <c r="P802" i="1" s="1"/>
  <c r="P807" i="1" s="1"/>
  <c r="P834" i="1" s="1"/>
  <c r="P840" i="1" s="1"/>
  <c r="P845" i="1" s="1"/>
  <c r="P872" i="1" s="1"/>
  <c r="P878" i="1" s="1"/>
  <c r="P883" i="1" s="1"/>
  <c r="P910" i="1" s="1"/>
  <c r="P916" i="1" s="1"/>
  <c r="P921" i="1" s="1"/>
  <c r="P948" i="1" s="1"/>
  <c r="P954" i="1" s="1"/>
  <c r="P959" i="1" s="1"/>
  <c r="P986" i="1" s="1"/>
  <c r="P992" i="1" s="1"/>
  <c r="P997" i="1" s="1"/>
  <c r="P1024" i="1" s="1"/>
  <c r="B199" i="1"/>
  <c r="B226" i="1" s="1"/>
  <c r="B232" i="1" s="1"/>
  <c r="F194" i="1"/>
  <c r="G199" i="1"/>
  <c r="G226" i="1" s="1"/>
  <c r="G232" i="1" s="1"/>
  <c r="K194" i="1"/>
  <c r="K199" i="1" s="1"/>
  <c r="K226" i="1" s="1"/>
  <c r="L156" i="1"/>
  <c r="F161" i="1"/>
  <c r="O161" i="1"/>
  <c r="O188" i="1" s="1"/>
  <c r="O194" i="1" s="1"/>
  <c r="S156" i="1"/>
  <c r="F150" i="1"/>
  <c r="L150" i="1" s="1"/>
  <c r="L123" i="1"/>
  <c r="T123" i="1"/>
  <c r="T150" i="1" s="1"/>
  <c r="T156" i="1" s="1"/>
  <c r="X118" i="1"/>
  <c r="X123" i="1" s="1"/>
  <c r="X150" i="1" s="1"/>
  <c r="S123" i="1"/>
  <c r="F112" i="1"/>
  <c r="L112" i="1" s="1"/>
  <c r="L85" i="1"/>
  <c r="Y80" i="1"/>
  <c r="S112" i="1"/>
  <c r="Y112" i="1" s="1"/>
  <c r="Y85" i="1"/>
  <c r="C1225" i="1" l="1"/>
  <c r="C1252" i="1" s="1"/>
  <c r="P1030" i="1"/>
  <c r="P1035" i="1" s="1"/>
  <c r="P1062" i="1" s="1"/>
  <c r="P1068" i="1" s="1"/>
  <c r="P1073" i="1" s="1"/>
  <c r="P1100" i="1" s="1"/>
  <c r="P1106" i="1" s="1"/>
  <c r="P1111" i="1" s="1"/>
  <c r="P1138" i="1" s="1"/>
  <c r="P1144" i="1" s="1"/>
  <c r="P1149" i="1" s="1"/>
  <c r="P1176" i="1" s="1"/>
  <c r="P1182" i="1" s="1"/>
  <c r="P1187" i="1" s="1"/>
  <c r="P1214" i="1" s="1"/>
  <c r="P1220" i="1" s="1"/>
  <c r="P1225" i="1" s="1"/>
  <c r="P1252" i="1" s="1"/>
  <c r="R845" i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R992" i="1" s="1"/>
  <c r="R997" i="1" s="1"/>
  <c r="R1024" i="1" s="1"/>
  <c r="R1030" i="1" s="1"/>
  <c r="R1035" i="1" s="1"/>
  <c r="R1062" i="1" s="1"/>
  <c r="R1068" i="1" s="1"/>
  <c r="R1073" i="1" s="1"/>
  <c r="R1100" i="1" s="1"/>
  <c r="R1106" i="1" s="1"/>
  <c r="R1111" i="1" s="1"/>
  <c r="R1138" i="1" s="1"/>
  <c r="R1144" i="1" s="1"/>
  <c r="R1149" i="1" s="1"/>
  <c r="R1176" i="1" s="1"/>
  <c r="R1182" i="1" s="1"/>
  <c r="R1187" i="1" s="1"/>
  <c r="R1214" i="1" s="1"/>
  <c r="R1220" i="1" s="1"/>
  <c r="R1225" i="1" s="1"/>
  <c r="R1252" i="1" s="1"/>
  <c r="H845" i="1"/>
  <c r="H872" i="1" s="1"/>
  <c r="H878" i="1" s="1"/>
  <c r="H883" i="1" s="1"/>
  <c r="H910" i="1" s="1"/>
  <c r="H916" i="1" s="1"/>
  <c r="G237" i="1"/>
  <c r="G264" i="1" s="1"/>
  <c r="G270" i="1" s="1"/>
  <c r="K232" i="1"/>
  <c r="K237" i="1" s="1"/>
  <c r="K264" i="1" s="1"/>
  <c r="B237" i="1"/>
  <c r="B264" i="1" s="1"/>
  <c r="B270" i="1" s="1"/>
  <c r="F232" i="1"/>
  <c r="L161" i="1"/>
  <c r="F188" i="1"/>
  <c r="L188" i="1" s="1"/>
  <c r="L194" i="1"/>
  <c r="F199" i="1"/>
  <c r="O199" i="1"/>
  <c r="O226" i="1" s="1"/>
  <c r="O232" i="1" s="1"/>
  <c r="S194" i="1"/>
  <c r="T161" i="1"/>
  <c r="T188" i="1" s="1"/>
  <c r="T194" i="1" s="1"/>
  <c r="X156" i="1"/>
  <c r="X161" i="1" s="1"/>
  <c r="X188" i="1" s="1"/>
  <c r="S161" i="1"/>
  <c r="Y118" i="1"/>
  <c r="S150" i="1"/>
  <c r="Y123" i="1"/>
  <c r="H921" i="1" l="1"/>
  <c r="H948" i="1" s="1"/>
  <c r="H954" i="1" s="1"/>
  <c r="H959" i="1" s="1"/>
  <c r="H986" i="1" s="1"/>
  <c r="H992" i="1" s="1"/>
  <c r="H997" i="1" s="1"/>
  <c r="H1024" i="1" s="1"/>
  <c r="H1030" i="1" s="1"/>
  <c r="F270" i="1"/>
  <c r="F275" i="1" s="1"/>
  <c r="F302" i="1" s="1"/>
  <c r="B275" i="1"/>
  <c r="B302" i="1" s="1"/>
  <c r="B308" i="1" s="1"/>
  <c r="G275" i="1"/>
  <c r="G302" i="1" s="1"/>
  <c r="G308" i="1" s="1"/>
  <c r="K270" i="1"/>
  <c r="L232" i="1"/>
  <c r="F237" i="1"/>
  <c r="O237" i="1"/>
  <c r="O264" i="1" s="1"/>
  <c r="O270" i="1" s="1"/>
  <c r="S232" i="1"/>
  <c r="Y156" i="1"/>
  <c r="F226" i="1"/>
  <c r="L226" i="1" s="1"/>
  <c r="L199" i="1"/>
  <c r="S199" i="1"/>
  <c r="T199" i="1"/>
  <c r="T226" i="1" s="1"/>
  <c r="T232" i="1" s="1"/>
  <c r="X194" i="1"/>
  <c r="X199" i="1" s="1"/>
  <c r="X226" i="1" s="1"/>
  <c r="S188" i="1"/>
  <c r="Y188" i="1" s="1"/>
  <c r="Y161" i="1"/>
  <c r="Y150" i="1"/>
  <c r="H1035" i="1" l="1"/>
  <c r="H1062" i="1" s="1"/>
  <c r="H1068" i="1" s="1"/>
  <c r="H1073" i="1" s="1"/>
  <c r="H1100" i="1" s="1"/>
  <c r="H1106" i="1" s="1"/>
  <c r="H1111" i="1" s="1"/>
  <c r="H1138" i="1" s="1"/>
  <c r="H1144" i="1" s="1"/>
  <c r="G313" i="1"/>
  <c r="G340" i="1" s="1"/>
  <c r="G346" i="1" s="1"/>
  <c r="K308" i="1"/>
  <c r="K313" i="1" s="1"/>
  <c r="K340" i="1" s="1"/>
  <c r="B313" i="1"/>
  <c r="B340" i="1" s="1"/>
  <c r="B346" i="1" s="1"/>
  <c r="F308" i="1"/>
  <c r="O275" i="1"/>
  <c r="O302" i="1" s="1"/>
  <c r="O308" i="1" s="1"/>
  <c r="S270" i="1"/>
  <c r="L270" i="1"/>
  <c r="K275" i="1"/>
  <c r="L237" i="1"/>
  <c r="F264" i="1"/>
  <c r="L264" i="1" s="1"/>
  <c r="T237" i="1"/>
  <c r="T264" i="1" s="1"/>
  <c r="T270" i="1" s="1"/>
  <c r="X232" i="1"/>
  <c r="X237" i="1" s="1"/>
  <c r="X264" i="1" s="1"/>
  <c r="S237" i="1"/>
  <c r="Y199" i="1"/>
  <c r="S226" i="1"/>
  <c r="Y194" i="1"/>
  <c r="H1149" i="1" l="1"/>
  <c r="H1176" i="1" s="1"/>
  <c r="H1182" i="1" s="1"/>
  <c r="H1187" i="1" s="1"/>
  <c r="H1214" i="1" s="1"/>
  <c r="H1220" i="1" s="1"/>
  <c r="F346" i="1"/>
  <c r="B351" i="1"/>
  <c r="B378" i="1" s="1"/>
  <c r="B384" i="1" s="1"/>
  <c r="G351" i="1"/>
  <c r="G378" i="1" s="1"/>
  <c r="G384" i="1" s="1"/>
  <c r="K346" i="1"/>
  <c r="K351" i="1" s="1"/>
  <c r="K378" i="1" s="1"/>
  <c r="L308" i="1"/>
  <c r="F313" i="1"/>
  <c r="O313" i="1"/>
  <c r="O340" i="1" s="1"/>
  <c r="O346" i="1" s="1"/>
  <c r="S308" i="1"/>
  <c r="T275" i="1"/>
  <c r="T302" i="1" s="1"/>
  <c r="T308" i="1" s="1"/>
  <c r="X270" i="1"/>
  <c r="X275" i="1" s="1"/>
  <c r="X302" i="1" s="1"/>
  <c r="S275" i="1"/>
  <c r="L275" i="1"/>
  <c r="K302" i="1"/>
  <c r="L302" i="1" s="1"/>
  <c r="Y232" i="1"/>
  <c r="Y237" i="1"/>
  <c r="S264" i="1"/>
  <c r="Y226" i="1"/>
  <c r="H1225" i="1" l="1"/>
  <c r="H1252" i="1" s="1"/>
  <c r="G389" i="1"/>
  <c r="G416" i="1" s="1"/>
  <c r="G422" i="1" s="1"/>
  <c r="K384" i="1"/>
  <c r="K389" i="1" s="1"/>
  <c r="K416" i="1" s="1"/>
  <c r="B389" i="1"/>
  <c r="B416" i="1" s="1"/>
  <c r="B422" i="1" s="1"/>
  <c r="F384" i="1"/>
  <c r="L346" i="1"/>
  <c r="F351" i="1"/>
  <c r="S346" i="1"/>
  <c r="O351" i="1"/>
  <c r="O378" i="1" s="1"/>
  <c r="O384" i="1" s="1"/>
  <c r="O389" i="1" s="1"/>
  <c r="L313" i="1"/>
  <c r="F340" i="1"/>
  <c r="L340" i="1" s="1"/>
  <c r="T313" i="1"/>
  <c r="T340" i="1" s="1"/>
  <c r="T346" i="1" s="1"/>
  <c r="X308" i="1"/>
  <c r="X313" i="1" s="1"/>
  <c r="X340" i="1" s="1"/>
  <c r="S313" i="1"/>
  <c r="Y270" i="1"/>
  <c r="Y275" i="1"/>
  <c r="S302" i="1"/>
  <c r="Y302" i="1" s="1"/>
  <c r="Y264" i="1"/>
  <c r="B427" i="1" l="1"/>
  <c r="B454" i="1" s="1"/>
  <c r="B460" i="1" s="1"/>
  <c r="F422" i="1"/>
  <c r="G427" i="1"/>
  <c r="G454" i="1" s="1"/>
  <c r="G460" i="1" s="1"/>
  <c r="K422" i="1"/>
  <c r="K427" i="1" s="1"/>
  <c r="K454" i="1" s="1"/>
  <c r="F389" i="1"/>
  <c r="L384" i="1"/>
  <c r="S384" i="1"/>
  <c r="S389" i="1" s="1"/>
  <c r="O416" i="1"/>
  <c r="O422" i="1" s="1"/>
  <c r="L351" i="1"/>
  <c r="F378" i="1"/>
  <c r="L378" i="1" s="1"/>
  <c r="Y308" i="1"/>
  <c r="T351" i="1"/>
  <c r="T378" i="1" s="1"/>
  <c r="T384" i="1" s="1"/>
  <c r="T389" i="1" s="1"/>
  <c r="X346" i="1"/>
  <c r="X351" i="1" s="1"/>
  <c r="X378" i="1" s="1"/>
  <c r="S351" i="1"/>
  <c r="Y313" i="1"/>
  <c r="S340" i="1"/>
  <c r="Y340" i="1" s="1"/>
  <c r="G465" i="1" l="1"/>
  <c r="G492" i="1" s="1"/>
  <c r="G498" i="1" s="1"/>
  <c r="K460" i="1"/>
  <c r="K465" i="1" s="1"/>
  <c r="K492" i="1" s="1"/>
  <c r="B465" i="1"/>
  <c r="B492" i="1" s="1"/>
  <c r="B498" i="1" s="1"/>
  <c r="F460" i="1"/>
  <c r="O427" i="1"/>
  <c r="O454" i="1" s="1"/>
  <c r="O460" i="1" s="1"/>
  <c r="S422" i="1"/>
  <c r="F427" i="1"/>
  <c r="L422" i="1"/>
  <c r="L389" i="1"/>
  <c r="F416" i="1"/>
  <c r="L416" i="1" s="1"/>
  <c r="X384" i="1"/>
  <c r="T416" i="1"/>
  <c r="T422" i="1" s="1"/>
  <c r="Y346" i="1"/>
  <c r="S378" i="1"/>
  <c r="Y351" i="1"/>
  <c r="G503" i="1" l="1"/>
  <c r="G530" i="1" s="1"/>
  <c r="G536" i="1" s="1"/>
  <c r="K498" i="1"/>
  <c r="K503" i="1" s="1"/>
  <c r="K530" i="1" s="1"/>
  <c r="B503" i="1"/>
  <c r="B530" i="1" s="1"/>
  <c r="B536" i="1" s="1"/>
  <c r="F498" i="1"/>
  <c r="O465" i="1"/>
  <c r="O492" i="1" s="1"/>
  <c r="O498" i="1" s="1"/>
  <c r="S460" i="1"/>
  <c r="F465" i="1"/>
  <c r="L460" i="1"/>
  <c r="X389" i="1"/>
  <c r="Y389" i="1" s="1"/>
  <c r="F454" i="1"/>
  <c r="L454" i="1" s="1"/>
  <c r="L427" i="1"/>
  <c r="S427" i="1"/>
  <c r="T427" i="1"/>
  <c r="T454" i="1" s="1"/>
  <c r="T460" i="1" s="1"/>
  <c r="X422" i="1"/>
  <c r="X427" i="1" s="1"/>
  <c r="X454" i="1" s="1"/>
  <c r="S416" i="1"/>
  <c r="Y384" i="1"/>
  <c r="Y378" i="1"/>
  <c r="L498" i="1" l="1"/>
  <c r="F503" i="1"/>
  <c r="G541" i="1"/>
  <c r="G568" i="1" s="1"/>
  <c r="G574" i="1" s="1"/>
  <c r="K536" i="1"/>
  <c r="K541" i="1" s="1"/>
  <c r="K568" i="1" s="1"/>
  <c r="F536" i="1"/>
  <c r="B541" i="1"/>
  <c r="B568" i="1" s="1"/>
  <c r="B574" i="1" s="1"/>
  <c r="O503" i="1"/>
  <c r="O530" i="1" s="1"/>
  <c r="S498" i="1"/>
  <c r="X460" i="1"/>
  <c r="X465" i="1" s="1"/>
  <c r="X492" i="1" s="1"/>
  <c r="T465" i="1"/>
  <c r="T492" i="1" s="1"/>
  <c r="T498" i="1" s="1"/>
  <c r="S465" i="1"/>
  <c r="F492" i="1"/>
  <c r="L492" i="1" s="1"/>
  <c r="L465" i="1"/>
  <c r="X416" i="1"/>
  <c r="Y416" i="1" s="1"/>
  <c r="Y422" i="1"/>
  <c r="Y427" i="1"/>
  <c r="S454" i="1"/>
  <c r="G579" i="1" l="1"/>
  <c r="G606" i="1" s="1"/>
  <c r="G612" i="1" s="1"/>
  <c r="K574" i="1"/>
  <c r="K579" i="1" s="1"/>
  <c r="K606" i="1" s="1"/>
  <c r="F574" i="1"/>
  <c r="B579" i="1"/>
  <c r="B606" i="1" s="1"/>
  <c r="B612" i="1" s="1"/>
  <c r="Y460" i="1"/>
  <c r="L536" i="1"/>
  <c r="F541" i="1"/>
  <c r="L503" i="1"/>
  <c r="F530" i="1"/>
  <c r="L530" i="1" s="1"/>
  <c r="T503" i="1"/>
  <c r="T530" i="1" s="1"/>
  <c r="X498" i="1"/>
  <c r="X503" i="1" s="1"/>
  <c r="X530" i="1" s="1"/>
  <c r="S503" i="1"/>
  <c r="O536" i="1"/>
  <c r="S492" i="1"/>
  <c r="Y465" i="1"/>
  <c r="Y454" i="1"/>
  <c r="G617" i="1" l="1"/>
  <c r="G644" i="1" s="1"/>
  <c r="G650" i="1" s="1"/>
  <c r="K612" i="1"/>
  <c r="K617" i="1" s="1"/>
  <c r="K644" i="1" s="1"/>
  <c r="B617" i="1"/>
  <c r="B644" i="1" s="1"/>
  <c r="B650" i="1" s="1"/>
  <c r="F612" i="1"/>
  <c r="F579" i="1"/>
  <c r="L574" i="1"/>
  <c r="Y498" i="1"/>
  <c r="F568" i="1"/>
  <c r="L568" i="1" s="1"/>
  <c r="L541" i="1"/>
  <c r="O541" i="1"/>
  <c r="O568" i="1" s="1"/>
  <c r="O574" i="1" s="1"/>
  <c r="S536" i="1"/>
  <c r="S530" i="1"/>
  <c r="Y503" i="1"/>
  <c r="T536" i="1"/>
  <c r="Y492" i="1"/>
  <c r="G655" i="1" l="1"/>
  <c r="G682" i="1" s="1"/>
  <c r="G688" i="1" s="1"/>
  <c r="K650" i="1"/>
  <c r="K655" i="1" s="1"/>
  <c r="K682" i="1" s="1"/>
  <c r="B655" i="1"/>
  <c r="B682" i="1" s="1"/>
  <c r="B688" i="1" s="1"/>
  <c r="F650" i="1"/>
  <c r="F617" i="1"/>
  <c r="L612" i="1"/>
  <c r="F606" i="1"/>
  <c r="L606" i="1" s="1"/>
  <c r="L579" i="1"/>
  <c r="S574" i="1"/>
  <c r="O579" i="1"/>
  <c r="O606" i="1" s="1"/>
  <c r="O612" i="1" s="1"/>
  <c r="S541" i="1"/>
  <c r="T541" i="1"/>
  <c r="T568" i="1" s="1"/>
  <c r="T574" i="1" s="1"/>
  <c r="X536" i="1"/>
  <c r="X541" i="1" s="1"/>
  <c r="X568" i="1" s="1"/>
  <c r="Y530" i="1"/>
  <c r="F688" i="1" l="1"/>
  <c r="B693" i="1"/>
  <c r="B720" i="1" s="1"/>
  <c r="B726" i="1" s="1"/>
  <c r="K688" i="1"/>
  <c r="K693" i="1" s="1"/>
  <c r="K720" i="1" s="1"/>
  <c r="G693" i="1"/>
  <c r="G720" i="1" s="1"/>
  <c r="G726" i="1" s="1"/>
  <c r="F655" i="1"/>
  <c r="L650" i="1"/>
  <c r="F644" i="1"/>
  <c r="L644" i="1" s="1"/>
  <c r="L617" i="1"/>
  <c r="S612" i="1"/>
  <c r="O617" i="1"/>
  <c r="O644" i="1" s="1"/>
  <c r="O650" i="1" s="1"/>
  <c r="S579" i="1"/>
  <c r="T579" i="1"/>
  <c r="T606" i="1" s="1"/>
  <c r="T612" i="1" s="1"/>
  <c r="X574" i="1"/>
  <c r="X579" i="1" s="1"/>
  <c r="X606" i="1" s="1"/>
  <c r="S568" i="1"/>
  <c r="Y568" i="1" s="1"/>
  <c r="Y541" i="1"/>
  <c r="Y536" i="1"/>
  <c r="G731" i="1" l="1"/>
  <c r="G758" i="1" s="1"/>
  <c r="G764" i="1" s="1"/>
  <c r="K726" i="1"/>
  <c r="K731" i="1" s="1"/>
  <c r="K758" i="1" s="1"/>
  <c r="F726" i="1"/>
  <c r="B731" i="1"/>
  <c r="B758" i="1" s="1"/>
  <c r="B764" i="1" s="1"/>
  <c r="F693" i="1"/>
  <c r="L688" i="1"/>
  <c r="O655" i="1"/>
  <c r="O682" i="1" s="1"/>
  <c r="O688" i="1" s="1"/>
  <c r="S650" i="1"/>
  <c r="F682" i="1"/>
  <c r="L682" i="1" s="1"/>
  <c r="L655" i="1"/>
  <c r="S617" i="1"/>
  <c r="T617" i="1"/>
  <c r="T644" i="1" s="1"/>
  <c r="T650" i="1" s="1"/>
  <c r="X612" i="1"/>
  <c r="X617" i="1" s="1"/>
  <c r="X644" i="1" s="1"/>
  <c r="Y574" i="1"/>
  <c r="Y579" i="1"/>
  <c r="S606" i="1"/>
  <c r="Y606" i="1" s="1"/>
  <c r="B769" i="1" l="1"/>
  <c r="B796" i="1" s="1"/>
  <c r="B802" i="1" s="1"/>
  <c r="F764" i="1"/>
  <c r="F769" i="1" s="1"/>
  <c r="F796" i="1" s="1"/>
  <c r="G769" i="1"/>
  <c r="G796" i="1" s="1"/>
  <c r="G802" i="1" s="1"/>
  <c r="K764" i="1"/>
  <c r="F731" i="1"/>
  <c r="L726" i="1"/>
  <c r="L693" i="1"/>
  <c r="F720" i="1"/>
  <c r="L720" i="1" s="1"/>
  <c r="S688" i="1"/>
  <c r="O693" i="1"/>
  <c r="O720" i="1" s="1"/>
  <c r="O726" i="1" s="1"/>
  <c r="T655" i="1"/>
  <c r="T682" i="1" s="1"/>
  <c r="T688" i="1" s="1"/>
  <c r="X650" i="1"/>
  <c r="X655" i="1" s="1"/>
  <c r="X682" i="1" s="1"/>
  <c r="S655" i="1"/>
  <c r="Y612" i="1"/>
  <c r="Y617" i="1"/>
  <c r="S644" i="1"/>
  <c r="Y644" i="1" s="1"/>
  <c r="G807" i="1" l="1"/>
  <c r="G834" i="1" s="1"/>
  <c r="G840" i="1" s="1"/>
  <c r="K802" i="1"/>
  <c r="K807" i="1" s="1"/>
  <c r="K834" i="1" s="1"/>
  <c r="F802" i="1"/>
  <c r="B807" i="1"/>
  <c r="B834" i="1" s="1"/>
  <c r="B840" i="1" s="1"/>
  <c r="K769" i="1"/>
  <c r="L764" i="1"/>
  <c r="F758" i="1"/>
  <c r="L758" i="1" s="1"/>
  <c r="L731" i="1"/>
  <c r="O731" i="1"/>
  <c r="O758" i="1" s="1"/>
  <c r="O764" i="1" s="1"/>
  <c r="S726" i="1"/>
  <c r="Y650" i="1"/>
  <c r="X688" i="1"/>
  <c r="X693" i="1" s="1"/>
  <c r="X720" i="1" s="1"/>
  <c r="T693" i="1"/>
  <c r="T720" i="1" s="1"/>
  <c r="T726" i="1" s="1"/>
  <c r="S693" i="1"/>
  <c r="Y655" i="1"/>
  <c r="S682" i="1"/>
  <c r="Y682" i="1" s="1"/>
  <c r="G845" i="1" l="1"/>
  <c r="G872" i="1" s="1"/>
  <c r="G878" i="1" s="1"/>
  <c r="K840" i="1"/>
  <c r="K845" i="1" s="1"/>
  <c r="K872" i="1" s="1"/>
  <c r="B845" i="1"/>
  <c r="B872" i="1" s="1"/>
  <c r="B878" i="1" s="1"/>
  <c r="F840" i="1"/>
  <c r="F807" i="1"/>
  <c r="L802" i="1"/>
  <c r="K796" i="1"/>
  <c r="L796" i="1" s="1"/>
  <c r="L769" i="1"/>
  <c r="O769" i="1"/>
  <c r="O796" i="1" s="1"/>
  <c r="O802" i="1" s="1"/>
  <c r="S764" i="1"/>
  <c r="T731" i="1"/>
  <c r="T758" i="1" s="1"/>
  <c r="T764" i="1" s="1"/>
  <c r="X726" i="1"/>
  <c r="X731" i="1" s="1"/>
  <c r="X758" i="1" s="1"/>
  <c r="S731" i="1"/>
  <c r="Y688" i="1"/>
  <c r="S720" i="1"/>
  <c r="Y720" i="1" s="1"/>
  <c r="Y693" i="1"/>
  <c r="G883" i="1" l="1"/>
  <c r="G910" i="1" s="1"/>
  <c r="G916" i="1" s="1"/>
  <c r="K878" i="1"/>
  <c r="K883" i="1" s="1"/>
  <c r="K910" i="1" s="1"/>
  <c r="F845" i="1"/>
  <c r="L840" i="1"/>
  <c r="F878" i="1"/>
  <c r="B883" i="1"/>
  <c r="B910" i="1" s="1"/>
  <c r="B916" i="1" s="1"/>
  <c r="O807" i="1"/>
  <c r="O834" i="1" s="1"/>
  <c r="O840" i="1" s="1"/>
  <c r="S802" i="1"/>
  <c r="S807" i="1" s="1"/>
  <c r="S834" i="1" s="1"/>
  <c r="L807" i="1"/>
  <c r="F834" i="1"/>
  <c r="L834" i="1" s="1"/>
  <c r="S769" i="1"/>
  <c r="X764" i="1"/>
  <c r="X769" i="1" s="1"/>
  <c r="X796" i="1" s="1"/>
  <c r="T769" i="1"/>
  <c r="T796" i="1" s="1"/>
  <c r="T802" i="1" s="1"/>
  <c r="Y731" i="1"/>
  <c r="S758" i="1"/>
  <c r="Y758" i="1" s="1"/>
  <c r="Y726" i="1"/>
  <c r="G921" i="1" l="1"/>
  <c r="G948" i="1" s="1"/>
  <c r="G954" i="1" s="1"/>
  <c r="K916" i="1"/>
  <c r="K921" i="1" s="1"/>
  <c r="K948" i="1" s="1"/>
  <c r="F916" i="1"/>
  <c r="B921" i="1"/>
  <c r="B948" i="1" s="1"/>
  <c r="B954" i="1" s="1"/>
  <c r="F883" i="1"/>
  <c r="L878" i="1"/>
  <c r="F872" i="1"/>
  <c r="L872" i="1" s="1"/>
  <c r="L845" i="1"/>
  <c r="O845" i="1"/>
  <c r="O872" i="1" s="1"/>
  <c r="O878" i="1" s="1"/>
  <c r="S840" i="1"/>
  <c r="T807" i="1"/>
  <c r="T834" i="1" s="1"/>
  <c r="T840" i="1" s="1"/>
  <c r="X802" i="1"/>
  <c r="S796" i="1"/>
  <c r="Y796" i="1" s="1"/>
  <c r="Y769" i="1"/>
  <c r="Y764" i="1"/>
  <c r="B959" i="1" l="1"/>
  <c r="B986" i="1" s="1"/>
  <c r="B992" i="1" s="1"/>
  <c r="F954" i="1"/>
  <c r="F959" i="1" s="1"/>
  <c r="F986" i="1" s="1"/>
  <c r="G959" i="1"/>
  <c r="G986" i="1" s="1"/>
  <c r="G992" i="1" s="1"/>
  <c r="K954" i="1"/>
  <c r="F921" i="1"/>
  <c r="L916" i="1"/>
  <c r="F910" i="1"/>
  <c r="L910" i="1" s="1"/>
  <c r="L883" i="1"/>
  <c r="O883" i="1"/>
  <c r="O910" i="1" s="1"/>
  <c r="O916" i="1" s="1"/>
  <c r="S878" i="1"/>
  <c r="S845" i="1"/>
  <c r="T845" i="1"/>
  <c r="T872" i="1" s="1"/>
  <c r="T878" i="1" s="1"/>
  <c r="X840" i="1"/>
  <c r="X845" i="1" s="1"/>
  <c r="X872" i="1" s="1"/>
  <c r="X807" i="1"/>
  <c r="Y802" i="1"/>
  <c r="K992" i="1" l="1"/>
  <c r="K997" i="1" s="1"/>
  <c r="K1024" i="1" s="1"/>
  <c r="G997" i="1"/>
  <c r="G1024" i="1" s="1"/>
  <c r="G1030" i="1" s="1"/>
  <c r="F992" i="1"/>
  <c r="B997" i="1"/>
  <c r="B1024" i="1" s="1"/>
  <c r="B1030" i="1" s="1"/>
  <c r="K959" i="1"/>
  <c r="L954" i="1"/>
  <c r="O921" i="1"/>
  <c r="O948" i="1" s="1"/>
  <c r="O954" i="1" s="1"/>
  <c r="S916" i="1"/>
  <c r="F948" i="1"/>
  <c r="L948" i="1" s="1"/>
  <c r="L921" i="1"/>
  <c r="X878" i="1"/>
  <c r="X883" i="1" s="1"/>
  <c r="X910" i="1" s="1"/>
  <c r="T883" i="1"/>
  <c r="T910" i="1" s="1"/>
  <c r="T916" i="1" s="1"/>
  <c r="S883" i="1"/>
  <c r="Y840" i="1"/>
  <c r="Y845" i="1"/>
  <c r="S872" i="1"/>
  <c r="Y872" i="1" s="1"/>
  <c r="X834" i="1"/>
  <c r="Y834" i="1" s="1"/>
  <c r="Y807" i="1"/>
  <c r="G1035" i="1" l="1"/>
  <c r="G1062" i="1" s="1"/>
  <c r="G1068" i="1" s="1"/>
  <c r="K1030" i="1"/>
  <c r="K1035" i="1" s="1"/>
  <c r="K1062" i="1" s="1"/>
  <c r="B1035" i="1"/>
  <c r="B1062" i="1" s="1"/>
  <c r="B1068" i="1" s="1"/>
  <c r="F1030" i="1"/>
  <c r="L992" i="1"/>
  <c r="F997" i="1"/>
  <c r="K986" i="1"/>
  <c r="L986" i="1" s="1"/>
  <c r="L959" i="1"/>
  <c r="S954" i="1"/>
  <c r="O959" i="1"/>
  <c r="O986" i="1" s="1"/>
  <c r="O992" i="1" s="1"/>
  <c r="S921" i="1"/>
  <c r="X916" i="1"/>
  <c r="X921" i="1" s="1"/>
  <c r="X948" i="1" s="1"/>
  <c r="T921" i="1"/>
  <c r="T948" i="1" s="1"/>
  <c r="T954" i="1" s="1"/>
  <c r="Y878" i="1"/>
  <c r="Y883" i="1"/>
  <c r="S910" i="1"/>
  <c r="Y910" i="1" s="1"/>
  <c r="B1073" i="1" l="1"/>
  <c r="B1100" i="1" s="1"/>
  <c r="B1106" i="1" s="1"/>
  <c r="F1068" i="1"/>
  <c r="F1073" i="1" s="1"/>
  <c r="F1100" i="1" s="1"/>
  <c r="G1073" i="1"/>
  <c r="G1100" i="1" s="1"/>
  <c r="G1106" i="1" s="1"/>
  <c r="K1068" i="1"/>
  <c r="F1035" i="1"/>
  <c r="L1030" i="1"/>
  <c r="L997" i="1"/>
  <c r="F1024" i="1"/>
  <c r="L1024" i="1" s="1"/>
  <c r="S992" i="1"/>
  <c r="O997" i="1"/>
  <c r="O1024" i="1" s="1"/>
  <c r="X954" i="1"/>
  <c r="X959" i="1" s="1"/>
  <c r="X986" i="1" s="1"/>
  <c r="T959" i="1"/>
  <c r="T986" i="1" s="1"/>
  <c r="T992" i="1" s="1"/>
  <c r="S959" i="1"/>
  <c r="Y916" i="1"/>
  <c r="Y921" i="1"/>
  <c r="S948" i="1"/>
  <c r="Y948" i="1" s="1"/>
  <c r="F1106" i="1" l="1"/>
  <c r="F1111" i="1" s="1"/>
  <c r="F1138" i="1" s="1"/>
  <c r="B1111" i="1"/>
  <c r="B1138" i="1" s="1"/>
  <c r="B1144" i="1" s="1"/>
  <c r="K1073" i="1"/>
  <c r="L1068" i="1"/>
  <c r="K1106" i="1"/>
  <c r="G1111" i="1"/>
  <c r="G1138" i="1" s="1"/>
  <c r="G1144" i="1" s="1"/>
  <c r="F1062" i="1"/>
  <c r="L1062" i="1" s="1"/>
  <c r="L1035" i="1"/>
  <c r="Y954" i="1"/>
  <c r="O1030" i="1"/>
  <c r="O1035" i="1" s="1"/>
  <c r="O1062" i="1" s="1"/>
  <c r="O1068" i="1" s="1"/>
  <c r="X992" i="1"/>
  <c r="X997" i="1" s="1"/>
  <c r="X1024" i="1" s="1"/>
  <c r="T997" i="1"/>
  <c r="T1024" i="1" s="1"/>
  <c r="S997" i="1"/>
  <c r="Y959" i="1"/>
  <c r="S986" i="1"/>
  <c r="Y986" i="1" s="1"/>
  <c r="G1149" i="1" l="1"/>
  <c r="G1176" i="1" s="1"/>
  <c r="G1182" i="1" s="1"/>
  <c r="K1144" i="1"/>
  <c r="K1149" i="1" s="1"/>
  <c r="K1176" i="1" s="1"/>
  <c r="F1144" i="1"/>
  <c r="B1149" i="1"/>
  <c r="B1176" i="1" s="1"/>
  <c r="B1182" i="1" s="1"/>
  <c r="K1111" i="1"/>
  <c r="L1106" i="1"/>
  <c r="K1100" i="1"/>
  <c r="L1100" i="1" s="1"/>
  <c r="L1073" i="1"/>
  <c r="S1068" i="1"/>
  <c r="O1073" i="1"/>
  <c r="O1100" i="1" s="1"/>
  <c r="O1106" i="1" s="1"/>
  <c r="S1030" i="1"/>
  <c r="S1035" i="1" s="1"/>
  <c r="V1025" i="1"/>
  <c r="X1025" i="1"/>
  <c r="U1025" i="1"/>
  <c r="W1025" i="1"/>
  <c r="T1025" i="1"/>
  <c r="Y992" i="1"/>
  <c r="T1030" i="1"/>
  <c r="T1035" i="1" s="1"/>
  <c r="T1062" i="1" s="1"/>
  <c r="T1068" i="1" s="1"/>
  <c r="Y997" i="1"/>
  <c r="S1024" i="1"/>
  <c r="G1187" i="1" l="1"/>
  <c r="G1214" i="1" s="1"/>
  <c r="G1220" i="1" s="1"/>
  <c r="K1182" i="1"/>
  <c r="K1187" i="1" s="1"/>
  <c r="K1214" i="1" s="1"/>
  <c r="F1182" i="1"/>
  <c r="B1187" i="1"/>
  <c r="B1214" i="1" s="1"/>
  <c r="B1220" i="1" s="1"/>
  <c r="L1144" i="1"/>
  <c r="F1149" i="1"/>
  <c r="K1138" i="1"/>
  <c r="L1138" i="1" s="1"/>
  <c r="L1111" i="1"/>
  <c r="S1106" i="1"/>
  <c r="O1111" i="1"/>
  <c r="O1138" i="1" s="1"/>
  <c r="O1144" i="1" s="1"/>
  <c r="T1073" i="1"/>
  <c r="T1100" i="1" s="1"/>
  <c r="T1106" i="1" s="1"/>
  <c r="X1068" i="1"/>
  <c r="X1073" i="1" s="1"/>
  <c r="X1100" i="1" s="1"/>
  <c r="S1073" i="1"/>
  <c r="X1030" i="1"/>
  <c r="X1035" i="1" s="1"/>
  <c r="X1062" i="1" s="1"/>
  <c r="S1025" i="1"/>
  <c r="O1025" i="1"/>
  <c r="R1025" i="1"/>
  <c r="Q1025" i="1"/>
  <c r="P1025" i="1"/>
  <c r="Y1024" i="1"/>
  <c r="S1062" i="1"/>
  <c r="G1225" i="1" l="1"/>
  <c r="G1252" i="1" s="1"/>
  <c r="K1220" i="1"/>
  <c r="K1225" i="1" s="1"/>
  <c r="K1252" i="1" s="1"/>
  <c r="B1225" i="1"/>
  <c r="B1252" i="1" s="1"/>
  <c r="F1220" i="1"/>
  <c r="F1187" i="1"/>
  <c r="L1182" i="1"/>
  <c r="S1144" i="1"/>
  <c r="S1149" i="1" s="1"/>
  <c r="S1176" i="1" s="1"/>
  <c r="O1149" i="1"/>
  <c r="O1176" i="1" s="1"/>
  <c r="O1182" i="1" s="1"/>
  <c r="F1176" i="1"/>
  <c r="L1176" i="1" s="1"/>
  <c r="L1149" i="1"/>
  <c r="X1106" i="1"/>
  <c r="X1111" i="1" s="1"/>
  <c r="X1138" i="1" s="1"/>
  <c r="T1111" i="1"/>
  <c r="T1138" i="1" s="1"/>
  <c r="T1144" i="1" s="1"/>
  <c r="S1111" i="1"/>
  <c r="Y1068" i="1"/>
  <c r="Y1073" i="1"/>
  <c r="S1100" i="1"/>
  <c r="Y1100" i="1" s="1"/>
  <c r="Y1035" i="1"/>
  <c r="Y1030" i="1"/>
  <c r="Y1062" i="1"/>
  <c r="F1225" i="1" l="1"/>
  <c r="L1220" i="1"/>
  <c r="S1182" i="1"/>
  <c r="O1187" i="1"/>
  <c r="O1214" i="1" s="1"/>
  <c r="O1220" i="1" s="1"/>
  <c r="F1214" i="1"/>
  <c r="L1214" i="1" s="1"/>
  <c r="L1187" i="1"/>
  <c r="X1144" i="1"/>
  <c r="T1149" i="1"/>
  <c r="T1176" i="1" s="1"/>
  <c r="T1182" i="1" s="1"/>
  <c r="Y1106" i="1"/>
  <c r="Y1111" i="1"/>
  <c r="S1138" i="1"/>
  <c r="Y1138" i="1" s="1"/>
  <c r="F1252" i="1" l="1"/>
  <c r="L1252" i="1" s="1"/>
  <c r="L1225" i="1"/>
  <c r="S1220" i="1"/>
  <c r="O1225" i="1"/>
  <c r="O1252" i="1" s="1"/>
  <c r="X1182" i="1"/>
  <c r="X1187" i="1" s="1"/>
  <c r="X1214" i="1" s="1"/>
  <c r="T1187" i="1"/>
  <c r="T1214" i="1" s="1"/>
  <c r="T1220" i="1" s="1"/>
  <c r="Y1182" i="1"/>
  <c r="S1187" i="1"/>
  <c r="X1149" i="1"/>
  <c r="Y1144" i="1"/>
  <c r="X1220" i="1" l="1"/>
  <c r="X1225" i="1" s="1"/>
  <c r="X1252" i="1" s="1"/>
  <c r="T1225" i="1"/>
  <c r="T1252" i="1" s="1"/>
  <c r="Y1220" i="1"/>
  <c r="S1225" i="1"/>
  <c r="Y1187" i="1"/>
  <c r="S1214" i="1"/>
  <c r="Y1214" i="1" s="1"/>
  <c r="X1176" i="1"/>
  <c r="Y1176" i="1" s="1"/>
  <c r="Y1149" i="1"/>
  <c r="T1253" i="1" l="1"/>
  <c r="U1253" i="1"/>
  <c r="V1253" i="1"/>
  <c r="W1253" i="1"/>
  <c r="X1253" i="1"/>
  <c r="S1252" i="1"/>
  <c r="Y1225" i="1"/>
  <c r="Y1252" i="1" l="1"/>
  <c r="S1253" i="1"/>
  <c r="O1253" i="1"/>
  <c r="Q1253" i="1"/>
  <c r="P1253" i="1"/>
  <c r="R1253" i="1"/>
</calcChain>
</file>

<file path=xl/sharedStrings.xml><?xml version="1.0" encoding="utf-8"?>
<sst xmlns="http://schemas.openxmlformats.org/spreadsheetml/2006/main" count="2786" uniqueCount="623">
  <si>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</si>
  <si>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</si>
  <si>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</si>
  <si>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</si>
  <si>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</si>
  <si>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</si>
  <si>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</si>
  <si>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</si>
  <si>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</si>
  <si>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</si>
  <si>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</si>
  <si>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</si>
  <si>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</si>
  <si>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</si>
  <si>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</si>
  <si>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</si>
  <si>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</si>
  <si>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追加１</t>
    <rPh sb="0" eb="2">
      <t>ツイカ</t>
    </rPh>
    <phoneticPr fontId="2"/>
  </si>
  <si>
    <t>パープル</t>
    <phoneticPr fontId="6"/>
  </si>
  <si>
    <t>シルバーピンク</t>
    <phoneticPr fontId="6"/>
  </si>
  <si>
    <t>3/6～</t>
    <phoneticPr fontId="6"/>
  </si>
  <si>
    <t>日生協３月０２号　差分予測</t>
    <rPh sb="0" eb="3">
      <t>ニッセイキョウ</t>
    </rPh>
    <rPh sb="4" eb="5">
      <t>ガツ</t>
    </rPh>
    <rPh sb="7" eb="8">
      <t>ゴウ</t>
    </rPh>
    <rPh sb="9" eb="13">
      <t>サブンヨソク</t>
    </rPh>
    <phoneticPr fontId="6"/>
  </si>
  <si>
    <t>点3/3、前取3/10、アバ3/14・21、最終3/29</t>
    <rPh sb="0" eb="1">
      <t>テン</t>
    </rPh>
    <rPh sb="5" eb="6">
      <t>マエ</t>
    </rPh>
    <rPh sb="6" eb="7">
      <t>トリ</t>
    </rPh>
    <rPh sb="22" eb="24">
      <t>サイシュウ</t>
    </rPh>
    <phoneticPr fontId="6"/>
  </si>
  <si>
    <t>JODメルシー0209</t>
    <phoneticPr fontId="6"/>
  </si>
  <si>
    <t>2/9～</t>
    <phoneticPr fontId="6"/>
  </si>
  <si>
    <t>点2/23、アバウト3/14、本3/15～25</t>
    <rPh sb="0" eb="1">
      <t>テン</t>
    </rPh>
    <rPh sb="15" eb="16">
      <t>ホン</t>
    </rPh>
    <phoneticPr fontId="6"/>
  </si>
  <si>
    <t>骨盤底筋ショートガードル　夢販在庫 YSG-001</t>
    <rPh sb="0" eb="4">
      <t>コツバンテイキン</t>
    </rPh>
    <rPh sb="13" eb="14">
      <t>ユメ</t>
    </rPh>
    <rPh sb="14" eb="15">
      <t>ハン</t>
    </rPh>
    <rPh sb="15" eb="17">
      <t>ザイコ</t>
    </rPh>
    <phoneticPr fontId="2"/>
  </si>
  <si>
    <t>骨盤底筋ショートガードル　KPORT在庫 YSG-001</t>
    <rPh sb="0" eb="4">
      <t>コツバンテイキン</t>
    </rPh>
    <rPh sb="18" eb="20">
      <t>ザイコ</t>
    </rPh>
    <phoneticPr fontId="2"/>
  </si>
  <si>
    <t>夢販</t>
    <rPh sb="0" eb="2">
      <t>ユメハン</t>
    </rPh>
    <phoneticPr fontId="6"/>
  </si>
  <si>
    <t>くらし企画（きんき）sample</t>
    <rPh sb="3" eb="5">
      <t>キカク</t>
    </rPh>
    <phoneticPr fontId="6"/>
  </si>
  <si>
    <t>ネット</t>
    <phoneticPr fontId="6"/>
  </si>
  <si>
    <t>ディノス基準マチ部分検査用</t>
    <rPh sb="4" eb="6">
      <t>キジュン</t>
    </rPh>
    <rPh sb="8" eb="10">
      <t>ブブン</t>
    </rPh>
    <rPh sb="10" eb="12">
      <t>ケンサ</t>
    </rPh>
    <rPh sb="12" eb="13">
      <t>ヨウ</t>
    </rPh>
    <phoneticPr fontId="6"/>
  </si>
  <si>
    <t>1/13数伝　1/10Air</t>
    <rPh sb="4" eb="5">
      <t>スウ</t>
    </rPh>
    <rPh sb="5" eb="6">
      <t>デン</t>
    </rPh>
    <phoneticPr fontId="6"/>
  </si>
  <si>
    <t>1/27数伝　1/18ship</t>
    <rPh sb="4" eb="5">
      <t>スウ</t>
    </rPh>
    <rPh sb="5" eb="6">
      <t>デン</t>
    </rPh>
    <phoneticPr fontId="6"/>
  </si>
  <si>
    <t>ディノス基準マチ部分再検査用</t>
    <rPh sb="4" eb="6">
      <t>キジュン</t>
    </rPh>
    <rPh sb="8" eb="10">
      <t>ブブン</t>
    </rPh>
    <rPh sb="10" eb="11">
      <t>サイ</t>
    </rPh>
    <rPh sb="11" eb="13">
      <t>ケンサ</t>
    </rPh>
    <rPh sb="13" eb="14">
      <t>ヨウ</t>
    </rPh>
    <phoneticPr fontId="6"/>
  </si>
  <si>
    <t>ニッセン①</t>
    <phoneticPr fontId="6"/>
  </si>
  <si>
    <t>JOD①</t>
    <phoneticPr fontId="6"/>
  </si>
  <si>
    <t>毎日が発見サンプル</t>
    <rPh sb="0" eb="2">
      <t>マイニチ</t>
    </rPh>
    <rPh sb="3" eb="5">
      <t>ハッケン</t>
    </rPh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</si>
  <si>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</si>
  <si>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</si>
  <si>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</si>
  <si>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</si>
  <si>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</si>
  <si>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</si>
  <si>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t>JOD⑧</t>
    <phoneticPr fontId="6"/>
  </si>
  <si>
    <t>JOD⑨</t>
    <phoneticPr fontId="6"/>
  </si>
  <si>
    <t>JODメルシー0406</t>
    <phoneticPr fontId="6"/>
  </si>
  <si>
    <t>4/6～</t>
    <phoneticPr fontId="6"/>
  </si>
  <si>
    <t>JOD⑩</t>
    <phoneticPr fontId="6"/>
  </si>
  <si>
    <t>ディノス23夏（同色2枚組）(JAN隠す）①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</si>
  <si>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ディノス23夏（単品）（JAN隠す）①</t>
    <rPh sb="6" eb="7">
      <t>ナツ</t>
    </rPh>
    <rPh sb="8" eb="10">
      <t>タンピン</t>
    </rPh>
    <rPh sb="15" eb="16">
      <t>カク</t>
    </rPh>
    <phoneticPr fontId="6"/>
  </si>
  <si>
    <t>ディノス23夏（同色2枚組）（JAN隠す）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</si>
  <si>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</t>
    <rPh sb="6" eb="7">
      <t>ナツ</t>
    </rPh>
    <rPh sb="8" eb="10">
      <t>タンピン</t>
    </rPh>
    <rPh sb="15" eb="16">
      <t>カク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</si>
  <si>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（不透明袋・注意シール）東日本①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</si>
  <si>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t>JOD⑪</t>
    <phoneticPr fontId="6"/>
  </si>
  <si>
    <t>JOD⑫</t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</si>
  <si>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rPh sb="11" eb="15">
      <t>フトウメイフクロ</t>
    </rPh>
    <phoneticPr fontId="6"/>
  </si>
  <si>
    <t>JODプリマナ7268</t>
    <phoneticPr fontId="6"/>
  </si>
  <si>
    <t>4/4～</t>
    <phoneticPr fontId="6"/>
  </si>
  <si>
    <t>アンファミエ23年夏号</t>
    <rPh sb="8" eb="9">
      <t>ネン</t>
    </rPh>
    <rPh sb="9" eb="11">
      <t>ナツゴウ</t>
    </rPh>
    <phoneticPr fontId="6"/>
  </si>
  <si>
    <t>6/1発行</t>
    <rPh sb="3" eb="5">
      <t>ハッコウ</t>
    </rPh>
    <phoneticPr fontId="6"/>
  </si>
  <si>
    <t>2/24数伝　2/18ship</t>
    <rPh sb="4" eb="5">
      <t>スウ</t>
    </rPh>
    <rPh sb="5" eb="6">
      <t>デン</t>
    </rPh>
    <phoneticPr fontId="6"/>
  </si>
  <si>
    <t>JOD⑬</t>
    <phoneticPr fontId="6"/>
  </si>
  <si>
    <t>2023/3/7数 3/4AIR</t>
    <rPh sb="8" eb="9">
      <t>スウ</t>
    </rPh>
    <phoneticPr fontId="6"/>
  </si>
  <si>
    <t>JOD⑭</t>
    <phoneticPr fontId="6"/>
  </si>
  <si>
    <t>JOD返品</t>
    <rPh sb="3" eb="5">
      <t>ヘンピン</t>
    </rPh>
    <phoneticPr fontId="2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</si>
  <si>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（不透明袋・注意シール）西日本①</t>
    </r>
    <rPh sb="0" eb="3">
      <t>ニッセイキョウ</t>
    </rPh>
    <rPh sb="4" eb="5">
      <t>ガツ</t>
    </rPh>
    <rPh sb="7" eb="8">
      <t>ゴウ</t>
    </rPh>
    <rPh sb="14" eb="16">
      <t>チュウイ</t>
    </rPh>
    <rPh sb="20" eb="21">
      <t>ニシ</t>
    </rPh>
    <rPh sb="21" eb="23">
      <t>ニホン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</si>
  <si>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（不透明袋・注意シール）東日本②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</si>
  <si>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t>JOD⑮</t>
    <phoneticPr fontId="6"/>
  </si>
  <si>
    <t>JOD⑯</t>
    <phoneticPr fontId="6"/>
  </si>
  <si>
    <t>JOD⑰</t>
    <phoneticPr fontId="6"/>
  </si>
  <si>
    <t>全国通販sample</t>
    <rPh sb="0" eb="4">
      <t>ゼンコクツウハン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</si>
  <si>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（不透明袋・注意シール）西日本②</t>
    </r>
    <rPh sb="0" eb="3">
      <t>ニッセイキョウ</t>
    </rPh>
    <rPh sb="4" eb="5">
      <t>ガツ</t>
    </rPh>
    <rPh sb="7" eb="8">
      <t>ゴウ</t>
    </rPh>
    <rPh sb="14" eb="16">
      <t>チュウイ</t>
    </rPh>
    <rPh sb="20" eb="21">
      <t>ニシ</t>
    </rPh>
    <rPh sb="21" eb="23">
      <t>ニホン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</si>
  <si>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（不透明袋・注意シール）西日本③</t>
    </r>
    <rPh sb="0" eb="3">
      <t>ニッセイキョウ</t>
    </rPh>
    <rPh sb="4" eb="5">
      <t>ガツ</t>
    </rPh>
    <rPh sb="7" eb="8">
      <t>ゴウ</t>
    </rPh>
    <rPh sb="14" eb="16">
      <t>チュウイ</t>
    </rPh>
    <rPh sb="20" eb="21">
      <t>ニシ</t>
    </rPh>
    <rPh sb="21" eb="23">
      <t>ニホン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</si>
  <si>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（不透明袋・注意シール）東日本③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</si>
  <si>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t>JOD⑱</t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</si>
  <si>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（不透明袋）③</t>
    </r>
    <rPh sb="7" eb="8">
      <t>ガツ</t>
    </rPh>
    <rPh sb="9" eb="10">
      <t>カイ</t>
    </rPh>
    <rPh sb="11" eb="15">
      <t>フトウメイフクロ</t>
    </rPh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</si>
  <si>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rPh sb="11" eb="15">
      <t>フトウメイフクロ</t>
    </rPh>
    <phoneticPr fontId="6"/>
  </si>
  <si>
    <t>夢販</t>
    <rPh sb="0" eb="2">
      <t>ユメハン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</si>
  <si>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（不透明袋・注意シール）東日本⑤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</si>
  <si>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（不透明袋・注意シール）東日本④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</si>
  <si>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（不透明袋）④</t>
    </r>
    <rPh sb="7" eb="8">
      <t>ガツ</t>
    </rPh>
    <rPh sb="9" eb="10">
      <t>カイ</t>
    </rPh>
    <rPh sb="11" eb="15">
      <t>フトウメイフクロ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</si>
  <si>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（不透明袋・注意シール）西日本⑤</t>
    </r>
    <rPh sb="0" eb="3">
      <t>ニッセイキョウ</t>
    </rPh>
    <rPh sb="4" eb="5">
      <t>ガツ</t>
    </rPh>
    <rPh sb="7" eb="8">
      <t>ゴウ</t>
    </rPh>
    <rPh sb="14" eb="16">
      <t>チュウイ</t>
    </rPh>
    <rPh sb="20" eb="21">
      <t>ニシ</t>
    </rPh>
    <rPh sb="21" eb="23">
      <t>ニホン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</si>
  <si>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（不透明袋・注意シール）西日本④</t>
    </r>
    <rPh sb="0" eb="3">
      <t>ニッセイキョウ</t>
    </rPh>
    <rPh sb="4" eb="5">
      <t>ガツ</t>
    </rPh>
    <rPh sb="7" eb="8">
      <t>ゴウ</t>
    </rPh>
    <rPh sb="14" eb="16">
      <t>チュウイ</t>
    </rPh>
    <rPh sb="20" eb="21">
      <t>ニシ</t>
    </rPh>
    <rPh sb="21" eb="23">
      <t>ニホン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</si>
  <si>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（不透明袋・注意表示シール）</t>
    </r>
    <rPh sb="0" eb="3">
      <t>ニッセイキョウ</t>
    </rPh>
    <rPh sb="4" eb="5">
      <t>ガツ</t>
    </rPh>
    <rPh sb="7" eb="8">
      <t>ゴウ</t>
    </rPh>
    <rPh sb="14" eb="18">
      <t>チュウイヒョウジ</t>
    </rPh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</si>
  <si>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（不透明袋）差分予測</t>
    </r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</si>
  <si>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5">
      <t>フトウメイフクロ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</si>
  <si>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（不透明袋・注意シール）東日本⑦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</si>
  <si>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（不透明袋・注意シール）東日本⑥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</si>
  <si>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（不透明袋）⑤</t>
    </r>
    <rPh sb="7" eb="8">
      <t>ガツ</t>
    </rPh>
    <rPh sb="9" eb="10">
      <t>カイ</t>
    </rPh>
    <rPh sb="11" eb="15">
      <t>フトウメイフクロ</t>
    </rPh>
    <phoneticPr fontId="6"/>
  </si>
  <si>
    <t>JOD⑲</t>
    <phoneticPr fontId="6"/>
  </si>
  <si>
    <t>夢販</t>
    <rPh sb="0" eb="2">
      <t>ユメハン</t>
    </rPh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</si>
  <si>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（不透明袋・注意シール）東日本⑧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</si>
  <si>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t>JOD⑳</t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</si>
  <si>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（不透明袋・注意シール）東日本⑨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</si>
  <si>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t>全国通販sample</t>
    <rPh sb="0" eb="4">
      <t>ゼンコクツウハン</t>
    </rPh>
    <phoneticPr fontId="6"/>
  </si>
  <si>
    <t>JOD㉑</t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</si>
  <si>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（不透明袋・注意シール）東日本⑩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</si>
  <si>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t>JOD㉒</t>
    <phoneticPr fontId="6"/>
  </si>
  <si>
    <t>JOD㉓</t>
    <phoneticPr fontId="6"/>
  </si>
  <si>
    <t>JOD㉔</t>
    <phoneticPr fontId="6"/>
  </si>
  <si>
    <r>
      <t>日生協３月０２号</t>
    </r>
    <r>
      <rPr>
        <b/>
        <sz val="11"/>
        <rFont val="ＭＳ Ｐゴシック"/>
        <family val="3"/>
        <charset val="128"/>
      </rPr>
      <t>（不透明袋・注意シール）東日本⑪</t>
    </r>
    <rPh sb="0" eb="3">
      <t>ニッセイキョウ</t>
    </rPh>
    <rPh sb="4" eb="5">
      <t>ガツ</t>
    </rPh>
    <rPh sb="7" eb="8">
      <t>ゴウ</t>
    </rPh>
    <rPh sb="14" eb="16">
      <t>チュウイ</t>
    </rPh>
    <rPh sb="20" eb="23">
      <t>ヒガシニホン</t>
    </rPh>
    <phoneticPr fontId="6"/>
  </si>
  <si>
    <t>JOD㉕</t>
    <phoneticPr fontId="6"/>
  </si>
  <si>
    <t>K-PORT</t>
    <phoneticPr fontId="6"/>
  </si>
  <si>
    <t>JOD㉖</t>
    <phoneticPr fontId="6"/>
  </si>
  <si>
    <t>ディノス23夏（単品）（JAN隠す）②</t>
    <rPh sb="6" eb="7">
      <t>ナツ</t>
    </rPh>
    <rPh sb="8" eb="10">
      <t>タンピン</t>
    </rPh>
    <rPh sb="15" eb="16">
      <t>カク</t>
    </rPh>
    <phoneticPr fontId="6"/>
  </si>
  <si>
    <t>ディノス23夏（同色2枚組）(JAN隠す）②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</si>
  <si>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ディノス23夏（単品）（JAN隠す）③</t>
    <rPh sb="6" eb="7">
      <t>ナツ</t>
    </rPh>
    <rPh sb="8" eb="10">
      <t>タンピン</t>
    </rPh>
    <rPh sb="15" eb="16">
      <t>カク</t>
    </rPh>
    <phoneticPr fontId="6"/>
  </si>
  <si>
    <t>西夢</t>
    <rPh sb="0" eb="2">
      <t>ニシユメ</t>
    </rPh>
    <phoneticPr fontId="6"/>
  </si>
  <si>
    <t>JOD㉗</t>
    <phoneticPr fontId="6"/>
  </si>
  <si>
    <t>日生協３月０２号　実績　　PK / PP</t>
    <rPh sb="0" eb="3">
      <t>ニッセイキョウ</t>
    </rPh>
    <rPh sb="4" eb="5">
      <t>ガツ</t>
    </rPh>
    <rPh sb="7" eb="8">
      <t>ゴウ</t>
    </rPh>
    <rPh sb="9" eb="11">
      <t>ジッセキ</t>
    </rPh>
    <phoneticPr fontId="6"/>
  </si>
  <si>
    <t>ディノス23夏（同色2枚組）(JAN隠す）③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</si>
  <si>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ディノス23夏（単品）（JAN隠す）④</t>
    <rPh sb="6" eb="7">
      <t>ナツ</t>
    </rPh>
    <rPh sb="8" eb="10">
      <t>タンピン</t>
    </rPh>
    <rPh sb="15" eb="16">
      <t>カク</t>
    </rPh>
    <phoneticPr fontId="6"/>
  </si>
  <si>
    <t>3/7Mサイズ1カートン入荷済み</t>
    <rPh sb="12" eb="14">
      <t>ニュウカ</t>
    </rPh>
    <rPh sb="14" eb="15">
      <t>ズ</t>
    </rPh>
    <phoneticPr fontId="6"/>
  </si>
  <si>
    <t>ディノス23夏（単品）（JAN隠す）⑤</t>
    <rPh sb="6" eb="7">
      <t>ナツ</t>
    </rPh>
    <rPh sb="8" eb="10">
      <t>タンピン</t>
    </rPh>
    <rPh sb="15" eb="16">
      <t>カク</t>
    </rPh>
    <phoneticPr fontId="6"/>
  </si>
  <si>
    <t>アンファミエ23年夏号①</t>
    <rPh sb="8" eb="9">
      <t>ネン</t>
    </rPh>
    <rPh sb="9" eb="11">
      <t>ナツゴウ</t>
    </rPh>
    <phoneticPr fontId="6"/>
  </si>
  <si>
    <t>JOD㉘</t>
    <phoneticPr fontId="6"/>
  </si>
  <si>
    <t>ニッセン②</t>
    <phoneticPr fontId="6"/>
  </si>
  <si>
    <t>ディノス23夏（同色2枚組）(JAN隠す）④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</si>
  <si>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ディノス23夏（単品）（JAN隠す）⑥</t>
    <rPh sb="6" eb="7">
      <t>ナツ</t>
    </rPh>
    <rPh sb="8" eb="10">
      <t>タンピン</t>
    </rPh>
    <rPh sb="15" eb="16">
      <t>カク</t>
    </rPh>
    <phoneticPr fontId="6"/>
  </si>
  <si>
    <t>JOD㉙</t>
    <phoneticPr fontId="6"/>
  </si>
  <si>
    <t>JOD㉚</t>
    <phoneticPr fontId="6"/>
  </si>
  <si>
    <t>ディノス23夏（同色2枚組）(JAN隠す）⑤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</si>
  <si>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ディノス23夏（単品）（JAN隠す）⑦</t>
    <rPh sb="6" eb="7">
      <t>ナツ</t>
    </rPh>
    <rPh sb="8" eb="10">
      <t>タンピン</t>
    </rPh>
    <rPh sb="15" eb="16">
      <t>カク</t>
    </rPh>
    <phoneticPr fontId="6"/>
  </si>
  <si>
    <t>JOD㉛</t>
    <phoneticPr fontId="6"/>
  </si>
  <si>
    <t>JOD㉜</t>
    <phoneticPr fontId="6"/>
  </si>
  <si>
    <t>JOD㉝</t>
    <phoneticPr fontId="6"/>
  </si>
  <si>
    <t>ニッセン③</t>
    <phoneticPr fontId="6"/>
  </si>
  <si>
    <t>ディノス23夏（同色2枚組）(JAN隠す）⑥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</si>
  <si>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ディノス23夏（単品）（JAN隠す）⑧</t>
    <rPh sb="6" eb="7">
      <t>ナツ</t>
    </rPh>
    <rPh sb="8" eb="10">
      <t>タンピン</t>
    </rPh>
    <rPh sb="15" eb="16">
      <t>カク</t>
    </rPh>
    <phoneticPr fontId="6"/>
  </si>
  <si>
    <t>JOD㉞</t>
    <phoneticPr fontId="6"/>
  </si>
  <si>
    <t>ディノス23夏（単品）（JAN隠す）⑨</t>
    <rPh sb="6" eb="7">
      <t>ナツ</t>
    </rPh>
    <rPh sb="8" eb="10">
      <t>タンピン</t>
    </rPh>
    <rPh sb="15" eb="16">
      <t>カク</t>
    </rPh>
    <phoneticPr fontId="6"/>
  </si>
  <si>
    <t>日生協８月25号</t>
    <rPh sb="0" eb="3">
      <t>ニッセイキョウ</t>
    </rPh>
    <rPh sb="4" eb="5">
      <t>ガツ</t>
    </rPh>
    <rPh sb="7" eb="8">
      <t>ゴウ</t>
    </rPh>
    <phoneticPr fontId="6"/>
  </si>
  <si>
    <t>日生協８月25号差分予測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6"/>
  </si>
  <si>
    <t>点8/11、前取8/18、アバウト8/24・29、最終9/6</t>
    <rPh sb="0" eb="1">
      <t>テン</t>
    </rPh>
    <rPh sb="6" eb="8">
      <t>マエト</t>
    </rPh>
    <rPh sb="25" eb="27">
      <t>サイシュウ</t>
    </rPh>
    <phoneticPr fontId="6"/>
  </si>
  <si>
    <t>JOD㉟</t>
    <phoneticPr fontId="6"/>
  </si>
  <si>
    <t>ディノス23夏（同色2枚組）(JAN隠す）⑩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</si>
  <si>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JOD㊱</t>
    <phoneticPr fontId="6"/>
  </si>
  <si>
    <t>JOD㊲</t>
    <phoneticPr fontId="6"/>
  </si>
  <si>
    <t>在庫調整</t>
    <rPh sb="0" eb="4">
      <t>ザイコチョウセイ</t>
    </rPh>
    <phoneticPr fontId="2"/>
  </si>
  <si>
    <t>JOD㊳</t>
    <phoneticPr fontId="6"/>
  </si>
  <si>
    <t>ディノス23夏（同色2枚組）(JAN隠す）⑪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</si>
  <si>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JOD㊴</t>
    <phoneticPr fontId="6"/>
  </si>
  <si>
    <t>ディノス返品</t>
    <rPh sb="4" eb="6">
      <t>ヘンピン</t>
    </rPh>
    <phoneticPr fontId="2"/>
  </si>
  <si>
    <t>JOD㊵</t>
    <phoneticPr fontId="6"/>
  </si>
  <si>
    <t>西夢</t>
    <rPh sb="0" eb="2">
      <t>ニシユメ</t>
    </rPh>
    <phoneticPr fontId="6"/>
  </si>
  <si>
    <t>JOD㊶</t>
    <phoneticPr fontId="6"/>
  </si>
  <si>
    <t>JOD㊷</t>
    <phoneticPr fontId="6"/>
  </si>
  <si>
    <t>JOD㊸</t>
    <phoneticPr fontId="6"/>
  </si>
  <si>
    <t>追加</t>
    <rPh sb="0" eb="2">
      <t>ツイカ</t>
    </rPh>
    <phoneticPr fontId="6"/>
  </si>
  <si>
    <t>JOD㊹</t>
    <phoneticPr fontId="6"/>
  </si>
  <si>
    <t>ニッセン④</t>
    <phoneticPr fontId="6"/>
  </si>
  <si>
    <t>JOD㊺</t>
    <phoneticPr fontId="6"/>
  </si>
  <si>
    <t>毎日が発見ｼｮｯﾋﾟﾝｸﾞ2023年06月号①</t>
    <phoneticPr fontId="6"/>
  </si>
  <si>
    <t>毎日が発見ｼｮｯﾋﾟﾝｸﾞ2023年06月号</t>
    <phoneticPr fontId="6"/>
  </si>
  <si>
    <t>5/17～</t>
    <phoneticPr fontId="6"/>
  </si>
  <si>
    <t>JOD㊻</t>
    <phoneticPr fontId="6"/>
  </si>
  <si>
    <t>ディノス23夏（同色2枚組）(JAN隠す）⑫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</si>
  <si>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JOD㊼</t>
    <phoneticPr fontId="6"/>
  </si>
  <si>
    <t>JOD㊽</t>
    <phoneticPr fontId="6"/>
  </si>
  <si>
    <t>JOD㊾</t>
    <phoneticPr fontId="6"/>
  </si>
  <si>
    <t>ディノス23夏（同色2枚組）(JAN隠す）⑬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</si>
  <si>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ディノス23夏（単品）（JAN隠す）⑩</t>
    <rPh sb="6" eb="7">
      <t>ナツ</t>
    </rPh>
    <rPh sb="8" eb="10">
      <t>タンピン</t>
    </rPh>
    <rPh sb="15" eb="16">
      <t>カク</t>
    </rPh>
    <phoneticPr fontId="6"/>
  </si>
  <si>
    <t>くらし返品</t>
    <rPh sb="3" eb="5">
      <t>ヘンピン</t>
    </rPh>
    <phoneticPr fontId="2"/>
  </si>
  <si>
    <t>夢販</t>
    <rPh sb="0" eb="2">
      <t>ユメハン</t>
    </rPh>
    <phoneticPr fontId="6"/>
  </si>
  <si>
    <t>全国通販8月号（2282号）健康とくらし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</si>
  <si>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7/28～10/31</t>
    <phoneticPr fontId="6"/>
  </si>
  <si>
    <t>JOD50</t>
    <phoneticPr fontId="6"/>
  </si>
  <si>
    <t>ディノス23夏（単品）（JAN隠す）⑪</t>
    <rPh sb="6" eb="7">
      <t>ナツ</t>
    </rPh>
    <rPh sb="8" eb="10">
      <t>タンピン</t>
    </rPh>
    <rPh sb="15" eb="16">
      <t>カク</t>
    </rPh>
    <phoneticPr fontId="6"/>
  </si>
  <si>
    <t>追加</t>
    <rPh sb="0" eb="2">
      <t>ツイカ</t>
    </rPh>
    <phoneticPr fontId="6"/>
  </si>
  <si>
    <t>JOD51</t>
    <phoneticPr fontId="6"/>
  </si>
  <si>
    <t>ディノス23夏（単品）（JAN隠す）⑫</t>
    <rPh sb="6" eb="7">
      <t>ナツ</t>
    </rPh>
    <rPh sb="8" eb="10">
      <t>タンピン</t>
    </rPh>
    <rPh sb="15" eb="16">
      <t>カク</t>
    </rPh>
    <phoneticPr fontId="6"/>
  </si>
  <si>
    <t>ディノス23夏（単品）（JAN隠す）⑬</t>
    <rPh sb="6" eb="7">
      <t>ナツ</t>
    </rPh>
    <rPh sb="8" eb="10">
      <t>タンピン</t>
    </rPh>
    <rPh sb="15" eb="16">
      <t>カク</t>
    </rPh>
    <phoneticPr fontId="6"/>
  </si>
  <si>
    <t>JOD52</t>
    <phoneticPr fontId="6"/>
  </si>
  <si>
    <t>2023/5/23数伝</t>
    <rPh sb="9" eb="10">
      <t>スウ</t>
    </rPh>
    <rPh sb="10" eb="11">
      <t>デン</t>
    </rPh>
    <phoneticPr fontId="6"/>
  </si>
  <si>
    <t>営業用サンプル</t>
    <rPh sb="0" eb="3">
      <t>エイギョウヨウ</t>
    </rPh>
    <phoneticPr fontId="6"/>
  </si>
  <si>
    <t>JOD53</t>
    <phoneticPr fontId="6"/>
  </si>
  <si>
    <t>JOD54</t>
    <phoneticPr fontId="6"/>
  </si>
  <si>
    <t>ディノス23夏（同色2枚組）(JAN隠す）⑭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</si>
  <si>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ディノス23夏（単品）（JAN隠す）⑭</t>
    <rPh sb="6" eb="7">
      <t>ナツ</t>
    </rPh>
    <rPh sb="8" eb="10">
      <t>タンピン</t>
    </rPh>
    <rPh sb="15" eb="16">
      <t>カク</t>
    </rPh>
    <phoneticPr fontId="6"/>
  </si>
  <si>
    <t>ニッセン⑤</t>
    <phoneticPr fontId="6"/>
  </si>
  <si>
    <t>JOD55</t>
    <phoneticPr fontId="6"/>
  </si>
  <si>
    <t>JOD56</t>
    <phoneticPr fontId="6"/>
  </si>
  <si>
    <t>毎日が発見ｼｮｯﾋﾟﾝｸﾞ2023年06月号②</t>
    <phoneticPr fontId="6"/>
  </si>
  <si>
    <t>夢販</t>
    <rPh sb="0" eb="1">
      <t>ユメ</t>
    </rPh>
    <rPh sb="1" eb="2">
      <t>ハン</t>
    </rPh>
    <phoneticPr fontId="2"/>
  </si>
  <si>
    <t>追加</t>
    <rPh sb="0" eb="2">
      <t>ツイカ</t>
    </rPh>
    <phoneticPr fontId="2"/>
  </si>
  <si>
    <t>JOD57</t>
    <phoneticPr fontId="6"/>
  </si>
  <si>
    <t>JOD58</t>
    <phoneticPr fontId="6"/>
  </si>
  <si>
    <t>毎日が発見ｼｮｯﾋﾟﾝｸﾞ2023年06月号③</t>
    <phoneticPr fontId="6"/>
  </si>
  <si>
    <t>2023/5/12数伝</t>
    <rPh sb="9" eb="10">
      <t>スウ</t>
    </rPh>
    <rPh sb="10" eb="11">
      <t>デン</t>
    </rPh>
    <phoneticPr fontId="6"/>
  </si>
  <si>
    <t>JOD59</t>
    <phoneticPr fontId="6"/>
  </si>
  <si>
    <t>ディノス23夏（単品）（JAN隠す）⑮</t>
    <rPh sb="6" eb="7">
      <t>ナツ</t>
    </rPh>
    <rPh sb="8" eb="10">
      <t>タンピン</t>
    </rPh>
    <rPh sb="15" eb="16">
      <t>カク</t>
    </rPh>
    <phoneticPr fontId="6"/>
  </si>
  <si>
    <t>JOD60</t>
    <phoneticPr fontId="6"/>
  </si>
  <si>
    <t>毎日が発見ｼｮｯﾋﾟﾝｸﾞ2023年06月号④</t>
    <phoneticPr fontId="6"/>
  </si>
  <si>
    <t>アンファミエ23年夏号②</t>
    <rPh sb="8" eb="9">
      <t>ネン</t>
    </rPh>
    <rPh sb="9" eb="11">
      <t>ナツゴウ</t>
    </rPh>
    <phoneticPr fontId="6"/>
  </si>
  <si>
    <t>JOD61</t>
    <phoneticPr fontId="6"/>
  </si>
  <si>
    <t>ディノス23夏（単品）（JAN隠す）⑯</t>
    <rPh sb="6" eb="7">
      <t>ナツ</t>
    </rPh>
    <rPh sb="8" eb="10">
      <t>タンピン</t>
    </rPh>
    <rPh sb="15" eb="16">
      <t>カク</t>
    </rPh>
    <phoneticPr fontId="6"/>
  </si>
  <si>
    <t>JOD62</t>
  </si>
  <si>
    <t>毎日が発見ｼｮｯﾋﾟﾝｸﾞ2023年06月号⑤</t>
    <phoneticPr fontId="6"/>
  </si>
  <si>
    <t>JOD63</t>
    <phoneticPr fontId="6"/>
  </si>
  <si>
    <t>JODアクセス7095</t>
    <phoneticPr fontId="6"/>
  </si>
  <si>
    <t>8/16～</t>
    <phoneticPr fontId="6"/>
  </si>
  <si>
    <t>JOD64</t>
    <phoneticPr fontId="6"/>
  </si>
  <si>
    <t>アンファミエ23年夏号③</t>
    <rPh sb="8" eb="9">
      <t>ネン</t>
    </rPh>
    <rPh sb="9" eb="11">
      <t>ナツゴウ</t>
    </rPh>
    <phoneticPr fontId="6"/>
  </si>
  <si>
    <t>ディノス23夏（単品）（JAN隠す）⑰</t>
    <rPh sb="6" eb="7">
      <t>ナツ</t>
    </rPh>
    <rPh sb="8" eb="10">
      <t>タンピン</t>
    </rPh>
    <rPh sb="15" eb="16">
      <t>カク</t>
    </rPh>
    <phoneticPr fontId="6"/>
  </si>
  <si>
    <t>JOD65</t>
    <phoneticPr fontId="6"/>
  </si>
  <si>
    <t>夢販</t>
    <rPh sb="0" eb="2">
      <t>ユメハン</t>
    </rPh>
    <phoneticPr fontId="6"/>
  </si>
  <si>
    <t>JOD66</t>
    <phoneticPr fontId="6"/>
  </si>
  <si>
    <t>ディノス23夏（単品）（JAN隠す）⑱</t>
    <rPh sb="6" eb="7">
      <t>ナツ</t>
    </rPh>
    <rPh sb="8" eb="10">
      <t>タンピン</t>
    </rPh>
    <rPh sb="15" eb="16">
      <t>カク</t>
    </rPh>
    <phoneticPr fontId="6"/>
  </si>
  <si>
    <t>アンファミエ23年夏号④</t>
    <rPh sb="8" eb="9">
      <t>ネン</t>
    </rPh>
    <rPh sb="9" eb="11">
      <t>ナツゴウ</t>
    </rPh>
    <phoneticPr fontId="6"/>
  </si>
  <si>
    <t>JOD67</t>
  </si>
  <si>
    <t>JOD68</t>
    <phoneticPr fontId="6"/>
  </si>
  <si>
    <t>全国通販8月号（2282号）健康とくらし①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</si>
  <si>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JOD69</t>
    <phoneticPr fontId="6"/>
  </si>
  <si>
    <t>追加</t>
    <rPh sb="0" eb="2">
      <t>ツイカ</t>
    </rPh>
    <phoneticPr fontId="6"/>
  </si>
  <si>
    <t>ディノス23夏（同色2枚組）(JAN隠す）⑮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</si>
  <si>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JOD70</t>
    <phoneticPr fontId="6"/>
  </si>
  <si>
    <t>JOD71</t>
    <phoneticPr fontId="6"/>
  </si>
  <si>
    <t>毎日が発見ｼｮｯﾋﾟﾝｸﾞ2023年06月号⑥</t>
    <phoneticPr fontId="6"/>
  </si>
  <si>
    <t>毎日が発見ｼｮｯﾋﾟﾝｸﾞ2023年06月号⑦</t>
    <phoneticPr fontId="6"/>
  </si>
  <si>
    <t>JOD72</t>
    <phoneticPr fontId="6"/>
  </si>
  <si>
    <t>JOD73</t>
    <phoneticPr fontId="6"/>
  </si>
  <si>
    <t>JOD74</t>
    <phoneticPr fontId="6"/>
  </si>
  <si>
    <t>JOD75</t>
    <phoneticPr fontId="6"/>
  </si>
  <si>
    <t>毎日が発見ｼｮｯﾋﾟﾝｸﾞ2023年06月号⑦</t>
    <phoneticPr fontId="6"/>
  </si>
  <si>
    <t>全国通販sample返却</t>
    <rPh sb="0" eb="4">
      <t>ゼンコクツウハン</t>
    </rPh>
    <rPh sb="10" eb="12">
      <t>ヘンキャク</t>
    </rPh>
    <phoneticPr fontId="6"/>
  </si>
  <si>
    <t>JOD76</t>
    <phoneticPr fontId="6"/>
  </si>
  <si>
    <t>JOD返品</t>
    <rPh sb="3" eb="5">
      <t>ヘンピン</t>
    </rPh>
    <phoneticPr fontId="6"/>
  </si>
  <si>
    <t>毎日が発見ｼｮｯﾋﾟﾝｸﾞ2023年06月号⑧</t>
    <phoneticPr fontId="6"/>
  </si>
  <si>
    <t>JOD77</t>
    <phoneticPr fontId="6"/>
  </si>
  <si>
    <t>ディノス23夏（同色2枚組）(JAN隠す）⑯</t>
    <rPh sb="6" eb="7">
      <t>ナツ</t>
    </rPh>
    <rPh sb="8" eb="10">
      <t>ドウショク</t>
    </rPh>
    <rPh sb="11" eb="12">
      <t>マイ</t>
    </rPh>
    <rPh sb="12" eb="13">
      <t>クミ</t>
    </rPh>
    <rPh sb="18" eb="19">
      <t>カク</t>
    </rPh>
    <phoneticPr fontId="6"/>
  </si>
  <si>
    <t>ディノス23夏（単品）（JAN隠す）⑲</t>
    <rPh sb="6" eb="7">
      <t>ナツ</t>
    </rPh>
    <rPh sb="8" eb="10">
      <t>タンピン</t>
    </rPh>
    <rPh sb="15" eb="16">
      <t>カク</t>
    </rPh>
    <phoneticPr fontId="6"/>
  </si>
  <si>
    <t>JOD78</t>
    <phoneticPr fontId="6"/>
  </si>
  <si>
    <t>JOD79</t>
  </si>
  <si>
    <t>夢販</t>
    <rPh sb="0" eb="2">
      <t>ユメハン</t>
    </rPh>
    <phoneticPr fontId="6"/>
  </si>
  <si>
    <t>在庫確認</t>
    <rPh sb="0" eb="4">
      <t>ザイコカクニン</t>
    </rPh>
    <phoneticPr fontId="6"/>
  </si>
  <si>
    <t>JOD80</t>
    <phoneticPr fontId="6"/>
  </si>
  <si>
    <t>楽天倉庫</t>
    <rPh sb="0" eb="2">
      <t>ラクテン</t>
    </rPh>
    <rPh sb="2" eb="4">
      <t>ソウコ</t>
    </rPh>
    <phoneticPr fontId="6"/>
  </si>
  <si>
    <t>JOD81</t>
    <phoneticPr fontId="6"/>
  </si>
  <si>
    <t>全国通販8月号（2282号）健康とくらし②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</si>
  <si>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西夢</t>
    <rPh sb="0" eb="1">
      <t>ニシ</t>
    </rPh>
    <rPh sb="1" eb="2">
      <t>ユメ</t>
    </rPh>
    <phoneticPr fontId="6"/>
  </si>
  <si>
    <t>JOD82</t>
    <phoneticPr fontId="6"/>
  </si>
  <si>
    <t>JOD特別版0926</t>
    <rPh sb="3" eb="6">
      <t>トクベツバン</t>
    </rPh>
    <phoneticPr fontId="6"/>
  </si>
  <si>
    <t>9/25～</t>
    <phoneticPr fontId="6"/>
  </si>
  <si>
    <t>日生協８月25号(西日本）①</t>
    <rPh sb="0" eb="3">
      <t>ニッセイキョウ</t>
    </rPh>
    <rPh sb="4" eb="5">
      <t>ガツ</t>
    </rPh>
    <rPh sb="7" eb="8">
      <t>ゴウ</t>
    </rPh>
    <rPh sb="9" eb="12">
      <t>ニシニホン</t>
    </rPh>
    <phoneticPr fontId="6"/>
  </si>
  <si>
    <t>10/13～3/31</t>
    <phoneticPr fontId="6"/>
  </si>
  <si>
    <t>ディノス10月美健チラシ単品</t>
    <rPh sb="6" eb="7">
      <t>ガツ</t>
    </rPh>
    <rPh sb="7" eb="9">
      <t>ビケン</t>
    </rPh>
    <rPh sb="12" eb="14">
      <t>タンピン</t>
    </rPh>
    <phoneticPr fontId="6"/>
  </si>
  <si>
    <t>ディノス10月美健チラシ同色2枚組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</si>
  <si>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JOD83</t>
    <phoneticPr fontId="6"/>
  </si>
  <si>
    <t>日生協８月25号(西日本）②</t>
    <rPh sb="0" eb="3">
      <t>ニッセイキョウ</t>
    </rPh>
    <rPh sb="4" eb="5">
      <t>ガツ</t>
    </rPh>
    <rPh sb="7" eb="8">
      <t>ゴウ</t>
    </rPh>
    <rPh sb="9" eb="12">
      <t>ニシニホン</t>
    </rPh>
    <phoneticPr fontId="6"/>
  </si>
  <si>
    <t>全国通販8月号（2282号）健康とくらし③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</si>
  <si>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夢販</t>
    <rPh sb="0" eb="2">
      <t>ユメハン</t>
    </rPh>
    <phoneticPr fontId="6"/>
  </si>
  <si>
    <t>JOD84</t>
    <phoneticPr fontId="6"/>
  </si>
  <si>
    <t>日生協８月25号(東日本）①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6"/>
  </si>
  <si>
    <t>JOD85西濃</t>
    <rPh sb="5" eb="7">
      <t>セイノウ</t>
    </rPh>
    <phoneticPr fontId="6"/>
  </si>
  <si>
    <t>くらし直送</t>
    <rPh sb="3" eb="5">
      <t>チョクソウ</t>
    </rPh>
    <phoneticPr fontId="6"/>
  </si>
  <si>
    <t>ディノス23夏（単品）（JAN隠す）⑳</t>
    <rPh sb="6" eb="7">
      <t>ナツ</t>
    </rPh>
    <rPh sb="8" eb="10">
      <t>タンピン</t>
    </rPh>
    <rPh sb="15" eb="16">
      <t>カク</t>
    </rPh>
    <phoneticPr fontId="6"/>
  </si>
  <si>
    <t>JOD85</t>
    <phoneticPr fontId="6"/>
  </si>
  <si>
    <t>日生協８月25号(東日本）②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6"/>
  </si>
  <si>
    <t>JOD86</t>
  </si>
  <si>
    <t>楽天倉庫</t>
    <rPh sb="0" eb="2">
      <t>ラクテン</t>
    </rPh>
    <rPh sb="2" eb="4">
      <t>ソウコ</t>
    </rPh>
    <phoneticPr fontId="6"/>
  </si>
  <si>
    <t>アンファミエ23年夏号⑤</t>
    <rPh sb="8" eb="9">
      <t>ネン</t>
    </rPh>
    <rPh sb="9" eb="11">
      <t>ナツゴウ</t>
    </rPh>
    <phoneticPr fontId="6"/>
  </si>
  <si>
    <t>JOD87</t>
    <phoneticPr fontId="6"/>
  </si>
  <si>
    <t>全国通販8月号（2282号）健康とくらし④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</si>
  <si>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日生協８月25号(東日本）③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6"/>
  </si>
  <si>
    <t>ディノス23夏（単品）（JAN隠す）㉑</t>
    <rPh sb="6" eb="7">
      <t>ナツ</t>
    </rPh>
    <rPh sb="8" eb="10">
      <t>タンピン</t>
    </rPh>
    <rPh sb="15" eb="16">
      <t>カク</t>
    </rPh>
    <phoneticPr fontId="6"/>
  </si>
  <si>
    <t>JOD88</t>
    <phoneticPr fontId="6"/>
  </si>
  <si>
    <t>全国通販8月号（2282号）健康とくらし⑤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</si>
  <si>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JOD89</t>
    <phoneticPr fontId="6"/>
  </si>
  <si>
    <t>JOD90</t>
  </si>
  <si>
    <t>JOD91</t>
    <phoneticPr fontId="6"/>
  </si>
  <si>
    <t>楽天倉庫</t>
    <rPh sb="0" eb="2">
      <t>ラクテン</t>
    </rPh>
    <rPh sb="2" eb="4">
      <t>ソウコ</t>
    </rPh>
    <phoneticPr fontId="6"/>
  </si>
  <si>
    <t>ディノス23夏（単品）（JAN隠す）㉒</t>
    <rPh sb="6" eb="7">
      <t>ナツ</t>
    </rPh>
    <rPh sb="8" eb="10">
      <t>タンピン</t>
    </rPh>
    <rPh sb="15" eb="16">
      <t>カク</t>
    </rPh>
    <phoneticPr fontId="6"/>
  </si>
  <si>
    <t>JOD92</t>
    <phoneticPr fontId="6"/>
  </si>
  <si>
    <t>JOD93</t>
    <phoneticPr fontId="6"/>
  </si>
  <si>
    <t>毎日が発見サンプル返却</t>
    <rPh sb="0" eb="2">
      <t>マイニチ</t>
    </rPh>
    <rPh sb="3" eb="5">
      <t>ハッケン</t>
    </rPh>
    <rPh sb="9" eb="11">
      <t>ヘンキャク</t>
    </rPh>
    <phoneticPr fontId="6"/>
  </si>
  <si>
    <t>JOD94</t>
  </si>
  <si>
    <t>全国通販8月号（2282号）健康とくらし⑥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</si>
  <si>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JOD95</t>
    <phoneticPr fontId="6"/>
  </si>
  <si>
    <t>アンファミエ23年夏号⑥</t>
    <rPh sb="8" eb="9">
      <t>ネン</t>
    </rPh>
    <rPh sb="9" eb="11">
      <t>ナツゴウ</t>
    </rPh>
    <phoneticPr fontId="6"/>
  </si>
  <si>
    <t>JOD96</t>
    <phoneticPr fontId="6"/>
  </si>
  <si>
    <t>アンファミエ23年夏号⑦</t>
    <rPh sb="8" eb="9">
      <t>ネン</t>
    </rPh>
    <rPh sb="9" eb="11">
      <t>ナツゴウ</t>
    </rPh>
    <phoneticPr fontId="6"/>
  </si>
  <si>
    <t>全国通販8月号（2282号）健康とくらし⑦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</si>
  <si>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夢販</t>
    <rPh sb="0" eb="2">
      <t>ユメハン</t>
    </rPh>
    <phoneticPr fontId="6"/>
  </si>
  <si>
    <t>毎日が発見返品</t>
    <rPh sb="0" eb="2">
      <t>マイニチ</t>
    </rPh>
    <rPh sb="3" eb="5">
      <t>ハッケン</t>
    </rPh>
    <rPh sb="5" eb="7">
      <t>ヘンピン</t>
    </rPh>
    <phoneticPr fontId="2"/>
  </si>
  <si>
    <t>JOD97</t>
    <phoneticPr fontId="6"/>
  </si>
  <si>
    <t>アンファミエ23年夏号⑧</t>
    <rPh sb="8" eb="9">
      <t>ネン</t>
    </rPh>
    <rPh sb="9" eb="11">
      <t>ナツゴウ</t>
    </rPh>
    <phoneticPr fontId="6"/>
  </si>
  <si>
    <t>JOD98</t>
    <phoneticPr fontId="6"/>
  </si>
  <si>
    <t>追加</t>
    <rPh sb="0" eb="2">
      <t>ツイカ</t>
    </rPh>
    <phoneticPr fontId="6"/>
  </si>
  <si>
    <t>西夢</t>
    <rPh sb="0" eb="2">
      <t>ニシユメ</t>
    </rPh>
    <phoneticPr fontId="6"/>
  </si>
  <si>
    <t>ディノス返品</t>
    <rPh sb="4" eb="6">
      <t>ヘンピン</t>
    </rPh>
    <phoneticPr fontId="6"/>
  </si>
  <si>
    <t>JOD99</t>
    <phoneticPr fontId="6"/>
  </si>
  <si>
    <t>サクラマチsample</t>
    <phoneticPr fontId="6"/>
  </si>
  <si>
    <t>楽天倉庫</t>
    <rPh sb="0" eb="4">
      <t>ラクテンソウコ</t>
    </rPh>
    <phoneticPr fontId="6"/>
  </si>
  <si>
    <t>くらしサンプル返却</t>
    <rPh sb="7" eb="9">
      <t>ヘンキャク</t>
    </rPh>
    <phoneticPr fontId="6"/>
  </si>
  <si>
    <t>全国通販8月号（2282号）健康とくらし⑧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</si>
  <si>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夢販</t>
    <rPh sb="0" eb="2">
      <t>ユメハン</t>
    </rPh>
    <phoneticPr fontId="6"/>
  </si>
  <si>
    <t>JOD100</t>
    <phoneticPr fontId="6"/>
  </si>
  <si>
    <t>ネット返品</t>
    <rPh sb="3" eb="5">
      <t>ヘンピン</t>
    </rPh>
    <phoneticPr fontId="6"/>
  </si>
  <si>
    <t>アンファミエ23年夏号⑨</t>
    <rPh sb="8" eb="9">
      <t>ネン</t>
    </rPh>
    <rPh sb="9" eb="11">
      <t>ナツゴウ</t>
    </rPh>
    <phoneticPr fontId="6"/>
  </si>
  <si>
    <t>西夢</t>
    <rPh sb="0" eb="2">
      <t>ニシユメ</t>
    </rPh>
    <phoneticPr fontId="6"/>
  </si>
  <si>
    <t>くらし返品予定</t>
    <rPh sb="3" eb="7">
      <t>ヘンピンヨテイ</t>
    </rPh>
    <phoneticPr fontId="2"/>
  </si>
  <si>
    <t>ディノス23夏（単品）（JAN隠す）㉓</t>
    <rPh sb="6" eb="7">
      <t>ナツ</t>
    </rPh>
    <rPh sb="8" eb="10">
      <t>タンピン</t>
    </rPh>
    <rPh sb="15" eb="16">
      <t>カク</t>
    </rPh>
    <phoneticPr fontId="6"/>
  </si>
  <si>
    <t>JOD101</t>
    <phoneticPr fontId="6"/>
  </si>
  <si>
    <t>ディノス23夏（単品）（JAN隠す）㉔</t>
    <rPh sb="6" eb="7">
      <t>ナツ</t>
    </rPh>
    <rPh sb="8" eb="10">
      <t>タンピン</t>
    </rPh>
    <rPh sb="15" eb="16">
      <t>カク</t>
    </rPh>
    <phoneticPr fontId="6"/>
  </si>
  <si>
    <t>ディノス23夏（単品）（JAN隠す）㉕</t>
    <rPh sb="6" eb="7">
      <t>ナツ</t>
    </rPh>
    <rPh sb="8" eb="10">
      <t>タンピン</t>
    </rPh>
    <rPh sb="15" eb="16">
      <t>カク</t>
    </rPh>
    <phoneticPr fontId="6"/>
  </si>
  <si>
    <t>ディノス23夏（単品）（JAN隠す）㉖</t>
    <rPh sb="6" eb="7">
      <t>ナツ</t>
    </rPh>
    <rPh sb="8" eb="10">
      <t>タンピン</t>
    </rPh>
    <rPh sb="15" eb="16">
      <t>カク</t>
    </rPh>
    <phoneticPr fontId="6"/>
  </si>
  <si>
    <t>JOD102</t>
    <phoneticPr fontId="6"/>
  </si>
  <si>
    <t>JOD103</t>
  </si>
  <si>
    <t>楽天倉庫</t>
    <rPh sb="0" eb="2">
      <t>ラクテン</t>
    </rPh>
    <rPh sb="2" eb="4">
      <t>ソウコ</t>
    </rPh>
    <phoneticPr fontId="6"/>
  </si>
  <si>
    <t>ニッセン⑥</t>
    <phoneticPr fontId="6"/>
  </si>
  <si>
    <t>ニッセン⑦</t>
    <phoneticPr fontId="6"/>
  </si>
  <si>
    <t>ディノス返品</t>
    <rPh sb="4" eb="6">
      <t>ヘンピン</t>
    </rPh>
    <phoneticPr fontId="6"/>
  </si>
  <si>
    <t>ディノス23夏（単品）（JAN隠す）㉗</t>
    <rPh sb="6" eb="7">
      <t>ナツ</t>
    </rPh>
    <rPh sb="8" eb="10">
      <t>タンピン</t>
    </rPh>
    <rPh sb="15" eb="16">
      <t>カク</t>
    </rPh>
    <phoneticPr fontId="6"/>
  </si>
  <si>
    <t>JOD104</t>
    <phoneticPr fontId="6"/>
  </si>
  <si>
    <t>コープきんき2023年3月4回</t>
    <rPh sb="10" eb="11">
      <t>ネン</t>
    </rPh>
    <rPh sb="12" eb="13">
      <t>ガツ</t>
    </rPh>
    <rPh sb="14" eb="15">
      <t>カイ</t>
    </rPh>
    <phoneticPr fontId="6"/>
  </si>
  <si>
    <t>日生協キャロット2023年3月2号</t>
    <rPh sb="0" eb="3">
      <t>ニッセイキョウ</t>
    </rPh>
    <rPh sb="12" eb="13">
      <t>ネン</t>
    </rPh>
    <rPh sb="14" eb="15">
      <t>ガツ</t>
    </rPh>
    <rPh sb="16" eb="17">
      <t>ゴウ</t>
    </rPh>
    <phoneticPr fontId="6"/>
  </si>
  <si>
    <t>ディノス23夏（単品）（JAN隠す）㉘</t>
    <rPh sb="6" eb="7">
      <t>ナツ</t>
    </rPh>
    <rPh sb="8" eb="10">
      <t>タンピン</t>
    </rPh>
    <rPh sb="15" eb="16">
      <t>カク</t>
    </rPh>
    <phoneticPr fontId="6"/>
  </si>
  <si>
    <t>全国通販8月号（2282号）健康とくらし⑨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</si>
  <si>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JOD105</t>
    <phoneticPr fontId="6"/>
  </si>
  <si>
    <t>JOD106</t>
  </si>
  <si>
    <t>ディノス10月美健チラシ同色2枚組⑰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</si>
  <si>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ディノス10月美健チラシ単品㉙</t>
    <rPh sb="6" eb="7">
      <t>ガツ</t>
    </rPh>
    <rPh sb="7" eb="9">
      <t>ビケン</t>
    </rPh>
    <rPh sb="12" eb="14">
      <t>タンピン</t>
    </rPh>
    <phoneticPr fontId="6"/>
  </si>
  <si>
    <t>JOD107</t>
    <phoneticPr fontId="6"/>
  </si>
  <si>
    <t>ディノス10月美健チラシ同色2枚組⑱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</si>
  <si>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JOD108</t>
    <phoneticPr fontId="6"/>
  </si>
  <si>
    <t>ニッセン⑧</t>
    <phoneticPr fontId="6"/>
  </si>
  <si>
    <t>ディノス10月美健チラシ同色2枚組⑲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</si>
  <si>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ディノス10月美健チラシ同色2枚組⑳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</si>
  <si>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ディノス10月美健チラシ単品㉚</t>
    <rPh sb="6" eb="7">
      <t>ガツ</t>
    </rPh>
    <rPh sb="7" eb="9">
      <t>ビケン</t>
    </rPh>
    <rPh sb="12" eb="14">
      <t>タンピン</t>
    </rPh>
    <phoneticPr fontId="6"/>
  </si>
  <si>
    <t>ディノス10月美健チラシ同色2枚組㉑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</si>
  <si>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サクラマチ(齋藤さん)sample</t>
    <rPh sb="6" eb="8">
      <t>サイトウ</t>
    </rPh>
    <phoneticPr fontId="6"/>
  </si>
  <si>
    <t>ディノス10月美健チラシ同色2枚組㉒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</si>
  <si>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ニッセン⑨</t>
    <phoneticPr fontId="6"/>
  </si>
  <si>
    <t>ディノス10月美健チラシ同色2枚組㉓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</si>
  <si>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日生協キャロット2024年3月2号差分予測</t>
    <rPh sb="0" eb="3">
      <t>ニッセイキョウ</t>
    </rPh>
    <rPh sb="12" eb="13">
      <t>ネン</t>
    </rPh>
    <rPh sb="14" eb="15">
      <t>ガツ</t>
    </rPh>
    <rPh sb="16" eb="17">
      <t>ゴウ</t>
    </rPh>
    <rPh sb="17" eb="21">
      <t>サブンヨソク</t>
    </rPh>
    <phoneticPr fontId="6"/>
  </si>
  <si>
    <t>日生協キャロット2024年3月2号（不透明袋）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phoneticPr fontId="6"/>
  </si>
  <si>
    <t>点3/1、前取3/8、アバウト3/12・19、最終3/27</t>
    <rPh sb="0" eb="1">
      <t>テン</t>
    </rPh>
    <rPh sb="5" eb="7">
      <t>マエトリ</t>
    </rPh>
    <rPh sb="23" eb="25">
      <t>サイシュウ</t>
    </rPh>
    <phoneticPr fontId="6"/>
  </si>
  <si>
    <t>アンファミエ23年夏号⑩</t>
    <rPh sb="8" eb="9">
      <t>ネン</t>
    </rPh>
    <rPh sb="9" eb="11">
      <t>ナツゴウ</t>
    </rPh>
    <phoneticPr fontId="6"/>
  </si>
  <si>
    <t>西夢</t>
    <rPh sb="0" eb="2">
      <t>ニシユメ</t>
    </rPh>
    <phoneticPr fontId="6"/>
  </si>
  <si>
    <t>ニッセン⑩</t>
    <phoneticPr fontId="6"/>
  </si>
  <si>
    <t>ディノス10月美健チラシ同色2枚組㉔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</si>
  <si>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ディノス10月美健チラシ同色2枚組㉕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</si>
  <si>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電話注文</t>
    <rPh sb="0" eb="2">
      <t>デンワ</t>
    </rPh>
    <rPh sb="2" eb="4">
      <t>チュウモン</t>
    </rPh>
    <phoneticPr fontId="6"/>
  </si>
  <si>
    <t>ディノス10月美健チラシ同色2枚組㉖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</si>
  <si>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ディノス10月美健チラシ単品㉛</t>
    <rPh sb="6" eb="7">
      <t>ガツ</t>
    </rPh>
    <rPh sb="7" eb="9">
      <t>ビケン</t>
    </rPh>
    <rPh sb="12" eb="14">
      <t>タンピン</t>
    </rPh>
    <phoneticPr fontId="6"/>
  </si>
  <si>
    <t>ニッセン⑪</t>
    <phoneticPr fontId="6"/>
  </si>
  <si>
    <t>ディノス10月美健チラシ同色2枚組㉗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</si>
  <si>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ディノス10月美健チラシ単品㉜</t>
    <rPh sb="6" eb="7">
      <t>ガツ</t>
    </rPh>
    <rPh sb="7" eb="9">
      <t>ビケン</t>
    </rPh>
    <rPh sb="12" eb="14">
      <t>タンピン</t>
    </rPh>
    <phoneticPr fontId="6"/>
  </si>
  <si>
    <t>ディノス10月美健チラシ同色2枚組㉘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</si>
  <si>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JOD109</t>
    <phoneticPr fontId="6"/>
  </si>
  <si>
    <t>ディノス10月美健チラシ同色2枚組㉙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</si>
  <si>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ニッセン⑫</t>
    <phoneticPr fontId="6"/>
  </si>
  <si>
    <t>JOD110</t>
    <phoneticPr fontId="6"/>
  </si>
  <si>
    <t>コープきんき3月4回（不透明袋）</t>
    <rPh sb="7" eb="8">
      <t>ガツ</t>
    </rPh>
    <rPh sb="9" eb="10">
      <t>カイ</t>
    </rPh>
    <rPh sb="11" eb="15">
      <t>フトウメイフクロ</t>
    </rPh>
    <phoneticPr fontId="6"/>
  </si>
  <si>
    <t>コープきんき3月4回差分予測</t>
    <rPh sb="7" eb="8">
      <t>ガツ</t>
    </rPh>
    <rPh sb="9" eb="10">
      <t>カイ</t>
    </rPh>
    <rPh sb="10" eb="14">
      <t>サブンヨソク</t>
    </rPh>
    <phoneticPr fontId="6"/>
  </si>
  <si>
    <t>点2/29、アバウト3/19、本3/20～30</t>
    <rPh sb="0" eb="1">
      <t>テン</t>
    </rPh>
    <rPh sb="15" eb="16">
      <t>ホン</t>
    </rPh>
    <phoneticPr fontId="6"/>
  </si>
  <si>
    <t>コープきんき3月4回（不透明袋）実績</t>
    <rPh sb="7" eb="8">
      <t>ガツ</t>
    </rPh>
    <rPh sb="9" eb="10">
      <t>カイ</t>
    </rPh>
    <rPh sb="11" eb="15">
      <t>フトウメイフクロ</t>
    </rPh>
    <rPh sb="16" eb="18">
      <t>ジッセキ</t>
    </rPh>
    <phoneticPr fontId="6"/>
  </si>
  <si>
    <t>ディノス10月美健チラシ同色2枚組㉚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</si>
  <si>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追加</t>
    <rPh sb="0" eb="2">
      <t>ツイカ</t>
    </rPh>
    <phoneticPr fontId="6"/>
  </si>
  <si>
    <t>くらし企画sample矢島さん</t>
    <rPh sb="3" eb="5">
      <t>キカク</t>
    </rPh>
    <rPh sb="11" eb="13">
      <t>ヤジマ</t>
    </rPh>
    <phoneticPr fontId="2"/>
  </si>
  <si>
    <t>ディノス10月美健チラシ同色2枚組㉛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</si>
  <si>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ディノス10月美健チラシ同色2枚組㉜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</si>
  <si>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ニッセン⑬</t>
    <phoneticPr fontId="6"/>
  </si>
  <si>
    <t>ディノス10月美健チラシ同色2枚組㉝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</si>
  <si>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アンファミエ23年夏号⑪</t>
    <rPh sb="8" eb="9">
      <t>ネン</t>
    </rPh>
    <rPh sb="9" eb="11">
      <t>ナツゴウ</t>
    </rPh>
    <phoneticPr fontId="6"/>
  </si>
  <si>
    <t>ニッセン⑭</t>
    <phoneticPr fontId="6"/>
  </si>
  <si>
    <t>ニッセン⑮</t>
    <phoneticPr fontId="6"/>
  </si>
  <si>
    <t>2024/1/31済伝</t>
    <rPh sb="9" eb="10">
      <t>スミ</t>
    </rPh>
    <rPh sb="10" eb="11">
      <t>デン</t>
    </rPh>
    <phoneticPr fontId="6"/>
  </si>
  <si>
    <t>日生協キャロット2024年3月2号（不透明袋）東日本①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6">
      <t>ヒガシニホン</t>
    </rPh>
    <phoneticPr fontId="6"/>
  </si>
  <si>
    <t>日生協キャロット2024年3月2号（不透明袋）西日本①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4">
      <t>ニシ</t>
    </rPh>
    <rPh sb="24" eb="26">
      <t>ニホン</t>
    </rPh>
    <phoneticPr fontId="6"/>
  </si>
  <si>
    <t>日生協キャロット2024年3月2号（不透明袋）東日本②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6">
      <t>ヒガシニホン</t>
    </rPh>
    <phoneticPr fontId="6"/>
  </si>
  <si>
    <t>コープきんき3月4回（不透明袋）①</t>
    <rPh sb="7" eb="8">
      <t>ガツ</t>
    </rPh>
    <rPh sb="9" eb="10">
      <t>カイ</t>
    </rPh>
    <rPh sb="11" eb="15">
      <t>フトウメイフクロ</t>
    </rPh>
    <phoneticPr fontId="6"/>
  </si>
  <si>
    <t>全国通販返品</t>
    <rPh sb="0" eb="4">
      <t>ゼンコクツウハン</t>
    </rPh>
    <rPh sb="4" eb="6">
      <t>ヘンピン</t>
    </rPh>
    <phoneticPr fontId="2"/>
  </si>
  <si>
    <t>ニッセン⑯</t>
    <phoneticPr fontId="6"/>
  </si>
  <si>
    <t>JODルフェリ0408</t>
    <phoneticPr fontId="6"/>
  </si>
  <si>
    <t>日生協キャロット2024年3月2号（不透明袋）西日本②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4">
      <t>ニシ</t>
    </rPh>
    <rPh sb="24" eb="26">
      <t>ニホン</t>
    </rPh>
    <phoneticPr fontId="6"/>
  </si>
  <si>
    <t>日生協キャロット2024年3月2号（不透明袋）東日本③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6">
      <t>ヒガシニホン</t>
    </rPh>
    <phoneticPr fontId="6"/>
  </si>
  <si>
    <t>日生協直送</t>
    <rPh sb="0" eb="3">
      <t>ニッセイキョウ</t>
    </rPh>
    <rPh sb="3" eb="5">
      <t>チョクソウ</t>
    </rPh>
    <phoneticPr fontId="6"/>
  </si>
  <si>
    <t>日生協キャロット2024年3月2号（不透明袋）西日本③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4">
      <t>ニシ</t>
    </rPh>
    <rPh sb="24" eb="26">
      <t>ニホン</t>
    </rPh>
    <phoneticPr fontId="6"/>
  </si>
  <si>
    <t>日生協キャロット2024年3月2号（不透明袋）東日本④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6">
      <t>ヒガシニホン</t>
    </rPh>
    <phoneticPr fontId="6"/>
  </si>
  <si>
    <t>K-PORT</t>
    <phoneticPr fontId="6"/>
  </si>
  <si>
    <t>コープきんき3月4回（不透明袋）②</t>
    <rPh sb="7" eb="8">
      <t>ガツ</t>
    </rPh>
    <rPh sb="9" eb="10">
      <t>カイ</t>
    </rPh>
    <rPh sb="11" eb="15">
      <t>フトウメイフクロ</t>
    </rPh>
    <phoneticPr fontId="6"/>
  </si>
  <si>
    <t>ディノス10月美健チラシ同色2枚組㉞</t>
    <rPh sb="6" eb="7">
      <t>ガツ</t>
    </rPh>
    <rPh sb="7" eb="9">
      <t>ビケン</t>
    </rPh>
    <rPh sb="12" eb="14">
      <t>ドウショク</t>
    </rPh>
    <rPh sb="15" eb="17">
      <t>マイクミ</t>
    </rPh>
    <phoneticPr fontId="6"/>
  </si>
  <si>
    <t>日生協キャロット2024年3月2号（不透明袋）東日本⑤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6">
      <t>ヒガシニホン</t>
    </rPh>
    <phoneticPr fontId="6"/>
  </si>
  <si>
    <t>日生協キャロット2024年3月2号（不透明袋）東日本⑥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rPh sb="23" eb="26">
      <t>ヒガシニホン</t>
    </rPh>
    <phoneticPr fontId="6"/>
  </si>
  <si>
    <t>コープきんき3月4回（不透明袋）③</t>
    <rPh sb="7" eb="8">
      <t>ガツ</t>
    </rPh>
    <rPh sb="9" eb="10">
      <t>カイ</t>
    </rPh>
    <rPh sb="11" eb="15">
      <t>フトウメイフクロ</t>
    </rPh>
    <phoneticPr fontId="6"/>
  </si>
  <si>
    <t>電話注文</t>
    <rPh sb="0" eb="4">
      <t>デンワチュウモン</t>
    </rPh>
    <phoneticPr fontId="6"/>
  </si>
  <si>
    <t>2024/3/18済伝</t>
    <rPh sb="9" eb="10">
      <t>スミ</t>
    </rPh>
    <rPh sb="10" eb="11">
      <t>デン</t>
    </rPh>
    <phoneticPr fontId="6"/>
  </si>
  <si>
    <t>ニッセン⑰</t>
    <phoneticPr fontId="6"/>
  </si>
  <si>
    <t>ニッセン再送分</t>
    <rPh sb="4" eb="7">
      <t>サイソウブン</t>
    </rPh>
    <phoneticPr fontId="6"/>
  </si>
  <si>
    <t>JOD111</t>
    <phoneticPr fontId="6"/>
  </si>
  <si>
    <t>ニッセン返品</t>
    <rPh sb="4" eb="6">
      <t>ヘンピン</t>
    </rPh>
    <phoneticPr fontId="6"/>
  </si>
  <si>
    <t>JOD112</t>
    <phoneticPr fontId="6"/>
  </si>
  <si>
    <t>日生協8月25号（不透明袋）</t>
    <rPh sb="0" eb="3">
      <t>ニッセイキョウ</t>
    </rPh>
    <rPh sb="4" eb="5">
      <t>ガツ</t>
    </rPh>
    <rPh sb="7" eb="8">
      <t>ゴウ</t>
    </rPh>
    <rPh sb="9" eb="13">
      <t>フトウメイフクロ</t>
    </rPh>
    <phoneticPr fontId="6"/>
  </si>
  <si>
    <t>日生協8月25号差分予測</t>
    <rPh sb="8" eb="12">
      <t>サブンヨソク</t>
    </rPh>
    <phoneticPr fontId="6"/>
  </si>
  <si>
    <t>点8/9、前取8/16、アバウト8/20・27、最終9/4</t>
    <rPh sb="0" eb="1">
      <t>テン</t>
    </rPh>
    <rPh sb="5" eb="7">
      <t>マエトリ</t>
    </rPh>
    <rPh sb="24" eb="26">
      <t>サイシュウ</t>
    </rPh>
    <phoneticPr fontId="6"/>
  </si>
  <si>
    <t>JOD113</t>
    <phoneticPr fontId="6"/>
  </si>
  <si>
    <t>JOD114</t>
    <phoneticPr fontId="6"/>
  </si>
  <si>
    <t>ニッセン⑱</t>
    <phoneticPr fontId="6"/>
  </si>
  <si>
    <t>JOD115</t>
    <phoneticPr fontId="6"/>
  </si>
  <si>
    <t>JOD116</t>
    <phoneticPr fontId="6"/>
  </si>
  <si>
    <t>JOD117</t>
  </si>
  <si>
    <t>JOD118</t>
  </si>
  <si>
    <t>JOD119</t>
    <phoneticPr fontId="6"/>
  </si>
  <si>
    <t>電話注文</t>
    <rPh sb="0" eb="4">
      <t>デンワチュウモン</t>
    </rPh>
    <phoneticPr fontId="6"/>
  </si>
  <si>
    <t>JOD120</t>
    <phoneticPr fontId="6"/>
  </si>
  <si>
    <t>JOD121</t>
  </si>
  <si>
    <t>ニッセン⑲</t>
    <phoneticPr fontId="6"/>
  </si>
  <si>
    <t>西夢</t>
    <rPh sb="0" eb="2">
      <t>ニシユメ</t>
    </rPh>
    <phoneticPr fontId="6"/>
  </si>
  <si>
    <t>JOD122</t>
    <phoneticPr fontId="6"/>
  </si>
  <si>
    <t>ニッセン⑳</t>
    <phoneticPr fontId="6"/>
  </si>
  <si>
    <t>KPORT</t>
    <phoneticPr fontId="6"/>
  </si>
  <si>
    <t>夢販移動</t>
    <rPh sb="0" eb="2">
      <t>ユメハン</t>
    </rPh>
    <rPh sb="2" eb="4">
      <t>イドウ</t>
    </rPh>
    <phoneticPr fontId="2"/>
  </si>
  <si>
    <t>JOD123</t>
    <phoneticPr fontId="6"/>
  </si>
  <si>
    <t>JOD124</t>
    <phoneticPr fontId="6"/>
  </si>
  <si>
    <t>ニッセン㉑</t>
    <phoneticPr fontId="6"/>
  </si>
  <si>
    <t>ニッセン㉒</t>
    <phoneticPr fontId="6"/>
  </si>
  <si>
    <t>コープきんき10月3回（不透明袋）</t>
    <rPh sb="8" eb="9">
      <t>ガツ</t>
    </rPh>
    <rPh sb="10" eb="11">
      <t>カイ</t>
    </rPh>
    <rPh sb="12" eb="16">
      <t>フトウメイフクロ</t>
    </rPh>
    <phoneticPr fontId="6"/>
  </si>
  <si>
    <t>コープきんき10月3回差分予測</t>
    <rPh sb="8" eb="9">
      <t>ガツ</t>
    </rPh>
    <rPh sb="10" eb="11">
      <t>カイ</t>
    </rPh>
    <rPh sb="11" eb="15">
      <t>サブンヨソク</t>
    </rPh>
    <phoneticPr fontId="6"/>
  </si>
  <si>
    <t>JOD125</t>
    <phoneticPr fontId="6"/>
  </si>
  <si>
    <t>ニッセン㉓</t>
    <phoneticPr fontId="6"/>
  </si>
  <si>
    <t>くらし企画返品</t>
    <rPh sb="3" eb="7">
      <t>キカクヘンピン</t>
    </rPh>
    <phoneticPr fontId="2"/>
  </si>
  <si>
    <t>ニッセン㉔</t>
    <phoneticPr fontId="6"/>
  </si>
  <si>
    <t>2024/4/2数伝</t>
    <rPh sb="8" eb="9">
      <t>スウ</t>
    </rPh>
    <rPh sb="9" eb="10">
      <t>デン</t>
    </rPh>
    <phoneticPr fontId="6"/>
  </si>
  <si>
    <t>JOD126</t>
    <phoneticPr fontId="6"/>
  </si>
  <si>
    <t>ニッセン㉕</t>
    <phoneticPr fontId="6"/>
  </si>
  <si>
    <t>JOD</t>
    <phoneticPr fontId="6"/>
  </si>
  <si>
    <t>点9/19、アバウト10/8、本10/9～19</t>
    <rPh sb="0" eb="1">
      <t>テン</t>
    </rPh>
    <rPh sb="15" eb="16">
      <t>ホン</t>
    </rPh>
    <phoneticPr fontId="6"/>
  </si>
  <si>
    <t>西夢</t>
    <rPh sb="0" eb="2">
      <t>ニシユメ</t>
    </rPh>
    <phoneticPr fontId="6"/>
  </si>
  <si>
    <t>日生協8月25号（不透明袋）東日本①</t>
    <rPh sb="0" eb="3">
      <t>ニッセイキョウ</t>
    </rPh>
    <rPh sb="4" eb="5">
      <t>ガツ</t>
    </rPh>
    <rPh sb="7" eb="8">
      <t>ゴウ</t>
    </rPh>
    <rPh sb="9" eb="13">
      <t>フトウメイフクロ</t>
    </rPh>
    <rPh sb="14" eb="17">
      <t>ヒガシニホン</t>
    </rPh>
    <phoneticPr fontId="6"/>
  </si>
  <si>
    <t>日生協8月25号（不透明袋）東日本②</t>
    <rPh sb="0" eb="3">
      <t>ニッセイキョウ</t>
    </rPh>
    <rPh sb="4" eb="5">
      <t>ガツ</t>
    </rPh>
    <rPh sb="7" eb="8">
      <t>ゴウ</t>
    </rPh>
    <rPh sb="9" eb="13">
      <t>フトウメイフクロ</t>
    </rPh>
    <rPh sb="14" eb="17">
      <t>ヒガシニホン</t>
    </rPh>
    <phoneticPr fontId="6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</si>
  <si>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</si>
  <si>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t>日生協8月25号（不透明袋）東日本③</t>
    <rPh sb="0" eb="3">
      <t>ニッセイキョウ</t>
    </rPh>
    <rPh sb="4" eb="5">
      <t>ガツ</t>
    </rPh>
    <rPh sb="7" eb="8">
      <t>ゴウ</t>
    </rPh>
    <rPh sb="9" eb="13">
      <t>フトウメイフクロ</t>
    </rPh>
    <rPh sb="14" eb="17">
      <t>ヒガシニホン</t>
    </rPh>
    <phoneticPr fontId="6"/>
  </si>
  <si>
    <t>在庫確認</t>
    <rPh sb="0" eb="4">
      <t>ザイコカクニン</t>
    </rPh>
    <phoneticPr fontId="2"/>
  </si>
  <si>
    <t>追加</t>
    <rPh sb="0" eb="2">
      <t>ツイカ</t>
    </rPh>
    <phoneticPr fontId="6"/>
  </si>
  <si>
    <t>くらし企画プレゼン用sample</t>
    <rPh sb="3" eb="5">
      <t>キカク</t>
    </rPh>
    <rPh sb="9" eb="10">
      <t>ヨウ</t>
    </rPh>
    <phoneticPr fontId="6"/>
  </si>
  <si>
    <t>追加</t>
    <rPh sb="0" eb="2">
      <t>ツイカ</t>
    </rPh>
    <phoneticPr fontId="6"/>
  </si>
  <si>
    <t>くらし企画提出用sample</t>
    <rPh sb="3" eb="5">
      <t>キカク</t>
    </rPh>
    <rPh sb="5" eb="7">
      <t>テイシュツ</t>
    </rPh>
    <rPh sb="7" eb="8">
      <t>ヨウ</t>
    </rPh>
    <phoneticPr fontId="6"/>
  </si>
  <si>
    <t>点1/16、アバウト・初回1/28、最終2/3</t>
    <rPh sb="0" eb="1">
      <t>テン</t>
    </rPh>
    <rPh sb="11" eb="13">
      <t>ショカイ</t>
    </rPh>
    <rPh sb="18" eb="20">
      <t>サイシュウ</t>
    </rPh>
    <phoneticPr fontId="6"/>
  </si>
  <si>
    <t>パルシステム（コトコト）2月1回（不透明袋）</t>
    <rPh sb="13" eb="14">
      <t>ガツ</t>
    </rPh>
    <rPh sb="15" eb="16">
      <t>カイ</t>
    </rPh>
    <phoneticPr fontId="6"/>
  </si>
  <si>
    <t>ニッセン㉖</t>
    <phoneticPr fontId="6"/>
  </si>
  <si>
    <t>ニッセン㉗</t>
    <phoneticPr fontId="6"/>
  </si>
  <si>
    <t>ニッセン㉘</t>
    <phoneticPr fontId="6"/>
  </si>
  <si>
    <t>日生協10/16営業用</t>
    <rPh sb="0" eb="3">
      <t>ニッセイキョウ</t>
    </rPh>
    <rPh sb="8" eb="11">
      <t>エイギョウヨウ</t>
    </rPh>
    <phoneticPr fontId="6"/>
  </si>
  <si>
    <t>ニッセン㉙</t>
    <phoneticPr fontId="6"/>
  </si>
  <si>
    <t>ニッセン㉚</t>
    <phoneticPr fontId="6"/>
  </si>
  <si>
    <t>日生協キャロット3月1号（不透明袋）</t>
    <rPh sb="0" eb="3">
      <t>ニッセイキョウ</t>
    </rPh>
    <rPh sb="9" eb="10">
      <t>ガツ</t>
    </rPh>
    <rPh sb="11" eb="12">
      <t>ゴウ</t>
    </rPh>
    <rPh sb="13" eb="17">
      <t>フトウメイフクロ</t>
    </rPh>
    <phoneticPr fontId="6"/>
  </si>
  <si>
    <t>点2/28、前取3/7、アバウト3/13・18、最終3/26</t>
    <rPh sb="0" eb="1">
      <t>テン</t>
    </rPh>
    <rPh sb="6" eb="8">
      <t>マエトリ</t>
    </rPh>
    <rPh sb="24" eb="26">
      <t>サイシュウ</t>
    </rPh>
    <phoneticPr fontId="6"/>
  </si>
  <si>
    <t>日生協キャロット3月1号差分予測</t>
    <rPh sb="0" eb="3">
      <t>ニッセイキョウ</t>
    </rPh>
    <rPh sb="9" eb="10">
      <t>ガツ</t>
    </rPh>
    <rPh sb="11" eb="12">
      <t>ゴウ</t>
    </rPh>
    <rPh sb="12" eb="16">
      <t>サブンヨソク</t>
    </rPh>
    <phoneticPr fontId="6"/>
  </si>
  <si>
    <t>ニッセン㉛</t>
    <phoneticPr fontId="6"/>
  </si>
  <si>
    <t>西夢</t>
    <rPh sb="0" eb="2">
      <t>ニシユメ</t>
    </rPh>
    <phoneticPr fontId="6"/>
  </si>
  <si>
    <t>ニッセン㉜</t>
    <phoneticPr fontId="6"/>
  </si>
  <si>
    <t>パルシステム（コトコト）2月1回（不透明袋）①</t>
    <rPh sb="13" eb="14">
      <t>ガツ</t>
    </rPh>
    <rPh sb="15" eb="16">
      <t>カイ</t>
    </rPh>
    <phoneticPr fontId="6"/>
  </si>
  <si>
    <t>ニッセン㉝</t>
    <phoneticPr fontId="6"/>
  </si>
  <si>
    <t>西夢</t>
    <rPh sb="0" eb="2">
      <t>ニシユメ</t>
    </rPh>
    <phoneticPr fontId="6"/>
  </si>
  <si>
    <t>パルシステム（コトコト）2月1回（不透明袋）②</t>
    <rPh sb="13" eb="14">
      <t>ガツ</t>
    </rPh>
    <rPh sb="15" eb="16">
      <t>カイ</t>
    </rPh>
    <phoneticPr fontId="6"/>
  </si>
  <si>
    <t>パルシステム（コトコト）2月1回（不透明袋）③</t>
    <rPh sb="13" eb="14">
      <t>ガツ</t>
    </rPh>
    <rPh sb="15" eb="16">
      <t>カイ</t>
    </rPh>
    <phoneticPr fontId="6"/>
  </si>
  <si>
    <t>パルシステム（コトコト）2月1回（不透明袋）④</t>
    <rPh sb="13" eb="14">
      <t>ガツ</t>
    </rPh>
    <rPh sb="15" eb="16">
      <t>カイ</t>
    </rPh>
    <phoneticPr fontId="6"/>
  </si>
  <si>
    <t>西夢</t>
    <rPh sb="0" eb="2">
      <t>ニシユメ</t>
    </rPh>
    <phoneticPr fontId="6"/>
  </si>
  <si>
    <t>日生協キャロット3月1号（不透明袋）東日本①</t>
    <rPh sb="0" eb="3">
      <t>ニッセイキョウ</t>
    </rPh>
    <rPh sb="9" eb="10">
      <t>ガツ</t>
    </rPh>
    <rPh sb="11" eb="12">
      <t>ゴウ</t>
    </rPh>
    <rPh sb="13" eb="17">
      <t>フトウメイフクロ</t>
    </rPh>
    <rPh sb="18" eb="21">
      <t>ヒガシニホン</t>
    </rPh>
    <phoneticPr fontId="6"/>
  </si>
  <si>
    <t>日生協キャロット3月1号（不透明袋）西日本①</t>
    <rPh sb="0" eb="3">
      <t>ニッセイキョウ</t>
    </rPh>
    <rPh sb="9" eb="10">
      <t>ガツ</t>
    </rPh>
    <rPh sb="11" eb="12">
      <t>ゴウ</t>
    </rPh>
    <rPh sb="13" eb="17">
      <t>フトウメイフクロ</t>
    </rPh>
    <rPh sb="18" eb="19">
      <t>ニシ</t>
    </rPh>
    <rPh sb="19" eb="21">
      <t>ニホン</t>
    </rPh>
    <phoneticPr fontId="6"/>
  </si>
  <si>
    <t>ニッセン㉞</t>
    <phoneticPr fontId="6"/>
  </si>
  <si>
    <t>日生協キャロット3月1号（不透明袋）東日本②</t>
    <rPh sb="0" eb="3">
      <t>ニッセイキョウ</t>
    </rPh>
    <rPh sb="9" eb="10">
      <t>ガツ</t>
    </rPh>
    <rPh sb="11" eb="12">
      <t>ゴウ</t>
    </rPh>
    <rPh sb="13" eb="17">
      <t>フトウメイフクロ</t>
    </rPh>
    <rPh sb="18" eb="21">
      <t>ヒガシニホン</t>
    </rPh>
    <phoneticPr fontId="6"/>
  </si>
  <si>
    <t>日生協キャロット3月1号（不透明袋）西日本②</t>
    <rPh sb="0" eb="3">
      <t>ニッセイキョウ</t>
    </rPh>
    <rPh sb="9" eb="10">
      <t>ガツ</t>
    </rPh>
    <rPh sb="11" eb="12">
      <t>ゴウ</t>
    </rPh>
    <rPh sb="13" eb="17">
      <t>フトウメイフクロ</t>
    </rPh>
    <rPh sb="18" eb="19">
      <t>ニシ</t>
    </rPh>
    <rPh sb="19" eb="21">
      <t>ニホン</t>
    </rPh>
    <phoneticPr fontId="6"/>
  </si>
  <si>
    <t>日生協キャロット3月1号（不透明袋）東日本③</t>
    <rPh sb="0" eb="3">
      <t>ニッセイキョウ</t>
    </rPh>
    <rPh sb="9" eb="10">
      <t>ガツ</t>
    </rPh>
    <rPh sb="11" eb="12">
      <t>ゴウ</t>
    </rPh>
    <rPh sb="13" eb="17">
      <t>フトウメイフクロ</t>
    </rPh>
    <rPh sb="18" eb="21">
      <t>ヒガシニホン</t>
    </rPh>
    <phoneticPr fontId="6"/>
  </si>
  <si>
    <t>西夢</t>
    <rPh sb="0" eb="2">
      <t>ニシユメ</t>
    </rPh>
    <phoneticPr fontId="6"/>
  </si>
  <si>
    <t>ニッセン㉟</t>
    <phoneticPr fontId="6"/>
  </si>
  <si>
    <t>西夢取り置き</t>
    <rPh sb="0" eb="3">
      <t>ニシユメト</t>
    </rPh>
    <rPh sb="4" eb="5">
      <t>オ</t>
    </rPh>
    <phoneticPr fontId="6"/>
  </si>
  <si>
    <t>西夢</t>
    <rPh sb="0" eb="2">
      <t>ニシユメ</t>
    </rPh>
    <phoneticPr fontId="6"/>
  </si>
  <si>
    <t>電話注文品</t>
    <rPh sb="0" eb="5">
      <t>デンワチュウモンヒン</t>
    </rPh>
    <phoneticPr fontId="6"/>
  </si>
  <si>
    <t>ニッセン㊱</t>
    <phoneticPr fontId="6"/>
  </si>
  <si>
    <t>ニッセン㊲</t>
    <phoneticPr fontId="6"/>
  </si>
  <si>
    <t>西夢取り置き</t>
    <rPh sb="0" eb="3">
      <t>ニシユメト</t>
    </rPh>
    <rPh sb="4" eb="5">
      <t>オ</t>
    </rPh>
    <phoneticPr fontId="6"/>
  </si>
  <si>
    <t>ニッセン㊳</t>
    <phoneticPr fontId="6"/>
  </si>
  <si>
    <t>ニッセン㊴</t>
    <phoneticPr fontId="6"/>
  </si>
  <si>
    <t>K-PORT</t>
    <phoneticPr fontId="6"/>
  </si>
  <si>
    <t>コープきんき9月4回（不透明袋）</t>
    <rPh sb="7" eb="8">
      <t>ガツ</t>
    </rPh>
    <rPh sb="9" eb="10">
      <t>カイ</t>
    </rPh>
    <rPh sb="11" eb="15">
      <t>フトウメイフクロ</t>
    </rPh>
    <phoneticPr fontId="6"/>
  </si>
  <si>
    <t>コープきんき9月4回差分予測</t>
    <rPh sb="7" eb="8">
      <t>ガツ</t>
    </rPh>
    <rPh sb="9" eb="10">
      <t>カイ</t>
    </rPh>
    <rPh sb="10" eb="14">
      <t>サブンヨソク</t>
    </rPh>
    <phoneticPr fontId="6"/>
  </si>
  <si>
    <t>ニッセン㊵</t>
    <phoneticPr fontId="6"/>
  </si>
  <si>
    <t>JOD特別版0726</t>
    <rPh sb="3" eb="6">
      <t>トクベツバン</t>
    </rPh>
    <phoneticPr fontId="6"/>
  </si>
  <si>
    <t>7/25～</t>
    <phoneticPr fontId="6"/>
  </si>
  <si>
    <t>追加</t>
    <rPh sb="0" eb="2">
      <t>ツイカ</t>
    </rPh>
    <phoneticPr fontId="6"/>
  </si>
  <si>
    <t>ニッセン㊶</t>
    <phoneticPr fontId="6"/>
  </si>
  <si>
    <t>点8/29、アバウト9/16、本9/16～22</t>
    <rPh sb="0" eb="1">
      <t>テン</t>
    </rPh>
    <rPh sb="15" eb="16">
      <t>ホン</t>
    </rPh>
    <phoneticPr fontId="6"/>
  </si>
  <si>
    <t>あいコープみやぎ9月2回</t>
    <rPh sb="9" eb="10">
      <t>ガツ</t>
    </rPh>
    <rPh sb="11" eb="12">
      <t>カイ</t>
    </rPh>
    <phoneticPr fontId="6"/>
  </si>
  <si>
    <t>確定発注9/3</t>
    <rPh sb="0" eb="4">
      <t>カクテイハッチュウ</t>
    </rPh>
    <phoneticPr fontId="6"/>
  </si>
  <si>
    <t>コープきんき10月4回（不透明袋）</t>
    <rPh sb="8" eb="9">
      <t>ガツ</t>
    </rPh>
    <rPh sb="10" eb="11">
      <t>カイ</t>
    </rPh>
    <phoneticPr fontId="6"/>
  </si>
  <si>
    <t>ニッセン㊷</t>
    <phoneticPr fontId="6"/>
  </si>
  <si>
    <t>点9/26、アバウト10/14、本10/14～20</t>
    <rPh sb="0" eb="1">
      <t>テン</t>
    </rPh>
    <rPh sb="16" eb="17">
      <t>ホン</t>
    </rPh>
    <phoneticPr fontId="6"/>
  </si>
  <si>
    <t>コープきんき10月4回差分予測</t>
    <rPh sb="8" eb="9">
      <t>ガツ</t>
    </rPh>
    <rPh sb="10" eb="11">
      <t>カイ</t>
    </rPh>
    <rPh sb="11" eb="15">
      <t>サブンヨソク</t>
    </rPh>
    <phoneticPr fontId="6"/>
  </si>
  <si>
    <t>パルシステム（コトコト）2月1回実績</t>
    <rPh sb="13" eb="14">
      <t>ガツ</t>
    </rPh>
    <rPh sb="15" eb="16">
      <t>カイ</t>
    </rPh>
    <rPh sb="16" eb="18">
      <t>ジッセキ</t>
    </rPh>
    <phoneticPr fontId="6"/>
  </si>
  <si>
    <t>日生協キャロット3月1号実績</t>
    <rPh sb="0" eb="3">
      <t>ニッセイキョウ</t>
    </rPh>
    <rPh sb="9" eb="10">
      <t>ガツ</t>
    </rPh>
    <rPh sb="11" eb="12">
      <t>ゴウ</t>
    </rPh>
    <rPh sb="12" eb="14">
      <t>ジッセキ</t>
    </rPh>
    <phoneticPr fontId="6"/>
  </si>
  <si>
    <t>コープきんき9月4回（不透明袋）①</t>
    <rPh sb="7" eb="8">
      <t>ガツ</t>
    </rPh>
    <rPh sb="9" eb="10">
      <t>カイ</t>
    </rPh>
    <rPh sb="11" eb="15">
      <t>フトウメイフクロ</t>
    </rPh>
    <phoneticPr fontId="6"/>
  </si>
  <si>
    <t>ニッセン㊸</t>
    <phoneticPr fontId="6"/>
  </si>
  <si>
    <t>あいコープみやぎ9月2回①</t>
    <rPh sb="9" eb="10">
      <t>ガツ</t>
    </rPh>
    <rPh sb="11" eb="12">
      <t>カイ</t>
    </rPh>
    <phoneticPr fontId="6"/>
  </si>
  <si>
    <t>パルコトコト3月2回限定　差分予測</t>
    <rPh sb="7" eb="8">
      <t>ガツ</t>
    </rPh>
    <rPh sb="9" eb="10">
      <t>カイ</t>
    </rPh>
    <rPh sb="10" eb="12">
      <t>ゲンテイ</t>
    </rPh>
    <rPh sb="13" eb="17">
      <t>サブンヨソク</t>
    </rPh>
    <phoneticPr fontId="6"/>
  </si>
  <si>
    <t>2023年１月～２０２５年９月中実績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6" eb="18">
      <t>ジッセキ</t>
    </rPh>
    <phoneticPr fontId="6"/>
  </si>
  <si>
    <t>実績構成比</t>
    <rPh sb="0" eb="2">
      <t>ジッセキ</t>
    </rPh>
    <rPh sb="2" eb="5">
      <t>コウセイヒ</t>
    </rPh>
    <phoneticPr fontId="6"/>
  </si>
  <si>
    <t>在庫構成比</t>
    <rPh sb="0" eb="2">
      <t>ザイコ</t>
    </rPh>
    <rPh sb="2" eb="5">
      <t>コウセイヒ</t>
    </rPh>
    <phoneticPr fontId="6"/>
  </si>
  <si>
    <t>コープきんき12月4回（不透明袋）</t>
    <rPh sb="8" eb="9">
      <t>ガツ</t>
    </rPh>
    <rPh sb="10" eb="11">
      <t>カイ</t>
    </rPh>
    <phoneticPr fontId="6"/>
  </si>
  <si>
    <t>コープきんき12月4回差分予測</t>
    <rPh sb="8" eb="9">
      <t>ガツ</t>
    </rPh>
    <rPh sb="10" eb="11">
      <t>カイ</t>
    </rPh>
    <rPh sb="11" eb="15">
      <t>サブンヨソク</t>
    </rPh>
    <phoneticPr fontId="6"/>
  </si>
  <si>
    <t>西夢取り置き</t>
    <rPh sb="0" eb="3">
      <t>ニシユメト</t>
    </rPh>
    <rPh sb="4" eb="5">
      <t>オ</t>
    </rPh>
    <phoneticPr fontId="6"/>
  </si>
  <si>
    <t>コープきんき9月4回（不透明袋）②</t>
    <rPh sb="7" eb="8">
      <t>ガツ</t>
    </rPh>
    <rPh sb="9" eb="10">
      <t>カイ</t>
    </rPh>
    <rPh sb="11" eb="15">
      <t>フトウメイフクロ</t>
    </rPh>
    <phoneticPr fontId="6"/>
  </si>
  <si>
    <t>コープきんき9月4回（不透明袋）③</t>
    <rPh sb="7" eb="8">
      <t>ガツ</t>
    </rPh>
    <rPh sb="9" eb="10">
      <t>カイ</t>
    </rPh>
    <rPh sb="11" eb="15">
      <t>フトウメイフクロ</t>
    </rPh>
    <phoneticPr fontId="6"/>
  </si>
  <si>
    <t>コープきんき9月4回（不透明袋）④</t>
    <rPh sb="7" eb="8">
      <t>ガツ</t>
    </rPh>
    <rPh sb="9" eb="10">
      <t>カイ</t>
    </rPh>
    <rPh sb="11" eb="15">
      <t>フトウメイフクロ</t>
    </rPh>
    <phoneticPr fontId="6"/>
  </si>
  <si>
    <t>コープきんき10月4回（不透明袋）①</t>
    <rPh sb="8" eb="9">
      <t>ガツ</t>
    </rPh>
    <rPh sb="10" eb="11">
      <t>カイ</t>
    </rPh>
    <phoneticPr fontId="6"/>
  </si>
  <si>
    <t>夢販</t>
    <rPh sb="0" eb="2">
      <t>ユメハン</t>
    </rPh>
    <phoneticPr fontId="6"/>
  </si>
  <si>
    <t>夢販</t>
    <rPh sb="0" eb="2">
      <t>ユメハン</t>
    </rPh>
    <phoneticPr fontId="6"/>
  </si>
  <si>
    <t>コープきんき10月4回（不透明袋）②</t>
    <rPh sb="8" eb="9">
      <t>ガツ</t>
    </rPh>
    <rPh sb="10" eb="11">
      <t>カイ</t>
    </rPh>
    <phoneticPr fontId="6"/>
  </si>
  <si>
    <t>コープきんき10月4回（不透明袋）③</t>
    <rPh sb="8" eb="9">
      <t>ガツ</t>
    </rPh>
    <rPh sb="10" eb="11">
      <t>カイ</t>
    </rPh>
    <phoneticPr fontId="6"/>
  </si>
  <si>
    <t>点11/28、アバウト12/16、本12/16～22</t>
    <rPh sb="0" eb="1">
      <t>テン</t>
    </rPh>
    <rPh sb="17" eb="18">
      <t>ホン</t>
    </rPh>
    <phoneticPr fontId="6"/>
  </si>
  <si>
    <t>コープきんき10月4回（不透明袋）④</t>
    <rPh sb="8" eb="9">
      <t>ガツ</t>
    </rPh>
    <rPh sb="10" eb="11">
      <t>カイ</t>
    </rPh>
    <phoneticPr fontId="6"/>
  </si>
  <si>
    <t>パルコトコト3月2回限定（不透明袋）</t>
    <rPh sb="7" eb="8">
      <t>ガツ</t>
    </rPh>
    <rPh sb="9" eb="10">
      <t>カイ</t>
    </rPh>
    <rPh sb="10" eb="12">
      <t>ゲンテイ</t>
    </rPh>
    <rPh sb="13" eb="17">
      <t>フトウメイフクロ</t>
    </rPh>
    <phoneticPr fontId="6"/>
  </si>
  <si>
    <t>西夢</t>
    <rPh sb="0" eb="2">
      <t>ニシユメ</t>
    </rPh>
    <phoneticPr fontId="6"/>
  </si>
  <si>
    <t>夢販</t>
    <rPh sb="0" eb="2">
      <t>ユメハン</t>
    </rPh>
    <phoneticPr fontId="6"/>
  </si>
  <si>
    <t>追加</t>
    <rPh sb="0" eb="2">
      <t>ツイカ</t>
    </rPh>
    <phoneticPr fontId="6"/>
  </si>
  <si>
    <t>パルきなり流3月2回限定（不透明袋）</t>
    <rPh sb="5" eb="6">
      <t>リュウ</t>
    </rPh>
    <rPh sb="7" eb="8">
      <t>ガツ</t>
    </rPh>
    <rPh sb="9" eb="10">
      <t>カイ</t>
    </rPh>
    <rPh sb="10" eb="12">
      <t>ゲンテイ</t>
    </rPh>
    <phoneticPr fontId="6"/>
  </si>
  <si>
    <t>パルきなり流3月2回限定　差分予測</t>
    <rPh sb="5" eb="6">
      <t>リュウ</t>
    </rPh>
    <rPh sb="7" eb="8">
      <t>ガツ</t>
    </rPh>
    <rPh sb="9" eb="10">
      <t>カイ</t>
    </rPh>
    <rPh sb="10" eb="12">
      <t>ゲンテイ</t>
    </rPh>
    <rPh sb="13" eb="17">
      <t>サブンヨソク</t>
    </rPh>
    <phoneticPr fontId="6"/>
  </si>
  <si>
    <t>点2/19、アバウト・初回3/3、最終発注日3/9</t>
    <rPh sb="0" eb="1">
      <t>テン</t>
    </rPh>
    <rPh sb="11" eb="13">
      <t>ショカイ</t>
    </rPh>
    <rPh sb="17" eb="21">
      <t>サイシュウハッチュウ</t>
    </rPh>
    <rPh sb="21" eb="22">
      <t>ニチ</t>
    </rPh>
    <phoneticPr fontId="6"/>
  </si>
  <si>
    <t>西夢</t>
    <rPh sb="0" eb="2">
      <t>ニシユメ</t>
    </rPh>
    <phoneticPr fontId="6"/>
  </si>
  <si>
    <t>ニッセン㊹</t>
    <phoneticPr fontId="6"/>
  </si>
  <si>
    <t>コープきんき12月4回（不透明袋）①</t>
    <rPh sb="8" eb="9">
      <t>ガツ</t>
    </rPh>
    <rPh sb="10" eb="11">
      <t>カイ</t>
    </rPh>
    <phoneticPr fontId="6"/>
  </si>
  <si>
    <t>ネット返品</t>
    <rPh sb="3" eb="5">
      <t>ヘンピン</t>
    </rPh>
    <phoneticPr fontId="6"/>
  </si>
  <si>
    <t>夢販</t>
    <rPh sb="0" eb="2">
      <t>y</t>
    </rPh>
    <phoneticPr fontId="6"/>
  </si>
  <si>
    <t>ベルーナ元気とキレイの秘訣26夏号</t>
    <rPh sb="4" eb="6">
      <t>ゲンキ</t>
    </rPh>
    <rPh sb="11" eb="13">
      <t>ヒケツ</t>
    </rPh>
    <rPh sb="15" eb="17">
      <t>ナツゴウ</t>
    </rPh>
    <phoneticPr fontId="6"/>
  </si>
  <si>
    <t>日生協キャロット2026年3月2号（不透明袋）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phoneticPr fontId="6"/>
  </si>
  <si>
    <t>日生協キャロット2026年3月2号差分予測</t>
    <rPh sb="0" eb="3">
      <t>ニッセイキョウ</t>
    </rPh>
    <rPh sb="12" eb="13">
      <t>ネン</t>
    </rPh>
    <rPh sb="14" eb="15">
      <t>ガツ</t>
    </rPh>
    <rPh sb="16" eb="17">
      <t>ゴウ</t>
    </rPh>
    <rPh sb="17" eb="21">
      <t>サブンヨソク</t>
    </rPh>
    <phoneticPr fontId="6"/>
  </si>
  <si>
    <t>点3/6、前取3/13、デリ3/24、最終4/1</t>
    <rPh sb="0" eb="1">
      <t>テン</t>
    </rPh>
    <rPh sb="5" eb="7">
      <t>マエトリ</t>
    </rPh>
    <rPh sb="19" eb="21">
      <t>サイシュウ</t>
    </rPh>
    <phoneticPr fontId="6"/>
  </si>
  <si>
    <t>はぴねすくらぶ/すてき通販特選56号</t>
    <rPh sb="11" eb="13">
      <t>ツウハン</t>
    </rPh>
    <rPh sb="13" eb="15">
      <t>トクセン</t>
    </rPh>
    <rPh sb="17" eb="18">
      <t>ゴウ</t>
    </rPh>
    <phoneticPr fontId="6"/>
  </si>
  <si>
    <t>2/9～5月末</t>
    <rPh sb="5" eb="6">
      <t>ガツ</t>
    </rPh>
    <rPh sb="6" eb="7">
      <t>マツ</t>
    </rPh>
    <phoneticPr fontId="6"/>
  </si>
  <si>
    <t>はぴねすくらぶ/すてき通販特選56号差分予測</t>
    <rPh sb="11" eb="13">
      <t>ツウハン</t>
    </rPh>
    <rPh sb="13" eb="15">
      <t>トクセン</t>
    </rPh>
    <rPh sb="17" eb="18">
      <t>ゴウ</t>
    </rPh>
    <rPh sb="18" eb="22">
      <t>サブンヨソク</t>
    </rPh>
    <phoneticPr fontId="6"/>
  </si>
  <si>
    <t>1/3ship</t>
    <phoneticPr fontId="6"/>
  </si>
  <si>
    <t>西夢</t>
    <rPh sb="0" eb="2">
      <t>ニシユメ</t>
    </rPh>
    <phoneticPr fontId="6"/>
  </si>
  <si>
    <t>ニッセン㊺</t>
    <phoneticPr fontId="6"/>
  </si>
  <si>
    <t>2026/1/9数</t>
    <rPh sb="8" eb="9">
      <t>スウ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</si>
  <si>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</si>
  <si>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ニッセン㊻</t>
    <phoneticPr fontId="6"/>
  </si>
  <si>
    <t>ゆめはん</t>
    <phoneticPr fontId="6"/>
  </si>
  <si>
    <t>ニッセン㊼</t>
    <phoneticPr fontId="6"/>
  </si>
  <si>
    <t>はぴねすくらぶ/すてき通販特選56①</t>
    <rPh sb="11" eb="13">
      <t>ツウハン</t>
    </rPh>
    <rPh sb="13" eb="15">
      <t>トクセン</t>
    </rPh>
    <phoneticPr fontId="6"/>
  </si>
  <si>
    <t>ニッセン㊽</t>
    <phoneticPr fontId="6"/>
  </si>
  <si>
    <t>くらし返品</t>
    <rPh sb="3" eb="5">
      <t>ヘンピン</t>
    </rPh>
    <phoneticPr fontId="6"/>
  </si>
  <si>
    <t>パルシステム3月2回①</t>
    <rPh sb="7" eb="8">
      <t>ガツ</t>
    </rPh>
    <rPh sb="9" eb="10">
      <t>カイ</t>
    </rPh>
    <phoneticPr fontId="6"/>
  </si>
  <si>
    <t>かりん</t>
    <phoneticPr fontId="6"/>
  </si>
  <si>
    <t>本番5/6～10/末</t>
    <rPh sb="0" eb="2">
      <t>ホンバン</t>
    </rPh>
    <rPh sb="9" eb="10">
      <t>マツ</t>
    </rPh>
    <phoneticPr fontId="6"/>
  </si>
  <si>
    <t>ベルーナ元気とキレイの秘訣26夏号差分予測</t>
    <rPh sb="4" eb="6">
      <t>ゲンキ</t>
    </rPh>
    <rPh sb="11" eb="13">
      <t>ヒケツ</t>
    </rPh>
    <rPh sb="15" eb="17">
      <t>ナツゴウ</t>
    </rPh>
    <rPh sb="17" eb="21">
      <t>サブンヨソク</t>
    </rPh>
    <phoneticPr fontId="6"/>
  </si>
  <si>
    <t>在庫確認</t>
    <rPh sb="0" eb="4">
      <t>ザイコカクニン</t>
    </rPh>
    <phoneticPr fontId="6"/>
  </si>
  <si>
    <t>ニッセン㊾</t>
    <phoneticPr fontId="6"/>
  </si>
  <si>
    <t>←ここまで在庫管理済　2026/2/25</t>
    <rPh sb="5" eb="7">
      <t>ザイコ</t>
    </rPh>
    <rPh sb="7" eb="9">
      <t>カンリ</t>
    </rPh>
    <rPh sb="9" eb="10">
      <t>スミ</t>
    </rPh>
    <phoneticPr fontId="6"/>
  </si>
  <si>
    <t xml:space="preserve">ニッセン50 </t>
    <phoneticPr fontId="6"/>
  </si>
  <si>
    <t>かりん</t>
    <phoneticPr fontId="6"/>
  </si>
  <si>
    <t>はぴねすくらぶ/すてき通販特選56②</t>
    <rPh sb="11" eb="13">
      <t>ツウハン</t>
    </rPh>
    <rPh sb="13" eb="15">
      <t>トクセン</t>
    </rPh>
    <phoneticPr fontId="6"/>
  </si>
  <si>
    <t>ニッセン51</t>
  </si>
  <si>
    <t>パルシステム3月2回②</t>
    <rPh sb="7" eb="8">
      <t>ガツ</t>
    </rPh>
    <rPh sb="9" eb="10">
      <t>カイ</t>
    </rPh>
    <phoneticPr fontId="6"/>
  </si>
  <si>
    <t>日生協キャロット2026年3月2号（不透明袋）①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phoneticPr fontId="6"/>
  </si>
  <si>
    <t>パルシステム3月2回③</t>
    <rPh sb="7" eb="8">
      <t>ガツ</t>
    </rPh>
    <rPh sb="9" eb="10">
      <t>カイ</t>
    </rPh>
    <phoneticPr fontId="6"/>
  </si>
  <si>
    <t>はぴねすくらぶ/すてき通販特選56③</t>
    <rPh sb="11" eb="13">
      <t>ツウハン</t>
    </rPh>
    <rPh sb="13" eb="15">
      <t>トクセン</t>
    </rPh>
    <phoneticPr fontId="6"/>
  </si>
  <si>
    <t>西夢</t>
    <rPh sb="0" eb="2">
      <t>ニシユメ</t>
    </rPh>
    <phoneticPr fontId="6"/>
  </si>
  <si>
    <t>ニッセン52</t>
    <phoneticPr fontId="6"/>
  </si>
  <si>
    <t>JOD撮影用sample</t>
    <rPh sb="3" eb="6">
      <t>サツエイヨウ</t>
    </rPh>
    <phoneticPr fontId="6"/>
  </si>
  <si>
    <t>はぴねすくらぶ/すてき通販特選56④</t>
    <rPh sb="11" eb="13">
      <t>ツウハン</t>
    </rPh>
    <rPh sb="13" eb="15">
      <t>トクセン</t>
    </rPh>
    <phoneticPr fontId="6"/>
  </si>
  <si>
    <t>くらし返品</t>
    <rPh sb="3" eb="5">
      <t>ヘンピン</t>
    </rPh>
    <phoneticPr fontId="6"/>
  </si>
  <si>
    <t>ニッセン53</t>
    <phoneticPr fontId="6"/>
  </si>
  <si>
    <t>はぴねすくらぶ/すてき通販特選56⑤</t>
    <rPh sb="11" eb="13">
      <t>ツウハン</t>
    </rPh>
    <rPh sb="13" eb="15">
      <t>トクセン</t>
    </rPh>
    <phoneticPr fontId="6"/>
  </si>
  <si>
    <t>西夢取り置き</t>
    <rPh sb="0" eb="3">
      <t>ニシユメト</t>
    </rPh>
    <rPh sb="4" eb="5">
      <t>オ</t>
    </rPh>
    <phoneticPr fontId="6"/>
  </si>
  <si>
    <t>はぴねすくらぶ/すてき通販特選56⑥</t>
    <rPh sb="11" eb="13">
      <t>ツウハン</t>
    </rPh>
    <rPh sb="13" eb="15">
      <t>トクセン</t>
    </rPh>
    <phoneticPr fontId="6"/>
  </si>
  <si>
    <t>日生協キャロット2026年3月2号（不透明袋）②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phoneticPr fontId="6"/>
  </si>
  <si>
    <t>西夢</t>
    <rPh sb="0" eb="2">
      <t>ニシユメ</t>
    </rPh>
    <phoneticPr fontId="6"/>
  </si>
  <si>
    <t>はぴねすくらぶ/すてき通販特選56⑦</t>
    <rPh sb="11" eb="13">
      <t>ツウハン</t>
    </rPh>
    <rPh sb="13" eb="15">
      <t>トクセン</t>
    </rPh>
    <phoneticPr fontId="6"/>
  </si>
  <si>
    <t>日生協キャロット2026年3月2号（不透明袋）③</t>
    <rPh sb="0" eb="3">
      <t>ニッセイキョウ</t>
    </rPh>
    <rPh sb="12" eb="13">
      <t>ネン</t>
    </rPh>
    <rPh sb="14" eb="15">
      <t>ガツ</t>
    </rPh>
    <rPh sb="16" eb="17">
      <t>ゴウ</t>
    </rPh>
    <rPh sb="18" eb="22">
      <t>フトウメイフクロ</t>
    </rPh>
    <phoneticPr fontId="6"/>
  </si>
  <si>
    <t>ゆめはん</t>
    <phoneticPr fontId="6"/>
  </si>
  <si>
    <t>はぴねすくらぶ/すてき通販特選56⑧</t>
    <rPh sb="11" eb="13">
      <t>ツウハン</t>
    </rPh>
    <rPh sb="13" eb="15">
      <t>トクセン</t>
    </rPh>
    <phoneticPr fontId="6"/>
  </si>
  <si>
    <t>かりん</t>
  </si>
  <si>
    <t>ニッセン54</t>
    <phoneticPr fontId="6"/>
  </si>
  <si>
    <t>西夢</t>
    <rPh sb="0" eb="2">
      <t>ニシユメ</t>
    </rPh>
    <phoneticPr fontId="6"/>
  </si>
  <si>
    <t>かりん</t>
    <phoneticPr fontId="6"/>
  </si>
  <si>
    <t>ニッセン55</t>
    <phoneticPr fontId="6"/>
  </si>
  <si>
    <t>電話注文</t>
    <rPh sb="0" eb="4">
      <t>デンワチュウモン</t>
    </rPh>
    <phoneticPr fontId="6"/>
  </si>
  <si>
    <t>ベルーナ元気とキレイの秘訣26夏号①</t>
    <rPh sb="4" eb="6">
      <t>ゲンキ</t>
    </rPh>
    <rPh sb="11" eb="13">
      <t>ヒケツ</t>
    </rPh>
    <rPh sb="15" eb="17">
      <t>ナツゴウ</t>
    </rPh>
    <phoneticPr fontId="6"/>
  </si>
  <si>
    <t>ニッセン56</t>
    <phoneticPr fontId="6"/>
  </si>
  <si>
    <t>5/19～</t>
    <phoneticPr fontId="6"/>
  </si>
  <si>
    <t>かりん</t>
    <phoneticPr fontId="6"/>
  </si>
  <si>
    <t>はぴねすくらぶ/すてき通販特選56⑨</t>
    <rPh sb="11" eb="13">
      <t>ツウハン</t>
    </rPh>
    <rPh sb="13" eb="15">
      <t>トクセン</t>
    </rPh>
    <phoneticPr fontId="6"/>
  </si>
  <si>
    <t>ニッセン57</t>
    <phoneticPr fontId="6"/>
  </si>
  <si>
    <t>ゆめはん</t>
    <phoneticPr fontId="6"/>
  </si>
  <si>
    <t>かりん</t>
    <phoneticPr fontId="6"/>
  </si>
  <si>
    <t>はぴねすくらぶ/すてき通販特選56⑩</t>
    <rPh sb="11" eb="13">
      <t>ツウハン</t>
    </rPh>
    <rPh sb="13" eb="15">
      <t>トクセン</t>
    </rPh>
    <phoneticPr fontId="6"/>
  </si>
  <si>
    <t>ハルメクアルファ</t>
    <phoneticPr fontId="6"/>
  </si>
  <si>
    <t>ニッセン58</t>
    <phoneticPr fontId="6"/>
  </si>
  <si>
    <t>ネット返品</t>
    <rPh sb="3" eb="5">
      <t>ヘンピン</t>
    </rPh>
    <phoneticPr fontId="6"/>
  </si>
  <si>
    <t>ネット</t>
    <phoneticPr fontId="6"/>
  </si>
  <si>
    <t>かりん</t>
    <phoneticPr fontId="6"/>
  </si>
  <si>
    <t>はぴねすくらぶ/すてき通販特選56⑪</t>
    <rPh sb="11" eb="13">
      <t>ツウハン</t>
    </rPh>
    <rPh sb="13" eb="15">
      <t>トクセン</t>
    </rPh>
    <phoneticPr fontId="6"/>
  </si>
  <si>
    <t>ニッセン59</t>
    <phoneticPr fontId="6"/>
  </si>
  <si>
    <t>はぴねすくらぶ/すてき通販特選56⑫</t>
    <rPh sb="11" eb="13">
      <t>ツウハン</t>
    </rPh>
    <rPh sb="13" eb="15">
      <t>トクセン</t>
    </rPh>
    <phoneticPr fontId="6"/>
  </si>
  <si>
    <t>西夢</t>
    <rPh sb="0" eb="2">
      <t>ニシユメ</t>
    </rPh>
    <phoneticPr fontId="6"/>
  </si>
  <si>
    <t>JOD2色組</t>
    <rPh sb="4" eb="5">
      <t>ショク</t>
    </rPh>
    <rPh sb="5" eb="6">
      <t>グミ</t>
    </rPh>
    <phoneticPr fontId="6"/>
  </si>
  <si>
    <t>ベルーナ元気とキレイの秘訣26夏号②</t>
    <rPh sb="4" eb="6">
      <t>ゲンキ</t>
    </rPh>
    <rPh sb="11" eb="13">
      <t>ヒケツ</t>
    </rPh>
    <rPh sb="15" eb="17">
      <t>ナツゴウ</t>
    </rPh>
    <phoneticPr fontId="6"/>
  </si>
  <si>
    <t>ネット</t>
  </si>
  <si>
    <t>JOD</t>
    <phoneticPr fontId="6"/>
  </si>
  <si>
    <t>ゆめはん</t>
    <phoneticPr fontId="6"/>
  </si>
  <si>
    <t>はぴねすくらぶ/すてき通販特選56⑬</t>
    <rPh sb="11" eb="13">
      <t>ツウハン</t>
    </rPh>
    <rPh sb="13" eb="15">
      <t>トクセン</t>
    </rPh>
    <phoneticPr fontId="6"/>
  </si>
  <si>
    <t>追加</t>
    <rPh sb="0" eb="2">
      <t>ツイカ</t>
    </rPh>
    <phoneticPr fontId="6"/>
  </si>
  <si>
    <t>はぴねすくらぶ/すてき通販特選56⑭</t>
    <rPh sb="11" eb="13">
      <t>ツウハン</t>
    </rPh>
    <rPh sb="13" eb="15">
      <t>トクセン</t>
    </rPh>
    <phoneticPr fontId="6"/>
  </si>
  <si>
    <t>ネット</t>
    <phoneticPr fontId="6"/>
  </si>
  <si>
    <t>ゆめはん</t>
    <phoneticPr fontId="6"/>
  </si>
  <si>
    <t>ベルーナ元気とキレイの秘訣26夏号③</t>
    <rPh sb="4" eb="6">
      <t>ゲンキ</t>
    </rPh>
    <rPh sb="11" eb="13">
      <t>ヒケツ</t>
    </rPh>
    <rPh sb="15" eb="17">
      <t>ナツゴウ</t>
    </rPh>
    <phoneticPr fontId="6"/>
  </si>
  <si>
    <t>はぴねすくらぶ/すてき通販特選56⑮</t>
    <rPh sb="11" eb="13">
      <t>ツウハン</t>
    </rPh>
    <rPh sb="13" eb="15">
      <t>トクセン</t>
    </rPh>
    <phoneticPr fontId="6"/>
  </si>
  <si>
    <t>JOD</t>
    <phoneticPr fontId="6"/>
  </si>
  <si>
    <t>かりん</t>
    <phoneticPr fontId="6"/>
  </si>
  <si>
    <t>ベルーナ元気とキレイの秘訣26夏号④</t>
    <rPh sb="4" eb="6">
      <t>ゲンキ</t>
    </rPh>
    <rPh sb="11" eb="13">
      <t>ヒケツ</t>
    </rPh>
    <rPh sb="15" eb="17">
      <t>ナツゴウ</t>
    </rPh>
    <phoneticPr fontId="6"/>
  </si>
  <si>
    <t>JOD特別号9574/単品・2色組</t>
    <rPh sb="3" eb="5">
      <t>トクベツ</t>
    </rPh>
    <rPh sb="5" eb="6">
      <t>ゴウ</t>
    </rPh>
    <rPh sb="11" eb="13">
      <t>タンピン</t>
    </rPh>
    <rPh sb="15" eb="17">
      <t>ショククミ</t>
    </rPh>
    <phoneticPr fontId="6"/>
  </si>
  <si>
    <t>7/21～</t>
    <phoneticPr fontId="6"/>
  </si>
  <si>
    <t>ベルーナ元気とキレイの秘訣26夏号⑤</t>
    <rPh sb="4" eb="6">
      <t>ゲンキ</t>
    </rPh>
    <rPh sb="11" eb="13">
      <t>ヒケツ</t>
    </rPh>
    <rPh sb="15" eb="17">
      <t>ナツゴウ</t>
    </rPh>
    <phoneticPr fontId="6"/>
  </si>
  <si>
    <t>2023年１月～２０２６年６月中実績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6" eb="18">
      <t>ジッセキ</t>
    </rPh>
    <phoneticPr fontId="6"/>
  </si>
  <si>
    <t>追加２ ???????????????????????</t>
    <rPh sb="0" eb="2">
      <t>ツイカ</t>
    </rPh>
    <phoneticPr fontId="2"/>
  </si>
  <si>
    <t>?????????????????????</t>
    <phoneticPr fontId="6"/>
  </si>
  <si>
    <t>追加</t>
    <rPh sb="0" eb="2">
      <t>ツイカ</t>
    </rPh>
    <phoneticPr fontId="6"/>
  </si>
  <si>
    <t>ゆめはん</t>
    <phoneticPr fontId="6"/>
  </si>
  <si>
    <t>JOD</t>
    <phoneticPr fontId="6"/>
  </si>
  <si>
    <t>ニッセン60</t>
    <phoneticPr fontId="6"/>
  </si>
  <si>
    <t>ベルーナ元気とキレイの秘訣26夏号⑥</t>
    <rPh sb="4" eb="6">
      <t>ゲンキ</t>
    </rPh>
    <rPh sb="11" eb="13">
      <t>ヒケツ</t>
    </rPh>
    <rPh sb="15" eb="17">
      <t>ナツゴウ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</si>
</sst>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36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2" xfId="1" applyFont="1" applyBorder="1"/>
    <xf numFmtId="0" fontId="8" fillId="0" borderId="13" xfId="1" applyFont="1" applyBorder="1"/>
    <xf numFmtId="0" fontId="8" fillId="0" borderId="14" xfId="1" applyFont="1" applyBorder="1"/>
    <xf numFmtId="0" fontId="8" fillId="0" borderId="3" xfId="1" applyFont="1" applyBorder="1"/>
    <xf numFmtId="0" fontId="8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8" fillId="2" borderId="19" xfId="1" applyFont="1" applyFill="1" applyBorder="1"/>
    <xf numFmtId="0" fontId="8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8" fillId="0" borderId="31" xfId="1" applyFont="1" applyBorder="1"/>
    <xf numFmtId="0" fontId="1" fillId="0" borderId="32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8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2" borderId="42" xfId="1" applyFill="1" applyBorder="1"/>
    <xf numFmtId="0" fontId="1" fillId="0" borderId="12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2" borderId="44" xfId="1" applyFill="1" applyBorder="1"/>
    <xf numFmtId="0" fontId="1" fillId="2" borderId="45" xfId="1" applyFill="1" applyBorder="1"/>
    <xf numFmtId="0" fontId="1" fillId="0" borderId="22" xfId="1" applyBorder="1" applyAlignment="1">
      <alignment horizontal="center" vertical="center"/>
    </xf>
    <xf numFmtId="0" fontId="1" fillId="2" borderId="19" xfId="1" applyFill="1" applyBorder="1"/>
    <xf numFmtId="0" fontId="8" fillId="0" borderId="19" xfId="1" applyFont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9" xfId="1" applyBorder="1"/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6" xfId="1" applyBorder="1"/>
    <xf numFmtId="176" fontId="0" fillId="0" borderId="0" xfId="0" applyNumberFormat="1">
      <alignment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8" fillId="0" borderId="0" xfId="1" applyFont="1" applyAlignment="1">
      <alignment horizontal="left"/>
    </xf>
    <xf numFmtId="5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1" fillId="0" borderId="11" xfId="1" applyNumberFormat="1" applyBorder="1" applyAlignment="1">
      <alignment horizontal="left"/>
    </xf>
    <xf numFmtId="0" fontId="8" fillId="0" borderId="16" xfId="1" applyFont="1" applyBorder="1" applyAlignment="1">
      <alignment horizontal="center"/>
    </xf>
    <xf numFmtId="0" fontId="8" fillId="2" borderId="3" xfId="1" applyFont="1" applyFill="1" applyBorder="1" applyAlignment="1">
      <alignment horizontal="right"/>
    </xf>
    <xf numFmtId="176" fontId="8" fillId="0" borderId="0" xfId="1" applyNumberFormat="1" applyFont="1" applyAlignment="1">
      <alignment horizontal="center"/>
    </xf>
    <xf numFmtId="0" fontId="10" fillId="0" borderId="0" xfId="0" applyFont="1">
      <alignment vertical="center"/>
    </xf>
    <xf numFmtId="0" fontId="1" fillId="2" borderId="43" xfId="1" applyFill="1" applyBorder="1"/>
    <xf numFmtId="0" fontId="1" fillId="0" borderId="7" xfId="1" applyBorder="1"/>
    <xf numFmtId="176" fontId="10" fillId="0" borderId="0" xfId="0" applyNumberFormat="1" applyFont="1">
      <alignment vertical="center"/>
    </xf>
    <xf numFmtId="0" fontId="1" fillId="0" borderId="7" xfId="1" applyBorder="1" applyAlignment="1">
      <alignment horizontal="center" vertical="center" shrinkToFit="1"/>
    </xf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/>
    <xf numFmtId="0" fontId="4" fillId="0" borderId="9" xfId="1" applyFont="1" applyBorder="1"/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4" fillId="0" borderId="40" xfId="1" applyFont="1" applyBorder="1" applyAlignment="1">
      <alignment horizontal="center"/>
    </xf>
    <xf numFmtId="0" fontId="4" fillId="0" borderId="41" xfId="1" applyFont="1" applyBorder="1" applyAlignment="1">
      <alignment horizontal="center"/>
    </xf>
    <xf numFmtId="0" fontId="1" fillId="0" borderId="8" xfId="1" applyBorder="1"/>
    <xf numFmtId="0" fontId="1" fillId="0" borderId="50" xfId="1" applyBorder="1" applyAlignment="1">
      <alignment horizontal="center" vertical="center"/>
    </xf>
    <xf numFmtId="0" fontId="1" fillId="2" borderId="49" xfId="1" applyFill="1" applyBorder="1"/>
    <xf numFmtId="0" fontId="8" fillId="0" borderId="12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2" borderId="19" xfId="1" applyFont="1" applyFill="1" applyBorder="1" applyAlignment="1">
      <alignment horizontal="right"/>
    </xf>
    <xf numFmtId="56" fontId="0" fillId="0" borderId="0" xfId="0" applyNumberFormat="1" applyAlignment="1">
      <alignment horizontal="left" vertical="center"/>
    </xf>
    <xf numFmtId="56" fontId="0" fillId="0" borderId="0" xfId="0" applyNumberFormat="1">
      <alignment vertical="center"/>
    </xf>
    <xf numFmtId="0" fontId="8" fillId="0" borderId="0" xfId="1" applyFont="1" applyAlignment="1">
      <alignment horizontal="center" vertical="center" shrinkToFit="1"/>
    </xf>
    <xf numFmtId="176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" fillId="2" borderId="51" xfId="1" applyFill="1" applyBorder="1"/>
    <xf numFmtId="0" fontId="1" fillId="2" borderId="9" xfId="1" applyFill="1" applyBorder="1"/>
    <xf numFmtId="0" fontId="8" fillId="2" borderId="48" xfId="1" applyFont="1" applyFill="1" applyBorder="1"/>
    <xf numFmtId="0" fontId="8" fillId="2" borderId="3" xfId="1" applyFont="1" applyFill="1" applyBorder="1"/>
    <xf numFmtId="0" fontId="1" fillId="0" borderId="46" xfId="1" applyBorder="1" applyAlignment="1">
      <alignment horizontal="center"/>
    </xf>
    <xf numFmtId="0" fontId="1" fillId="0" borderId="57" xfId="1" applyBorder="1"/>
    <xf numFmtId="0" fontId="1" fillId="0" borderId="58" xfId="1" applyBorder="1"/>
    <xf numFmtId="0" fontId="1" fillId="0" borderId="59" xfId="1" applyBorder="1"/>
    <xf numFmtId="0" fontId="1" fillId="0" borderId="60" xfId="1" applyBorder="1"/>
    <xf numFmtId="0" fontId="1" fillId="2" borderId="61" xfId="1" applyFill="1" applyBorder="1"/>
    <xf numFmtId="0" fontId="8" fillId="0" borderId="1" xfId="1" applyFont="1" applyBorder="1"/>
    <xf numFmtId="0" fontId="8" fillId="0" borderId="30" xfId="1" applyFont="1" applyBorder="1"/>
    <xf numFmtId="0" fontId="8" fillId="0" borderId="2" xfId="1" applyFont="1" applyBorder="1"/>
    <xf numFmtId="0" fontId="8" fillId="0" borderId="16" xfId="1" applyFont="1" applyBorder="1"/>
    <xf numFmtId="0" fontId="4" fillId="0" borderId="9" xfId="1" applyFont="1" applyBorder="1" applyAlignment="1">
      <alignment horizontal="center" vertical="center"/>
    </xf>
    <xf numFmtId="0" fontId="4" fillId="2" borderId="42" xfId="1" applyFont="1" applyFill="1" applyBorder="1"/>
    <xf numFmtId="176" fontId="9" fillId="0" borderId="0" xfId="0" applyNumberFormat="1" applyFont="1">
      <alignment vertical="center"/>
    </xf>
    <xf numFmtId="1" fontId="9" fillId="0" borderId="0" xfId="0" applyNumberFormat="1" applyFont="1">
      <alignment vertical="center"/>
    </xf>
    <xf numFmtId="0" fontId="1" fillId="0" borderId="63" xfId="1" applyBorder="1" applyAlignment="1">
      <alignment horizontal="center" vertical="center"/>
    </xf>
    <xf numFmtId="1" fontId="0" fillId="0" borderId="0" xfId="0" applyNumberFormat="1">
      <alignment vertical="center"/>
    </xf>
    <xf numFmtId="0" fontId="1" fillId="0" borderId="19" xfId="1" applyBorder="1" applyAlignment="1">
      <alignment horizontal="center" vertical="center"/>
    </xf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0" borderId="54" xfId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2" borderId="56" xfId="1" applyFill="1" applyBorder="1"/>
    <xf numFmtId="1" fontId="12" fillId="0" borderId="0" xfId="0" applyNumberFormat="1" applyFont="1">
      <alignment vertical="center"/>
    </xf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5" fillId="0" borderId="61" xfId="1" applyFont="1" applyBorder="1" applyAlignment="1">
      <alignment horizontal="center" vertical="center"/>
    </xf>
    <xf numFmtId="0" fontId="1" fillId="0" borderId="57" xfId="1" applyBorder="1" applyAlignment="1">
      <alignment horizontal="center"/>
    </xf>
    <xf numFmtId="0" fontId="1" fillId="0" borderId="58" xfId="1" applyBorder="1" applyAlignment="1">
      <alignment horizontal="center"/>
    </xf>
    <xf numFmtId="0" fontId="1" fillId="0" borderId="59" xfId="1" applyBorder="1" applyAlignment="1">
      <alignment horizontal="center"/>
    </xf>
    <xf numFmtId="0" fontId="1" fillId="0" borderId="64" xfId="1" applyBorder="1" applyAlignment="1">
      <alignment horizontal="center"/>
    </xf>
    <xf numFmtId="0" fontId="1" fillId="2" borderId="65" xfId="1" applyFill="1" applyBorder="1"/>
    <xf numFmtId="0" fontId="5" fillId="0" borderId="8" xfId="1" applyFont="1" applyBorder="1" applyAlignment="1">
      <alignment horizontal="center" vertical="center"/>
    </xf>
    <xf numFmtId="0" fontId="1" fillId="0" borderId="62" xfId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" fontId="10" fillId="0" borderId="0" xfId="0" applyNumberFormat="1" applyFont="1">
      <alignment vertical="center"/>
    </xf>
    <xf numFmtId="176" fontId="13" fillId="0" borderId="0" xfId="1" applyNumberFormat="1" applyFont="1"/>
    <xf numFmtId="0" fontId="13" fillId="0" borderId="11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" fillId="6" borderId="24" xfId="1" applyFill="1" applyBorder="1" applyAlignment="1">
      <alignment horizontal="center"/>
    </xf>
    <xf numFmtId="0" fontId="8" fillId="0" borderId="10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/>
    </xf>
    <xf numFmtId="0" fontId="8" fillId="2" borderId="44" xfId="1" applyFont="1" applyFill="1" applyBorder="1"/>
    <xf numFmtId="0" fontId="8" fillId="0" borderId="6" xfId="1" applyFont="1" applyBorder="1" applyAlignment="1">
      <alignment horizontal="center"/>
    </xf>
    <xf numFmtId="0" fontId="8" fillId="2" borderId="7" xfId="1" applyFont="1" applyFill="1" applyBorder="1"/>
    <xf numFmtId="0" fontId="8" fillId="0" borderId="9" xfId="1" applyFont="1" applyBorder="1"/>
    <xf numFmtId="0" fontId="4" fillId="6" borderId="41" xfId="1" applyFont="1" applyFill="1" applyBorder="1" applyAlignment="1">
      <alignment horizontal="center"/>
    </xf>
    <xf numFmtId="0" fontId="15" fillId="0" borderId="22" xfId="1" applyFont="1" applyBorder="1" applyAlignment="1">
      <alignment horizontal="center" vertical="center"/>
    </xf>
    <xf numFmtId="0" fontId="15" fillId="0" borderId="4" xfId="1" applyFont="1" applyBorder="1"/>
    <xf numFmtId="0" fontId="15" fillId="0" borderId="20" xfId="1" applyFont="1" applyBorder="1"/>
    <xf numFmtId="0" fontId="15" fillId="0" borderId="5" xfId="1" applyFont="1" applyBorder="1"/>
    <xf numFmtId="0" fontId="15" fillId="0" borderId="6" xfId="1" applyFont="1" applyBorder="1"/>
    <xf numFmtId="0" fontId="15" fillId="2" borderId="7" xfId="1" applyFont="1" applyFill="1" applyBorder="1"/>
    <xf numFmtId="0" fontId="15" fillId="0" borderId="9" xfId="1" applyFont="1" applyBorder="1"/>
    <xf numFmtId="56" fontId="14" fillId="0" borderId="0" xfId="0" applyNumberFormat="1" applyFont="1" applyAlignment="1">
      <alignment horizontal="left" vertical="center"/>
    </xf>
    <xf numFmtId="0" fontId="15" fillId="0" borderId="7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15" fillId="0" borderId="5" xfId="1" applyFont="1" applyBorder="1" applyAlignment="1">
      <alignment horizontal="center"/>
    </xf>
    <xf numFmtId="0" fontId="15" fillId="0" borderId="24" xfId="1" applyFont="1" applyBorder="1" applyAlignment="1">
      <alignment horizontal="center"/>
    </xf>
    <xf numFmtId="0" fontId="15" fillId="2" borderId="25" xfId="1" applyFont="1" applyFill="1" applyBorder="1"/>
    <xf numFmtId="0" fontId="4" fillId="0" borderId="7" xfId="1" applyFont="1" applyBorder="1"/>
    <xf numFmtId="0" fontId="1" fillId="6" borderId="55" xfId="1" applyFill="1" applyBorder="1" applyAlignment="1">
      <alignment horizontal="center"/>
    </xf>
    <xf numFmtId="0" fontId="15" fillId="0" borderId="9" xfId="1" applyFont="1" applyBorder="1" applyAlignment="1">
      <alignment horizontal="center" vertical="center"/>
    </xf>
    <xf numFmtId="0" fontId="14" fillId="0" borderId="0" xfId="0" applyFont="1">
      <alignment vertical="center"/>
    </xf>
    <xf numFmtId="0" fontId="4" fillId="6" borderId="24" xfId="1" applyFont="1" applyFill="1" applyBorder="1" applyAlignment="1">
      <alignment horizontal="center"/>
    </xf>
    <xf numFmtId="0" fontId="15" fillId="0" borderId="7" xfId="1" applyFont="1" applyBorder="1"/>
    <xf numFmtId="0" fontId="15" fillId="0" borderId="57" xfId="1" applyFont="1" applyBorder="1"/>
    <xf numFmtId="0" fontId="15" fillId="0" borderId="58" xfId="1" applyFont="1" applyBorder="1"/>
    <xf numFmtId="0" fontId="15" fillId="0" borderId="59" xfId="1" applyFont="1" applyBorder="1"/>
    <xf numFmtId="0" fontId="15" fillId="0" borderId="60" xfId="1" applyFont="1" applyBorder="1"/>
    <xf numFmtId="0" fontId="15" fillId="2" borderId="61" xfId="1" applyFont="1" applyFill="1" applyBorder="1"/>
    <xf numFmtId="0" fontId="15" fillId="0" borderId="11" xfId="1" applyFont="1" applyBorder="1"/>
    <xf numFmtId="0" fontId="8" fillId="2" borderId="25" xfId="1" applyFont="1" applyFill="1" applyBorder="1"/>
    <xf numFmtId="0" fontId="8" fillId="0" borderId="7" xfId="1" applyFont="1" applyBorder="1" applyAlignment="1">
      <alignment horizontal="center" vertical="center"/>
    </xf>
    <xf numFmtId="5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" fontId="9" fillId="0" borderId="0" xfId="0" applyNumberFormat="1" applyFont="1" applyAlignment="1">
      <alignment horizontal="left" vertical="center"/>
    </xf>
    <xf numFmtId="0" fontId="1" fillId="2" borderId="66" xfId="1" applyFill="1" applyBorder="1"/>
    <xf numFmtId="0" fontId="8" fillId="0" borderId="21" xfId="1" applyFont="1" applyBorder="1"/>
    <xf numFmtId="0" fontId="8" fillId="0" borderId="19" xfId="1" applyFont="1" applyBorder="1"/>
    <xf numFmtId="0" fontId="1" fillId="0" borderId="43" xfId="1" applyBorder="1"/>
    <xf numFmtId="0" fontId="8" fillId="0" borderId="34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6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8" fillId="2" borderId="49" xfId="1" applyFont="1" applyFill="1" applyBorder="1"/>
    <xf numFmtId="0" fontId="8" fillId="0" borderId="8" xfId="1" applyFont="1" applyBorder="1"/>
    <xf numFmtId="0" fontId="8" fillId="0" borderId="8" xfId="1" applyFont="1" applyBorder="1" applyAlignment="1">
      <alignment horizontal="center" vertical="center"/>
    </xf>
    <xf numFmtId="0" fontId="8" fillId="0" borderId="0" xfId="1" applyFont="1" applyAlignment="1">
      <alignment horizontal="right" vertical="center"/>
    </xf>
    <xf numFmtId="0" fontId="13" fillId="0" borderId="0" xfId="1" applyFont="1" applyAlignment="1">
      <alignment horizontal="right" vertical="center"/>
    </xf>
    <xf numFmtId="0" fontId="8" fillId="0" borderId="22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0" fillId="4" borderId="47" xfId="0" applyFill="1" applyBorder="1">
      <alignment vertical="center"/>
    </xf>
    <xf numFmtId="0" fontId="0" fillId="4" borderId="48" xfId="0" applyFill="1" applyBorder="1">
      <alignment vertical="center"/>
    </xf>
    <xf numFmtId="0" fontId="4" fillId="5" borderId="15" xfId="1" applyFont="1" applyFill="1" applyBorder="1" applyAlignment="1">
      <alignment horizontal="center" vertical="center"/>
    </xf>
    <xf numFmtId="0" fontId="0" fillId="5" borderId="47" xfId="0" applyFill="1" applyBorder="1">
      <alignment vertical="center"/>
    </xf>
    <xf numFmtId="0" fontId="0" fillId="5" borderId="48" xfId="0" applyFill="1" applyBorder="1">
      <alignment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54"/>
  <sheetViews>
    <sheetView tabSelected="1" topLeftCell="A1185" zoomScaleNormal="100" workbookViewId="0">
      <selection activeCell="A1193" sqref="A1193"/>
    </sheetView>
  </sheetViews>
  <sheetFormatPr defaultRowHeight="13.5" x14ac:dyDescent="0.15"/>
  <cols>
    <col min="1" max="1" width="41.5" customWidth="1"/>
    <col min="2" max="2" width="9" customWidth="1"/>
    <col min="7" max="7" width="9" customWidth="1"/>
    <col min="13" max="13" width="11.5" style="86" customWidth="1"/>
    <col min="14" max="14" width="41.125" customWidth="1"/>
    <col min="15" max="15" width="9" customWidth="1"/>
    <col min="20" max="20" width="9" customWidth="1"/>
    <col min="26" max="26" width="9.25" style="86" bestFit="1" customWidth="1"/>
  </cols>
  <sheetData>
    <row r="1" spans="1:27" ht="19.5" thickBot="1" x14ac:dyDescent="0.25">
      <c r="A1" s="2" t="s">
        <v>26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81"/>
      <c r="N1" s="2" t="s">
        <v>27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7" ht="14.25" thickBot="1" x14ac:dyDescent="0.2">
      <c r="A2" s="5" t="s">
        <v>0</v>
      </c>
      <c r="B2" s="228" t="s">
        <v>19</v>
      </c>
      <c r="C2" s="229"/>
      <c r="D2" s="229"/>
      <c r="E2" s="229"/>
      <c r="F2" s="230"/>
      <c r="G2" s="231" t="s">
        <v>18</v>
      </c>
      <c r="H2" s="232"/>
      <c r="I2" s="232"/>
      <c r="J2" s="232"/>
      <c r="K2" s="233"/>
      <c r="L2" s="234" t="s">
        <v>1</v>
      </c>
      <c r="M2" s="82"/>
      <c r="N2" s="5" t="s">
        <v>0</v>
      </c>
      <c r="O2" s="228" t="s">
        <v>19</v>
      </c>
      <c r="P2" s="229"/>
      <c r="Q2" s="229"/>
      <c r="R2" s="229"/>
      <c r="S2" s="230"/>
      <c r="T2" s="231" t="s">
        <v>18</v>
      </c>
      <c r="U2" s="232"/>
      <c r="V2" s="232"/>
      <c r="W2" s="232"/>
      <c r="X2" s="233"/>
      <c r="Y2" s="234" t="s">
        <v>1</v>
      </c>
    </row>
    <row r="3" spans="1:27" ht="14.25" thickBot="1" x14ac:dyDescent="0.2">
      <c r="A3" s="5" t="s">
        <v>2</v>
      </c>
      <c r="B3" s="3" t="s">
        <v>12</v>
      </c>
      <c r="C3" s="42" t="s">
        <v>13</v>
      </c>
      <c r="D3" s="4" t="s">
        <v>14</v>
      </c>
      <c r="E3" s="22" t="s">
        <v>15</v>
      </c>
      <c r="F3" s="30" t="s">
        <v>3</v>
      </c>
      <c r="G3" s="3" t="s">
        <v>12</v>
      </c>
      <c r="H3" s="42" t="s">
        <v>13</v>
      </c>
      <c r="I3" s="4" t="s">
        <v>14</v>
      </c>
      <c r="J3" s="22" t="s">
        <v>15</v>
      </c>
      <c r="K3" s="30" t="s">
        <v>3</v>
      </c>
      <c r="L3" s="235"/>
      <c r="M3" s="82"/>
      <c r="N3" s="5" t="s">
        <v>2</v>
      </c>
      <c r="O3" s="3" t="s">
        <v>12</v>
      </c>
      <c r="P3" s="42" t="s">
        <v>13</v>
      </c>
      <c r="Q3" s="4" t="s">
        <v>14</v>
      </c>
      <c r="R3" s="22" t="s">
        <v>15</v>
      </c>
      <c r="S3" s="30" t="s">
        <v>3</v>
      </c>
      <c r="T3" s="3" t="s">
        <v>12</v>
      </c>
      <c r="U3" s="42" t="s">
        <v>13</v>
      </c>
      <c r="V3" s="4" t="s">
        <v>14</v>
      </c>
      <c r="W3" s="22" t="s">
        <v>15</v>
      </c>
      <c r="X3" s="30" t="s">
        <v>3</v>
      </c>
      <c r="Y3" s="235"/>
    </row>
    <row r="4" spans="1:27" x14ac:dyDescent="0.15">
      <c r="A4" s="70" t="s">
        <v>4</v>
      </c>
      <c r="B4" s="76">
        <v>9</v>
      </c>
      <c r="C4" s="77">
        <v>8</v>
      </c>
      <c r="D4" s="78">
        <v>7</v>
      </c>
      <c r="E4" s="79">
        <v>20</v>
      </c>
      <c r="F4" s="92">
        <f>SUM(B4:E4)</f>
        <v>44</v>
      </c>
      <c r="G4" s="77">
        <v>10</v>
      </c>
      <c r="H4" s="77">
        <v>7</v>
      </c>
      <c r="I4" s="78">
        <v>9</v>
      </c>
      <c r="J4" s="79">
        <v>20</v>
      </c>
      <c r="K4" s="92">
        <f>SUM(G4:J4)</f>
        <v>46</v>
      </c>
      <c r="L4" s="11">
        <f t="shared" ref="L4:L36" si="0">F4+K4</f>
        <v>90</v>
      </c>
      <c r="M4" s="83">
        <v>44956</v>
      </c>
      <c r="N4" s="70" t="s">
        <v>4</v>
      </c>
      <c r="O4" s="23">
        <v>20</v>
      </c>
      <c r="P4" s="44">
        <v>20</v>
      </c>
      <c r="Q4" s="24">
        <v>20</v>
      </c>
      <c r="R4" s="31">
        <v>20</v>
      </c>
      <c r="S4" s="92">
        <f>SUM(O4:R4)</f>
        <v>80</v>
      </c>
      <c r="T4" s="23">
        <v>20</v>
      </c>
      <c r="U4" s="44">
        <v>20</v>
      </c>
      <c r="V4" s="24">
        <v>20</v>
      </c>
      <c r="W4" s="31">
        <v>20</v>
      </c>
      <c r="X4" s="92">
        <f>SUM(T4:W4)</f>
        <v>80</v>
      </c>
      <c r="Y4" s="11">
        <f t="shared" ref="Y4:Y36" si="1">S4+X4</f>
        <v>160</v>
      </c>
      <c r="Z4" s="85" t="s">
        <v>32</v>
      </c>
      <c r="AA4" s="51"/>
    </row>
    <row r="5" spans="1:27" x14ac:dyDescent="0.15">
      <c r="A5" s="13" t="s">
        <v>5</v>
      </c>
      <c r="B5" s="6">
        <v>5</v>
      </c>
      <c r="C5" s="29">
        <v>10</v>
      </c>
      <c r="D5" s="7"/>
      <c r="E5" s="8"/>
      <c r="F5" s="9">
        <f>SUM(B5:E5)</f>
        <v>15</v>
      </c>
      <c r="G5" s="29">
        <v>10</v>
      </c>
      <c r="H5" s="29">
        <v>5</v>
      </c>
      <c r="I5" s="7"/>
      <c r="J5" s="8"/>
      <c r="K5" s="9">
        <f>SUM(G5:J5)</f>
        <v>15</v>
      </c>
      <c r="L5" s="11">
        <f t="shared" si="0"/>
        <v>30</v>
      </c>
      <c r="M5" s="83">
        <v>44974</v>
      </c>
      <c r="N5" s="13" t="s">
        <v>5</v>
      </c>
      <c r="O5" s="25">
        <v>140</v>
      </c>
      <c r="P5" s="45">
        <v>200</v>
      </c>
      <c r="Q5" s="26">
        <v>120</v>
      </c>
      <c r="R5" s="32">
        <v>80</v>
      </c>
      <c r="S5" s="9">
        <f>SUM(O5:R5)</f>
        <v>540</v>
      </c>
      <c r="T5" s="25">
        <v>140</v>
      </c>
      <c r="U5" s="45">
        <v>200</v>
      </c>
      <c r="V5" s="26">
        <v>120</v>
      </c>
      <c r="W5" s="32">
        <v>80</v>
      </c>
      <c r="X5" s="9">
        <f>SUM(T5:W5)</f>
        <v>540</v>
      </c>
      <c r="Y5" s="11">
        <f t="shared" si="1"/>
        <v>1080</v>
      </c>
      <c r="Z5" s="85" t="s">
        <v>33</v>
      </c>
      <c r="AA5" s="51"/>
    </row>
    <row r="6" spans="1:27" x14ac:dyDescent="0.15">
      <c r="A6" s="13" t="s">
        <v>6</v>
      </c>
      <c r="B6" s="25"/>
      <c r="C6" s="45"/>
      <c r="D6" s="26"/>
      <c r="E6" s="32"/>
      <c r="F6" s="33">
        <f t="shared" ref="F6" si="2">SUM(B6:E6)</f>
        <v>0</v>
      </c>
      <c r="G6" s="25"/>
      <c r="H6" s="45"/>
      <c r="I6" s="26"/>
      <c r="J6" s="32"/>
      <c r="K6" s="33">
        <f t="shared" ref="K6" si="3">SUM(G6:J6)</f>
        <v>0</v>
      </c>
      <c r="L6" s="11">
        <f t="shared" ref="L6:L7" si="4">F6+K6</f>
        <v>0</v>
      </c>
      <c r="M6" s="83"/>
      <c r="N6" s="12" t="s">
        <v>6</v>
      </c>
      <c r="O6" s="25"/>
      <c r="P6" s="45"/>
      <c r="Q6" s="26"/>
      <c r="R6" s="48"/>
      <c r="S6" s="9">
        <f>SUM(O6:R6)</f>
        <v>0</v>
      </c>
      <c r="T6" s="45"/>
      <c r="U6" s="45"/>
      <c r="V6" s="26"/>
      <c r="W6" s="48"/>
      <c r="X6" s="9">
        <f>SUM(T6:W6)</f>
        <v>0</v>
      </c>
      <c r="Y6" s="11">
        <f t="shared" si="1"/>
        <v>0</v>
      </c>
    </row>
    <row r="7" spans="1:27" x14ac:dyDescent="0.15">
      <c r="A7" s="13" t="s">
        <v>7</v>
      </c>
      <c r="B7" s="59"/>
      <c r="C7" s="60"/>
      <c r="D7" s="61"/>
      <c r="E7" s="62"/>
      <c r="F7" s="63">
        <f>SUM(B7:E7)</f>
        <v>0</v>
      </c>
      <c r="G7" s="59"/>
      <c r="H7" s="60"/>
      <c r="I7" s="61"/>
      <c r="J7" s="62"/>
      <c r="K7" s="33">
        <f>SUM(G7:J7)</f>
        <v>0</v>
      </c>
      <c r="L7" s="11">
        <f t="shared" si="4"/>
        <v>0</v>
      </c>
      <c r="M7" s="83"/>
      <c r="N7" s="12" t="s">
        <v>7</v>
      </c>
      <c r="O7" s="25"/>
      <c r="P7" s="45"/>
      <c r="Q7" s="26"/>
      <c r="R7" s="48"/>
      <c r="S7" s="9">
        <f>SUM(O7:R7)</f>
        <v>0</v>
      </c>
      <c r="T7" s="25"/>
      <c r="U7" s="45"/>
      <c r="V7" s="26"/>
      <c r="W7" s="48"/>
      <c r="X7" s="9">
        <f>SUM(T7:W7)</f>
        <v>0</v>
      </c>
      <c r="Y7" s="11">
        <f t="shared" si="1"/>
        <v>0</v>
      </c>
      <c r="Z7" s="159"/>
      <c r="AA7" s="51"/>
    </row>
    <row r="8" spans="1:27" ht="14.25" thickBot="1" x14ac:dyDescent="0.2">
      <c r="A8" s="13" t="s">
        <v>8</v>
      </c>
      <c r="B8" s="6"/>
      <c r="C8" s="29"/>
      <c r="D8" s="7"/>
      <c r="E8" s="8"/>
      <c r="F8" s="10">
        <f>SUM(B8:E8)</f>
        <v>0</v>
      </c>
      <c r="G8" s="29"/>
      <c r="H8" s="29"/>
      <c r="I8" s="7"/>
      <c r="J8" s="8"/>
      <c r="K8" s="10">
        <f>SUM(G8:J8)</f>
        <v>0</v>
      </c>
      <c r="L8" s="14">
        <f t="shared" si="0"/>
        <v>0</v>
      </c>
      <c r="M8" s="83"/>
      <c r="N8" s="12" t="s">
        <v>8</v>
      </c>
      <c r="O8" s="25"/>
      <c r="P8" s="45"/>
      <c r="Q8" s="26"/>
      <c r="R8" s="48"/>
      <c r="S8" s="10">
        <f>SUM(O8:R8)</f>
        <v>0</v>
      </c>
      <c r="T8" s="45"/>
      <c r="U8" s="45"/>
      <c r="V8" s="26"/>
      <c r="W8" s="48"/>
      <c r="X8" s="10">
        <f>SUM(T8:W8)</f>
        <v>0</v>
      </c>
      <c r="Y8" s="14">
        <f t="shared" si="1"/>
        <v>0</v>
      </c>
      <c r="Z8" s="85"/>
    </row>
    <row r="9" spans="1:27" ht="14.25" thickBot="1" x14ac:dyDescent="0.2">
      <c r="A9" s="21" t="s">
        <v>9</v>
      </c>
      <c r="B9" s="17">
        <f t="shared" ref="B9:K9" si="5">SUM(B4:B8)</f>
        <v>14</v>
      </c>
      <c r="C9" s="43">
        <f t="shared" si="5"/>
        <v>18</v>
      </c>
      <c r="D9" s="18">
        <f t="shared" si="5"/>
        <v>7</v>
      </c>
      <c r="E9" s="19">
        <f t="shared" si="5"/>
        <v>20</v>
      </c>
      <c r="F9" s="27">
        <f t="shared" si="5"/>
        <v>59</v>
      </c>
      <c r="G9" s="17">
        <f t="shared" si="5"/>
        <v>20</v>
      </c>
      <c r="H9" s="43">
        <f t="shared" si="5"/>
        <v>12</v>
      </c>
      <c r="I9" s="18">
        <f t="shared" si="5"/>
        <v>9</v>
      </c>
      <c r="J9" s="19">
        <f t="shared" si="5"/>
        <v>20</v>
      </c>
      <c r="K9" s="27">
        <f t="shared" si="5"/>
        <v>61</v>
      </c>
      <c r="L9" s="20">
        <f t="shared" si="0"/>
        <v>120</v>
      </c>
      <c r="M9" s="84"/>
      <c r="N9" s="16" t="s">
        <v>9</v>
      </c>
      <c r="O9" s="39">
        <f t="shared" ref="O9:X9" si="6">SUM(O4:O8)</f>
        <v>160</v>
      </c>
      <c r="P9" s="47">
        <f t="shared" si="6"/>
        <v>220</v>
      </c>
      <c r="Q9" s="40">
        <f t="shared" si="6"/>
        <v>140</v>
      </c>
      <c r="R9" s="88">
        <f t="shared" si="6"/>
        <v>100</v>
      </c>
      <c r="S9" s="89">
        <f t="shared" si="6"/>
        <v>620</v>
      </c>
      <c r="T9" s="39">
        <f t="shared" si="6"/>
        <v>160</v>
      </c>
      <c r="U9" s="47">
        <f t="shared" si="6"/>
        <v>220</v>
      </c>
      <c r="V9" s="40">
        <f t="shared" si="6"/>
        <v>140</v>
      </c>
      <c r="W9" s="88">
        <f t="shared" si="6"/>
        <v>100</v>
      </c>
      <c r="X9" s="89">
        <f t="shared" si="6"/>
        <v>620</v>
      </c>
      <c r="Y9" s="49">
        <f t="shared" si="1"/>
        <v>1240</v>
      </c>
    </row>
    <row r="10" spans="1:27" x14ac:dyDescent="0.15">
      <c r="A10" s="70" t="s">
        <v>29</v>
      </c>
      <c r="B10" s="23">
        <v>1</v>
      </c>
      <c r="C10" s="44">
        <v>1</v>
      </c>
      <c r="D10" s="24"/>
      <c r="E10" s="31"/>
      <c r="F10" s="33">
        <f>SUM(B10:E10)</f>
        <v>2</v>
      </c>
      <c r="G10" s="23"/>
      <c r="H10" s="44"/>
      <c r="I10" s="24">
        <v>1</v>
      </c>
      <c r="J10" s="31"/>
      <c r="K10" s="33">
        <f>SUM(G10:J10)</f>
        <v>1</v>
      </c>
      <c r="L10" s="11">
        <f t="shared" si="0"/>
        <v>3</v>
      </c>
      <c r="M10" s="83">
        <v>44957</v>
      </c>
      <c r="N10" s="70" t="s">
        <v>28</v>
      </c>
      <c r="O10" s="59">
        <v>9</v>
      </c>
      <c r="P10" s="60">
        <v>8</v>
      </c>
      <c r="Q10" s="61">
        <v>7</v>
      </c>
      <c r="R10" s="62">
        <v>20</v>
      </c>
      <c r="S10" s="63">
        <f>SUM(O10:R10)</f>
        <v>44</v>
      </c>
      <c r="T10" s="59">
        <v>10</v>
      </c>
      <c r="U10" s="60">
        <v>7</v>
      </c>
      <c r="V10" s="61">
        <v>9</v>
      </c>
      <c r="W10" s="62">
        <v>20</v>
      </c>
      <c r="X10" s="63">
        <f t="shared" ref="X10:X17" si="7">SUM(T10:W10)</f>
        <v>46</v>
      </c>
      <c r="Y10" s="11">
        <f t="shared" ref="Y10:Y17" si="8">S10+X10</f>
        <v>90</v>
      </c>
      <c r="Z10" s="85">
        <v>44956</v>
      </c>
    </row>
    <row r="11" spans="1:27" x14ac:dyDescent="0.15">
      <c r="A11" s="70" t="s">
        <v>30</v>
      </c>
      <c r="B11" s="25"/>
      <c r="C11" s="45"/>
      <c r="D11" s="26"/>
      <c r="E11" s="32"/>
      <c r="F11" s="33">
        <f>SUM(B11:E11)</f>
        <v>0</v>
      </c>
      <c r="G11" s="25">
        <v>1</v>
      </c>
      <c r="H11" s="45"/>
      <c r="I11" s="26"/>
      <c r="J11" s="32"/>
      <c r="K11" s="33">
        <f>SUM(G11:J11)</f>
        <v>1</v>
      </c>
      <c r="L11" s="11">
        <f t="shared" si="0"/>
        <v>1</v>
      </c>
      <c r="M11" s="83">
        <v>44957</v>
      </c>
      <c r="N11" s="13" t="s">
        <v>35</v>
      </c>
      <c r="O11" s="25">
        <v>15</v>
      </c>
      <c r="P11" s="45">
        <v>15</v>
      </c>
      <c r="Q11" s="26">
        <v>15</v>
      </c>
      <c r="R11" s="32">
        <v>15</v>
      </c>
      <c r="S11" s="33">
        <f t="shared" ref="S11:S17" si="9">SUM(O11:R11)</f>
        <v>60</v>
      </c>
      <c r="T11" s="25">
        <v>15</v>
      </c>
      <c r="U11" s="45">
        <v>15</v>
      </c>
      <c r="V11" s="26">
        <v>15</v>
      </c>
      <c r="W11" s="32">
        <v>15</v>
      </c>
      <c r="X11" s="33">
        <f t="shared" si="7"/>
        <v>60</v>
      </c>
      <c r="Y11" s="11">
        <f t="shared" si="8"/>
        <v>120</v>
      </c>
      <c r="Z11" s="85">
        <v>44974</v>
      </c>
    </row>
    <row r="12" spans="1:27" ht="15" customHeight="1" x14ac:dyDescent="0.15">
      <c r="A12" s="13" t="s">
        <v>31</v>
      </c>
      <c r="B12" s="25"/>
      <c r="C12" s="45"/>
      <c r="D12" s="26"/>
      <c r="E12" s="32"/>
      <c r="F12" s="33">
        <f t="shared" ref="F12:F34" si="10">SUM(B12:E12)</f>
        <v>0</v>
      </c>
      <c r="G12" s="25">
        <v>1</v>
      </c>
      <c r="H12" s="45"/>
      <c r="I12" s="26"/>
      <c r="J12" s="32"/>
      <c r="K12" s="33">
        <f t="shared" ref="K12:K34" si="11">SUM(G12:J12)</f>
        <v>1</v>
      </c>
      <c r="L12" s="11">
        <f t="shared" si="0"/>
        <v>1</v>
      </c>
      <c r="M12" s="83">
        <v>44959</v>
      </c>
      <c r="N12" s="70" t="s">
        <v>28</v>
      </c>
      <c r="O12" s="25">
        <v>5</v>
      </c>
      <c r="P12" s="45">
        <v>10</v>
      </c>
      <c r="Q12" s="26"/>
      <c r="R12" s="32"/>
      <c r="S12" s="33">
        <f>SUM(O12:R12)</f>
        <v>15</v>
      </c>
      <c r="T12" s="25">
        <v>10</v>
      </c>
      <c r="U12" s="45">
        <v>5</v>
      </c>
      <c r="V12" s="26"/>
      <c r="W12" s="32"/>
      <c r="X12" s="33">
        <f>SUM(T12:W12)</f>
        <v>15</v>
      </c>
      <c r="Y12" s="11">
        <f t="shared" si="8"/>
        <v>30</v>
      </c>
      <c r="Z12" s="85">
        <v>44974</v>
      </c>
    </row>
    <row r="13" spans="1:27" x14ac:dyDescent="0.15">
      <c r="A13" s="70" t="s">
        <v>30</v>
      </c>
      <c r="B13" s="59"/>
      <c r="C13" s="60"/>
      <c r="D13" s="61"/>
      <c r="E13" s="62">
        <v>1</v>
      </c>
      <c r="F13" s="63">
        <f t="shared" si="10"/>
        <v>1</v>
      </c>
      <c r="G13" s="59"/>
      <c r="H13" s="60"/>
      <c r="I13" s="61"/>
      <c r="J13" s="62">
        <v>1</v>
      </c>
      <c r="K13" s="63">
        <f t="shared" si="11"/>
        <v>1</v>
      </c>
      <c r="L13" s="11">
        <f t="shared" si="0"/>
        <v>2</v>
      </c>
      <c r="M13" s="85">
        <v>44963</v>
      </c>
      <c r="N13" s="12" t="s">
        <v>41</v>
      </c>
      <c r="O13" s="25">
        <v>4</v>
      </c>
      <c r="P13" s="45">
        <v>4</v>
      </c>
      <c r="Q13" s="26">
        <v>2</v>
      </c>
      <c r="R13" s="32">
        <v>1</v>
      </c>
      <c r="S13" s="33">
        <f t="shared" si="9"/>
        <v>11</v>
      </c>
      <c r="T13" s="25">
        <v>2</v>
      </c>
      <c r="U13" s="45">
        <v>5</v>
      </c>
      <c r="V13" s="26"/>
      <c r="W13" s="32"/>
      <c r="X13" s="33">
        <f t="shared" si="7"/>
        <v>7</v>
      </c>
      <c r="Y13" s="11">
        <f t="shared" si="8"/>
        <v>18</v>
      </c>
      <c r="Z13" s="85">
        <v>44978</v>
      </c>
    </row>
    <row r="14" spans="1:27" x14ac:dyDescent="0.15">
      <c r="A14" s="13" t="s">
        <v>34</v>
      </c>
      <c r="B14" s="25"/>
      <c r="C14" s="45"/>
      <c r="D14" s="26"/>
      <c r="E14" s="32"/>
      <c r="F14" s="33">
        <f t="shared" si="10"/>
        <v>0</v>
      </c>
      <c r="G14" s="25"/>
      <c r="H14" s="45">
        <v>1</v>
      </c>
      <c r="I14" s="26"/>
      <c r="J14" s="32"/>
      <c r="K14" s="33">
        <f t="shared" si="11"/>
        <v>1</v>
      </c>
      <c r="L14" s="11">
        <f t="shared" si="0"/>
        <v>1</v>
      </c>
      <c r="M14" s="83">
        <v>44964</v>
      </c>
      <c r="N14" s="12" t="s">
        <v>42</v>
      </c>
      <c r="O14" s="25">
        <v>4</v>
      </c>
      <c r="P14" s="45">
        <v>2</v>
      </c>
      <c r="Q14" s="26">
        <v>4</v>
      </c>
      <c r="R14" s="32">
        <v>3</v>
      </c>
      <c r="S14" s="33">
        <f t="shared" si="9"/>
        <v>13</v>
      </c>
      <c r="T14" s="25"/>
      <c r="U14" s="45"/>
      <c r="V14" s="26">
        <v>1</v>
      </c>
      <c r="W14" s="32">
        <v>2</v>
      </c>
      <c r="X14" s="33">
        <f t="shared" si="7"/>
        <v>3</v>
      </c>
      <c r="Y14" s="11">
        <f t="shared" si="8"/>
        <v>16</v>
      </c>
      <c r="Z14" s="85">
        <v>44979</v>
      </c>
      <c r="AA14" s="51"/>
    </row>
    <row r="15" spans="1:27" x14ac:dyDescent="0.15">
      <c r="A15" s="70" t="s">
        <v>30</v>
      </c>
      <c r="B15" s="25"/>
      <c r="C15" s="45"/>
      <c r="D15" s="26"/>
      <c r="E15" s="32"/>
      <c r="F15" s="33">
        <f t="shared" si="10"/>
        <v>0</v>
      </c>
      <c r="G15" s="25">
        <v>1</v>
      </c>
      <c r="H15" s="45"/>
      <c r="I15" s="26"/>
      <c r="J15" s="32"/>
      <c r="K15" s="33">
        <f t="shared" si="11"/>
        <v>1</v>
      </c>
      <c r="L15" s="11">
        <f t="shared" si="0"/>
        <v>1</v>
      </c>
      <c r="M15" s="83">
        <v>44965</v>
      </c>
      <c r="N15" s="12" t="s">
        <v>43</v>
      </c>
      <c r="O15" s="25">
        <v>3</v>
      </c>
      <c r="P15" s="45">
        <v>2</v>
      </c>
      <c r="Q15" s="26"/>
      <c r="R15" s="32"/>
      <c r="S15" s="33">
        <f t="shared" si="9"/>
        <v>5</v>
      </c>
      <c r="T15" s="25">
        <v>5</v>
      </c>
      <c r="U15" s="45"/>
      <c r="V15" s="26"/>
      <c r="W15" s="32">
        <v>2</v>
      </c>
      <c r="X15" s="33">
        <f t="shared" si="7"/>
        <v>7</v>
      </c>
      <c r="Y15" s="11">
        <f t="shared" si="8"/>
        <v>12</v>
      </c>
      <c r="Z15" s="85">
        <v>44981</v>
      </c>
    </row>
    <row r="16" spans="1:27" x14ac:dyDescent="0.15">
      <c r="A16" s="70" t="s">
        <v>30</v>
      </c>
      <c r="B16" s="25"/>
      <c r="C16" s="45"/>
      <c r="D16" s="26"/>
      <c r="E16" s="32"/>
      <c r="F16" s="33">
        <f t="shared" si="10"/>
        <v>0</v>
      </c>
      <c r="G16" s="25">
        <v>1</v>
      </c>
      <c r="H16" s="45"/>
      <c r="I16" s="26"/>
      <c r="J16" s="32"/>
      <c r="K16" s="33">
        <f t="shared" si="11"/>
        <v>1</v>
      </c>
      <c r="L16" s="11">
        <f t="shared" si="0"/>
        <v>1</v>
      </c>
      <c r="M16" s="83">
        <v>44967</v>
      </c>
      <c r="N16" s="12" t="s">
        <v>44</v>
      </c>
      <c r="O16" s="25">
        <v>2</v>
      </c>
      <c r="P16" s="45">
        <v>2</v>
      </c>
      <c r="Q16" s="26"/>
      <c r="R16" s="32"/>
      <c r="S16" s="33">
        <f t="shared" ref="S16" si="12">SUM(O16:R16)</f>
        <v>4</v>
      </c>
      <c r="T16" s="25">
        <v>3</v>
      </c>
      <c r="U16" s="45"/>
      <c r="V16" s="26">
        <v>1</v>
      </c>
      <c r="W16" s="32">
        <v>1</v>
      </c>
      <c r="X16" s="33">
        <f t="shared" ref="X16" si="13">SUM(T16:W16)</f>
        <v>5</v>
      </c>
      <c r="Y16" s="11">
        <f t="shared" si="8"/>
        <v>9</v>
      </c>
      <c r="Z16" s="85">
        <v>44984</v>
      </c>
    </row>
    <row r="17" spans="1:26" x14ac:dyDescent="0.15">
      <c r="A17" s="70" t="s">
        <v>30</v>
      </c>
      <c r="B17" s="25">
        <v>1</v>
      </c>
      <c r="C17" s="45">
        <v>1</v>
      </c>
      <c r="D17" s="26"/>
      <c r="E17" s="32"/>
      <c r="F17" s="33">
        <f t="shared" si="10"/>
        <v>2</v>
      </c>
      <c r="G17" s="25"/>
      <c r="H17" s="45"/>
      <c r="I17" s="26"/>
      <c r="J17" s="32"/>
      <c r="K17" s="33">
        <f t="shared" si="11"/>
        <v>0</v>
      </c>
      <c r="L17" s="11">
        <f t="shared" si="0"/>
        <v>2</v>
      </c>
      <c r="M17" s="83">
        <v>44970</v>
      </c>
      <c r="N17" s="12" t="s">
        <v>45</v>
      </c>
      <c r="O17" s="25"/>
      <c r="P17" s="45">
        <v>2</v>
      </c>
      <c r="Q17" s="26">
        <v>2</v>
      </c>
      <c r="R17" s="32"/>
      <c r="S17" s="33">
        <f t="shared" si="9"/>
        <v>4</v>
      </c>
      <c r="T17" s="25">
        <v>1</v>
      </c>
      <c r="U17" s="45">
        <v>1</v>
      </c>
      <c r="V17" s="26">
        <v>3</v>
      </c>
      <c r="W17" s="32">
        <v>1</v>
      </c>
      <c r="X17" s="33">
        <f t="shared" si="7"/>
        <v>6</v>
      </c>
      <c r="Y17" s="11">
        <f t="shared" si="8"/>
        <v>10</v>
      </c>
      <c r="Z17" s="85">
        <v>44985</v>
      </c>
    </row>
    <row r="18" spans="1:26" x14ac:dyDescent="0.15">
      <c r="A18" s="12" t="s">
        <v>36</v>
      </c>
      <c r="B18" s="25"/>
      <c r="C18" s="45">
        <v>1</v>
      </c>
      <c r="D18" s="26"/>
      <c r="E18" s="32"/>
      <c r="F18" s="33">
        <f t="shared" si="10"/>
        <v>1</v>
      </c>
      <c r="G18" s="25"/>
      <c r="H18" s="45">
        <v>1</v>
      </c>
      <c r="I18" s="26"/>
      <c r="J18" s="32"/>
      <c r="K18" s="33">
        <f t="shared" si="11"/>
        <v>1</v>
      </c>
      <c r="L18" s="11">
        <f t="shared" si="0"/>
        <v>2</v>
      </c>
      <c r="M18" s="83">
        <v>44972</v>
      </c>
      <c r="N18" s="12" t="s">
        <v>48</v>
      </c>
      <c r="O18" s="25"/>
      <c r="P18" s="45"/>
      <c r="Q18" s="26"/>
      <c r="R18" s="32"/>
      <c r="S18" s="33">
        <f t="shared" ref="S18:S34" si="14">SUM(O18:R18)</f>
        <v>0</v>
      </c>
      <c r="T18" s="25">
        <v>4</v>
      </c>
      <c r="U18" s="45">
        <v>1</v>
      </c>
      <c r="V18" s="26"/>
      <c r="W18" s="32">
        <v>1</v>
      </c>
      <c r="X18" s="33">
        <f t="shared" ref="X18:X34" si="15">SUM(T18:W18)</f>
        <v>6</v>
      </c>
      <c r="Y18" s="11">
        <f t="shared" si="1"/>
        <v>6</v>
      </c>
      <c r="Z18" s="85">
        <v>44986</v>
      </c>
    </row>
    <row r="19" spans="1:26" x14ac:dyDescent="0.15">
      <c r="A19" s="15" t="s">
        <v>37</v>
      </c>
      <c r="B19" s="25">
        <v>1</v>
      </c>
      <c r="C19" s="45"/>
      <c r="D19" s="26"/>
      <c r="E19" s="32"/>
      <c r="F19" s="33">
        <f t="shared" si="10"/>
        <v>1</v>
      </c>
      <c r="G19" s="25">
        <v>1</v>
      </c>
      <c r="H19" s="45"/>
      <c r="I19" s="26"/>
      <c r="J19" s="32"/>
      <c r="K19" s="33">
        <f t="shared" si="11"/>
        <v>1</v>
      </c>
      <c r="L19" s="11">
        <f t="shared" si="0"/>
        <v>2</v>
      </c>
      <c r="M19" s="83">
        <v>44971</v>
      </c>
      <c r="N19" s="15"/>
      <c r="O19" s="25"/>
      <c r="P19" s="45"/>
      <c r="Q19" s="26"/>
      <c r="R19" s="32"/>
      <c r="S19" s="33">
        <f t="shared" si="14"/>
        <v>0</v>
      </c>
      <c r="T19" s="25"/>
      <c r="U19" s="45"/>
      <c r="V19" s="26"/>
      <c r="W19" s="32"/>
      <c r="X19" s="33">
        <f t="shared" si="15"/>
        <v>0</v>
      </c>
      <c r="Y19" s="11">
        <f t="shared" si="1"/>
        <v>0</v>
      </c>
      <c r="Z19" s="83"/>
    </row>
    <row r="20" spans="1:26" x14ac:dyDescent="0.15">
      <c r="A20" s="12" t="s">
        <v>38</v>
      </c>
      <c r="B20" s="25"/>
      <c r="C20" s="45">
        <v>1</v>
      </c>
      <c r="D20" s="26"/>
      <c r="E20" s="32"/>
      <c r="F20" s="33">
        <f t="shared" si="10"/>
        <v>1</v>
      </c>
      <c r="G20" s="25">
        <v>2</v>
      </c>
      <c r="H20" s="45"/>
      <c r="I20" s="26"/>
      <c r="J20" s="32"/>
      <c r="K20" s="33">
        <f t="shared" si="11"/>
        <v>2</v>
      </c>
      <c r="L20" s="11">
        <f t="shared" si="0"/>
        <v>3</v>
      </c>
      <c r="M20" s="83">
        <v>44973</v>
      </c>
      <c r="N20" s="15"/>
      <c r="O20" s="25"/>
      <c r="P20" s="45"/>
      <c r="Q20" s="26"/>
      <c r="R20" s="32"/>
      <c r="S20" s="33">
        <f t="shared" si="14"/>
        <v>0</v>
      </c>
      <c r="T20" s="25"/>
      <c r="U20" s="45"/>
      <c r="V20" s="26"/>
      <c r="W20" s="32"/>
      <c r="X20" s="33">
        <f t="shared" si="15"/>
        <v>0</v>
      </c>
      <c r="Y20" s="11">
        <f t="shared" si="1"/>
        <v>0</v>
      </c>
      <c r="Z20" s="85"/>
    </row>
    <row r="21" spans="1:26" x14ac:dyDescent="0.15">
      <c r="A21" s="12" t="s">
        <v>39</v>
      </c>
      <c r="B21" s="25">
        <v>1</v>
      </c>
      <c r="C21" s="45">
        <v>3</v>
      </c>
      <c r="D21" s="26"/>
      <c r="E21" s="32"/>
      <c r="F21" s="33">
        <f t="shared" si="10"/>
        <v>4</v>
      </c>
      <c r="G21" s="25">
        <v>3</v>
      </c>
      <c r="H21" s="45">
        <v>1</v>
      </c>
      <c r="I21" s="26"/>
      <c r="J21" s="32">
        <v>2</v>
      </c>
      <c r="K21" s="33">
        <f t="shared" si="11"/>
        <v>6</v>
      </c>
      <c r="L21" s="11">
        <f t="shared" si="0"/>
        <v>10</v>
      </c>
      <c r="M21" s="83">
        <v>44974</v>
      </c>
      <c r="N21" s="13"/>
      <c r="O21" s="25"/>
      <c r="P21" s="45"/>
      <c r="Q21" s="26"/>
      <c r="R21" s="32"/>
      <c r="S21" s="33">
        <f t="shared" si="14"/>
        <v>0</v>
      </c>
      <c r="T21" s="25"/>
      <c r="U21" s="45"/>
      <c r="V21" s="26"/>
      <c r="W21" s="32"/>
      <c r="X21" s="33">
        <f t="shared" si="15"/>
        <v>0</v>
      </c>
      <c r="Y21" s="11">
        <f t="shared" si="1"/>
        <v>0</v>
      </c>
      <c r="Z21" s="85"/>
    </row>
    <row r="22" spans="1:26" x14ac:dyDescent="0.15">
      <c r="A22" s="70" t="s">
        <v>30</v>
      </c>
      <c r="B22" s="25"/>
      <c r="C22" s="45">
        <v>1</v>
      </c>
      <c r="D22" s="26"/>
      <c r="E22" s="32"/>
      <c r="F22" s="33">
        <f t="shared" si="10"/>
        <v>1</v>
      </c>
      <c r="G22" s="25"/>
      <c r="H22" s="45"/>
      <c r="I22" s="26"/>
      <c r="J22" s="32"/>
      <c r="K22" s="33">
        <f t="shared" si="11"/>
        <v>0</v>
      </c>
      <c r="L22" s="11">
        <f t="shared" si="0"/>
        <v>1</v>
      </c>
      <c r="M22" s="83">
        <v>44973</v>
      </c>
      <c r="N22" s="12"/>
      <c r="O22" s="25"/>
      <c r="P22" s="45"/>
      <c r="Q22" s="26"/>
      <c r="R22" s="32"/>
      <c r="S22" s="33">
        <f>SUM(O22:R22)</f>
        <v>0</v>
      </c>
      <c r="T22" s="25"/>
      <c r="U22" s="45"/>
      <c r="V22" s="26"/>
      <c r="W22" s="32"/>
      <c r="X22" s="33">
        <f>SUM(T22:W22)</f>
        <v>0</v>
      </c>
      <c r="Y22" s="11">
        <f>S22+X22</f>
        <v>0</v>
      </c>
      <c r="Z22" s="85"/>
    </row>
    <row r="23" spans="1:26" x14ac:dyDescent="0.15">
      <c r="A23" s="12" t="s">
        <v>40</v>
      </c>
      <c r="B23" s="25">
        <v>1</v>
      </c>
      <c r="C23" s="45"/>
      <c r="D23" s="26"/>
      <c r="E23" s="32"/>
      <c r="F23" s="33">
        <f t="shared" si="10"/>
        <v>1</v>
      </c>
      <c r="G23" s="25"/>
      <c r="H23" s="45"/>
      <c r="I23" s="26"/>
      <c r="J23" s="32"/>
      <c r="K23" s="33">
        <f t="shared" si="11"/>
        <v>0</v>
      </c>
      <c r="L23" s="11">
        <f t="shared" si="0"/>
        <v>1</v>
      </c>
      <c r="M23" s="83">
        <v>44977</v>
      </c>
      <c r="N23" s="15"/>
      <c r="O23" s="25"/>
      <c r="P23" s="45"/>
      <c r="Q23" s="26"/>
      <c r="R23" s="32"/>
      <c r="S23" s="33">
        <f t="shared" si="14"/>
        <v>0</v>
      </c>
      <c r="T23" s="25"/>
      <c r="U23" s="45"/>
      <c r="V23" s="26"/>
      <c r="W23" s="32"/>
      <c r="X23" s="33">
        <f t="shared" si="15"/>
        <v>0</v>
      </c>
      <c r="Y23" s="11">
        <f t="shared" si="1"/>
        <v>0</v>
      </c>
      <c r="Z23" s="85"/>
    </row>
    <row r="24" spans="1:26" x14ac:dyDescent="0.15">
      <c r="A24" s="70" t="s">
        <v>30</v>
      </c>
      <c r="B24" s="25"/>
      <c r="C24" s="45"/>
      <c r="D24" s="26">
        <v>1</v>
      </c>
      <c r="E24" s="32"/>
      <c r="F24" s="33">
        <f t="shared" si="10"/>
        <v>1</v>
      </c>
      <c r="G24" s="25"/>
      <c r="H24" s="45"/>
      <c r="I24" s="26"/>
      <c r="J24" s="32"/>
      <c r="K24" s="33">
        <f t="shared" si="11"/>
        <v>0</v>
      </c>
      <c r="L24" s="11">
        <f t="shared" si="0"/>
        <v>1</v>
      </c>
      <c r="M24" s="83">
        <v>44977</v>
      </c>
      <c r="N24" s="15"/>
      <c r="O24" s="25"/>
      <c r="P24" s="45"/>
      <c r="Q24" s="26"/>
      <c r="R24" s="32"/>
      <c r="S24" s="33">
        <f t="shared" si="14"/>
        <v>0</v>
      </c>
      <c r="T24" s="25"/>
      <c r="U24" s="45"/>
      <c r="V24" s="26"/>
      <c r="W24" s="32"/>
      <c r="X24" s="33">
        <f t="shared" si="15"/>
        <v>0</v>
      </c>
      <c r="Y24" s="11">
        <f t="shared" si="1"/>
        <v>0</v>
      </c>
      <c r="Z24" s="85"/>
    </row>
    <row r="25" spans="1:26" x14ac:dyDescent="0.15">
      <c r="A25" s="15"/>
      <c r="B25" s="25"/>
      <c r="C25" s="45"/>
      <c r="D25" s="26"/>
      <c r="E25" s="32"/>
      <c r="F25" s="33">
        <f t="shared" si="10"/>
        <v>0</v>
      </c>
      <c r="G25" s="25"/>
      <c r="H25" s="45"/>
      <c r="I25" s="26"/>
      <c r="J25" s="32"/>
      <c r="K25" s="33">
        <f t="shared" si="11"/>
        <v>0</v>
      </c>
      <c r="L25" s="11">
        <f t="shared" si="0"/>
        <v>0</v>
      </c>
      <c r="M25" s="83"/>
      <c r="N25" s="15"/>
      <c r="O25" s="25"/>
      <c r="P25" s="45"/>
      <c r="Q25" s="26"/>
      <c r="R25" s="32"/>
      <c r="S25" s="33">
        <f t="shared" si="14"/>
        <v>0</v>
      </c>
      <c r="T25" s="25"/>
      <c r="U25" s="45"/>
      <c r="V25" s="26"/>
      <c r="W25" s="32"/>
      <c r="X25" s="33">
        <f t="shared" si="15"/>
        <v>0</v>
      </c>
      <c r="Y25" s="11">
        <f t="shared" si="1"/>
        <v>0</v>
      </c>
      <c r="Z25" s="85"/>
    </row>
    <row r="26" spans="1:26" x14ac:dyDescent="0.15">
      <c r="A26" s="70"/>
      <c r="B26" s="25"/>
      <c r="C26" s="45"/>
      <c r="D26" s="26"/>
      <c r="E26" s="32"/>
      <c r="F26" s="33">
        <f t="shared" si="10"/>
        <v>0</v>
      </c>
      <c r="G26" s="25"/>
      <c r="H26" s="45"/>
      <c r="I26" s="26"/>
      <c r="J26" s="32"/>
      <c r="K26" s="33">
        <f t="shared" si="11"/>
        <v>0</v>
      </c>
      <c r="L26" s="11">
        <f t="shared" si="0"/>
        <v>0</v>
      </c>
      <c r="M26" s="83"/>
      <c r="N26" s="12"/>
      <c r="O26" s="25"/>
      <c r="P26" s="45"/>
      <c r="Q26" s="26"/>
      <c r="R26" s="32"/>
      <c r="S26" s="33">
        <f t="shared" si="14"/>
        <v>0</v>
      </c>
      <c r="T26" s="25"/>
      <c r="U26" s="45"/>
      <c r="V26" s="26"/>
      <c r="W26" s="32"/>
      <c r="X26" s="33">
        <f t="shared" si="15"/>
        <v>0</v>
      </c>
      <c r="Y26" s="11">
        <f t="shared" si="1"/>
        <v>0</v>
      </c>
      <c r="Z26" s="85"/>
    </row>
    <row r="27" spans="1:26" x14ac:dyDescent="0.15">
      <c r="A27" s="15"/>
      <c r="B27" s="25"/>
      <c r="C27" s="45"/>
      <c r="D27" s="26"/>
      <c r="E27" s="32"/>
      <c r="F27" s="33">
        <f t="shared" si="10"/>
        <v>0</v>
      </c>
      <c r="G27" s="25"/>
      <c r="H27" s="45"/>
      <c r="I27" s="26"/>
      <c r="J27" s="32"/>
      <c r="K27" s="33">
        <f t="shared" si="11"/>
        <v>0</v>
      </c>
      <c r="L27" s="11">
        <f t="shared" si="0"/>
        <v>0</v>
      </c>
      <c r="M27" s="83"/>
      <c r="N27" s="50"/>
      <c r="O27" s="25"/>
      <c r="P27" s="45"/>
      <c r="Q27" s="26"/>
      <c r="R27" s="32"/>
      <c r="S27" s="33">
        <f t="shared" si="14"/>
        <v>0</v>
      </c>
      <c r="T27" s="25"/>
      <c r="U27" s="45"/>
      <c r="V27" s="26"/>
      <c r="W27" s="32"/>
      <c r="X27" s="33">
        <f t="shared" si="15"/>
        <v>0</v>
      </c>
      <c r="Y27" s="11">
        <f t="shared" si="1"/>
        <v>0</v>
      </c>
      <c r="Z27" s="85"/>
    </row>
    <row r="28" spans="1:26" x14ac:dyDescent="0.15">
      <c r="A28" s="15"/>
      <c r="B28" s="25"/>
      <c r="C28" s="45"/>
      <c r="D28" s="26"/>
      <c r="E28" s="32"/>
      <c r="F28" s="33">
        <f t="shared" si="10"/>
        <v>0</v>
      </c>
      <c r="G28" s="25"/>
      <c r="H28" s="45"/>
      <c r="I28" s="26"/>
      <c r="J28" s="32"/>
      <c r="K28" s="33">
        <f t="shared" si="11"/>
        <v>0</v>
      </c>
      <c r="L28" s="11">
        <f t="shared" si="0"/>
        <v>0</v>
      </c>
      <c r="M28" s="83"/>
      <c r="N28" s="15"/>
      <c r="O28" s="25"/>
      <c r="P28" s="45"/>
      <c r="Q28" s="26"/>
      <c r="R28" s="32"/>
      <c r="S28" s="33">
        <f>SUM(O28:R28)</f>
        <v>0</v>
      </c>
      <c r="T28" s="25"/>
      <c r="U28" s="45"/>
      <c r="V28" s="26"/>
      <c r="W28" s="32"/>
      <c r="X28" s="33">
        <f>SUM(T28:W28)</f>
        <v>0</v>
      </c>
      <c r="Y28" s="11">
        <f>S28+X28</f>
        <v>0</v>
      </c>
      <c r="Z28" s="85"/>
    </row>
    <row r="29" spans="1:26" x14ac:dyDescent="0.15">
      <c r="A29" s="15"/>
      <c r="B29" s="25"/>
      <c r="C29" s="45"/>
      <c r="D29" s="26"/>
      <c r="E29" s="32"/>
      <c r="F29" s="33">
        <f t="shared" si="10"/>
        <v>0</v>
      </c>
      <c r="G29" s="25"/>
      <c r="H29" s="45"/>
      <c r="I29" s="26"/>
      <c r="J29" s="32"/>
      <c r="K29" s="33">
        <f t="shared" si="11"/>
        <v>0</v>
      </c>
      <c r="L29" s="11">
        <f t="shared" si="0"/>
        <v>0</v>
      </c>
      <c r="M29" s="83"/>
      <c r="N29" s="50"/>
      <c r="O29" s="25"/>
      <c r="P29" s="45"/>
      <c r="Q29" s="26"/>
      <c r="R29" s="32"/>
      <c r="S29" s="33">
        <f>SUM(O29:R29)</f>
        <v>0</v>
      </c>
      <c r="T29" s="25"/>
      <c r="U29" s="45"/>
      <c r="V29" s="26"/>
      <c r="W29" s="32"/>
      <c r="X29" s="33">
        <f>SUM(T29:W29)</f>
        <v>0</v>
      </c>
      <c r="Y29" s="11">
        <f>S29+X29</f>
        <v>0</v>
      </c>
      <c r="Z29" s="85"/>
    </row>
    <row r="30" spans="1:26" x14ac:dyDescent="0.15">
      <c r="A30" s="15"/>
      <c r="B30" s="25"/>
      <c r="C30" s="45"/>
      <c r="D30" s="26"/>
      <c r="E30" s="32"/>
      <c r="F30" s="33">
        <f t="shared" si="10"/>
        <v>0</v>
      </c>
      <c r="G30" s="25"/>
      <c r="H30" s="45"/>
      <c r="I30" s="26"/>
      <c r="J30" s="32"/>
      <c r="K30" s="33">
        <f t="shared" si="11"/>
        <v>0</v>
      </c>
      <c r="L30" s="11">
        <f t="shared" si="0"/>
        <v>0</v>
      </c>
      <c r="M30" s="83"/>
      <c r="N30" s="15"/>
      <c r="O30" s="25"/>
      <c r="P30" s="45"/>
      <c r="Q30" s="26"/>
      <c r="R30" s="32"/>
      <c r="S30" s="33">
        <f>SUM(O30:R30)</f>
        <v>0</v>
      </c>
      <c r="T30" s="25"/>
      <c r="U30" s="45"/>
      <c r="V30" s="26"/>
      <c r="W30" s="32"/>
      <c r="X30" s="33">
        <f>SUM(T30:W30)</f>
        <v>0</v>
      </c>
      <c r="Y30" s="11">
        <f>S30+X30</f>
        <v>0</v>
      </c>
      <c r="Z30" s="85"/>
    </row>
    <row r="31" spans="1:26" x14ac:dyDescent="0.15">
      <c r="A31" s="15"/>
      <c r="B31" s="25"/>
      <c r="C31" s="45"/>
      <c r="D31" s="26"/>
      <c r="E31" s="32"/>
      <c r="F31" s="33">
        <f t="shared" si="10"/>
        <v>0</v>
      </c>
      <c r="G31" s="25"/>
      <c r="H31" s="45"/>
      <c r="I31" s="26"/>
      <c r="J31" s="32"/>
      <c r="K31" s="33">
        <f t="shared" si="11"/>
        <v>0</v>
      </c>
      <c r="L31" s="11">
        <f t="shared" si="0"/>
        <v>0</v>
      </c>
      <c r="M31" s="83"/>
      <c r="N31" s="15"/>
      <c r="O31" s="25"/>
      <c r="P31" s="45"/>
      <c r="Q31" s="26"/>
      <c r="R31" s="32"/>
      <c r="S31" s="33">
        <f>SUM(O31:R31)</f>
        <v>0</v>
      </c>
      <c r="T31" s="25"/>
      <c r="U31" s="45"/>
      <c r="V31" s="26"/>
      <c r="W31" s="32"/>
      <c r="X31" s="33">
        <f>SUM(T31:W31)</f>
        <v>0</v>
      </c>
      <c r="Y31" s="11">
        <f>S31+X31</f>
        <v>0</v>
      </c>
      <c r="Z31" s="85"/>
    </row>
    <row r="32" spans="1:26" x14ac:dyDescent="0.15">
      <c r="A32" s="15"/>
      <c r="B32" s="25"/>
      <c r="C32" s="45"/>
      <c r="D32" s="26"/>
      <c r="E32" s="32"/>
      <c r="F32" s="33">
        <f t="shared" si="10"/>
        <v>0</v>
      </c>
      <c r="G32" s="25"/>
      <c r="H32" s="45"/>
      <c r="I32" s="26"/>
      <c r="J32" s="32"/>
      <c r="K32" s="33">
        <f t="shared" si="11"/>
        <v>0</v>
      </c>
      <c r="L32" s="11">
        <f t="shared" si="0"/>
        <v>0</v>
      </c>
      <c r="M32" s="83"/>
      <c r="N32" s="50"/>
      <c r="O32" s="25"/>
      <c r="P32" s="45"/>
      <c r="Q32" s="26"/>
      <c r="R32" s="32"/>
      <c r="S32" s="33">
        <f t="shared" si="14"/>
        <v>0</v>
      </c>
      <c r="T32" s="25"/>
      <c r="U32" s="45"/>
      <c r="V32" s="26"/>
      <c r="W32" s="32"/>
      <c r="X32" s="33">
        <f t="shared" si="15"/>
        <v>0</v>
      </c>
      <c r="Y32" s="11">
        <f t="shared" si="1"/>
        <v>0</v>
      </c>
      <c r="Z32" s="85"/>
    </row>
    <row r="33" spans="1:26" x14ac:dyDescent="0.15">
      <c r="A33" s="70"/>
      <c r="B33" s="25"/>
      <c r="C33" s="45"/>
      <c r="D33" s="26"/>
      <c r="E33" s="32"/>
      <c r="F33" s="33">
        <f t="shared" si="10"/>
        <v>0</v>
      </c>
      <c r="G33" s="25"/>
      <c r="H33" s="45"/>
      <c r="I33" s="26"/>
      <c r="J33" s="32"/>
      <c r="K33" s="33">
        <f t="shared" si="11"/>
        <v>0</v>
      </c>
      <c r="L33" s="11">
        <f t="shared" si="0"/>
        <v>0</v>
      </c>
      <c r="M33" s="83"/>
      <c r="N33" s="12"/>
      <c r="O33" s="25"/>
      <c r="P33" s="45"/>
      <c r="Q33" s="26"/>
      <c r="R33" s="32"/>
      <c r="S33" s="33">
        <f t="shared" si="14"/>
        <v>0</v>
      </c>
      <c r="T33" s="25"/>
      <c r="U33" s="45"/>
      <c r="V33" s="26"/>
      <c r="W33" s="32"/>
      <c r="X33" s="33">
        <f t="shared" si="15"/>
        <v>0</v>
      </c>
      <c r="Y33" s="11">
        <f t="shared" si="1"/>
        <v>0</v>
      </c>
      <c r="Z33" s="85"/>
    </row>
    <row r="34" spans="1:26" ht="14.25" thickBot="1" x14ac:dyDescent="0.2">
      <c r="A34" s="15"/>
      <c r="B34" s="55"/>
      <c r="C34" s="56"/>
      <c r="D34" s="57"/>
      <c r="E34" s="58"/>
      <c r="F34" s="33">
        <f t="shared" si="10"/>
        <v>0</v>
      </c>
      <c r="G34" s="55"/>
      <c r="H34" s="56"/>
      <c r="I34" s="57"/>
      <c r="J34" s="58"/>
      <c r="K34" s="33">
        <f t="shared" si="11"/>
        <v>0</v>
      </c>
      <c r="L34" s="14">
        <f t="shared" si="0"/>
        <v>0</v>
      </c>
      <c r="M34" s="83"/>
      <c r="N34" s="50" t="s">
        <v>23</v>
      </c>
      <c r="O34" s="55"/>
      <c r="P34" s="56"/>
      <c r="Q34" s="57"/>
      <c r="R34" s="58"/>
      <c r="S34" s="33">
        <f t="shared" si="14"/>
        <v>0</v>
      </c>
      <c r="T34" s="55"/>
      <c r="U34" s="56"/>
      <c r="V34" s="57"/>
      <c r="W34" s="58"/>
      <c r="X34" s="33">
        <f t="shared" si="15"/>
        <v>0</v>
      </c>
      <c r="Y34" s="14">
        <f t="shared" si="1"/>
        <v>0</v>
      </c>
      <c r="Z34" s="85" t="s">
        <v>24</v>
      </c>
    </row>
    <row r="35" spans="1:26" ht="14.25" thickBot="1" x14ac:dyDescent="0.2">
      <c r="A35" s="16" t="s">
        <v>10</v>
      </c>
      <c r="B35" s="36">
        <f>SUM(B10:B34)</f>
        <v>5</v>
      </c>
      <c r="C35" s="46">
        <f>SUM(C10:C34)</f>
        <v>8</v>
      </c>
      <c r="D35" s="37">
        <f>SUM(D10:D34)</f>
        <v>1</v>
      </c>
      <c r="E35" s="38">
        <f>SUM(E10:E34)</f>
        <v>1</v>
      </c>
      <c r="F35" s="34">
        <f>SUM(B35:E35)</f>
        <v>15</v>
      </c>
      <c r="G35" s="36">
        <f>SUM(G10:G34)</f>
        <v>10</v>
      </c>
      <c r="H35" s="46">
        <f>SUM(H10:H34)</f>
        <v>3</v>
      </c>
      <c r="I35" s="37">
        <f>SUM(I10:I34)</f>
        <v>1</v>
      </c>
      <c r="J35" s="38">
        <f>SUM(J10:J34)</f>
        <v>3</v>
      </c>
      <c r="K35" s="34">
        <f>SUM(G35:J35)</f>
        <v>17</v>
      </c>
      <c r="L35" s="35">
        <f t="shared" si="0"/>
        <v>32</v>
      </c>
      <c r="M35" s="81"/>
      <c r="N35" s="16" t="s">
        <v>10</v>
      </c>
      <c r="O35" s="36">
        <f>SUM(O10:O34)</f>
        <v>42</v>
      </c>
      <c r="P35" s="46">
        <f>SUM(P10:P34)</f>
        <v>45</v>
      </c>
      <c r="Q35" s="37">
        <f>SUM(Q10:Q34)</f>
        <v>30</v>
      </c>
      <c r="R35" s="38">
        <f>SUM(R10:R34)</f>
        <v>39</v>
      </c>
      <c r="S35" s="34">
        <f>SUM(O35:R35)</f>
        <v>156</v>
      </c>
      <c r="T35" s="36">
        <f>SUM(T10:T34)</f>
        <v>50</v>
      </c>
      <c r="U35" s="46">
        <f>SUM(U10:U34)</f>
        <v>34</v>
      </c>
      <c r="V35" s="37">
        <f>SUM(V10:V34)</f>
        <v>29</v>
      </c>
      <c r="W35" s="38">
        <f>SUM(W10:W34)</f>
        <v>42</v>
      </c>
      <c r="X35" s="34">
        <f>SUM(T35:W35)</f>
        <v>155</v>
      </c>
      <c r="Y35" s="35">
        <f t="shared" si="1"/>
        <v>311</v>
      </c>
    </row>
    <row r="36" spans="1:26" ht="14.25" thickBot="1" x14ac:dyDescent="0.2">
      <c r="A36" s="21" t="s">
        <v>11</v>
      </c>
      <c r="B36" s="39">
        <f t="shared" ref="B36:K36" si="16">B9-B35</f>
        <v>9</v>
      </c>
      <c r="C36" s="47">
        <f t="shared" si="16"/>
        <v>10</v>
      </c>
      <c r="D36" s="40">
        <f t="shared" si="16"/>
        <v>6</v>
      </c>
      <c r="E36" s="41">
        <f t="shared" si="16"/>
        <v>19</v>
      </c>
      <c r="F36" s="54">
        <f t="shared" si="16"/>
        <v>44</v>
      </c>
      <c r="G36" s="39">
        <f t="shared" si="16"/>
        <v>10</v>
      </c>
      <c r="H36" s="47">
        <f t="shared" si="16"/>
        <v>9</v>
      </c>
      <c r="I36" s="40">
        <f t="shared" si="16"/>
        <v>8</v>
      </c>
      <c r="J36" s="41">
        <f t="shared" si="16"/>
        <v>17</v>
      </c>
      <c r="K36" s="54">
        <f t="shared" si="16"/>
        <v>44</v>
      </c>
      <c r="L36" s="20">
        <f t="shared" si="0"/>
        <v>88</v>
      </c>
      <c r="M36" s="84"/>
      <c r="N36" s="16" t="s">
        <v>11</v>
      </c>
      <c r="O36" s="39">
        <f t="shared" ref="O36:X36" si="17">O9-O35</f>
        <v>118</v>
      </c>
      <c r="P36" s="47">
        <f t="shared" si="17"/>
        <v>175</v>
      </c>
      <c r="Q36" s="40">
        <f t="shared" si="17"/>
        <v>110</v>
      </c>
      <c r="R36" s="41">
        <f t="shared" si="17"/>
        <v>61</v>
      </c>
      <c r="S36" s="54">
        <f t="shared" si="17"/>
        <v>464</v>
      </c>
      <c r="T36" s="39">
        <f t="shared" si="17"/>
        <v>110</v>
      </c>
      <c r="U36" s="47">
        <f t="shared" si="17"/>
        <v>186</v>
      </c>
      <c r="V36" s="40">
        <f t="shared" si="17"/>
        <v>111</v>
      </c>
      <c r="W36" s="41">
        <f t="shared" si="17"/>
        <v>58</v>
      </c>
      <c r="X36" s="54">
        <f t="shared" si="17"/>
        <v>465</v>
      </c>
      <c r="Y36" s="20">
        <f t="shared" si="1"/>
        <v>929</v>
      </c>
    </row>
    <row r="37" spans="1:26" x14ac:dyDescent="0.15">
      <c r="A37" s="52"/>
      <c r="B37" s="53"/>
      <c r="C37" s="53"/>
      <c r="D37" s="53"/>
      <c r="E37" s="53"/>
      <c r="F37" s="28"/>
      <c r="G37" s="53"/>
      <c r="H37" s="53"/>
      <c r="I37" s="53"/>
      <c r="J37" s="53"/>
      <c r="K37" s="28"/>
      <c r="L37" s="28"/>
      <c r="M37" s="84"/>
      <c r="N37" s="52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28"/>
    </row>
    <row r="39" spans="1:26" ht="19.5" thickBot="1" x14ac:dyDescent="0.25">
      <c r="A39" s="2" t="s">
        <v>26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81"/>
      <c r="N39" s="2"/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6" ht="14.25" thickBot="1" x14ac:dyDescent="0.2">
      <c r="A40" s="5" t="s">
        <v>0</v>
      </c>
      <c r="B40" s="228" t="s">
        <v>19</v>
      </c>
      <c r="C40" s="229"/>
      <c r="D40" s="229"/>
      <c r="E40" s="229"/>
      <c r="F40" s="230"/>
      <c r="G40" s="231" t="s">
        <v>18</v>
      </c>
      <c r="H40" s="232"/>
      <c r="I40" s="232"/>
      <c r="J40" s="232"/>
      <c r="K40" s="233"/>
      <c r="L40" s="234" t="s">
        <v>1</v>
      </c>
      <c r="M40" s="82"/>
      <c r="N40" s="5" t="s">
        <v>0</v>
      </c>
      <c r="O40" s="228" t="s">
        <v>19</v>
      </c>
      <c r="P40" s="229"/>
      <c r="Q40" s="229"/>
      <c r="R40" s="229"/>
      <c r="S40" s="230"/>
      <c r="T40" s="231" t="s">
        <v>18</v>
      </c>
      <c r="U40" s="232"/>
      <c r="V40" s="232"/>
      <c r="W40" s="232"/>
      <c r="X40" s="233"/>
      <c r="Y40" s="73" t="s">
        <v>1</v>
      </c>
    </row>
    <row r="41" spans="1:26" ht="14.25" thickBot="1" x14ac:dyDescent="0.2">
      <c r="A41" s="5" t="s">
        <v>2</v>
      </c>
      <c r="B41" s="3" t="s">
        <v>12</v>
      </c>
      <c r="C41" s="42" t="s">
        <v>13</v>
      </c>
      <c r="D41" s="4" t="s">
        <v>14</v>
      </c>
      <c r="E41" s="22" t="s">
        <v>15</v>
      </c>
      <c r="F41" s="30" t="s">
        <v>3</v>
      </c>
      <c r="G41" s="3" t="s">
        <v>12</v>
      </c>
      <c r="H41" s="42" t="s">
        <v>13</v>
      </c>
      <c r="I41" s="4" t="s">
        <v>14</v>
      </c>
      <c r="J41" s="22" t="s">
        <v>15</v>
      </c>
      <c r="K41" s="30" t="s">
        <v>3</v>
      </c>
      <c r="L41" s="235"/>
      <c r="M41" s="82"/>
      <c r="N41" s="5" t="s">
        <v>2</v>
      </c>
      <c r="O41" s="64" t="s">
        <v>12</v>
      </c>
      <c r="P41" s="65" t="s">
        <v>13</v>
      </c>
      <c r="Q41" s="66" t="s">
        <v>14</v>
      </c>
      <c r="R41" s="67" t="s">
        <v>15</v>
      </c>
      <c r="S41" s="30" t="s">
        <v>3</v>
      </c>
      <c r="T41" s="3" t="s">
        <v>12</v>
      </c>
      <c r="U41" s="42" t="s">
        <v>13</v>
      </c>
      <c r="V41" s="4" t="s">
        <v>14</v>
      </c>
      <c r="W41" s="22" t="s">
        <v>15</v>
      </c>
      <c r="X41" s="30" t="s">
        <v>3</v>
      </c>
      <c r="Y41" s="74"/>
    </row>
    <row r="42" spans="1:26" ht="14.25" thickBot="1" x14ac:dyDescent="0.2">
      <c r="A42" s="21" t="s">
        <v>16</v>
      </c>
      <c r="B42" s="39">
        <f>B36</f>
        <v>9</v>
      </c>
      <c r="C42" s="40">
        <f>C36</f>
        <v>10</v>
      </c>
      <c r="D42" s="40">
        <f>D36</f>
        <v>6</v>
      </c>
      <c r="E42" s="41">
        <f>E36</f>
        <v>19</v>
      </c>
      <c r="F42" s="122">
        <f>SUM(B42:E42)</f>
        <v>44</v>
      </c>
      <c r="G42" s="39">
        <f>G36</f>
        <v>10</v>
      </c>
      <c r="H42" s="40">
        <f>H36</f>
        <v>9</v>
      </c>
      <c r="I42" s="40">
        <f>I36</f>
        <v>8</v>
      </c>
      <c r="J42" s="41">
        <f>J36</f>
        <v>17</v>
      </c>
      <c r="K42" s="123">
        <f>SUM(G42:J42)</f>
        <v>44</v>
      </c>
      <c r="L42" s="20">
        <f>F42+K42</f>
        <v>88</v>
      </c>
      <c r="M42" s="83"/>
      <c r="N42" s="21" t="s">
        <v>16</v>
      </c>
      <c r="O42" s="39">
        <f>O36</f>
        <v>118</v>
      </c>
      <c r="P42" s="40">
        <f>P36</f>
        <v>175</v>
      </c>
      <c r="Q42" s="40">
        <f t="shared" ref="Q42:R42" si="18">Q36</f>
        <v>110</v>
      </c>
      <c r="R42" s="40">
        <f t="shared" si="18"/>
        <v>61</v>
      </c>
      <c r="S42" s="122">
        <f>SUM(O42:R42)</f>
        <v>464</v>
      </c>
      <c r="T42" s="39">
        <f>T36</f>
        <v>110</v>
      </c>
      <c r="U42" s="40">
        <f>U36</f>
        <v>186</v>
      </c>
      <c r="V42" s="40">
        <f>V36</f>
        <v>111</v>
      </c>
      <c r="W42" s="41">
        <f>W36</f>
        <v>58</v>
      </c>
      <c r="X42" s="123">
        <f>SUM(T42:W42)</f>
        <v>465</v>
      </c>
      <c r="Y42" s="20">
        <f t="shared" ref="Y42:Y74" si="19">S42+X42</f>
        <v>929</v>
      </c>
      <c r="Z42" s="209"/>
    </row>
    <row r="43" spans="1:26" x14ac:dyDescent="0.15">
      <c r="A43" s="70" t="s">
        <v>65</v>
      </c>
      <c r="B43" s="76"/>
      <c r="C43" s="77">
        <v>1</v>
      </c>
      <c r="D43" s="78"/>
      <c r="E43" s="79"/>
      <c r="F43" s="121">
        <f>SUM(B43:E43)</f>
        <v>1</v>
      </c>
      <c r="G43" s="77"/>
      <c r="H43" s="77">
        <v>1</v>
      </c>
      <c r="I43" s="78"/>
      <c r="J43" s="79"/>
      <c r="K43" s="121">
        <f>SUM(G43:J43)</f>
        <v>1</v>
      </c>
      <c r="L43" s="11">
        <f t="shared" ref="L43:L45" si="20">F43+K43</f>
        <v>2</v>
      </c>
      <c r="M43" s="83">
        <v>44994</v>
      </c>
      <c r="N43" s="70" t="s">
        <v>17</v>
      </c>
      <c r="O43" s="59"/>
      <c r="P43" s="60"/>
      <c r="Q43" s="61"/>
      <c r="R43" s="62"/>
      <c r="S43" s="120">
        <f>SUM(O43:R43)</f>
        <v>0</v>
      </c>
      <c r="T43" s="59"/>
      <c r="U43" s="60"/>
      <c r="V43" s="61"/>
      <c r="W43" s="62"/>
      <c r="X43" s="121">
        <f>SUM(T43:W43)</f>
        <v>0</v>
      </c>
      <c r="Y43" s="11">
        <f t="shared" si="19"/>
        <v>0</v>
      </c>
    </row>
    <row r="44" spans="1:26" x14ac:dyDescent="0.15">
      <c r="A44" s="70" t="s">
        <v>6</v>
      </c>
      <c r="B44" s="6"/>
      <c r="C44" s="29"/>
      <c r="D44" s="7"/>
      <c r="E44" s="8"/>
      <c r="F44" s="9">
        <f>SUM(B44:E44)</f>
        <v>0</v>
      </c>
      <c r="G44" s="29"/>
      <c r="H44" s="29">
        <v>5</v>
      </c>
      <c r="I44" s="7"/>
      <c r="J44" s="8"/>
      <c r="K44" s="9">
        <f>SUM(G44:J44)</f>
        <v>5</v>
      </c>
      <c r="L44" s="11">
        <f t="shared" si="20"/>
        <v>5</v>
      </c>
      <c r="M44" s="83">
        <v>45003</v>
      </c>
      <c r="N44" s="13" t="s">
        <v>5</v>
      </c>
      <c r="O44" s="25">
        <f>330-20-140</f>
        <v>170</v>
      </c>
      <c r="P44" s="45">
        <f>450-20-200</f>
        <v>230</v>
      </c>
      <c r="Q44" s="26">
        <v>140</v>
      </c>
      <c r="R44" s="48">
        <v>100</v>
      </c>
      <c r="S44" s="9">
        <f>SUM(O44:R44)</f>
        <v>640</v>
      </c>
      <c r="T44" s="25">
        <f>330-20-140</f>
        <v>170</v>
      </c>
      <c r="U44" s="45">
        <f>450-20-200</f>
        <v>230</v>
      </c>
      <c r="V44" s="26">
        <v>140</v>
      </c>
      <c r="W44" s="48">
        <v>100</v>
      </c>
      <c r="X44" s="9">
        <f>SUM(T44:W44)</f>
        <v>640</v>
      </c>
      <c r="Y44" s="11">
        <f t="shared" si="19"/>
        <v>1280</v>
      </c>
      <c r="Z44" s="159" t="s">
        <v>61</v>
      </c>
    </row>
    <row r="45" spans="1:26" x14ac:dyDescent="0.15">
      <c r="A45" s="70" t="s">
        <v>7</v>
      </c>
      <c r="B45" s="6"/>
      <c r="C45" s="29"/>
      <c r="D45" s="7"/>
      <c r="E45" s="8"/>
      <c r="F45" s="9">
        <f>SUM(B45:E45)</f>
        <v>0</v>
      </c>
      <c r="G45" s="29"/>
      <c r="H45" s="29"/>
      <c r="I45" s="7"/>
      <c r="J45" s="8"/>
      <c r="K45" s="9">
        <f>SUM(G45:J45)</f>
        <v>0</v>
      </c>
      <c r="L45" s="11">
        <f t="shared" si="20"/>
        <v>0</v>
      </c>
      <c r="M45" s="87"/>
      <c r="N45" s="13" t="s">
        <v>6</v>
      </c>
      <c r="O45" s="25"/>
      <c r="P45" s="45"/>
      <c r="Q45" s="26"/>
      <c r="R45" s="32"/>
      <c r="S45" s="68">
        <f>SUM(O45:R45)</f>
        <v>0</v>
      </c>
      <c r="T45" s="45"/>
      <c r="U45" s="45"/>
      <c r="V45" s="26"/>
      <c r="W45" s="48"/>
      <c r="X45" s="9">
        <f>SUM(T45:W45)</f>
        <v>0</v>
      </c>
      <c r="Y45" s="11">
        <f t="shared" si="19"/>
        <v>0</v>
      </c>
      <c r="Z45" s="159"/>
    </row>
    <row r="46" spans="1:26" ht="14.25" thickBot="1" x14ac:dyDescent="0.2">
      <c r="A46" s="70" t="s">
        <v>8</v>
      </c>
      <c r="B46" s="76"/>
      <c r="C46" s="77"/>
      <c r="D46" s="78"/>
      <c r="E46" s="79"/>
      <c r="F46" s="71">
        <f>SUM(B46:E46)</f>
        <v>0</v>
      </c>
      <c r="G46" s="77"/>
      <c r="H46" s="77"/>
      <c r="I46" s="78"/>
      <c r="J46" s="79"/>
      <c r="K46" s="71">
        <f>SUM(G46:J46)</f>
        <v>0</v>
      </c>
      <c r="L46" s="14">
        <f t="shared" ref="L46:L74" si="21">F46+K46</f>
        <v>0</v>
      </c>
      <c r="M46" s="83"/>
      <c r="N46" s="13" t="s">
        <v>5</v>
      </c>
      <c r="O46" s="25">
        <v>140</v>
      </c>
      <c r="P46" s="45"/>
      <c r="Q46" s="26"/>
      <c r="R46" s="48"/>
      <c r="S46" s="9">
        <f>SUM(O46:R46)</f>
        <v>140</v>
      </c>
      <c r="T46" s="25">
        <v>140</v>
      </c>
      <c r="U46" s="45"/>
      <c r="V46" s="26"/>
      <c r="W46" s="48"/>
      <c r="X46" s="9">
        <f>SUM(T46:W46)</f>
        <v>140</v>
      </c>
      <c r="Y46" s="11">
        <f t="shared" si="19"/>
        <v>280</v>
      </c>
      <c r="Z46" s="85" t="s">
        <v>63</v>
      </c>
    </row>
    <row r="47" spans="1:26" ht="14.25" thickBot="1" x14ac:dyDescent="0.2">
      <c r="A47" s="21" t="s">
        <v>9</v>
      </c>
      <c r="B47" s="17">
        <f t="shared" ref="B47:K47" si="22">SUM(B42:B46)</f>
        <v>9</v>
      </c>
      <c r="C47" s="43">
        <f t="shared" si="22"/>
        <v>11</v>
      </c>
      <c r="D47" s="18">
        <f t="shared" si="22"/>
        <v>6</v>
      </c>
      <c r="E47" s="19">
        <f t="shared" si="22"/>
        <v>19</v>
      </c>
      <c r="F47" s="27">
        <f t="shared" si="22"/>
        <v>45</v>
      </c>
      <c r="G47" s="17">
        <f t="shared" si="22"/>
        <v>10</v>
      </c>
      <c r="H47" s="43">
        <f t="shared" si="22"/>
        <v>15</v>
      </c>
      <c r="I47" s="18">
        <f t="shared" si="22"/>
        <v>8</v>
      </c>
      <c r="J47" s="19">
        <f t="shared" si="22"/>
        <v>17</v>
      </c>
      <c r="K47" s="27">
        <f t="shared" si="22"/>
        <v>50</v>
      </c>
      <c r="L47" s="20">
        <f t="shared" si="21"/>
        <v>95</v>
      </c>
      <c r="M47" s="84"/>
      <c r="N47" s="16" t="s">
        <v>9</v>
      </c>
      <c r="O47" s="39">
        <f t="shared" ref="O47:X47" si="23">SUM(O42:O46)</f>
        <v>428</v>
      </c>
      <c r="P47" s="47">
        <f t="shared" si="23"/>
        <v>405</v>
      </c>
      <c r="Q47" s="40">
        <f t="shared" si="23"/>
        <v>250</v>
      </c>
      <c r="R47" s="88">
        <f t="shared" si="23"/>
        <v>161</v>
      </c>
      <c r="S47" s="89">
        <f t="shared" si="23"/>
        <v>1244</v>
      </c>
      <c r="T47" s="39">
        <f t="shared" si="23"/>
        <v>420</v>
      </c>
      <c r="U47" s="47">
        <f t="shared" si="23"/>
        <v>416</v>
      </c>
      <c r="V47" s="40">
        <f t="shared" si="23"/>
        <v>251</v>
      </c>
      <c r="W47" s="88">
        <f t="shared" si="23"/>
        <v>158</v>
      </c>
      <c r="X47" s="89">
        <f t="shared" si="23"/>
        <v>1245</v>
      </c>
      <c r="Y47" s="49">
        <f t="shared" si="19"/>
        <v>2489</v>
      </c>
    </row>
    <row r="48" spans="1:26" x14ac:dyDescent="0.15">
      <c r="A48" s="12" t="s">
        <v>55</v>
      </c>
      <c r="B48" s="23"/>
      <c r="C48" s="44"/>
      <c r="D48" s="24"/>
      <c r="E48" s="31"/>
      <c r="F48" s="33">
        <f>SUM(B48:E48)</f>
        <v>0</v>
      </c>
      <c r="G48" s="23"/>
      <c r="H48" s="44">
        <v>1</v>
      </c>
      <c r="I48" s="24"/>
      <c r="J48" s="31"/>
      <c r="K48" s="33">
        <f>SUM(G48:J48)</f>
        <v>1</v>
      </c>
      <c r="L48" s="11">
        <f t="shared" si="21"/>
        <v>1</v>
      </c>
      <c r="M48" s="83">
        <v>44991</v>
      </c>
      <c r="N48" s="95" t="s">
        <v>53</v>
      </c>
      <c r="O48" s="59">
        <v>10</v>
      </c>
      <c r="P48" s="60">
        <v>10</v>
      </c>
      <c r="Q48" s="61">
        <v>10</v>
      </c>
      <c r="R48" s="62">
        <v>10</v>
      </c>
      <c r="S48" s="63">
        <f t="shared" ref="S48:S68" si="24">SUM(O48:R48)</f>
        <v>40</v>
      </c>
      <c r="T48" s="59">
        <v>10</v>
      </c>
      <c r="U48" s="60">
        <v>10</v>
      </c>
      <c r="V48" s="61">
        <v>10</v>
      </c>
      <c r="W48" s="62">
        <v>10</v>
      </c>
      <c r="X48" s="63">
        <f t="shared" ref="X48:X68" si="25">SUM(T48:W48)</f>
        <v>40</v>
      </c>
      <c r="Y48" s="11">
        <f t="shared" ref="Y48:Y68" si="26">S48+X48</f>
        <v>80</v>
      </c>
      <c r="Z48" s="85">
        <v>44988</v>
      </c>
    </row>
    <row r="49" spans="1:27" x14ac:dyDescent="0.15">
      <c r="A49" s="70" t="s">
        <v>30</v>
      </c>
      <c r="B49" s="25"/>
      <c r="C49" s="45"/>
      <c r="D49" s="26">
        <v>1</v>
      </c>
      <c r="E49" s="32"/>
      <c r="F49" s="33">
        <f>SUM(B49:E49)</f>
        <v>1</v>
      </c>
      <c r="G49" s="25"/>
      <c r="H49" s="45"/>
      <c r="I49" s="26"/>
      <c r="J49" s="32"/>
      <c r="K49" s="33">
        <f>SUM(G49:J49)</f>
        <v>0</v>
      </c>
      <c r="L49" s="11">
        <f t="shared" si="21"/>
        <v>1</v>
      </c>
      <c r="M49" s="83">
        <v>44991</v>
      </c>
      <c r="N49" s="12" t="s">
        <v>56</v>
      </c>
      <c r="O49" s="25">
        <v>10</v>
      </c>
      <c r="P49" s="45">
        <v>20</v>
      </c>
      <c r="Q49" s="26">
        <v>10</v>
      </c>
      <c r="R49" s="32"/>
      <c r="S49" s="33">
        <f t="shared" ref="S49:S51" si="27">SUM(O49:R49)</f>
        <v>40</v>
      </c>
      <c r="T49" s="25">
        <v>10</v>
      </c>
      <c r="U49" s="45">
        <v>20</v>
      </c>
      <c r="V49" s="26">
        <v>10</v>
      </c>
      <c r="W49" s="32"/>
      <c r="X49" s="33">
        <f t="shared" ref="X49:X51" si="28">SUM(T49:W49)</f>
        <v>40</v>
      </c>
      <c r="Y49" s="11">
        <f t="shared" ref="Y49:Y51" si="29">S49+X49</f>
        <v>80</v>
      </c>
      <c r="Z49" s="85">
        <v>44989</v>
      </c>
    </row>
    <row r="50" spans="1:27" x14ac:dyDescent="0.15">
      <c r="A50" s="12" t="s">
        <v>62</v>
      </c>
      <c r="B50" s="25"/>
      <c r="C50" s="45"/>
      <c r="D50" s="26"/>
      <c r="E50" s="32"/>
      <c r="F50" s="33">
        <f t="shared" ref="F50:F71" si="30">SUM(B50:E50)</f>
        <v>0</v>
      </c>
      <c r="G50" s="25"/>
      <c r="H50" s="45"/>
      <c r="I50" s="26">
        <v>1</v>
      </c>
      <c r="J50" s="32"/>
      <c r="K50" s="33">
        <f t="shared" ref="K50:K71" si="31">SUM(G50:J50)</f>
        <v>1</v>
      </c>
      <c r="L50" s="11">
        <f t="shared" si="21"/>
        <v>1</v>
      </c>
      <c r="M50" s="83">
        <v>44993</v>
      </c>
      <c r="N50" s="95" t="s">
        <v>49</v>
      </c>
      <c r="O50" s="59">
        <v>36</v>
      </c>
      <c r="P50" s="60">
        <v>36</v>
      </c>
      <c r="Q50" s="61">
        <v>16</v>
      </c>
      <c r="R50" s="62">
        <v>8</v>
      </c>
      <c r="S50" s="63">
        <f t="shared" si="27"/>
        <v>96</v>
      </c>
      <c r="T50" s="59">
        <v>36</v>
      </c>
      <c r="U50" s="60">
        <v>36</v>
      </c>
      <c r="V50" s="61">
        <v>16</v>
      </c>
      <c r="W50" s="62">
        <v>8</v>
      </c>
      <c r="X50" s="63">
        <f t="shared" si="28"/>
        <v>96</v>
      </c>
      <c r="Y50" s="11">
        <f t="shared" si="29"/>
        <v>192</v>
      </c>
      <c r="Z50" s="85">
        <v>44993</v>
      </c>
    </row>
    <row r="51" spans="1:27" x14ac:dyDescent="0.15">
      <c r="A51" s="12" t="s">
        <v>64</v>
      </c>
      <c r="B51" s="59"/>
      <c r="C51" s="60"/>
      <c r="D51" s="61"/>
      <c r="E51" s="62">
        <v>1</v>
      </c>
      <c r="F51" s="63">
        <f t="shared" si="30"/>
        <v>1</v>
      </c>
      <c r="G51" s="59"/>
      <c r="H51" s="60">
        <v>1</v>
      </c>
      <c r="I51" s="61"/>
      <c r="J51" s="62"/>
      <c r="K51" s="63">
        <f t="shared" si="31"/>
        <v>1</v>
      </c>
      <c r="L51" s="11">
        <f t="shared" si="21"/>
        <v>2</v>
      </c>
      <c r="M51" s="85">
        <v>44994</v>
      </c>
      <c r="N51" s="12" t="s">
        <v>50</v>
      </c>
      <c r="O51" s="25">
        <v>8</v>
      </c>
      <c r="P51" s="45">
        <v>8</v>
      </c>
      <c r="Q51" s="26">
        <v>5</v>
      </c>
      <c r="R51" s="32">
        <v>3</v>
      </c>
      <c r="S51" s="33">
        <f t="shared" si="27"/>
        <v>24</v>
      </c>
      <c r="T51" s="25">
        <v>8</v>
      </c>
      <c r="U51" s="45">
        <v>8</v>
      </c>
      <c r="V51" s="26">
        <v>5</v>
      </c>
      <c r="W51" s="32">
        <v>3</v>
      </c>
      <c r="X51" s="33">
        <f t="shared" si="28"/>
        <v>24</v>
      </c>
      <c r="Y51" s="11">
        <f t="shared" si="29"/>
        <v>48</v>
      </c>
      <c r="Z51" s="85">
        <v>44993</v>
      </c>
    </row>
    <row r="52" spans="1:27" x14ac:dyDescent="0.15">
      <c r="A52" s="70" t="s">
        <v>30</v>
      </c>
      <c r="B52" s="25"/>
      <c r="C52" s="45"/>
      <c r="D52" s="26">
        <v>1</v>
      </c>
      <c r="E52" s="32"/>
      <c r="F52" s="33">
        <f t="shared" si="30"/>
        <v>1</v>
      </c>
      <c r="G52" s="25"/>
      <c r="H52" s="45"/>
      <c r="I52" s="26"/>
      <c r="J52" s="32"/>
      <c r="K52" s="33">
        <f t="shared" si="31"/>
        <v>0</v>
      </c>
      <c r="L52" s="11">
        <f t="shared" si="21"/>
        <v>1</v>
      </c>
      <c r="M52" s="83">
        <v>44994</v>
      </c>
      <c r="N52" s="12" t="s">
        <v>54</v>
      </c>
      <c r="O52" s="25">
        <v>1</v>
      </c>
      <c r="P52" s="45"/>
      <c r="Q52" s="26"/>
      <c r="R52" s="32"/>
      <c r="S52" s="33">
        <f t="shared" si="24"/>
        <v>1</v>
      </c>
      <c r="T52" s="25">
        <v>1</v>
      </c>
      <c r="U52" s="45"/>
      <c r="V52" s="26">
        <v>1</v>
      </c>
      <c r="W52" s="32"/>
      <c r="X52" s="33">
        <f t="shared" si="25"/>
        <v>2</v>
      </c>
      <c r="Y52" s="11">
        <f t="shared" si="26"/>
        <v>3</v>
      </c>
      <c r="Z52" s="85">
        <v>44987</v>
      </c>
    </row>
    <row r="53" spans="1:27" x14ac:dyDescent="0.15">
      <c r="A53" s="12" t="s">
        <v>68</v>
      </c>
      <c r="B53" s="25">
        <v>1</v>
      </c>
      <c r="C53" s="45"/>
      <c r="D53" s="26">
        <v>1</v>
      </c>
      <c r="E53" s="32"/>
      <c r="F53" s="33">
        <f t="shared" si="30"/>
        <v>2</v>
      </c>
      <c r="G53" s="25">
        <v>1</v>
      </c>
      <c r="H53" s="45"/>
      <c r="I53" s="26">
        <v>1</v>
      </c>
      <c r="J53" s="32"/>
      <c r="K53" s="33">
        <f t="shared" si="31"/>
        <v>2</v>
      </c>
      <c r="L53" s="11">
        <f t="shared" si="21"/>
        <v>4</v>
      </c>
      <c r="M53" s="83">
        <v>44999</v>
      </c>
      <c r="N53" s="95" t="s">
        <v>66</v>
      </c>
      <c r="O53" s="25">
        <v>10</v>
      </c>
      <c r="P53" s="45">
        <v>15</v>
      </c>
      <c r="Q53" s="26">
        <v>15</v>
      </c>
      <c r="R53" s="32">
        <v>10</v>
      </c>
      <c r="S53" s="33">
        <f t="shared" si="24"/>
        <v>50</v>
      </c>
      <c r="T53" s="25">
        <v>10</v>
      </c>
      <c r="U53" s="45">
        <v>15</v>
      </c>
      <c r="V53" s="26">
        <v>15</v>
      </c>
      <c r="W53" s="32">
        <v>10</v>
      </c>
      <c r="X53" s="33">
        <f t="shared" si="25"/>
        <v>50</v>
      </c>
      <c r="Y53" s="11">
        <f t="shared" si="26"/>
        <v>100</v>
      </c>
      <c r="Z53" s="85">
        <v>44995</v>
      </c>
    </row>
    <row r="54" spans="1:27" x14ac:dyDescent="0.15">
      <c r="A54" s="70" t="s">
        <v>30</v>
      </c>
      <c r="B54" s="25"/>
      <c r="C54" s="45">
        <v>1</v>
      </c>
      <c r="D54" s="26">
        <v>3</v>
      </c>
      <c r="E54" s="32"/>
      <c r="F54" s="33">
        <f t="shared" si="30"/>
        <v>4</v>
      </c>
      <c r="G54" s="25"/>
      <c r="H54" s="45"/>
      <c r="I54" s="26"/>
      <c r="J54" s="32"/>
      <c r="K54" s="33">
        <f t="shared" si="31"/>
        <v>0</v>
      </c>
      <c r="L54" s="11">
        <f t="shared" si="21"/>
        <v>4</v>
      </c>
      <c r="M54" s="83">
        <v>44998</v>
      </c>
      <c r="N54" s="95" t="s">
        <v>67</v>
      </c>
      <c r="O54" s="25">
        <v>10</v>
      </c>
      <c r="P54" s="45">
        <v>10</v>
      </c>
      <c r="Q54" s="26">
        <v>10</v>
      </c>
      <c r="R54" s="32">
        <v>10</v>
      </c>
      <c r="S54" s="33">
        <f t="shared" si="24"/>
        <v>40</v>
      </c>
      <c r="T54" s="25">
        <v>10</v>
      </c>
      <c r="U54" s="45">
        <v>10</v>
      </c>
      <c r="V54" s="26">
        <v>10</v>
      </c>
      <c r="W54" s="32">
        <v>10</v>
      </c>
      <c r="X54" s="33">
        <f t="shared" si="25"/>
        <v>40</v>
      </c>
      <c r="Y54" s="11">
        <f t="shared" si="26"/>
        <v>80</v>
      </c>
      <c r="Z54" s="85">
        <v>44995</v>
      </c>
    </row>
    <row r="55" spans="1:27" x14ac:dyDescent="0.15">
      <c r="A55" s="12" t="s">
        <v>69</v>
      </c>
      <c r="B55" s="25">
        <v>3</v>
      </c>
      <c r="C55" s="45"/>
      <c r="D55" s="26"/>
      <c r="E55" s="32">
        <v>1</v>
      </c>
      <c r="F55" s="33">
        <f t="shared" si="30"/>
        <v>4</v>
      </c>
      <c r="G55" s="25"/>
      <c r="H55" s="45"/>
      <c r="I55" s="26"/>
      <c r="J55" s="32"/>
      <c r="K55" s="33">
        <f t="shared" si="31"/>
        <v>0</v>
      </c>
      <c r="L55" s="11">
        <f t="shared" si="21"/>
        <v>4</v>
      </c>
      <c r="M55" s="83">
        <v>45000</v>
      </c>
      <c r="N55" s="95" t="s">
        <v>72</v>
      </c>
      <c r="O55" s="25">
        <v>10</v>
      </c>
      <c r="P55" s="45">
        <v>20</v>
      </c>
      <c r="Q55" s="26"/>
      <c r="R55" s="32">
        <v>20</v>
      </c>
      <c r="S55" s="33">
        <f t="shared" si="24"/>
        <v>50</v>
      </c>
      <c r="T55" s="25">
        <v>10</v>
      </c>
      <c r="U55" s="45"/>
      <c r="V55" s="26"/>
      <c r="W55" s="32">
        <v>15</v>
      </c>
      <c r="X55" s="33">
        <f t="shared" si="25"/>
        <v>25</v>
      </c>
      <c r="Y55" s="11">
        <f t="shared" si="26"/>
        <v>75</v>
      </c>
      <c r="Z55" s="85">
        <v>45001</v>
      </c>
    </row>
    <row r="56" spans="1:27" x14ac:dyDescent="0.15">
      <c r="A56" s="12" t="s">
        <v>70</v>
      </c>
      <c r="B56" s="25"/>
      <c r="C56" s="45"/>
      <c r="D56" s="26"/>
      <c r="E56" s="32"/>
      <c r="F56" s="33">
        <f t="shared" si="30"/>
        <v>0</v>
      </c>
      <c r="G56" s="25"/>
      <c r="H56" s="45">
        <v>2</v>
      </c>
      <c r="I56" s="26"/>
      <c r="J56" s="32"/>
      <c r="K56" s="33">
        <f t="shared" si="31"/>
        <v>2</v>
      </c>
      <c r="L56" s="11">
        <f t="shared" si="21"/>
        <v>2</v>
      </c>
      <c r="M56" s="83">
        <v>45001</v>
      </c>
      <c r="N56" s="95" t="s">
        <v>73</v>
      </c>
      <c r="O56" s="25">
        <v>15</v>
      </c>
      <c r="P56" s="45">
        <v>15</v>
      </c>
      <c r="Q56" s="26">
        <v>5</v>
      </c>
      <c r="R56" s="32"/>
      <c r="S56" s="33">
        <f t="shared" si="24"/>
        <v>35</v>
      </c>
      <c r="T56" s="25"/>
      <c r="U56" s="45">
        <v>15</v>
      </c>
      <c r="V56" s="26">
        <v>10</v>
      </c>
      <c r="W56" s="32"/>
      <c r="X56" s="33">
        <f t="shared" si="25"/>
        <v>25</v>
      </c>
      <c r="Y56" s="11">
        <f t="shared" si="26"/>
        <v>60</v>
      </c>
      <c r="Z56" s="85">
        <v>45002</v>
      </c>
    </row>
    <row r="57" spans="1:27" x14ac:dyDescent="0.15">
      <c r="A57" s="70" t="s">
        <v>71</v>
      </c>
      <c r="B57" s="25">
        <v>1</v>
      </c>
      <c r="C57" s="45"/>
      <c r="D57" s="26"/>
      <c r="E57" s="32"/>
      <c r="F57" s="33">
        <f t="shared" si="30"/>
        <v>1</v>
      </c>
      <c r="G57" s="25"/>
      <c r="H57" s="45"/>
      <c r="I57" s="26"/>
      <c r="J57" s="32"/>
      <c r="K57" s="33">
        <f t="shared" si="31"/>
        <v>0</v>
      </c>
      <c r="L57" s="11">
        <f t="shared" si="21"/>
        <v>1</v>
      </c>
      <c r="M57" s="83">
        <v>45002</v>
      </c>
      <c r="N57" s="95" t="s">
        <v>74</v>
      </c>
      <c r="O57" s="25">
        <v>25</v>
      </c>
      <c r="P57" s="45">
        <v>45</v>
      </c>
      <c r="Q57" s="26">
        <v>10</v>
      </c>
      <c r="R57" s="32">
        <v>25</v>
      </c>
      <c r="S57" s="33">
        <f t="shared" si="24"/>
        <v>105</v>
      </c>
      <c r="T57" s="25">
        <v>5</v>
      </c>
      <c r="U57" s="45">
        <v>20</v>
      </c>
      <c r="V57" s="26">
        <v>15</v>
      </c>
      <c r="W57" s="32">
        <v>15</v>
      </c>
      <c r="X57" s="33">
        <f t="shared" si="25"/>
        <v>55</v>
      </c>
      <c r="Y57" s="11">
        <f t="shared" si="26"/>
        <v>160</v>
      </c>
      <c r="Z57" s="85">
        <v>45002</v>
      </c>
    </row>
    <row r="58" spans="1:27" x14ac:dyDescent="0.15">
      <c r="A58" s="12" t="s">
        <v>75</v>
      </c>
      <c r="B58" s="25"/>
      <c r="C58" s="45"/>
      <c r="D58" s="26"/>
      <c r="E58" s="32">
        <v>1</v>
      </c>
      <c r="F58" s="33">
        <f t="shared" si="30"/>
        <v>1</v>
      </c>
      <c r="G58" s="25"/>
      <c r="H58" s="45"/>
      <c r="I58" s="26"/>
      <c r="J58" s="32"/>
      <c r="K58" s="33">
        <f t="shared" si="31"/>
        <v>0</v>
      </c>
      <c r="L58" s="11">
        <f t="shared" si="21"/>
        <v>1</v>
      </c>
      <c r="M58" s="83">
        <v>45002</v>
      </c>
      <c r="N58" s="12" t="s">
        <v>77</v>
      </c>
      <c r="O58" s="25"/>
      <c r="P58" s="45"/>
      <c r="Q58" s="26">
        <v>10</v>
      </c>
      <c r="R58" s="32"/>
      <c r="S58" s="33">
        <f t="shared" si="24"/>
        <v>10</v>
      </c>
      <c r="T58" s="25"/>
      <c r="U58" s="45"/>
      <c r="V58" s="26"/>
      <c r="W58" s="32"/>
      <c r="X58" s="33">
        <f t="shared" si="25"/>
        <v>0</v>
      </c>
      <c r="Y58" s="11">
        <f t="shared" si="26"/>
        <v>10</v>
      </c>
      <c r="Z58" s="85">
        <v>45002</v>
      </c>
    </row>
    <row r="59" spans="1:27" x14ac:dyDescent="0.15">
      <c r="A59" s="12" t="s">
        <v>90</v>
      </c>
      <c r="B59" s="25"/>
      <c r="C59" s="45"/>
      <c r="D59" s="26"/>
      <c r="E59" s="32"/>
      <c r="F59" s="33">
        <f t="shared" ref="F59" si="32">SUM(B59:E59)</f>
        <v>0</v>
      </c>
      <c r="G59" s="25"/>
      <c r="H59" s="45">
        <v>2</v>
      </c>
      <c r="I59" s="26"/>
      <c r="J59" s="32"/>
      <c r="K59" s="33">
        <f t="shared" ref="K59" si="33">SUM(G59:J59)</f>
        <v>2</v>
      </c>
      <c r="L59" s="11">
        <f t="shared" ref="L59" si="34">F59+K59</f>
        <v>2</v>
      </c>
      <c r="M59" s="83">
        <v>45008</v>
      </c>
      <c r="N59" s="12" t="s">
        <v>76</v>
      </c>
      <c r="O59" s="25">
        <v>10</v>
      </c>
      <c r="P59" s="45">
        <v>10</v>
      </c>
      <c r="Q59" s="26"/>
      <c r="R59" s="32"/>
      <c r="S59" s="33">
        <f t="shared" si="24"/>
        <v>20</v>
      </c>
      <c r="T59" s="25">
        <v>10</v>
      </c>
      <c r="U59" s="45"/>
      <c r="V59" s="26">
        <v>10</v>
      </c>
      <c r="W59" s="32"/>
      <c r="X59" s="33">
        <f t="shared" si="25"/>
        <v>20</v>
      </c>
      <c r="Y59" s="11">
        <f t="shared" si="26"/>
        <v>40</v>
      </c>
      <c r="Z59" s="85">
        <v>45002</v>
      </c>
    </row>
    <row r="60" spans="1:27" x14ac:dyDescent="0.15">
      <c r="A60" s="12"/>
      <c r="B60" s="25"/>
      <c r="C60" s="45"/>
      <c r="D60" s="26"/>
      <c r="E60" s="32"/>
      <c r="F60" s="33">
        <f t="shared" si="30"/>
        <v>0</v>
      </c>
      <c r="G60" s="25"/>
      <c r="H60" s="45"/>
      <c r="I60" s="26"/>
      <c r="J60" s="32"/>
      <c r="K60" s="33">
        <f t="shared" si="31"/>
        <v>0</v>
      </c>
      <c r="L60" s="11">
        <f t="shared" si="21"/>
        <v>0</v>
      </c>
      <c r="M60" s="83"/>
      <c r="N60" s="95" t="s">
        <v>83</v>
      </c>
      <c r="O60" s="25"/>
      <c r="P60" s="45"/>
      <c r="Q60" s="26">
        <v>5</v>
      </c>
      <c r="R60" s="32"/>
      <c r="S60" s="33">
        <f t="shared" si="24"/>
        <v>5</v>
      </c>
      <c r="T60" s="25"/>
      <c r="U60" s="45"/>
      <c r="V60" s="26"/>
      <c r="W60" s="32">
        <v>10</v>
      </c>
      <c r="X60" s="33">
        <f t="shared" si="25"/>
        <v>10</v>
      </c>
      <c r="Y60" s="11">
        <f t="shared" si="26"/>
        <v>15</v>
      </c>
      <c r="Z60" s="85">
        <v>45003</v>
      </c>
      <c r="AA60" s="51"/>
    </row>
    <row r="61" spans="1:27" x14ac:dyDescent="0.15">
      <c r="A61" s="70"/>
      <c r="B61" s="25"/>
      <c r="C61" s="45"/>
      <c r="D61" s="26"/>
      <c r="E61" s="32"/>
      <c r="F61" s="33">
        <f t="shared" ref="F61:F69" si="35">SUM(B61:E61)</f>
        <v>0</v>
      </c>
      <c r="G61" s="25"/>
      <c r="H61" s="45"/>
      <c r="I61" s="26"/>
      <c r="J61" s="32"/>
      <c r="K61" s="33">
        <f t="shared" ref="K61:K69" si="36">SUM(G61:J61)</f>
        <v>0</v>
      </c>
      <c r="L61" s="11">
        <f t="shared" ref="L61:L69" si="37">F61+K61</f>
        <v>0</v>
      </c>
      <c r="M61" s="83"/>
      <c r="N61" s="95" t="s">
        <v>80</v>
      </c>
      <c r="O61" s="25"/>
      <c r="P61" s="45"/>
      <c r="Q61" s="26">
        <v>10</v>
      </c>
      <c r="R61" s="32"/>
      <c r="S61" s="33">
        <f t="shared" si="24"/>
        <v>10</v>
      </c>
      <c r="T61" s="25"/>
      <c r="U61" s="45">
        <v>10</v>
      </c>
      <c r="V61" s="26"/>
      <c r="W61" s="32">
        <v>5</v>
      </c>
      <c r="X61" s="33">
        <f t="shared" si="25"/>
        <v>15</v>
      </c>
      <c r="Y61" s="11">
        <f t="shared" si="26"/>
        <v>25</v>
      </c>
      <c r="Z61" s="85">
        <v>45006</v>
      </c>
    </row>
    <row r="62" spans="1:27" x14ac:dyDescent="0.15">
      <c r="A62" s="70"/>
      <c r="B62" s="25"/>
      <c r="C62" s="45"/>
      <c r="D62" s="26"/>
      <c r="E62" s="32"/>
      <c r="F62" s="33">
        <f t="shared" si="35"/>
        <v>0</v>
      </c>
      <c r="G62" s="25"/>
      <c r="H62" s="45"/>
      <c r="I62" s="26"/>
      <c r="J62" s="32"/>
      <c r="K62" s="33">
        <f t="shared" si="36"/>
        <v>0</v>
      </c>
      <c r="L62" s="11">
        <f t="shared" si="37"/>
        <v>0</v>
      </c>
      <c r="M62" s="83"/>
      <c r="N62" s="95" t="s">
        <v>82</v>
      </c>
      <c r="O62" s="25"/>
      <c r="P62" s="45"/>
      <c r="Q62" s="26">
        <v>5</v>
      </c>
      <c r="R62" s="32"/>
      <c r="S62" s="33">
        <f t="shared" si="24"/>
        <v>5</v>
      </c>
      <c r="T62" s="25"/>
      <c r="U62" s="45"/>
      <c r="V62" s="26"/>
      <c r="W62" s="32"/>
      <c r="X62" s="33">
        <f t="shared" si="25"/>
        <v>0</v>
      </c>
      <c r="Y62" s="11">
        <f t="shared" si="26"/>
        <v>5</v>
      </c>
      <c r="Z62" s="85">
        <v>45006</v>
      </c>
    </row>
    <row r="63" spans="1:27" x14ac:dyDescent="0.15">
      <c r="A63" s="15"/>
      <c r="B63" s="25"/>
      <c r="C63" s="45"/>
      <c r="D63" s="26"/>
      <c r="E63" s="32"/>
      <c r="F63" s="33">
        <f t="shared" si="35"/>
        <v>0</v>
      </c>
      <c r="G63" s="25"/>
      <c r="H63" s="45"/>
      <c r="I63" s="26"/>
      <c r="J63" s="32"/>
      <c r="K63" s="33">
        <f t="shared" si="36"/>
        <v>0</v>
      </c>
      <c r="L63" s="11">
        <f t="shared" si="37"/>
        <v>0</v>
      </c>
      <c r="M63" s="83"/>
      <c r="N63" s="12" t="s">
        <v>81</v>
      </c>
      <c r="O63" s="25">
        <v>15</v>
      </c>
      <c r="P63" s="45">
        <v>20</v>
      </c>
      <c r="Q63" s="26">
        <v>25</v>
      </c>
      <c r="R63" s="32"/>
      <c r="S63" s="33">
        <f t="shared" si="24"/>
        <v>60</v>
      </c>
      <c r="T63" s="25"/>
      <c r="U63" s="45">
        <v>10</v>
      </c>
      <c r="V63" s="26">
        <v>5</v>
      </c>
      <c r="W63" s="32"/>
      <c r="X63" s="33">
        <f t="shared" si="25"/>
        <v>15</v>
      </c>
      <c r="Y63" s="11">
        <f t="shared" si="26"/>
        <v>75</v>
      </c>
      <c r="Z63" s="85">
        <v>45003</v>
      </c>
    </row>
    <row r="64" spans="1:27" x14ac:dyDescent="0.15">
      <c r="A64" s="70"/>
      <c r="B64" s="25"/>
      <c r="C64" s="45"/>
      <c r="D64" s="26"/>
      <c r="E64" s="32"/>
      <c r="F64" s="33">
        <f t="shared" si="35"/>
        <v>0</v>
      </c>
      <c r="G64" s="25"/>
      <c r="H64" s="45"/>
      <c r="I64" s="26"/>
      <c r="J64" s="32"/>
      <c r="K64" s="33">
        <f t="shared" si="36"/>
        <v>0</v>
      </c>
      <c r="L64" s="11">
        <f t="shared" si="37"/>
        <v>0</v>
      </c>
      <c r="M64" s="83"/>
      <c r="N64" s="95" t="s">
        <v>79</v>
      </c>
      <c r="O64" s="25"/>
      <c r="P64" s="45">
        <v>10</v>
      </c>
      <c r="Q64" s="26"/>
      <c r="R64" s="32"/>
      <c r="S64" s="33">
        <f t="shared" si="24"/>
        <v>10</v>
      </c>
      <c r="T64" s="25"/>
      <c r="U64" s="45"/>
      <c r="V64" s="26"/>
      <c r="W64" s="32"/>
      <c r="X64" s="33">
        <f t="shared" si="25"/>
        <v>0</v>
      </c>
      <c r="Y64" s="11">
        <f t="shared" si="26"/>
        <v>10</v>
      </c>
      <c r="Z64" s="85">
        <v>45006</v>
      </c>
      <c r="AA64" s="51"/>
    </row>
    <row r="65" spans="1:27" x14ac:dyDescent="0.15">
      <c r="A65" s="15"/>
      <c r="B65" s="25"/>
      <c r="C65" s="45"/>
      <c r="D65" s="26"/>
      <c r="E65" s="32"/>
      <c r="F65" s="33">
        <f t="shared" si="35"/>
        <v>0</v>
      </c>
      <c r="G65" s="25"/>
      <c r="H65" s="45"/>
      <c r="I65" s="26"/>
      <c r="J65" s="32"/>
      <c r="K65" s="33">
        <f t="shared" si="36"/>
        <v>0</v>
      </c>
      <c r="L65" s="11">
        <f t="shared" si="37"/>
        <v>0</v>
      </c>
      <c r="M65" s="83"/>
      <c r="N65" s="50" t="s">
        <v>78</v>
      </c>
      <c r="O65" s="25"/>
      <c r="P65" s="45"/>
      <c r="Q65" s="26"/>
      <c r="R65" s="32"/>
      <c r="S65" s="33">
        <f t="shared" si="24"/>
        <v>0</v>
      </c>
      <c r="T65" s="25"/>
      <c r="U65" s="45">
        <v>5</v>
      </c>
      <c r="V65" s="26"/>
      <c r="W65" s="32"/>
      <c r="X65" s="33">
        <f t="shared" si="25"/>
        <v>5</v>
      </c>
      <c r="Y65" s="11">
        <f t="shared" si="26"/>
        <v>5</v>
      </c>
      <c r="Z65" s="85">
        <v>45003</v>
      </c>
      <c r="AA65" s="51"/>
    </row>
    <row r="66" spans="1:27" x14ac:dyDescent="0.15">
      <c r="A66" s="70"/>
      <c r="B66" s="25"/>
      <c r="C66" s="45"/>
      <c r="D66" s="26"/>
      <c r="E66" s="32"/>
      <c r="F66" s="33">
        <f t="shared" si="35"/>
        <v>0</v>
      </c>
      <c r="G66" s="25"/>
      <c r="H66" s="45"/>
      <c r="I66" s="26"/>
      <c r="J66" s="32"/>
      <c r="K66" s="33">
        <f t="shared" si="36"/>
        <v>0</v>
      </c>
      <c r="L66" s="11">
        <f t="shared" si="37"/>
        <v>0</v>
      </c>
      <c r="M66" s="83"/>
      <c r="N66" s="95" t="s">
        <v>88</v>
      </c>
      <c r="O66" s="25"/>
      <c r="P66" s="45">
        <v>5</v>
      </c>
      <c r="Q66" s="26"/>
      <c r="R66" s="32"/>
      <c r="S66" s="33">
        <f t="shared" si="24"/>
        <v>5</v>
      </c>
      <c r="T66" s="25"/>
      <c r="U66" s="45"/>
      <c r="V66" s="26"/>
      <c r="W66" s="32"/>
      <c r="X66" s="33">
        <f t="shared" si="25"/>
        <v>0</v>
      </c>
      <c r="Y66" s="11">
        <f t="shared" si="26"/>
        <v>5</v>
      </c>
      <c r="Z66" s="83">
        <v>45006</v>
      </c>
    </row>
    <row r="67" spans="1:27" x14ac:dyDescent="0.15">
      <c r="A67" s="15"/>
      <c r="B67" s="25"/>
      <c r="C67" s="45"/>
      <c r="D67" s="26"/>
      <c r="E67" s="32"/>
      <c r="F67" s="33">
        <f t="shared" si="35"/>
        <v>0</v>
      </c>
      <c r="G67" s="25"/>
      <c r="H67" s="45"/>
      <c r="I67" s="26"/>
      <c r="J67" s="32"/>
      <c r="K67" s="33">
        <f t="shared" si="36"/>
        <v>0</v>
      </c>
      <c r="L67" s="11">
        <f t="shared" si="37"/>
        <v>0</v>
      </c>
      <c r="M67" s="83"/>
      <c r="N67" s="12" t="s">
        <v>89</v>
      </c>
      <c r="O67" s="25"/>
      <c r="P67" s="45"/>
      <c r="Q67" s="26">
        <v>4</v>
      </c>
      <c r="R67" s="32"/>
      <c r="S67" s="33">
        <f t="shared" si="24"/>
        <v>4</v>
      </c>
      <c r="T67" s="25"/>
      <c r="U67" s="45"/>
      <c r="V67" s="26"/>
      <c r="W67" s="32"/>
      <c r="X67" s="33">
        <f t="shared" si="25"/>
        <v>0</v>
      </c>
      <c r="Y67" s="11">
        <f t="shared" si="26"/>
        <v>4</v>
      </c>
      <c r="Z67" s="85">
        <v>45007</v>
      </c>
      <c r="AA67" s="51"/>
    </row>
    <row r="68" spans="1:27" x14ac:dyDescent="0.15">
      <c r="A68" s="70"/>
      <c r="B68" s="25"/>
      <c r="C68" s="45"/>
      <c r="D68" s="26"/>
      <c r="E68" s="32"/>
      <c r="F68" s="33">
        <f t="shared" si="35"/>
        <v>0</v>
      </c>
      <c r="G68" s="25"/>
      <c r="H68" s="45"/>
      <c r="I68" s="26"/>
      <c r="J68" s="32"/>
      <c r="K68" s="33">
        <f t="shared" si="36"/>
        <v>0</v>
      </c>
      <c r="L68" s="11">
        <f t="shared" si="37"/>
        <v>0</v>
      </c>
      <c r="M68" s="83"/>
      <c r="N68" s="95" t="s">
        <v>87</v>
      </c>
      <c r="O68" s="25">
        <v>10</v>
      </c>
      <c r="P68" s="45"/>
      <c r="Q68" s="26"/>
      <c r="R68" s="32"/>
      <c r="S68" s="33">
        <f t="shared" si="24"/>
        <v>10</v>
      </c>
      <c r="T68" s="25"/>
      <c r="U68" s="45"/>
      <c r="V68" s="26"/>
      <c r="W68" s="32"/>
      <c r="X68" s="33">
        <f t="shared" si="25"/>
        <v>0</v>
      </c>
      <c r="Y68" s="11">
        <f t="shared" si="26"/>
        <v>10</v>
      </c>
      <c r="Z68" s="85">
        <v>45008</v>
      </c>
    </row>
    <row r="69" spans="1:27" x14ac:dyDescent="0.15">
      <c r="A69" s="70"/>
      <c r="B69" s="25"/>
      <c r="C69" s="45"/>
      <c r="D69" s="26"/>
      <c r="E69" s="32"/>
      <c r="F69" s="33">
        <f t="shared" si="35"/>
        <v>0</v>
      </c>
      <c r="G69" s="25"/>
      <c r="H69" s="45"/>
      <c r="I69" s="26"/>
      <c r="J69" s="32"/>
      <c r="K69" s="33">
        <f t="shared" si="36"/>
        <v>0</v>
      </c>
      <c r="L69" s="11">
        <f t="shared" si="37"/>
        <v>0</v>
      </c>
      <c r="M69" s="83"/>
      <c r="N69" s="96" t="s">
        <v>21</v>
      </c>
      <c r="O69" s="97"/>
      <c r="P69" s="98"/>
      <c r="Q69" s="99"/>
      <c r="R69" s="100"/>
      <c r="S69" s="101">
        <f t="shared" ref="S69:S72" si="38">SUM(O69:R69)</f>
        <v>0</v>
      </c>
      <c r="T69" s="97"/>
      <c r="U69" s="98"/>
      <c r="V69" s="99"/>
      <c r="W69" s="100"/>
      <c r="X69" s="101">
        <f t="shared" ref="X69:X72" si="39">SUM(T69:W69)</f>
        <v>0</v>
      </c>
      <c r="Y69" s="102">
        <f t="shared" ref="Y69:Y72" si="40">S69+X69</f>
        <v>0</v>
      </c>
      <c r="Z69" s="210"/>
    </row>
    <row r="70" spans="1:27" x14ac:dyDescent="0.15">
      <c r="A70" s="70"/>
      <c r="B70" s="25"/>
      <c r="C70" s="45"/>
      <c r="D70" s="26"/>
      <c r="E70" s="32"/>
      <c r="F70" s="33">
        <f t="shared" si="30"/>
        <v>0</v>
      </c>
      <c r="G70" s="25"/>
      <c r="H70" s="45"/>
      <c r="I70" s="26"/>
      <c r="J70" s="32"/>
      <c r="K70" s="33">
        <f t="shared" si="31"/>
        <v>0</v>
      </c>
      <c r="L70" s="11">
        <f t="shared" si="21"/>
        <v>0</v>
      </c>
      <c r="M70" s="83"/>
      <c r="N70" s="12" t="s">
        <v>84</v>
      </c>
      <c r="O70" s="25"/>
      <c r="P70" s="45"/>
      <c r="Q70" s="26"/>
      <c r="R70" s="32"/>
      <c r="S70" s="33">
        <f t="shared" si="38"/>
        <v>0</v>
      </c>
      <c r="T70" s="25"/>
      <c r="U70" s="45"/>
      <c r="V70" s="26"/>
      <c r="W70" s="32"/>
      <c r="X70" s="33">
        <f t="shared" si="39"/>
        <v>0</v>
      </c>
      <c r="Y70" s="11">
        <f t="shared" si="40"/>
        <v>0</v>
      </c>
      <c r="Z70" s="159" t="s">
        <v>22</v>
      </c>
    </row>
    <row r="71" spans="1:27" x14ac:dyDescent="0.15">
      <c r="A71" s="70"/>
      <c r="B71" s="25"/>
      <c r="C71" s="45"/>
      <c r="D71" s="26"/>
      <c r="E71" s="32"/>
      <c r="F71" s="33">
        <f t="shared" si="30"/>
        <v>0</v>
      </c>
      <c r="G71" s="25"/>
      <c r="H71" s="45"/>
      <c r="I71" s="26"/>
      <c r="J71" s="32"/>
      <c r="K71" s="33">
        <f t="shared" si="31"/>
        <v>0</v>
      </c>
      <c r="L71" s="11">
        <f t="shared" si="21"/>
        <v>0</v>
      </c>
      <c r="M71" s="83"/>
      <c r="N71" s="50" t="s">
        <v>85</v>
      </c>
      <c r="O71" s="103"/>
      <c r="P71" s="104"/>
      <c r="Q71" s="105"/>
      <c r="R71" s="106"/>
      <c r="S71" s="101">
        <f t="shared" si="38"/>
        <v>0</v>
      </c>
      <c r="T71" s="103"/>
      <c r="U71" s="104"/>
      <c r="V71" s="105"/>
      <c r="W71" s="106"/>
      <c r="X71" s="101">
        <f t="shared" si="39"/>
        <v>0</v>
      </c>
      <c r="Y71" s="102">
        <f t="shared" si="40"/>
        <v>0</v>
      </c>
      <c r="Z71" s="210"/>
    </row>
    <row r="72" spans="1:27" ht="14.25" thickBot="1" x14ac:dyDescent="0.2">
      <c r="A72" s="108"/>
      <c r="B72" s="55"/>
      <c r="C72" s="56"/>
      <c r="D72" s="57"/>
      <c r="E72" s="58"/>
      <c r="F72" s="109">
        <f t="shared" ref="F72" si="41">SUM(B72:E72)</f>
        <v>0</v>
      </c>
      <c r="G72" s="55"/>
      <c r="H72" s="56"/>
      <c r="I72" s="57"/>
      <c r="J72" s="58"/>
      <c r="K72" s="109">
        <f t="shared" ref="K72" si="42">SUM(G72:J72)</f>
        <v>0</v>
      </c>
      <c r="L72" s="107">
        <f t="shared" ref="L72" si="43">F72+K72</f>
        <v>0</v>
      </c>
      <c r="M72" s="83"/>
      <c r="N72" s="74" t="s">
        <v>86</v>
      </c>
      <c r="O72" s="55"/>
      <c r="P72" s="56"/>
      <c r="Q72" s="57"/>
      <c r="R72" s="58"/>
      <c r="S72" s="10">
        <f t="shared" si="38"/>
        <v>0</v>
      </c>
      <c r="T72" s="55"/>
      <c r="U72" s="56"/>
      <c r="V72" s="57"/>
      <c r="W72" s="58"/>
      <c r="X72" s="10">
        <f t="shared" si="39"/>
        <v>0</v>
      </c>
      <c r="Y72" s="107">
        <f t="shared" si="40"/>
        <v>0</v>
      </c>
      <c r="Z72" s="85" t="s">
        <v>25</v>
      </c>
    </row>
    <row r="73" spans="1:27" ht="14.25" thickBot="1" x14ac:dyDescent="0.2">
      <c r="A73" s="72" t="s">
        <v>10</v>
      </c>
      <c r="B73" s="36">
        <f>SUM(B48:B72)</f>
        <v>5</v>
      </c>
      <c r="C73" s="46">
        <f>SUM(C48:C72)</f>
        <v>1</v>
      </c>
      <c r="D73" s="37">
        <f>SUM(D48:D72)</f>
        <v>6</v>
      </c>
      <c r="E73" s="38">
        <f>SUM(E48:E72)</f>
        <v>3</v>
      </c>
      <c r="F73" s="71">
        <f>SUM(B73:E73)</f>
        <v>15</v>
      </c>
      <c r="G73" s="36">
        <f>SUM(G48:G72)</f>
        <v>1</v>
      </c>
      <c r="H73" s="46">
        <f>SUM(H48:H72)</f>
        <v>6</v>
      </c>
      <c r="I73" s="37">
        <f>SUM(I48:I72)</f>
        <v>2</v>
      </c>
      <c r="J73" s="38">
        <f>SUM(J48:J72)</f>
        <v>0</v>
      </c>
      <c r="K73" s="71">
        <f>SUM(G73:J73)</f>
        <v>9</v>
      </c>
      <c r="L73" s="75">
        <f t="shared" si="21"/>
        <v>24</v>
      </c>
      <c r="M73" s="81"/>
      <c r="N73" s="72" t="s">
        <v>10</v>
      </c>
      <c r="O73" s="36">
        <f>SUM(O48:O72)</f>
        <v>170</v>
      </c>
      <c r="P73" s="46">
        <f>SUM(P48:P72)</f>
        <v>224</v>
      </c>
      <c r="Q73" s="37">
        <f>SUM(Q48:Q72)</f>
        <v>140</v>
      </c>
      <c r="R73" s="38">
        <f>SUM(R48:R72)</f>
        <v>86</v>
      </c>
      <c r="S73" s="71">
        <f t="shared" ref="S73" si="44">SUM(O73:R73)</f>
        <v>620</v>
      </c>
      <c r="T73" s="36">
        <f>SUM(T48:T72)</f>
        <v>110</v>
      </c>
      <c r="U73" s="46">
        <f>SUM(U48:U72)</f>
        <v>159</v>
      </c>
      <c r="V73" s="37">
        <f>SUM(V48:V72)</f>
        <v>107</v>
      </c>
      <c r="W73" s="38">
        <f>SUM(W48:W72)</f>
        <v>86</v>
      </c>
      <c r="X73" s="71">
        <f t="shared" ref="X73" si="45">SUM(T73:W73)</f>
        <v>462</v>
      </c>
      <c r="Y73" s="75">
        <f t="shared" si="19"/>
        <v>1082</v>
      </c>
    </row>
    <row r="74" spans="1:27" ht="14.25" thickBot="1" x14ac:dyDescent="0.2">
      <c r="A74" s="21" t="s">
        <v>11</v>
      </c>
      <c r="B74" s="39">
        <f t="shared" ref="B74:K74" si="46">B47-B73</f>
        <v>4</v>
      </c>
      <c r="C74" s="47">
        <f t="shared" si="46"/>
        <v>10</v>
      </c>
      <c r="D74" s="40">
        <f t="shared" si="46"/>
        <v>0</v>
      </c>
      <c r="E74" s="41">
        <f t="shared" si="46"/>
        <v>16</v>
      </c>
      <c r="F74" s="54">
        <f t="shared" si="46"/>
        <v>30</v>
      </c>
      <c r="G74" s="39">
        <f t="shared" si="46"/>
        <v>9</v>
      </c>
      <c r="H74" s="47">
        <f t="shared" si="46"/>
        <v>9</v>
      </c>
      <c r="I74" s="40">
        <f t="shared" si="46"/>
        <v>6</v>
      </c>
      <c r="J74" s="41">
        <f t="shared" si="46"/>
        <v>17</v>
      </c>
      <c r="K74" s="54">
        <f t="shared" si="46"/>
        <v>41</v>
      </c>
      <c r="L74" s="20">
        <f t="shared" si="21"/>
        <v>71</v>
      </c>
      <c r="M74" s="84"/>
      <c r="N74" s="16" t="s">
        <v>11</v>
      </c>
      <c r="O74" s="39">
        <f t="shared" ref="O74:X74" si="47">O47-O73</f>
        <v>258</v>
      </c>
      <c r="P74" s="47">
        <f t="shared" si="47"/>
        <v>181</v>
      </c>
      <c r="Q74" s="40">
        <f t="shared" si="47"/>
        <v>110</v>
      </c>
      <c r="R74" s="41">
        <f t="shared" si="47"/>
        <v>75</v>
      </c>
      <c r="S74" s="54">
        <f t="shared" si="47"/>
        <v>624</v>
      </c>
      <c r="T74" s="39">
        <f t="shared" si="47"/>
        <v>310</v>
      </c>
      <c r="U74" s="47">
        <f t="shared" si="47"/>
        <v>257</v>
      </c>
      <c r="V74" s="40">
        <f t="shared" si="47"/>
        <v>144</v>
      </c>
      <c r="W74" s="41">
        <f t="shared" si="47"/>
        <v>72</v>
      </c>
      <c r="X74" s="54">
        <f t="shared" si="47"/>
        <v>783</v>
      </c>
      <c r="Y74" s="20">
        <f t="shared" si="19"/>
        <v>1407</v>
      </c>
    </row>
    <row r="76" spans="1:27" x14ac:dyDescent="0.15">
      <c r="O76" s="80"/>
      <c r="P76" s="80"/>
      <c r="Q76" s="80"/>
      <c r="R76" s="80"/>
      <c r="S76" s="80"/>
      <c r="T76" s="80"/>
      <c r="U76" s="80"/>
      <c r="V76" s="80"/>
      <c r="W76" s="80"/>
      <c r="X76" s="80"/>
    </row>
    <row r="77" spans="1:27" ht="19.5" thickBot="1" x14ac:dyDescent="0.25">
      <c r="A77" s="2" t="s">
        <v>26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27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7" ht="14.25" thickBot="1" x14ac:dyDescent="0.2">
      <c r="A78" s="5" t="s">
        <v>0</v>
      </c>
      <c r="B78" s="228" t="s">
        <v>19</v>
      </c>
      <c r="C78" s="229"/>
      <c r="D78" s="229"/>
      <c r="E78" s="229"/>
      <c r="F78" s="230"/>
      <c r="G78" s="231" t="s">
        <v>18</v>
      </c>
      <c r="H78" s="232"/>
      <c r="I78" s="232"/>
      <c r="J78" s="232"/>
      <c r="K78" s="233"/>
      <c r="L78" s="234" t="s">
        <v>1</v>
      </c>
      <c r="N78" s="5" t="s">
        <v>0</v>
      </c>
      <c r="O78" s="228" t="s">
        <v>19</v>
      </c>
      <c r="P78" s="229"/>
      <c r="Q78" s="229"/>
      <c r="R78" s="229"/>
      <c r="S78" s="230"/>
      <c r="T78" s="231" t="s">
        <v>18</v>
      </c>
      <c r="U78" s="232"/>
      <c r="V78" s="232"/>
      <c r="W78" s="232"/>
      <c r="X78" s="233"/>
      <c r="Y78" s="73" t="s">
        <v>1</v>
      </c>
    </row>
    <row r="79" spans="1:27" ht="14.25" thickBot="1" x14ac:dyDescent="0.2">
      <c r="A79" s="5" t="s">
        <v>2</v>
      </c>
      <c r="B79" s="3" t="s">
        <v>12</v>
      </c>
      <c r="C79" s="42" t="s">
        <v>13</v>
      </c>
      <c r="D79" s="4" t="s">
        <v>14</v>
      </c>
      <c r="E79" s="22" t="s">
        <v>15</v>
      </c>
      <c r="F79" s="30" t="s">
        <v>3</v>
      </c>
      <c r="G79" s="3" t="s">
        <v>12</v>
      </c>
      <c r="H79" s="42" t="s">
        <v>13</v>
      </c>
      <c r="I79" s="4" t="s">
        <v>14</v>
      </c>
      <c r="J79" s="22" t="s">
        <v>15</v>
      </c>
      <c r="K79" s="30" t="s">
        <v>3</v>
      </c>
      <c r="L79" s="235"/>
      <c r="N79" s="5" t="s">
        <v>2</v>
      </c>
      <c r="O79" s="64" t="s">
        <v>12</v>
      </c>
      <c r="P79" s="65" t="s">
        <v>13</v>
      </c>
      <c r="Q79" s="66" t="s">
        <v>14</v>
      </c>
      <c r="R79" s="67" t="s">
        <v>15</v>
      </c>
      <c r="S79" s="30" t="s">
        <v>3</v>
      </c>
      <c r="T79" s="3" t="s">
        <v>12</v>
      </c>
      <c r="U79" s="42" t="s">
        <v>13</v>
      </c>
      <c r="V79" s="4" t="s">
        <v>14</v>
      </c>
      <c r="W79" s="22" t="s">
        <v>15</v>
      </c>
      <c r="X79" s="30" t="s">
        <v>3</v>
      </c>
      <c r="Y79" s="74"/>
    </row>
    <row r="80" spans="1:27" ht="14.25" thickBot="1" x14ac:dyDescent="0.2">
      <c r="A80" s="21" t="s">
        <v>16</v>
      </c>
      <c r="B80" s="39">
        <f>B74</f>
        <v>4</v>
      </c>
      <c r="C80" s="40">
        <f>C74</f>
        <v>10</v>
      </c>
      <c r="D80" s="40">
        <f>D74</f>
        <v>0</v>
      </c>
      <c r="E80" s="41">
        <f>E74</f>
        <v>16</v>
      </c>
      <c r="F80" s="122">
        <f>SUM(B80:E80)</f>
        <v>30</v>
      </c>
      <c r="G80" s="39">
        <f>G74</f>
        <v>9</v>
      </c>
      <c r="H80" s="40">
        <f>H74</f>
        <v>9</v>
      </c>
      <c r="I80" s="40">
        <f>I74</f>
        <v>6</v>
      </c>
      <c r="J80" s="41">
        <f>J74</f>
        <v>17</v>
      </c>
      <c r="K80" s="123">
        <f>SUM(G80:J80)</f>
        <v>41</v>
      </c>
      <c r="L80" s="20">
        <f>F80+K80</f>
        <v>71</v>
      </c>
      <c r="N80" s="21" t="s">
        <v>16</v>
      </c>
      <c r="O80" s="39">
        <f>O74</f>
        <v>258</v>
      </c>
      <c r="P80" s="40">
        <f>P74</f>
        <v>181</v>
      </c>
      <c r="Q80" s="40">
        <f t="shared" ref="Q80:R80" si="48">Q74</f>
        <v>110</v>
      </c>
      <c r="R80" s="40">
        <f t="shared" si="48"/>
        <v>75</v>
      </c>
      <c r="S80" s="123">
        <f>SUM(O80:R80)</f>
        <v>624</v>
      </c>
      <c r="T80" s="39">
        <f>T74</f>
        <v>310</v>
      </c>
      <c r="U80" s="40">
        <f>U74</f>
        <v>257</v>
      </c>
      <c r="V80" s="40">
        <f>V74</f>
        <v>144</v>
      </c>
      <c r="W80" s="41">
        <f>W74</f>
        <v>72</v>
      </c>
      <c r="X80" s="123">
        <f>SUM(T80:W80)</f>
        <v>783</v>
      </c>
      <c r="Y80" s="20">
        <f t="shared" ref="Y80:Y112" si="49">S80+X80</f>
        <v>1407</v>
      </c>
      <c r="Z80" s="209"/>
    </row>
    <row r="81" spans="1:27" x14ac:dyDescent="0.15">
      <c r="A81" s="70" t="s">
        <v>5</v>
      </c>
      <c r="B81" s="76"/>
      <c r="C81" s="77"/>
      <c r="D81" s="61">
        <v>10</v>
      </c>
      <c r="E81" s="79"/>
      <c r="F81" s="121">
        <f>SUM(B81:E81)</f>
        <v>10</v>
      </c>
      <c r="G81" s="77"/>
      <c r="H81" s="77"/>
      <c r="I81" s="78"/>
      <c r="J81" s="79"/>
      <c r="K81" s="121">
        <f>SUM(G81:J81)</f>
        <v>0</v>
      </c>
      <c r="L81" s="11">
        <f t="shared" ref="L81:L112" si="50">F81+K81</f>
        <v>10</v>
      </c>
      <c r="M81" s="85">
        <v>45008</v>
      </c>
      <c r="N81" s="70" t="s">
        <v>17</v>
      </c>
      <c r="O81" s="59"/>
      <c r="P81" s="60"/>
      <c r="Q81" s="61"/>
      <c r="R81" s="124">
        <v>9</v>
      </c>
      <c r="S81" s="121">
        <f t="shared" ref="S81" si="51">SUM(O81:R81)</f>
        <v>9</v>
      </c>
      <c r="T81" s="59"/>
      <c r="U81" s="60"/>
      <c r="V81" s="61"/>
      <c r="W81" s="62">
        <v>11</v>
      </c>
      <c r="X81" s="121">
        <f t="shared" ref="X81" si="52">SUM(T81:W81)</f>
        <v>11</v>
      </c>
      <c r="Y81" s="11">
        <f t="shared" si="49"/>
        <v>20</v>
      </c>
      <c r="Z81" s="115">
        <v>45017</v>
      </c>
    </row>
    <row r="82" spans="1:27" x14ac:dyDescent="0.15">
      <c r="A82" s="70" t="s">
        <v>65</v>
      </c>
      <c r="B82" s="6"/>
      <c r="C82" s="29"/>
      <c r="D82" s="7"/>
      <c r="E82" s="8"/>
      <c r="F82" s="9">
        <f>SUM(B82:E82)</f>
        <v>0</v>
      </c>
      <c r="G82" s="29"/>
      <c r="H82" s="29">
        <f>2-1</f>
        <v>1</v>
      </c>
      <c r="I82" s="7"/>
      <c r="J82" s="8"/>
      <c r="K82" s="9">
        <f>SUM(G82:J82)</f>
        <v>1</v>
      </c>
      <c r="L82" s="11">
        <f t="shared" si="50"/>
        <v>1</v>
      </c>
      <c r="M82" s="115">
        <v>45030</v>
      </c>
      <c r="N82" s="13" t="s">
        <v>5</v>
      </c>
      <c r="O82" s="25"/>
      <c r="P82" s="45"/>
      <c r="Q82" s="26"/>
      <c r="R82" s="48"/>
      <c r="S82" s="9">
        <f>SUM(O82:R82)</f>
        <v>0</v>
      </c>
      <c r="T82" s="25"/>
      <c r="U82" s="45"/>
      <c r="V82" s="26"/>
      <c r="W82" s="32"/>
      <c r="X82" s="9">
        <f>SUM(T82:W82)</f>
        <v>0</v>
      </c>
      <c r="Y82" s="11">
        <f t="shared" ref="Y82" si="53">S82+X82</f>
        <v>0</v>
      </c>
    </row>
    <row r="83" spans="1:27" x14ac:dyDescent="0.15">
      <c r="A83" s="70" t="s">
        <v>7</v>
      </c>
      <c r="B83" s="6">
        <v>5</v>
      </c>
      <c r="C83" s="29">
        <v>5</v>
      </c>
      <c r="D83" s="7"/>
      <c r="E83" s="8"/>
      <c r="F83" s="9">
        <f>SUM(B83:E83)</f>
        <v>10</v>
      </c>
      <c r="G83" s="29"/>
      <c r="H83" s="29"/>
      <c r="I83" s="7"/>
      <c r="J83" s="8">
        <v>3</v>
      </c>
      <c r="K83" s="9">
        <f>SUM(G83:J83)</f>
        <v>3</v>
      </c>
      <c r="L83" s="11">
        <f t="shared" si="50"/>
        <v>13</v>
      </c>
      <c r="M83" s="85">
        <v>45031</v>
      </c>
      <c r="N83" s="13" t="s">
        <v>6</v>
      </c>
      <c r="O83" s="25"/>
      <c r="P83" s="45"/>
      <c r="Q83" s="26"/>
      <c r="R83" s="48"/>
      <c r="S83" s="9">
        <f>SUM(O83:R83)</f>
        <v>0</v>
      </c>
      <c r="T83" s="45"/>
      <c r="U83" s="45"/>
      <c r="V83" s="26"/>
      <c r="W83" s="48"/>
      <c r="X83" s="9">
        <f>SUM(T83:W83)</f>
        <v>0</v>
      </c>
      <c r="Y83" s="11">
        <f t="shared" si="49"/>
        <v>0</v>
      </c>
      <c r="Z83" s="159"/>
    </row>
    <row r="84" spans="1:27" ht="14.25" thickBot="1" x14ac:dyDescent="0.2">
      <c r="A84" s="70" t="s">
        <v>139</v>
      </c>
      <c r="B84" s="76"/>
      <c r="C84" s="77">
        <v>-1</v>
      </c>
      <c r="D84" s="78"/>
      <c r="E84" s="79"/>
      <c r="F84" s="71">
        <f>SUM(B84:E84)</f>
        <v>-1</v>
      </c>
      <c r="G84" s="77"/>
      <c r="H84" s="77">
        <v>5</v>
      </c>
      <c r="I84" s="78"/>
      <c r="J84" s="79"/>
      <c r="K84" s="71">
        <f>SUM(G84:J84)</f>
        <v>5</v>
      </c>
      <c r="L84" s="14">
        <f t="shared" si="50"/>
        <v>4</v>
      </c>
      <c r="N84" s="13" t="s">
        <v>7</v>
      </c>
      <c r="O84" s="25"/>
      <c r="P84" s="45"/>
      <c r="Q84" s="26"/>
      <c r="R84" s="48"/>
      <c r="S84" s="9">
        <f>SUM(O84:R84)</f>
        <v>0</v>
      </c>
      <c r="T84" s="45"/>
      <c r="U84" s="45"/>
      <c r="V84" s="26"/>
      <c r="W84" s="48"/>
      <c r="X84" s="9">
        <f>SUM(T84:W84)</f>
        <v>0</v>
      </c>
      <c r="Y84" s="11">
        <f t="shared" ref="Y84" si="54">S84+X84</f>
        <v>0</v>
      </c>
      <c r="Z84" s="159"/>
    </row>
    <row r="85" spans="1:27" ht="14.25" thickBot="1" x14ac:dyDescent="0.2">
      <c r="A85" s="21" t="s">
        <v>9</v>
      </c>
      <c r="B85" s="110">
        <f t="shared" ref="B85:K85" si="55">SUM(B80:B84)</f>
        <v>9</v>
      </c>
      <c r="C85" s="111">
        <f t="shared" si="55"/>
        <v>14</v>
      </c>
      <c r="D85" s="112">
        <f t="shared" si="55"/>
        <v>10</v>
      </c>
      <c r="E85" s="113">
        <f t="shared" si="55"/>
        <v>16</v>
      </c>
      <c r="F85" s="27">
        <f t="shared" si="55"/>
        <v>49</v>
      </c>
      <c r="G85" s="110">
        <f t="shared" si="55"/>
        <v>9</v>
      </c>
      <c r="H85" s="111">
        <f t="shared" si="55"/>
        <v>15</v>
      </c>
      <c r="I85" s="112">
        <f t="shared" si="55"/>
        <v>6</v>
      </c>
      <c r="J85" s="113">
        <f t="shared" si="55"/>
        <v>20</v>
      </c>
      <c r="K85" s="114">
        <f t="shared" si="55"/>
        <v>50</v>
      </c>
      <c r="L85" s="49">
        <f t="shared" si="50"/>
        <v>99</v>
      </c>
      <c r="N85" s="16" t="s">
        <v>9</v>
      </c>
      <c r="O85" s="39">
        <f t="shared" ref="O85:X85" si="56">SUM(O80:O84)</f>
        <v>258</v>
      </c>
      <c r="P85" s="47">
        <f t="shared" si="56"/>
        <v>181</v>
      </c>
      <c r="Q85" s="40">
        <f t="shared" si="56"/>
        <v>110</v>
      </c>
      <c r="R85" s="88">
        <f t="shared" si="56"/>
        <v>84</v>
      </c>
      <c r="S85" s="89">
        <f t="shared" si="56"/>
        <v>633</v>
      </c>
      <c r="T85" s="39">
        <f t="shared" si="56"/>
        <v>310</v>
      </c>
      <c r="U85" s="47">
        <f t="shared" si="56"/>
        <v>257</v>
      </c>
      <c r="V85" s="40">
        <f t="shared" si="56"/>
        <v>144</v>
      </c>
      <c r="W85" s="88">
        <f t="shared" si="56"/>
        <v>83</v>
      </c>
      <c r="X85" s="89">
        <f t="shared" si="56"/>
        <v>794</v>
      </c>
      <c r="Y85" s="49">
        <f t="shared" si="49"/>
        <v>1427</v>
      </c>
    </row>
    <row r="86" spans="1:27" x14ac:dyDescent="0.15">
      <c r="A86" s="12" t="s">
        <v>93</v>
      </c>
      <c r="B86" s="23"/>
      <c r="C86" s="44"/>
      <c r="D86" s="24"/>
      <c r="E86" s="31"/>
      <c r="F86" s="33">
        <f>SUM(B86:E86)</f>
        <v>0</v>
      </c>
      <c r="G86" s="23">
        <v>1</v>
      </c>
      <c r="H86" s="44">
        <v>1</v>
      </c>
      <c r="I86" s="24"/>
      <c r="J86" s="31"/>
      <c r="K86" s="33">
        <f>SUM(G86:J86)</f>
        <v>2</v>
      </c>
      <c r="L86" s="11">
        <f t="shared" si="50"/>
        <v>2</v>
      </c>
      <c r="M86" s="85">
        <v>45009</v>
      </c>
      <c r="N86" s="95" t="s">
        <v>92</v>
      </c>
      <c r="O86" s="25">
        <v>5</v>
      </c>
      <c r="P86" s="45">
        <v>40</v>
      </c>
      <c r="Q86" s="26">
        <v>5</v>
      </c>
      <c r="R86" s="32">
        <v>10</v>
      </c>
      <c r="S86" s="33">
        <f t="shared" ref="S86:S87" si="57">SUM(O86:R86)</f>
        <v>60</v>
      </c>
      <c r="T86" s="25"/>
      <c r="U86" s="45"/>
      <c r="V86" s="26"/>
      <c r="W86" s="32"/>
      <c r="X86" s="33">
        <f t="shared" ref="X86:X87" si="58">SUM(T86:W86)</f>
        <v>0</v>
      </c>
      <c r="Y86" s="11">
        <f t="shared" ref="Y86:Y87" si="59">S86+X86</f>
        <v>60</v>
      </c>
      <c r="Z86" s="85">
        <v>45009</v>
      </c>
    </row>
    <row r="87" spans="1:27" x14ac:dyDescent="0.15">
      <c r="A87" s="70" t="s">
        <v>30</v>
      </c>
      <c r="B87" s="25"/>
      <c r="C87" s="45">
        <v>1</v>
      </c>
      <c r="D87" s="26"/>
      <c r="E87" s="32"/>
      <c r="F87" s="33">
        <f>SUM(B87:E87)</f>
        <v>1</v>
      </c>
      <c r="G87" s="25"/>
      <c r="H87" s="45">
        <v>1</v>
      </c>
      <c r="I87" s="26"/>
      <c r="J87" s="32"/>
      <c r="K87" s="33">
        <f>SUM(G87:J87)</f>
        <v>1</v>
      </c>
      <c r="L87" s="11">
        <f t="shared" si="50"/>
        <v>2</v>
      </c>
      <c r="M87" s="115">
        <v>45008</v>
      </c>
      <c r="N87" s="50" t="s">
        <v>91</v>
      </c>
      <c r="O87" s="25"/>
      <c r="P87" s="45"/>
      <c r="Q87" s="26">
        <v>10</v>
      </c>
      <c r="R87" s="32"/>
      <c r="S87" s="33">
        <f t="shared" si="57"/>
        <v>10</v>
      </c>
      <c r="T87" s="25"/>
      <c r="U87" s="45"/>
      <c r="V87" s="26"/>
      <c r="W87" s="32"/>
      <c r="X87" s="33">
        <f t="shared" si="58"/>
        <v>0</v>
      </c>
      <c r="Y87" s="11">
        <f t="shared" si="59"/>
        <v>10</v>
      </c>
      <c r="Z87" s="85">
        <v>45008</v>
      </c>
    </row>
    <row r="88" spans="1:27" x14ac:dyDescent="0.15">
      <c r="A88" s="15" t="s">
        <v>95</v>
      </c>
      <c r="B88" s="25">
        <v>1</v>
      </c>
      <c r="C88" s="45">
        <v>1</v>
      </c>
      <c r="D88" s="26">
        <v>1</v>
      </c>
      <c r="E88" s="32">
        <v>1</v>
      </c>
      <c r="F88" s="33">
        <f t="shared" ref="F88:F109" si="60">SUM(B88:E88)</f>
        <v>4</v>
      </c>
      <c r="G88" s="25">
        <v>1</v>
      </c>
      <c r="H88" s="45">
        <v>1</v>
      </c>
      <c r="I88" s="26">
        <v>1</v>
      </c>
      <c r="J88" s="32">
        <v>1</v>
      </c>
      <c r="K88" s="33">
        <f t="shared" ref="K88:K109" si="61">SUM(G88:J88)</f>
        <v>4</v>
      </c>
      <c r="L88" s="11">
        <f t="shared" si="50"/>
        <v>8</v>
      </c>
      <c r="M88" s="115">
        <v>45012</v>
      </c>
      <c r="N88" s="95" t="s">
        <v>94</v>
      </c>
      <c r="O88" s="25">
        <v>10</v>
      </c>
      <c r="P88" s="45"/>
      <c r="Q88" s="26">
        <v>15</v>
      </c>
      <c r="R88" s="32">
        <v>5</v>
      </c>
      <c r="S88" s="33">
        <f t="shared" ref="S88:S111" si="62">SUM(O88:R88)</f>
        <v>30</v>
      </c>
      <c r="T88" s="25"/>
      <c r="U88" s="45">
        <v>5</v>
      </c>
      <c r="V88" s="26">
        <v>5</v>
      </c>
      <c r="W88" s="32"/>
      <c r="X88" s="33">
        <f t="shared" ref="X88:X111" si="63">SUM(T88:W88)</f>
        <v>10</v>
      </c>
      <c r="Y88" s="11">
        <f t="shared" si="49"/>
        <v>40</v>
      </c>
      <c r="Z88" s="85">
        <v>45010</v>
      </c>
    </row>
    <row r="89" spans="1:27" x14ac:dyDescent="0.15">
      <c r="A89" s="12" t="s">
        <v>96</v>
      </c>
      <c r="B89" s="59">
        <v>1</v>
      </c>
      <c r="C89" s="60"/>
      <c r="D89" s="61"/>
      <c r="E89" s="62"/>
      <c r="F89" s="63">
        <f t="shared" si="60"/>
        <v>1</v>
      </c>
      <c r="G89" s="59"/>
      <c r="H89" s="60"/>
      <c r="I89" s="61"/>
      <c r="J89" s="62"/>
      <c r="K89" s="63">
        <f t="shared" si="61"/>
        <v>0</v>
      </c>
      <c r="L89" s="11">
        <f t="shared" si="50"/>
        <v>1</v>
      </c>
      <c r="M89" s="85">
        <v>45012</v>
      </c>
      <c r="N89" s="95" t="s">
        <v>97</v>
      </c>
      <c r="O89" s="25">
        <v>5</v>
      </c>
      <c r="P89" s="45"/>
      <c r="Q89" s="26"/>
      <c r="R89" s="32"/>
      <c r="S89" s="33">
        <f t="shared" si="62"/>
        <v>5</v>
      </c>
      <c r="T89" s="25">
        <v>5</v>
      </c>
      <c r="U89" s="45"/>
      <c r="V89" s="26"/>
      <c r="W89" s="32"/>
      <c r="X89" s="33">
        <f t="shared" si="63"/>
        <v>5</v>
      </c>
      <c r="Y89" s="11">
        <f t="shared" si="49"/>
        <v>10</v>
      </c>
      <c r="Z89" s="85">
        <v>45012</v>
      </c>
      <c r="AA89" s="51"/>
    </row>
    <row r="90" spans="1:27" x14ac:dyDescent="0.15">
      <c r="A90" s="70" t="s">
        <v>30</v>
      </c>
      <c r="B90" s="25"/>
      <c r="C90" s="45">
        <v>1</v>
      </c>
      <c r="D90" s="26"/>
      <c r="E90" s="32"/>
      <c r="F90" s="33">
        <f t="shared" si="60"/>
        <v>1</v>
      </c>
      <c r="G90" s="25"/>
      <c r="H90" s="45">
        <v>1</v>
      </c>
      <c r="I90" s="26"/>
      <c r="J90" s="32"/>
      <c r="K90" s="33">
        <f t="shared" si="61"/>
        <v>1</v>
      </c>
      <c r="L90" s="11">
        <f t="shared" si="50"/>
        <v>2</v>
      </c>
      <c r="M90" s="115">
        <v>45009</v>
      </c>
      <c r="N90" s="95" t="s">
        <v>101</v>
      </c>
      <c r="O90" s="25"/>
      <c r="P90" s="45"/>
      <c r="Q90" s="26"/>
      <c r="R90" s="32">
        <v>9</v>
      </c>
      <c r="S90" s="33">
        <f t="shared" si="62"/>
        <v>9</v>
      </c>
      <c r="T90" s="25"/>
      <c r="U90" s="45"/>
      <c r="V90" s="26"/>
      <c r="W90" s="32"/>
      <c r="X90" s="33">
        <f t="shared" si="63"/>
        <v>0</v>
      </c>
      <c r="Y90" s="11">
        <f t="shared" si="49"/>
        <v>9</v>
      </c>
      <c r="Z90" s="85">
        <v>45014</v>
      </c>
    </row>
    <row r="91" spans="1:27" x14ac:dyDescent="0.15">
      <c r="A91" s="12" t="s">
        <v>98</v>
      </c>
      <c r="B91" s="25"/>
      <c r="C91" s="45"/>
      <c r="D91" s="26"/>
      <c r="E91" s="32">
        <v>1</v>
      </c>
      <c r="F91" s="33">
        <f t="shared" si="60"/>
        <v>1</v>
      </c>
      <c r="G91" s="25"/>
      <c r="H91" s="45"/>
      <c r="I91" s="26"/>
      <c r="J91" s="32"/>
      <c r="K91" s="33">
        <f t="shared" si="61"/>
        <v>0</v>
      </c>
      <c r="L91" s="11">
        <f t="shared" si="50"/>
        <v>1</v>
      </c>
      <c r="M91" s="85">
        <v>45013</v>
      </c>
      <c r="N91" s="12" t="s">
        <v>100</v>
      </c>
      <c r="O91" s="25"/>
      <c r="P91" s="45"/>
      <c r="Q91" s="26"/>
      <c r="R91" s="32"/>
      <c r="S91" s="33">
        <f t="shared" si="62"/>
        <v>0</v>
      </c>
      <c r="T91" s="25"/>
      <c r="U91" s="45"/>
      <c r="V91" s="26">
        <v>1</v>
      </c>
      <c r="W91" s="32"/>
      <c r="X91" s="33">
        <f t="shared" si="63"/>
        <v>1</v>
      </c>
      <c r="Y91" s="11">
        <f t="shared" si="49"/>
        <v>1</v>
      </c>
      <c r="Z91" s="85">
        <v>45015</v>
      </c>
    </row>
    <row r="92" spans="1:27" x14ac:dyDescent="0.15">
      <c r="A92" s="70" t="s">
        <v>30</v>
      </c>
      <c r="B92" s="25"/>
      <c r="C92" s="45">
        <f>1+1</f>
        <v>2</v>
      </c>
      <c r="D92" s="26">
        <v>2</v>
      </c>
      <c r="E92" s="32"/>
      <c r="F92" s="33">
        <f t="shared" si="60"/>
        <v>4</v>
      </c>
      <c r="G92" s="25"/>
      <c r="H92" s="45">
        <v>2</v>
      </c>
      <c r="I92" s="26"/>
      <c r="J92" s="32"/>
      <c r="K92" s="33">
        <f t="shared" si="61"/>
        <v>2</v>
      </c>
      <c r="L92" s="11">
        <f t="shared" si="50"/>
        <v>6</v>
      </c>
      <c r="M92" s="115">
        <v>45012</v>
      </c>
      <c r="N92" s="12" t="s">
        <v>105</v>
      </c>
      <c r="O92" s="25"/>
      <c r="P92" s="45"/>
      <c r="Q92" s="26">
        <v>3</v>
      </c>
      <c r="R92" s="32"/>
      <c r="S92" s="33">
        <f t="shared" si="62"/>
        <v>3</v>
      </c>
      <c r="T92" s="25"/>
      <c r="U92" s="45"/>
      <c r="V92" s="26"/>
      <c r="W92" s="32"/>
      <c r="X92" s="33">
        <f t="shared" si="63"/>
        <v>0</v>
      </c>
      <c r="Y92" s="11">
        <f t="shared" si="49"/>
        <v>3</v>
      </c>
      <c r="Z92" s="85">
        <v>45023</v>
      </c>
    </row>
    <row r="93" spans="1:27" x14ac:dyDescent="0.15">
      <c r="A93" s="12" t="s">
        <v>99</v>
      </c>
      <c r="B93" s="25">
        <v>1</v>
      </c>
      <c r="C93" s="45"/>
      <c r="D93" s="26"/>
      <c r="E93" s="32"/>
      <c r="F93" s="33">
        <f t="shared" si="60"/>
        <v>1</v>
      </c>
      <c r="G93" s="25">
        <v>1</v>
      </c>
      <c r="H93" s="45"/>
      <c r="I93" s="26"/>
      <c r="J93" s="32"/>
      <c r="K93" s="33">
        <f t="shared" si="61"/>
        <v>1</v>
      </c>
      <c r="L93" s="11">
        <f t="shared" si="50"/>
        <v>2</v>
      </c>
      <c r="M93" s="85">
        <v>45014</v>
      </c>
      <c r="N93" s="95" t="s">
        <v>106</v>
      </c>
      <c r="O93" s="25"/>
      <c r="P93" s="45"/>
      <c r="Q93" s="26">
        <v>20</v>
      </c>
      <c r="R93" s="32"/>
      <c r="S93" s="33">
        <f t="shared" si="62"/>
        <v>20</v>
      </c>
      <c r="T93" s="25"/>
      <c r="U93" s="45"/>
      <c r="V93" s="26"/>
      <c r="W93" s="32"/>
      <c r="X93" s="33">
        <f t="shared" si="63"/>
        <v>0</v>
      </c>
      <c r="Y93" s="11">
        <f t="shared" si="49"/>
        <v>20</v>
      </c>
      <c r="Z93" s="85">
        <v>45033</v>
      </c>
    </row>
    <row r="94" spans="1:27" x14ac:dyDescent="0.15">
      <c r="A94" s="70" t="s">
        <v>30</v>
      </c>
      <c r="B94" s="25"/>
      <c r="C94" s="45"/>
      <c r="D94" s="26"/>
      <c r="E94" s="32"/>
      <c r="F94" s="33">
        <f t="shared" si="60"/>
        <v>0</v>
      </c>
      <c r="G94" s="25"/>
      <c r="H94" s="45"/>
      <c r="I94" s="26"/>
      <c r="J94" s="32">
        <v>2</v>
      </c>
      <c r="K94" s="33">
        <f t="shared" si="61"/>
        <v>2</v>
      </c>
      <c r="L94" s="11">
        <f t="shared" si="50"/>
        <v>2</v>
      </c>
      <c r="M94" s="115">
        <v>45015</v>
      </c>
      <c r="N94" s="12" t="s">
        <v>107</v>
      </c>
      <c r="O94" s="25">
        <v>8</v>
      </c>
      <c r="P94" s="45"/>
      <c r="Q94" s="26">
        <v>4</v>
      </c>
      <c r="R94" s="32"/>
      <c r="S94" s="33">
        <f t="shared" si="62"/>
        <v>12</v>
      </c>
      <c r="T94" s="25">
        <v>4</v>
      </c>
      <c r="U94" s="45">
        <v>4</v>
      </c>
      <c r="V94" s="26"/>
      <c r="W94" s="32"/>
      <c r="X94" s="33">
        <f t="shared" si="63"/>
        <v>8</v>
      </c>
      <c r="Y94" s="11">
        <f t="shared" si="49"/>
        <v>20</v>
      </c>
      <c r="Z94" s="85">
        <v>45033</v>
      </c>
    </row>
    <row r="95" spans="1:27" x14ac:dyDescent="0.15">
      <c r="A95" s="12" t="s">
        <v>102</v>
      </c>
      <c r="B95" s="25"/>
      <c r="C95" s="45"/>
      <c r="D95" s="26"/>
      <c r="E95" s="32"/>
      <c r="F95" s="33">
        <f t="shared" si="60"/>
        <v>0</v>
      </c>
      <c r="G95" s="25"/>
      <c r="H95" s="45"/>
      <c r="I95" s="26"/>
      <c r="J95" s="32">
        <v>1</v>
      </c>
      <c r="K95" s="33">
        <f t="shared" si="61"/>
        <v>1</v>
      </c>
      <c r="L95" s="11">
        <f t="shared" si="50"/>
        <v>1</v>
      </c>
      <c r="M95" s="85">
        <v>45019</v>
      </c>
      <c r="N95" s="12" t="s">
        <v>109</v>
      </c>
      <c r="O95" s="25">
        <v>8</v>
      </c>
      <c r="P95" s="45">
        <v>6</v>
      </c>
      <c r="Q95" s="26">
        <v>4</v>
      </c>
      <c r="R95" s="32">
        <v>3</v>
      </c>
      <c r="S95" s="33">
        <f t="shared" si="62"/>
        <v>21</v>
      </c>
      <c r="T95" s="25">
        <v>9</v>
      </c>
      <c r="U95" s="45">
        <v>5</v>
      </c>
      <c r="V95" s="26">
        <v>4</v>
      </c>
      <c r="W95" s="32">
        <v>4</v>
      </c>
      <c r="X95" s="33">
        <f t="shared" si="63"/>
        <v>22</v>
      </c>
      <c r="Y95" s="11">
        <f t="shared" si="49"/>
        <v>43</v>
      </c>
      <c r="Z95" s="85">
        <v>45023</v>
      </c>
    </row>
    <row r="96" spans="1:27" x14ac:dyDescent="0.15">
      <c r="A96" s="70" t="s">
        <v>30</v>
      </c>
      <c r="B96" s="25"/>
      <c r="C96" s="45"/>
      <c r="D96" s="26">
        <v>1</v>
      </c>
      <c r="E96" s="32"/>
      <c r="F96" s="33">
        <f t="shared" si="60"/>
        <v>1</v>
      </c>
      <c r="G96" s="25"/>
      <c r="H96" s="45"/>
      <c r="I96" s="26"/>
      <c r="J96" s="32"/>
      <c r="K96" s="33">
        <f t="shared" si="61"/>
        <v>0</v>
      </c>
      <c r="L96" s="11">
        <f t="shared" si="50"/>
        <v>1</v>
      </c>
      <c r="M96" s="115">
        <v>45016</v>
      </c>
      <c r="N96" s="95" t="s">
        <v>111</v>
      </c>
      <c r="O96" s="25"/>
      <c r="P96" s="45"/>
      <c r="Q96" s="26"/>
      <c r="R96" s="32"/>
      <c r="S96" s="33">
        <f t="shared" si="62"/>
        <v>0</v>
      </c>
      <c r="T96" s="25"/>
      <c r="U96" s="45"/>
      <c r="V96" s="26"/>
      <c r="W96" s="32">
        <v>10</v>
      </c>
      <c r="X96" s="33">
        <f t="shared" si="63"/>
        <v>10</v>
      </c>
      <c r="Y96" s="11">
        <f t="shared" si="49"/>
        <v>10</v>
      </c>
      <c r="Z96" s="85">
        <v>45028</v>
      </c>
    </row>
    <row r="97" spans="1:26" x14ac:dyDescent="0.15">
      <c r="A97" s="15" t="s">
        <v>103</v>
      </c>
      <c r="B97" s="25"/>
      <c r="C97" s="45"/>
      <c r="D97" s="26"/>
      <c r="E97" s="32">
        <v>9</v>
      </c>
      <c r="F97" s="33">
        <f t="shared" si="60"/>
        <v>9</v>
      </c>
      <c r="G97" s="25"/>
      <c r="H97" s="45"/>
      <c r="I97" s="26"/>
      <c r="J97" s="32">
        <v>11</v>
      </c>
      <c r="K97" s="33">
        <f t="shared" si="61"/>
        <v>11</v>
      </c>
      <c r="L97" s="11">
        <f t="shared" si="50"/>
        <v>20</v>
      </c>
      <c r="M97" s="115">
        <v>45017</v>
      </c>
      <c r="N97" s="12" t="s">
        <v>112</v>
      </c>
      <c r="O97" s="25"/>
      <c r="P97" s="45">
        <v>5</v>
      </c>
      <c r="Q97" s="26"/>
      <c r="R97" s="32"/>
      <c r="S97" s="33">
        <f t="shared" si="62"/>
        <v>5</v>
      </c>
      <c r="T97" s="25"/>
      <c r="U97" s="45">
        <v>5</v>
      </c>
      <c r="V97" s="26"/>
      <c r="W97" s="32"/>
      <c r="X97" s="33">
        <f t="shared" si="63"/>
        <v>5</v>
      </c>
      <c r="Y97" s="11">
        <f t="shared" si="49"/>
        <v>10</v>
      </c>
      <c r="Z97" s="85">
        <v>45028</v>
      </c>
    </row>
    <row r="98" spans="1:26" x14ac:dyDescent="0.15">
      <c r="A98" s="12" t="s">
        <v>104</v>
      </c>
      <c r="B98" s="25">
        <v>1</v>
      </c>
      <c r="C98" s="45"/>
      <c r="D98" s="26"/>
      <c r="E98" s="32"/>
      <c r="F98" s="33">
        <f t="shared" si="60"/>
        <v>1</v>
      </c>
      <c r="G98" s="25">
        <v>1</v>
      </c>
      <c r="H98" s="45"/>
      <c r="I98" s="26"/>
      <c r="J98" s="32"/>
      <c r="K98" s="33">
        <f t="shared" si="61"/>
        <v>1</v>
      </c>
      <c r="L98" s="11">
        <f t="shared" si="50"/>
        <v>2</v>
      </c>
      <c r="M98" s="85">
        <v>45020</v>
      </c>
      <c r="N98" s="12" t="s">
        <v>114</v>
      </c>
      <c r="O98" s="25"/>
      <c r="P98" s="45">
        <v>5</v>
      </c>
      <c r="Q98" s="26"/>
      <c r="R98" s="32">
        <v>5</v>
      </c>
      <c r="S98" s="33">
        <f t="shared" si="62"/>
        <v>10</v>
      </c>
      <c r="T98" s="25"/>
      <c r="U98" s="45"/>
      <c r="V98" s="26">
        <v>5</v>
      </c>
      <c r="W98" s="32"/>
      <c r="X98" s="33">
        <f t="shared" si="63"/>
        <v>5</v>
      </c>
      <c r="Y98" s="11">
        <f t="shared" si="49"/>
        <v>15</v>
      </c>
      <c r="Z98" s="85">
        <v>45030</v>
      </c>
    </row>
    <row r="99" spans="1:26" x14ac:dyDescent="0.15">
      <c r="A99" s="70" t="s">
        <v>108</v>
      </c>
      <c r="B99" s="25"/>
      <c r="C99" s="45"/>
      <c r="D99" s="26"/>
      <c r="E99" s="32"/>
      <c r="F99" s="33">
        <f t="shared" si="60"/>
        <v>0</v>
      </c>
      <c r="G99" s="25"/>
      <c r="H99" s="45">
        <v>1</v>
      </c>
      <c r="I99" s="26"/>
      <c r="J99" s="32"/>
      <c r="K99" s="33">
        <f t="shared" si="61"/>
        <v>1</v>
      </c>
      <c r="L99" s="11">
        <f t="shared" si="50"/>
        <v>1</v>
      </c>
      <c r="M99" s="115">
        <v>45021</v>
      </c>
      <c r="N99" s="12" t="s">
        <v>116</v>
      </c>
      <c r="O99" s="25"/>
      <c r="P99" s="45"/>
      <c r="Q99" s="26"/>
      <c r="R99" s="32"/>
      <c r="S99" s="33">
        <f t="shared" si="62"/>
        <v>0</v>
      </c>
      <c r="T99" s="25"/>
      <c r="U99" s="45"/>
      <c r="V99" s="26">
        <v>9</v>
      </c>
      <c r="W99" s="32"/>
      <c r="X99" s="33">
        <f t="shared" si="63"/>
        <v>9</v>
      </c>
      <c r="Y99" s="11">
        <f t="shared" si="49"/>
        <v>9</v>
      </c>
      <c r="Z99" s="85">
        <v>45029</v>
      </c>
    </row>
    <row r="100" spans="1:26" x14ac:dyDescent="0.15">
      <c r="A100" s="70" t="s">
        <v>30</v>
      </c>
      <c r="B100" s="25"/>
      <c r="C100" s="45">
        <v>1</v>
      </c>
      <c r="D100" s="26">
        <v>1</v>
      </c>
      <c r="E100" s="32"/>
      <c r="F100" s="33">
        <f t="shared" si="60"/>
        <v>2</v>
      </c>
      <c r="G100" s="25"/>
      <c r="H100" s="45"/>
      <c r="I100" s="26"/>
      <c r="J100" s="32"/>
      <c r="K100" s="33">
        <f t="shared" si="61"/>
        <v>0</v>
      </c>
      <c r="L100" s="11">
        <f t="shared" si="50"/>
        <v>2</v>
      </c>
      <c r="M100" s="115">
        <v>45026</v>
      </c>
      <c r="N100" s="13" t="s">
        <v>117</v>
      </c>
      <c r="O100" s="25"/>
      <c r="P100" s="45"/>
      <c r="Q100" s="26"/>
      <c r="R100" s="32"/>
      <c r="S100" s="33">
        <f t="shared" si="62"/>
        <v>0</v>
      </c>
      <c r="T100" s="25"/>
      <c r="U100" s="45"/>
      <c r="V100" s="26"/>
      <c r="W100" s="32">
        <v>5</v>
      </c>
      <c r="X100" s="33">
        <f t="shared" si="63"/>
        <v>5</v>
      </c>
      <c r="Y100" s="11">
        <f t="shared" si="49"/>
        <v>5</v>
      </c>
      <c r="Z100" s="85">
        <v>45034</v>
      </c>
    </row>
    <row r="101" spans="1:26" x14ac:dyDescent="0.15">
      <c r="A101" s="70" t="s">
        <v>30</v>
      </c>
      <c r="B101" s="25"/>
      <c r="C101" s="45">
        <v>1</v>
      </c>
      <c r="D101" s="26">
        <v>1</v>
      </c>
      <c r="E101" s="32"/>
      <c r="F101" s="33">
        <f t="shared" si="60"/>
        <v>2</v>
      </c>
      <c r="G101" s="25"/>
      <c r="H101" s="45"/>
      <c r="I101" s="26"/>
      <c r="J101" s="32"/>
      <c r="K101" s="33">
        <f t="shared" si="61"/>
        <v>0</v>
      </c>
      <c r="L101" s="11">
        <f t="shared" si="50"/>
        <v>2</v>
      </c>
      <c r="M101" s="115">
        <v>45027</v>
      </c>
      <c r="N101" s="95" t="s">
        <v>118</v>
      </c>
      <c r="O101" s="25">
        <v>32</v>
      </c>
      <c r="P101" s="45"/>
      <c r="Q101" s="26"/>
      <c r="R101" s="32"/>
      <c r="S101" s="33">
        <f t="shared" si="62"/>
        <v>32</v>
      </c>
      <c r="T101" s="25"/>
      <c r="U101" s="45"/>
      <c r="V101" s="26"/>
      <c r="W101" s="32"/>
      <c r="X101" s="33">
        <f t="shared" si="63"/>
        <v>0</v>
      </c>
      <c r="Y101" s="11">
        <f t="shared" si="49"/>
        <v>32</v>
      </c>
      <c r="Z101" s="85">
        <v>45040</v>
      </c>
    </row>
    <row r="102" spans="1:26" x14ac:dyDescent="0.15">
      <c r="A102" s="70" t="s">
        <v>30</v>
      </c>
      <c r="B102" s="25"/>
      <c r="C102" s="45">
        <v>2</v>
      </c>
      <c r="D102" s="26"/>
      <c r="E102" s="32"/>
      <c r="F102" s="33">
        <f t="shared" si="60"/>
        <v>2</v>
      </c>
      <c r="G102" s="25"/>
      <c r="H102" s="45"/>
      <c r="I102" s="26"/>
      <c r="J102" s="32"/>
      <c r="K102" s="33">
        <f t="shared" si="61"/>
        <v>0</v>
      </c>
      <c r="L102" s="11">
        <f t="shared" si="50"/>
        <v>2</v>
      </c>
      <c r="M102" s="115">
        <v>45028</v>
      </c>
      <c r="N102" s="12" t="s">
        <v>119</v>
      </c>
      <c r="O102" s="25"/>
      <c r="P102" s="45">
        <v>12</v>
      </c>
      <c r="Q102" s="26"/>
      <c r="R102" s="32"/>
      <c r="S102" s="33">
        <f t="shared" si="62"/>
        <v>12</v>
      </c>
      <c r="T102" s="25"/>
      <c r="U102" s="45"/>
      <c r="V102" s="26"/>
      <c r="W102" s="32"/>
      <c r="X102" s="33">
        <f t="shared" si="63"/>
        <v>0</v>
      </c>
      <c r="Y102" s="11">
        <f t="shared" si="49"/>
        <v>12</v>
      </c>
      <c r="Z102" s="85">
        <v>45040</v>
      </c>
    </row>
    <row r="103" spans="1:26" x14ac:dyDescent="0.15">
      <c r="A103" s="70" t="s">
        <v>30</v>
      </c>
      <c r="B103" s="25"/>
      <c r="C103" s="45"/>
      <c r="D103" s="26"/>
      <c r="E103" s="32"/>
      <c r="F103" s="33">
        <f t="shared" si="60"/>
        <v>0</v>
      </c>
      <c r="G103" s="25"/>
      <c r="H103" s="45"/>
      <c r="I103" s="26">
        <v>1</v>
      </c>
      <c r="J103" s="32"/>
      <c r="K103" s="33">
        <f t="shared" si="61"/>
        <v>1</v>
      </c>
      <c r="L103" s="11">
        <f t="shared" si="50"/>
        <v>1</v>
      </c>
      <c r="M103" s="115">
        <v>45031</v>
      </c>
      <c r="N103" s="12" t="s">
        <v>120</v>
      </c>
      <c r="O103" s="25"/>
      <c r="P103" s="45">
        <v>2</v>
      </c>
      <c r="Q103" s="26"/>
      <c r="R103" s="32"/>
      <c r="S103" s="33">
        <f t="shared" si="62"/>
        <v>2</v>
      </c>
      <c r="T103" s="25"/>
      <c r="U103" s="45">
        <v>5</v>
      </c>
      <c r="V103" s="26"/>
      <c r="W103" s="32"/>
      <c r="X103" s="33">
        <f t="shared" si="63"/>
        <v>5</v>
      </c>
      <c r="Y103" s="11">
        <f t="shared" si="49"/>
        <v>7</v>
      </c>
      <c r="Z103" s="85">
        <v>45033</v>
      </c>
    </row>
    <row r="104" spans="1:26" x14ac:dyDescent="0.15">
      <c r="A104" s="12" t="s">
        <v>121</v>
      </c>
      <c r="B104" s="25"/>
      <c r="C104" s="45">
        <v>1</v>
      </c>
      <c r="D104" s="26"/>
      <c r="E104" s="32">
        <v>1</v>
      </c>
      <c r="F104" s="33">
        <f t="shared" si="60"/>
        <v>2</v>
      </c>
      <c r="G104" s="25"/>
      <c r="H104" s="45">
        <v>1</v>
      </c>
      <c r="I104" s="26"/>
      <c r="J104" s="32"/>
      <c r="K104" s="33">
        <f t="shared" si="61"/>
        <v>1</v>
      </c>
      <c r="L104" s="11">
        <f t="shared" si="50"/>
        <v>3</v>
      </c>
      <c r="M104" s="85">
        <v>45034</v>
      </c>
      <c r="N104" s="50" t="s">
        <v>28</v>
      </c>
      <c r="O104" s="25">
        <v>5</v>
      </c>
      <c r="P104" s="45">
        <v>5</v>
      </c>
      <c r="Q104" s="26"/>
      <c r="R104" s="32"/>
      <c r="S104" s="33">
        <f>SUM(O104:R104)</f>
        <v>10</v>
      </c>
      <c r="T104" s="25"/>
      <c r="U104" s="45"/>
      <c r="V104" s="26"/>
      <c r="W104" s="32">
        <v>3</v>
      </c>
      <c r="X104" s="33">
        <f>SUM(T104:W104)</f>
        <v>3</v>
      </c>
      <c r="Y104" s="11">
        <f t="shared" si="49"/>
        <v>13</v>
      </c>
      <c r="Z104" s="85">
        <v>45031</v>
      </c>
    </row>
    <row r="105" spans="1:26" x14ac:dyDescent="0.15">
      <c r="A105" s="70" t="s">
        <v>108</v>
      </c>
      <c r="B105" s="25"/>
      <c r="C105" s="45">
        <v>1</v>
      </c>
      <c r="D105" s="26"/>
      <c r="E105" s="32"/>
      <c r="F105" s="33">
        <f t="shared" si="60"/>
        <v>1</v>
      </c>
      <c r="G105" s="25"/>
      <c r="H105" s="45"/>
      <c r="I105" s="26"/>
      <c r="J105" s="32"/>
      <c r="K105" s="33">
        <f t="shared" si="61"/>
        <v>0</v>
      </c>
      <c r="L105" s="11">
        <f t="shared" si="50"/>
        <v>1</v>
      </c>
      <c r="M105" s="85">
        <v>45034</v>
      </c>
      <c r="N105" s="95" t="s">
        <v>122</v>
      </c>
      <c r="O105" s="25"/>
      <c r="P105" s="45">
        <v>10</v>
      </c>
      <c r="Q105" s="26"/>
      <c r="R105" s="32"/>
      <c r="S105" s="33">
        <f t="shared" si="62"/>
        <v>10</v>
      </c>
      <c r="T105" s="25"/>
      <c r="U105" s="45"/>
      <c r="V105" s="26">
        <v>10</v>
      </c>
      <c r="W105" s="32"/>
      <c r="X105" s="33">
        <f t="shared" si="63"/>
        <v>10</v>
      </c>
      <c r="Y105" s="93">
        <f t="shared" si="49"/>
        <v>20</v>
      </c>
      <c r="Z105" s="85">
        <v>45035</v>
      </c>
    </row>
    <row r="106" spans="1:26" x14ac:dyDescent="0.15">
      <c r="A106" s="70" t="s">
        <v>30</v>
      </c>
      <c r="B106" s="25"/>
      <c r="C106" s="45"/>
      <c r="D106" s="26"/>
      <c r="E106" s="32"/>
      <c r="F106" s="33">
        <f t="shared" si="60"/>
        <v>0</v>
      </c>
      <c r="G106" s="25">
        <v>1</v>
      </c>
      <c r="H106" s="45"/>
      <c r="I106" s="26"/>
      <c r="J106" s="32"/>
      <c r="K106" s="33">
        <f t="shared" si="61"/>
        <v>1</v>
      </c>
      <c r="L106" s="11">
        <f t="shared" si="50"/>
        <v>1</v>
      </c>
      <c r="M106" s="115">
        <v>45033</v>
      </c>
      <c r="N106" s="12" t="s">
        <v>123</v>
      </c>
      <c r="O106" s="25"/>
      <c r="P106" s="45"/>
      <c r="Q106" s="26">
        <v>5</v>
      </c>
      <c r="R106" s="32"/>
      <c r="S106" s="33">
        <f t="shared" si="62"/>
        <v>5</v>
      </c>
      <c r="T106" s="25"/>
      <c r="U106" s="45"/>
      <c r="V106" s="26">
        <v>5</v>
      </c>
      <c r="W106" s="32"/>
      <c r="X106" s="33">
        <f t="shared" si="63"/>
        <v>5</v>
      </c>
      <c r="Y106" s="93">
        <f t="shared" si="49"/>
        <v>10</v>
      </c>
      <c r="Z106" s="85">
        <v>45035</v>
      </c>
    </row>
    <row r="107" spans="1:26" x14ac:dyDescent="0.15">
      <c r="A107" s="70"/>
      <c r="B107" s="25"/>
      <c r="C107" s="45"/>
      <c r="D107" s="26"/>
      <c r="E107" s="32"/>
      <c r="F107" s="33">
        <f t="shared" si="60"/>
        <v>0</v>
      </c>
      <c r="G107" s="25"/>
      <c r="H107" s="45"/>
      <c r="I107" s="26"/>
      <c r="J107" s="32"/>
      <c r="K107" s="33">
        <f t="shared" si="61"/>
        <v>0</v>
      </c>
      <c r="L107" s="11">
        <f t="shared" si="50"/>
        <v>0</v>
      </c>
      <c r="N107" s="50" t="s">
        <v>46</v>
      </c>
      <c r="O107" s="59"/>
      <c r="P107" s="60"/>
      <c r="Q107" s="61"/>
      <c r="R107" s="62"/>
      <c r="S107" s="63">
        <f t="shared" si="62"/>
        <v>0</v>
      </c>
      <c r="T107" s="59"/>
      <c r="U107" s="60"/>
      <c r="V107" s="61"/>
      <c r="W107" s="62"/>
      <c r="X107" s="63">
        <f t="shared" si="63"/>
        <v>0</v>
      </c>
      <c r="Y107" s="11">
        <f t="shared" si="49"/>
        <v>0</v>
      </c>
      <c r="Z107" s="159" t="s">
        <v>47</v>
      </c>
    </row>
    <row r="108" spans="1:26" x14ac:dyDescent="0.15">
      <c r="A108" s="70"/>
      <c r="B108" s="25"/>
      <c r="C108" s="45"/>
      <c r="D108" s="26"/>
      <c r="E108" s="32"/>
      <c r="F108" s="33">
        <f t="shared" si="60"/>
        <v>0</v>
      </c>
      <c r="G108" s="25"/>
      <c r="H108" s="45"/>
      <c r="I108" s="26"/>
      <c r="J108" s="32"/>
      <c r="K108" s="33">
        <f t="shared" si="61"/>
        <v>0</v>
      </c>
      <c r="L108" s="11">
        <f t="shared" si="50"/>
        <v>0</v>
      </c>
      <c r="N108" s="50" t="s">
        <v>57</v>
      </c>
      <c r="O108" s="59"/>
      <c r="P108" s="60"/>
      <c r="Q108" s="61"/>
      <c r="R108" s="62"/>
      <c r="S108" s="63">
        <f t="shared" ref="S108:S110" si="64">SUM(O108:R108)</f>
        <v>0</v>
      </c>
      <c r="T108" s="59"/>
      <c r="U108" s="60"/>
      <c r="V108" s="61"/>
      <c r="W108" s="62"/>
      <c r="X108" s="63">
        <f t="shared" ref="X108:X110" si="65">SUM(T108:W108)</f>
        <v>0</v>
      </c>
      <c r="Y108" s="11">
        <f t="shared" ref="Y108:Y110" si="66">S108+X108</f>
        <v>0</v>
      </c>
      <c r="Z108" s="159" t="s">
        <v>58</v>
      </c>
    </row>
    <row r="109" spans="1:26" x14ac:dyDescent="0.15">
      <c r="A109" s="70"/>
      <c r="B109" s="25"/>
      <c r="C109" s="45"/>
      <c r="D109" s="26"/>
      <c r="E109" s="32"/>
      <c r="F109" s="33">
        <f t="shared" si="60"/>
        <v>0</v>
      </c>
      <c r="G109" s="25"/>
      <c r="H109" s="45"/>
      <c r="I109" s="26"/>
      <c r="J109" s="32"/>
      <c r="K109" s="33">
        <f t="shared" si="61"/>
        <v>0</v>
      </c>
      <c r="L109" s="11">
        <f t="shared" si="50"/>
        <v>0</v>
      </c>
      <c r="N109" s="12" t="s">
        <v>51</v>
      </c>
      <c r="O109" s="25"/>
      <c r="P109" s="45"/>
      <c r="Q109" s="26"/>
      <c r="R109" s="32"/>
      <c r="S109" s="63">
        <f t="shared" si="64"/>
        <v>0</v>
      </c>
      <c r="T109" s="25"/>
      <c r="U109" s="45"/>
      <c r="V109" s="26"/>
      <c r="W109" s="32"/>
      <c r="X109" s="63">
        <f t="shared" si="65"/>
        <v>0</v>
      </c>
      <c r="Y109" s="11">
        <f t="shared" si="66"/>
        <v>0</v>
      </c>
      <c r="Z109" s="159" t="s">
        <v>20</v>
      </c>
    </row>
    <row r="110" spans="1:26" ht="14.25" thickBot="1" x14ac:dyDescent="0.2">
      <c r="A110" s="108"/>
      <c r="B110" s="55"/>
      <c r="C110" s="56"/>
      <c r="D110" s="57"/>
      <c r="E110" s="58"/>
      <c r="F110" s="109">
        <f t="shared" ref="F110" si="67">SUM(B110:E110)</f>
        <v>0</v>
      </c>
      <c r="G110" s="55"/>
      <c r="H110" s="56"/>
      <c r="I110" s="57"/>
      <c r="J110" s="58"/>
      <c r="K110" s="109">
        <f t="shared" ref="K110" si="68">SUM(G110:J110)</f>
        <v>0</v>
      </c>
      <c r="L110" s="107">
        <f t="shared" ref="L110" si="69">F110+K110</f>
        <v>0</v>
      </c>
      <c r="N110" s="74" t="s">
        <v>52</v>
      </c>
      <c r="O110" s="55"/>
      <c r="P110" s="56"/>
      <c r="Q110" s="57"/>
      <c r="R110" s="58"/>
      <c r="S110" s="109">
        <f t="shared" si="64"/>
        <v>0</v>
      </c>
      <c r="T110" s="55"/>
      <c r="U110" s="56"/>
      <c r="V110" s="57"/>
      <c r="W110" s="58"/>
      <c r="X110" s="109">
        <f t="shared" si="65"/>
        <v>0</v>
      </c>
      <c r="Y110" s="107">
        <f t="shared" si="66"/>
        <v>0</v>
      </c>
      <c r="Z110" s="159" t="s">
        <v>20</v>
      </c>
    </row>
    <row r="111" spans="1:26" ht="14.25" thickBot="1" x14ac:dyDescent="0.2">
      <c r="A111" s="72" t="s">
        <v>10</v>
      </c>
      <c r="B111" s="36">
        <f>SUM(B86:B110)</f>
        <v>4</v>
      </c>
      <c r="C111" s="46">
        <f>SUM(C86:C110)</f>
        <v>11</v>
      </c>
      <c r="D111" s="37">
        <f>SUM(D86:D110)</f>
        <v>6</v>
      </c>
      <c r="E111" s="38">
        <f>SUM(E86:E110)</f>
        <v>12</v>
      </c>
      <c r="F111" s="71">
        <f>SUM(B111:E111)</f>
        <v>33</v>
      </c>
      <c r="G111" s="36">
        <f>SUM(G86:G110)</f>
        <v>5</v>
      </c>
      <c r="H111" s="46">
        <f>SUM(H86:H110)</f>
        <v>8</v>
      </c>
      <c r="I111" s="37">
        <f>SUM(I86:I110)</f>
        <v>2</v>
      </c>
      <c r="J111" s="38">
        <f>SUM(J86:J110)</f>
        <v>15</v>
      </c>
      <c r="K111" s="71">
        <f>SUM(G111:J111)</f>
        <v>30</v>
      </c>
      <c r="L111" s="75">
        <f t="shared" si="50"/>
        <v>63</v>
      </c>
      <c r="N111" s="72" t="s">
        <v>10</v>
      </c>
      <c r="O111" s="36">
        <f>SUM(O86:O110)</f>
        <v>73</v>
      </c>
      <c r="P111" s="46">
        <f>SUM(P86:P110)</f>
        <v>85</v>
      </c>
      <c r="Q111" s="37">
        <f>SUM(Q86:Q110)</f>
        <v>66</v>
      </c>
      <c r="R111" s="38">
        <f>SUM(R86:R110)</f>
        <v>32</v>
      </c>
      <c r="S111" s="71">
        <f t="shared" si="62"/>
        <v>256</v>
      </c>
      <c r="T111" s="36">
        <f>SUM(T86:T110)</f>
        <v>18</v>
      </c>
      <c r="U111" s="46">
        <f>SUM(U86:U110)</f>
        <v>24</v>
      </c>
      <c r="V111" s="37">
        <f>SUM(V86:V110)</f>
        <v>39</v>
      </c>
      <c r="W111" s="38">
        <f>SUM(W86:W110)</f>
        <v>22</v>
      </c>
      <c r="X111" s="71">
        <f t="shared" si="63"/>
        <v>103</v>
      </c>
      <c r="Y111" s="75">
        <f t="shared" si="49"/>
        <v>359</v>
      </c>
    </row>
    <row r="112" spans="1:26" ht="14.25" thickBot="1" x14ac:dyDescent="0.2">
      <c r="A112" s="21" t="s">
        <v>11</v>
      </c>
      <c r="B112" s="39">
        <f t="shared" ref="B112:K112" si="70">B85-B111</f>
        <v>5</v>
      </c>
      <c r="C112" s="47">
        <f t="shared" si="70"/>
        <v>3</v>
      </c>
      <c r="D112" s="40">
        <f t="shared" si="70"/>
        <v>4</v>
      </c>
      <c r="E112" s="41">
        <f t="shared" si="70"/>
        <v>4</v>
      </c>
      <c r="F112" s="54">
        <f t="shared" si="70"/>
        <v>16</v>
      </c>
      <c r="G112" s="39">
        <f t="shared" si="70"/>
        <v>4</v>
      </c>
      <c r="H112" s="47">
        <f t="shared" si="70"/>
        <v>7</v>
      </c>
      <c r="I112" s="40">
        <f t="shared" si="70"/>
        <v>4</v>
      </c>
      <c r="J112" s="41">
        <f t="shared" si="70"/>
        <v>5</v>
      </c>
      <c r="K112" s="54">
        <f t="shared" si="70"/>
        <v>20</v>
      </c>
      <c r="L112" s="20">
        <f t="shared" si="50"/>
        <v>36</v>
      </c>
      <c r="N112" s="16" t="s">
        <v>11</v>
      </c>
      <c r="O112" s="39">
        <f t="shared" ref="O112:X112" si="71">O85-O111</f>
        <v>185</v>
      </c>
      <c r="P112" s="47">
        <f t="shared" si="71"/>
        <v>96</v>
      </c>
      <c r="Q112" s="40">
        <f t="shared" si="71"/>
        <v>44</v>
      </c>
      <c r="R112" s="41">
        <f t="shared" si="71"/>
        <v>52</v>
      </c>
      <c r="S112" s="54">
        <f t="shared" si="71"/>
        <v>377</v>
      </c>
      <c r="T112" s="39">
        <f t="shared" si="71"/>
        <v>292</v>
      </c>
      <c r="U112" s="47">
        <f t="shared" si="71"/>
        <v>233</v>
      </c>
      <c r="V112" s="40">
        <f t="shared" si="71"/>
        <v>105</v>
      </c>
      <c r="W112" s="41">
        <f t="shared" si="71"/>
        <v>61</v>
      </c>
      <c r="X112" s="54">
        <f t="shared" si="71"/>
        <v>691</v>
      </c>
      <c r="Y112" s="20">
        <f t="shared" si="49"/>
        <v>1068</v>
      </c>
    </row>
    <row r="115" spans="1:27" ht="19.5" thickBot="1" x14ac:dyDescent="0.25">
      <c r="A115" s="2" t="s">
        <v>26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27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7" ht="14.25" thickBot="1" x14ac:dyDescent="0.2">
      <c r="A116" s="5" t="s">
        <v>0</v>
      </c>
      <c r="B116" s="228" t="s">
        <v>19</v>
      </c>
      <c r="C116" s="229"/>
      <c r="D116" s="229"/>
      <c r="E116" s="229"/>
      <c r="F116" s="230"/>
      <c r="G116" s="231" t="s">
        <v>18</v>
      </c>
      <c r="H116" s="232"/>
      <c r="I116" s="232"/>
      <c r="J116" s="232"/>
      <c r="K116" s="233"/>
      <c r="L116" s="234" t="s">
        <v>1</v>
      </c>
      <c r="N116" s="5" t="s">
        <v>0</v>
      </c>
      <c r="O116" s="228" t="s">
        <v>19</v>
      </c>
      <c r="P116" s="229"/>
      <c r="Q116" s="229"/>
      <c r="R116" s="229"/>
      <c r="S116" s="230"/>
      <c r="T116" s="231" t="s">
        <v>18</v>
      </c>
      <c r="U116" s="232"/>
      <c r="V116" s="232"/>
      <c r="W116" s="232"/>
      <c r="X116" s="233"/>
      <c r="Y116" s="73" t="s">
        <v>1</v>
      </c>
    </row>
    <row r="117" spans="1:27" ht="14.25" thickBot="1" x14ac:dyDescent="0.2">
      <c r="A117" s="5" t="s">
        <v>2</v>
      </c>
      <c r="B117" s="3" t="s">
        <v>12</v>
      </c>
      <c r="C117" s="42" t="s">
        <v>13</v>
      </c>
      <c r="D117" s="4" t="s">
        <v>14</v>
      </c>
      <c r="E117" s="22" t="s">
        <v>15</v>
      </c>
      <c r="F117" s="30" t="s">
        <v>3</v>
      </c>
      <c r="G117" s="3" t="s">
        <v>12</v>
      </c>
      <c r="H117" s="42" t="s">
        <v>13</v>
      </c>
      <c r="I117" s="4" t="s">
        <v>14</v>
      </c>
      <c r="J117" s="22" t="s">
        <v>15</v>
      </c>
      <c r="K117" s="30" t="s">
        <v>3</v>
      </c>
      <c r="L117" s="235"/>
      <c r="N117" s="5" t="s">
        <v>2</v>
      </c>
      <c r="O117" s="64" t="s">
        <v>12</v>
      </c>
      <c r="P117" s="65" t="s">
        <v>13</v>
      </c>
      <c r="Q117" s="66" t="s">
        <v>14</v>
      </c>
      <c r="R117" s="67" t="s">
        <v>15</v>
      </c>
      <c r="S117" s="30" t="s">
        <v>3</v>
      </c>
      <c r="T117" s="3" t="s">
        <v>12</v>
      </c>
      <c r="U117" s="42" t="s">
        <v>13</v>
      </c>
      <c r="V117" s="4" t="s">
        <v>14</v>
      </c>
      <c r="W117" s="22" t="s">
        <v>15</v>
      </c>
      <c r="X117" s="30" t="s">
        <v>3</v>
      </c>
      <c r="Y117" s="74"/>
    </row>
    <row r="118" spans="1:27" ht="14.25" thickBot="1" x14ac:dyDescent="0.2">
      <c r="A118" s="21" t="s">
        <v>16</v>
      </c>
      <c r="B118" s="39">
        <f>B112</f>
        <v>5</v>
      </c>
      <c r="C118" s="40">
        <f>C112</f>
        <v>3</v>
      </c>
      <c r="D118" s="40">
        <f>D112</f>
        <v>4</v>
      </c>
      <c r="E118" s="41">
        <f>E112</f>
        <v>4</v>
      </c>
      <c r="F118" s="122">
        <f>SUM(B118:E118)</f>
        <v>16</v>
      </c>
      <c r="G118" s="39">
        <f>G112</f>
        <v>4</v>
      </c>
      <c r="H118" s="40">
        <f>H112</f>
        <v>7</v>
      </c>
      <c r="I118" s="40">
        <f>I112</f>
        <v>4</v>
      </c>
      <c r="J118" s="41">
        <f>J112</f>
        <v>5</v>
      </c>
      <c r="K118" s="123">
        <f>SUM(G118:J118)</f>
        <v>20</v>
      </c>
      <c r="L118" s="20">
        <f>F118+K118</f>
        <v>36</v>
      </c>
      <c r="N118" s="21" t="s">
        <v>16</v>
      </c>
      <c r="O118" s="39">
        <f>O112</f>
        <v>185</v>
      </c>
      <c r="P118" s="40">
        <f>P112</f>
        <v>96</v>
      </c>
      <c r="Q118" s="40">
        <f t="shared" ref="Q118:R118" si="72">Q112</f>
        <v>44</v>
      </c>
      <c r="R118" s="40">
        <f t="shared" si="72"/>
        <v>52</v>
      </c>
      <c r="S118" s="122">
        <f>SUM(O118:R118)</f>
        <v>377</v>
      </c>
      <c r="T118" s="39">
        <f>T112</f>
        <v>292</v>
      </c>
      <c r="U118" s="40">
        <f>U112</f>
        <v>233</v>
      </c>
      <c r="V118" s="40">
        <f>V112</f>
        <v>105</v>
      </c>
      <c r="W118" s="41">
        <f>W112</f>
        <v>61</v>
      </c>
      <c r="X118" s="123">
        <f>SUM(T118:W118)</f>
        <v>691</v>
      </c>
      <c r="Y118" s="20">
        <f t="shared" ref="Y118:Y150" si="73">S118+X118</f>
        <v>1068</v>
      </c>
    </row>
    <row r="119" spans="1:27" x14ac:dyDescent="0.15">
      <c r="A119" s="70" t="s">
        <v>5</v>
      </c>
      <c r="B119" s="76"/>
      <c r="C119" s="77"/>
      <c r="D119" s="78"/>
      <c r="E119" s="79"/>
      <c r="F119" s="121">
        <f>SUM(B119:E119)</f>
        <v>0</v>
      </c>
      <c r="G119" s="77"/>
      <c r="H119" s="77">
        <v>3</v>
      </c>
      <c r="I119" s="78"/>
      <c r="J119" s="79"/>
      <c r="K119" s="121">
        <f>SUM(G119:J119)</f>
        <v>3</v>
      </c>
      <c r="L119" s="11">
        <f t="shared" ref="L119:L150" si="74">F119+K119</f>
        <v>3</v>
      </c>
      <c r="M119" s="85">
        <v>45041</v>
      </c>
      <c r="N119" s="70" t="s">
        <v>163</v>
      </c>
      <c r="O119" s="59">
        <v>2</v>
      </c>
      <c r="P119" s="60"/>
      <c r="Q119" s="61">
        <v>2</v>
      </c>
      <c r="R119" s="62"/>
      <c r="S119" s="120">
        <f>SUM(O119:R119)</f>
        <v>4</v>
      </c>
      <c r="T119" s="59">
        <v>3</v>
      </c>
      <c r="U119" s="60">
        <v>11</v>
      </c>
      <c r="V119" s="61">
        <v>3</v>
      </c>
      <c r="W119" s="62"/>
      <c r="X119" s="121">
        <f>SUM(T119:W119)</f>
        <v>17</v>
      </c>
      <c r="Y119" s="11">
        <f t="shared" si="73"/>
        <v>21</v>
      </c>
      <c r="Z119" s="115">
        <v>45066</v>
      </c>
    </row>
    <row r="120" spans="1:27" x14ac:dyDescent="0.15">
      <c r="A120" s="70" t="s">
        <v>6</v>
      </c>
      <c r="B120" s="6"/>
      <c r="C120" s="29">
        <v>5</v>
      </c>
      <c r="D120" s="7">
        <v>3</v>
      </c>
      <c r="E120" s="8">
        <v>3</v>
      </c>
      <c r="F120" s="9">
        <f>SUM(B120:E120)</f>
        <v>11</v>
      </c>
      <c r="G120" s="29">
        <v>5</v>
      </c>
      <c r="H120" s="29"/>
      <c r="I120" s="7">
        <v>3</v>
      </c>
      <c r="J120" s="8">
        <v>3</v>
      </c>
      <c r="K120" s="9">
        <f>SUM(G120:J120)</f>
        <v>11</v>
      </c>
      <c r="L120" s="11">
        <f t="shared" si="74"/>
        <v>22</v>
      </c>
      <c r="M120" s="85">
        <v>45042</v>
      </c>
      <c r="N120" s="13" t="s">
        <v>5</v>
      </c>
      <c r="O120" s="25">
        <f>450-50</f>
        <v>400</v>
      </c>
      <c r="P120" s="45">
        <f>450-70</f>
        <v>380</v>
      </c>
      <c r="Q120" s="26">
        <f>400-100</f>
        <v>300</v>
      </c>
      <c r="R120" s="48">
        <f>300-80</f>
        <v>220</v>
      </c>
      <c r="S120" s="9">
        <f>SUM(O120:R120)</f>
        <v>1300</v>
      </c>
      <c r="T120" s="25">
        <f>400</f>
        <v>400</v>
      </c>
      <c r="U120" s="45">
        <v>380</v>
      </c>
      <c r="V120" s="26">
        <v>300</v>
      </c>
      <c r="W120" s="48">
        <v>220</v>
      </c>
      <c r="X120" s="9">
        <f>SUM(T120:W120)</f>
        <v>1300</v>
      </c>
      <c r="Y120" s="11">
        <f t="shared" si="73"/>
        <v>2600</v>
      </c>
      <c r="Z120" s="85" t="s">
        <v>189</v>
      </c>
      <c r="AA120" s="51"/>
    </row>
    <row r="121" spans="1:27" x14ac:dyDescent="0.15">
      <c r="A121" s="70" t="s">
        <v>65</v>
      </c>
      <c r="B121" s="6">
        <v>1</v>
      </c>
      <c r="C121" s="29">
        <v>3</v>
      </c>
      <c r="D121" s="7"/>
      <c r="E121" s="8"/>
      <c r="F121" s="9">
        <f>SUM(B121:E121)</f>
        <v>4</v>
      </c>
      <c r="G121" s="29"/>
      <c r="H121" s="29"/>
      <c r="I121" s="7"/>
      <c r="J121" s="8"/>
      <c r="K121" s="9">
        <f>SUM(G121:J121)</f>
        <v>0</v>
      </c>
      <c r="L121" s="11">
        <f t="shared" si="74"/>
        <v>4</v>
      </c>
      <c r="M121" s="85">
        <v>45043</v>
      </c>
      <c r="N121" s="13" t="s">
        <v>6</v>
      </c>
      <c r="O121" s="25"/>
      <c r="P121" s="45"/>
      <c r="Q121" s="26"/>
      <c r="R121" s="32"/>
      <c r="S121" s="68">
        <f>SUM(O121:R121)</f>
        <v>0</v>
      </c>
      <c r="T121" s="45"/>
      <c r="U121" s="45"/>
      <c r="V121" s="26"/>
      <c r="W121" s="48"/>
      <c r="X121" s="9">
        <f>SUM(T121:W121)</f>
        <v>0</v>
      </c>
      <c r="Y121" s="11">
        <f t="shared" si="73"/>
        <v>0</v>
      </c>
      <c r="Z121" s="159" t="s">
        <v>113</v>
      </c>
    </row>
    <row r="122" spans="1:27" ht="14.25" thickBot="1" x14ac:dyDescent="0.2">
      <c r="A122" s="70" t="s">
        <v>143</v>
      </c>
      <c r="B122" s="76"/>
      <c r="C122" s="77"/>
      <c r="D122" s="78">
        <v>1</v>
      </c>
      <c r="E122" s="79"/>
      <c r="F122" s="71">
        <f>SUM(B122:E122)</f>
        <v>1</v>
      </c>
      <c r="G122" s="77"/>
      <c r="H122" s="77"/>
      <c r="I122" s="78">
        <v>4</v>
      </c>
      <c r="J122" s="79"/>
      <c r="K122" s="71">
        <f>SUM(G122:J122)</f>
        <v>4</v>
      </c>
      <c r="L122" s="14">
        <f t="shared" si="74"/>
        <v>5</v>
      </c>
      <c r="M122" s="115">
        <v>45044</v>
      </c>
      <c r="N122" s="13" t="s">
        <v>7</v>
      </c>
      <c r="O122" s="55">
        <v>50</v>
      </c>
      <c r="P122" s="56">
        <v>70</v>
      </c>
      <c r="Q122" s="57">
        <v>100</v>
      </c>
      <c r="R122" s="58">
        <v>80</v>
      </c>
      <c r="S122" s="69">
        <f>SUM(O122:R122)</f>
        <v>300</v>
      </c>
      <c r="T122" s="45"/>
      <c r="U122" s="45"/>
      <c r="V122" s="26"/>
      <c r="W122" s="48"/>
      <c r="X122" s="10">
        <f>SUM(T122:W122)</f>
        <v>0</v>
      </c>
      <c r="Y122" s="14">
        <f t="shared" si="73"/>
        <v>300</v>
      </c>
      <c r="Z122" s="85" t="s">
        <v>174</v>
      </c>
    </row>
    <row r="123" spans="1:27" ht="14.25" thickBot="1" x14ac:dyDescent="0.2">
      <c r="A123" s="21" t="s">
        <v>9</v>
      </c>
      <c r="B123" s="17">
        <f t="shared" ref="B123:K123" si="75">SUM(B118:B122)</f>
        <v>6</v>
      </c>
      <c r="C123" s="43">
        <f t="shared" si="75"/>
        <v>11</v>
      </c>
      <c r="D123" s="18">
        <f t="shared" si="75"/>
        <v>8</v>
      </c>
      <c r="E123" s="19">
        <f t="shared" si="75"/>
        <v>7</v>
      </c>
      <c r="F123" s="27">
        <f t="shared" si="75"/>
        <v>32</v>
      </c>
      <c r="G123" s="17">
        <f t="shared" si="75"/>
        <v>9</v>
      </c>
      <c r="H123" s="43">
        <f t="shared" si="75"/>
        <v>10</v>
      </c>
      <c r="I123" s="18">
        <f t="shared" si="75"/>
        <v>11</v>
      </c>
      <c r="J123" s="19">
        <f t="shared" si="75"/>
        <v>8</v>
      </c>
      <c r="K123" s="27">
        <f t="shared" si="75"/>
        <v>38</v>
      </c>
      <c r="L123" s="20">
        <f t="shared" si="74"/>
        <v>70</v>
      </c>
      <c r="N123" s="16" t="s">
        <v>9</v>
      </c>
      <c r="O123" s="39">
        <f t="shared" ref="O123:X123" si="76">SUM(O118:O122)</f>
        <v>637</v>
      </c>
      <c r="P123" s="47">
        <f t="shared" si="76"/>
        <v>546</v>
      </c>
      <c r="Q123" s="40">
        <f t="shared" si="76"/>
        <v>446</v>
      </c>
      <c r="R123" s="88">
        <f t="shared" si="76"/>
        <v>352</v>
      </c>
      <c r="S123" s="89">
        <f t="shared" si="76"/>
        <v>1981</v>
      </c>
      <c r="T123" s="39">
        <f t="shared" si="76"/>
        <v>695</v>
      </c>
      <c r="U123" s="47">
        <f t="shared" si="76"/>
        <v>624</v>
      </c>
      <c r="V123" s="40">
        <f t="shared" si="76"/>
        <v>408</v>
      </c>
      <c r="W123" s="88">
        <f t="shared" si="76"/>
        <v>281</v>
      </c>
      <c r="X123" s="89">
        <f t="shared" si="76"/>
        <v>2008</v>
      </c>
      <c r="Y123" s="49">
        <f t="shared" si="73"/>
        <v>3989</v>
      </c>
    </row>
    <row r="124" spans="1:27" x14ac:dyDescent="0.15">
      <c r="A124" s="15" t="s">
        <v>135</v>
      </c>
      <c r="B124" s="23"/>
      <c r="C124" s="44"/>
      <c r="D124" s="24"/>
      <c r="E124" s="31"/>
      <c r="F124" s="33">
        <f>SUM(B124:E124)</f>
        <v>0</v>
      </c>
      <c r="G124" s="23"/>
      <c r="H124" s="44">
        <v>2</v>
      </c>
      <c r="I124" s="24"/>
      <c r="J124" s="31"/>
      <c r="K124" s="33">
        <f>SUM(G124:J124)</f>
        <v>2</v>
      </c>
      <c r="L124" s="11">
        <f t="shared" si="74"/>
        <v>2</v>
      </c>
      <c r="M124" s="85">
        <v>45041</v>
      </c>
      <c r="N124" s="12" t="s">
        <v>124</v>
      </c>
      <c r="O124" s="59">
        <v>2</v>
      </c>
      <c r="P124" s="60"/>
      <c r="Q124" s="61"/>
      <c r="R124" s="62"/>
      <c r="S124" s="63">
        <f t="shared" ref="S124:S149" si="77">SUM(O124:R124)</f>
        <v>2</v>
      </c>
      <c r="T124" s="59"/>
      <c r="U124" s="60">
        <v>1</v>
      </c>
      <c r="V124" s="61"/>
      <c r="W124" s="62">
        <v>1</v>
      </c>
      <c r="X124" s="63">
        <f t="shared" ref="X124:X149" si="78">SUM(T124:W124)</f>
        <v>2</v>
      </c>
      <c r="Y124" s="11">
        <f t="shared" si="73"/>
        <v>4</v>
      </c>
      <c r="Z124" s="85">
        <v>45035</v>
      </c>
      <c r="AA124" s="51"/>
    </row>
    <row r="125" spans="1:27" x14ac:dyDescent="0.15">
      <c r="A125" s="70" t="s">
        <v>30</v>
      </c>
      <c r="B125" s="25"/>
      <c r="C125" s="45"/>
      <c r="D125" s="26"/>
      <c r="E125" s="32"/>
      <c r="F125" s="33">
        <f>SUM(B125:E125)</f>
        <v>0</v>
      </c>
      <c r="G125" s="25">
        <v>1</v>
      </c>
      <c r="H125" s="45"/>
      <c r="I125" s="26"/>
      <c r="J125" s="32"/>
      <c r="K125" s="33">
        <f>SUM(G125:J125)</f>
        <v>1</v>
      </c>
      <c r="L125" s="11">
        <f t="shared" si="74"/>
        <v>1</v>
      </c>
      <c r="M125" s="115">
        <v>45040</v>
      </c>
      <c r="N125" s="12" t="s">
        <v>125</v>
      </c>
      <c r="O125" s="25"/>
      <c r="P125" s="45">
        <v>1</v>
      </c>
      <c r="Q125" s="26"/>
      <c r="R125" s="32"/>
      <c r="S125" s="33">
        <f t="shared" si="77"/>
        <v>1</v>
      </c>
      <c r="T125" s="25"/>
      <c r="U125" s="45">
        <v>1</v>
      </c>
      <c r="V125" s="26"/>
      <c r="W125" s="32">
        <v>4</v>
      </c>
      <c r="X125" s="33">
        <f t="shared" si="78"/>
        <v>5</v>
      </c>
      <c r="Y125" s="11">
        <f t="shared" si="73"/>
        <v>6</v>
      </c>
      <c r="Z125" s="85">
        <v>45036</v>
      </c>
      <c r="AA125" s="51"/>
    </row>
    <row r="126" spans="1:27" x14ac:dyDescent="0.15">
      <c r="A126" s="15" t="s">
        <v>137</v>
      </c>
      <c r="B126" s="25"/>
      <c r="C126" s="45">
        <v>1</v>
      </c>
      <c r="D126" s="26"/>
      <c r="E126" s="32">
        <v>1</v>
      </c>
      <c r="F126" s="33">
        <f t="shared" ref="F126:F148" si="79">SUM(B126:E126)</f>
        <v>2</v>
      </c>
      <c r="G126" s="25">
        <v>1</v>
      </c>
      <c r="H126" s="45"/>
      <c r="I126" s="26"/>
      <c r="J126" s="32">
        <v>2</v>
      </c>
      <c r="K126" s="33">
        <f t="shared" ref="K126:K148" si="80">SUM(G126:J126)</f>
        <v>3</v>
      </c>
      <c r="L126" s="11">
        <f t="shared" si="74"/>
        <v>5</v>
      </c>
      <c r="M126" s="85">
        <v>45042</v>
      </c>
      <c r="N126" s="12" t="s">
        <v>123</v>
      </c>
      <c r="O126" s="25"/>
      <c r="P126" s="45"/>
      <c r="Q126" s="26"/>
      <c r="R126" s="32">
        <v>5</v>
      </c>
      <c r="S126" s="33">
        <f t="shared" si="77"/>
        <v>5</v>
      </c>
      <c r="T126" s="25"/>
      <c r="U126" s="45"/>
      <c r="V126" s="26"/>
      <c r="W126" s="32"/>
      <c r="X126" s="33">
        <f t="shared" si="78"/>
        <v>0</v>
      </c>
      <c r="Y126" s="11">
        <f t="shared" si="73"/>
        <v>5</v>
      </c>
      <c r="Z126" s="85">
        <v>45037</v>
      </c>
      <c r="AA126" s="51"/>
    </row>
    <row r="127" spans="1:27" x14ac:dyDescent="0.15">
      <c r="A127" s="15" t="s">
        <v>138</v>
      </c>
      <c r="B127" s="59"/>
      <c r="C127" s="60">
        <v>1</v>
      </c>
      <c r="D127" s="61"/>
      <c r="E127" s="62"/>
      <c r="F127" s="63">
        <f t="shared" si="79"/>
        <v>1</v>
      </c>
      <c r="G127" s="59">
        <v>1</v>
      </c>
      <c r="H127" s="60"/>
      <c r="I127" s="61"/>
      <c r="J127" s="62"/>
      <c r="K127" s="63">
        <f t="shared" si="80"/>
        <v>1</v>
      </c>
      <c r="L127" s="11">
        <f t="shared" si="74"/>
        <v>2</v>
      </c>
      <c r="M127" s="85">
        <v>45043</v>
      </c>
      <c r="N127" s="12" t="s">
        <v>126</v>
      </c>
      <c r="O127" s="25"/>
      <c r="P127" s="45"/>
      <c r="Q127" s="26"/>
      <c r="R127" s="32"/>
      <c r="S127" s="33">
        <f t="shared" si="77"/>
        <v>0</v>
      </c>
      <c r="T127" s="25"/>
      <c r="U127" s="45"/>
      <c r="V127" s="26">
        <v>1</v>
      </c>
      <c r="W127" s="32">
        <v>3</v>
      </c>
      <c r="X127" s="33">
        <f t="shared" si="78"/>
        <v>4</v>
      </c>
      <c r="Y127" s="11">
        <f t="shared" si="73"/>
        <v>4</v>
      </c>
      <c r="Z127" s="85">
        <v>45037</v>
      </c>
      <c r="AA127" s="51"/>
    </row>
    <row r="128" spans="1:27" x14ac:dyDescent="0.15">
      <c r="A128" s="70" t="s">
        <v>30</v>
      </c>
      <c r="B128" s="25"/>
      <c r="C128" s="45"/>
      <c r="D128" s="26"/>
      <c r="E128" s="32"/>
      <c r="F128" s="33">
        <f t="shared" si="79"/>
        <v>0</v>
      </c>
      <c r="G128" s="25">
        <v>1</v>
      </c>
      <c r="H128" s="45"/>
      <c r="I128" s="26"/>
      <c r="J128" s="32"/>
      <c r="K128" s="33">
        <f t="shared" si="80"/>
        <v>1</v>
      </c>
      <c r="L128" s="11">
        <f t="shared" si="74"/>
        <v>1</v>
      </c>
      <c r="M128" s="115">
        <v>45042</v>
      </c>
      <c r="N128" s="13" t="s">
        <v>127</v>
      </c>
      <c r="O128" s="25"/>
      <c r="P128" s="45">
        <v>5</v>
      </c>
      <c r="Q128" s="26"/>
      <c r="R128" s="32"/>
      <c r="S128" s="33">
        <f t="shared" si="77"/>
        <v>5</v>
      </c>
      <c r="T128" s="25"/>
      <c r="U128" s="45"/>
      <c r="V128" s="26"/>
      <c r="W128" s="32"/>
      <c r="X128" s="33">
        <f t="shared" si="78"/>
        <v>0</v>
      </c>
      <c r="Y128" s="11">
        <f t="shared" si="73"/>
        <v>5</v>
      </c>
      <c r="Z128" s="85">
        <v>45041</v>
      </c>
      <c r="AA128" s="51"/>
    </row>
    <row r="129" spans="1:27" x14ac:dyDescent="0.15">
      <c r="A129" s="15" t="s">
        <v>140</v>
      </c>
      <c r="B129" s="25">
        <v>1</v>
      </c>
      <c r="C129" s="45"/>
      <c r="D129" s="26"/>
      <c r="E129" s="32">
        <v>1</v>
      </c>
      <c r="F129" s="33">
        <f t="shared" si="79"/>
        <v>2</v>
      </c>
      <c r="G129" s="25">
        <v>1</v>
      </c>
      <c r="H129" s="45"/>
      <c r="I129" s="26"/>
      <c r="J129" s="32"/>
      <c r="K129" s="33">
        <f t="shared" si="80"/>
        <v>1</v>
      </c>
      <c r="L129" s="11">
        <f t="shared" si="74"/>
        <v>3</v>
      </c>
      <c r="M129" s="85">
        <v>45044</v>
      </c>
      <c r="N129" s="95" t="s">
        <v>128</v>
      </c>
      <c r="O129" s="25"/>
      <c r="P129" s="45">
        <v>20</v>
      </c>
      <c r="Q129" s="26">
        <v>20</v>
      </c>
      <c r="R129" s="32"/>
      <c r="S129" s="33">
        <f t="shared" si="77"/>
        <v>40</v>
      </c>
      <c r="T129" s="25"/>
      <c r="U129" s="45"/>
      <c r="V129" s="26"/>
      <c r="W129" s="32"/>
      <c r="X129" s="33">
        <f t="shared" si="78"/>
        <v>0</v>
      </c>
      <c r="Y129" s="11">
        <f t="shared" si="73"/>
        <v>40</v>
      </c>
      <c r="Z129" s="85">
        <v>45054</v>
      </c>
    </row>
    <row r="130" spans="1:27" x14ac:dyDescent="0.15">
      <c r="A130" s="70" t="s">
        <v>30</v>
      </c>
      <c r="B130" s="25"/>
      <c r="C130" s="45"/>
      <c r="D130" s="26"/>
      <c r="E130" s="32">
        <v>1</v>
      </c>
      <c r="F130" s="33">
        <f t="shared" si="79"/>
        <v>1</v>
      </c>
      <c r="G130" s="25"/>
      <c r="H130" s="45"/>
      <c r="I130" s="26"/>
      <c r="J130" s="32"/>
      <c r="K130" s="33">
        <f t="shared" si="80"/>
        <v>0</v>
      </c>
      <c r="L130" s="11">
        <f t="shared" si="74"/>
        <v>1</v>
      </c>
      <c r="M130" s="85">
        <v>45044</v>
      </c>
      <c r="N130" s="12" t="s">
        <v>129</v>
      </c>
      <c r="O130" s="25"/>
      <c r="P130" s="45"/>
      <c r="Q130" s="26"/>
      <c r="R130" s="32"/>
      <c r="S130" s="33">
        <f t="shared" si="77"/>
        <v>0</v>
      </c>
      <c r="T130" s="25"/>
      <c r="U130" s="45">
        <v>10</v>
      </c>
      <c r="V130" s="26"/>
      <c r="W130" s="32"/>
      <c r="X130" s="33">
        <f t="shared" si="78"/>
        <v>10</v>
      </c>
      <c r="Y130" s="11">
        <f t="shared" si="73"/>
        <v>10</v>
      </c>
      <c r="Z130" s="85">
        <v>45054</v>
      </c>
    </row>
    <row r="131" spans="1:27" x14ac:dyDescent="0.15">
      <c r="A131" s="15" t="s">
        <v>144</v>
      </c>
      <c r="B131" s="25"/>
      <c r="C131" s="45"/>
      <c r="D131" s="26"/>
      <c r="E131" s="32"/>
      <c r="F131" s="33">
        <f t="shared" si="79"/>
        <v>0</v>
      </c>
      <c r="G131" s="25"/>
      <c r="H131" s="45">
        <v>1</v>
      </c>
      <c r="I131" s="26">
        <v>1</v>
      </c>
      <c r="J131" s="32"/>
      <c r="K131" s="33">
        <f t="shared" si="80"/>
        <v>2</v>
      </c>
      <c r="L131" s="11">
        <f t="shared" si="74"/>
        <v>2</v>
      </c>
      <c r="M131" s="85">
        <v>45048</v>
      </c>
      <c r="N131" s="12" t="s">
        <v>130</v>
      </c>
      <c r="O131" s="25"/>
      <c r="P131" s="45"/>
      <c r="Q131" s="26"/>
      <c r="R131" s="32"/>
      <c r="S131" s="33">
        <f t="shared" si="77"/>
        <v>0</v>
      </c>
      <c r="T131" s="25"/>
      <c r="U131" s="45">
        <v>4</v>
      </c>
      <c r="V131" s="26"/>
      <c r="W131" s="32">
        <v>1</v>
      </c>
      <c r="X131" s="33">
        <f t="shared" si="78"/>
        <v>5</v>
      </c>
      <c r="Y131" s="11">
        <f t="shared" si="73"/>
        <v>5</v>
      </c>
      <c r="Z131" s="85">
        <v>45040</v>
      </c>
      <c r="AA131" s="51"/>
    </row>
    <row r="132" spans="1:27" x14ac:dyDescent="0.15">
      <c r="A132" s="15" t="s">
        <v>145</v>
      </c>
      <c r="B132" s="25">
        <v>1</v>
      </c>
      <c r="C132" s="45">
        <v>1</v>
      </c>
      <c r="D132" s="26">
        <v>1</v>
      </c>
      <c r="E132" s="32"/>
      <c r="F132" s="33">
        <f t="shared" si="79"/>
        <v>3</v>
      </c>
      <c r="G132" s="25">
        <v>1</v>
      </c>
      <c r="H132" s="45">
        <v>1</v>
      </c>
      <c r="I132" s="26">
        <v>1</v>
      </c>
      <c r="J132" s="32"/>
      <c r="K132" s="33">
        <f t="shared" si="80"/>
        <v>3</v>
      </c>
      <c r="L132" s="11">
        <f t="shared" si="74"/>
        <v>6</v>
      </c>
      <c r="M132" s="85">
        <v>45048</v>
      </c>
      <c r="N132" s="50" t="s">
        <v>131</v>
      </c>
      <c r="O132" s="25"/>
      <c r="P132" s="45"/>
      <c r="Q132" s="26"/>
      <c r="R132" s="32"/>
      <c r="S132" s="33">
        <f t="shared" si="77"/>
        <v>0</v>
      </c>
      <c r="T132" s="25"/>
      <c r="U132" s="45"/>
      <c r="V132" s="26"/>
      <c r="W132" s="32">
        <v>5</v>
      </c>
      <c r="X132" s="33">
        <f t="shared" si="78"/>
        <v>5</v>
      </c>
      <c r="Y132" s="11">
        <f t="shared" si="73"/>
        <v>5</v>
      </c>
      <c r="Z132" s="85">
        <v>45043</v>
      </c>
    </row>
    <row r="133" spans="1:27" x14ac:dyDescent="0.15">
      <c r="A133" s="70" t="s">
        <v>30</v>
      </c>
      <c r="B133" s="25"/>
      <c r="C133" s="45">
        <v>1</v>
      </c>
      <c r="D133" s="26"/>
      <c r="E133" s="32"/>
      <c r="F133" s="33">
        <f t="shared" si="79"/>
        <v>1</v>
      </c>
      <c r="G133" s="25"/>
      <c r="H133" s="45">
        <v>1</v>
      </c>
      <c r="I133" s="26"/>
      <c r="J133" s="32"/>
      <c r="K133" s="33">
        <f t="shared" si="80"/>
        <v>1</v>
      </c>
      <c r="L133" s="11">
        <f t="shared" si="74"/>
        <v>2</v>
      </c>
      <c r="M133" s="115">
        <v>45047</v>
      </c>
      <c r="N133" s="50" t="s">
        <v>28</v>
      </c>
      <c r="O133" s="25"/>
      <c r="P133" s="45"/>
      <c r="Q133" s="26"/>
      <c r="R133" s="32"/>
      <c r="S133" s="33">
        <f>SUM(O133:R133)</f>
        <v>0</v>
      </c>
      <c r="T133" s="25"/>
      <c r="U133" s="45">
        <v>3</v>
      </c>
      <c r="V133" s="26"/>
      <c r="W133" s="32"/>
      <c r="X133" s="33">
        <f>SUM(T133:W133)</f>
        <v>3</v>
      </c>
      <c r="Y133" s="11">
        <f t="shared" si="73"/>
        <v>3</v>
      </c>
      <c r="Z133" s="85">
        <v>45041</v>
      </c>
    </row>
    <row r="134" spans="1:27" x14ac:dyDescent="0.15">
      <c r="A134" s="15" t="s">
        <v>146</v>
      </c>
      <c r="B134" s="25"/>
      <c r="C134" s="45"/>
      <c r="D134" s="26"/>
      <c r="E134" s="32">
        <v>1</v>
      </c>
      <c r="F134" s="33">
        <f t="shared" si="79"/>
        <v>1</v>
      </c>
      <c r="G134" s="25"/>
      <c r="H134" s="45"/>
      <c r="I134" s="26">
        <v>1</v>
      </c>
      <c r="J134" s="32"/>
      <c r="K134" s="33">
        <f t="shared" si="80"/>
        <v>1</v>
      </c>
      <c r="L134" s="11">
        <f t="shared" si="74"/>
        <v>2</v>
      </c>
      <c r="M134" s="85">
        <v>45054</v>
      </c>
      <c r="N134" s="95" t="s">
        <v>136</v>
      </c>
      <c r="O134" s="25"/>
      <c r="P134" s="45">
        <v>20</v>
      </c>
      <c r="Q134" s="26"/>
      <c r="R134" s="32"/>
      <c r="S134" s="33">
        <f t="shared" si="77"/>
        <v>20</v>
      </c>
      <c r="T134" s="25"/>
      <c r="U134" s="45"/>
      <c r="V134" s="26"/>
      <c r="W134" s="32"/>
      <c r="X134" s="33">
        <f t="shared" si="78"/>
        <v>0</v>
      </c>
      <c r="Y134" s="11">
        <f t="shared" si="73"/>
        <v>20</v>
      </c>
      <c r="Z134" s="85">
        <v>45056</v>
      </c>
    </row>
    <row r="135" spans="1:27" x14ac:dyDescent="0.15">
      <c r="A135" s="70" t="s">
        <v>30</v>
      </c>
      <c r="B135" s="25"/>
      <c r="C135" s="45"/>
      <c r="D135" s="26"/>
      <c r="E135" s="32"/>
      <c r="F135" s="33">
        <f t="shared" si="79"/>
        <v>0</v>
      </c>
      <c r="G135" s="25"/>
      <c r="H135" s="45">
        <v>1</v>
      </c>
      <c r="I135" s="26"/>
      <c r="J135" s="32"/>
      <c r="K135" s="33">
        <f t="shared" si="80"/>
        <v>1</v>
      </c>
      <c r="L135" s="11">
        <f t="shared" si="74"/>
        <v>1</v>
      </c>
      <c r="M135" s="115">
        <v>45048</v>
      </c>
      <c r="N135" s="50" t="s">
        <v>28</v>
      </c>
      <c r="O135" s="25"/>
      <c r="P135" s="45">
        <v>5</v>
      </c>
      <c r="Q135" s="26">
        <v>3</v>
      </c>
      <c r="R135" s="32">
        <v>3</v>
      </c>
      <c r="S135" s="33">
        <f>SUM(O135:R135)</f>
        <v>11</v>
      </c>
      <c r="T135" s="25">
        <v>5</v>
      </c>
      <c r="U135" s="45"/>
      <c r="V135" s="26">
        <v>3</v>
      </c>
      <c r="W135" s="32">
        <v>3</v>
      </c>
      <c r="X135" s="33">
        <f>SUM(T135:W135)</f>
        <v>11</v>
      </c>
      <c r="Y135" s="11">
        <f t="shared" si="73"/>
        <v>22</v>
      </c>
      <c r="Z135" s="85">
        <v>45042</v>
      </c>
    </row>
    <row r="136" spans="1:27" x14ac:dyDescent="0.15">
      <c r="A136" s="15" t="s">
        <v>147</v>
      </c>
      <c r="B136" s="25"/>
      <c r="C136" s="45">
        <v>1</v>
      </c>
      <c r="D136" s="26">
        <v>1</v>
      </c>
      <c r="E136" s="32"/>
      <c r="F136" s="33">
        <f t="shared" si="79"/>
        <v>2</v>
      </c>
      <c r="G136" s="25"/>
      <c r="H136" s="45">
        <v>1</v>
      </c>
      <c r="I136" s="26">
        <v>1</v>
      </c>
      <c r="J136" s="32"/>
      <c r="K136" s="33">
        <f t="shared" si="80"/>
        <v>2</v>
      </c>
      <c r="L136" s="11">
        <f t="shared" si="74"/>
        <v>4</v>
      </c>
      <c r="M136" s="85">
        <v>45055</v>
      </c>
      <c r="N136" s="95" t="s">
        <v>141</v>
      </c>
      <c r="O136" s="25"/>
      <c r="P136" s="45"/>
      <c r="Q136" s="26"/>
      <c r="R136" s="32">
        <v>10</v>
      </c>
      <c r="S136" s="33">
        <f t="shared" si="77"/>
        <v>10</v>
      </c>
      <c r="T136" s="25"/>
      <c r="U136" s="45"/>
      <c r="V136" s="26"/>
      <c r="W136" s="32"/>
      <c r="X136" s="33">
        <f t="shared" si="78"/>
        <v>0</v>
      </c>
      <c r="Y136" s="11">
        <f t="shared" si="73"/>
        <v>10</v>
      </c>
      <c r="Z136" s="85">
        <v>45047</v>
      </c>
    </row>
    <row r="137" spans="1:27" x14ac:dyDescent="0.15">
      <c r="A137" s="70" t="s">
        <v>30</v>
      </c>
      <c r="B137" s="25"/>
      <c r="C137" s="45"/>
      <c r="D137" s="26"/>
      <c r="E137" s="32"/>
      <c r="F137" s="33">
        <f t="shared" si="79"/>
        <v>0</v>
      </c>
      <c r="G137" s="25"/>
      <c r="H137" s="45">
        <v>1</v>
      </c>
      <c r="I137" s="26"/>
      <c r="J137" s="32"/>
      <c r="K137" s="33">
        <f t="shared" si="80"/>
        <v>1</v>
      </c>
      <c r="L137" s="11">
        <f t="shared" si="74"/>
        <v>1</v>
      </c>
      <c r="M137" s="115">
        <v>45054</v>
      </c>
      <c r="N137" s="15" t="s">
        <v>142</v>
      </c>
      <c r="O137" s="25">
        <v>1</v>
      </c>
      <c r="P137" s="45"/>
      <c r="Q137" s="26"/>
      <c r="R137" s="32"/>
      <c r="S137" s="33">
        <f t="shared" si="77"/>
        <v>1</v>
      </c>
      <c r="T137" s="25">
        <v>1</v>
      </c>
      <c r="U137" s="45"/>
      <c r="V137" s="26">
        <v>1</v>
      </c>
      <c r="W137" s="32">
        <v>3</v>
      </c>
      <c r="X137" s="33">
        <f t="shared" si="78"/>
        <v>5</v>
      </c>
      <c r="Y137" s="11">
        <f t="shared" si="73"/>
        <v>6</v>
      </c>
      <c r="Z137" s="85">
        <v>45047</v>
      </c>
    </row>
    <row r="138" spans="1:27" x14ac:dyDescent="0.15">
      <c r="A138" s="15" t="s">
        <v>148</v>
      </c>
      <c r="B138" s="25"/>
      <c r="C138" s="45"/>
      <c r="D138" s="26"/>
      <c r="E138" s="32"/>
      <c r="F138" s="33">
        <f t="shared" si="79"/>
        <v>0</v>
      </c>
      <c r="G138" s="25">
        <v>1</v>
      </c>
      <c r="H138" s="45">
        <v>1</v>
      </c>
      <c r="I138" s="26">
        <v>1</v>
      </c>
      <c r="J138" s="32"/>
      <c r="K138" s="33">
        <f t="shared" si="80"/>
        <v>3</v>
      </c>
      <c r="L138" s="11">
        <f t="shared" si="74"/>
        <v>3</v>
      </c>
      <c r="M138" s="85">
        <v>45056</v>
      </c>
      <c r="N138" s="50" t="s">
        <v>28</v>
      </c>
      <c r="O138" s="25">
        <v>3</v>
      </c>
      <c r="P138" s="45"/>
      <c r="Q138" s="26"/>
      <c r="R138" s="32">
        <v>3</v>
      </c>
      <c r="S138" s="33">
        <f t="shared" si="77"/>
        <v>6</v>
      </c>
      <c r="T138" s="25">
        <v>3</v>
      </c>
      <c r="U138" s="45">
        <v>5</v>
      </c>
      <c r="V138" s="26"/>
      <c r="W138" s="32"/>
      <c r="X138" s="33">
        <f t="shared" si="78"/>
        <v>8</v>
      </c>
      <c r="Y138" s="11">
        <f t="shared" si="73"/>
        <v>14</v>
      </c>
      <c r="Z138" s="85">
        <v>45056</v>
      </c>
    </row>
    <row r="139" spans="1:27" x14ac:dyDescent="0.15">
      <c r="A139" s="15" t="s">
        <v>149</v>
      </c>
      <c r="B139" s="25">
        <v>-3</v>
      </c>
      <c r="C139" s="45"/>
      <c r="D139" s="26"/>
      <c r="E139" s="32">
        <v>-3</v>
      </c>
      <c r="F139" s="33">
        <f t="shared" si="79"/>
        <v>-6</v>
      </c>
      <c r="G139" s="25">
        <v>-3</v>
      </c>
      <c r="H139" s="45">
        <v>-5</v>
      </c>
      <c r="I139" s="26"/>
      <c r="J139" s="32"/>
      <c r="K139" s="33">
        <f t="shared" si="80"/>
        <v>-8</v>
      </c>
      <c r="L139" s="11">
        <f t="shared" si="74"/>
        <v>-14</v>
      </c>
      <c r="M139" s="85">
        <v>45056</v>
      </c>
      <c r="N139" s="13" t="s">
        <v>151</v>
      </c>
      <c r="O139" s="25"/>
      <c r="P139" s="45"/>
      <c r="Q139" s="26"/>
      <c r="R139" s="32"/>
      <c r="S139" s="33">
        <f t="shared" si="77"/>
        <v>0</v>
      </c>
      <c r="T139" s="25"/>
      <c r="U139" s="45">
        <v>5</v>
      </c>
      <c r="V139" s="26"/>
      <c r="W139" s="32"/>
      <c r="X139" s="33">
        <f t="shared" si="78"/>
        <v>5</v>
      </c>
      <c r="Y139" s="11">
        <f t="shared" si="73"/>
        <v>5</v>
      </c>
      <c r="Z139" s="85">
        <v>45062</v>
      </c>
    </row>
    <row r="140" spans="1:27" x14ac:dyDescent="0.15">
      <c r="A140" s="15" t="s">
        <v>150</v>
      </c>
      <c r="B140" s="25"/>
      <c r="C140" s="45">
        <v>1</v>
      </c>
      <c r="D140" s="26"/>
      <c r="E140" s="32"/>
      <c r="F140" s="33">
        <f t="shared" si="79"/>
        <v>1</v>
      </c>
      <c r="G140" s="25"/>
      <c r="H140" s="45"/>
      <c r="I140" s="26"/>
      <c r="J140" s="32">
        <v>1</v>
      </c>
      <c r="K140" s="33">
        <f t="shared" si="80"/>
        <v>1</v>
      </c>
      <c r="L140" s="11">
        <f t="shared" si="74"/>
        <v>2</v>
      </c>
      <c r="M140" s="85">
        <v>45057</v>
      </c>
      <c r="N140" s="50" t="s">
        <v>153</v>
      </c>
      <c r="O140" s="25">
        <v>10</v>
      </c>
      <c r="P140" s="45">
        <v>15</v>
      </c>
      <c r="Q140" s="26">
        <v>8</v>
      </c>
      <c r="R140" s="32">
        <v>3</v>
      </c>
      <c r="S140" s="33">
        <f t="shared" si="77"/>
        <v>36</v>
      </c>
      <c r="T140" s="25">
        <v>10</v>
      </c>
      <c r="U140" s="45">
        <v>15</v>
      </c>
      <c r="V140" s="26">
        <v>8</v>
      </c>
      <c r="W140" s="32">
        <v>3</v>
      </c>
      <c r="X140" s="33">
        <f t="shared" si="78"/>
        <v>36</v>
      </c>
      <c r="Y140" s="11">
        <f t="shared" si="73"/>
        <v>72</v>
      </c>
      <c r="Z140" s="85">
        <v>45063</v>
      </c>
    </row>
    <row r="141" spans="1:27" x14ac:dyDescent="0.15">
      <c r="A141" s="70" t="s">
        <v>30</v>
      </c>
      <c r="B141" s="25"/>
      <c r="C141" s="45"/>
      <c r="D141" s="26"/>
      <c r="E141" s="32">
        <v>2</v>
      </c>
      <c r="F141" s="33">
        <f t="shared" si="79"/>
        <v>2</v>
      </c>
      <c r="G141" s="25"/>
      <c r="H141" s="45"/>
      <c r="I141" s="26"/>
      <c r="J141" s="32"/>
      <c r="K141" s="33">
        <f t="shared" si="80"/>
        <v>0</v>
      </c>
      <c r="L141" s="11">
        <f t="shared" si="74"/>
        <v>2</v>
      </c>
      <c r="M141" s="115">
        <v>45056</v>
      </c>
      <c r="N141" s="15" t="s">
        <v>156</v>
      </c>
      <c r="O141" s="25"/>
      <c r="P141" s="45"/>
      <c r="Q141" s="26"/>
      <c r="R141" s="32"/>
      <c r="S141" s="33">
        <f t="shared" si="77"/>
        <v>0</v>
      </c>
      <c r="T141" s="25"/>
      <c r="U141" s="45">
        <v>1</v>
      </c>
      <c r="V141" s="26">
        <v>1</v>
      </c>
      <c r="W141" s="32">
        <v>2</v>
      </c>
      <c r="X141" s="33">
        <f t="shared" si="78"/>
        <v>4</v>
      </c>
      <c r="Y141" s="11">
        <f t="shared" si="73"/>
        <v>4</v>
      </c>
      <c r="Z141" s="85">
        <v>45061</v>
      </c>
      <c r="AA141" s="51"/>
    </row>
    <row r="142" spans="1:27" x14ac:dyDescent="0.15">
      <c r="A142" s="15" t="s">
        <v>152</v>
      </c>
      <c r="B142" s="25"/>
      <c r="C142" s="45"/>
      <c r="D142" s="26"/>
      <c r="E142" s="32"/>
      <c r="F142" s="33">
        <f t="shared" si="79"/>
        <v>0</v>
      </c>
      <c r="G142" s="25"/>
      <c r="H142" s="45">
        <v>1</v>
      </c>
      <c r="I142" s="26"/>
      <c r="J142" s="32">
        <v>2</v>
      </c>
      <c r="K142" s="33">
        <f t="shared" si="80"/>
        <v>3</v>
      </c>
      <c r="L142" s="11">
        <f t="shared" si="74"/>
        <v>3</v>
      </c>
      <c r="M142" s="85">
        <v>45058</v>
      </c>
      <c r="N142" s="95" t="s">
        <v>157</v>
      </c>
      <c r="O142" s="25"/>
      <c r="P142" s="45"/>
      <c r="Q142" s="26"/>
      <c r="R142" s="32"/>
      <c r="S142" s="33">
        <f t="shared" si="77"/>
        <v>0</v>
      </c>
      <c r="T142" s="25"/>
      <c r="U142" s="45">
        <v>20</v>
      </c>
      <c r="V142" s="26">
        <v>20</v>
      </c>
      <c r="W142" s="32"/>
      <c r="X142" s="33">
        <f t="shared" si="78"/>
        <v>40</v>
      </c>
      <c r="Y142" s="11">
        <f t="shared" si="73"/>
        <v>40</v>
      </c>
      <c r="Z142" s="85">
        <v>45063</v>
      </c>
    </row>
    <row r="143" spans="1:27" x14ac:dyDescent="0.15">
      <c r="A143" s="70" t="s">
        <v>30</v>
      </c>
      <c r="B143" s="25">
        <v>3</v>
      </c>
      <c r="C143" s="45"/>
      <c r="D143" s="26"/>
      <c r="E143" s="32"/>
      <c r="F143" s="33">
        <f t="shared" si="79"/>
        <v>3</v>
      </c>
      <c r="G143" s="25"/>
      <c r="H143" s="45"/>
      <c r="I143" s="26"/>
      <c r="J143" s="32"/>
      <c r="K143" s="33">
        <f t="shared" si="80"/>
        <v>0</v>
      </c>
      <c r="L143" s="11">
        <f t="shared" si="74"/>
        <v>3</v>
      </c>
      <c r="M143" s="115">
        <v>45057</v>
      </c>
      <c r="N143" s="50" t="s">
        <v>28</v>
      </c>
      <c r="O143" s="25">
        <v>5</v>
      </c>
      <c r="P143" s="45"/>
      <c r="Q143" s="26"/>
      <c r="R143" s="32"/>
      <c r="S143" s="33">
        <f>SUM(O143:R143)</f>
        <v>5</v>
      </c>
      <c r="T143" s="25"/>
      <c r="U143" s="45"/>
      <c r="V143" s="26"/>
      <c r="W143" s="32">
        <v>3</v>
      </c>
      <c r="X143" s="33">
        <f>SUM(T143:W143)</f>
        <v>3</v>
      </c>
      <c r="Y143" s="93">
        <f t="shared" si="73"/>
        <v>8</v>
      </c>
      <c r="Z143" s="85">
        <v>45062</v>
      </c>
      <c r="AA143" s="51"/>
    </row>
    <row r="144" spans="1:27" x14ac:dyDescent="0.15">
      <c r="A144" s="70" t="s">
        <v>30</v>
      </c>
      <c r="B144" s="25"/>
      <c r="C144" s="45"/>
      <c r="D144" s="26"/>
      <c r="E144" s="32"/>
      <c r="F144" s="33">
        <f t="shared" si="79"/>
        <v>0</v>
      </c>
      <c r="G144" s="25"/>
      <c r="H144" s="45"/>
      <c r="I144" s="26">
        <v>1</v>
      </c>
      <c r="J144" s="32"/>
      <c r="K144" s="33">
        <f t="shared" si="80"/>
        <v>1</v>
      </c>
      <c r="L144" s="11">
        <f t="shared" si="74"/>
        <v>1</v>
      </c>
      <c r="M144" s="115">
        <v>45058</v>
      </c>
      <c r="N144" s="15" t="s">
        <v>159</v>
      </c>
      <c r="O144" s="25">
        <v>1</v>
      </c>
      <c r="P144" s="45"/>
      <c r="Q144" s="26"/>
      <c r="R144" s="32"/>
      <c r="S144" s="33">
        <f t="shared" si="77"/>
        <v>1</v>
      </c>
      <c r="T144" s="25"/>
      <c r="U144" s="45"/>
      <c r="V144" s="26"/>
      <c r="W144" s="32"/>
      <c r="X144" s="33">
        <f t="shared" si="78"/>
        <v>0</v>
      </c>
      <c r="Y144" s="93">
        <f t="shared" si="73"/>
        <v>1</v>
      </c>
      <c r="Z144" s="85">
        <v>45063</v>
      </c>
    </row>
    <row r="145" spans="1:27" x14ac:dyDescent="0.15">
      <c r="A145" s="70" t="s">
        <v>30</v>
      </c>
      <c r="B145" s="25">
        <v>1</v>
      </c>
      <c r="C145" s="45"/>
      <c r="D145" s="26"/>
      <c r="E145" s="32"/>
      <c r="F145" s="33">
        <f t="shared" si="79"/>
        <v>1</v>
      </c>
      <c r="G145" s="25"/>
      <c r="H145" s="45"/>
      <c r="I145" s="26"/>
      <c r="J145" s="32"/>
      <c r="K145" s="33">
        <f t="shared" si="80"/>
        <v>0</v>
      </c>
      <c r="L145" s="11">
        <f t="shared" si="74"/>
        <v>1</v>
      </c>
      <c r="M145" s="115">
        <v>45059</v>
      </c>
      <c r="N145" s="50" t="s">
        <v>164</v>
      </c>
      <c r="O145" s="59">
        <v>2</v>
      </c>
      <c r="P145" s="60"/>
      <c r="Q145" s="61">
        <v>2</v>
      </c>
      <c r="R145" s="62"/>
      <c r="S145" s="63">
        <f t="shared" si="77"/>
        <v>4</v>
      </c>
      <c r="T145" s="59">
        <v>3</v>
      </c>
      <c r="U145" s="60">
        <v>11</v>
      </c>
      <c r="V145" s="61">
        <v>3</v>
      </c>
      <c r="W145" s="62"/>
      <c r="X145" s="63">
        <f t="shared" si="78"/>
        <v>17</v>
      </c>
      <c r="Y145" s="11">
        <f t="shared" si="73"/>
        <v>21</v>
      </c>
      <c r="Z145" s="85">
        <v>45066</v>
      </c>
    </row>
    <row r="146" spans="1:27" x14ac:dyDescent="0.15">
      <c r="A146" s="15" t="s">
        <v>158</v>
      </c>
      <c r="B146" s="25"/>
      <c r="C146" s="45">
        <v>1</v>
      </c>
      <c r="D146" s="26"/>
      <c r="E146" s="32"/>
      <c r="F146" s="33">
        <f t="shared" si="79"/>
        <v>1</v>
      </c>
      <c r="G146" s="25"/>
      <c r="H146" s="45"/>
      <c r="I146" s="26"/>
      <c r="J146" s="32"/>
      <c r="K146" s="33">
        <f t="shared" si="80"/>
        <v>0</v>
      </c>
      <c r="L146" s="11">
        <f t="shared" si="74"/>
        <v>1</v>
      </c>
      <c r="M146" s="85">
        <v>45062</v>
      </c>
      <c r="N146" s="50"/>
      <c r="O146" s="25"/>
      <c r="P146" s="45"/>
      <c r="Q146" s="26"/>
      <c r="R146" s="32"/>
      <c r="S146" s="33">
        <f t="shared" si="77"/>
        <v>0</v>
      </c>
      <c r="T146" s="25"/>
      <c r="U146" s="45"/>
      <c r="V146" s="26"/>
      <c r="W146" s="32"/>
      <c r="X146" s="33">
        <f t="shared" si="78"/>
        <v>0</v>
      </c>
      <c r="Y146" s="11">
        <f t="shared" si="73"/>
        <v>0</v>
      </c>
      <c r="Z146" s="159"/>
    </row>
    <row r="147" spans="1:27" x14ac:dyDescent="0.15">
      <c r="A147" s="70" t="s">
        <v>30</v>
      </c>
      <c r="B147" s="25">
        <v>1</v>
      </c>
      <c r="C147" s="45">
        <v>1</v>
      </c>
      <c r="D147" s="26"/>
      <c r="E147" s="32"/>
      <c r="F147" s="33">
        <f t="shared" si="79"/>
        <v>2</v>
      </c>
      <c r="G147" s="25"/>
      <c r="H147" s="45">
        <v>1</v>
      </c>
      <c r="I147" s="26"/>
      <c r="J147" s="32"/>
      <c r="K147" s="33">
        <f t="shared" si="80"/>
        <v>1</v>
      </c>
      <c r="L147" s="11">
        <f t="shared" si="74"/>
        <v>3</v>
      </c>
      <c r="M147" s="85">
        <v>45061</v>
      </c>
      <c r="N147" s="50"/>
      <c r="O147" s="25"/>
      <c r="P147" s="45"/>
      <c r="Q147" s="26"/>
      <c r="R147" s="32"/>
      <c r="S147" s="33">
        <f t="shared" ref="S147:S148" si="81">SUM(O147:R147)</f>
        <v>0</v>
      </c>
      <c r="T147" s="25"/>
      <c r="U147" s="45"/>
      <c r="V147" s="26"/>
      <c r="W147" s="32"/>
      <c r="X147" s="33">
        <f t="shared" ref="X147:X148" si="82">SUM(T147:W147)</f>
        <v>0</v>
      </c>
      <c r="Y147" s="11">
        <f t="shared" ref="Y147:Y148" si="83">S147+X147</f>
        <v>0</v>
      </c>
      <c r="Z147" s="159"/>
    </row>
    <row r="148" spans="1:27" ht="14.25" thickBot="1" x14ac:dyDescent="0.2">
      <c r="A148" s="70" t="s">
        <v>30</v>
      </c>
      <c r="B148" s="55"/>
      <c r="C148" s="56">
        <v>2</v>
      </c>
      <c r="D148" s="57"/>
      <c r="E148" s="58">
        <v>1</v>
      </c>
      <c r="F148" s="33">
        <f t="shared" si="79"/>
        <v>3</v>
      </c>
      <c r="G148" s="55"/>
      <c r="H148" s="56">
        <v>1</v>
      </c>
      <c r="I148" s="57"/>
      <c r="J148" s="58"/>
      <c r="K148" s="33">
        <f t="shared" si="80"/>
        <v>1</v>
      </c>
      <c r="L148" s="14">
        <f t="shared" si="74"/>
        <v>4</v>
      </c>
      <c r="M148" s="85">
        <v>45062</v>
      </c>
      <c r="N148" s="74" t="s">
        <v>154</v>
      </c>
      <c r="O148" s="55"/>
      <c r="P148" s="56"/>
      <c r="Q148" s="57"/>
      <c r="R148" s="58"/>
      <c r="S148" s="109">
        <f t="shared" si="81"/>
        <v>0</v>
      </c>
      <c r="T148" s="55"/>
      <c r="U148" s="56"/>
      <c r="V148" s="57"/>
      <c r="W148" s="58"/>
      <c r="X148" s="109">
        <f t="shared" si="82"/>
        <v>0</v>
      </c>
      <c r="Y148" s="107">
        <f t="shared" si="83"/>
        <v>0</v>
      </c>
      <c r="Z148" s="159" t="s">
        <v>155</v>
      </c>
    </row>
    <row r="149" spans="1:27" ht="14.25" thickBot="1" x14ac:dyDescent="0.2">
      <c r="A149" s="16" t="s">
        <v>10</v>
      </c>
      <c r="B149" s="36">
        <f>SUM(B124:B148)</f>
        <v>4</v>
      </c>
      <c r="C149" s="46">
        <f>SUM(C124:C148)</f>
        <v>10</v>
      </c>
      <c r="D149" s="37">
        <f>SUM(D124:D148)</f>
        <v>2</v>
      </c>
      <c r="E149" s="38">
        <f>SUM(E124:E148)</f>
        <v>4</v>
      </c>
      <c r="F149" s="34">
        <f>SUM(B149:E149)</f>
        <v>20</v>
      </c>
      <c r="G149" s="36">
        <f>SUM(G124:G148)</f>
        <v>4</v>
      </c>
      <c r="H149" s="46">
        <f>SUM(H124:H148)</f>
        <v>7</v>
      </c>
      <c r="I149" s="37">
        <f>SUM(I124:I148)</f>
        <v>6</v>
      </c>
      <c r="J149" s="38">
        <f>SUM(J124:J148)</f>
        <v>5</v>
      </c>
      <c r="K149" s="34">
        <f>SUM(G149:J149)</f>
        <v>22</v>
      </c>
      <c r="L149" s="35">
        <f t="shared" si="74"/>
        <v>42</v>
      </c>
      <c r="N149" s="72" t="s">
        <v>10</v>
      </c>
      <c r="O149" s="36">
        <f>SUM(O124:O148)</f>
        <v>24</v>
      </c>
      <c r="P149" s="46">
        <f>SUM(P124:P148)</f>
        <v>66</v>
      </c>
      <c r="Q149" s="37">
        <f>SUM(Q124:Q148)</f>
        <v>33</v>
      </c>
      <c r="R149" s="38">
        <f>SUM(R124:R148)</f>
        <v>24</v>
      </c>
      <c r="S149" s="71">
        <f t="shared" si="77"/>
        <v>147</v>
      </c>
      <c r="T149" s="36">
        <f>SUM(T124:T148)</f>
        <v>22</v>
      </c>
      <c r="U149" s="46">
        <f>SUM(U124:U148)</f>
        <v>76</v>
      </c>
      <c r="V149" s="37">
        <f>SUM(V124:V148)</f>
        <v>37</v>
      </c>
      <c r="W149" s="38">
        <f>SUM(W124:W148)</f>
        <v>28</v>
      </c>
      <c r="X149" s="71">
        <f t="shared" si="78"/>
        <v>163</v>
      </c>
      <c r="Y149" s="75">
        <f t="shared" si="73"/>
        <v>310</v>
      </c>
    </row>
    <row r="150" spans="1:27" ht="14.25" thickBot="1" x14ac:dyDescent="0.2">
      <c r="A150" s="21" t="s">
        <v>11</v>
      </c>
      <c r="B150" s="39">
        <f t="shared" ref="B150:K150" si="84">B123-B149</f>
        <v>2</v>
      </c>
      <c r="C150" s="47">
        <f t="shared" si="84"/>
        <v>1</v>
      </c>
      <c r="D150" s="40">
        <f t="shared" si="84"/>
        <v>6</v>
      </c>
      <c r="E150" s="41">
        <f t="shared" si="84"/>
        <v>3</v>
      </c>
      <c r="F150" s="54">
        <f t="shared" si="84"/>
        <v>12</v>
      </c>
      <c r="G150" s="39">
        <f t="shared" si="84"/>
        <v>5</v>
      </c>
      <c r="H150" s="47">
        <f t="shared" si="84"/>
        <v>3</v>
      </c>
      <c r="I150" s="40">
        <f t="shared" si="84"/>
        <v>5</v>
      </c>
      <c r="J150" s="41">
        <f t="shared" si="84"/>
        <v>3</v>
      </c>
      <c r="K150" s="54">
        <f t="shared" si="84"/>
        <v>16</v>
      </c>
      <c r="L150" s="20">
        <f t="shared" si="74"/>
        <v>28</v>
      </c>
      <c r="N150" s="16" t="s">
        <v>11</v>
      </c>
      <c r="O150" s="39">
        <f t="shared" ref="O150:X150" si="85">O123-O149</f>
        <v>613</v>
      </c>
      <c r="P150" s="47">
        <f t="shared" si="85"/>
        <v>480</v>
      </c>
      <c r="Q150" s="40">
        <f t="shared" si="85"/>
        <v>413</v>
      </c>
      <c r="R150" s="41">
        <f t="shared" si="85"/>
        <v>328</v>
      </c>
      <c r="S150" s="54">
        <f t="shared" si="85"/>
        <v>1834</v>
      </c>
      <c r="T150" s="39">
        <f t="shared" si="85"/>
        <v>673</v>
      </c>
      <c r="U150" s="47">
        <f t="shared" si="85"/>
        <v>548</v>
      </c>
      <c r="V150" s="40">
        <f t="shared" si="85"/>
        <v>371</v>
      </c>
      <c r="W150" s="41">
        <f t="shared" si="85"/>
        <v>253</v>
      </c>
      <c r="X150" s="54">
        <f t="shared" si="85"/>
        <v>1845</v>
      </c>
      <c r="Y150" s="20">
        <f t="shared" si="73"/>
        <v>3679</v>
      </c>
    </row>
    <row r="151" spans="1:27" x14ac:dyDescent="0.15">
      <c r="O151" s="94"/>
      <c r="P151" s="94"/>
      <c r="Q151" s="94"/>
      <c r="R151" s="94"/>
      <c r="S151" s="94"/>
      <c r="T151" s="94"/>
      <c r="U151" s="94"/>
      <c r="V151" s="94"/>
      <c r="W151" s="94"/>
      <c r="X151" s="94"/>
    </row>
    <row r="153" spans="1:27" ht="19.5" thickBot="1" x14ac:dyDescent="0.25">
      <c r="A153" s="2" t="s">
        <v>26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27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7" ht="14.25" thickBot="1" x14ac:dyDescent="0.2">
      <c r="A154" s="5" t="s">
        <v>0</v>
      </c>
      <c r="B154" s="228" t="s">
        <v>19</v>
      </c>
      <c r="C154" s="229"/>
      <c r="D154" s="229"/>
      <c r="E154" s="229"/>
      <c r="F154" s="230"/>
      <c r="G154" s="231" t="s">
        <v>18</v>
      </c>
      <c r="H154" s="232"/>
      <c r="I154" s="232"/>
      <c r="J154" s="232"/>
      <c r="K154" s="233"/>
      <c r="L154" s="234" t="s">
        <v>1</v>
      </c>
      <c r="N154" s="5" t="s">
        <v>0</v>
      </c>
      <c r="O154" s="228" t="s">
        <v>19</v>
      </c>
      <c r="P154" s="229"/>
      <c r="Q154" s="229"/>
      <c r="R154" s="229"/>
      <c r="S154" s="230"/>
      <c r="T154" s="231" t="s">
        <v>18</v>
      </c>
      <c r="U154" s="232"/>
      <c r="V154" s="232"/>
      <c r="W154" s="232"/>
      <c r="X154" s="233"/>
      <c r="Y154" s="73" t="s">
        <v>1</v>
      </c>
    </row>
    <row r="155" spans="1:27" ht="14.25" thickBot="1" x14ac:dyDescent="0.2">
      <c r="A155" s="5" t="s">
        <v>2</v>
      </c>
      <c r="B155" s="3" t="s">
        <v>12</v>
      </c>
      <c r="C155" s="42" t="s">
        <v>13</v>
      </c>
      <c r="D155" s="4" t="s">
        <v>14</v>
      </c>
      <c r="E155" s="22" t="s">
        <v>15</v>
      </c>
      <c r="F155" s="30" t="s">
        <v>3</v>
      </c>
      <c r="G155" s="3" t="s">
        <v>12</v>
      </c>
      <c r="H155" s="42" t="s">
        <v>13</v>
      </c>
      <c r="I155" s="4" t="s">
        <v>14</v>
      </c>
      <c r="J155" s="22" t="s">
        <v>15</v>
      </c>
      <c r="K155" s="30" t="s">
        <v>3</v>
      </c>
      <c r="L155" s="235"/>
      <c r="N155" s="5" t="s">
        <v>2</v>
      </c>
      <c r="O155" s="64" t="s">
        <v>12</v>
      </c>
      <c r="P155" s="65" t="s">
        <v>13</v>
      </c>
      <c r="Q155" s="66" t="s">
        <v>14</v>
      </c>
      <c r="R155" s="67" t="s">
        <v>15</v>
      </c>
      <c r="S155" s="30" t="s">
        <v>3</v>
      </c>
      <c r="T155" s="3" t="s">
        <v>12</v>
      </c>
      <c r="U155" s="42" t="s">
        <v>13</v>
      </c>
      <c r="V155" s="4" t="s">
        <v>14</v>
      </c>
      <c r="W155" s="22" t="s">
        <v>15</v>
      </c>
      <c r="X155" s="30" t="s">
        <v>3</v>
      </c>
      <c r="Y155" s="74"/>
    </row>
    <row r="156" spans="1:27" ht="14.25" thickBot="1" x14ac:dyDescent="0.2">
      <c r="A156" s="21" t="s">
        <v>16</v>
      </c>
      <c r="B156" s="39">
        <f>B150</f>
        <v>2</v>
      </c>
      <c r="C156" s="40">
        <f>C150</f>
        <v>1</v>
      </c>
      <c r="D156" s="40">
        <f>D150</f>
        <v>6</v>
      </c>
      <c r="E156" s="41">
        <f>E150</f>
        <v>3</v>
      </c>
      <c r="F156" s="122">
        <f>SUM(B156:E156)</f>
        <v>12</v>
      </c>
      <c r="G156" s="39">
        <f>G150</f>
        <v>5</v>
      </c>
      <c r="H156" s="40">
        <f>H150</f>
        <v>3</v>
      </c>
      <c r="I156" s="40">
        <f>I150</f>
        <v>5</v>
      </c>
      <c r="J156" s="41">
        <f>J150</f>
        <v>3</v>
      </c>
      <c r="K156" s="123">
        <f>SUM(G156:J156)</f>
        <v>16</v>
      </c>
      <c r="L156" s="20">
        <f>F156+K156</f>
        <v>28</v>
      </c>
      <c r="N156" s="21" t="s">
        <v>16</v>
      </c>
      <c r="O156" s="39">
        <f>O150</f>
        <v>613</v>
      </c>
      <c r="P156" s="40">
        <f>P150</f>
        <v>480</v>
      </c>
      <c r="Q156" s="40">
        <f t="shared" ref="Q156:R156" si="86">Q150</f>
        <v>413</v>
      </c>
      <c r="R156" s="40">
        <f t="shared" si="86"/>
        <v>328</v>
      </c>
      <c r="S156" s="122">
        <f>SUM(O156:R156)</f>
        <v>1834</v>
      </c>
      <c r="T156" s="39">
        <f>T150</f>
        <v>673</v>
      </c>
      <c r="U156" s="40">
        <f>U150</f>
        <v>548</v>
      </c>
      <c r="V156" s="40">
        <f>V150</f>
        <v>371</v>
      </c>
      <c r="W156" s="41">
        <f>W150</f>
        <v>253</v>
      </c>
      <c r="X156" s="123">
        <f>SUM(T156:W156)</f>
        <v>1845</v>
      </c>
      <c r="Y156" s="20">
        <f t="shared" ref="Y156:Y188" si="87">S156+X156</f>
        <v>3679</v>
      </c>
    </row>
    <row r="157" spans="1:27" x14ac:dyDescent="0.15">
      <c r="A157" s="70" t="s">
        <v>163</v>
      </c>
      <c r="B157" s="76">
        <v>5</v>
      </c>
      <c r="C157" s="77">
        <v>4</v>
      </c>
      <c r="D157" s="78">
        <v>8</v>
      </c>
      <c r="E157" s="79">
        <v>4</v>
      </c>
      <c r="F157" s="121">
        <f>SUM(B157:E157)</f>
        <v>21</v>
      </c>
      <c r="G157" s="77">
        <v>2</v>
      </c>
      <c r="H157" s="77">
        <v>7</v>
      </c>
      <c r="I157" s="78">
        <v>1</v>
      </c>
      <c r="J157" s="79">
        <v>1</v>
      </c>
      <c r="K157" s="121">
        <f>SUM(G157:J157)</f>
        <v>11</v>
      </c>
      <c r="L157" s="11">
        <f t="shared" ref="L157:L188" si="88">F157+K157</f>
        <v>32</v>
      </c>
      <c r="M157" s="85">
        <v>45063</v>
      </c>
      <c r="N157" s="70" t="s">
        <v>17</v>
      </c>
      <c r="O157" s="59"/>
      <c r="P157" s="60"/>
      <c r="Q157" s="61"/>
      <c r="R157" s="62"/>
      <c r="S157" s="120">
        <f>SUM(O157:R157)</f>
        <v>0</v>
      </c>
      <c r="T157" s="59"/>
      <c r="U157" s="60"/>
      <c r="V157" s="61"/>
      <c r="W157" s="62"/>
      <c r="X157" s="121">
        <f>SUM(T157:W157)</f>
        <v>0</v>
      </c>
      <c r="Y157" s="11">
        <f t="shared" si="87"/>
        <v>0</v>
      </c>
    </row>
    <row r="158" spans="1:27" x14ac:dyDescent="0.15">
      <c r="A158" s="70" t="s">
        <v>6</v>
      </c>
      <c r="B158" s="6">
        <v>5</v>
      </c>
      <c r="C158" s="29"/>
      <c r="D158" s="7"/>
      <c r="E158" s="8"/>
      <c r="F158" s="9">
        <f>SUM(B158:E158)</f>
        <v>5</v>
      </c>
      <c r="G158" s="29"/>
      <c r="H158" s="29"/>
      <c r="I158" s="7"/>
      <c r="J158" s="8">
        <v>3</v>
      </c>
      <c r="K158" s="9">
        <f>SUM(G158:J158)</f>
        <v>3</v>
      </c>
      <c r="L158" s="11">
        <f t="shared" si="88"/>
        <v>8</v>
      </c>
      <c r="M158" s="85">
        <v>45062</v>
      </c>
      <c r="N158" s="13" t="s">
        <v>5</v>
      </c>
      <c r="O158" s="25"/>
      <c r="P158" s="45"/>
      <c r="Q158" s="26"/>
      <c r="R158" s="48"/>
      <c r="S158" s="9">
        <f>SUM(O158:R158)</f>
        <v>0</v>
      </c>
      <c r="T158" s="25"/>
      <c r="U158" s="45"/>
      <c r="V158" s="26"/>
      <c r="W158" s="48"/>
      <c r="X158" s="9">
        <f>SUM(T158:W158)</f>
        <v>0</v>
      </c>
      <c r="Y158" s="11">
        <f t="shared" si="87"/>
        <v>0</v>
      </c>
      <c r="Z158" s="159"/>
      <c r="AA158" s="51"/>
    </row>
    <row r="159" spans="1:27" x14ac:dyDescent="0.15">
      <c r="A159" s="70" t="s">
        <v>143</v>
      </c>
      <c r="B159" s="6"/>
      <c r="C159" s="29">
        <v>1</v>
      </c>
      <c r="D159" s="7"/>
      <c r="E159" s="8">
        <v>1</v>
      </c>
      <c r="F159" s="9">
        <f>SUM(B159:E159)</f>
        <v>2</v>
      </c>
      <c r="G159" s="29"/>
      <c r="H159" s="29">
        <v>4</v>
      </c>
      <c r="I159" s="7"/>
      <c r="J159" s="8"/>
      <c r="K159" s="9">
        <f>SUM(G159:J159)</f>
        <v>4</v>
      </c>
      <c r="L159" s="11">
        <f t="shared" si="88"/>
        <v>6</v>
      </c>
      <c r="M159" s="115">
        <v>45064</v>
      </c>
      <c r="N159" s="13" t="s">
        <v>6</v>
      </c>
      <c r="O159" s="25"/>
      <c r="P159" s="45"/>
      <c r="Q159" s="26"/>
      <c r="R159" s="32"/>
      <c r="S159" s="68">
        <f>SUM(O159:R159)</f>
        <v>0</v>
      </c>
      <c r="T159" s="45"/>
      <c r="U159" s="45"/>
      <c r="V159" s="26"/>
      <c r="W159" s="48"/>
      <c r="X159" s="9">
        <f>SUM(T159:W159)</f>
        <v>0</v>
      </c>
      <c r="Y159" s="11">
        <f t="shared" si="87"/>
        <v>0</v>
      </c>
      <c r="Z159" s="159"/>
      <c r="AA159" s="51"/>
    </row>
    <row r="160" spans="1:27" ht="14.25" thickBot="1" x14ac:dyDescent="0.2">
      <c r="A160" s="70" t="s">
        <v>8</v>
      </c>
      <c r="B160" s="76">
        <v>2</v>
      </c>
      <c r="C160" s="77"/>
      <c r="D160" s="78">
        <v>2</v>
      </c>
      <c r="E160" s="79"/>
      <c r="F160" s="71">
        <f>SUM(B160:E160)</f>
        <v>4</v>
      </c>
      <c r="G160" s="77">
        <v>3</v>
      </c>
      <c r="H160" s="77">
        <v>11</v>
      </c>
      <c r="I160" s="78">
        <v>3</v>
      </c>
      <c r="J160" s="79"/>
      <c r="K160" s="71">
        <f>SUM(G160:J160)</f>
        <v>17</v>
      </c>
      <c r="L160" s="14">
        <f t="shared" si="88"/>
        <v>21</v>
      </c>
      <c r="M160" s="115">
        <v>45066</v>
      </c>
      <c r="N160" s="13" t="s">
        <v>7</v>
      </c>
      <c r="O160" s="55"/>
      <c r="P160" s="56"/>
      <c r="Q160" s="57"/>
      <c r="R160" s="58"/>
      <c r="S160" s="69">
        <f>SUM(O160:R160)</f>
        <v>0</v>
      </c>
      <c r="T160" s="45"/>
      <c r="U160" s="45"/>
      <c r="V160" s="26"/>
      <c r="W160" s="48"/>
      <c r="X160" s="10">
        <f>SUM(T160:W160)</f>
        <v>0</v>
      </c>
      <c r="Y160" s="14">
        <f t="shared" si="87"/>
        <v>0</v>
      </c>
    </row>
    <row r="161" spans="1:27" ht="14.25" thickBot="1" x14ac:dyDescent="0.2">
      <c r="A161" s="21" t="s">
        <v>9</v>
      </c>
      <c r="B161" s="17">
        <f t="shared" ref="B161:K161" si="89">SUM(B156:B160)</f>
        <v>14</v>
      </c>
      <c r="C161" s="43">
        <f t="shared" si="89"/>
        <v>6</v>
      </c>
      <c r="D161" s="18">
        <f t="shared" si="89"/>
        <v>16</v>
      </c>
      <c r="E161" s="19">
        <f t="shared" si="89"/>
        <v>8</v>
      </c>
      <c r="F161" s="27">
        <f t="shared" si="89"/>
        <v>44</v>
      </c>
      <c r="G161" s="17">
        <f t="shared" si="89"/>
        <v>10</v>
      </c>
      <c r="H161" s="43">
        <f t="shared" si="89"/>
        <v>25</v>
      </c>
      <c r="I161" s="18">
        <f t="shared" si="89"/>
        <v>9</v>
      </c>
      <c r="J161" s="19">
        <f t="shared" si="89"/>
        <v>7</v>
      </c>
      <c r="K161" s="27">
        <f t="shared" si="89"/>
        <v>51</v>
      </c>
      <c r="L161" s="20">
        <f t="shared" si="88"/>
        <v>95</v>
      </c>
      <c r="N161" s="16" t="s">
        <v>9</v>
      </c>
      <c r="O161" s="39">
        <f t="shared" ref="O161:X161" si="90">SUM(O156:O160)</f>
        <v>613</v>
      </c>
      <c r="P161" s="47">
        <f t="shared" si="90"/>
        <v>480</v>
      </c>
      <c r="Q161" s="40">
        <f t="shared" si="90"/>
        <v>413</v>
      </c>
      <c r="R161" s="88">
        <f t="shared" si="90"/>
        <v>328</v>
      </c>
      <c r="S161" s="89">
        <f t="shared" si="90"/>
        <v>1834</v>
      </c>
      <c r="T161" s="39">
        <f t="shared" si="90"/>
        <v>673</v>
      </c>
      <c r="U161" s="47">
        <f t="shared" si="90"/>
        <v>548</v>
      </c>
      <c r="V161" s="40">
        <f t="shared" si="90"/>
        <v>371</v>
      </c>
      <c r="W161" s="88">
        <f t="shared" si="90"/>
        <v>253</v>
      </c>
      <c r="X161" s="89">
        <f t="shared" si="90"/>
        <v>1845</v>
      </c>
      <c r="Y161" s="49">
        <f t="shared" si="87"/>
        <v>3679</v>
      </c>
    </row>
    <row r="162" spans="1:27" x14ac:dyDescent="0.15">
      <c r="A162" s="15" t="s">
        <v>160</v>
      </c>
      <c r="B162" s="23"/>
      <c r="C162" s="44"/>
      <c r="D162" s="24"/>
      <c r="E162" s="31"/>
      <c r="F162" s="33">
        <f>SUM(B162:E162)</f>
        <v>0</v>
      </c>
      <c r="G162" s="23"/>
      <c r="H162" s="44"/>
      <c r="I162" s="24">
        <v>1</v>
      </c>
      <c r="J162" s="31"/>
      <c r="K162" s="33">
        <f>SUM(G162:J162)</f>
        <v>1</v>
      </c>
      <c r="L162" s="11">
        <f t="shared" si="88"/>
        <v>1</v>
      </c>
      <c r="M162" s="85">
        <v>45064</v>
      </c>
      <c r="N162" s="73" t="s">
        <v>115</v>
      </c>
      <c r="O162" s="59">
        <v>10</v>
      </c>
      <c r="P162" s="60">
        <v>10</v>
      </c>
      <c r="Q162" s="61">
        <v>5</v>
      </c>
      <c r="R162" s="62">
        <v>5</v>
      </c>
      <c r="S162" s="63">
        <f t="shared" ref="S162:S187" si="91">SUM(O162:R162)</f>
        <v>30</v>
      </c>
      <c r="T162" s="59">
        <v>10</v>
      </c>
      <c r="U162" s="60">
        <v>10</v>
      </c>
      <c r="V162" s="61">
        <v>5</v>
      </c>
      <c r="W162" s="62">
        <v>5</v>
      </c>
      <c r="X162" s="63">
        <f t="shared" ref="X162:X187" si="92">SUM(T162:W162)</f>
        <v>30</v>
      </c>
      <c r="Y162" s="11">
        <f t="shared" si="87"/>
        <v>60</v>
      </c>
      <c r="Z162" s="85">
        <v>45078</v>
      </c>
    </row>
    <row r="163" spans="1:27" x14ac:dyDescent="0.15">
      <c r="A163" s="70" t="s">
        <v>30</v>
      </c>
      <c r="B163" s="25">
        <v>1</v>
      </c>
      <c r="C163" s="45"/>
      <c r="D163" s="26"/>
      <c r="E163" s="32"/>
      <c r="F163" s="33">
        <f>SUM(B163:E163)</f>
        <v>1</v>
      </c>
      <c r="G163" s="25"/>
      <c r="H163" s="45"/>
      <c r="I163" s="26"/>
      <c r="J163" s="32"/>
      <c r="K163" s="33">
        <f>SUM(G163:J163)</f>
        <v>0</v>
      </c>
      <c r="L163" s="11">
        <f t="shared" si="88"/>
        <v>1</v>
      </c>
      <c r="M163" s="115">
        <v>45065</v>
      </c>
      <c r="N163" s="95" t="s">
        <v>161</v>
      </c>
      <c r="O163" s="25"/>
      <c r="P163" s="45"/>
      <c r="Q163" s="26"/>
      <c r="R163" s="32"/>
      <c r="S163" s="33">
        <f t="shared" si="91"/>
        <v>0</v>
      </c>
      <c r="T163" s="25"/>
      <c r="U163" s="45">
        <v>20</v>
      </c>
      <c r="V163" s="26"/>
      <c r="W163" s="32"/>
      <c r="X163" s="33">
        <f t="shared" si="92"/>
        <v>20</v>
      </c>
      <c r="Y163" s="11">
        <f t="shared" si="87"/>
        <v>20</v>
      </c>
      <c r="Z163" s="85">
        <v>45075</v>
      </c>
    </row>
    <row r="164" spans="1:27" x14ac:dyDescent="0.15">
      <c r="A164" s="70" t="s">
        <v>30</v>
      </c>
      <c r="B164" s="25"/>
      <c r="C164" s="45">
        <v>2</v>
      </c>
      <c r="D164" s="26">
        <v>1</v>
      </c>
      <c r="E164" s="32"/>
      <c r="F164" s="33">
        <f t="shared" ref="F164:F186" si="93">SUM(B164:E164)</f>
        <v>3</v>
      </c>
      <c r="G164" s="25"/>
      <c r="H164" s="45"/>
      <c r="I164" s="26"/>
      <c r="J164" s="32"/>
      <c r="K164" s="33">
        <f t="shared" ref="K164:K186" si="94">SUM(G164:J164)</f>
        <v>0</v>
      </c>
      <c r="L164" s="11">
        <f t="shared" si="88"/>
        <v>3</v>
      </c>
      <c r="M164" s="115">
        <v>45068</v>
      </c>
      <c r="N164" s="50" t="s">
        <v>162</v>
      </c>
      <c r="O164" s="25"/>
      <c r="P164" s="45"/>
      <c r="Q164" s="26"/>
      <c r="R164" s="32"/>
      <c r="S164" s="33">
        <f t="shared" si="91"/>
        <v>0</v>
      </c>
      <c r="T164" s="25"/>
      <c r="U164" s="45"/>
      <c r="V164" s="26">
        <v>10</v>
      </c>
      <c r="W164" s="32"/>
      <c r="X164" s="33">
        <f t="shared" si="92"/>
        <v>10</v>
      </c>
      <c r="Y164" s="11">
        <f t="shared" si="87"/>
        <v>10</v>
      </c>
      <c r="Z164" s="85">
        <v>45075</v>
      </c>
    </row>
    <row r="165" spans="1:27" x14ac:dyDescent="0.15">
      <c r="A165" s="15" t="s">
        <v>167</v>
      </c>
      <c r="B165" s="59"/>
      <c r="C165" s="60">
        <v>3</v>
      </c>
      <c r="D165" s="61"/>
      <c r="E165" s="62"/>
      <c r="F165" s="63">
        <f t="shared" si="93"/>
        <v>3</v>
      </c>
      <c r="G165" s="59"/>
      <c r="H165" s="60">
        <v>4</v>
      </c>
      <c r="I165" s="61"/>
      <c r="J165" s="62"/>
      <c r="K165" s="63">
        <f t="shared" si="94"/>
        <v>4</v>
      </c>
      <c r="L165" s="11">
        <f t="shared" si="88"/>
        <v>7</v>
      </c>
      <c r="M165" s="85">
        <v>45070</v>
      </c>
      <c r="N165" s="50" t="s">
        <v>168</v>
      </c>
      <c r="O165" s="25"/>
      <c r="P165" s="45"/>
      <c r="Q165" s="26"/>
      <c r="R165" s="32"/>
      <c r="S165" s="33">
        <f t="shared" si="91"/>
        <v>0</v>
      </c>
      <c r="T165" s="25"/>
      <c r="U165" s="45"/>
      <c r="V165" s="26">
        <v>5</v>
      </c>
      <c r="W165" s="32"/>
      <c r="X165" s="33">
        <f t="shared" si="92"/>
        <v>5</v>
      </c>
      <c r="Y165" s="11">
        <f t="shared" si="87"/>
        <v>5</v>
      </c>
      <c r="Z165" s="85">
        <v>45076</v>
      </c>
      <c r="AA165" s="51"/>
    </row>
    <row r="166" spans="1:27" x14ac:dyDescent="0.15">
      <c r="A166" s="70" t="s">
        <v>30</v>
      </c>
      <c r="B166" s="25"/>
      <c r="C166" s="45"/>
      <c r="D166" s="26">
        <v>1</v>
      </c>
      <c r="E166" s="32"/>
      <c r="F166" s="33">
        <f t="shared" si="93"/>
        <v>1</v>
      </c>
      <c r="G166" s="25"/>
      <c r="H166" s="45"/>
      <c r="I166" s="26"/>
      <c r="J166" s="32"/>
      <c r="K166" s="33">
        <f t="shared" si="94"/>
        <v>0</v>
      </c>
      <c r="L166" s="11">
        <f t="shared" si="88"/>
        <v>1</v>
      </c>
      <c r="M166" s="115">
        <v>45071</v>
      </c>
      <c r="N166" s="50" t="s">
        <v>28</v>
      </c>
      <c r="O166" s="25"/>
      <c r="P166" s="45">
        <v>5</v>
      </c>
      <c r="Q166" s="26"/>
      <c r="R166" s="32"/>
      <c r="S166" s="33">
        <f t="shared" si="91"/>
        <v>5</v>
      </c>
      <c r="T166" s="25"/>
      <c r="U166" s="45"/>
      <c r="V166" s="26"/>
      <c r="W166" s="32"/>
      <c r="X166" s="33">
        <f t="shared" si="92"/>
        <v>0</v>
      </c>
      <c r="Y166" s="11">
        <f t="shared" si="87"/>
        <v>5</v>
      </c>
      <c r="Z166" s="85">
        <v>45072</v>
      </c>
      <c r="AA166" s="51"/>
    </row>
    <row r="167" spans="1:27" x14ac:dyDescent="0.15">
      <c r="A167" s="70" t="s">
        <v>169</v>
      </c>
      <c r="B167" s="25"/>
      <c r="C167" s="45">
        <v>-5</v>
      </c>
      <c r="D167" s="26"/>
      <c r="E167" s="32"/>
      <c r="F167" s="33">
        <f t="shared" si="93"/>
        <v>-5</v>
      </c>
      <c r="G167" s="25"/>
      <c r="H167" s="45"/>
      <c r="I167" s="26"/>
      <c r="J167" s="32"/>
      <c r="K167" s="33">
        <f t="shared" si="94"/>
        <v>0</v>
      </c>
      <c r="L167" s="11">
        <f t="shared" si="88"/>
        <v>-5</v>
      </c>
      <c r="M167" s="85">
        <v>45072</v>
      </c>
      <c r="N167" s="50" t="s">
        <v>171</v>
      </c>
      <c r="O167" s="25"/>
      <c r="P167" s="45"/>
      <c r="Q167" s="26"/>
      <c r="R167" s="32"/>
      <c r="S167" s="33">
        <f t="shared" ref="S167:S168" si="95">SUM(O167:R167)</f>
        <v>0</v>
      </c>
      <c r="T167" s="25">
        <v>10</v>
      </c>
      <c r="U167" s="45"/>
      <c r="V167" s="26"/>
      <c r="W167" s="32"/>
      <c r="X167" s="33">
        <f t="shared" ref="X167:X168" si="96">SUM(T167:W167)</f>
        <v>10</v>
      </c>
      <c r="Y167" s="11">
        <f t="shared" ref="Y167:Y168" si="97">S167+X167</f>
        <v>10</v>
      </c>
      <c r="Z167" s="85">
        <v>45079</v>
      </c>
    </row>
    <row r="168" spans="1:27" x14ac:dyDescent="0.15">
      <c r="A168" s="15" t="s">
        <v>108</v>
      </c>
      <c r="B168" s="25">
        <v>1</v>
      </c>
      <c r="C168" s="45">
        <v>1</v>
      </c>
      <c r="D168" s="26">
        <v>1</v>
      </c>
      <c r="E168" s="32"/>
      <c r="F168" s="33">
        <f t="shared" si="93"/>
        <v>3</v>
      </c>
      <c r="G168" s="25"/>
      <c r="H168" s="45"/>
      <c r="I168" s="26"/>
      <c r="J168" s="32"/>
      <c r="K168" s="33">
        <f t="shared" si="94"/>
        <v>0</v>
      </c>
      <c r="L168" s="11">
        <f t="shared" si="88"/>
        <v>3</v>
      </c>
      <c r="M168" s="85">
        <v>45072</v>
      </c>
      <c r="N168" s="50" t="s">
        <v>172</v>
      </c>
      <c r="O168" s="25"/>
      <c r="P168" s="45"/>
      <c r="Q168" s="26">
        <v>5</v>
      </c>
      <c r="R168" s="32"/>
      <c r="S168" s="33">
        <f t="shared" si="95"/>
        <v>5</v>
      </c>
      <c r="T168" s="25"/>
      <c r="U168" s="45"/>
      <c r="V168" s="26"/>
      <c r="W168" s="32"/>
      <c r="X168" s="33">
        <f t="shared" si="96"/>
        <v>0</v>
      </c>
      <c r="Y168" s="11">
        <f t="shared" si="97"/>
        <v>5</v>
      </c>
      <c r="Z168" s="85">
        <v>45082</v>
      </c>
    </row>
    <row r="169" spans="1:27" x14ac:dyDescent="0.15">
      <c r="A169" s="70" t="s">
        <v>30</v>
      </c>
      <c r="B169" s="25"/>
      <c r="C169" s="45">
        <v>1</v>
      </c>
      <c r="D169" s="26"/>
      <c r="E169" s="32"/>
      <c r="F169" s="33">
        <f t="shared" si="93"/>
        <v>1</v>
      </c>
      <c r="G169" s="25"/>
      <c r="H169" s="45">
        <v>1</v>
      </c>
      <c r="I169" s="26"/>
      <c r="J169" s="32"/>
      <c r="K169" s="33">
        <f t="shared" si="94"/>
        <v>1</v>
      </c>
      <c r="L169" s="11">
        <f t="shared" si="88"/>
        <v>2</v>
      </c>
      <c r="M169" s="115">
        <v>45072</v>
      </c>
      <c r="N169" s="15" t="s">
        <v>173</v>
      </c>
      <c r="O169" s="25">
        <v>1</v>
      </c>
      <c r="P169" s="45">
        <v>3</v>
      </c>
      <c r="Q169" s="26">
        <v>1</v>
      </c>
      <c r="R169" s="32">
        <v>1</v>
      </c>
      <c r="S169" s="33">
        <f t="shared" si="91"/>
        <v>6</v>
      </c>
      <c r="T169" s="25">
        <v>2</v>
      </c>
      <c r="U169" s="45">
        <v>3</v>
      </c>
      <c r="V169" s="26">
        <v>2</v>
      </c>
      <c r="W169" s="32">
        <v>2</v>
      </c>
      <c r="X169" s="33">
        <f t="shared" si="92"/>
        <v>9</v>
      </c>
      <c r="Y169" s="11">
        <f t="shared" si="87"/>
        <v>15</v>
      </c>
      <c r="Z169" s="85">
        <v>45078</v>
      </c>
    </row>
    <row r="170" spans="1:27" x14ac:dyDescent="0.15">
      <c r="A170" s="15" t="s">
        <v>170</v>
      </c>
      <c r="B170" s="25"/>
      <c r="C170" s="45"/>
      <c r="D170" s="26"/>
      <c r="E170" s="32"/>
      <c r="F170" s="33">
        <f t="shared" si="93"/>
        <v>0</v>
      </c>
      <c r="G170" s="25"/>
      <c r="H170" s="45">
        <v>1</v>
      </c>
      <c r="I170" s="26"/>
      <c r="J170" s="32"/>
      <c r="K170" s="33">
        <f t="shared" si="94"/>
        <v>1</v>
      </c>
      <c r="L170" s="11">
        <f t="shared" si="88"/>
        <v>1</v>
      </c>
      <c r="M170" s="85">
        <v>45076</v>
      </c>
      <c r="N170" s="50" t="s">
        <v>28</v>
      </c>
      <c r="O170" s="25"/>
      <c r="P170" s="45">
        <v>3</v>
      </c>
      <c r="Q170" s="26"/>
      <c r="R170" s="32"/>
      <c r="S170" s="33">
        <f t="shared" si="91"/>
        <v>3</v>
      </c>
      <c r="T170" s="25"/>
      <c r="U170" s="45"/>
      <c r="V170" s="26"/>
      <c r="W170" s="32"/>
      <c r="X170" s="33">
        <f t="shared" si="92"/>
        <v>0</v>
      </c>
      <c r="Y170" s="11">
        <f t="shared" si="87"/>
        <v>3</v>
      </c>
      <c r="Z170" s="85">
        <v>45078</v>
      </c>
      <c r="AA170" s="51"/>
    </row>
    <row r="171" spans="1:27" x14ac:dyDescent="0.15">
      <c r="A171" s="70" t="s">
        <v>30</v>
      </c>
      <c r="B171" s="25"/>
      <c r="C171" s="45">
        <v>2</v>
      </c>
      <c r="D171" s="26">
        <v>1</v>
      </c>
      <c r="E171" s="32">
        <f>1+1</f>
        <v>2</v>
      </c>
      <c r="F171" s="33">
        <f t="shared" si="93"/>
        <v>5</v>
      </c>
      <c r="G171" s="25"/>
      <c r="H171" s="45">
        <v>1</v>
      </c>
      <c r="I171" s="26"/>
      <c r="J171" s="32"/>
      <c r="K171" s="33">
        <f t="shared" si="94"/>
        <v>1</v>
      </c>
      <c r="L171" s="11">
        <f t="shared" si="88"/>
        <v>6</v>
      </c>
      <c r="M171" s="115">
        <v>45075</v>
      </c>
      <c r="N171" s="15" t="s">
        <v>177</v>
      </c>
      <c r="O171" s="25"/>
      <c r="P171" s="45">
        <v>1</v>
      </c>
      <c r="Q171" s="26"/>
      <c r="R171" s="32">
        <v>1</v>
      </c>
      <c r="S171" s="33">
        <f t="shared" si="91"/>
        <v>2</v>
      </c>
      <c r="T171" s="25"/>
      <c r="U171" s="45">
        <v>2</v>
      </c>
      <c r="V171" s="26"/>
      <c r="W171" s="32">
        <v>3</v>
      </c>
      <c r="X171" s="33">
        <f t="shared" si="92"/>
        <v>5</v>
      </c>
      <c r="Y171" s="11">
        <f t="shared" si="87"/>
        <v>7</v>
      </c>
      <c r="Z171" s="85">
        <v>45084</v>
      </c>
    </row>
    <row r="172" spans="1:27" x14ac:dyDescent="0.15">
      <c r="A172" s="70" t="s">
        <v>30</v>
      </c>
      <c r="B172" s="25"/>
      <c r="C172" s="45"/>
      <c r="D172" s="26"/>
      <c r="E172" s="32"/>
      <c r="F172" s="33">
        <f t="shared" ref="F172" si="98">SUM(B172:E172)</f>
        <v>0</v>
      </c>
      <c r="G172" s="25"/>
      <c r="H172" s="45">
        <v>1</v>
      </c>
      <c r="I172" s="26"/>
      <c r="J172" s="32"/>
      <c r="K172" s="33">
        <f t="shared" ref="K172" si="99">SUM(G172:J172)</f>
        <v>1</v>
      </c>
      <c r="L172" s="11">
        <f t="shared" ref="L172" si="100">F172+K172</f>
        <v>1</v>
      </c>
      <c r="M172" s="115">
        <v>45076</v>
      </c>
      <c r="N172" s="95" t="s">
        <v>178</v>
      </c>
      <c r="O172" s="25">
        <v>8</v>
      </c>
      <c r="P172" s="45"/>
      <c r="Q172" s="26">
        <v>8</v>
      </c>
      <c r="R172" s="32">
        <v>8</v>
      </c>
      <c r="S172" s="33">
        <f t="shared" si="91"/>
        <v>24</v>
      </c>
      <c r="T172" s="25">
        <v>8</v>
      </c>
      <c r="U172" s="45"/>
      <c r="V172" s="26"/>
      <c r="W172" s="32"/>
      <c r="X172" s="33">
        <f t="shared" si="92"/>
        <v>8</v>
      </c>
      <c r="Y172" s="11">
        <f t="shared" si="87"/>
        <v>32</v>
      </c>
      <c r="Z172" s="85">
        <v>45097</v>
      </c>
    </row>
    <row r="173" spans="1:27" x14ac:dyDescent="0.15">
      <c r="A173" s="70" t="s">
        <v>149</v>
      </c>
      <c r="B173" s="25"/>
      <c r="C173" s="45">
        <v>-3</v>
      </c>
      <c r="D173" s="26"/>
      <c r="E173" s="32"/>
      <c r="F173" s="33">
        <f t="shared" si="93"/>
        <v>-3</v>
      </c>
      <c r="G173" s="25"/>
      <c r="H173" s="45"/>
      <c r="I173" s="26"/>
      <c r="J173" s="32"/>
      <c r="K173" s="33">
        <f t="shared" si="94"/>
        <v>0</v>
      </c>
      <c r="L173" s="11">
        <f t="shared" si="88"/>
        <v>-3</v>
      </c>
      <c r="M173" s="85">
        <v>45078</v>
      </c>
      <c r="N173" s="50" t="s">
        <v>179</v>
      </c>
      <c r="O173" s="25">
        <v>4</v>
      </c>
      <c r="P173" s="45">
        <v>4</v>
      </c>
      <c r="Q173" s="26">
        <v>4</v>
      </c>
      <c r="R173" s="32"/>
      <c r="S173" s="33">
        <f t="shared" si="91"/>
        <v>12</v>
      </c>
      <c r="T173" s="25"/>
      <c r="U173" s="45">
        <v>4</v>
      </c>
      <c r="V173" s="26">
        <v>4</v>
      </c>
      <c r="W173" s="32">
        <v>4</v>
      </c>
      <c r="X173" s="33">
        <f t="shared" si="92"/>
        <v>12</v>
      </c>
      <c r="Y173" s="11">
        <f t="shared" si="87"/>
        <v>24</v>
      </c>
      <c r="Z173" s="85">
        <v>45097</v>
      </c>
    </row>
    <row r="174" spans="1:27" x14ac:dyDescent="0.15">
      <c r="A174" s="70" t="s">
        <v>30</v>
      </c>
      <c r="B174" s="25"/>
      <c r="C174" s="45">
        <v>1</v>
      </c>
      <c r="D174" s="26"/>
      <c r="E174" s="32"/>
      <c r="F174" s="33">
        <f t="shared" si="93"/>
        <v>1</v>
      </c>
      <c r="G174" s="25"/>
      <c r="H174" s="45"/>
      <c r="I174" s="26"/>
      <c r="J174" s="32"/>
      <c r="K174" s="33">
        <f t="shared" si="94"/>
        <v>0</v>
      </c>
      <c r="L174" s="11">
        <f t="shared" si="88"/>
        <v>1</v>
      </c>
      <c r="M174" s="85">
        <v>45078</v>
      </c>
      <c r="N174" s="13" t="s">
        <v>180</v>
      </c>
      <c r="O174" s="25"/>
      <c r="P174" s="45"/>
      <c r="Q174" s="26"/>
      <c r="R174" s="32">
        <v>5</v>
      </c>
      <c r="S174" s="33">
        <f t="shared" si="91"/>
        <v>5</v>
      </c>
      <c r="T174" s="25"/>
      <c r="U174" s="45"/>
      <c r="V174" s="26"/>
      <c r="W174" s="32"/>
      <c r="X174" s="33">
        <f t="shared" si="92"/>
        <v>0</v>
      </c>
      <c r="Y174" s="11">
        <f t="shared" si="87"/>
        <v>5</v>
      </c>
      <c r="Z174" s="85">
        <v>45090</v>
      </c>
    </row>
    <row r="175" spans="1:27" x14ac:dyDescent="0.15">
      <c r="A175" s="70" t="s">
        <v>175</v>
      </c>
      <c r="B175" s="25">
        <v>1</v>
      </c>
      <c r="C175" s="45"/>
      <c r="D175" s="26"/>
      <c r="E175" s="32"/>
      <c r="F175" s="33">
        <f t="shared" si="93"/>
        <v>1</v>
      </c>
      <c r="G175" s="25"/>
      <c r="H175" s="45"/>
      <c r="I175" s="26"/>
      <c r="J175" s="32"/>
      <c r="K175" s="33">
        <f t="shared" si="94"/>
        <v>0</v>
      </c>
      <c r="L175" s="11">
        <f t="shared" si="88"/>
        <v>1</v>
      </c>
      <c r="M175" s="115">
        <v>45078</v>
      </c>
      <c r="N175" s="15" t="s">
        <v>182</v>
      </c>
      <c r="O175" s="25"/>
      <c r="P175" s="45">
        <v>2</v>
      </c>
      <c r="Q175" s="26"/>
      <c r="R175" s="32"/>
      <c r="S175" s="33">
        <f t="shared" si="91"/>
        <v>2</v>
      </c>
      <c r="T175" s="25">
        <v>2</v>
      </c>
      <c r="U175" s="45">
        <v>1</v>
      </c>
      <c r="V175" s="26"/>
      <c r="W175" s="32">
        <v>1</v>
      </c>
      <c r="X175" s="33">
        <f t="shared" si="92"/>
        <v>4</v>
      </c>
      <c r="Y175" s="11">
        <f t="shared" si="87"/>
        <v>6</v>
      </c>
      <c r="Z175" s="85">
        <v>45086</v>
      </c>
    </row>
    <row r="176" spans="1:27" x14ac:dyDescent="0.15">
      <c r="A176" s="15" t="s">
        <v>176</v>
      </c>
      <c r="B176" s="25"/>
      <c r="C176" s="45"/>
      <c r="D176" s="26"/>
      <c r="E176" s="32"/>
      <c r="F176" s="33">
        <f t="shared" si="93"/>
        <v>0</v>
      </c>
      <c r="G176" s="25">
        <v>1</v>
      </c>
      <c r="H176" s="45"/>
      <c r="I176" s="26"/>
      <c r="J176" s="32"/>
      <c r="K176" s="33">
        <f t="shared" si="94"/>
        <v>1</v>
      </c>
      <c r="L176" s="11">
        <f t="shared" si="88"/>
        <v>1</v>
      </c>
      <c r="M176" s="85">
        <v>45082</v>
      </c>
      <c r="N176" s="50" t="s">
        <v>183</v>
      </c>
      <c r="O176" s="25">
        <v>10</v>
      </c>
      <c r="P176" s="45"/>
      <c r="Q176" s="26"/>
      <c r="R176" s="32"/>
      <c r="S176" s="33">
        <f t="shared" si="91"/>
        <v>10</v>
      </c>
      <c r="T176" s="25"/>
      <c r="U176" s="45"/>
      <c r="V176" s="26"/>
      <c r="W176" s="32"/>
      <c r="X176" s="33">
        <f t="shared" si="92"/>
        <v>0</v>
      </c>
      <c r="Y176" s="11">
        <f t="shared" si="87"/>
        <v>10</v>
      </c>
      <c r="Z176" s="85">
        <v>45089</v>
      </c>
    </row>
    <row r="177" spans="1:26" x14ac:dyDescent="0.15">
      <c r="A177" s="70" t="s">
        <v>30</v>
      </c>
      <c r="B177" s="25"/>
      <c r="C177" s="45"/>
      <c r="D177" s="26"/>
      <c r="E177" s="32"/>
      <c r="F177" s="33">
        <f t="shared" si="93"/>
        <v>0</v>
      </c>
      <c r="G177" s="25"/>
      <c r="H177" s="45"/>
      <c r="I177" s="26"/>
      <c r="J177" s="32">
        <v>1</v>
      </c>
      <c r="K177" s="33">
        <f t="shared" si="94"/>
        <v>1</v>
      </c>
      <c r="L177" s="11">
        <f t="shared" si="88"/>
        <v>1</v>
      </c>
      <c r="M177" s="115">
        <v>45082</v>
      </c>
      <c r="N177" s="50" t="s">
        <v>184</v>
      </c>
      <c r="O177" s="25"/>
      <c r="P177" s="45">
        <v>3</v>
      </c>
      <c r="Q177" s="26">
        <v>3</v>
      </c>
      <c r="R177" s="48"/>
      <c r="S177" s="9">
        <f t="shared" si="91"/>
        <v>6</v>
      </c>
      <c r="T177" s="25">
        <v>3</v>
      </c>
      <c r="U177" s="45"/>
      <c r="V177" s="26">
        <v>3</v>
      </c>
      <c r="W177" s="32">
        <v>3</v>
      </c>
      <c r="X177" s="33">
        <f t="shared" si="92"/>
        <v>9</v>
      </c>
      <c r="Y177" s="11">
        <f t="shared" si="87"/>
        <v>15</v>
      </c>
      <c r="Z177" s="85">
        <v>45085</v>
      </c>
    </row>
    <row r="178" spans="1:26" x14ac:dyDescent="0.15">
      <c r="A178" s="15" t="s">
        <v>181</v>
      </c>
      <c r="B178" s="25"/>
      <c r="C178" s="45">
        <v>1</v>
      </c>
      <c r="D178" s="26">
        <v>1</v>
      </c>
      <c r="E178" s="32"/>
      <c r="F178" s="33">
        <f t="shared" si="93"/>
        <v>2</v>
      </c>
      <c r="G178" s="25"/>
      <c r="H178" s="45"/>
      <c r="I178" s="26"/>
      <c r="J178" s="32"/>
      <c r="K178" s="33">
        <f t="shared" si="94"/>
        <v>0</v>
      </c>
      <c r="L178" s="11">
        <f t="shared" si="88"/>
        <v>2</v>
      </c>
      <c r="M178" s="85">
        <v>45085</v>
      </c>
      <c r="N178" s="15" t="s">
        <v>186</v>
      </c>
      <c r="O178" s="25">
        <v>1</v>
      </c>
      <c r="P178" s="45"/>
      <c r="Q178" s="26">
        <v>2</v>
      </c>
      <c r="R178" s="32">
        <v>2</v>
      </c>
      <c r="S178" s="33">
        <f t="shared" si="91"/>
        <v>5</v>
      </c>
      <c r="T178" s="25">
        <v>1</v>
      </c>
      <c r="U178" s="45"/>
      <c r="V178" s="26"/>
      <c r="W178" s="32"/>
      <c r="X178" s="33">
        <f t="shared" si="92"/>
        <v>1</v>
      </c>
      <c r="Y178" s="11">
        <f t="shared" si="87"/>
        <v>6</v>
      </c>
      <c r="Z178" s="85">
        <v>45089</v>
      </c>
    </row>
    <row r="179" spans="1:26" x14ac:dyDescent="0.15">
      <c r="A179" s="70" t="s">
        <v>30</v>
      </c>
      <c r="B179" s="25">
        <v>1</v>
      </c>
      <c r="C179" s="45"/>
      <c r="D179" s="26"/>
      <c r="E179" s="32"/>
      <c r="F179" s="33">
        <f t="shared" si="93"/>
        <v>1</v>
      </c>
      <c r="G179" s="25"/>
      <c r="H179" s="45"/>
      <c r="I179" s="26"/>
      <c r="J179" s="32"/>
      <c r="K179" s="33">
        <f t="shared" si="94"/>
        <v>0</v>
      </c>
      <c r="L179" s="11">
        <f t="shared" si="88"/>
        <v>1</v>
      </c>
      <c r="M179" s="85">
        <v>45085</v>
      </c>
      <c r="N179" s="50" t="s">
        <v>188</v>
      </c>
      <c r="O179" s="25"/>
      <c r="P179" s="45"/>
      <c r="Q179" s="26"/>
      <c r="R179" s="32">
        <v>5</v>
      </c>
      <c r="S179" s="33">
        <f t="shared" si="91"/>
        <v>5</v>
      </c>
      <c r="T179" s="25"/>
      <c r="U179" s="45">
        <v>5</v>
      </c>
      <c r="V179" s="26"/>
      <c r="W179" s="32"/>
      <c r="X179" s="33">
        <f t="shared" si="92"/>
        <v>5</v>
      </c>
      <c r="Y179" s="11">
        <f t="shared" si="87"/>
        <v>10</v>
      </c>
      <c r="Z179" s="85">
        <v>45092</v>
      </c>
    </row>
    <row r="180" spans="1:26" x14ac:dyDescent="0.15">
      <c r="A180" s="15" t="s">
        <v>185</v>
      </c>
      <c r="B180" s="25"/>
      <c r="C180" s="45">
        <v>-3</v>
      </c>
      <c r="D180" s="26">
        <v>-3</v>
      </c>
      <c r="E180" s="32"/>
      <c r="F180" s="33">
        <f t="shared" si="93"/>
        <v>-6</v>
      </c>
      <c r="G180" s="25">
        <v>-3</v>
      </c>
      <c r="H180" s="45"/>
      <c r="I180" s="26">
        <v>-3</v>
      </c>
      <c r="J180" s="32">
        <v>-3</v>
      </c>
      <c r="K180" s="33">
        <f t="shared" si="94"/>
        <v>-9</v>
      </c>
      <c r="L180" s="11">
        <f t="shared" si="88"/>
        <v>-15</v>
      </c>
      <c r="M180" s="85">
        <v>45085</v>
      </c>
      <c r="N180" s="50" t="s">
        <v>191</v>
      </c>
      <c r="O180" s="25"/>
      <c r="P180" s="45"/>
      <c r="Q180" s="26">
        <v>10</v>
      </c>
      <c r="R180" s="32"/>
      <c r="S180" s="33">
        <f t="shared" si="91"/>
        <v>10</v>
      </c>
      <c r="T180" s="25"/>
      <c r="U180" s="45"/>
      <c r="V180" s="26">
        <v>10</v>
      </c>
      <c r="W180" s="32"/>
      <c r="X180" s="33">
        <f t="shared" si="92"/>
        <v>10</v>
      </c>
      <c r="Y180" s="11">
        <f t="shared" si="87"/>
        <v>20</v>
      </c>
      <c r="Z180" s="85">
        <v>45104</v>
      </c>
    </row>
    <row r="181" spans="1:26" x14ac:dyDescent="0.15">
      <c r="A181" s="15" t="s">
        <v>187</v>
      </c>
      <c r="B181" s="25"/>
      <c r="C181" s="45"/>
      <c r="D181" s="26">
        <v>1</v>
      </c>
      <c r="E181" s="32"/>
      <c r="F181" s="33">
        <f t="shared" si="93"/>
        <v>1</v>
      </c>
      <c r="G181" s="25"/>
      <c r="H181" s="45"/>
      <c r="I181" s="26"/>
      <c r="J181" s="32">
        <v>1</v>
      </c>
      <c r="K181" s="33">
        <f t="shared" si="94"/>
        <v>1</v>
      </c>
      <c r="L181" s="11">
        <f t="shared" si="88"/>
        <v>2</v>
      </c>
      <c r="M181" s="85">
        <v>45090</v>
      </c>
      <c r="N181" s="50" t="s">
        <v>193</v>
      </c>
      <c r="O181" s="25"/>
      <c r="P181" s="45"/>
      <c r="Q181" s="26"/>
      <c r="R181" s="32"/>
      <c r="S181" s="33">
        <f t="shared" si="91"/>
        <v>0</v>
      </c>
      <c r="T181" s="25"/>
      <c r="U181" s="45"/>
      <c r="V181" s="26"/>
      <c r="W181" s="32">
        <v>5</v>
      </c>
      <c r="X181" s="33">
        <f t="shared" si="92"/>
        <v>5</v>
      </c>
      <c r="Y181" s="93">
        <f t="shared" si="87"/>
        <v>5</v>
      </c>
      <c r="Z181" s="85">
        <v>45098</v>
      </c>
    </row>
    <row r="182" spans="1:26" x14ac:dyDescent="0.15">
      <c r="A182" s="70" t="s">
        <v>30</v>
      </c>
      <c r="B182" s="25"/>
      <c r="C182" s="45"/>
      <c r="D182" s="26"/>
      <c r="E182" s="32"/>
      <c r="F182" s="33">
        <f t="shared" si="93"/>
        <v>0</v>
      </c>
      <c r="G182" s="25">
        <v>1</v>
      </c>
      <c r="H182" s="45">
        <v>1</v>
      </c>
      <c r="I182" s="26">
        <v>1</v>
      </c>
      <c r="J182" s="32"/>
      <c r="K182" s="33">
        <f t="shared" si="94"/>
        <v>3</v>
      </c>
      <c r="L182" s="11">
        <f t="shared" si="88"/>
        <v>3</v>
      </c>
      <c r="M182" s="115">
        <v>45089</v>
      </c>
      <c r="N182" s="12" t="s">
        <v>194</v>
      </c>
      <c r="O182" s="25"/>
      <c r="P182" s="45">
        <v>4</v>
      </c>
      <c r="Q182" s="26"/>
      <c r="R182" s="32">
        <v>3</v>
      </c>
      <c r="S182" s="33">
        <f t="shared" si="91"/>
        <v>7</v>
      </c>
      <c r="T182" s="25"/>
      <c r="U182" s="45"/>
      <c r="V182" s="26">
        <v>5</v>
      </c>
      <c r="W182" s="32"/>
      <c r="X182" s="33">
        <f t="shared" si="92"/>
        <v>5</v>
      </c>
      <c r="Y182" s="93">
        <f t="shared" si="87"/>
        <v>12</v>
      </c>
      <c r="Z182" s="85">
        <v>45098</v>
      </c>
    </row>
    <row r="183" spans="1:26" x14ac:dyDescent="0.15">
      <c r="A183" s="15" t="s">
        <v>108</v>
      </c>
      <c r="B183" s="25">
        <v>1</v>
      </c>
      <c r="C183" s="45"/>
      <c r="D183" s="26"/>
      <c r="E183" s="32"/>
      <c r="F183" s="33">
        <f t="shared" si="93"/>
        <v>1</v>
      </c>
      <c r="G183" s="25"/>
      <c r="H183" s="45">
        <v>1</v>
      </c>
      <c r="I183" s="26"/>
      <c r="J183" s="32"/>
      <c r="K183" s="33">
        <f t="shared" si="94"/>
        <v>1</v>
      </c>
      <c r="L183" s="11">
        <f t="shared" si="88"/>
        <v>2</v>
      </c>
      <c r="M183" s="85">
        <v>45090</v>
      </c>
      <c r="N183" s="50" t="s">
        <v>196</v>
      </c>
      <c r="O183" s="59">
        <v>5</v>
      </c>
      <c r="P183" s="60"/>
      <c r="Q183" s="61"/>
      <c r="R183" s="62"/>
      <c r="S183" s="63">
        <f t="shared" si="91"/>
        <v>5</v>
      </c>
      <c r="T183" s="59"/>
      <c r="U183" s="60"/>
      <c r="V183" s="61"/>
      <c r="W183" s="62"/>
      <c r="X183" s="63">
        <f t="shared" si="92"/>
        <v>0</v>
      </c>
      <c r="Y183" s="11">
        <f t="shared" si="87"/>
        <v>5</v>
      </c>
      <c r="Z183" s="85">
        <v>45100</v>
      </c>
    </row>
    <row r="184" spans="1:26" x14ac:dyDescent="0.15">
      <c r="A184" s="15" t="s">
        <v>108</v>
      </c>
      <c r="B184" s="25">
        <v>1</v>
      </c>
      <c r="C184" s="45"/>
      <c r="D184" s="26"/>
      <c r="E184" s="32"/>
      <c r="F184" s="33">
        <f t="shared" si="93"/>
        <v>1</v>
      </c>
      <c r="G184" s="25"/>
      <c r="H184" s="45"/>
      <c r="I184" s="26">
        <v>1</v>
      </c>
      <c r="J184" s="32"/>
      <c r="K184" s="33">
        <f t="shared" si="94"/>
        <v>1</v>
      </c>
      <c r="L184" s="11">
        <f t="shared" si="88"/>
        <v>2</v>
      </c>
      <c r="M184" s="85">
        <v>45091</v>
      </c>
      <c r="N184" s="50" t="s">
        <v>196</v>
      </c>
      <c r="O184" s="25"/>
      <c r="P184" s="45"/>
      <c r="Q184" s="26"/>
      <c r="R184" s="32">
        <v>10</v>
      </c>
      <c r="S184" s="33">
        <f t="shared" si="91"/>
        <v>10</v>
      </c>
      <c r="T184" s="25"/>
      <c r="U184" s="45"/>
      <c r="V184" s="26"/>
      <c r="W184" s="32"/>
      <c r="X184" s="33">
        <f t="shared" si="92"/>
        <v>0</v>
      </c>
      <c r="Y184" s="11">
        <f t="shared" si="87"/>
        <v>10</v>
      </c>
      <c r="Z184" s="85">
        <v>45107</v>
      </c>
    </row>
    <row r="185" spans="1:26" x14ac:dyDescent="0.15">
      <c r="A185" s="15" t="s">
        <v>190</v>
      </c>
      <c r="B185" s="25"/>
      <c r="C185" s="45"/>
      <c r="D185" s="26"/>
      <c r="E185" s="32"/>
      <c r="F185" s="33">
        <f t="shared" si="93"/>
        <v>0</v>
      </c>
      <c r="G185" s="25">
        <v>1</v>
      </c>
      <c r="H185" s="45"/>
      <c r="I185" s="26"/>
      <c r="J185" s="32"/>
      <c r="K185" s="33">
        <f t="shared" si="94"/>
        <v>1</v>
      </c>
      <c r="L185" s="11">
        <f t="shared" si="88"/>
        <v>1</v>
      </c>
      <c r="M185" s="85">
        <v>45092</v>
      </c>
      <c r="N185" s="50"/>
      <c r="O185" s="25"/>
      <c r="P185" s="45"/>
      <c r="Q185" s="26"/>
      <c r="R185" s="32"/>
      <c r="S185" s="33">
        <f t="shared" ref="S185" si="101">SUM(O185:R185)</f>
        <v>0</v>
      </c>
      <c r="T185" s="25"/>
      <c r="U185" s="45"/>
      <c r="V185" s="26"/>
      <c r="W185" s="32"/>
      <c r="X185" s="33">
        <f t="shared" ref="X185" si="102">SUM(T185:W185)</f>
        <v>0</v>
      </c>
      <c r="Y185" s="11">
        <f t="shared" ref="Y185" si="103">S185+X185</f>
        <v>0</v>
      </c>
      <c r="Z185" s="159"/>
    </row>
    <row r="186" spans="1:26" ht="14.25" thickBot="1" x14ac:dyDescent="0.2">
      <c r="A186" s="70" t="s">
        <v>30</v>
      </c>
      <c r="B186" s="55">
        <v>1</v>
      </c>
      <c r="C186" s="56"/>
      <c r="D186" s="57"/>
      <c r="E186" s="58"/>
      <c r="F186" s="33">
        <f t="shared" si="93"/>
        <v>1</v>
      </c>
      <c r="G186" s="55"/>
      <c r="H186" s="56"/>
      <c r="I186" s="57"/>
      <c r="J186" s="58"/>
      <c r="K186" s="33">
        <f t="shared" si="94"/>
        <v>0</v>
      </c>
      <c r="L186" s="14">
        <f t="shared" si="88"/>
        <v>1</v>
      </c>
      <c r="M186" s="115">
        <v>45091</v>
      </c>
      <c r="N186" s="74" t="s">
        <v>59</v>
      </c>
      <c r="O186" s="55"/>
      <c r="P186" s="56"/>
      <c r="Q186" s="57"/>
      <c r="R186" s="58"/>
      <c r="S186" s="109">
        <f t="shared" ref="S186" si="104">SUM(O186:R186)</f>
        <v>0</v>
      </c>
      <c r="T186" s="55"/>
      <c r="U186" s="56"/>
      <c r="V186" s="57"/>
      <c r="W186" s="58"/>
      <c r="X186" s="109">
        <f t="shared" ref="X186" si="105">SUM(T186:W186)</f>
        <v>0</v>
      </c>
      <c r="Y186" s="107">
        <f t="shared" ref="Y186" si="106">S186+X186</f>
        <v>0</v>
      </c>
      <c r="Z186" s="159" t="s">
        <v>60</v>
      </c>
    </row>
    <row r="187" spans="1:26" ht="14.25" thickBot="1" x14ac:dyDescent="0.2">
      <c r="A187" s="16" t="s">
        <v>10</v>
      </c>
      <c r="B187" s="36">
        <f>SUM(B162:B186)</f>
        <v>7</v>
      </c>
      <c r="C187" s="46">
        <f>SUM(C162:C186)</f>
        <v>0</v>
      </c>
      <c r="D187" s="37">
        <f>SUM(D162:D186)</f>
        <v>3</v>
      </c>
      <c r="E187" s="38">
        <f>SUM(E162:E186)</f>
        <v>2</v>
      </c>
      <c r="F187" s="34">
        <f>SUM(B187:E187)</f>
        <v>12</v>
      </c>
      <c r="G187" s="36">
        <f>SUM(G162:G186)</f>
        <v>0</v>
      </c>
      <c r="H187" s="46">
        <f>SUM(H162:H186)</f>
        <v>10</v>
      </c>
      <c r="I187" s="37">
        <f>SUM(I162:I186)</f>
        <v>0</v>
      </c>
      <c r="J187" s="38">
        <f>SUM(J162:J186)</f>
        <v>-1</v>
      </c>
      <c r="K187" s="34">
        <f>SUM(G187:J187)</f>
        <v>9</v>
      </c>
      <c r="L187" s="35">
        <f t="shared" si="88"/>
        <v>21</v>
      </c>
      <c r="N187" s="72" t="s">
        <v>10</v>
      </c>
      <c r="O187" s="36">
        <f>SUM(O162:O186)</f>
        <v>39</v>
      </c>
      <c r="P187" s="46">
        <f>SUM(P162:P186)</f>
        <v>35</v>
      </c>
      <c r="Q187" s="37">
        <f>SUM(Q162:Q186)</f>
        <v>38</v>
      </c>
      <c r="R187" s="38">
        <f>SUM(R162:R186)</f>
        <v>40</v>
      </c>
      <c r="S187" s="71">
        <f t="shared" si="91"/>
        <v>152</v>
      </c>
      <c r="T187" s="36">
        <f>SUM(T162:T186)</f>
        <v>36</v>
      </c>
      <c r="U187" s="46">
        <f>SUM(U162:U186)</f>
        <v>45</v>
      </c>
      <c r="V187" s="37">
        <f>SUM(V162:V186)</f>
        <v>44</v>
      </c>
      <c r="W187" s="38">
        <f>SUM(W162:W186)</f>
        <v>23</v>
      </c>
      <c r="X187" s="71">
        <f t="shared" si="92"/>
        <v>148</v>
      </c>
      <c r="Y187" s="75">
        <f t="shared" si="87"/>
        <v>300</v>
      </c>
    </row>
    <row r="188" spans="1:26" ht="14.25" thickBot="1" x14ac:dyDescent="0.2">
      <c r="A188" s="21" t="s">
        <v>11</v>
      </c>
      <c r="B188" s="39">
        <f t="shared" ref="B188:K188" si="107">B161-B187</f>
        <v>7</v>
      </c>
      <c r="C188" s="47">
        <f t="shared" si="107"/>
        <v>6</v>
      </c>
      <c r="D188" s="40">
        <f t="shared" si="107"/>
        <v>13</v>
      </c>
      <c r="E188" s="41">
        <f t="shared" si="107"/>
        <v>6</v>
      </c>
      <c r="F188" s="54">
        <f t="shared" si="107"/>
        <v>32</v>
      </c>
      <c r="G188" s="39">
        <f t="shared" si="107"/>
        <v>10</v>
      </c>
      <c r="H188" s="47">
        <f t="shared" si="107"/>
        <v>15</v>
      </c>
      <c r="I188" s="40">
        <f t="shared" si="107"/>
        <v>9</v>
      </c>
      <c r="J188" s="41">
        <f t="shared" si="107"/>
        <v>8</v>
      </c>
      <c r="K188" s="54">
        <f t="shared" si="107"/>
        <v>42</v>
      </c>
      <c r="L188" s="20">
        <f t="shared" si="88"/>
        <v>74</v>
      </c>
      <c r="N188" s="16" t="s">
        <v>11</v>
      </c>
      <c r="O188" s="39">
        <f t="shared" ref="O188:X188" si="108">O161-O187</f>
        <v>574</v>
      </c>
      <c r="P188" s="47">
        <f t="shared" si="108"/>
        <v>445</v>
      </c>
      <c r="Q188" s="40">
        <f t="shared" si="108"/>
        <v>375</v>
      </c>
      <c r="R188" s="41">
        <f t="shared" si="108"/>
        <v>288</v>
      </c>
      <c r="S188" s="54">
        <f t="shared" si="108"/>
        <v>1682</v>
      </c>
      <c r="T188" s="39">
        <f t="shared" si="108"/>
        <v>637</v>
      </c>
      <c r="U188" s="47">
        <f t="shared" si="108"/>
        <v>503</v>
      </c>
      <c r="V188" s="40">
        <f t="shared" si="108"/>
        <v>327</v>
      </c>
      <c r="W188" s="41">
        <f t="shared" si="108"/>
        <v>230</v>
      </c>
      <c r="X188" s="54">
        <f t="shared" si="108"/>
        <v>1697</v>
      </c>
      <c r="Y188" s="20">
        <f t="shared" si="87"/>
        <v>3379</v>
      </c>
    </row>
    <row r="189" spans="1:26" x14ac:dyDescent="0.15">
      <c r="N189" s="117"/>
      <c r="O189" s="91">
        <f>O187+O149+O111+O73+O35</f>
        <v>348</v>
      </c>
      <c r="P189" s="91">
        <f t="shared" ref="P189:Y189" si="109">P187+P149+P111+P73+P35</f>
        <v>455</v>
      </c>
      <c r="Q189" s="91">
        <f t="shared" si="109"/>
        <v>307</v>
      </c>
      <c r="R189" s="91">
        <f t="shared" si="109"/>
        <v>221</v>
      </c>
      <c r="S189" s="91">
        <f t="shared" si="109"/>
        <v>1331</v>
      </c>
      <c r="T189" s="91">
        <f t="shared" si="109"/>
        <v>236</v>
      </c>
      <c r="U189" s="91">
        <f t="shared" si="109"/>
        <v>338</v>
      </c>
      <c r="V189" s="91">
        <f t="shared" si="109"/>
        <v>256</v>
      </c>
      <c r="W189" s="91">
        <f t="shared" si="109"/>
        <v>201</v>
      </c>
      <c r="X189" s="91">
        <f t="shared" si="109"/>
        <v>1031</v>
      </c>
      <c r="Y189" s="91">
        <f t="shared" si="109"/>
        <v>2362</v>
      </c>
    </row>
    <row r="190" spans="1:26" x14ac:dyDescent="0.15">
      <c r="N190" s="117"/>
      <c r="O190" s="118">
        <f>O189/$S$189*100</f>
        <v>26.145755071374904</v>
      </c>
      <c r="P190" s="118">
        <f t="shared" ref="P190:S190" si="110">P189/$S$189*100</f>
        <v>34.184823441021791</v>
      </c>
      <c r="Q190" s="118">
        <f t="shared" si="110"/>
        <v>23.065364387678436</v>
      </c>
      <c r="R190" s="118">
        <f t="shared" si="110"/>
        <v>16.604057099924869</v>
      </c>
      <c r="S190" s="118">
        <f t="shared" si="110"/>
        <v>100</v>
      </c>
      <c r="T190" s="118">
        <f>T189/$X$189*100</f>
        <v>22.890397672162948</v>
      </c>
      <c r="U190" s="118">
        <f t="shared" ref="U190:X190" si="111">U189/$X$189*100</f>
        <v>32.783705140640159</v>
      </c>
      <c r="V190" s="118">
        <f t="shared" si="111"/>
        <v>24.830261881668285</v>
      </c>
      <c r="W190" s="118">
        <f t="shared" si="111"/>
        <v>19.495635305528612</v>
      </c>
      <c r="X190" s="118">
        <f t="shared" si="111"/>
        <v>100</v>
      </c>
      <c r="Y190" s="91"/>
    </row>
    <row r="191" spans="1:26" ht="19.5" thickBot="1" x14ac:dyDescent="0.25">
      <c r="A191" s="2" t="s">
        <v>26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27</v>
      </c>
      <c r="O191" s="2"/>
      <c r="P191" s="1"/>
      <c r="Q191" s="1"/>
      <c r="R191" s="1"/>
      <c r="S191" s="1">
        <v>58.7</v>
      </c>
      <c r="T191" s="1"/>
      <c r="U191" s="1"/>
      <c r="V191" s="1"/>
      <c r="W191" s="1"/>
      <c r="X191" s="1">
        <v>41.3</v>
      </c>
      <c r="Y191" s="1"/>
    </row>
    <row r="192" spans="1:26" ht="14.25" thickBot="1" x14ac:dyDescent="0.2">
      <c r="A192" s="5" t="s">
        <v>0</v>
      </c>
      <c r="B192" s="228" t="s">
        <v>19</v>
      </c>
      <c r="C192" s="229"/>
      <c r="D192" s="229"/>
      <c r="E192" s="229"/>
      <c r="F192" s="230"/>
      <c r="G192" s="231" t="s">
        <v>18</v>
      </c>
      <c r="H192" s="232"/>
      <c r="I192" s="232"/>
      <c r="J192" s="232"/>
      <c r="K192" s="233"/>
      <c r="L192" s="234" t="s">
        <v>1</v>
      </c>
      <c r="N192" s="5" t="s">
        <v>0</v>
      </c>
      <c r="O192" s="228" t="s">
        <v>19</v>
      </c>
      <c r="P192" s="229"/>
      <c r="Q192" s="229"/>
      <c r="R192" s="229"/>
      <c r="S192" s="230"/>
      <c r="T192" s="231" t="s">
        <v>18</v>
      </c>
      <c r="U192" s="232"/>
      <c r="V192" s="232"/>
      <c r="W192" s="232"/>
      <c r="X192" s="233"/>
      <c r="Y192" s="73" t="s">
        <v>1</v>
      </c>
    </row>
    <row r="193" spans="1:27" ht="14.25" thickBot="1" x14ac:dyDescent="0.2">
      <c r="A193" s="5" t="s">
        <v>2</v>
      </c>
      <c r="B193" s="3" t="s">
        <v>12</v>
      </c>
      <c r="C193" s="42" t="s">
        <v>13</v>
      </c>
      <c r="D193" s="4" t="s">
        <v>14</v>
      </c>
      <c r="E193" s="22" t="s">
        <v>15</v>
      </c>
      <c r="F193" s="30" t="s">
        <v>3</v>
      </c>
      <c r="G193" s="3" t="s">
        <v>12</v>
      </c>
      <c r="H193" s="42" t="s">
        <v>13</v>
      </c>
      <c r="I193" s="4" t="s">
        <v>14</v>
      </c>
      <c r="J193" s="22" t="s">
        <v>15</v>
      </c>
      <c r="K193" s="30" t="s">
        <v>3</v>
      </c>
      <c r="L193" s="235"/>
      <c r="N193" s="5" t="s">
        <v>2</v>
      </c>
      <c r="O193" s="64" t="s">
        <v>12</v>
      </c>
      <c r="P193" s="65" t="s">
        <v>13</v>
      </c>
      <c r="Q193" s="66" t="s">
        <v>14</v>
      </c>
      <c r="R193" s="67" t="s">
        <v>15</v>
      </c>
      <c r="S193" s="30" t="s">
        <v>3</v>
      </c>
      <c r="T193" s="3" t="s">
        <v>12</v>
      </c>
      <c r="U193" s="42" t="s">
        <v>13</v>
      </c>
      <c r="V193" s="4" t="s">
        <v>14</v>
      </c>
      <c r="W193" s="22" t="s">
        <v>15</v>
      </c>
      <c r="X193" s="30" t="s">
        <v>3</v>
      </c>
      <c r="Y193" s="74"/>
    </row>
    <row r="194" spans="1:27" ht="14.25" thickBot="1" x14ac:dyDescent="0.2">
      <c r="A194" s="21" t="s">
        <v>16</v>
      </c>
      <c r="B194" s="39">
        <f>B188</f>
        <v>7</v>
      </c>
      <c r="C194" s="40">
        <f>C188</f>
        <v>6</v>
      </c>
      <c r="D194" s="40">
        <f>D188</f>
        <v>13</v>
      </c>
      <c r="E194" s="41">
        <f>E188</f>
        <v>6</v>
      </c>
      <c r="F194" s="122">
        <f>SUM(B194:E194)</f>
        <v>32</v>
      </c>
      <c r="G194" s="39">
        <f>G188</f>
        <v>10</v>
      </c>
      <c r="H194" s="40">
        <f>H188</f>
        <v>15</v>
      </c>
      <c r="I194" s="40">
        <f>I188</f>
        <v>9</v>
      </c>
      <c r="J194" s="41">
        <f>J188</f>
        <v>8</v>
      </c>
      <c r="K194" s="123">
        <f>SUM(G194:J194)</f>
        <v>42</v>
      </c>
      <c r="L194" s="20">
        <f>F194+K194</f>
        <v>74</v>
      </c>
      <c r="N194" s="21" t="s">
        <v>16</v>
      </c>
      <c r="O194" s="39">
        <f>O188</f>
        <v>574</v>
      </c>
      <c r="P194" s="40">
        <f>P188</f>
        <v>445</v>
      </c>
      <c r="Q194" s="40">
        <f t="shared" ref="Q194:R194" si="112">Q188</f>
        <v>375</v>
      </c>
      <c r="R194" s="40">
        <f t="shared" si="112"/>
        <v>288</v>
      </c>
      <c r="S194" s="122">
        <f>SUM(O194:R194)</f>
        <v>1682</v>
      </c>
      <c r="T194" s="39">
        <f>T188</f>
        <v>637</v>
      </c>
      <c r="U194" s="40">
        <f>U188</f>
        <v>503</v>
      </c>
      <c r="V194" s="40">
        <f>V188</f>
        <v>327</v>
      </c>
      <c r="W194" s="41">
        <f>W188</f>
        <v>230</v>
      </c>
      <c r="X194" s="123">
        <f>SUM(T194:W194)</f>
        <v>1697</v>
      </c>
      <c r="Y194" s="20">
        <f t="shared" ref="Y194:Y226" si="113">S194+X194</f>
        <v>3379</v>
      </c>
    </row>
    <row r="195" spans="1:27" x14ac:dyDescent="0.15">
      <c r="A195" s="70" t="s">
        <v>163</v>
      </c>
      <c r="B195" s="76">
        <v>3</v>
      </c>
      <c r="C195" s="77">
        <v>1</v>
      </c>
      <c r="D195" s="78"/>
      <c r="E195" s="79"/>
      <c r="F195" s="121">
        <f>SUM(B195:E195)</f>
        <v>4</v>
      </c>
      <c r="G195" s="77"/>
      <c r="H195" s="77">
        <v>1</v>
      </c>
      <c r="I195" s="78"/>
      <c r="J195" s="79">
        <v>2</v>
      </c>
      <c r="K195" s="121">
        <f>SUM(G195:J195)</f>
        <v>3</v>
      </c>
      <c r="L195" s="11">
        <f t="shared" ref="L195:L226" si="114">F195+K195</f>
        <v>7</v>
      </c>
      <c r="M195" s="85">
        <v>45091</v>
      </c>
      <c r="N195" s="70" t="s">
        <v>17</v>
      </c>
      <c r="O195" s="59"/>
      <c r="P195" s="60"/>
      <c r="Q195" s="61"/>
      <c r="R195" s="62"/>
      <c r="S195" s="120">
        <f>SUM(O195:R195)</f>
        <v>0</v>
      </c>
      <c r="T195" s="59"/>
      <c r="U195" s="60"/>
      <c r="V195" s="61"/>
      <c r="W195" s="62"/>
      <c r="X195" s="121">
        <f>SUM(T195:W195)</f>
        <v>0</v>
      </c>
      <c r="Y195" s="11">
        <f t="shared" si="113"/>
        <v>0</v>
      </c>
    </row>
    <row r="196" spans="1:27" x14ac:dyDescent="0.15">
      <c r="A196" s="70" t="s">
        <v>143</v>
      </c>
      <c r="B196" s="6">
        <v>1</v>
      </c>
      <c r="C196" s="29"/>
      <c r="D196" s="7">
        <v>2</v>
      </c>
      <c r="E196" s="8"/>
      <c r="F196" s="9">
        <f>SUM(B196:E196)</f>
        <v>3</v>
      </c>
      <c r="G196" s="29"/>
      <c r="H196" s="29"/>
      <c r="I196" s="7"/>
      <c r="J196" s="8"/>
      <c r="K196" s="9">
        <f>SUM(G196:J196)</f>
        <v>0</v>
      </c>
      <c r="L196" s="11">
        <f t="shared" si="114"/>
        <v>3</v>
      </c>
      <c r="M196" s="115">
        <v>45086</v>
      </c>
      <c r="N196" s="13" t="s">
        <v>5</v>
      </c>
      <c r="O196" s="25"/>
      <c r="P196" s="45"/>
      <c r="Q196" s="26"/>
      <c r="R196" s="32"/>
      <c r="S196" s="68">
        <f t="shared" ref="S196:S197" si="115">SUM(O196:R196)</f>
        <v>0</v>
      </c>
      <c r="T196" s="25"/>
      <c r="U196" s="45"/>
      <c r="V196" s="26"/>
      <c r="W196" s="32"/>
      <c r="X196" s="9">
        <f t="shared" ref="X196:X197" si="116">SUM(T196:W196)</f>
        <v>0</v>
      </c>
      <c r="Y196" s="11">
        <f t="shared" ref="Y196:Y197" si="117">S196+X196</f>
        <v>0</v>
      </c>
    </row>
    <row r="197" spans="1:27" x14ac:dyDescent="0.15">
      <c r="A197" s="70" t="s">
        <v>65</v>
      </c>
      <c r="B197" s="6"/>
      <c r="C197" s="29"/>
      <c r="D197" s="7"/>
      <c r="E197" s="8"/>
      <c r="F197" s="9">
        <f>SUM(B197:E197)</f>
        <v>0</v>
      </c>
      <c r="G197" s="29">
        <v>1</v>
      </c>
      <c r="H197" s="29"/>
      <c r="I197" s="7"/>
      <c r="J197" s="8"/>
      <c r="K197" s="9">
        <f>SUM(G197:J197)</f>
        <v>1</v>
      </c>
      <c r="L197" s="11">
        <f t="shared" si="114"/>
        <v>1</v>
      </c>
      <c r="M197" s="115">
        <v>45100</v>
      </c>
      <c r="N197" s="13" t="s">
        <v>6</v>
      </c>
      <c r="O197" s="25"/>
      <c r="P197" s="45"/>
      <c r="Q197" s="26"/>
      <c r="R197" s="32"/>
      <c r="S197" s="68">
        <f t="shared" si="115"/>
        <v>0</v>
      </c>
      <c r="T197" s="25"/>
      <c r="U197" s="45"/>
      <c r="V197" s="26"/>
      <c r="W197" s="32"/>
      <c r="X197" s="9">
        <f t="shared" si="116"/>
        <v>0</v>
      </c>
      <c r="Y197" s="11">
        <f t="shared" si="117"/>
        <v>0</v>
      </c>
    </row>
    <row r="198" spans="1:27" ht="14.25" thickBot="1" x14ac:dyDescent="0.2">
      <c r="A198" s="70" t="s">
        <v>8</v>
      </c>
      <c r="B198" s="76"/>
      <c r="C198" s="77"/>
      <c r="D198" s="78"/>
      <c r="E198" s="79"/>
      <c r="F198" s="71">
        <f>SUM(B198:E198)</f>
        <v>0</v>
      </c>
      <c r="G198" s="77">
        <v>5</v>
      </c>
      <c r="H198" s="77"/>
      <c r="I198" s="78">
        <v>5</v>
      </c>
      <c r="J198" s="79"/>
      <c r="K198" s="71">
        <f>SUM(G198:J198)</f>
        <v>10</v>
      </c>
      <c r="L198" s="14">
        <f t="shared" si="114"/>
        <v>10</v>
      </c>
      <c r="M198" s="85">
        <v>45107</v>
      </c>
      <c r="N198" s="13" t="s">
        <v>7</v>
      </c>
      <c r="O198" s="55"/>
      <c r="P198" s="56"/>
      <c r="Q198" s="57"/>
      <c r="R198" s="58"/>
      <c r="S198" s="69">
        <f>SUM(O198:R198)</f>
        <v>0</v>
      </c>
      <c r="T198" s="45"/>
      <c r="U198" s="45"/>
      <c r="V198" s="26"/>
      <c r="W198" s="48"/>
      <c r="X198" s="10">
        <f>SUM(T198:W198)</f>
        <v>0</v>
      </c>
      <c r="Y198" s="14">
        <f t="shared" si="113"/>
        <v>0</v>
      </c>
    </row>
    <row r="199" spans="1:27" ht="14.25" thickBot="1" x14ac:dyDescent="0.2">
      <c r="A199" s="21" t="s">
        <v>9</v>
      </c>
      <c r="B199" s="17">
        <f t="shared" ref="B199:K199" si="118">SUM(B194:B198)</f>
        <v>11</v>
      </c>
      <c r="C199" s="43">
        <f t="shared" si="118"/>
        <v>7</v>
      </c>
      <c r="D199" s="18">
        <f t="shared" si="118"/>
        <v>15</v>
      </c>
      <c r="E199" s="19">
        <f t="shared" si="118"/>
        <v>6</v>
      </c>
      <c r="F199" s="27">
        <f t="shared" si="118"/>
        <v>39</v>
      </c>
      <c r="G199" s="17">
        <f t="shared" si="118"/>
        <v>16</v>
      </c>
      <c r="H199" s="43">
        <f t="shared" si="118"/>
        <v>16</v>
      </c>
      <c r="I199" s="18">
        <f t="shared" si="118"/>
        <v>14</v>
      </c>
      <c r="J199" s="19">
        <f t="shared" si="118"/>
        <v>10</v>
      </c>
      <c r="K199" s="27">
        <f t="shared" si="118"/>
        <v>56</v>
      </c>
      <c r="L199" s="20">
        <f t="shared" si="114"/>
        <v>95</v>
      </c>
      <c r="N199" s="16" t="s">
        <v>9</v>
      </c>
      <c r="O199" s="39">
        <f t="shared" ref="O199:X199" si="119">SUM(O194:O198)</f>
        <v>574</v>
      </c>
      <c r="P199" s="47">
        <f t="shared" si="119"/>
        <v>445</v>
      </c>
      <c r="Q199" s="40">
        <f t="shared" si="119"/>
        <v>375</v>
      </c>
      <c r="R199" s="88">
        <f t="shared" si="119"/>
        <v>288</v>
      </c>
      <c r="S199" s="89">
        <f t="shared" si="119"/>
        <v>1682</v>
      </c>
      <c r="T199" s="39">
        <f t="shared" si="119"/>
        <v>637</v>
      </c>
      <c r="U199" s="47">
        <f t="shared" si="119"/>
        <v>503</v>
      </c>
      <c r="V199" s="40">
        <f t="shared" si="119"/>
        <v>327</v>
      </c>
      <c r="W199" s="88">
        <f t="shared" si="119"/>
        <v>230</v>
      </c>
      <c r="X199" s="89">
        <f t="shared" si="119"/>
        <v>1697</v>
      </c>
      <c r="Y199" s="49">
        <f t="shared" si="113"/>
        <v>3379</v>
      </c>
    </row>
    <row r="200" spans="1:27" x14ac:dyDescent="0.15">
      <c r="A200" s="70" t="s">
        <v>30</v>
      </c>
      <c r="B200" s="23"/>
      <c r="C200" s="44"/>
      <c r="D200" s="24"/>
      <c r="E200" s="31"/>
      <c r="F200" s="33">
        <f>SUM(B200:E200)</f>
        <v>0</v>
      </c>
      <c r="G200" s="23"/>
      <c r="H200" s="44">
        <v>1</v>
      </c>
      <c r="I200" s="24"/>
      <c r="J200" s="31"/>
      <c r="K200" s="33">
        <f>SUM(G200:J200)</f>
        <v>1</v>
      </c>
      <c r="L200" s="11">
        <f t="shared" si="114"/>
        <v>1</v>
      </c>
      <c r="M200" s="115">
        <v>45092</v>
      </c>
      <c r="N200" s="12" t="s">
        <v>203</v>
      </c>
      <c r="O200" s="59"/>
      <c r="P200" s="60">
        <v>6</v>
      </c>
      <c r="Q200" s="61"/>
      <c r="R200" s="62"/>
      <c r="S200" s="63">
        <f t="shared" ref="S200:S225" si="120">SUM(O200:R200)</f>
        <v>6</v>
      </c>
      <c r="T200" s="59"/>
      <c r="U200" s="60">
        <v>4</v>
      </c>
      <c r="V200" s="61">
        <v>5</v>
      </c>
      <c r="W200" s="62"/>
      <c r="X200" s="63">
        <f t="shared" ref="X200:X225" si="121">SUM(T200:W200)</f>
        <v>9</v>
      </c>
      <c r="Y200" s="11">
        <f t="shared" si="113"/>
        <v>15</v>
      </c>
      <c r="Z200" s="85">
        <v>45106</v>
      </c>
    </row>
    <row r="201" spans="1:27" x14ac:dyDescent="0.15">
      <c r="A201" s="15" t="s">
        <v>192</v>
      </c>
      <c r="B201" s="25"/>
      <c r="C201" s="45"/>
      <c r="D201" s="26">
        <v>1</v>
      </c>
      <c r="E201" s="32"/>
      <c r="F201" s="33">
        <f>SUM(B201:E201)</f>
        <v>1</v>
      </c>
      <c r="G201" s="25"/>
      <c r="H201" s="45">
        <v>1</v>
      </c>
      <c r="I201" s="26"/>
      <c r="J201" s="32">
        <v>1</v>
      </c>
      <c r="K201" s="33">
        <f>SUM(G201:J201)</f>
        <v>2</v>
      </c>
      <c r="L201" s="11">
        <f t="shared" si="114"/>
        <v>3</v>
      </c>
      <c r="M201" s="85">
        <v>45096</v>
      </c>
      <c r="N201" s="50" t="s">
        <v>204</v>
      </c>
      <c r="O201" s="25"/>
      <c r="P201" s="45">
        <v>7</v>
      </c>
      <c r="Q201" s="26"/>
      <c r="R201" s="32"/>
      <c r="S201" s="33">
        <f t="shared" si="120"/>
        <v>7</v>
      </c>
      <c r="T201" s="25"/>
      <c r="U201" s="45"/>
      <c r="V201" s="26"/>
      <c r="W201" s="32"/>
      <c r="X201" s="33">
        <f t="shared" si="121"/>
        <v>0</v>
      </c>
      <c r="Y201" s="11">
        <f t="shared" si="113"/>
        <v>7</v>
      </c>
      <c r="Z201" s="85">
        <v>45112</v>
      </c>
    </row>
    <row r="202" spans="1:27" x14ac:dyDescent="0.15">
      <c r="A202" s="70" t="s">
        <v>30</v>
      </c>
      <c r="B202" s="59"/>
      <c r="C202" s="60"/>
      <c r="D202" s="61"/>
      <c r="E202" s="62"/>
      <c r="F202" s="63">
        <f t="shared" ref="F202" si="122">SUM(B202:E202)</f>
        <v>0</v>
      </c>
      <c r="G202" s="59">
        <v>1</v>
      </c>
      <c r="H202" s="60"/>
      <c r="I202" s="61">
        <v>1</v>
      </c>
      <c r="J202" s="62"/>
      <c r="K202" s="63">
        <f t="shared" ref="K202" si="123">SUM(G202:J202)</f>
        <v>2</v>
      </c>
      <c r="L202" s="11">
        <f t="shared" ref="L202" si="124">F202+K202</f>
        <v>2</v>
      </c>
      <c r="M202" s="115">
        <v>45096</v>
      </c>
      <c r="N202" s="50" t="s">
        <v>206</v>
      </c>
      <c r="O202" s="25"/>
      <c r="P202" s="45"/>
      <c r="Q202" s="26"/>
      <c r="R202" s="32"/>
      <c r="S202" s="33">
        <f t="shared" si="120"/>
        <v>0</v>
      </c>
      <c r="T202" s="25">
        <v>5</v>
      </c>
      <c r="U202" s="45"/>
      <c r="V202" s="26">
        <v>5</v>
      </c>
      <c r="W202" s="32"/>
      <c r="X202" s="33">
        <f t="shared" si="121"/>
        <v>10</v>
      </c>
      <c r="Y202" s="11">
        <f t="shared" si="113"/>
        <v>10</v>
      </c>
      <c r="Z202" s="85">
        <v>45107</v>
      </c>
    </row>
    <row r="203" spans="1:27" x14ac:dyDescent="0.15">
      <c r="A203" s="15" t="s">
        <v>195</v>
      </c>
      <c r="B203" s="59"/>
      <c r="C203" s="60"/>
      <c r="D203" s="61"/>
      <c r="E203" s="62"/>
      <c r="F203" s="63">
        <f t="shared" ref="F203:F224" si="125">SUM(B203:E203)</f>
        <v>0</v>
      </c>
      <c r="G203" s="59">
        <v>2</v>
      </c>
      <c r="H203" s="60">
        <v>2</v>
      </c>
      <c r="I203" s="61"/>
      <c r="J203" s="62"/>
      <c r="K203" s="63">
        <f t="shared" ref="K203:K224" si="126">SUM(G203:J203)</f>
        <v>4</v>
      </c>
      <c r="L203" s="11">
        <f t="shared" si="114"/>
        <v>4</v>
      </c>
      <c r="M203" s="85">
        <v>45098</v>
      </c>
      <c r="N203" s="50" t="s">
        <v>208</v>
      </c>
      <c r="O203" s="25"/>
      <c r="P203" s="45"/>
      <c r="Q203" s="26"/>
      <c r="R203" s="32"/>
      <c r="S203" s="33">
        <f t="shared" si="120"/>
        <v>0</v>
      </c>
      <c r="T203" s="25"/>
      <c r="U203" s="45"/>
      <c r="V203" s="26"/>
      <c r="W203" s="32">
        <v>6</v>
      </c>
      <c r="X203" s="33">
        <f t="shared" si="121"/>
        <v>6</v>
      </c>
      <c r="Y203" s="11">
        <f t="shared" si="113"/>
        <v>6</v>
      </c>
      <c r="Z203" s="85">
        <v>45112</v>
      </c>
    </row>
    <row r="204" spans="1:27" x14ac:dyDescent="0.15">
      <c r="A204" s="15" t="s">
        <v>197</v>
      </c>
      <c r="B204" s="25"/>
      <c r="C204" s="45"/>
      <c r="D204" s="26"/>
      <c r="E204" s="32"/>
      <c r="F204" s="33">
        <f t="shared" si="125"/>
        <v>0</v>
      </c>
      <c r="G204" s="25"/>
      <c r="H204" s="45"/>
      <c r="I204" s="26">
        <v>1</v>
      </c>
      <c r="J204" s="32"/>
      <c r="K204" s="33">
        <f t="shared" si="126"/>
        <v>1</v>
      </c>
      <c r="L204" s="11">
        <f t="shared" si="114"/>
        <v>1</v>
      </c>
      <c r="M204" s="85">
        <v>45100</v>
      </c>
      <c r="N204" s="12" t="s">
        <v>209</v>
      </c>
      <c r="O204" s="25"/>
      <c r="P204" s="45"/>
      <c r="Q204" s="26"/>
      <c r="R204" s="32"/>
      <c r="S204" s="33">
        <f t="shared" si="120"/>
        <v>0</v>
      </c>
      <c r="T204" s="25">
        <v>3</v>
      </c>
      <c r="U204" s="45">
        <v>2</v>
      </c>
      <c r="V204" s="26"/>
      <c r="W204" s="32"/>
      <c r="X204" s="33">
        <f t="shared" si="121"/>
        <v>5</v>
      </c>
      <c r="Y204" s="11">
        <f t="shared" si="113"/>
        <v>5</v>
      </c>
      <c r="Z204" s="85">
        <v>45113</v>
      </c>
      <c r="AA204" s="51"/>
    </row>
    <row r="205" spans="1:27" x14ac:dyDescent="0.15">
      <c r="A205" s="50" t="s">
        <v>198</v>
      </c>
      <c r="B205" s="25"/>
      <c r="C205" s="45"/>
      <c r="D205" s="26">
        <v>5</v>
      </c>
      <c r="E205" s="32"/>
      <c r="F205" s="33">
        <f t="shared" si="125"/>
        <v>5</v>
      </c>
      <c r="G205" s="25"/>
      <c r="H205" s="45"/>
      <c r="I205" s="26"/>
      <c r="J205" s="32"/>
      <c r="K205" s="33">
        <f t="shared" si="126"/>
        <v>0</v>
      </c>
      <c r="L205" s="11">
        <f t="shared" si="114"/>
        <v>5</v>
      </c>
      <c r="M205" s="85">
        <v>45104</v>
      </c>
      <c r="N205" s="95" t="s">
        <v>215</v>
      </c>
      <c r="O205" s="25"/>
      <c r="P205" s="45"/>
      <c r="Q205" s="26"/>
      <c r="R205" s="32">
        <v>6</v>
      </c>
      <c r="S205" s="33">
        <f t="shared" si="120"/>
        <v>6</v>
      </c>
      <c r="T205" s="25"/>
      <c r="U205" s="45"/>
      <c r="V205" s="26"/>
      <c r="W205" s="32"/>
      <c r="X205" s="33">
        <f t="shared" si="121"/>
        <v>0</v>
      </c>
      <c r="Y205" s="11">
        <f t="shared" si="113"/>
        <v>6</v>
      </c>
      <c r="Z205" s="85">
        <v>45117</v>
      </c>
      <c r="AA205" s="51"/>
    </row>
    <row r="206" spans="1:27" x14ac:dyDescent="0.15">
      <c r="A206" s="15" t="s">
        <v>199</v>
      </c>
      <c r="B206" s="25">
        <v>1</v>
      </c>
      <c r="C206" s="45"/>
      <c r="D206" s="26"/>
      <c r="E206" s="32"/>
      <c r="F206" s="33">
        <f t="shared" si="125"/>
        <v>1</v>
      </c>
      <c r="G206" s="25"/>
      <c r="H206" s="45"/>
      <c r="I206" s="26">
        <v>1</v>
      </c>
      <c r="J206" s="32"/>
      <c r="K206" s="33">
        <f t="shared" si="126"/>
        <v>1</v>
      </c>
      <c r="L206" s="11">
        <f t="shared" si="114"/>
        <v>2</v>
      </c>
      <c r="M206" s="85">
        <v>45104</v>
      </c>
      <c r="N206" s="12" t="s">
        <v>212</v>
      </c>
      <c r="O206" s="25">
        <v>10</v>
      </c>
      <c r="P206" s="45">
        <v>15</v>
      </c>
      <c r="Q206" s="26">
        <v>10</v>
      </c>
      <c r="R206" s="32">
        <v>10</v>
      </c>
      <c r="S206" s="33">
        <f t="shared" ref="S206:S207" si="127">SUM(O206:R206)</f>
        <v>45</v>
      </c>
      <c r="T206" s="25">
        <v>10</v>
      </c>
      <c r="U206" s="45">
        <v>15</v>
      </c>
      <c r="V206" s="26">
        <v>10</v>
      </c>
      <c r="W206" s="32">
        <v>10</v>
      </c>
      <c r="X206" s="33">
        <f t="shared" ref="X206:X207" si="128">SUM(T206:W206)</f>
        <v>45</v>
      </c>
      <c r="Y206" s="11">
        <f t="shared" ref="Y206:Y207" si="129">S206+X206</f>
        <v>90</v>
      </c>
      <c r="Z206" s="85">
        <v>45121</v>
      </c>
      <c r="AA206" s="51"/>
    </row>
    <row r="207" spans="1:27" x14ac:dyDescent="0.15">
      <c r="A207" s="70" t="s">
        <v>30</v>
      </c>
      <c r="B207" s="25"/>
      <c r="C207" s="45">
        <v>1</v>
      </c>
      <c r="D207" s="26">
        <v>1</v>
      </c>
      <c r="E207" s="32">
        <v>1</v>
      </c>
      <c r="F207" s="33">
        <f t="shared" si="125"/>
        <v>3</v>
      </c>
      <c r="G207" s="25">
        <v>1</v>
      </c>
      <c r="H207" s="45"/>
      <c r="I207" s="26">
        <v>2</v>
      </c>
      <c r="J207" s="32"/>
      <c r="K207" s="33">
        <f t="shared" si="126"/>
        <v>3</v>
      </c>
      <c r="L207" s="11">
        <f t="shared" si="114"/>
        <v>6</v>
      </c>
      <c r="M207" s="115">
        <v>45103</v>
      </c>
      <c r="N207" s="50" t="s">
        <v>28</v>
      </c>
      <c r="O207" s="25"/>
      <c r="P207" s="45">
        <v>3</v>
      </c>
      <c r="Q207" s="26"/>
      <c r="R207" s="32">
        <v>3</v>
      </c>
      <c r="S207" s="33">
        <f t="shared" si="127"/>
        <v>6</v>
      </c>
      <c r="T207" s="25">
        <v>3</v>
      </c>
      <c r="U207" s="45"/>
      <c r="V207" s="26"/>
      <c r="W207" s="32"/>
      <c r="X207" s="33">
        <f t="shared" si="128"/>
        <v>3</v>
      </c>
      <c r="Y207" s="11">
        <f t="shared" si="129"/>
        <v>9</v>
      </c>
      <c r="Z207" s="85">
        <v>45117</v>
      </c>
    </row>
    <row r="208" spans="1:27" x14ac:dyDescent="0.15">
      <c r="A208" s="15" t="s">
        <v>202</v>
      </c>
      <c r="B208" s="25"/>
      <c r="C208" s="45"/>
      <c r="D208" s="26">
        <v>1</v>
      </c>
      <c r="E208" s="32"/>
      <c r="F208" s="33">
        <f t="shared" si="125"/>
        <v>1</v>
      </c>
      <c r="G208" s="25">
        <v>4</v>
      </c>
      <c r="H208" s="45"/>
      <c r="I208" s="26"/>
      <c r="J208" s="32"/>
      <c r="K208" s="33">
        <f t="shared" si="126"/>
        <v>4</v>
      </c>
      <c r="L208" s="11">
        <f t="shared" si="114"/>
        <v>5</v>
      </c>
      <c r="M208" s="85">
        <v>45105</v>
      </c>
      <c r="N208" s="50" t="s">
        <v>218</v>
      </c>
      <c r="O208" s="25"/>
      <c r="P208" s="45"/>
      <c r="Q208" s="26"/>
      <c r="R208" s="32"/>
      <c r="S208" s="33">
        <f t="shared" si="120"/>
        <v>0</v>
      </c>
      <c r="T208" s="25">
        <v>5</v>
      </c>
      <c r="U208" s="45"/>
      <c r="V208" s="26"/>
      <c r="W208" s="32"/>
      <c r="X208" s="33">
        <f t="shared" si="121"/>
        <v>5</v>
      </c>
      <c r="Y208" s="11">
        <f t="shared" si="113"/>
        <v>5</v>
      </c>
      <c r="Z208" s="85">
        <v>45120</v>
      </c>
    </row>
    <row r="209" spans="1:26" x14ac:dyDescent="0.15">
      <c r="A209" s="70" t="s">
        <v>30</v>
      </c>
      <c r="B209" s="25"/>
      <c r="C209" s="45">
        <v>1</v>
      </c>
      <c r="D209" s="26"/>
      <c r="E209" s="32"/>
      <c r="F209" s="33">
        <f t="shared" si="125"/>
        <v>1</v>
      </c>
      <c r="G209" s="25"/>
      <c r="H209" s="45">
        <v>1</v>
      </c>
      <c r="I209" s="26"/>
      <c r="J209" s="32"/>
      <c r="K209" s="33">
        <f t="shared" si="126"/>
        <v>1</v>
      </c>
      <c r="L209" s="11">
        <f t="shared" si="114"/>
        <v>2</v>
      </c>
      <c r="M209" s="115">
        <v>45104</v>
      </c>
      <c r="N209" s="15" t="s">
        <v>217</v>
      </c>
      <c r="O209" s="25"/>
      <c r="P209" s="45">
        <v>2</v>
      </c>
      <c r="Q209" s="26"/>
      <c r="R209" s="32"/>
      <c r="S209" s="33">
        <f t="shared" si="120"/>
        <v>2</v>
      </c>
      <c r="T209" s="25"/>
      <c r="U209" s="45"/>
      <c r="V209" s="26"/>
      <c r="W209" s="32"/>
      <c r="X209" s="33">
        <f t="shared" si="121"/>
        <v>0</v>
      </c>
      <c r="Y209" s="11">
        <f t="shared" si="113"/>
        <v>2</v>
      </c>
      <c r="Z209" s="85">
        <v>45120</v>
      </c>
    </row>
    <row r="210" spans="1:26" x14ac:dyDescent="0.15">
      <c r="A210" s="15" t="s">
        <v>205</v>
      </c>
      <c r="B210" s="25">
        <v>1</v>
      </c>
      <c r="C210" s="45"/>
      <c r="D210" s="26"/>
      <c r="E210" s="32"/>
      <c r="F210" s="33">
        <f t="shared" si="125"/>
        <v>1</v>
      </c>
      <c r="G210" s="25">
        <v>2</v>
      </c>
      <c r="H210" s="45"/>
      <c r="I210" s="26"/>
      <c r="J210" s="32"/>
      <c r="K210" s="33">
        <f t="shared" si="126"/>
        <v>2</v>
      </c>
      <c r="L210" s="11">
        <f t="shared" si="114"/>
        <v>3</v>
      </c>
      <c r="M210" s="85">
        <v>45107</v>
      </c>
      <c r="N210" s="50" t="s">
        <v>28</v>
      </c>
      <c r="O210" s="25">
        <v>5</v>
      </c>
      <c r="P210" s="45"/>
      <c r="Q210" s="26">
        <v>5</v>
      </c>
      <c r="R210" s="32"/>
      <c r="S210" s="33">
        <f>SUM(O210:R210)</f>
        <v>10</v>
      </c>
      <c r="T210" s="25"/>
      <c r="U210" s="45"/>
      <c r="V210" s="26"/>
      <c r="W210" s="32"/>
      <c r="X210" s="33">
        <f>SUM(T210:W210)</f>
        <v>0</v>
      </c>
      <c r="Y210" s="11">
        <f t="shared" si="113"/>
        <v>10</v>
      </c>
      <c r="Z210" s="85">
        <v>45120</v>
      </c>
    </row>
    <row r="211" spans="1:26" x14ac:dyDescent="0.15">
      <c r="A211" s="70" t="s">
        <v>30</v>
      </c>
      <c r="B211" s="25">
        <v>1</v>
      </c>
      <c r="C211" s="45"/>
      <c r="D211" s="26"/>
      <c r="E211" s="32"/>
      <c r="F211" s="33">
        <f t="shared" si="125"/>
        <v>1</v>
      </c>
      <c r="G211" s="25"/>
      <c r="H211" s="45"/>
      <c r="I211" s="26"/>
      <c r="J211" s="32"/>
      <c r="K211" s="33">
        <f t="shared" si="126"/>
        <v>0</v>
      </c>
      <c r="L211" s="11">
        <f t="shared" si="114"/>
        <v>1</v>
      </c>
      <c r="M211" s="115">
        <v>45107</v>
      </c>
      <c r="N211" s="50"/>
      <c r="O211" s="25"/>
      <c r="P211" s="45"/>
      <c r="Q211" s="26"/>
      <c r="R211" s="32"/>
      <c r="S211" s="33">
        <f t="shared" si="120"/>
        <v>0</v>
      </c>
      <c r="T211" s="25"/>
      <c r="U211" s="45"/>
      <c r="V211" s="26"/>
      <c r="W211" s="32"/>
      <c r="X211" s="33">
        <f t="shared" si="121"/>
        <v>0</v>
      </c>
      <c r="Y211" s="11">
        <f t="shared" si="113"/>
        <v>0</v>
      </c>
    </row>
    <row r="212" spans="1:26" x14ac:dyDescent="0.15">
      <c r="A212" s="15" t="s">
        <v>207</v>
      </c>
      <c r="B212" s="25">
        <v>1</v>
      </c>
      <c r="C212" s="45"/>
      <c r="D212" s="26">
        <v>1</v>
      </c>
      <c r="E212" s="32"/>
      <c r="F212" s="33">
        <f t="shared" si="125"/>
        <v>2</v>
      </c>
      <c r="G212" s="25"/>
      <c r="H212" s="45"/>
      <c r="I212" s="26">
        <v>1</v>
      </c>
      <c r="J212" s="32"/>
      <c r="K212" s="33">
        <f t="shared" si="126"/>
        <v>1</v>
      </c>
      <c r="L212" s="11">
        <f t="shared" si="114"/>
        <v>3</v>
      </c>
      <c r="M212" s="85">
        <v>45111</v>
      </c>
      <c r="N212" s="50"/>
      <c r="O212" s="25"/>
      <c r="P212" s="45"/>
      <c r="Q212" s="26"/>
      <c r="R212" s="32"/>
      <c r="S212" s="33">
        <f t="shared" si="120"/>
        <v>0</v>
      </c>
      <c r="T212" s="25"/>
      <c r="U212" s="45"/>
      <c r="V212" s="26"/>
      <c r="W212" s="32"/>
      <c r="X212" s="33">
        <f t="shared" si="121"/>
        <v>0</v>
      </c>
      <c r="Y212" s="11">
        <f t="shared" si="113"/>
        <v>0</v>
      </c>
      <c r="Z212" s="159"/>
    </row>
    <row r="213" spans="1:26" x14ac:dyDescent="0.15">
      <c r="A213" s="15" t="s">
        <v>210</v>
      </c>
      <c r="B213" s="25"/>
      <c r="C213" s="45"/>
      <c r="D213" s="26"/>
      <c r="E213" s="32"/>
      <c r="F213" s="33">
        <f t="shared" si="125"/>
        <v>0</v>
      </c>
      <c r="G213" s="25">
        <v>1</v>
      </c>
      <c r="H213" s="45"/>
      <c r="I213" s="26"/>
      <c r="J213" s="32"/>
      <c r="K213" s="33">
        <f t="shared" si="126"/>
        <v>1</v>
      </c>
      <c r="L213" s="11">
        <f t="shared" si="114"/>
        <v>1</v>
      </c>
      <c r="M213" s="85">
        <v>45112</v>
      </c>
      <c r="N213" s="50"/>
      <c r="O213" s="25"/>
      <c r="P213" s="45"/>
      <c r="Q213" s="26"/>
      <c r="R213" s="32"/>
      <c r="S213" s="33">
        <f t="shared" si="120"/>
        <v>0</v>
      </c>
      <c r="T213" s="25"/>
      <c r="U213" s="45"/>
      <c r="V213" s="26"/>
      <c r="W213" s="32"/>
      <c r="X213" s="33">
        <f t="shared" si="121"/>
        <v>0</v>
      </c>
      <c r="Y213" s="11">
        <f t="shared" si="113"/>
        <v>0</v>
      </c>
    </row>
    <row r="214" spans="1:26" x14ac:dyDescent="0.15">
      <c r="A214" s="70" t="s">
        <v>30</v>
      </c>
      <c r="B214" s="25"/>
      <c r="C214" s="45"/>
      <c r="D214" s="26"/>
      <c r="E214" s="32"/>
      <c r="F214" s="33">
        <f t="shared" si="125"/>
        <v>0</v>
      </c>
      <c r="G214" s="25"/>
      <c r="H214" s="45"/>
      <c r="I214" s="26">
        <v>1</v>
      </c>
      <c r="J214" s="32"/>
      <c r="K214" s="33">
        <f t="shared" si="126"/>
        <v>1</v>
      </c>
      <c r="L214" s="11">
        <f t="shared" si="114"/>
        <v>1</v>
      </c>
      <c r="M214" s="115">
        <v>45111</v>
      </c>
      <c r="N214" s="50"/>
      <c r="O214" s="25"/>
      <c r="P214" s="45"/>
      <c r="Q214" s="26"/>
      <c r="R214" s="32"/>
      <c r="S214" s="33">
        <f t="shared" si="120"/>
        <v>0</v>
      </c>
      <c r="T214" s="25"/>
      <c r="U214" s="45"/>
      <c r="V214" s="26"/>
      <c r="W214" s="32"/>
      <c r="X214" s="33">
        <f t="shared" si="121"/>
        <v>0</v>
      </c>
      <c r="Y214" s="11">
        <f t="shared" si="113"/>
        <v>0</v>
      </c>
    </row>
    <row r="215" spans="1:26" x14ac:dyDescent="0.15">
      <c r="A215" s="15" t="s">
        <v>211</v>
      </c>
      <c r="B215" s="25"/>
      <c r="C215" s="45"/>
      <c r="D215" s="26"/>
      <c r="E215" s="32">
        <v>1</v>
      </c>
      <c r="F215" s="33">
        <f t="shared" si="125"/>
        <v>1</v>
      </c>
      <c r="G215" s="25">
        <v>1</v>
      </c>
      <c r="H215" s="45"/>
      <c r="I215" s="26"/>
      <c r="J215" s="32"/>
      <c r="K215" s="33">
        <f t="shared" si="126"/>
        <v>1</v>
      </c>
      <c r="L215" s="11">
        <f t="shared" si="114"/>
        <v>2</v>
      </c>
      <c r="M215" s="85">
        <v>45113</v>
      </c>
      <c r="N215" s="50"/>
      <c r="O215" s="25"/>
      <c r="P215" s="45"/>
      <c r="Q215" s="26"/>
      <c r="R215" s="32"/>
      <c r="S215" s="33">
        <f t="shared" si="120"/>
        <v>0</v>
      </c>
      <c r="T215" s="25"/>
      <c r="U215" s="45"/>
      <c r="V215" s="26"/>
      <c r="W215" s="32"/>
      <c r="X215" s="33">
        <f t="shared" si="121"/>
        <v>0</v>
      </c>
      <c r="Y215" s="11">
        <f t="shared" si="113"/>
        <v>0</v>
      </c>
    </row>
    <row r="216" spans="1:26" x14ac:dyDescent="0.15">
      <c r="A216" s="70" t="s">
        <v>108</v>
      </c>
      <c r="B216" s="25"/>
      <c r="C216" s="45"/>
      <c r="D216" s="26">
        <v>1</v>
      </c>
      <c r="E216" s="32"/>
      <c r="F216" s="33">
        <f t="shared" si="125"/>
        <v>1</v>
      </c>
      <c r="G216" s="25"/>
      <c r="H216" s="45"/>
      <c r="I216" s="26"/>
      <c r="J216" s="32"/>
      <c r="K216" s="33">
        <f t="shared" si="126"/>
        <v>0</v>
      </c>
      <c r="L216" s="11">
        <f t="shared" si="114"/>
        <v>1</v>
      </c>
      <c r="M216" s="85">
        <v>45118</v>
      </c>
      <c r="N216" s="50"/>
      <c r="O216" s="25"/>
      <c r="P216" s="45"/>
      <c r="Q216" s="26"/>
      <c r="R216" s="32"/>
      <c r="S216" s="33">
        <f t="shared" si="120"/>
        <v>0</v>
      </c>
      <c r="T216" s="25"/>
      <c r="U216" s="45"/>
      <c r="V216" s="26"/>
      <c r="W216" s="32"/>
      <c r="X216" s="33">
        <f t="shared" si="121"/>
        <v>0</v>
      </c>
      <c r="Y216" s="11">
        <f t="shared" si="113"/>
        <v>0</v>
      </c>
    </row>
    <row r="217" spans="1:26" x14ac:dyDescent="0.15">
      <c r="A217" s="70" t="s">
        <v>30</v>
      </c>
      <c r="B217" s="25"/>
      <c r="C217" s="45">
        <v>2</v>
      </c>
      <c r="D217" s="26"/>
      <c r="E217" s="32"/>
      <c r="F217" s="33">
        <f t="shared" si="125"/>
        <v>2</v>
      </c>
      <c r="G217" s="25"/>
      <c r="H217" s="45"/>
      <c r="I217" s="26"/>
      <c r="J217" s="32"/>
      <c r="K217" s="33">
        <f t="shared" si="126"/>
        <v>0</v>
      </c>
      <c r="L217" s="11">
        <f t="shared" si="114"/>
        <v>2</v>
      </c>
      <c r="M217" s="115">
        <v>45113</v>
      </c>
      <c r="N217" s="50"/>
      <c r="O217" s="25"/>
      <c r="P217" s="45"/>
      <c r="Q217" s="26"/>
      <c r="R217" s="32"/>
      <c r="S217" s="33">
        <f t="shared" si="120"/>
        <v>0</v>
      </c>
      <c r="T217" s="25"/>
      <c r="U217" s="45"/>
      <c r="V217" s="26"/>
      <c r="W217" s="32"/>
      <c r="X217" s="33">
        <f t="shared" si="121"/>
        <v>0</v>
      </c>
      <c r="Y217" s="11">
        <f t="shared" si="113"/>
        <v>0</v>
      </c>
      <c r="Z217" s="159"/>
    </row>
    <row r="218" spans="1:26" x14ac:dyDescent="0.15">
      <c r="A218" s="15" t="s">
        <v>213</v>
      </c>
      <c r="B218" s="25"/>
      <c r="C218" s="45"/>
      <c r="D218" s="26"/>
      <c r="E218" s="32"/>
      <c r="F218" s="33">
        <f t="shared" si="125"/>
        <v>0</v>
      </c>
      <c r="G218" s="25"/>
      <c r="H218" s="45"/>
      <c r="I218" s="26">
        <v>1</v>
      </c>
      <c r="J218" s="32"/>
      <c r="K218" s="33">
        <f t="shared" si="126"/>
        <v>1</v>
      </c>
      <c r="L218" s="11">
        <f t="shared" si="114"/>
        <v>1</v>
      </c>
      <c r="M218" s="85">
        <v>45117</v>
      </c>
      <c r="N218" s="50"/>
      <c r="O218" s="25"/>
      <c r="P218" s="45"/>
      <c r="Q218" s="26"/>
      <c r="R218" s="32"/>
      <c r="S218" s="33">
        <f t="shared" si="120"/>
        <v>0</v>
      </c>
      <c r="T218" s="25"/>
      <c r="U218" s="45"/>
      <c r="V218" s="26"/>
      <c r="W218" s="32"/>
      <c r="X218" s="33">
        <f t="shared" si="121"/>
        <v>0</v>
      </c>
      <c r="Y218" s="11">
        <f t="shared" si="113"/>
        <v>0</v>
      </c>
      <c r="Z218" s="159"/>
    </row>
    <row r="219" spans="1:26" x14ac:dyDescent="0.15">
      <c r="A219" s="15" t="s">
        <v>214</v>
      </c>
      <c r="B219" s="25"/>
      <c r="C219" s="45">
        <v>-3</v>
      </c>
      <c r="D219" s="26"/>
      <c r="E219" s="32">
        <v>-3</v>
      </c>
      <c r="F219" s="33">
        <f t="shared" si="125"/>
        <v>-6</v>
      </c>
      <c r="G219" s="25">
        <v>-3</v>
      </c>
      <c r="H219" s="45"/>
      <c r="I219" s="26"/>
      <c r="J219" s="32"/>
      <c r="K219" s="33">
        <f t="shared" si="126"/>
        <v>-3</v>
      </c>
      <c r="L219" s="11">
        <f t="shared" si="114"/>
        <v>-9</v>
      </c>
      <c r="M219" s="85">
        <v>45117</v>
      </c>
      <c r="N219" s="12"/>
      <c r="O219" s="25"/>
      <c r="P219" s="45"/>
      <c r="Q219" s="26"/>
      <c r="R219" s="32"/>
      <c r="S219" s="33">
        <f t="shared" si="120"/>
        <v>0</v>
      </c>
      <c r="T219" s="25"/>
      <c r="U219" s="45"/>
      <c r="V219" s="26"/>
      <c r="W219" s="32"/>
      <c r="X219" s="33">
        <f t="shared" si="121"/>
        <v>0</v>
      </c>
      <c r="Y219" s="93">
        <f t="shared" si="113"/>
        <v>0</v>
      </c>
      <c r="Z219" s="159"/>
    </row>
    <row r="220" spans="1:26" x14ac:dyDescent="0.15">
      <c r="A220" s="70" t="s">
        <v>30</v>
      </c>
      <c r="B220" s="25"/>
      <c r="C220" s="45">
        <v>1</v>
      </c>
      <c r="D220" s="26"/>
      <c r="E220" s="32">
        <v>2</v>
      </c>
      <c r="F220" s="33">
        <f t="shared" si="125"/>
        <v>3</v>
      </c>
      <c r="G220" s="25"/>
      <c r="H220" s="45">
        <v>1</v>
      </c>
      <c r="I220" s="26"/>
      <c r="J220" s="32"/>
      <c r="K220" s="33">
        <f t="shared" si="126"/>
        <v>1</v>
      </c>
      <c r="L220" s="11">
        <f t="shared" si="114"/>
        <v>4</v>
      </c>
      <c r="M220" s="115">
        <v>45117</v>
      </c>
      <c r="N220" s="12"/>
      <c r="O220" s="25"/>
      <c r="P220" s="45"/>
      <c r="Q220" s="26"/>
      <c r="R220" s="32"/>
      <c r="S220" s="33">
        <f t="shared" si="120"/>
        <v>0</v>
      </c>
      <c r="T220" s="25"/>
      <c r="U220" s="45"/>
      <c r="V220" s="26"/>
      <c r="W220" s="32"/>
      <c r="X220" s="33">
        <f t="shared" si="121"/>
        <v>0</v>
      </c>
      <c r="Y220" s="93">
        <f t="shared" si="113"/>
        <v>0</v>
      </c>
      <c r="Z220" s="159"/>
    </row>
    <row r="221" spans="1:26" x14ac:dyDescent="0.15">
      <c r="A221" s="15" t="s">
        <v>216</v>
      </c>
      <c r="B221" s="25"/>
      <c r="C221" s="45">
        <v>1</v>
      </c>
      <c r="D221" s="26"/>
      <c r="E221" s="32"/>
      <c r="F221" s="33">
        <f t="shared" si="125"/>
        <v>1</v>
      </c>
      <c r="G221" s="25"/>
      <c r="H221" s="45"/>
      <c r="I221" s="26"/>
      <c r="J221" s="32"/>
      <c r="K221" s="33">
        <f t="shared" si="126"/>
        <v>0</v>
      </c>
      <c r="L221" s="11">
        <f t="shared" si="114"/>
        <v>1</v>
      </c>
      <c r="M221" s="85">
        <v>45119</v>
      </c>
      <c r="N221" s="50"/>
      <c r="O221" s="59"/>
      <c r="P221" s="60"/>
      <c r="Q221" s="61"/>
      <c r="R221" s="62"/>
      <c r="S221" s="63">
        <f t="shared" si="120"/>
        <v>0</v>
      </c>
      <c r="T221" s="59"/>
      <c r="U221" s="60"/>
      <c r="V221" s="61"/>
      <c r="W221" s="62"/>
      <c r="X221" s="63">
        <f t="shared" si="121"/>
        <v>0</v>
      </c>
      <c r="Y221" s="11">
        <f t="shared" si="113"/>
        <v>0</v>
      </c>
      <c r="Z221" s="159"/>
    </row>
    <row r="222" spans="1:26" x14ac:dyDescent="0.15">
      <c r="A222" s="70" t="s">
        <v>30</v>
      </c>
      <c r="B222" s="25"/>
      <c r="C222" s="45"/>
      <c r="D222" s="26">
        <v>2</v>
      </c>
      <c r="E222" s="32"/>
      <c r="F222" s="33">
        <f t="shared" si="125"/>
        <v>2</v>
      </c>
      <c r="G222" s="25"/>
      <c r="H222" s="45"/>
      <c r="I222" s="26">
        <v>1</v>
      </c>
      <c r="J222" s="32"/>
      <c r="K222" s="33">
        <f t="shared" si="126"/>
        <v>1</v>
      </c>
      <c r="L222" s="11">
        <f t="shared" si="114"/>
        <v>3</v>
      </c>
      <c r="M222" s="85">
        <v>45118</v>
      </c>
      <c r="N222" s="50"/>
      <c r="O222" s="59"/>
      <c r="P222" s="60"/>
      <c r="Q222" s="61"/>
      <c r="R222" s="62"/>
      <c r="S222" s="63">
        <f t="shared" ref="S222:S223" si="130">SUM(O222:R222)</f>
        <v>0</v>
      </c>
      <c r="T222" s="59"/>
      <c r="U222" s="60"/>
      <c r="V222" s="61"/>
      <c r="W222" s="62"/>
      <c r="X222" s="63">
        <f t="shared" ref="X222:X223" si="131">SUM(T222:W222)</f>
        <v>0</v>
      </c>
      <c r="Y222" s="11">
        <f t="shared" ref="Y222:Y223" si="132">S222+X222</f>
        <v>0</v>
      </c>
      <c r="Z222" s="159"/>
    </row>
    <row r="223" spans="1:26" x14ac:dyDescent="0.15">
      <c r="A223" s="50" t="s">
        <v>219</v>
      </c>
      <c r="B223" s="25">
        <v>5</v>
      </c>
      <c r="C223" s="45"/>
      <c r="D223" s="26"/>
      <c r="E223" s="32"/>
      <c r="F223" s="33">
        <f t="shared" si="125"/>
        <v>5</v>
      </c>
      <c r="G223" s="25"/>
      <c r="H223" s="45"/>
      <c r="I223" s="26"/>
      <c r="J223" s="32"/>
      <c r="K223" s="33">
        <f t="shared" si="126"/>
        <v>0</v>
      </c>
      <c r="L223" s="11">
        <f t="shared" si="114"/>
        <v>5</v>
      </c>
      <c r="M223" s="85">
        <v>45124</v>
      </c>
      <c r="N223" s="50"/>
      <c r="O223" s="59"/>
      <c r="P223" s="60"/>
      <c r="Q223" s="61"/>
      <c r="R223" s="62"/>
      <c r="S223" s="63">
        <f t="shared" si="130"/>
        <v>0</v>
      </c>
      <c r="T223" s="59"/>
      <c r="U223" s="60"/>
      <c r="V223" s="61"/>
      <c r="W223" s="62"/>
      <c r="X223" s="63">
        <f t="shared" si="131"/>
        <v>0</v>
      </c>
      <c r="Y223" s="11">
        <f t="shared" si="132"/>
        <v>0</v>
      </c>
      <c r="Z223" s="159"/>
    </row>
    <row r="224" spans="1:26" ht="14.25" thickBot="1" x14ac:dyDescent="0.2">
      <c r="A224" s="70" t="s">
        <v>30</v>
      </c>
      <c r="B224" s="55"/>
      <c r="C224" s="56"/>
      <c r="D224" s="57">
        <v>2</v>
      </c>
      <c r="E224" s="58"/>
      <c r="F224" s="33">
        <f t="shared" si="125"/>
        <v>2</v>
      </c>
      <c r="G224" s="55"/>
      <c r="H224" s="56"/>
      <c r="I224" s="57"/>
      <c r="J224" s="58"/>
      <c r="K224" s="33">
        <f t="shared" si="126"/>
        <v>0</v>
      </c>
      <c r="L224" s="14">
        <f t="shared" si="114"/>
        <v>2</v>
      </c>
      <c r="M224" s="115">
        <v>45119</v>
      </c>
      <c r="N224" s="74"/>
      <c r="O224" s="55"/>
      <c r="P224" s="56"/>
      <c r="Q224" s="57"/>
      <c r="R224" s="58"/>
      <c r="S224" s="109">
        <f t="shared" ref="S224" si="133">SUM(O224:R224)</f>
        <v>0</v>
      </c>
      <c r="T224" s="55"/>
      <c r="U224" s="56"/>
      <c r="V224" s="57"/>
      <c r="W224" s="58"/>
      <c r="X224" s="109">
        <f t="shared" ref="X224" si="134">SUM(T224:W224)</f>
        <v>0</v>
      </c>
      <c r="Y224" s="107">
        <f t="shared" ref="Y224" si="135">S224+X224</f>
        <v>0</v>
      </c>
      <c r="Z224" s="159"/>
    </row>
    <row r="225" spans="1:28" ht="14.25" thickBot="1" x14ac:dyDescent="0.2">
      <c r="A225" s="16" t="s">
        <v>10</v>
      </c>
      <c r="B225" s="36">
        <f>SUM(B200:B224)</f>
        <v>9</v>
      </c>
      <c r="C225" s="46">
        <f>SUM(C200:C224)</f>
        <v>3</v>
      </c>
      <c r="D225" s="37">
        <f>SUM(D200:D224)</f>
        <v>14</v>
      </c>
      <c r="E225" s="38">
        <f>SUM(E200:E224)</f>
        <v>1</v>
      </c>
      <c r="F225" s="34">
        <f>SUM(B225:E225)</f>
        <v>27</v>
      </c>
      <c r="G225" s="36">
        <f>SUM(G200:G224)</f>
        <v>9</v>
      </c>
      <c r="H225" s="46">
        <f>SUM(H200:H224)</f>
        <v>6</v>
      </c>
      <c r="I225" s="37">
        <f>SUM(I200:I224)</f>
        <v>9</v>
      </c>
      <c r="J225" s="38">
        <f>SUM(J200:J224)</f>
        <v>1</v>
      </c>
      <c r="K225" s="34">
        <f>SUM(G225:J225)</f>
        <v>25</v>
      </c>
      <c r="L225" s="35">
        <f t="shared" si="114"/>
        <v>52</v>
      </c>
      <c r="N225" s="72" t="s">
        <v>10</v>
      </c>
      <c r="O225" s="36">
        <f>SUM(O200:O224)</f>
        <v>15</v>
      </c>
      <c r="P225" s="46">
        <f>SUM(P200:P224)</f>
        <v>33</v>
      </c>
      <c r="Q225" s="37">
        <f>SUM(Q200:Q224)</f>
        <v>15</v>
      </c>
      <c r="R225" s="38">
        <f>SUM(R200:R224)</f>
        <v>19</v>
      </c>
      <c r="S225" s="71">
        <f t="shared" si="120"/>
        <v>82</v>
      </c>
      <c r="T225" s="36">
        <f>SUM(T200:T224)</f>
        <v>26</v>
      </c>
      <c r="U225" s="46">
        <f>SUM(U200:U224)</f>
        <v>21</v>
      </c>
      <c r="V225" s="37">
        <f>SUM(V200:V224)</f>
        <v>20</v>
      </c>
      <c r="W225" s="38">
        <f>SUM(W200:W224)</f>
        <v>16</v>
      </c>
      <c r="X225" s="71">
        <f t="shared" si="121"/>
        <v>83</v>
      </c>
      <c r="Y225" s="75">
        <f t="shared" si="113"/>
        <v>165</v>
      </c>
    </row>
    <row r="226" spans="1:28" ht="14.25" thickBot="1" x14ac:dyDescent="0.2">
      <c r="A226" s="21" t="s">
        <v>11</v>
      </c>
      <c r="B226" s="39">
        <f t="shared" ref="B226:K226" si="136">B199-B225</f>
        <v>2</v>
      </c>
      <c r="C226" s="47">
        <f t="shared" si="136"/>
        <v>4</v>
      </c>
      <c r="D226" s="40">
        <f t="shared" si="136"/>
        <v>1</v>
      </c>
      <c r="E226" s="41">
        <f t="shared" si="136"/>
        <v>5</v>
      </c>
      <c r="F226" s="54">
        <f t="shared" si="136"/>
        <v>12</v>
      </c>
      <c r="G226" s="39">
        <f t="shared" si="136"/>
        <v>7</v>
      </c>
      <c r="H226" s="47">
        <f t="shared" si="136"/>
        <v>10</v>
      </c>
      <c r="I226" s="40">
        <f t="shared" si="136"/>
        <v>5</v>
      </c>
      <c r="J226" s="41">
        <f t="shared" si="136"/>
        <v>9</v>
      </c>
      <c r="K226" s="54">
        <f t="shared" si="136"/>
        <v>31</v>
      </c>
      <c r="L226" s="20">
        <f t="shared" si="114"/>
        <v>43</v>
      </c>
      <c r="N226" s="16" t="s">
        <v>11</v>
      </c>
      <c r="O226" s="39">
        <f t="shared" ref="O226:X226" si="137">O199-O225</f>
        <v>559</v>
      </c>
      <c r="P226" s="47">
        <f t="shared" si="137"/>
        <v>412</v>
      </c>
      <c r="Q226" s="40">
        <f t="shared" si="137"/>
        <v>360</v>
      </c>
      <c r="R226" s="41">
        <f t="shared" si="137"/>
        <v>269</v>
      </c>
      <c r="S226" s="54">
        <f t="shared" si="137"/>
        <v>1600</v>
      </c>
      <c r="T226" s="39">
        <f t="shared" si="137"/>
        <v>611</v>
      </c>
      <c r="U226" s="47">
        <f t="shared" si="137"/>
        <v>482</v>
      </c>
      <c r="V226" s="40">
        <f t="shared" si="137"/>
        <v>307</v>
      </c>
      <c r="W226" s="41">
        <f t="shared" si="137"/>
        <v>214</v>
      </c>
      <c r="X226" s="54">
        <f t="shared" si="137"/>
        <v>1614</v>
      </c>
      <c r="Y226" s="20">
        <f t="shared" si="113"/>
        <v>3214</v>
      </c>
    </row>
    <row r="227" spans="1:28" x14ac:dyDescent="0.15">
      <c r="N227" s="117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</row>
    <row r="228" spans="1:28" x14ac:dyDescent="0.15">
      <c r="O228" s="119"/>
      <c r="P228" s="119"/>
      <c r="Q228" s="119"/>
      <c r="R228" s="119"/>
      <c r="S228" s="119"/>
      <c r="T228" s="119"/>
      <c r="U228" s="119"/>
      <c r="V228" s="119"/>
      <c r="W228" s="118"/>
      <c r="X228" s="119"/>
    </row>
    <row r="229" spans="1:28" ht="19.5" thickBot="1" x14ac:dyDescent="0.25">
      <c r="A229" s="2" t="s">
        <v>26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27</v>
      </c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8" ht="14.25" thickBot="1" x14ac:dyDescent="0.2">
      <c r="A230" s="5" t="s">
        <v>0</v>
      </c>
      <c r="B230" s="228" t="s">
        <v>19</v>
      </c>
      <c r="C230" s="229"/>
      <c r="D230" s="229"/>
      <c r="E230" s="229"/>
      <c r="F230" s="230"/>
      <c r="G230" s="231" t="s">
        <v>18</v>
      </c>
      <c r="H230" s="232"/>
      <c r="I230" s="232"/>
      <c r="J230" s="232"/>
      <c r="K230" s="233"/>
      <c r="L230" s="234" t="s">
        <v>1</v>
      </c>
      <c r="N230" s="5" t="s">
        <v>0</v>
      </c>
      <c r="O230" s="228" t="s">
        <v>19</v>
      </c>
      <c r="P230" s="229"/>
      <c r="Q230" s="229"/>
      <c r="R230" s="229"/>
      <c r="S230" s="230"/>
      <c r="T230" s="231" t="s">
        <v>18</v>
      </c>
      <c r="U230" s="232"/>
      <c r="V230" s="232"/>
      <c r="W230" s="232"/>
      <c r="X230" s="233"/>
      <c r="Y230" s="73" t="s">
        <v>1</v>
      </c>
    </row>
    <row r="231" spans="1:28" ht="14.25" thickBot="1" x14ac:dyDescent="0.2">
      <c r="A231" s="5" t="s">
        <v>2</v>
      </c>
      <c r="B231" s="3" t="s">
        <v>12</v>
      </c>
      <c r="C231" s="42" t="s">
        <v>13</v>
      </c>
      <c r="D231" s="4" t="s">
        <v>14</v>
      </c>
      <c r="E231" s="22" t="s">
        <v>15</v>
      </c>
      <c r="F231" s="30" t="s">
        <v>3</v>
      </c>
      <c r="G231" s="3" t="s">
        <v>12</v>
      </c>
      <c r="H231" s="42" t="s">
        <v>13</v>
      </c>
      <c r="I231" s="4" t="s">
        <v>14</v>
      </c>
      <c r="J231" s="22" t="s">
        <v>15</v>
      </c>
      <c r="K231" s="30" t="s">
        <v>3</v>
      </c>
      <c r="L231" s="235"/>
      <c r="N231" s="5" t="s">
        <v>2</v>
      </c>
      <c r="O231" s="64" t="s">
        <v>12</v>
      </c>
      <c r="P231" s="65" t="s">
        <v>13</v>
      </c>
      <c r="Q231" s="66" t="s">
        <v>14</v>
      </c>
      <c r="R231" s="67" t="s">
        <v>15</v>
      </c>
      <c r="S231" s="30" t="s">
        <v>3</v>
      </c>
      <c r="T231" s="3" t="s">
        <v>12</v>
      </c>
      <c r="U231" s="42" t="s">
        <v>13</v>
      </c>
      <c r="V231" s="4" t="s">
        <v>14</v>
      </c>
      <c r="W231" s="22" t="s">
        <v>15</v>
      </c>
      <c r="X231" s="30" t="s">
        <v>3</v>
      </c>
      <c r="Y231" s="74"/>
    </row>
    <row r="232" spans="1:28" ht="14.25" thickBot="1" x14ac:dyDescent="0.2">
      <c r="A232" s="21" t="s">
        <v>16</v>
      </c>
      <c r="B232" s="39">
        <f>B226</f>
        <v>2</v>
      </c>
      <c r="C232" s="40">
        <f>C226</f>
        <v>4</v>
      </c>
      <c r="D232" s="40">
        <f>D226</f>
        <v>1</v>
      </c>
      <c r="E232" s="41">
        <f>E226</f>
        <v>5</v>
      </c>
      <c r="F232" s="122">
        <f>SUM(B232:E232)</f>
        <v>12</v>
      </c>
      <c r="G232" s="39">
        <f>G226</f>
        <v>7</v>
      </c>
      <c r="H232" s="40">
        <f>H226</f>
        <v>10</v>
      </c>
      <c r="I232" s="40">
        <f>I226</f>
        <v>5</v>
      </c>
      <c r="J232" s="41">
        <f>J226</f>
        <v>9</v>
      </c>
      <c r="K232" s="123">
        <f>SUM(G232:J232)</f>
        <v>31</v>
      </c>
      <c r="L232" s="20">
        <f>F232+K232</f>
        <v>43</v>
      </c>
      <c r="N232" s="21" t="s">
        <v>16</v>
      </c>
      <c r="O232" s="39">
        <f>O226</f>
        <v>559</v>
      </c>
      <c r="P232" s="40">
        <f>P226</f>
        <v>412</v>
      </c>
      <c r="Q232" s="40">
        <f t="shared" ref="Q232:R232" si="138">Q226</f>
        <v>360</v>
      </c>
      <c r="R232" s="40">
        <f t="shared" si="138"/>
        <v>269</v>
      </c>
      <c r="S232" s="122">
        <f>SUM(O232:R232)</f>
        <v>1600</v>
      </c>
      <c r="T232" s="39">
        <f>T226</f>
        <v>611</v>
      </c>
      <c r="U232" s="40">
        <f>U226</f>
        <v>482</v>
      </c>
      <c r="V232" s="40">
        <f>V226</f>
        <v>307</v>
      </c>
      <c r="W232" s="41">
        <f>W226</f>
        <v>214</v>
      </c>
      <c r="X232" s="123">
        <f>SUM(T232:W232)</f>
        <v>1614</v>
      </c>
      <c r="Y232" s="20">
        <f t="shared" ref="Y232:Y264" si="139">S232+X232</f>
        <v>3214</v>
      </c>
    </row>
    <row r="233" spans="1:28" x14ac:dyDescent="0.15">
      <c r="A233" s="70" t="s">
        <v>5</v>
      </c>
      <c r="B233" s="76">
        <v>5</v>
      </c>
      <c r="C233" s="77"/>
      <c r="D233" s="78">
        <v>5</v>
      </c>
      <c r="E233" s="79"/>
      <c r="F233" s="121">
        <f>SUM(B233:E233)</f>
        <v>10</v>
      </c>
      <c r="G233" s="77"/>
      <c r="H233" s="77"/>
      <c r="I233" s="78"/>
      <c r="J233" s="79"/>
      <c r="K233" s="121">
        <f>SUM(G233:J233)</f>
        <v>0</v>
      </c>
      <c r="L233" s="11">
        <f t="shared" ref="L233:L264" si="140">F233+K233</f>
        <v>10</v>
      </c>
      <c r="M233" s="85">
        <v>45120</v>
      </c>
      <c r="N233" s="70" t="s">
        <v>17</v>
      </c>
      <c r="O233" s="59"/>
      <c r="P233" s="60"/>
      <c r="Q233" s="61"/>
      <c r="R233" s="62"/>
      <c r="S233" s="120">
        <f>SUM(O233:R233)</f>
        <v>0</v>
      </c>
      <c r="T233" s="59"/>
      <c r="U233" s="60"/>
      <c r="V233" s="61"/>
      <c r="W233" s="62"/>
      <c r="X233" s="121">
        <f>SUM(T233:W233)</f>
        <v>0</v>
      </c>
      <c r="Y233" s="11">
        <f t="shared" si="139"/>
        <v>0</v>
      </c>
    </row>
    <row r="234" spans="1:28" x14ac:dyDescent="0.15">
      <c r="A234" s="70" t="s">
        <v>6</v>
      </c>
      <c r="B234" s="6"/>
      <c r="C234" s="29">
        <v>3</v>
      </c>
      <c r="D234" s="7"/>
      <c r="E234" s="8">
        <v>3</v>
      </c>
      <c r="F234" s="9">
        <f>SUM(B234:E234)</f>
        <v>6</v>
      </c>
      <c r="G234" s="29"/>
      <c r="H234" s="29"/>
      <c r="I234" s="7"/>
      <c r="J234" s="8"/>
      <c r="K234" s="9">
        <f>SUM(G234:J234)</f>
        <v>0</v>
      </c>
      <c r="L234" s="11">
        <f t="shared" si="140"/>
        <v>6</v>
      </c>
      <c r="M234" s="85">
        <v>45126</v>
      </c>
      <c r="N234" s="70" t="s">
        <v>5</v>
      </c>
      <c r="O234" s="25"/>
      <c r="P234" s="45"/>
      <c r="Q234" s="26"/>
      <c r="R234" s="32"/>
      <c r="S234" s="68">
        <f>SUM(O234:R234)</f>
        <v>0</v>
      </c>
      <c r="T234" s="45"/>
      <c r="U234" s="45"/>
      <c r="V234" s="26"/>
      <c r="W234" s="48"/>
      <c r="X234" s="9">
        <f>SUM(T234:W234)</f>
        <v>0</v>
      </c>
      <c r="Y234" s="11">
        <f t="shared" ref="Y234" si="141">S234+X234</f>
        <v>0</v>
      </c>
      <c r="Z234" s="211"/>
    </row>
    <row r="235" spans="1:28" x14ac:dyDescent="0.15">
      <c r="A235" s="70" t="s">
        <v>143</v>
      </c>
      <c r="B235" s="6"/>
      <c r="C235" s="29">
        <v>2</v>
      </c>
      <c r="D235" s="7">
        <v>1</v>
      </c>
      <c r="E235" s="8"/>
      <c r="F235" s="9">
        <f>SUM(B235:E235)</f>
        <v>3</v>
      </c>
      <c r="G235" s="29"/>
      <c r="H235" s="29"/>
      <c r="I235" s="7"/>
      <c r="J235" s="8">
        <v>2</v>
      </c>
      <c r="K235" s="9">
        <f>SUM(G235:J235)</f>
        <v>2</v>
      </c>
      <c r="L235" s="11">
        <f t="shared" si="140"/>
        <v>5</v>
      </c>
      <c r="M235" s="85">
        <v>45126</v>
      </c>
      <c r="N235" s="13" t="s">
        <v>6</v>
      </c>
      <c r="O235" s="25"/>
      <c r="P235" s="45"/>
      <c r="Q235" s="26"/>
      <c r="R235" s="32"/>
      <c r="S235" s="68">
        <f>SUM(O235:R235)</f>
        <v>0</v>
      </c>
      <c r="T235" s="45"/>
      <c r="U235" s="45"/>
      <c r="V235" s="26"/>
      <c r="W235" s="48"/>
      <c r="X235" s="9">
        <f>SUM(T235:W235)</f>
        <v>0</v>
      </c>
      <c r="Y235" s="11">
        <f t="shared" si="139"/>
        <v>0</v>
      </c>
      <c r="Z235" s="211"/>
    </row>
    <row r="236" spans="1:28" ht="14.25" thickBot="1" x14ac:dyDescent="0.2">
      <c r="A236" s="70" t="s">
        <v>8</v>
      </c>
      <c r="B236" s="76">
        <v>3</v>
      </c>
      <c r="C236" s="77">
        <v>3</v>
      </c>
      <c r="D236" s="78">
        <v>3</v>
      </c>
      <c r="E236" s="79"/>
      <c r="F236" s="71">
        <f>SUM(B236:E236)</f>
        <v>9</v>
      </c>
      <c r="G236" s="77"/>
      <c r="H236" s="77">
        <v>3</v>
      </c>
      <c r="I236" s="78">
        <v>3</v>
      </c>
      <c r="J236" s="79"/>
      <c r="K236" s="71">
        <f>SUM(G236:J236)</f>
        <v>6</v>
      </c>
      <c r="L236" s="14">
        <f t="shared" si="140"/>
        <v>15</v>
      </c>
      <c r="M236" s="85">
        <v>45133</v>
      </c>
      <c r="N236" s="13" t="s">
        <v>7</v>
      </c>
      <c r="O236" s="55"/>
      <c r="P236" s="56"/>
      <c r="Q236" s="57"/>
      <c r="R236" s="58"/>
      <c r="S236" s="69">
        <f>SUM(O236:R236)</f>
        <v>0</v>
      </c>
      <c r="T236" s="45"/>
      <c r="U236" s="45"/>
      <c r="V236" s="26"/>
      <c r="W236" s="48"/>
      <c r="X236" s="10">
        <f>SUM(T236:W236)</f>
        <v>0</v>
      </c>
      <c r="Y236" s="14">
        <f t="shared" si="139"/>
        <v>0</v>
      </c>
    </row>
    <row r="237" spans="1:28" ht="14.25" thickBot="1" x14ac:dyDescent="0.2">
      <c r="A237" s="21" t="s">
        <v>9</v>
      </c>
      <c r="B237" s="17">
        <f t="shared" ref="B237:K237" si="142">SUM(B232:B236)</f>
        <v>10</v>
      </c>
      <c r="C237" s="43">
        <f t="shared" si="142"/>
        <v>12</v>
      </c>
      <c r="D237" s="18">
        <f t="shared" si="142"/>
        <v>10</v>
      </c>
      <c r="E237" s="19">
        <f t="shared" si="142"/>
        <v>8</v>
      </c>
      <c r="F237" s="27">
        <f t="shared" si="142"/>
        <v>40</v>
      </c>
      <c r="G237" s="17">
        <f t="shared" si="142"/>
        <v>7</v>
      </c>
      <c r="H237" s="43">
        <f t="shared" si="142"/>
        <v>13</v>
      </c>
      <c r="I237" s="18">
        <f t="shared" si="142"/>
        <v>8</v>
      </c>
      <c r="J237" s="19">
        <f t="shared" si="142"/>
        <v>11</v>
      </c>
      <c r="K237" s="27">
        <f t="shared" si="142"/>
        <v>39</v>
      </c>
      <c r="L237" s="20">
        <f t="shared" si="140"/>
        <v>79</v>
      </c>
      <c r="N237" s="16" t="s">
        <v>9</v>
      </c>
      <c r="O237" s="39">
        <f t="shared" ref="O237:X237" si="143">SUM(O232:O236)</f>
        <v>559</v>
      </c>
      <c r="P237" s="47">
        <f t="shared" si="143"/>
        <v>412</v>
      </c>
      <c r="Q237" s="40">
        <f t="shared" si="143"/>
        <v>360</v>
      </c>
      <c r="R237" s="88">
        <f t="shared" si="143"/>
        <v>269</v>
      </c>
      <c r="S237" s="89">
        <f t="shared" si="143"/>
        <v>1600</v>
      </c>
      <c r="T237" s="39">
        <f t="shared" si="143"/>
        <v>611</v>
      </c>
      <c r="U237" s="47">
        <f t="shared" si="143"/>
        <v>482</v>
      </c>
      <c r="V237" s="40">
        <f t="shared" si="143"/>
        <v>307</v>
      </c>
      <c r="W237" s="88">
        <f t="shared" si="143"/>
        <v>214</v>
      </c>
      <c r="X237" s="89">
        <f t="shared" si="143"/>
        <v>1614</v>
      </c>
      <c r="Y237" s="49">
        <f t="shared" si="139"/>
        <v>3214</v>
      </c>
    </row>
    <row r="238" spans="1:28" x14ac:dyDescent="0.15">
      <c r="A238" s="70" t="s">
        <v>30</v>
      </c>
      <c r="B238" s="23"/>
      <c r="C238" s="44">
        <v>1</v>
      </c>
      <c r="D238" s="24"/>
      <c r="E238" s="31"/>
      <c r="F238" s="33">
        <f>SUM(B238:E238)</f>
        <v>1</v>
      </c>
      <c r="G238" s="23"/>
      <c r="H238" s="44">
        <v>1</v>
      </c>
      <c r="I238" s="24"/>
      <c r="J238" s="31"/>
      <c r="K238" s="33">
        <f>SUM(G238:J238)</f>
        <v>1</v>
      </c>
      <c r="L238" s="11">
        <f t="shared" si="140"/>
        <v>2</v>
      </c>
      <c r="M238" s="115">
        <v>45120</v>
      </c>
      <c r="N238" s="15" t="s">
        <v>221</v>
      </c>
      <c r="O238" s="59"/>
      <c r="P238" s="60">
        <v>1</v>
      </c>
      <c r="Q238" s="61"/>
      <c r="R238" s="62">
        <v>1</v>
      </c>
      <c r="S238" s="63">
        <f t="shared" ref="S238:S263" si="144">SUM(O238:R238)</f>
        <v>2</v>
      </c>
      <c r="T238" s="59"/>
      <c r="U238" s="60"/>
      <c r="V238" s="61"/>
      <c r="W238" s="62">
        <v>1</v>
      </c>
      <c r="X238" s="63">
        <f t="shared" ref="X238:X263" si="145">SUM(T238:W238)</f>
        <v>1</v>
      </c>
      <c r="Y238" s="11">
        <f t="shared" si="139"/>
        <v>3</v>
      </c>
      <c r="Z238" s="85">
        <v>45126</v>
      </c>
      <c r="AA238" s="51"/>
      <c r="AB238" s="51"/>
    </row>
    <row r="239" spans="1:28" x14ac:dyDescent="0.15">
      <c r="A239" s="15" t="s">
        <v>220</v>
      </c>
      <c r="B239" s="25"/>
      <c r="C239" s="45">
        <v>1</v>
      </c>
      <c r="D239" s="26"/>
      <c r="E239" s="32"/>
      <c r="F239" s="33">
        <f>SUM(B239:E239)</f>
        <v>1</v>
      </c>
      <c r="G239" s="25"/>
      <c r="H239" s="45"/>
      <c r="I239" s="26"/>
      <c r="J239" s="32"/>
      <c r="K239" s="33">
        <f>SUM(G239:J239)</f>
        <v>0</v>
      </c>
      <c r="L239" s="11">
        <f t="shared" si="140"/>
        <v>1</v>
      </c>
      <c r="M239" s="85">
        <v>45122</v>
      </c>
      <c r="N239" s="50" t="s">
        <v>28</v>
      </c>
      <c r="O239" s="25"/>
      <c r="P239" s="45">
        <v>3</v>
      </c>
      <c r="Q239" s="26"/>
      <c r="R239" s="32">
        <v>3</v>
      </c>
      <c r="S239" s="33">
        <f>SUM(O239:R239)</f>
        <v>6</v>
      </c>
      <c r="T239" s="25"/>
      <c r="U239" s="45"/>
      <c r="V239" s="26"/>
      <c r="W239" s="32"/>
      <c r="X239" s="33">
        <f>SUM(T239:W239)</f>
        <v>0</v>
      </c>
      <c r="Y239" s="11">
        <f t="shared" si="139"/>
        <v>6</v>
      </c>
      <c r="Z239" s="85">
        <v>45126</v>
      </c>
    </row>
    <row r="240" spans="1:28" x14ac:dyDescent="0.15">
      <c r="A240" s="70" t="s">
        <v>30</v>
      </c>
      <c r="B240" s="25"/>
      <c r="C240" s="45"/>
      <c r="D240" s="26"/>
      <c r="E240" s="32">
        <v>2</v>
      </c>
      <c r="F240" s="33">
        <f t="shared" ref="F240:F262" si="146">SUM(B240:E240)</f>
        <v>2</v>
      </c>
      <c r="G240" s="25"/>
      <c r="H240" s="45"/>
      <c r="I240" s="26"/>
      <c r="J240" s="32"/>
      <c r="K240" s="33">
        <f t="shared" ref="K240:K262" si="147">SUM(G240:J240)</f>
        <v>0</v>
      </c>
      <c r="L240" s="11">
        <f t="shared" si="140"/>
        <v>2</v>
      </c>
      <c r="M240" s="115">
        <v>45121</v>
      </c>
      <c r="N240" s="50" t="s">
        <v>224</v>
      </c>
      <c r="O240" s="25"/>
      <c r="P240" s="45"/>
      <c r="Q240" s="26">
        <v>5</v>
      </c>
      <c r="R240" s="32"/>
      <c r="S240" s="33">
        <f t="shared" si="144"/>
        <v>5</v>
      </c>
      <c r="T240" s="25"/>
      <c r="U240" s="45"/>
      <c r="V240" s="26"/>
      <c r="W240" s="32"/>
      <c r="X240" s="33">
        <f t="shared" si="145"/>
        <v>0</v>
      </c>
      <c r="Y240" s="11">
        <f t="shared" si="139"/>
        <v>5</v>
      </c>
      <c r="Z240" s="85">
        <v>45133</v>
      </c>
    </row>
    <row r="241" spans="1:27" x14ac:dyDescent="0.15">
      <c r="A241" s="15" t="s">
        <v>222</v>
      </c>
      <c r="B241" s="59"/>
      <c r="C241" s="60">
        <v>1</v>
      </c>
      <c r="D241" s="61"/>
      <c r="E241" s="62"/>
      <c r="F241" s="63">
        <f t="shared" si="146"/>
        <v>1</v>
      </c>
      <c r="G241" s="59"/>
      <c r="H241" s="60">
        <v>2</v>
      </c>
      <c r="I241" s="61"/>
      <c r="J241" s="62"/>
      <c r="K241" s="63">
        <f t="shared" si="147"/>
        <v>2</v>
      </c>
      <c r="L241" s="11">
        <f t="shared" si="140"/>
        <v>3</v>
      </c>
      <c r="M241" s="85">
        <v>45127</v>
      </c>
      <c r="N241" s="50" t="s">
        <v>28</v>
      </c>
      <c r="O241" s="25">
        <v>3</v>
      </c>
      <c r="P241" s="45">
        <v>3</v>
      </c>
      <c r="Q241" s="26">
        <v>3</v>
      </c>
      <c r="R241" s="32"/>
      <c r="S241" s="33">
        <f>SUM(O241:R241)</f>
        <v>9</v>
      </c>
      <c r="T241" s="25"/>
      <c r="U241" s="45">
        <v>3</v>
      </c>
      <c r="V241" s="26">
        <v>3</v>
      </c>
      <c r="W241" s="32"/>
      <c r="X241" s="33">
        <f>SUM(T241:W241)</f>
        <v>6</v>
      </c>
      <c r="Y241" s="11">
        <f t="shared" si="139"/>
        <v>15</v>
      </c>
      <c r="Z241" s="85">
        <v>45133</v>
      </c>
    </row>
    <row r="242" spans="1:27" x14ac:dyDescent="0.15">
      <c r="A242" s="70" t="s">
        <v>30</v>
      </c>
      <c r="B242" s="25"/>
      <c r="C242" s="45">
        <v>1</v>
      </c>
      <c r="D242" s="26"/>
      <c r="E242" s="32"/>
      <c r="F242" s="33">
        <f t="shared" si="146"/>
        <v>1</v>
      </c>
      <c r="G242" s="25"/>
      <c r="H242" s="45"/>
      <c r="I242" s="26"/>
      <c r="J242" s="32"/>
      <c r="K242" s="33">
        <f t="shared" si="147"/>
        <v>0</v>
      </c>
      <c r="L242" s="11">
        <f t="shared" si="140"/>
        <v>1</v>
      </c>
      <c r="M242" s="115">
        <v>45127</v>
      </c>
      <c r="N242" s="50" t="s">
        <v>228</v>
      </c>
      <c r="O242" s="25">
        <v>2</v>
      </c>
      <c r="P242" s="45">
        <v>5</v>
      </c>
      <c r="Q242" s="26"/>
      <c r="R242" s="32">
        <v>3</v>
      </c>
      <c r="S242" s="33">
        <f t="shared" si="144"/>
        <v>10</v>
      </c>
      <c r="T242" s="25"/>
      <c r="U242" s="45">
        <v>6</v>
      </c>
      <c r="V242" s="26">
        <v>2</v>
      </c>
      <c r="W242" s="32">
        <v>2</v>
      </c>
      <c r="X242" s="33">
        <f t="shared" si="145"/>
        <v>10</v>
      </c>
      <c r="Y242" s="11">
        <f t="shared" si="139"/>
        <v>20</v>
      </c>
      <c r="Z242" s="85">
        <v>45140</v>
      </c>
    </row>
    <row r="243" spans="1:27" x14ac:dyDescent="0.15">
      <c r="A243" s="15" t="s">
        <v>223</v>
      </c>
      <c r="B243" s="25"/>
      <c r="C243" s="45"/>
      <c r="D243" s="26"/>
      <c r="E243" s="32"/>
      <c r="F243" s="33">
        <f t="shared" si="146"/>
        <v>0</v>
      </c>
      <c r="G243" s="25"/>
      <c r="H243" s="45"/>
      <c r="I243" s="26">
        <v>1</v>
      </c>
      <c r="J243" s="32"/>
      <c r="K243" s="33">
        <f t="shared" si="147"/>
        <v>1</v>
      </c>
      <c r="L243" s="11">
        <f t="shared" si="140"/>
        <v>1</v>
      </c>
      <c r="M243" s="85">
        <v>45131</v>
      </c>
      <c r="N243" s="95" t="s">
        <v>230</v>
      </c>
      <c r="O243" s="25"/>
      <c r="P243" s="45"/>
      <c r="Q243" s="26"/>
      <c r="R243" s="32"/>
      <c r="S243" s="33">
        <f t="shared" si="144"/>
        <v>0</v>
      </c>
      <c r="T243" s="25">
        <v>14</v>
      </c>
      <c r="U243" s="45"/>
      <c r="V243" s="26"/>
      <c r="W243" s="32"/>
      <c r="X243" s="33">
        <f t="shared" si="145"/>
        <v>14</v>
      </c>
      <c r="Y243" s="11">
        <f t="shared" si="139"/>
        <v>14</v>
      </c>
      <c r="Z243" s="85">
        <v>45142</v>
      </c>
    </row>
    <row r="244" spans="1:27" x14ac:dyDescent="0.15">
      <c r="A244" s="70" t="s">
        <v>30</v>
      </c>
      <c r="B244" s="25"/>
      <c r="C244" s="45"/>
      <c r="D244" s="26">
        <v>3</v>
      </c>
      <c r="E244" s="32"/>
      <c r="F244" s="33">
        <f t="shared" si="146"/>
        <v>3</v>
      </c>
      <c r="G244" s="25">
        <v>1</v>
      </c>
      <c r="H244" s="45"/>
      <c r="I244" s="26"/>
      <c r="J244" s="32"/>
      <c r="K244" s="33">
        <f t="shared" si="147"/>
        <v>1</v>
      </c>
      <c r="L244" s="11">
        <f t="shared" si="140"/>
        <v>4</v>
      </c>
      <c r="M244" s="115">
        <v>45128</v>
      </c>
      <c r="N244" s="50" t="s">
        <v>231</v>
      </c>
      <c r="O244" s="25"/>
      <c r="P244" s="45">
        <v>9</v>
      </c>
      <c r="Q244" s="26"/>
      <c r="R244" s="32"/>
      <c r="S244" s="33">
        <f t="shared" si="144"/>
        <v>9</v>
      </c>
      <c r="T244" s="25"/>
      <c r="U244" s="45"/>
      <c r="V244" s="26"/>
      <c r="W244" s="32"/>
      <c r="X244" s="33">
        <f t="shared" si="145"/>
        <v>0</v>
      </c>
      <c r="Y244" s="11">
        <f t="shared" si="139"/>
        <v>9</v>
      </c>
      <c r="Z244" s="85">
        <v>45142</v>
      </c>
    </row>
    <row r="245" spans="1:27" x14ac:dyDescent="0.15">
      <c r="A245" s="70" t="s">
        <v>30</v>
      </c>
      <c r="B245" s="25">
        <v>2</v>
      </c>
      <c r="C245" s="45"/>
      <c r="D245" s="26">
        <v>1</v>
      </c>
      <c r="E245" s="32"/>
      <c r="F245" s="33">
        <f t="shared" si="146"/>
        <v>3</v>
      </c>
      <c r="G245" s="25"/>
      <c r="H245" s="45">
        <v>5</v>
      </c>
      <c r="I245" s="26">
        <v>1</v>
      </c>
      <c r="J245" s="32"/>
      <c r="K245" s="33">
        <f t="shared" si="147"/>
        <v>6</v>
      </c>
      <c r="L245" s="11">
        <f t="shared" si="140"/>
        <v>9</v>
      </c>
      <c r="M245" s="115">
        <v>45131</v>
      </c>
      <c r="N245" s="50" t="s">
        <v>234</v>
      </c>
      <c r="O245" s="25">
        <v>3</v>
      </c>
      <c r="P245" s="45">
        <v>3</v>
      </c>
      <c r="Q245" s="26">
        <v>3</v>
      </c>
      <c r="R245" s="32">
        <v>3</v>
      </c>
      <c r="S245" s="33">
        <f t="shared" si="144"/>
        <v>12</v>
      </c>
      <c r="T245" s="25">
        <v>3</v>
      </c>
      <c r="U245" s="45">
        <v>3</v>
      </c>
      <c r="V245" s="26">
        <v>3</v>
      </c>
      <c r="W245" s="32">
        <v>3</v>
      </c>
      <c r="X245" s="33">
        <f t="shared" si="145"/>
        <v>12</v>
      </c>
      <c r="Y245" s="11">
        <f t="shared" si="139"/>
        <v>24</v>
      </c>
      <c r="Z245" s="85">
        <v>45143</v>
      </c>
    </row>
    <row r="246" spans="1:27" x14ac:dyDescent="0.15">
      <c r="A246" s="70" t="s">
        <v>30</v>
      </c>
      <c r="B246" s="25"/>
      <c r="C246" s="45"/>
      <c r="D246" s="26"/>
      <c r="E246" s="32">
        <v>1</v>
      </c>
      <c r="F246" s="33">
        <f t="shared" si="146"/>
        <v>1</v>
      </c>
      <c r="G246" s="25"/>
      <c r="H246" s="45"/>
      <c r="I246" s="26"/>
      <c r="J246" s="32"/>
      <c r="K246" s="33">
        <f t="shared" si="147"/>
        <v>0</v>
      </c>
      <c r="L246" s="11">
        <f t="shared" si="140"/>
        <v>1</v>
      </c>
      <c r="M246" s="115">
        <v>45132</v>
      </c>
      <c r="N246" s="12" t="s">
        <v>239</v>
      </c>
      <c r="O246" s="25">
        <v>10</v>
      </c>
      <c r="P246" s="45">
        <v>20</v>
      </c>
      <c r="Q246" s="26"/>
      <c r="R246" s="32"/>
      <c r="S246" s="33">
        <f t="shared" si="144"/>
        <v>30</v>
      </c>
      <c r="T246" s="25">
        <v>10</v>
      </c>
      <c r="U246" s="45">
        <v>25</v>
      </c>
      <c r="V246" s="26">
        <v>5</v>
      </c>
      <c r="W246" s="32">
        <v>15</v>
      </c>
      <c r="X246" s="33">
        <f t="shared" si="145"/>
        <v>55</v>
      </c>
      <c r="Y246" s="11">
        <f t="shared" si="139"/>
        <v>85</v>
      </c>
      <c r="Z246" s="85">
        <v>45155</v>
      </c>
    </row>
    <row r="247" spans="1:27" x14ac:dyDescent="0.15">
      <c r="A247" s="12" t="s">
        <v>225</v>
      </c>
      <c r="B247" s="25">
        <v>-2</v>
      </c>
      <c r="C247" s="45">
        <v>-1</v>
      </c>
      <c r="D247" s="26">
        <v>-1</v>
      </c>
      <c r="E247" s="32">
        <v>-1</v>
      </c>
      <c r="F247" s="33">
        <f t="shared" si="146"/>
        <v>-5</v>
      </c>
      <c r="G247" s="25">
        <v>-1</v>
      </c>
      <c r="H247" s="45">
        <v>-1</v>
      </c>
      <c r="I247" s="26">
        <v>-1</v>
      </c>
      <c r="J247" s="32">
        <v>-1</v>
      </c>
      <c r="K247" s="33">
        <f t="shared" si="147"/>
        <v>-4</v>
      </c>
      <c r="L247" s="11">
        <f t="shared" si="140"/>
        <v>-9</v>
      </c>
      <c r="M247" s="115">
        <v>45132</v>
      </c>
      <c r="N247" s="50" t="s">
        <v>28</v>
      </c>
      <c r="O247" s="25"/>
      <c r="P247" s="45"/>
      <c r="Q247" s="26"/>
      <c r="R247" s="32"/>
      <c r="S247" s="33">
        <f>SUM(O247:R247)</f>
        <v>0</v>
      </c>
      <c r="T247" s="25"/>
      <c r="U247" s="45">
        <v>3</v>
      </c>
      <c r="V247" s="26">
        <v>3</v>
      </c>
      <c r="W247" s="32"/>
      <c r="X247" s="33">
        <f>SUM(T247:W247)</f>
        <v>6</v>
      </c>
      <c r="Y247" s="11">
        <f t="shared" si="139"/>
        <v>6</v>
      </c>
      <c r="Z247" s="85">
        <v>45157</v>
      </c>
    </row>
    <row r="248" spans="1:27" x14ac:dyDescent="0.15">
      <c r="A248" s="15" t="s">
        <v>226</v>
      </c>
      <c r="B248" s="25"/>
      <c r="C248" s="45"/>
      <c r="D248" s="26">
        <v>1</v>
      </c>
      <c r="E248" s="32"/>
      <c r="F248" s="33">
        <f t="shared" si="146"/>
        <v>1</v>
      </c>
      <c r="G248" s="25"/>
      <c r="H248" s="45"/>
      <c r="I248" s="26">
        <v>2</v>
      </c>
      <c r="J248" s="32"/>
      <c r="K248" s="33">
        <f t="shared" si="147"/>
        <v>2</v>
      </c>
      <c r="L248" s="11">
        <f t="shared" si="140"/>
        <v>3</v>
      </c>
      <c r="M248" s="85">
        <v>45134</v>
      </c>
      <c r="N248" s="12" t="s">
        <v>244</v>
      </c>
      <c r="O248" s="25">
        <v>10</v>
      </c>
      <c r="P248" s="45">
        <v>15</v>
      </c>
      <c r="Q248" s="26">
        <v>10</v>
      </c>
      <c r="R248" s="32">
        <v>10</v>
      </c>
      <c r="S248" s="33">
        <f t="shared" si="144"/>
        <v>45</v>
      </c>
      <c r="T248" s="25">
        <v>5</v>
      </c>
      <c r="U248" s="45">
        <v>10</v>
      </c>
      <c r="V248" s="26">
        <v>10</v>
      </c>
      <c r="W248" s="32"/>
      <c r="X248" s="33">
        <f t="shared" si="145"/>
        <v>25</v>
      </c>
      <c r="Y248" s="11">
        <f t="shared" si="139"/>
        <v>70</v>
      </c>
      <c r="Z248" s="85">
        <v>45161</v>
      </c>
    </row>
    <row r="249" spans="1:27" x14ac:dyDescent="0.15">
      <c r="A249" s="70" t="s">
        <v>30</v>
      </c>
      <c r="B249" s="25"/>
      <c r="C249" s="45">
        <v>2</v>
      </c>
      <c r="D249" s="26">
        <v>2</v>
      </c>
      <c r="E249" s="32"/>
      <c r="F249" s="33">
        <f t="shared" si="146"/>
        <v>4</v>
      </c>
      <c r="G249" s="25"/>
      <c r="H249" s="45"/>
      <c r="I249" s="26"/>
      <c r="J249" s="32"/>
      <c r="K249" s="33">
        <f t="shared" si="147"/>
        <v>0</v>
      </c>
      <c r="L249" s="11">
        <f t="shared" si="140"/>
        <v>4</v>
      </c>
      <c r="M249" s="115">
        <v>45133</v>
      </c>
      <c r="N249" s="12" t="s">
        <v>249</v>
      </c>
      <c r="O249" s="25">
        <v>10</v>
      </c>
      <c r="P249" s="45"/>
      <c r="Q249" s="26">
        <v>3</v>
      </c>
      <c r="R249" s="32"/>
      <c r="S249" s="33">
        <f t="shared" si="144"/>
        <v>13</v>
      </c>
      <c r="T249" s="25">
        <v>25</v>
      </c>
      <c r="U249" s="45">
        <v>10</v>
      </c>
      <c r="V249" s="26">
        <v>5</v>
      </c>
      <c r="W249" s="32"/>
      <c r="X249" s="33">
        <f t="shared" si="145"/>
        <v>40</v>
      </c>
      <c r="Y249" s="11">
        <f t="shared" si="139"/>
        <v>53</v>
      </c>
      <c r="Z249" s="85">
        <v>45164</v>
      </c>
    </row>
    <row r="250" spans="1:27" x14ac:dyDescent="0.15">
      <c r="A250" s="70" t="s">
        <v>227</v>
      </c>
      <c r="B250" s="25"/>
      <c r="C250" s="45">
        <v>-1</v>
      </c>
      <c r="D250" s="26">
        <v>-2</v>
      </c>
      <c r="E250" s="32"/>
      <c r="F250" s="33">
        <f t="shared" si="146"/>
        <v>-3</v>
      </c>
      <c r="G250" s="25"/>
      <c r="H250" s="45"/>
      <c r="I250" s="26">
        <v>-1</v>
      </c>
      <c r="J250" s="32"/>
      <c r="K250" s="33">
        <f t="shared" si="147"/>
        <v>-1</v>
      </c>
      <c r="L250" s="11">
        <f t="shared" si="140"/>
        <v>-4</v>
      </c>
      <c r="M250" s="115">
        <v>45133</v>
      </c>
      <c r="N250" s="12" t="s">
        <v>253</v>
      </c>
      <c r="O250" s="25">
        <v>15</v>
      </c>
      <c r="P250" s="45">
        <v>10</v>
      </c>
      <c r="Q250" s="26">
        <v>10</v>
      </c>
      <c r="R250" s="32">
        <v>30</v>
      </c>
      <c r="S250" s="33">
        <f t="shared" si="144"/>
        <v>65</v>
      </c>
      <c r="T250" s="25">
        <v>15</v>
      </c>
      <c r="U250" s="45">
        <v>10</v>
      </c>
      <c r="V250" s="26">
        <v>15</v>
      </c>
      <c r="W250" s="32">
        <v>10</v>
      </c>
      <c r="X250" s="33">
        <f t="shared" si="145"/>
        <v>50</v>
      </c>
      <c r="Y250" s="11">
        <f t="shared" si="139"/>
        <v>115</v>
      </c>
      <c r="Z250" s="85">
        <v>45167</v>
      </c>
    </row>
    <row r="251" spans="1:27" x14ac:dyDescent="0.15">
      <c r="A251" s="15" t="s">
        <v>229</v>
      </c>
      <c r="B251" s="25">
        <v>1</v>
      </c>
      <c r="C251" s="45"/>
      <c r="D251" s="26"/>
      <c r="E251" s="32"/>
      <c r="F251" s="33">
        <f t="shared" si="146"/>
        <v>1</v>
      </c>
      <c r="G251" s="25"/>
      <c r="H251" s="45"/>
      <c r="I251" s="26"/>
      <c r="J251" s="32"/>
      <c r="K251" s="33">
        <f t="shared" si="147"/>
        <v>0</v>
      </c>
      <c r="L251" s="11">
        <f t="shared" si="140"/>
        <v>1</v>
      </c>
      <c r="M251" s="85">
        <v>45138</v>
      </c>
      <c r="N251" s="12" t="s">
        <v>258</v>
      </c>
      <c r="O251" s="25"/>
      <c r="P251" s="45"/>
      <c r="Q251" s="26"/>
      <c r="R251" s="32"/>
      <c r="S251" s="33">
        <f t="shared" si="144"/>
        <v>0</v>
      </c>
      <c r="T251" s="25"/>
      <c r="U251" s="45">
        <v>20</v>
      </c>
      <c r="V251" s="26"/>
      <c r="W251" s="32"/>
      <c r="X251" s="33">
        <f t="shared" si="145"/>
        <v>20</v>
      </c>
      <c r="Y251" s="11">
        <f t="shared" si="139"/>
        <v>20</v>
      </c>
      <c r="Z251" s="85">
        <v>45170</v>
      </c>
    </row>
    <row r="252" spans="1:27" x14ac:dyDescent="0.15">
      <c r="A252" s="70" t="s">
        <v>108</v>
      </c>
      <c r="B252" s="25"/>
      <c r="C252" s="45"/>
      <c r="D252" s="26">
        <v>1</v>
      </c>
      <c r="E252" s="32"/>
      <c r="F252" s="33">
        <f t="shared" si="146"/>
        <v>1</v>
      </c>
      <c r="G252" s="25"/>
      <c r="H252" s="45"/>
      <c r="I252" s="26">
        <v>1</v>
      </c>
      <c r="J252" s="32"/>
      <c r="K252" s="33">
        <f t="shared" si="147"/>
        <v>1</v>
      </c>
      <c r="L252" s="11">
        <f t="shared" si="140"/>
        <v>2</v>
      </c>
      <c r="M252" s="85">
        <v>45139</v>
      </c>
      <c r="N252" s="12" t="s">
        <v>264</v>
      </c>
      <c r="O252" s="25"/>
      <c r="P252" s="45"/>
      <c r="Q252" s="26"/>
      <c r="R252" s="32">
        <v>15</v>
      </c>
      <c r="S252" s="33">
        <f t="shared" si="144"/>
        <v>15</v>
      </c>
      <c r="T252" s="25"/>
      <c r="U252" s="45"/>
      <c r="V252" s="26"/>
      <c r="W252" s="32">
        <v>15</v>
      </c>
      <c r="X252" s="33">
        <f t="shared" si="145"/>
        <v>15</v>
      </c>
      <c r="Y252" s="11">
        <f t="shared" si="139"/>
        <v>30</v>
      </c>
      <c r="Z252" s="85">
        <v>45171</v>
      </c>
      <c r="AA252" s="51"/>
    </row>
    <row r="253" spans="1:27" x14ac:dyDescent="0.15">
      <c r="A253" s="15" t="s">
        <v>232</v>
      </c>
      <c r="B253" s="25"/>
      <c r="C253" s="45">
        <v>1</v>
      </c>
      <c r="D253" s="26"/>
      <c r="E253" s="32"/>
      <c r="F253" s="33">
        <f t="shared" si="146"/>
        <v>1</v>
      </c>
      <c r="G253" s="25"/>
      <c r="H253" s="45"/>
      <c r="I253" s="26"/>
      <c r="J253" s="32"/>
      <c r="K253" s="33">
        <f t="shared" si="147"/>
        <v>0</v>
      </c>
      <c r="L253" s="11">
        <f t="shared" si="140"/>
        <v>1</v>
      </c>
      <c r="M253" s="85">
        <v>45140</v>
      </c>
      <c r="N253" s="50"/>
      <c r="O253" s="25"/>
      <c r="P253" s="45"/>
      <c r="Q253" s="26"/>
      <c r="R253" s="32"/>
      <c r="S253" s="33">
        <f t="shared" si="144"/>
        <v>0</v>
      </c>
      <c r="T253" s="25"/>
      <c r="U253" s="45"/>
      <c r="V253" s="26"/>
      <c r="W253" s="32"/>
      <c r="X253" s="33">
        <f t="shared" si="145"/>
        <v>0</v>
      </c>
      <c r="Y253" s="11">
        <f t="shared" si="139"/>
        <v>0</v>
      </c>
    </row>
    <row r="254" spans="1:27" x14ac:dyDescent="0.15">
      <c r="A254" s="15" t="s">
        <v>233</v>
      </c>
      <c r="B254" s="25"/>
      <c r="C254" s="45"/>
      <c r="D254" s="26"/>
      <c r="E254" s="32"/>
      <c r="F254" s="33">
        <f t="shared" si="146"/>
        <v>0</v>
      </c>
      <c r="G254" s="25"/>
      <c r="H254" s="45"/>
      <c r="I254" s="26"/>
      <c r="J254" s="32">
        <v>1</v>
      </c>
      <c r="K254" s="33">
        <f t="shared" si="147"/>
        <v>1</v>
      </c>
      <c r="L254" s="11">
        <f t="shared" si="140"/>
        <v>1</v>
      </c>
      <c r="M254" s="85">
        <v>45141</v>
      </c>
      <c r="N254" s="50"/>
      <c r="O254" s="25"/>
      <c r="P254" s="45"/>
      <c r="Q254" s="26"/>
      <c r="R254" s="32"/>
      <c r="S254" s="33">
        <f t="shared" si="144"/>
        <v>0</v>
      </c>
      <c r="T254" s="25"/>
      <c r="U254" s="45"/>
      <c r="V254" s="26"/>
      <c r="W254" s="32"/>
      <c r="X254" s="33">
        <f t="shared" si="145"/>
        <v>0</v>
      </c>
      <c r="Y254" s="11">
        <f t="shared" si="139"/>
        <v>0</v>
      </c>
    </row>
    <row r="255" spans="1:27" x14ac:dyDescent="0.15">
      <c r="A255" s="15" t="s">
        <v>235</v>
      </c>
      <c r="B255" s="25">
        <v>0</v>
      </c>
      <c r="C255" s="45">
        <v>0</v>
      </c>
      <c r="D255" s="26">
        <v>0</v>
      </c>
      <c r="E255" s="32">
        <v>0</v>
      </c>
      <c r="F255" s="33">
        <f t="shared" si="146"/>
        <v>0</v>
      </c>
      <c r="G255" s="25">
        <v>0</v>
      </c>
      <c r="H255" s="45">
        <v>0</v>
      </c>
      <c r="I255" s="26">
        <v>0</v>
      </c>
      <c r="J255" s="32">
        <v>0</v>
      </c>
      <c r="K255" s="33">
        <f t="shared" si="147"/>
        <v>0</v>
      </c>
      <c r="L255" s="11">
        <f t="shared" si="140"/>
        <v>0</v>
      </c>
      <c r="M255" s="115">
        <v>45142</v>
      </c>
      <c r="N255" s="50"/>
      <c r="O255" s="25"/>
      <c r="P255" s="45"/>
      <c r="Q255" s="26"/>
      <c r="R255" s="32"/>
      <c r="S255" s="33">
        <f t="shared" si="144"/>
        <v>0</v>
      </c>
      <c r="T255" s="25"/>
      <c r="U255" s="45"/>
      <c r="V255" s="26"/>
      <c r="W255" s="32"/>
      <c r="X255" s="33">
        <f t="shared" si="145"/>
        <v>0</v>
      </c>
      <c r="Y255" s="11">
        <f t="shared" si="139"/>
        <v>0</v>
      </c>
      <c r="Z255" s="159"/>
    </row>
    <row r="256" spans="1:27" x14ac:dyDescent="0.15">
      <c r="A256" s="70" t="s">
        <v>149</v>
      </c>
      <c r="B256" s="25">
        <v>-3</v>
      </c>
      <c r="C256" s="45">
        <v>-3</v>
      </c>
      <c r="D256" s="26">
        <v>-3</v>
      </c>
      <c r="E256" s="32">
        <v>-3</v>
      </c>
      <c r="F256" s="33">
        <f t="shared" si="146"/>
        <v>-12</v>
      </c>
      <c r="G256" s="25">
        <v>-3</v>
      </c>
      <c r="H256" s="45">
        <v>-3</v>
      </c>
      <c r="I256" s="26">
        <v>-3</v>
      </c>
      <c r="J256" s="32">
        <v>-3</v>
      </c>
      <c r="K256" s="33">
        <f t="shared" si="147"/>
        <v>-12</v>
      </c>
      <c r="L256" s="11">
        <f t="shared" si="140"/>
        <v>-24</v>
      </c>
      <c r="M256" s="115">
        <v>45143</v>
      </c>
      <c r="N256" s="50"/>
      <c r="O256" s="25"/>
      <c r="P256" s="45"/>
      <c r="Q256" s="26"/>
      <c r="R256" s="32"/>
      <c r="S256" s="33">
        <f t="shared" si="144"/>
        <v>0</v>
      </c>
      <c r="T256" s="25"/>
      <c r="U256" s="45"/>
      <c r="V256" s="26"/>
      <c r="W256" s="32"/>
      <c r="X256" s="33">
        <f t="shared" si="145"/>
        <v>0</v>
      </c>
      <c r="Y256" s="11">
        <f t="shared" si="139"/>
        <v>0</v>
      </c>
      <c r="Z256" s="159"/>
    </row>
    <row r="257" spans="1:27" x14ac:dyDescent="0.15">
      <c r="A257" s="70" t="s">
        <v>30</v>
      </c>
      <c r="B257" s="25">
        <v>1</v>
      </c>
      <c r="C257" s="45"/>
      <c r="D257" s="26"/>
      <c r="E257" s="32"/>
      <c r="F257" s="33">
        <f t="shared" ref="F257:F260" si="148">SUM(B257:E257)</f>
        <v>1</v>
      </c>
      <c r="G257" s="25"/>
      <c r="H257" s="45"/>
      <c r="I257" s="26"/>
      <c r="J257" s="32"/>
      <c r="K257" s="33">
        <f t="shared" ref="K257:K260" si="149">SUM(G257:J257)</f>
        <v>0</v>
      </c>
      <c r="L257" s="11">
        <f t="shared" ref="L257:L260" si="150">F257+K257</f>
        <v>1</v>
      </c>
      <c r="M257" s="115">
        <v>45145</v>
      </c>
      <c r="N257" s="12"/>
      <c r="O257" s="25"/>
      <c r="P257" s="45"/>
      <c r="Q257" s="26"/>
      <c r="R257" s="32"/>
      <c r="S257" s="33">
        <f t="shared" si="144"/>
        <v>0</v>
      </c>
      <c r="T257" s="25"/>
      <c r="U257" s="45"/>
      <c r="V257" s="26"/>
      <c r="W257" s="32"/>
      <c r="X257" s="33">
        <f t="shared" si="145"/>
        <v>0</v>
      </c>
      <c r="Y257" s="93">
        <f t="shared" si="139"/>
        <v>0</v>
      </c>
      <c r="Z257" s="159"/>
    </row>
    <row r="258" spans="1:27" x14ac:dyDescent="0.15">
      <c r="A258" s="15" t="s">
        <v>236</v>
      </c>
      <c r="B258" s="25"/>
      <c r="C258" s="45"/>
      <c r="D258" s="26"/>
      <c r="E258" s="32"/>
      <c r="F258" s="33">
        <f t="shared" si="148"/>
        <v>0</v>
      </c>
      <c r="G258" s="25"/>
      <c r="H258" s="45">
        <v>1</v>
      </c>
      <c r="I258" s="26"/>
      <c r="J258" s="32"/>
      <c r="K258" s="33">
        <f t="shared" si="149"/>
        <v>1</v>
      </c>
      <c r="L258" s="11">
        <f t="shared" si="150"/>
        <v>1</v>
      </c>
      <c r="M258" s="85">
        <v>45147</v>
      </c>
      <c r="N258" s="12"/>
      <c r="O258" s="25"/>
      <c r="P258" s="45"/>
      <c r="Q258" s="26"/>
      <c r="R258" s="32"/>
      <c r="S258" s="33">
        <f t="shared" si="144"/>
        <v>0</v>
      </c>
      <c r="T258" s="25"/>
      <c r="U258" s="45"/>
      <c r="V258" s="26"/>
      <c r="W258" s="32"/>
      <c r="X258" s="33">
        <f t="shared" si="145"/>
        <v>0</v>
      </c>
      <c r="Y258" s="93">
        <f t="shared" si="139"/>
        <v>0</v>
      </c>
      <c r="Z258" s="159"/>
    </row>
    <row r="259" spans="1:27" x14ac:dyDescent="0.15">
      <c r="A259" s="70" t="s">
        <v>237</v>
      </c>
      <c r="B259" s="25">
        <v>3</v>
      </c>
      <c r="C259" s="45">
        <v>3</v>
      </c>
      <c r="D259" s="26">
        <v>3</v>
      </c>
      <c r="E259" s="32">
        <v>3</v>
      </c>
      <c r="F259" s="33">
        <f t="shared" si="148"/>
        <v>12</v>
      </c>
      <c r="G259" s="25">
        <v>3</v>
      </c>
      <c r="H259" s="45">
        <v>3</v>
      </c>
      <c r="I259" s="26">
        <v>3</v>
      </c>
      <c r="J259" s="32">
        <v>3</v>
      </c>
      <c r="K259" s="33">
        <f t="shared" si="149"/>
        <v>12</v>
      </c>
      <c r="L259" s="11">
        <f t="shared" si="150"/>
        <v>24</v>
      </c>
      <c r="M259" s="85">
        <v>45147</v>
      </c>
      <c r="N259" s="12" t="s">
        <v>165</v>
      </c>
      <c r="O259" s="25"/>
      <c r="P259" s="45"/>
      <c r="Q259" s="26"/>
      <c r="R259" s="32"/>
      <c r="S259" s="33">
        <f t="shared" si="144"/>
        <v>0</v>
      </c>
      <c r="T259" s="25"/>
      <c r="U259" s="45"/>
      <c r="V259" s="26"/>
      <c r="W259" s="32"/>
      <c r="X259" s="33">
        <f t="shared" si="145"/>
        <v>0</v>
      </c>
      <c r="Y259" s="93">
        <f t="shared" si="139"/>
        <v>0</v>
      </c>
      <c r="Z259" s="159" t="s">
        <v>166</v>
      </c>
      <c r="AA259" s="51"/>
    </row>
    <row r="260" spans="1:27" x14ac:dyDescent="0.15">
      <c r="A260" s="15" t="s">
        <v>238</v>
      </c>
      <c r="B260" s="25"/>
      <c r="C260" s="45">
        <v>1</v>
      </c>
      <c r="D260" s="26"/>
      <c r="E260" s="32"/>
      <c r="F260" s="33">
        <f t="shared" si="148"/>
        <v>1</v>
      </c>
      <c r="G260" s="25"/>
      <c r="H260" s="45"/>
      <c r="I260" s="26"/>
      <c r="J260" s="32"/>
      <c r="K260" s="33">
        <f t="shared" si="149"/>
        <v>0</v>
      </c>
      <c r="L260" s="11">
        <f t="shared" si="150"/>
        <v>1</v>
      </c>
      <c r="M260" s="85">
        <v>45148</v>
      </c>
      <c r="N260" s="50" t="s">
        <v>200</v>
      </c>
      <c r="O260" s="59"/>
      <c r="P260" s="60"/>
      <c r="Q260" s="61"/>
      <c r="R260" s="62"/>
      <c r="S260" s="63">
        <f t="shared" ref="S260" si="151">SUM(O260:R260)</f>
        <v>0</v>
      </c>
      <c r="T260" s="59"/>
      <c r="U260" s="60"/>
      <c r="V260" s="61"/>
      <c r="W260" s="62"/>
      <c r="X260" s="63">
        <f t="shared" ref="X260" si="152">SUM(T260:W260)</f>
        <v>0</v>
      </c>
      <c r="Y260" s="11">
        <f t="shared" ref="Y260" si="153">S260+X260</f>
        <v>0</v>
      </c>
      <c r="Z260" s="159" t="s">
        <v>201</v>
      </c>
      <c r="AA260" s="51"/>
    </row>
    <row r="261" spans="1:27" x14ac:dyDescent="0.15">
      <c r="A261" s="70" t="s">
        <v>30</v>
      </c>
      <c r="B261" s="25">
        <v>2</v>
      </c>
      <c r="C261" s="45">
        <v>1</v>
      </c>
      <c r="D261" s="26"/>
      <c r="E261" s="32"/>
      <c r="F261" s="33">
        <f t="shared" si="146"/>
        <v>3</v>
      </c>
      <c r="G261" s="25"/>
      <c r="H261" s="45"/>
      <c r="I261" s="26"/>
      <c r="J261" s="32"/>
      <c r="K261" s="33">
        <f t="shared" si="147"/>
        <v>0</v>
      </c>
      <c r="L261" s="11">
        <f t="shared" si="140"/>
        <v>3</v>
      </c>
      <c r="M261" s="115">
        <v>45149</v>
      </c>
      <c r="N261" s="134" t="s">
        <v>133</v>
      </c>
      <c r="O261" s="103"/>
      <c r="P261" s="104"/>
      <c r="Q261" s="105"/>
      <c r="R261" s="106"/>
      <c r="S261" s="135">
        <f t="shared" ref="S261:S262" si="154">SUM(O261:R261)</f>
        <v>0</v>
      </c>
      <c r="T261" s="103"/>
      <c r="U261" s="104"/>
      <c r="V261" s="105"/>
      <c r="W261" s="106"/>
      <c r="X261" s="135">
        <f t="shared" ref="X261:X262" si="155">SUM(T261:W261)</f>
        <v>0</v>
      </c>
      <c r="Y261" s="102">
        <f t="shared" ref="Y261:Y262" si="156">S261+X261</f>
        <v>0</v>
      </c>
      <c r="Z261" s="210"/>
      <c r="AA261" s="51"/>
    </row>
    <row r="262" spans="1:27" ht="14.25" thickBot="1" x14ac:dyDescent="0.2">
      <c r="A262" s="70" t="s">
        <v>30</v>
      </c>
      <c r="B262" s="55"/>
      <c r="C262" s="56"/>
      <c r="D262" s="57"/>
      <c r="E262" s="58"/>
      <c r="F262" s="33">
        <f t="shared" si="146"/>
        <v>0</v>
      </c>
      <c r="G262" s="55"/>
      <c r="H262" s="56">
        <v>1</v>
      </c>
      <c r="I262" s="57">
        <v>1</v>
      </c>
      <c r="J262" s="58"/>
      <c r="K262" s="33">
        <f t="shared" si="147"/>
        <v>2</v>
      </c>
      <c r="L262" s="14">
        <f t="shared" si="140"/>
        <v>2</v>
      </c>
      <c r="M262" s="115">
        <v>45154</v>
      </c>
      <c r="N262" s="74" t="s">
        <v>132</v>
      </c>
      <c r="O262" s="55"/>
      <c r="P262" s="56"/>
      <c r="Q262" s="57"/>
      <c r="R262" s="58"/>
      <c r="S262" s="109">
        <f t="shared" si="154"/>
        <v>0</v>
      </c>
      <c r="T262" s="55"/>
      <c r="U262" s="56"/>
      <c r="V262" s="57"/>
      <c r="W262" s="58"/>
      <c r="X262" s="109">
        <f t="shared" si="155"/>
        <v>0</v>
      </c>
      <c r="Y262" s="107">
        <f t="shared" si="156"/>
        <v>0</v>
      </c>
      <c r="Z262" s="159" t="s">
        <v>134</v>
      </c>
      <c r="AA262" s="51"/>
    </row>
    <row r="263" spans="1:27" ht="14.25" thickBot="1" x14ac:dyDescent="0.2">
      <c r="A263" s="16" t="s">
        <v>10</v>
      </c>
      <c r="B263" s="36">
        <f>SUM(B238:B262)</f>
        <v>4</v>
      </c>
      <c r="C263" s="46">
        <f>SUM(C238:C262)</f>
        <v>7</v>
      </c>
      <c r="D263" s="37">
        <f>SUM(D238:D262)</f>
        <v>5</v>
      </c>
      <c r="E263" s="38">
        <f>SUM(E238:E262)</f>
        <v>2</v>
      </c>
      <c r="F263" s="34">
        <f>SUM(B263:E263)</f>
        <v>18</v>
      </c>
      <c r="G263" s="36">
        <f>SUM(G238:G262)</f>
        <v>0</v>
      </c>
      <c r="H263" s="46">
        <f>SUM(H238:H262)</f>
        <v>9</v>
      </c>
      <c r="I263" s="37">
        <f>SUM(I238:I262)</f>
        <v>4</v>
      </c>
      <c r="J263" s="38">
        <f>SUM(J238:J262)</f>
        <v>0</v>
      </c>
      <c r="K263" s="34">
        <f>SUM(G263:J263)</f>
        <v>13</v>
      </c>
      <c r="L263" s="35">
        <f t="shared" si="140"/>
        <v>31</v>
      </c>
      <c r="N263" s="72" t="s">
        <v>10</v>
      </c>
      <c r="O263" s="36">
        <f>SUM(O238:O262)</f>
        <v>53</v>
      </c>
      <c r="P263" s="46">
        <f>SUM(P238:P262)</f>
        <v>69</v>
      </c>
      <c r="Q263" s="37">
        <f>SUM(Q238:Q262)</f>
        <v>34</v>
      </c>
      <c r="R263" s="38">
        <f>SUM(R238:R262)</f>
        <v>65</v>
      </c>
      <c r="S263" s="71">
        <f t="shared" si="144"/>
        <v>221</v>
      </c>
      <c r="T263" s="36">
        <f>SUM(T238:T262)</f>
        <v>72</v>
      </c>
      <c r="U263" s="46">
        <f>SUM(U238:U262)</f>
        <v>90</v>
      </c>
      <c r="V263" s="37">
        <f>SUM(V238:V262)</f>
        <v>46</v>
      </c>
      <c r="W263" s="38">
        <f>SUM(W238:W262)</f>
        <v>46</v>
      </c>
      <c r="X263" s="71">
        <f t="shared" si="145"/>
        <v>254</v>
      </c>
      <c r="Y263" s="75">
        <f t="shared" si="139"/>
        <v>475</v>
      </c>
    </row>
    <row r="264" spans="1:27" ht="14.25" thickBot="1" x14ac:dyDescent="0.2">
      <c r="A264" s="21" t="s">
        <v>11</v>
      </c>
      <c r="B264" s="39">
        <f t="shared" ref="B264:K264" si="157">B237-B263</f>
        <v>6</v>
      </c>
      <c r="C264" s="47">
        <f t="shared" si="157"/>
        <v>5</v>
      </c>
      <c r="D264" s="40">
        <f t="shared" si="157"/>
        <v>5</v>
      </c>
      <c r="E264" s="41">
        <f t="shared" si="157"/>
        <v>6</v>
      </c>
      <c r="F264" s="54">
        <f t="shared" si="157"/>
        <v>22</v>
      </c>
      <c r="G264" s="39">
        <f t="shared" si="157"/>
        <v>7</v>
      </c>
      <c r="H264" s="47">
        <f t="shared" si="157"/>
        <v>4</v>
      </c>
      <c r="I264" s="40">
        <f t="shared" si="157"/>
        <v>4</v>
      </c>
      <c r="J264" s="41">
        <f t="shared" si="157"/>
        <v>11</v>
      </c>
      <c r="K264" s="54">
        <f t="shared" si="157"/>
        <v>26</v>
      </c>
      <c r="L264" s="20">
        <f t="shared" si="140"/>
        <v>48</v>
      </c>
      <c r="N264" s="16" t="s">
        <v>11</v>
      </c>
      <c r="O264" s="39">
        <f t="shared" ref="O264:X264" si="158">O237-O263</f>
        <v>506</v>
      </c>
      <c r="P264" s="47">
        <f t="shared" si="158"/>
        <v>343</v>
      </c>
      <c r="Q264" s="40">
        <f t="shared" si="158"/>
        <v>326</v>
      </c>
      <c r="R264" s="41">
        <f t="shared" si="158"/>
        <v>204</v>
      </c>
      <c r="S264" s="54">
        <f t="shared" si="158"/>
        <v>1379</v>
      </c>
      <c r="T264" s="39">
        <f t="shared" si="158"/>
        <v>539</v>
      </c>
      <c r="U264" s="47">
        <f t="shared" si="158"/>
        <v>392</v>
      </c>
      <c r="V264" s="40">
        <f t="shared" si="158"/>
        <v>261</v>
      </c>
      <c r="W264" s="41">
        <f t="shared" si="158"/>
        <v>168</v>
      </c>
      <c r="X264" s="54">
        <f t="shared" si="158"/>
        <v>1360</v>
      </c>
      <c r="Y264" s="20">
        <f t="shared" si="139"/>
        <v>2739</v>
      </c>
    </row>
    <row r="265" spans="1:27" x14ac:dyDescent="0.15">
      <c r="N265" s="117" t="s">
        <v>110</v>
      </c>
      <c r="O265" s="91">
        <v>110</v>
      </c>
      <c r="P265" s="91">
        <v>170</v>
      </c>
      <c r="Q265" s="91">
        <v>90</v>
      </c>
      <c r="R265" s="91">
        <v>99</v>
      </c>
      <c r="S265" s="91">
        <f>SUM(O265:R265)</f>
        <v>469</v>
      </c>
      <c r="T265" s="91">
        <v>60</v>
      </c>
      <c r="U265" s="91">
        <v>85</v>
      </c>
      <c r="V265" s="91">
        <v>65</v>
      </c>
      <c r="W265" s="91">
        <v>75</v>
      </c>
      <c r="X265" s="91">
        <f>SUM(T265:W265)</f>
        <v>285</v>
      </c>
      <c r="Y265" s="91">
        <f>S265+X265</f>
        <v>754</v>
      </c>
    </row>
    <row r="266" spans="1:27" x14ac:dyDescent="0.15">
      <c r="O266" s="119"/>
      <c r="P266" s="119"/>
      <c r="Q266" s="119"/>
      <c r="R266" s="119"/>
      <c r="S266" s="118"/>
      <c r="T266" s="118"/>
      <c r="U266" s="119"/>
      <c r="V266" s="119"/>
      <c r="W266" s="118"/>
      <c r="X266" s="118"/>
    </row>
    <row r="267" spans="1:27" ht="19.5" thickBot="1" x14ac:dyDescent="0.25">
      <c r="A267" s="2" t="s">
        <v>26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27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7" ht="14.25" thickBot="1" x14ac:dyDescent="0.2">
      <c r="A268" s="5" t="s">
        <v>0</v>
      </c>
      <c r="B268" s="228" t="s">
        <v>19</v>
      </c>
      <c r="C268" s="229"/>
      <c r="D268" s="229"/>
      <c r="E268" s="229"/>
      <c r="F268" s="230"/>
      <c r="G268" s="231" t="s">
        <v>18</v>
      </c>
      <c r="H268" s="232"/>
      <c r="I268" s="232"/>
      <c r="J268" s="232"/>
      <c r="K268" s="233"/>
      <c r="L268" s="234" t="s">
        <v>1</v>
      </c>
      <c r="N268" s="5" t="s">
        <v>0</v>
      </c>
      <c r="O268" s="228" t="s">
        <v>19</v>
      </c>
      <c r="P268" s="229"/>
      <c r="Q268" s="229"/>
      <c r="R268" s="229"/>
      <c r="S268" s="230"/>
      <c r="T268" s="231" t="s">
        <v>18</v>
      </c>
      <c r="U268" s="232"/>
      <c r="V268" s="232"/>
      <c r="W268" s="232"/>
      <c r="X268" s="233"/>
      <c r="Y268" s="73" t="s">
        <v>1</v>
      </c>
    </row>
    <row r="269" spans="1:27" ht="14.25" thickBot="1" x14ac:dyDescent="0.2">
      <c r="A269" s="5" t="s">
        <v>2</v>
      </c>
      <c r="B269" s="3" t="s">
        <v>12</v>
      </c>
      <c r="C269" s="42" t="s">
        <v>13</v>
      </c>
      <c r="D269" s="4" t="s">
        <v>14</v>
      </c>
      <c r="E269" s="22" t="s">
        <v>15</v>
      </c>
      <c r="F269" s="30" t="s">
        <v>3</v>
      </c>
      <c r="G269" s="3" t="s">
        <v>12</v>
      </c>
      <c r="H269" s="42" t="s">
        <v>13</v>
      </c>
      <c r="I269" s="4" t="s">
        <v>14</v>
      </c>
      <c r="J269" s="22" t="s">
        <v>15</v>
      </c>
      <c r="K269" s="30" t="s">
        <v>3</v>
      </c>
      <c r="L269" s="235"/>
      <c r="N269" s="5" t="s">
        <v>2</v>
      </c>
      <c r="O269" s="64" t="s">
        <v>12</v>
      </c>
      <c r="P269" s="65" t="s">
        <v>13</v>
      </c>
      <c r="Q269" s="66" t="s">
        <v>14</v>
      </c>
      <c r="R269" s="67" t="s">
        <v>15</v>
      </c>
      <c r="S269" s="30" t="s">
        <v>3</v>
      </c>
      <c r="T269" s="3" t="s">
        <v>12</v>
      </c>
      <c r="U269" s="42" t="s">
        <v>13</v>
      </c>
      <c r="V269" s="4" t="s">
        <v>14</v>
      </c>
      <c r="W269" s="22" t="s">
        <v>15</v>
      </c>
      <c r="X269" s="30" t="s">
        <v>3</v>
      </c>
      <c r="Y269" s="74"/>
    </row>
    <row r="270" spans="1:27" ht="14.25" thickBot="1" x14ac:dyDescent="0.2">
      <c r="A270" s="21" t="s">
        <v>16</v>
      </c>
      <c r="B270" s="39">
        <f>B264</f>
        <v>6</v>
      </c>
      <c r="C270" s="40">
        <f>C264</f>
        <v>5</v>
      </c>
      <c r="D270" s="40">
        <f>D264</f>
        <v>5</v>
      </c>
      <c r="E270" s="41">
        <f>E264</f>
        <v>6</v>
      </c>
      <c r="F270" s="122">
        <f>SUM(B270:E270)</f>
        <v>22</v>
      </c>
      <c r="G270" s="39">
        <f>G264</f>
        <v>7</v>
      </c>
      <c r="H270" s="40">
        <f>H264</f>
        <v>4</v>
      </c>
      <c r="I270" s="40">
        <f>I264</f>
        <v>4</v>
      </c>
      <c r="J270" s="41">
        <f>J264</f>
        <v>11</v>
      </c>
      <c r="K270" s="123">
        <f>SUM(G270:J270)</f>
        <v>26</v>
      </c>
      <c r="L270" s="20">
        <f>F270+K270</f>
        <v>48</v>
      </c>
      <c r="N270" s="21" t="s">
        <v>16</v>
      </c>
      <c r="O270" s="39">
        <f>O264</f>
        <v>506</v>
      </c>
      <c r="P270" s="40">
        <f>P264</f>
        <v>343</v>
      </c>
      <c r="Q270" s="40">
        <f t="shared" ref="Q270:R270" si="159">Q264</f>
        <v>326</v>
      </c>
      <c r="R270" s="40">
        <f t="shared" si="159"/>
        <v>204</v>
      </c>
      <c r="S270" s="122">
        <f>SUM(O270:R270)</f>
        <v>1379</v>
      </c>
      <c r="T270" s="39">
        <f>T264</f>
        <v>539</v>
      </c>
      <c r="U270" s="40">
        <f>U264</f>
        <v>392</v>
      </c>
      <c r="V270" s="40">
        <f>V264</f>
        <v>261</v>
      </c>
      <c r="W270" s="41">
        <f>W264</f>
        <v>168</v>
      </c>
      <c r="X270" s="123">
        <f>SUM(T270:W270)</f>
        <v>1360</v>
      </c>
      <c r="Y270" s="20">
        <f t="shared" ref="Y270:Y302" si="160">S270+X270</f>
        <v>2739</v>
      </c>
    </row>
    <row r="271" spans="1:27" x14ac:dyDescent="0.15">
      <c r="A271" s="70" t="s">
        <v>5</v>
      </c>
      <c r="B271" s="6"/>
      <c r="C271" s="29"/>
      <c r="D271" s="7"/>
      <c r="E271" s="8"/>
      <c r="F271" s="9">
        <f>SUM(B271:E271)</f>
        <v>0</v>
      </c>
      <c r="G271" s="29"/>
      <c r="H271" s="29">
        <v>3</v>
      </c>
      <c r="I271" s="7">
        <v>3</v>
      </c>
      <c r="J271" s="8"/>
      <c r="K271" s="9">
        <f>SUM(G271:J271)</f>
        <v>6</v>
      </c>
      <c r="L271" s="11">
        <f t="shared" ref="L271" si="161">F271+K271</f>
        <v>6</v>
      </c>
      <c r="M271" s="115">
        <v>45157</v>
      </c>
      <c r="N271" s="70" t="s">
        <v>17</v>
      </c>
      <c r="O271" s="59"/>
      <c r="P271" s="60"/>
      <c r="Q271" s="61"/>
      <c r="R271" s="62"/>
      <c r="S271" s="120">
        <f>SUM(O271:R271)</f>
        <v>0</v>
      </c>
      <c r="T271" s="59"/>
      <c r="U271" s="60"/>
      <c r="V271" s="61"/>
      <c r="W271" s="62"/>
      <c r="X271" s="121">
        <f>SUM(T271:W271)</f>
        <v>0</v>
      </c>
      <c r="Y271" s="11">
        <f t="shared" si="160"/>
        <v>0</v>
      </c>
    </row>
    <row r="272" spans="1:27" x14ac:dyDescent="0.15">
      <c r="A272" s="70" t="s">
        <v>143</v>
      </c>
      <c r="B272" s="6"/>
      <c r="C272" s="29"/>
      <c r="D272" s="7">
        <v>2</v>
      </c>
      <c r="E272" s="8">
        <v>2</v>
      </c>
      <c r="F272" s="9">
        <f>SUM(B272:E272)</f>
        <v>4</v>
      </c>
      <c r="G272" s="29"/>
      <c r="H272" s="29"/>
      <c r="I272" s="7">
        <v>2</v>
      </c>
      <c r="J272" s="8"/>
      <c r="K272" s="9">
        <f>SUM(G272:J272)</f>
        <v>2</v>
      </c>
      <c r="L272" s="11">
        <f t="shared" ref="L272:L302" si="162">F272+K272</f>
        <v>6</v>
      </c>
      <c r="M272" s="115">
        <v>45156</v>
      </c>
      <c r="N272" s="70" t="s">
        <v>5</v>
      </c>
      <c r="O272" s="25"/>
      <c r="P272" s="45"/>
      <c r="Q272" s="26"/>
      <c r="R272" s="32"/>
      <c r="S272" s="68">
        <f>SUM(O272:R272)</f>
        <v>0</v>
      </c>
      <c r="T272" s="45"/>
      <c r="U272" s="45"/>
      <c r="V272" s="26"/>
      <c r="W272" s="48"/>
      <c r="X272" s="9">
        <f>SUM(T272:W272)</f>
        <v>0</v>
      </c>
      <c r="Y272" s="11">
        <f t="shared" si="160"/>
        <v>0</v>
      </c>
    </row>
    <row r="273" spans="1:27" x14ac:dyDescent="0.15">
      <c r="A273" s="70" t="s">
        <v>7</v>
      </c>
      <c r="B273" s="6"/>
      <c r="C273" s="29"/>
      <c r="D273" s="7"/>
      <c r="E273" s="8"/>
      <c r="F273" s="9">
        <f>SUM(B273:E273)</f>
        <v>0</v>
      </c>
      <c r="G273" s="29"/>
      <c r="H273" s="29">
        <v>5</v>
      </c>
      <c r="I273" s="7">
        <v>3</v>
      </c>
      <c r="J273" s="8"/>
      <c r="K273" s="9">
        <f>SUM(G273:J273)</f>
        <v>8</v>
      </c>
      <c r="L273" s="11">
        <f t="shared" si="162"/>
        <v>8</v>
      </c>
      <c r="M273" s="85">
        <v>45163</v>
      </c>
      <c r="N273" s="13" t="s">
        <v>6</v>
      </c>
      <c r="O273" s="25"/>
      <c r="P273" s="45"/>
      <c r="Q273" s="26"/>
      <c r="R273" s="32"/>
      <c r="S273" s="68">
        <f>SUM(O273:R273)</f>
        <v>0</v>
      </c>
      <c r="T273" s="45"/>
      <c r="U273" s="45"/>
      <c r="V273" s="26"/>
      <c r="W273" s="48"/>
      <c r="X273" s="9">
        <f>SUM(T273:W273)</f>
        <v>0</v>
      </c>
      <c r="Y273" s="93">
        <f t="shared" si="160"/>
        <v>0</v>
      </c>
    </row>
    <row r="274" spans="1:27" ht="14.25" thickBot="1" x14ac:dyDescent="0.2">
      <c r="A274" s="70" t="s">
        <v>8</v>
      </c>
      <c r="B274" s="76"/>
      <c r="C274" s="77"/>
      <c r="D274" s="78"/>
      <c r="E274" s="79">
        <v>5</v>
      </c>
      <c r="F274" s="71">
        <f>SUM(B274:E274)</f>
        <v>5</v>
      </c>
      <c r="G274" s="77"/>
      <c r="H274" s="77">
        <v>10</v>
      </c>
      <c r="I274" s="78"/>
      <c r="J274" s="79"/>
      <c r="K274" s="71">
        <f>SUM(G274:J274)</f>
        <v>10</v>
      </c>
      <c r="L274" s="14">
        <f t="shared" si="162"/>
        <v>15</v>
      </c>
      <c r="M274" s="85">
        <v>45167</v>
      </c>
      <c r="N274" s="13" t="s">
        <v>7</v>
      </c>
      <c r="O274" s="25"/>
      <c r="P274" s="45"/>
      <c r="Q274" s="26"/>
      <c r="R274" s="32"/>
      <c r="S274" s="68">
        <f>SUM(O274:R274)</f>
        <v>0</v>
      </c>
      <c r="T274" s="45"/>
      <c r="U274" s="45"/>
      <c r="V274" s="26"/>
      <c r="W274" s="48"/>
      <c r="X274" s="9">
        <f>SUM(T274:W274)</f>
        <v>0</v>
      </c>
      <c r="Y274" s="93">
        <f t="shared" ref="Y274" si="163">S274+X274</f>
        <v>0</v>
      </c>
    </row>
    <row r="275" spans="1:27" ht="14.25" thickBot="1" x14ac:dyDescent="0.2">
      <c r="A275" s="21" t="s">
        <v>9</v>
      </c>
      <c r="B275" s="17">
        <f t="shared" ref="B275:K275" si="164">SUM(B270:B274)</f>
        <v>6</v>
      </c>
      <c r="C275" s="43">
        <f t="shared" si="164"/>
        <v>5</v>
      </c>
      <c r="D275" s="18">
        <f t="shared" si="164"/>
        <v>7</v>
      </c>
      <c r="E275" s="19">
        <f t="shared" si="164"/>
        <v>13</v>
      </c>
      <c r="F275" s="27">
        <f t="shared" si="164"/>
        <v>31</v>
      </c>
      <c r="G275" s="17">
        <f t="shared" si="164"/>
        <v>7</v>
      </c>
      <c r="H275" s="43">
        <f t="shared" si="164"/>
        <v>22</v>
      </c>
      <c r="I275" s="18">
        <f t="shared" si="164"/>
        <v>12</v>
      </c>
      <c r="J275" s="19">
        <f t="shared" si="164"/>
        <v>11</v>
      </c>
      <c r="K275" s="27">
        <f t="shared" si="164"/>
        <v>52</v>
      </c>
      <c r="L275" s="20">
        <f t="shared" si="162"/>
        <v>83</v>
      </c>
      <c r="N275" s="16" t="s">
        <v>9</v>
      </c>
      <c r="O275" s="39">
        <f t="shared" ref="O275:X275" si="165">SUM(O270:O274)</f>
        <v>506</v>
      </c>
      <c r="P275" s="47">
        <f t="shared" si="165"/>
        <v>343</v>
      </c>
      <c r="Q275" s="40">
        <f t="shared" si="165"/>
        <v>326</v>
      </c>
      <c r="R275" s="88">
        <f t="shared" si="165"/>
        <v>204</v>
      </c>
      <c r="S275" s="89">
        <f t="shared" si="165"/>
        <v>1379</v>
      </c>
      <c r="T275" s="39">
        <f t="shared" si="165"/>
        <v>539</v>
      </c>
      <c r="U275" s="47">
        <f t="shared" si="165"/>
        <v>392</v>
      </c>
      <c r="V275" s="40">
        <f t="shared" si="165"/>
        <v>261</v>
      </c>
      <c r="W275" s="88">
        <f t="shared" si="165"/>
        <v>168</v>
      </c>
      <c r="X275" s="89">
        <f t="shared" si="165"/>
        <v>1360</v>
      </c>
      <c r="Y275" s="49">
        <f t="shared" si="160"/>
        <v>2739</v>
      </c>
    </row>
    <row r="276" spans="1:27" x14ac:dyDescent="0.15">
      <c r="A276" s="15" t="s">
        <v>240</v>
      </c>
      <c r="B276" s="23"/>
      <c r="C276" s="44"/>
      <c r="D276" s="24"/>
      <c r="E276" s="31"/>
      <c r="F276" s="33">
        <f>SUM(B276:E276)</f>
        <v>0</v>
      </c>
      <c r="G276" s="23"/>
      <c r="H276" s="44"/>
      <c r="I276" s="24">
        <v>1</v>
      </c>
      <c r="J276" s="31"/>
      <c r="K276" s="33">
        <f>SUM(G276:J276)</f>
        <v>1</v>
      </c>
      <c r="L276" s="11">
        <f t="shared" si="162"/>
        <v>1</v>
      </c>
      <c r="M276" s="85">
        <v>45155</v>
      </c>
      <c r="N276" s="15" t="s">
        <v>248</v>
      </c>
      <c r="O276" s="59">
        <v>1</v>
      </c>
      <c r="P276" s="60">
        <v>1</v>
      </c>
      <c r="Q276" s="61"/>
      <c r="R276" s="62"/>
      <c r="S276" s="63">
        <f t="shared" ref="S276:S301" si="166">SUM(O276:R276)</f>
        <v>2</v>
      </c>
      <c r="T276" s="59"/>
      <c r="U276" s="60">
        <v>2</v>
      </c>
      <c r="V276" s="61"/>
      <c r="W276" s="62">
        <v>1</v>
      </c>
      <c r="X276" s="63">
        <f t="shared" ref="X276:X301" si="167">SUM(T276:W276)</f>
        <v>3</v>
      </c>
      <c r="Y276" s="11">
        <f t="shared" si="160"/>
        <v>5</v>
      </c>
      <c r="Z276" s="85">
        <v>45162</v>
      </c>
    </row>
    <row r="277" spans="1:27" x14ac:dyDescent="0.15">
      <c r="A277" s="15" t="s">
        <v>241</v>
      </c>
      <c r="B277" s="25"/>
      <c r="C277" s="45"/>
      <c r="D277" s="26"/>
      <c r="E277" s="32"/>
      <c r="F277" s="33">
        <f>SUM(B277:E277)</f>
        <v>0</v>
      </c>
      <c r="G277" s="25"/>
      <c r="H277" s="45">
        <v>1</v>
      </c>
      <c r="I277" s="26"/>
      <c r="J277" s="32"/>
      <c r="K277" s="33">
        <f>SUM(G277:J277)</f>
        <v>1</v>
      </c>
      <c r="L277" s="11">
        <f t="shared" si="162"/>
        <v>1</v>
      </c>
      <c r="M277" s="85">
        <v>45159</v>
      </c>
      <c r="N277" s="12" t="s">
        <v>251</v>
      </c>
      <c r="O277" s="25"/>
      <c r="P277" s="45"/>
      <c r="Q277" s="26"/>
      <c r="R277" s="32"/>
      <c r="S277" s="33">
        <f t="shared" si="166"/>
        <v>0</v>
      </c>
      <c r="T277" s="25"/>
      <c r="U277" s="45">
        <v>5</v>
      </c>
      <c r="V277" s="26">
        <v>5</v>
      </c>
      <c r="W277" s="32"/>
      <c r="X277" s="33">
        <f t="shared" si="167"/>
        <v>10</v>
      </c>
      <c r="Y277" s="11">
        <f t="shared" si="160"/>
        <v>10</v>
      </c>
      <c r="Z277" s="85">
        <v>45163</v>
      </c>
    </row>
    <row r="278" spans="1:27" x14ac:dyDescent="0.15">
      <c r="A278" s="70" t="s">
        <v>30</v>
      </c>
      <c r="B278" s="25"/>
      <c r="C278" s="45"/>
      <c r="D278" s="26"/>
      <c r="E278" s="32"/>
      <c r="F278" s="33">
        <f t="shared" ref="F278:F299" si="168">SUM(B278:E278)</f>
        <v>0</v>
      </c>
      <c r="G278" s="25">
        <v>1</v>
      </c>
      <c r="H278" s="45"/>
      <c r="I278" s="26"/>
      <c r="J278" s="32"/>
      <c r="K278" s="33">
        <f t="shared" ref="K278:K299" si="169">SUM(G278:J278)</f>
        <v>1</v>
      </c>
      <c r="L278" s="11">
        <f t="shared" si="162"/>
        <v>1</v>
      </c>
      <c r="M278" s="115">
        <v>45160</v>
      </c>
      <c r="N278" s="12" t="s">
        <v>28</v>
      </c>
      <c r="O278" s="25"/>
      <c r="P278" s="45"/>
      <c r="Q278" s="26"/>
      <c r="R278" s="32">
        <v>5</v>
      </c>
      <c r="S278" s="33">
        <f>SUM(O278:R278)</f>
        <v>5</v>
      </c>
      <c r="T278" s="25"/>
      <c r="U278" s="45">
        <v>10</v>
      </c>
      <c r="V278" s="26"/>
      <c r="W278" s="32"/>
      <c r="X278" s="33">
        <f>SUM(T278:W278)</f>
        <v>10</v>
      </c>
      <c r="Y278" s="11">
        <f t="shared" si="160"/>
        <v>15</v>
      </c>
      <c r="Z278" s="85">
        <v>45167</v>
      </c>
    </row>
    <row r="279" spans="1:27" x14ac:dyDescent="0.15">
      <c r="A279" s="15" t="s">
        <v>250</v>
      </c>
      <c r="B279" s="59"/>
      <c r="C279" s="60"/>
      <c r="D279" s="61"/>
      <c r="E279" s="62"/>
      <c r="F279" s="63">
        <f t="shared" si="168"/>
        <v>0</v>
      </c>
      <c r="G279" s="59"/>
      <c r="H279" s="60">
        <v>5</v>
      </c>
      <c r="I279" s="61">
        <v>5</v>
      </c>
      <c r="J279" s="62"/>
      <c r="K279" s="63">
        <f t="shared" si="169"/>
        <v>10</v>
      </c>
      <c r="L279" s="11">
        <f t="shared" si="162"/>
        <v>10</v>
      </c>
      <c r="M279" s="85">
        <v>45168</v>
      </c>
      <c r="N279" s="50" t="s">
        <v>256</v>
      </c>
      <c r="O279" s="25">
        <v>2</v>
      </c>
      <c r="P279" s="45"/>
      <c r="Q279" s="26"/>
      <c r="R279" s="32"/>
      <c r="S279" s="33">
        <f t="shared" si="166"/>
        <v>2</v>
      </c>
      <c r="T279" s="25"/>
      <c r="U279" s="45"/>
      <c r="V279" s="26"/>
      <c r="W279" s="32"/>
      <c r="X279" s="33">
        <f t="shared" si="167"/>
        <v>0</v>
      </c>
      <c r="Y279" s="11">
        <f t="shared" si="160"/>
        <v>2</v>
      </c>
      <c r="Z279" s="85">
        <v>45173</v>
      </c>
    </row>
    <row r="280" spans="1:27" x14ac:dyDescent="0.15">
      <c r="A280" s="15" t="s">
        <v>252</v>
      </c>
      <c r="B280" s="25"/>
      <c r="C280" s="45"/>
      <c r="D280" s="26"/>
      <c r="E280" s="32"/>
      <c r="F280" s="33">
        <f t="shared" si="168"/>
        <v>0</v>
      </c>
      <c r="G280" s="25">
        <v>1</v>
      </c>
      <c r="H280" s="45"/>
      <c r="I280" s="26">
        <v>1</v>
      </c>
      <c r="J280" s="32"/>
      <c r="K280" s="33">
        <f t="shared" si="169"/>
        <v>2</v>
      </c>
      <c r="L280" s="11">
        <f t="shared" si="162"/>
        <v>2</v>
      </c>
      <c r="M280" s="85">
        <v>45166</v>
      </c>
      <c r="N280" s="15" t="s">
        <v>257</v>
      </c>
      <c r="O280" s="25">
        <v>4</v>
      </c>
      <c r="P280" s="45"/>
      <c r="Q280" s="26"/>
      <c r="R280" s="32"/>
      <c r="S280" s="33">
        <f t="shared" si="166"/>
        <v>4</v>
      </c>
      <c r="T280" s="25">
        <v>1</v>
      </c>
      <c r="U280" s="45">
        <v>3</v>
      </c>
      <c r="V280" s="26"/>
      <c r="W280" s="32"/>
      <c r="X280" s="33">
        <f t="shared" si="167"/>
        <v>4</v>
      </c>
      <c r="Y280" s="11">
        <f t="shared" si="160"/>
        <v>8</v>
      </c>
      <c r="Z280" s="85">
        <v>45168</v>
      </c>
    </row>
    <row r="281" spans="1:27" x14ac:dyDescent="0.15">
      <c r="A281" s="15" t="s">
        <v>254</v>
      </c>
      <c r="B281" s="25"/>
      <c r="C281" s="45"/>
      <c r="D281" s="26"/>
      <c r="E281" s="32"/>
      <c r="F281" s="33">
        <f t="shared" si="168"/>
        <v>0</v>
      </c>
      <c r="G281" s="25"/>
      <c r="H281" s="45"/>
      <c r="I281" s="26"/>
      <c r="J281" s="32">
        <v>1</v>
      </c>
      <c r="K281" s="33">
        <f t="shared" si="169"/>
        <v>1</v>
      </c>
      <c r="L281" s="11">
        <f t="shared" si="162"/>
        <v>1</v>
      </c>
      <c r="M281" s="85">
        <v>45167</v>
      </c>
      <c r="N281" s="15" t="s">
        <v>259</v>
      </c>
      <c r="O281" s="25"/>
      <c r="P281" s="45"/>
      <c r="Q281" s="26"/>
      <c r="R281" s="32"/>
      <c r="S281" s="33">
        <f t="shared" si="166"/>
        <v>0</v>
      </c>
      <c r="T281" s="25"/>
      <c r="U281" s="45">
        <v>3</v>
      </c>
      <c r="V281" s="26"/>
      <c r="W281" s="32"/>
      <c r="X281" s="33">
        <f t="shared" si="167"/>
        <v>3</v>
      </c>
      <c r="Y281" s="11">
        <f t="shared" si="160"/>
        <v>3</v>
      </c>
      <c r="Z281" s="85">
        <v>45169</v>
      </c>
      <c r="AA281" s="51"/>
    </row>
    <row r="282" spans="1:27" x14ac:dyDescent="0.15">
      <c r="A282" s="70" t="s">
        <v>255</v>
      </c>
      <c r="B282" s="25"/>
      <c r="C282" s="45"/>
      <c r="D282" s="26"/>
      <c r="E282" s="32">
        <v>6</v>
      </c>
      <c r="F282" s="33">
        <f t="shared" si="168"/>
        <v>6</v>
      </c>
      <c r="G282" s="25"/>
      <c r="H282" s="45"/>
      <c r="I282" s="26"/>
      <c r="J282" s="32"/>
      <c r="K282" s="33">
        <f t="shared" si="169"/>
        <v>0</v>
      </c>
      <c r="L282" s="11">
        <f t="shared" si="162"/>
        <v>6</v>
      </c>
      <c r="M282" s="85">
        <v>45168</v>
      </c>
      <c r="N282" s="15" t="s">
        <v>263</v>
      </c>
      <c r="O282" s="25">
        <v>5</v>
      </c>
      <c r="P282" s="45"/>
      <c r="Q282" s="26">
        <v>5</v>
      </c>
      <c r="R282" s="32"/>
      <c r="S282" s="33">
        <f t="shared" si="166"/>
        <v>10</v>
      </c>
      <c r="T282" s="25"/>
      <c r="U282" s="45"/>
      <c r="V282" s="26">
        <v>5</v>
      </c>
      <c r="W282" s="32"/>
      <c r="X282" s="33">
        <f t="shared" si="167"/>
        <v>5</v>
      </c>
      <c r="Y282" s="11">
        <f t="shared" si="160"/>
        <v>15</v>
      </c>
      <c r="Z282" s="85">
        <v>45173</v>
      </c>
    </row>
    <row r="283" spans="1:27" x14ac:dyDescent="0.15">
      <c r="A283" s="15" t="s">
        <v>240</v>
      </c>
      <c r="B283" s="25"/>
      <c r="C283" s="45"/>
      <c r="D283" s="26"/>
      <c r="E283" s="32"/>
      <c r="F283" s="33">
        <f t="shared" si="168"/>
        <v>0</v>
      </c>
      <c r="G283" s="25"/>
      <c r="H283" s="45"/>
      <c r="I283" s="26">
        <v>1</v>
      </c>
      <c r="J283" s="32"/>
      <c r="K283" s="33">
        <f t="shared" si="169"/>
        <v>1</v>
      </c>
      <c r="L283" s="11">
        <f t="shared" si="162"/>
        <v>1</v>
      </c>
      <c r="M283" s="85">
        <v>45167</v>
      </c>
      <c r="N283" s="50" t="s">
        <v>265</v>
      </c>
      <c r="O283" s="25">
        <v>3</v>
      </c>
      <c r="P283" s="45"/>
      <c r="Q283" s="26"/>
      <c r="R283" s="32"/>
      <c r="S283" s="33">
        <f t="shared" si="166"/>
        <v>3</v>
      </c>
      <c r="T283" s="25"/>
      <c r="U283" s="45"/>
      <c r="V283" s="26"/>
      <c r="W283" s="32"/>
      <c r="X283" s="33">
        <f t="shared" si="167"/>
        <v>0</v>
      </c>
      <c r="Y283" s="11">
        <f t="shared" si="160"/>
        <v>3</v>
      </c>
      <c r="Z283" s="85">
        <v>45174</v>
      </c>
    </row>
    <row r="284" spans="1:27" x14ac:dyDescent="0.15">
      <c r="A284" s="70" t="s">
        <v>30</v>
      </c>
      <c r="B284" s="25"/>
      <c r="C284" s="45"/>
      <c r="D284" s="26"/>
      <c r="E284" s="32">
        <v>2</v>
      </c>
      <c r="F284" s="33">
        <f t="shared" si="168"/>
        <v>2</v>
      </c>
      <c r="G284" s="25"/>
      <c r="H284" s="45"/>
      <c r="I284" s="26"/>
      <c r="J284" s="32"/>
      <c r="K284" s="33">
        <f t="shared" si="169"/>
        <v>0</v>
      </c>
      <c r="L284" s="11">
        <f t="shared" si="162"/>
        <v>2</v>
      </c>
      <c r="M284" s="115">
        <v>45166</v>
      </c>
      <c r="N284" s="15" t="s">
        <v>266</v>
      </c>
      <c r="O284" s="25">
        <v>1</v>
      </c>
      <c r="P284" s="45"/>
      <c r="Q284" s="26"/>
      <c r="R284" s="32"/>
      <c r="S284" s="33">
        <f t="shared" si="166"/>
        <v>1</v>
      </c>
      <c r="T284" s="25">
        <v>3</v>
      </c>
      <c r="U284" s="45"/>
      <c r="V284" s="26"/>
      <c r="W284" s="32"/>
      <c r="X284" s="33">
        <f t="shared" si="167"/>
        <v>3</v>
      </c>
      <c r="Y284" s="11">
        <f t="shared" si="160"/>
        <v>4</v>
      </c>
      <c r="Z284" s="85">
        <v>45173</v>
      </c>
    </row>
    <row r="285" spans="1:27" x14ac:dyDescent="0.15">
      <c r="A285" s="70" t="s">
        <v>30</v>
      </c>
      <c r="B285" s="25"/>
      <c r="C285" s="45"/>
      <c r="D285" s="26"/>
      <c r="E285" s="32"/>
      <c r="F285" s="33">
        <f t="shared" si="168"/>
        <v>0</v>
      </c>
      <c r="G285" s="25"/>
      <c r="H285" s="45">
        <v>10</v>
      </c>
      <c r="I285" s="26"/>
      <c r="J285" s="32"/>
      <c r="K285" s="33">
        <f t="shared" si="169"/>
        <v>10</v>
      </c>
      <c r="L285" s="11">
        <f t="shared" si="162"/>
        <v>10</v>
      </c>
      <c r="M285" s="85">
        <v>45167</v>
      </c>
      <c r="N285" s="15" t="s">
        <v>267</v>
      </c>
      <c r="O285" s="25"/>
      <c r="P285" s="45"/>
      <c r="Q285" s="26">
        <v>5</v>
      </c>
      <c r="R285" s="32"/>
      <c r="S285" s="33">
        <f t="shared" si="166"/>
        <v>5</v>
      </c>
      <c r="T285" s="25"/>
      <c r="U285" s="45"/>
      <c r="V285" s="26"/>
      <c r="W285" s="32"/>
      <c r="X285" s="33">
        <f t="shared" si="167"/>
        <v>0</v>
      </c>
      <c r="Y285" s="11">
        <f t="shared" si="160"/>
        <v>5</v>
      </c>
      <c r="Z285" s="85">
        <v>45176</v>
      </c>
    </row>
    <row r="286" spans="1:27" x14ac:dyDescent="0.15">
      <c r="A286" s="15" t="s">
        <v>260</v>
      </c>
      <c r="B286" s="25"/>
      <c r="C286" s="45"/>
      <c r="D286" s="26">
        <v>1</v>
      </c>
      <c r="E286" s="32"/>
      <c r="F286" s="33">
        <f t="shared" si="168"/>
        <v>1</v>
      </c>
      <c r="G286" s="25"/>
      <c r="H286" s="45"/>
      <c r="I286" s="26"/>
      <c r="J286" s="32"/>
      <c r="K286" s="33">
        <f t="shared" si="169"/>
        <v>0</v>
      </c>
      <c r="L286" s="11">
        <f t="shared" si="162"/>
        <v>1</v>
      </c>
      <c r="M286" s="85">
        <v>45169</v>
      </c>
      <c r="N286" s="12" t="s">
        <v>28</v>
      </c>
      <c r="O286" s="25">
        <v>11</v>
      </c>
      <c r="P286" s="45">
        <f>2+10</f>
        <v>12</v>
      </c>
      <c r="Q286" s="26">
        <v>5</v>
      </c>
      <c r="R286" s="32">
        <v>5</v>
      </c>
      <c r="S286" s="33">
        <f>SUM(O286:R286)</f>
        <v>33</v>
      </c>
      <c r="T286" s="25">
        <v>10</v>
      </c>
      <c r="U286" s="45">
        <v>10</v>
      </c>
      <c r="V286" s="26">
        <v>5</v>
      </c>
      <c r="W286" s="32"/>
      <c r="X286" s="33">
        <f>SUM(T286:W286)</f>
        <v>25</v>
      </c>
      <c r="Y286" s="11">
        <f t="shared" si="160"/>
        <v>58</v>
      </c>
      <c r="Z286" s="85">
        <v>45171</v>
      </c>
    </row>
    <row r="287" spans="1:27" x14ac:dyDescent="0.15">
      <c r="A287" s="12" t="s">
        <v>261</v>
      </c>
      <c r="B287" s="25"/>
      <c r="C287" s="45">
        <v>1</v>
      </c>
      <c r="D287" s="26"/>
      <c r="E287" s="32"/>
      <c r="F287" s="33">
        <f t="shared" si="168"/>
        <v>1</v>
      </c>
      <c r="G287" s="25"/>
      <c r="H287" s="45"/>
      <c r="I287" s="26"/>
      <c r="J287" s="32"/>
      <c r="K287" s="33">
        <f t="shared" si="169"/>
        <v>0</v>
      </c>
      <c r="L287" s="11">
        <f t="shared" si="162"/>
        <v>1</v>
      </c>
      <c r="M287" s="85">
        <v>45170</v>
      </c>
      <c r="N287" s="15" t="s">
        <v>268</v>
      </c>
      <c r="O287" s="25"/>
      <c r="P287" s="45"/>
      <c r="Q287" s="26"/>
      <c r="R287" s="32"/>
      <c r="S287" s="33">
        <f t="shared" si="166"/>
        <v>0</v>
      </c>
      <c r="T287" s="25"/>
      <c r="U287" s="45">
        <v>3</v>
      </c>
      <c r="V287" s="26">
        <v>4</v>
      </c>
      <c r="W287" s="32"/>
      <c r="X287" s="33">
        <f t="shared" si="167"/>
        <v>7</v>
      </c>
      <c r="Y287" s="11">
        <f t="shared" si="160"/>
        <v>7</v>
      </c>
      <c r="Z287" s="85">
        <v>45174</v>
      </c>
    </row>
    <row r="288" spans="1:27" x14ac:dyDescent="0.15">
      <c r="A288" s="15" t="s">
        <v>262</v>
      </c>
      <c r="B288" s="25">
        <v>1</v>
      </c>
      <c r="C288" s="45"/>
      <c r="D288" s="26"/>
      <c r="E288" s="32"/>
      <c r="F288" s="33">
        <f t="shared" si="168"/>
        <v>1</v>
      </c>
      <c r="G288" s="25">
        <v>2</v>
      </c>
      <c r="H288" s="45">
        <v>1</v>
      </c>
      <c r="I288" s="26"/>
      <c r="J288" s="32"/>
      <c r="K288" s="33">
        <f t="shared" si="169"/>
        <v>3</v>
      </c>
      <c r="L288" s="11">
        <f t="shared" si="162"/>
        <v>4</v>
      </c>
      <c r="M288" s="85">
        <v>45170</v>
      </c>
      <c r="N288" s="15" t="s">
        <v>269</v>
      </c>
      <c r="O288" s="25">
        <v>2</v>
      </c>
      <c r="P288" s="45"/>
      <c r="Q288" s="26"/>
      <c r="R288" s="32"/>
      <c r="S288" s="33">
        <f t="shared" si="166"/>
        <v>2</v>
      </c>
      <c r="T288" s="25">
        <v>2</v>
      </c>
      <c r="U288" s="45"/>
      <c r="V288" s="26">
        <v>1</v>
      </c>
      <c r="W288" s="32">
        <v>4</v>
      </c>
      <c r="X288" s="33">
        <f t="shared" si="167"/>
        <v>7</v>
      </c>
      <c r="Y288" s="11">
        <f t="shared" si="160"/>
        <v>9</v>
      </c>
      <c r="Z288" s="85">
        <v>45175</v>
      </c>
    </row>
    <row r="289" spans="1:25" x14ac:dyDescent="0.15">
      <c r="A289" s="70" t="s">
        <v>30</v>
      </c>
      <c r="B289" s="25">
        <v>3</v>
      </c>
      <c r="C289" s="45"/>
      <c r="D289" s="26"/>
      <c r="E289" s="32"/>
      <c r="F289" s="33">
        <f t="shared" si="168"/>
        <v>3</v>
      </c>
      <c r="G289" s="25"/>
      <c r="H289" s="45"/>
      <c r="I289" s="26"/>
      <c r="J289" s="32"/>
      <c r="K289" s="33">
        <f t="shared" si="169"/>
        <v>0</v>
      </c>
      <c r="L289" s="11">
        <f t="shared" si="162"/>
        <v>3</v>
      </c>
      <c r="M289" s="115">
        <v>45170</v>
      </c>
      <c r="N289" s="13"/>
      <c r="O289" s="25"/>
      <c r="P289" s="45"/>
      <c r="Q289" s="26"/>
      <c r="R289" s="32"/>
      <c r="S289" s="33">
        <f t="shared" si="166"/>
        <v>0</v>
      </c>
      <c r="T289" s="25"/>
      <c r="U289" s="45"/>
      <c r="V289" s="26"/>
      <c r="W289" s="32"/>
      <c r="X289" s="33">
        <f t="shared" si="167"/>
        <v>0</v>
      </c>
      <c r="Y289" s="11">
        <f t="shared" si="160"/>
        <v>0</v>
      </c>
    </row>
    <row r="290" spans="1:25" x14ac:dyDescent="0.15">
      <c r="A290" s="70"/>
      <c r="B290" s="25"/>
      <c r="C290" s="45"/>
      <c r="D290" s="26"/>
      <c r="E290" s="32"/>
      <c r="F290" s="33">
        <f t="shared" si="168"/>
        <v>0</v>
      </c>
      <c r="G290" s="25"/>
      <c r="H290" s="45"/>
      <c r="I290" s="26"/>
      <c r="J290" s="32"/>
      <c r="K290" s="33">
        <f t="shared" si="169"/>
        <v>0</v>
      </c>
      <c r="L290" s="11">
        <f t="shared" si="162"/>
        <v>0</v>
      </c>
      <c r="N290" s="50"/>
      <c r="O290" s="25"/>
      <c r="P290" s="45"/>
      <c r="Q290" s="26"/>
      <c r="R290" s="32"/>
      <c r="S290" s="33">
        <f t="shared" si="166"/>
        <v>0</v>
      </c>
      <c r="T290" s="25"/>
      <c r="U290" s="45"/>
      <c r="V290" s="26"/>
      <c r="W290" s="32"/>
      <c r="X290" s="33">
        <f t="shared" si="167"/>
        <v>0</v>
      </c>
      <c r="Y290" s="11">
        <f t="shared" si="160"/>
        <v>0</v>
      </c>
    </row>
    <row r="291" spans="1:25" x14ac:dyDescent="0.15">
      <c r="A291" s="15"/>
      <c r="B291" s="25"/>
      <c r="C291" s="45"/>
      <c r="D291" s="26"/>
      <c r="E291" s="32"/>
      <c r="F291" s="33">
        <f t="shared" si="168"/>
        <v>0</v>
      </c>
      <c r="G291" s="25"/>
      <c r="H291" s="45"/>
      <c r="I291" s="26"/>
      <c r="J291" s="32"/>
      <c r="K291" s="33">
        <f t="shared" si="169"/>
        <v>0</v>
      </c>
      <c r="L291" s="11">
        <f t="shared" si="162"/>
        <v>0</v>
      </c>
      <c r="N291" s="50"/>
      <c r="O291" s="25"/>
      <c r="P291" s="45"/>
      <c r="Q291" s="26"/>
      <c r="R291" s="32"/>
      <c r="S291" s="33">
        <f t="shared" si="166"/>
        <v>0</v>
      </c>
      <c r="T291" s="25"/>
      <c r="U291" s="45"/>
      <c r="V291" s="26"/>
      <c r="W291" s="32"/>
      <c r="X291" s="33">
        <f t="shared" si="167"/>
        <v>0</v>
      </c>
      <c r="Y291" s="11">
        <f t="shared" si="160"/>
        <v>0</v>
      </c>
    </row>
    <row r="292" spans="1:25" x14ac:dyDescent="0.15">
      <c r="A292" s="70"/>
      <c r="B292" s="25"/>
      <c r="C292" s="45"/>
      <c r="D292" s="26"/>
      <c r="E292" s="32"/>
      <c r="F292" s="33">
        <f t="shared" si="168"/>
        <v>0</v>
      </c>
      <c r="G292" s="25"/>
      <c r="H292" s="45"/>
      <c r="I292" s="26"/>
      <c r="J292" s="32"/>
      <c r="K292" s="33">
        <f t="shared" si="169"/>
        <v>0</v>
      </c>
      <c r="L292" s="11">
        <f t="shared" si="162"/>
        <v>0</v>
      </c>
      <c r="N292" s="50"/>
      <c r="O292" s="25"/>
      <c r="P292" s="45"/>
      <c r="Q292" s="26"/>
      <c r="R292" s="32"/>
      <c r="S292" s="33">
        <f t="shared" si="166"/>
        <v>0</v>
      </c>
      <c r="T292" s="25"/>
      <c r="U292" s="45"/>
      <c r="V292" s="26"/>
      <c r="W292" s="32"/>
      <c r="X292" s="33">
        <f t="shared" si="167"/>
        <v>0</v>
      </c>
      <c r="Y292" s="11">
        <f t="shared" si="160"/>
        <v>0</v>
      </c>
    </row>
    <row r="293" spans="1:25" x14ac:dyDescent="0.15">
      <c r="A293" s="15"/>
      <c r="B293" s="25"/>
      <c r="C293" s="45"/>
      <c r="D293" s="26"/>
      <c r="E293" s="32"/>
      <c r="F293" s="33">
        <f t="shared" si="168"/>
        <v>0</v>
      </c>
      <c r="G293" s="25"/>
      <c r="H293" s="45"/>
      <c r="I293" s="26"/>
      <c r="J293" s="32"/>
      <c r="K293" s="33">
        <f t="shared" si="169"/>
        <v>0</v>
      </c>
      <c r="L293" s="11">
        <f t="shared" si="162"/>
        <v>0</v>
      </c>
      <c r="N293" s="50"/>
      <c r="O293" s="25"/>
      <c r="P293" s="45"/>
      <c r="Q293" s="26"/>
      <c r="R293" s="32"/>
      <c r="S293" s="33">
        <f t="shared" si="166"/>
        <v>0</v>
      </c>
      <c r="T293" s="25"/>
      <c r="U293" s="45"/>
      <c r="V293" s="26"/>
      <c r="W293" s="32"/>
      <c r="X293" s="33">
        <f t="shared" si="167"/>
        <v>0</v>
      </c>
      <c r="Y293" s="11">
        <f t="shared" si="160"/>
        <v>0</v>
      </c>
    </row>
    <row r="294" spans="1:25" x14ac:dyDescent="0.15">
      <c r="A294" s="70"/>
      <c r="B294" s="25"/>
      <c r="C294" s="45"/>
      <c r="D294" s="26"/>
      <c r="E294" s="32"/>
      <c r="F294" s="33">
        <f t="shared" si="168"/>
        <v>0</v>
      </c>
      <c r="G294" s="25"/>
      <c r="H294" s="45"/>
      <c r="I294" s="26"/>
      <c r="J294" s="32"/>
      <c r="K294" s="33">
        <f t="shared" si="169"/>
        <v>0</v>
      </c>
      <c r="L294" s="11">
        <f t="shared" si="162"/>
        <v>0</v>
      </c>
      <c r="N294" s="50"/>
      <c r="O294" s="25"/>
      <c r="P294" s="45"/>
      <c r="Q294" s="26"/>
      <c r="R294" s="32"/>
      <c r="S294" s="33">
        <f t="shared" si="166"/>
        <v>0</v>
      </c>
      <c r="T294" s="25"/>
      <c r="U294" s="45"/>
      <c r="V294" s="26"/>
      <c r="W294" s="32"/>
      <c r="X294" s="33">
        <f t="shared" si="167"/>
        <v>0</v>
      </c>
      <c r="Y294" s="11">
        <f t="shared" si="160"/>
        <v>0</v>
      </c>
    </row>
    <row r="295" spans="1:25" x14ac:dyDescent="0.15">
      <c r="A295" s="15"/>
      <c r="B295" s="25"/>
      <c r="C295" s="45"/>
      <c r="D295" s="26"/>
      <c r="E295" s="32"/>
      <c r="F295" s="33">
        <f t="shared" si="168"/>
        <v>0</v>
      </c>
      <c r="G295" s="25"/>
      <c r="H295" s="45"/>
      <c r="I295" s="26"/>
      <c r="J295" s="32"/>
      <c r="K295" s="33">
        <f t="shared" si="169"/>
        <v>0</v>
      </c>
      <c r="L295" s="11">
        <f t="shared" si="162"/>
        <v>0</v>
      </c>
      <c r="N295" s="12"/>
      <c r="O295" s="25"/>
      <c r="P295" s="45"/>
      <c r="Q295" s="26"/>
      <c r="R295" s="32"/>
      <c r="S295" s="33">
        <f t="shared" si="166"/>
        <v>0</v>
      </c>
      <c r="T295" s="25"/>
      <c r="U295" s="45"/>
      <c r="V295" s="26"/>
      <c r="W295" s="32"/>
      <c r="X295" s="33">
        <f t="shared" si="167"/>
        <v>0</v>
      </c>
      <c r="Y295" s="93">
        <f t="shared" si="160"/>
        <v>0</v>
      </c>
    </row>
    <row r="296" spans="1:25" x14ac:dyDescent="0.15">
      <c r="A296" s="70"/>
      <c r="B296" s="25"/>
      <c r="C296" s="45"/>
      <c r="D296" s="26"/>
      <c r="E296" s="32"/>
      <c r="F296" s="33">
        <f t="shared" si="168"/>
        <v>0</v>
      </c>
      <c r="G296" s="25"/>
      <c r="H296" s="45"/>
      <c r="I296" s="26"/>
      <c r="J296" s="32"/>
      <c r="K296" s="33">
        <f t="shared" si="169"/>
        <v>0</v>
      </c>
      <c r="L296" s="11">
        <f t="shared" si="162"/>
        <v>0</v>
      </c>
      <c r="N296" s="12"/>
      <c r="O296" s="25"/>
      <c r="P296" s="45"/>
      <c r="Q296" s="26"/>
      <c r="R296" s="32"/>
      <c r="S296" s="33">
        <f t="shared" si="166"/>
        <v>0</v>
      </c>
      <c r="T296" s="25"/>
      <c r="U296" s="45"/>
      <c r="V296" s="26"/>
      <c r="W296" s="32"/>
      <c r="X296" s="33">
        <f t="shared" si="167"/>
        <v>0</v>
      </c>
      <c r="Y296" s="93">
        <f t="shared" si="160"/>
        <v>0</v>
      </c>
    </row>
    <row r="297" spans="1:25" x14ac:dyDescent="0.15">
      <c r="A297" s="70"/>
      <c r="B297" s="25"/>
      <c r="C297" s="45"/>
      <c r="D297" s="26"/>
      <c r="E297" s="32"/>
      <c r="F297" s="33">
        <f t="shared" si="168"/>
        <v>0</v>
      </c>
      <c r="G297" s="25"/>
      <c r="H297" s="45"/>
      <c r="I297" s="26"/>
      <c r="J297" s="32"/>
      <c r="K297" s="33">
        <f t="shared" si="169"/>
        <v>0</v>
      </c>
      <c r="L297" s="11">
        <f t="shared" si="162"/>
        <v>0</v>
      </c>
      <c r="N297" s="50"/>
      <c r="O297" s="59"/>
      <c r="P297" s="60"/>
      <c r="Q297" s="61"/>
      <c r="R297" s="62"/>
      <c r="S297" s="63">
        <f t="shared" si="166"/>
        <v>0</v>
      </c>
      <c r="T297" s="59"/>
      <c r="U297" s="60"/>
      <c r="V297" s="61"/>
      <c r="W297" s="62"/>
      <c r="X297" s="63">
        <f t="shared" si="167"/>
        <v>0</v>
      </c>
      <c r="Y297" s="11">
        <f t="shared" si="160"/>
        <v>0</v>
      </c>
    </row>
    <row r="298" spans="1:25" x14ac:dyDescent="0.15">
      <c r="A298" s="70"/>
      <c r="B298" s="25"/>
      <c r="C298" s="45"/>
      <c r="D298" s="26"/>
      <c r="E298" s="32"/>
      <c r="F298" s="33">
        <f t="shared" si="168"/>
        <v>0</v>
      </c>
      <c r="G298" s="25"/>
      <c r="H298" s="45"/>
      <c r="I298" s="26"/>
      <c r="J298" s="32"/>
      <c r="K298" s="33">
        <f t="shared" si="169"/>
        <v>0</v>
      </c>
      <c r="L298" s="11">
        <f t="shared" si="162"/>
        <v>0</v>
      </c>
      <c r="N298" s="50"/>
      <c r="O298" s="59"/>
      <c r="P298" s="60"/>
      <c r="Q298" s="61"/>
      <c r="R298" s="62"/>
      <c r="S298" s="63">
        <f t="shared" ref="S298:S299" si="170">SUM(O298:R298)</f>
        <v>0</v>
      </c>
      <c r="T298" s="59"/>
      <c r="U298" s="60"/>
      <c r="V298" s="61"/>
      <c r="W298" s="62"/>
      <c r="X298" s="63">
        <f t="shared" ref="X298:X299" si="171">SUM(T298:W298)</f>
        <v>0</v>
      </c>
      <c r="Y298" s="11">
        <f t="shared" ref="Y298:Y299" si="172">S298+X298</f>
        <v>0</v>
      </c>
    </row>
    <row r="299" spans="1:25" x14ac:dyDescent="0.15">
      <c r="A299" s="70"/>
      <c r="B299" s="25"/>
      <c r="C299" s="45"/>
      <c r="D299" s="26"/>
      <c r="E299" s="32"/>
      <c r="F299" s="33">
        <f t="shared" si="168"/>
        <v>0</v>
      </c>
      <c r="G299" s="25"/>
      <c r="H299" s="45"/>
      <c r="I299" s="26"/>
      <c r="J299" s="32"/>
      <c r="K299" s="33">
        <f t="shared" si="169"/>
        <v>0</v>
      </c>
      <c r="L299" s="11">
        <f t="shared" si="162"/>
        <v>0</v>
      </c>
      <c r="N299" s="50"/>
      <c r="O299" s="59"/>
      <c r="P299" s="60"/>
      <c r="Q299" s="61"/>
      <c r="R299" s="62"/>
      <c r="S299" s="63">
        <f t="shared" si="170"/>
        <v>0</v>
      </c>
      <c r="T299" s="59"/>
      <c r="U299" s="60"/>
      <c r="V299" s="61"/>
      <c r="W299" s="62"/>
      <c r="X299" s="63">
        <f t="shared" si="171"/>
        <v>0</v>
      </c>
      <c r="Y299" s="11">
        <f t="shared" si="172"/>
        <v>0</v>
      </c>
    </row>
    <row r="300" spans="1:25" ht="14.25" thickBot="1" x14ac:dyDescent="0.2">
      <c r="A300" s="108"/>
      <c r="B300" s="55"/>
      <c r="C300" s="56"/>
      <c r="D300" s="57"/>
      <c r="E300" s="58"/>
      <c r="F300" s="109">
        <f t="shared" ref="F300" si="173">SUM(B300:E300)</f>
        <v>0</v>
      </c>
      <c r="G300" s="55"/>
      <c r="H300" s="56"/>
      <c r="I300" s="57"/>
      <c r="J300" s="58"/>
      <c r="K300" s="109">
        <f t="shared" ref="K300" si="174">SUM(G300:J300)</f>
        <v>0</v>
      </c>
      <c r="L300" s="107">
        <f t="shared" ref="L300" si="175">F300+K300</f>
        <v>0</v>
      </c>
      <c r="N300" s="74"/>
      <c r="O300" s="55"/>
      <c r="P300" s="56"/>
      <c r="Q300" s="57"/>
      <c r="R300" s="58"/>
      <c r="S300" s="109">
        <f t="shared" ref="S300" si="176">SUM(O300:R300)</f>
        <v>0</v>
      </c>
      <c r="T300" s="55"/>
      <c r="U300" s="56"/>
      <c r="V300" s="57"/>
      <c r="W300" s="58"/>
      <c r="X300" s="109">
        <f t="shared" ref="X300" si="177">SUM(T300:W300)</f>
        <v>0</v>
      </c>
      <c r="Y300" s="107">
        <f t="shared" ref="Y300" si="178">S300+X300</f>
        <v>0</v>
      </c>
    </row>
    <row r="301" spans="1:25" ht="14.25" thickBot="1" x14ac:dyDescent="0.2">
      <c r="A301" s="72" t="s">
        <v>10</v>
      </c>
      <c r="B301" s="36">
        <f>SUM(B276:B300)</f>
        <v>4</v>
      </c>
      <c r="C301" s="46">
        <f>SUM(C276:C300)</f>
        <v>1</v>
      </c>
      <c r="D301" s="37">
        <f>SUM(D276:D300)</f>
        <v>1</v>
      </c>
      <c r="E301" s="38">
        <f>SUM(E276:E300)</f>
        <v>8</v>
      </c>
      <c r="F301" s="71">
        <f>SUM(B301:E301)</f>
        <v>14</v>
      </c>
      <c r="G301" s="36">
        <f>SUM(G276:G300)</f>
        <v>4</v>
      </c>
      <c r="H301" s="46">
        <f>SUM(H276:H300)</f>
        <v>17</v>
      </c>
      <c r="I301" s="37">
        <f>SUM(I276:I300)</f>
        <v>8</v>
      </c>
      <c r="J301" s="38">
        <f>SUM(J276:J300)</f>
        <v>1</v>
      </c>
      <c r="K301" s="71">
        <f>SUM(G301:J301)</f>
        <v>30</v>
      </c>
      <c r="L301" s="75">
        <f t="shared" si="162"/>
        <v>44</v>
      </c>
      <c r="N301" s="72" t="s">
        <v>10</v>
      </c>
      <c r="O301" s="36">
        <f>SUM(O276:O300)</f>
        <v>29</v>
      </c>
      <c r="P301" s="46">
        <f>SUM(P276:P300)</f>
        <v>13</v>
      </c>
      <c r="Q301" s="37">
        <f>SUM(Q276:Q300)</f>
        <v>15</v>
      </c>
      <c r="R301" s="38">
        <f>SUM(R276:R300)</f>
        <v>10</v>
      </c>
      <c r="S301" s="71">
        <f t="shared" si="166"/>
        <v>67</v>
      </c>
      <c r="T301" s="36">
        <f>SUM(T276:T300)</f>
        <v>16</v>
      </c>
      <c r="U301" s="46">
        <f>SUM(U276:U300)</f>
        <v>36</v>
      </c>
      <c r="V301" s="37">
        <f>SUM(V276:V300)</f>
        <v>20</v>
      </c>
      <c r="W301" s="38">
        <f>SUM(W276:W300)</f>
        <v>5</v>
      </c>
      <c r="X301" s="71">
        <f t="shared" si="167"/>
        <v>77</v>
      </c>
      <c r="Y301" s="75">
        <f t="shared" si="160"/>
        <v>144</v>
      </c>
    </row>
    <row r="302" spans="1:25" ht="14.25" thickBot="1" x14ac:dyDescent="0.2">
      <c r="A302" s="21" t="s">
        <v>11</v>
      </c>
      <c r="B302" s="39">
        <f t="shared" ref="B302:K302" si="179">B275-B301</f>
        <v>2</v>
      </c>
      <c r="C302" s="47">
        <f t="shared" si="179"/>
        <v>4</v>
      </c>
      <c r="D302" s="40">
        <f t="shared" si="179"/>
        <v>6</v>
      </c>
      <c r="E302" s="41">
        <f t="shared" si="179"/>
        <v>5</v>
      </c>
      <c r="F302" s="54">
        <f t="shared" si="179"/>
        <v>17</v>
      </c>
      <c r="G302" s="39">
        <f t="shared" si="179"/>
        <v>3</v>
      </c>
      <c r="H302" s="47">
        <f t="shared" si="179"/>
        <v>5</v>
      </c>
      <c r="I302" s="40">
        <f t="shared" si="179"/>
        <v>4</v>
      </c>
      <c r="J302" s="41">
        <f t="shared" si="179"/>
        <v>10</v>
      </c>
      <c r="K302" s="54">
        <f t="shared" si="179"/>
        <v>22</v>
      </c>
      <c r="L302" s="20">
        <f t="shared" si="162"/>
        <v>39</v>
      </c>
      <c r="N302" s="16" t="s">
        <v>11</v>
      </c>
      <c r="O302" s="39">
        <f t="shared" ref="O302:X302" si="180">O275-O301</f>
        <v>477</v>
      </c>
      <c r="P302" s="47">
        <f t="shared" si="180"/>
        <v>330</v>
      </c>
      <c r="Q302" s="40">
        <f t="shared" si="180"/>
        <v>311</v>
      </c>
      <c r="R302" s="41">
        <f t="shared" si="180"/>
        <v>194</v>
      </c>
      <c r="S302" s="54">
        <f t="shared" si="180"/>
        <v>1312</v>
      </c>
      <c r="T302" s="39">
        <f t="shared" si="180"/>
        <v>523</v>
      </c>
      <c r="U302" s="47">
        <f t="shared" si="180"/>
        <v>356</v>
      </c>
      <c r="V302" s="40">
        <f t="shared" si="180"/>
        <v>241</v>
      </c>
      <c r="W302" s="41">
        <f t="shared" si="180"/>
        <v>163</v>
      </c>
      <c r="X302" s="54">
        <f t="shared" si="180"/>
        <v>1283</v>
      </c>
      <c r="Y302" s="20">
        <f t="shared" si="160"/>
        <v>2595</v>
      </c>
    </row>
    <row r="303" spans="1:25" x14ac:dyDescent="0.15">
      <c r="N303" s="116">
        <v>45170</v>
      </c>
      <c r="O303" s="91">
        <f>O301+O263+O225+O187+O149+O111+O73+O35</f>
        <v>445</v>
      </c>
      <c r="P303" s="91">
        <f t="shared" ref="P303:Y303" si="181">P301+P263+P225+P187+P149+P111+P73+P35</f>
        <v>570</v>
      </c>
      <c r="Q303" s="91">
        <f t="shared" si="181"/>
        <v>371</v>
      </c>
      <c r="R303" s="91">
        <f t="shared" si="181"/>
        <v>315</v>
      </c>
      <c r="S303" s="91">
        <f t="shared" si="181"/>
        <v>1701</v>
      </c>
      <c r="T303" s="91">
        <f t="shared" si="181"/>
        <v>350</v>
      </c>
      <c r="U303" s="91">
        <f t="shared" si="181"/>
        <v>485</v>
      </c>
      <c r="V303" s="91">
        <f t="shared" si="181"/>
        <v>342</v>
      </c>
      <c r="W303" s="91">
        <f t="shared" si="181"/>
        <v>268</v>
      </c>
      <c r="X303" s="91">
        <f t="shared" si="181"/>
        <v>1445</v>
      </c>
      <c r="Y303" s="91">
        <f t="shared" si="181"/>
        <v>3146</v>
      </c>
    </row>
    <row r="304" spans="1:25" x14ac:dyDescent="0.15">
      <c r="O304" s="118">
        <f>O303/$S$303*100</f>
        <v>26.161081716637273</v>
      </c>
      <c r="P304" s="118">
        <f t="shared" ref="P304:S304" si="182">P303/$S$303*100</f>
        <v>33.509700176366842</v>
      </c>
      <c r="Q304" s="118">
        <f t="shared" si="182"/>
        <v>21.810699588477366</v>
      </c>
      <c r="R304" s="118">
        <f t="shared" si="182"/>
        <v>18.518518518518519</v>
      </c>
      <c r="S304" s="118">
        <f t="shared" si="182"/>
        <v>100</v>
      </c>
      <c r="T304" s="118">
        <f>T303/$X$303*100</f>
        <v>24.221453287197232</v>
      </c>
      <c r="U304" s="118">
        <f t="shared" ref="U304:X304" si="183">U303/$X$303*100</f>
        <v>33.564013840830448</v>
      </c>
      <c r="V304" s="118">
        <f t="shared" si="183"/>
        <v>23.667820069204151</v>
      </c>
      <c r="W304" s="118">
        <f t="shared" si="183"/>
        <v>18.546712802768166</v>
      </c>
      <c r="X304" s="118">
        <f t="shared" si="183"/>
        <v>100</v>
      </c>
    </row>
    <row r="305" spans="1:26" ht="19.5" thickBot="1" x14ac:dyDescent="0.25">
      <c r="A305" s="2" t="s">
        <v>26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27</v>
      </c>
      <c r="O305" s="2"/>
      <c r="P305" s="1"/>
      <c r="Q305" s="1"/>
      <c r="R305" s="1"/>
      <c r="S305" s="1">
        <v>54.3</v>
      </c>
      <c r="T305" s="1"/>
      <c r="U305" s="1"/>
      <c r="V305" s="1"/>
      <c r="W305" s="1"/>
      <c r="X305" s="1">
        <v>45.7</v>
      </c>
      <c r="Y305" s="1"/>
    </row>
    <row r="306" spans="1:26" ht="14.25" thickBot="1" x14ac:dyDescent="0.2">
      <c r="A306" s="5" t="s">
        <v>0</v>
      </c>
      <c r="B306" s="228" t="s">
        <v>19</v>
      </c>
      <c r="C306" s="229"/>
      <c r="D306" s="229"/>
      <c r="E306" s="229"/>
      <c r="F306" s="230"/>
      <c r="G306" s="231" t="s">
        <v>18</v>
      </c>
      <c r="H306" s="232"/>
      <c r="I306" s="232"/>
      <c r="J306" s="232"/>
      <c r="K306" s="233"/>
      <c r="L306" s="234" t="s">
        <v>1</v>
      </c>
      <c r="N306" s="5" t="s">
        <v>0</v>
      </c>
      <c r="O306" s="228" t="s">
        <v>19</v>
      </c>
      <c r="P306" s="229"/>
      <c r="Q306" s="229"/>
      <c r="R306" s="229"/>
      <c r="S306" s="230"/>
      <c r="T306" s="231" t="s">
        <v>18</v>
      </c>
      <c r="U306" s="232"/>
      <c r="V306" s="232"/>
      <c r="W306" s="232"/>
      <c r="X306" s="233"/>
      <c r="Y306" s="73" t="s">
        <v>1</v>
      </c>
    </row>
    <row r="307" spans="1:26" ht="14.25" thickBot="1" x14ac:dyDescent="0.2">
      <c r="A307" s="5" t="s">
        <v>2</v>
      </c>
      <c r="B307" s="3" t="s">
        <v>12</v>
      </c>
      <c r="C307" s="42" t="s">
        <v>13</v>
      </c>
      <c r="D307" s="4" t="s">
        <v>14</v>
      </c>
      <c r="E307" s="22" t="s">
        <v>15</v>
      </c>
      <c r="F307" s="30" t="s">
        <v>3</v>
      </c>
      <c r="G307" s="3" t="s">
        <v>12</v>
      </c>
      <c r="H307" s="42" t="s">
        <v>13</v>
      </c>
      <c r="I307" s="4" t="s">
        <v>14</v>
      </c>
      <c r="J307" s="22" t="s">
        <v>15</v>
      </c>
      <c r="K307" s="30" t="s">
        <v>3</v>
      </c>
      <c r="L307" s="235"/>
      <c r="N307" s="5" t="s">
        <v>2</v>
      </c>
      <c r="O307" s="64" t="s">
        <v>12</v>
      </c>
      <c r="P307" s="65" t="s">
        <v>13</v>
      </c>
      <c r="Q307" s="66" t="s">
        <v>14</v>
      </c>
      <c r="R307" s="67" t="s">
        <v>15</v>
      </c>
      <c r="S307" s="30" t="s">
        <v>3</v>
      </c>
      <c r="T307" s="3" t="s">
        <v>12</v>
      </c>
      <c r="U307" s="42" t="s">
        <v>13</v>
      </c>
      <c r="V307" s="4" t="s">
        <v>14</v>
      </c>
      <c r="W307" s="22" t="s">
        <v>15</v>
      </c>
      <c r="X307" s="30" t="s">
        <v>3</v>
      </c>
      <c r="Y307" s="74"/>
    </row>
    <row r="308" spans="1:26" ht="14.25" thickBot="1" x14ac:dyDescent="0.2">
      <c r="A308" s="21" t="s">
        <v>16</v>
      </c>
      <c r="B308" s="39">
        <f>B302</f>
        <v>2</v>
      </c>
      <c r="C308" s="40">
        <f>C302</f>
        <v>4</v>
      </c>
      <c r="D308" s="40">
        <f>D302</f>
        <v>6</v>
      </c>
      <c r="E308" s="41">
        <f>E302</f>
        <v>5</v>
      </c>
      <c r="F308" s="122">
        <f>SUM(B308:E308)</f>
        <v>17</v>
      </c>
      <c r="G308" s="39">
        <f>G302</f>
        <v>3</v>
      </c>
      <c r="H308" s="40">
        <f>H302</f>
        <v>5</v>
      </c>
      <c r="I308" s="40">
        <f>I302</f>
        <v>4</v>
      </c>
      <c r="J308" s="41">
        <f>J302</f>
        <v>10</v>
      </c>
      <c r="K308" s="123">
        <f>SUM(G308:J308)</f>
        <v>22</v>
      </c>
      <c r="L308" s="20">
        <f>F308+K308</f>
        <v>39</v>
      </c>
      <c r="N308" s="21" t="s">
        <v>16</v>
      </c>
      <c r="O308" s="39">
        <f>O302</f>
        <v>477</v>
      </c>
      <c r="P308" s="40">
        <f>P302</f>
        <v>330</v>
      </c>
      <c r="Q308" s="40">
        <f t="shared" ref="Q308:R308" si="184">Q302</f>
        <v>311</v>
      </c>
      <c r="R308" s="40">
        <f t="shared" si="184"/>
        <v>194</v>
      </c>
      <c r="S308" s="122">
        <f>SUM(O308:R308)</f>
        <v>1312</v>
      </c>
      <c r="T308" s="39">
        <f>T302</f>
        <v>523</v>
      </c>
      <c r="U308" s="40">
        <f>U302</f>
        <v>356</v>
      </c>
      <c r="V308" s="40">
        <f>V302</f>
        <v>241</v>
      </c>
      <c r="W308" s="41">
        <f>W302</f>
        <v>163</v>
      </c>
      <c r="X308" s="123">
        <f>SUM(T308:W308)</f>
        <v>1283</v>
      </c>
      <c r="Y308" s="20">
        <f t="shared" ref="Y308:Y340" si="185">S308+X308</f>
        <v>2595</v>
      </c>
    </row>
    <row r="309" spans="1:26" x14ac:dyDescent="0.15">
      <c r="A309" s="70" t="s">
        <v>5</v>
      </c>
      <c r="B309" s="6">
        <v>11</v>
      </c>
      <c r="C309" s="29">
        <f>2+10</f>
        <v>12</v>
      </c>
      <c r="D309" s="7">
        <v>5</v>
      </c>
      <c r="E309" s="8">
        <v>5</v>
      </c>
      <c r="F309" s="9">
        <f>SUM(B309:E309)</f>
        <v>33</v>
      </c>
      <c r="G309" s="29">
        <v>10</v>
      </c>
      <c r="H309" s="29">
        <v>10</v>
      </c>
      <c r="I309" s="7">
        <v>5</v>
      </c>
      <c r="J309" s="8"/>
      <c r="K309" s="9">
        <f>SUM(G309:J309)</f>
        <v>25</v>
      </c>
      <c r="L309" s="11">
        <f t="shared" ref="L309:L340" si="186">F309+K309</f>
        <v>58</v>
      </c>
      <c r="M309" s="85">
        <v>45171</v>
      </c>
      <c r="N309" s="70" t="s">
        <v>17</v>
      </c>
      <c r="O309" s="59"/>
      <c r="P309" s="60"/>
      <c r="Q309" s="61"/>
      <c r="R309" s="62"/>
      <c r="S309" s="120">
        <f>SUM(O309:R309)</f>
        <v>0</v>
      </c>
      <c r="T309" s="60"/>
      <c r="U309" s="60"/>
      <c r="V309" s="61"/>
      <c r="W309" s="124"/>
      <c r="X309" s="121">
        <f>SUM(T309:W309)</f>
        <v>0</v>
      </c>
      <c r="Y309" s="11">
        <f t="shared" ref="Y309" si="187">S309+X309</f>
        <v>0</v>
      </c>
    </row>
    <row r="310" spans="1:26" x14ac:dyDescent="0.15">
      <c r="A310" s="15" t="s">
        <v>275</v>
      </c>
      <c r="B310" s="25">
        <v>1</v>
      </c>
      <c r="C310" s="45"/>
      <c r="D310" s="26"/>
      <c r="E310" s="32"/>
      <c r="F310" s="33">
        <f t="shared" ref="F310" si="188">SUM(B310:E310)</f>
        <v>1</v>
      </c>
      <c r="G310" s="25">
        <v>1</v>
      </c>
      <c r="H310" s="45"/>
      <c r="I310" s="26"/>
      <c r="J310" s="32"/>
      <c r="K310" s="33">
        <f t="shared" ref="K310" si="189">SUM(G310:J310)</f>
        <v>1</v>
      </c>
      <c r="L310" s="11">
        <f t="shared" si="186"/>
        <v>2</v>
      </c>
      <c r="M310" s="83">
        <v>45177</v>
      </c>
      <c r="N310" s="70" t="s">
        <v>5</v>
      </c>
      <c r="O310" s="59"/>
      <c r="P310" s="60"/>
      <c r="Q310" s="61"/>
      <c r="R310" s="62"/>
      <c r="S310" s="120">
        <f>SUM(O310:R310)</f>
        <v>0</v>
      </c>
      <c r="T310" s="60"/>
      <c r="U310" s="60"/>
      <c r="V310" s="61"/>
      <c r="W310" s="124"/>
      <c r="X310" s="121">
        <f>SUM(T310:W310)</f>
        <v>0</v>
      </c>
      <c r="Y310" s="11">
        <f t="shared" si="185"/>
        <v>0</v>
      </c>
    </row>
    <row r="311" spans="1:26" x14ac:dyDescent="0.15">
      <c r="A311" s="70" t="s">
        <v>7</v>
      </c>
      <c r="B311" s="6"/>
      <c r="C311" s="29">
        <v>5</v>
      </c>
      <c r="D311" s="7"/>
      <c r="E311" s="8"/>
      <c r="F311" s="9">
        <f t="shared" ref="F311:F312" si="190">SUM(B311:E311)</f>
        <v>5</v>
      </c>
      <c r="G311" s="29"/>
      <c r="H311" s="29">
        <v>5</v>
      </c>
      <c r="I311" s="7"/>
      <c r="J311" s="8"/>
      <c r="K311" s="9">
        <f t="shared" ref="K311:K312" si="191">SUM(G311:J311)</f>
        <v>5</v>
      </c>
      <c r="L311" s="11">
        <f t="shared" ref="L311:L312" si="192">F311+K311</f>
        <v>10</v>
      </c>
      <c r="M311" s="115">
        <v>45185</v>
      </c>
      <c r="N311" s="13" t="s">
        <v>6</v>
      </c>
      <c r="O311" s="25"/>
      <c r="P311" s="45"/>
      <c r="Q311" s="26"/>
      <c r="R311" s="32"/>
      <c r="S311" s="68">
        <f>SUM(O311:R311)</f>
        <v>0</v>
      </c>
      <c r="T311" s="45"/>
      <c r="U311" s="45"/>
      <c r="V311" s="26"/>
      <c r="W311" s="48"/>
      <c r="X311" s="9">
        <f>SUM(T311:W311)</f>
        <v>0</v>
      </c>
      <c r="Y311" s="11">
        <f t="shared" si="185"/>
        <v>0</v>
      </c>
    </row>
    <row r="312" spans="1:26" ht="14.25" thickBot="1" x14ac:dyDescent="0.2">
      <c r="A312" s="70" t="s">
        <v>284</v>
      </c>
      <c r="B312" s="125">
        <v>6</v>
      </c>
      <c r="C312" s="126">
        <v>4</v>
      </c>
      <c r="D312" s="127"/>
      <c r="E312" s="128">
        <v>3</v>
      </c>
      <c r="F312" s="129">
        <f t="shared" si="190"/>
        <v>13</v>
      </c>
      <c r="G312" s="126">
        <v>3</v>
      </c>
      <c r="H312" s="126">
        <v>6</v>
      </c>
      <c r="I312" s="127">
        <v>4</v>
      </c>
      <c r="J312" s="128">
        <v>1</v>
      </c>
      <c r="K312" s="129">
        <f t="shared" si="191"/>
        <v>14</v>
      </c>
      <c r="L312" s="14">
        <f t="shared" si="192"/>
        <v>27</v>
      </c>
      <c r="M312" s="115">
        <v>45184</v>
      </c>
      <c r="N312" s="13" t="s">
        <v>7</v>
      </c>
      <c r="O312" s="55"/>
      <c r="P312" s="56"/>
      <c r="Q312" s="57"/>
      <c r="R312" s="58"/>
      <c r="S312" s="69">
        <f>SUM(O312:R312)</f>
        <v>0</v>
      </c>
      <c r="T312" s="45"/>
      <c r="U312" s="45"/>
      <c r="V312" s="26"/>
      <c r="W312" s="48"/>
      <c r="X312" s="10">
        <f>SUM(T312:W312)</f>
        <v>0</v>
      </c>
      <c r="Y312" s="14">
        <f t="shared" si="185"/>
        <v>0</v>
      </c>
    </row>
    <row r="313" spans="1:26" ht="14.25" thickBot="1" x14ac:dyDescent="0.2">
      <c r="A313" s="21" t="s">
        <v>9</v>
      </c>
      <c r="B313" s="130">
        <f t="shared" ref="B313:K313" si="193">SUM(B308:B312)</f>
        <v>20</v>
      </c>
      <c r="C313" s="131">
        <f t="shared" si="193"/>
        <v>25</v>
      </c>
      <c r="D313" s="132">
        <f t="shared" si="193"/>
        <v>11</v>
      </c>
      <c r="E313" s="133">
        <f t="shared" si="193"/>
        <v>13</v>
      </c>
      <c r="F313" s="123">
        <f t="shared" si="193"/>
        <v>69</v>
      </c>
      <c r="G313" s="130">
        <f t="shared" si="193"/>
        <v>17</v>
      </c>
      <c r="H313" s="131">
        <f t="shared" si="193"/>
        <v>26</v>
      </c>
      <c r="I313" s="132">
        <f t="shared" si="193"/>
        <v>13</v>
      </c>
      <c r="J313" s="133">
        <f t="shared" si="193"/>
        <v>11</v>
      </c>
      <c r="K313" s="123">
        <f t="shared" si="193"/>
        <v>67</v>
      </c>
      <c r="L313" s="20">
        <f t="shared" si="186"/>
        <v>136</v>
      </c>
      <c r="N313" s="16" t="s">
        <v>9</v>
      </c>
      <c r="O313" s="39">
        <f t="shared" ref="O313:X313" si="194">SUM(O308:O312)</f>
        <v>477</v>
      </c>
      <c r="P313" s="47">
        <f t="shared" si="194"/>
        <v>330</v>
      </c>
      <c r="Q313" s="40">
        <f t="shared" si="194"/>
        <v>311</v>
      </c>
      <c r="R313" s="88">
        <f t="shared" si="194"/>
        <v>194</v>
      </c>
      <c r="S313" s="89">
        <f t="shared" si="194"/>
        <v>1312</v>
      </c>
      <c r="T313" s="39">
        <f t="shared" si="194"/>
        <v>523</v>
      </c>
      <c r="U313" s="47">
        <f t="shared" si="194"/>
        <v>356</v>
      </c>
      <c r="V313" s="40">
        <f t="shared" si="194"/>
        <v>241</v>
      </c>
      <c r="W313" s="88">
        <f t="shared" si="194"/>
        <v>163</v>
      </c>
      <c r="X313" s="89">
        <f t="shared" si="194"/>
        <v>1283</v>
      </c>
      <c r="Y313" s="49">
        <f t="shared" si="185"/>
        <v>2595</v>
      </c>
    </row>
    <row r="314" spans="1:26" x14ac:dyDescent="0.15">
      <c r="A314" s="15" t="s">
        <v>270</v>
      </c>
      <c r="B314" s="59"/>
      <c r="C314" s="60"/>
      <c r="D314" s="61"/>
      <c r="E314" s="62"/>
      <c r="F314" s="63">
        <f t="shared" ref="F314:F325" si="195">SUM(B314:E314)</f>
        <v>0</v>
      </c>
      <c r="G314" s="59"/>
      <c r="H314" s="60">
        <v>1</v>
      </c>
      <c r="I314" s="61"/>
      <c r="J314" s="62">
        <v>2</v>
      </c>
      <c r="K314" s="63">
        <f t="shared" ref="K314:K325" si="196">SUM(G314:J314)</f>
        <v>3</v>
      </c>
      <c r="L314" s="11">
        <f t="shared" ref="L314:L325" si="197">F314+K314</f>
        <v>3</v>
      </c>
      <c r="M314" s="85">
        <v>45176</v>
      </c>
      <c r="N314" s="50" t="s">
        <v>272</v>
      </c>
      <c r="O314" s="25"/>
      <c r="P314" s="45"/>
      <c r="Q314" s="26"/>
      <c r="R314" s="32"/>
      <c r="S314" s="33">
        <f t="shared" ref="S314:S319" si="198">SUM(O314:R314)</f>
        <v>0</v>
      </c>
      <c r="T314" s="25"/>
      <c r="U314" s="45"/>
      <c r="V314" s="26"/>
      <c r="W314" s="32">
        <v>3</v>
      </c>
      <c r="X314" s="33">
        <f t="shared" ref="X314:X319" si="199">SUM(T314:W314)</f>
        <v>3</v>
      </c>
      <c r="Y314" s="11">
        <f t="shared" ref="Y314:Y319" si="200">S314+X314</f>
        <v>3</v>
      </c>
      <c r="Z314" s="85">
        <v>45177</v>
      </c>
    </row>
    <row r="315" spans="1:26" x14ac:dyDescent="0.15">
      <c r="A315" s="70" t="s">
        <v>271</v>
      </c>
      <c r="B315" s="25"/>
      <c r="C315" s="45">
        <v>3</v>
      </c>
      <c r="D315" s="26"/>
      <c r="E315" s="32"/>
      <c r="F315" s="33">
        <f t="shared" si="195"/>
        <v>3</v>
      </c>
      <c r="G315" s="25">
        <v>1</v>
      </c>
      <c r="H315" s="45">
        <v>2</v>
      </c>
      <c r="I315" s="26"/>
      <c r="J315" s="32"/>
      <c r="K315" s="33">
        <f t="shared" si="196"/>
        <v>3</v>
      </c>
      <c r="L315" s="11">
        <f t="shared" si="197"/>
        <v>6</v>
      </c>
      <c r="M315" s="85">
        <v>45176</v>
      </c>
      <c r="N315" s="15" t="s">
        <v>273</v>
      </c>
      <c r="O315" s="25">
        <v>1</v>
      </c>
      <c r="P315" s="45">
        <v>1</v>
      </c>
      <c r="Q315" s="26"/>
      <c r="R315" s="32"/>
      <c r="S315" s="33">
        <f t="shared" si="198"/>
        <v>2</v>
      </c>
      <c r="T315" s="25">
        <v>1</v>
      </c>
      <c r="U315" s="45">
        <v>1</v>
      </c>
      <c r="V315" s="26"/>
      <c r="W315" s="32"/>
      <c r="X315" s="33">
        <f t="shared" si="199"/>
        <v>2</v>
      </c>
      <c r="Y315" s="11">
        <f t="shared" si="200"/>
        <v>4</v>
      </c>
      <c r="Z315" s="85">
        <v>45177</v>
      </c>
    </row>
    <row r="316" spans="1:26" x14ac:dyDescent="0.15">
      <c r="A316" s="70" t="s">
        <v>30</v>
      </c>
      <c r="B316" s="25"/>
      <c r="C316" s="45">
        <v>1</v>
      </c>
      <c r="D316" s="26"/>
      <c r="E316" s="32"/>
      <c r="F316" s="33">
        <f t="shared" si="195"/>
        <v>1</v>
      </c>
      <c r="G316" s="25"/>
      <c r="H316" s="45">
        <v>1</v>
      </c>
      <c r="I316" s="26"/>
      <c r="J316" s="32"/>
      <c r="K316" s="33">
        <f t="shared" si="196"/>
        <v>1</v>
      </c>
      <c r="L316" s="11">
        <f t="shared" si="197"/>
        <v>2</v>
      </c>
      <c r="M316" s="115">
        <v>45176</v>
      </c>
      <c r="N316" s="50" t="s">
        <v>283</v>
      </c>
      <c r="O316" s="25"/>
      <c r="P316" s="45">
        <v>5</v>
      </c>
      <c r="Q316" s="26"/>
      <c r="R316" s="32"/>
      <c r="S316" s="33">
        <f t="shared" si="198"/>
        <v>5</v>
      </c>
      <c r="T316" s="25"/>
      <c r="U316" s="45">
        <v>5</v>
      </c>
      <c r="V316" s="26"/>
      <c r="W316" s="32"/>
      <c r="X316" s="33">
        <f t="shared" si="199"/>
        <v>5</v>
      </c>
      <c r="Y316" s="11">
        <f t="shared" si="200"/>
        <v>10</v>
      </c>
      <c r="Z316" s="115">
        <v>45185</v>
      </c>
    </row>
    <row r="317" spans="1:26" x14ac:dyDescent="0.15">
      <c r="A317" s="15" t="s">
        <v>274</v>
      </c>
      <c r="B317" s="25"/>
      <c r="C317" s="45">
        <v>3</v>
      </c>
      <c r="D317" s="26"/>
      <c r="E317" s="32"/>
      <c r="F317" s="33">
        <f t="shared" si="195"/>
        <v>3</v>
      </c>
      <c r="G317" s="25"/>
      <c r="H317" s="45"/>
      <c r="I317" s="26"/>
      <c r="J317" s="32"/>
      <c r="K317" s="33">
        <f t="shared" si="196"/>
        <v>0</v>
      </c>
      <c r="L317" s="11">
        <f t="shared" si="197"/>
        <v>3</v>
      </c>
      <c r="M317" s="85">
        <v>45180</v>
      </c>
      <c r="N317" s="50" t="s">
        <v>28</v>
      </c>
      <c r="O317" s="25"/>
      <c r="P317" s="45"/>
      <c r="Q317" s="26">
        <v>5</v>
      </c>
      <c r="R317" s="32"/>
      <c r="S317" s="33">
        <f t="shared" si="198"/>
        <v>5</v>
      </c>
      <c r="T317" s="25"/>
      <c r="U317" s="45"/>
      <c r="V317" s="26"/>
      <c r="W317" s="32"/>
      <c r="X317" s="33">
        <f t="shared" si="199"/>
        <v>0</v>
      </c>
      <c r="Y317" s="11">
        <f t="shared" si="200"/>
        <v>5</v>
      </c>
      <c r="Z317" s="115">
        <v>45190</v>
      </c>
    </row>
    <row r="318" spans="1:26" x14ac:dyDescent="0.15">
      <c r="A318" s="15" t="s">
        <v>276</v>
      </c>
      <c r="B318" s="25"/>
      <c r="C318" s="45"/>
      <c r="D318" s="26"/>
      <c r="E318" s="32"/>
      <c r="F318" s="33">
        <f t="shared" si="195"/>
        <v>0</v>
      </c>
      <c r="G318" s="25"/>
      <c r="H318" s="45"/>
      <c r="I318" s="26">
        <v>1</v>
      </c>
      <c r="J318" s="32"/>
      <c r="K318" s="33">
        <f t="shared" si="196"/>
        <v>1</v>
      </c>
      <c r="L318" s="11">
        <f t="shared" si="197"/>
        <v>1</v>
      </c>
      <c r="M318" s="85">
        <v>45181</v>
      </c>
      <c r="N318" s="50"/>
      <c r="O318" s="25"/>
      <c r="P318" s="45"/>
      <c r="Q318" s="26"/>
      <c r="R318" s="32"/>
      <c r="S318" s="33">
        <f t="shared" si="198"/>
        <v>0</v>
      </c>
      <c r="T318" s="25"/>
      <c r="U318" s="45"/>
      <c r="V318" s="26"/>
      <c r="W318" s="32"/>
      <c r="X318" s="33">
        <f t="shared" si="199"/>
        <v>0</v>
      </c>
      <c r="Y318" s="11">
        <f t="shared" si="200"/>
        <v>0</v>
      </c>
    </row>
    <row r="319" spans="1:26" x14ac:dyDescent="0.15">
      <c r="A319" s="70" t="s">
        <v>30</v>
      </c>
      <c r="B319" s="25"/>
      <c r="C319" s="45">
        <v>2</v>
      </c>
      <c r="D319" s="26">
        <v>3</v>
      </c>
      <c r="E319" s="32"/>
      <c r="F319" s="33">
        <f t="shared" si="195"/>
        <v>5</v>
      </c>
      <c r="G319" s="25"/>
      <c r="H319" s="45">
        <v>1</v>
      </c>
      <c r="I319" s="26"/>
      <c r="J319" s="32"/>
      <c r="K319" s="33">
        <f t="shared" si="196"/>
        <v>1</v>
      </c>
      <c r="L319" s="11">
        <f t="shared" si="197"/>
        <v>6</v>
      </c>
      <c r="M319" s="115">
        <v>45180</v>
      </c>
      <c r="N319" s="50"/>
      <c r="O319" s="25"/>
      <c r="P319" s="45"/>
      <c r="Q319" s="26"/>
      <c r="R319" s="32"/>
      <c r="S319" s="33">
        <f t="shared" si="198"/>
        <v>0</v>
      </c>
      <c r="T319" s="25"/>
      <c r="U319" s="45"/>
      <c r="V319" s="26"/>
      <c r="W319" s="32"/>
      <c r="X319" s="33">
        <f t="shared" si="199"/>
        <v>0</v>
      </c>
      <c r="Y319" s="11">
        <f t="shared" si="200"/>
        <v>0</v>
      </c>
    </row>
    <row r="320" spans="1:26" x14ac:dyDescent="0.15">
      <c r="A320" s="15" t="s">
        <v>277</v>
      </c>
      <c r="B320" s="25"/>
      <c r="C320" s="45"/>
      <c r="D320" s="26"/>
      <c r="E320" s="32">
        <v>5</v>
      </c>
      <c r="F320" s="33">
        <f t="shared" si="195"/>
        <v>5</v>
      </c>
      <c r="G320" s="25"/>
      <c r="H320" s="45"/>
      <c r="I320" s="26"/>
      <c r="J320" s="32"/>
      <c r="K320" s="33">
        <f t="shared" si="196"/>
        <v>0</v>
      </c>
      <c r="L320" s="11">
        <f t="shared" si="197"/>
        <v>5</v>
      </c>
      <c r="M320" s="85">
        <v>45182</v>
      </c>
      <c r="N320" s="50"/>
      <c r="O320" s="25"/>
      <c r="P320" s="45"/>
      <c r="Q320" s="26"/>
      <c r="R320" s="32"/>
      <c r="S320" s="33">
        <f t="shared" ref="S320:S339" si="201">SUM(O320:R320)</f>
        <v>0</v>
      </c>
      <c r="T320" s="25"/>
      <c r="U320" s="45"/>
      <c r="V320" s="26"/>
      <c r="W320" s="32"/>
      <c r="X320" s="33">
        <f t="shared" ref="X320:X339" si="202">SUM(T320:W320)</f>
        <v>0</v>
      </c>
      <c r="Y320" s="11">
        <f t="shared" si="185"/>
        <v>0</v>
      </c>
    </row>
    <row r="321" spans="1:25" x14ac:dyDescent="0.15">
      <c r="A321" s="15" t="s">
        <v>278</v>
      </c>
      <c r="B321" s="25"/>
      <c r="C321" s="45">
        <v>1</v>
      </c>
      <c r="D321" s="26"/>
      <c r="E321" s="32"/>
      <c r="F321" s="33">
        <f t="shared" si="195"/>
        <v>1</v>
      </c>
      <c r="G321" s="25"/>
      <c r="H321" s="45">
        <v>2</v>
      </c>
      <c r="I321" s="26"/>
      <c r="J321" s="32"/>
      <c r="K321" s="33">
        <f t="shared" si="196"/>
        <v>2</v>
      </c>
      <c r="L321" s="11">
        <f t="shared" si="197"/>
        <v>3</v>
      </c>
      <c r="M321" s="85">
        <v>45183</v>
      </c>
      <c r="N321" s="50"/>
      <c r="O321" s="25"/>
      <c r="P321" s="45"/>
      <c r="Q321" s="26"/>
      <c r="R321" s="32"/>
      <c r="S321" s="33">
        <f t="shared" si="201"/>
        <v>0</v>
      </c>
      <c r="T321" s="25"/>
      <c r="U321" s="45"/>
      <c r="V321" s="26"/>
      <c r="W321" s="32"/>
      <c r="X321" s="33">
        <f t="shared" si="202"/>
        <v>0</v>
      </c>
      <c r="Y321" s="11">
        <f t="shared" si="185"/>
        <v>0</v>
      </c>
    </row>
    <row r="322" spans="1:25" x14ac:dyDescent="0.15">
      <c r="A322" s="12" t="s">
        <v>279</v>
      </c>
      <c r="B322" s="25"/>
      <c r="C322" s="45">
        <v>2</v>
      </c>
      <c r="D322" s="26">
        <v>1</v>
      </c>
      <c r="E322" s="32"/>
      <c r="F322" s="33">
        <f t="shared" si="195"/>
        <v>3</v>
      </c>
      <c r="G322" s="25"/>
      <c r="H322" s="45"/>
      <c r="I322" s="26"/>
      <c r="J322" s="32"/>
      <c r="K322" s="33">
        <f t="shared" si="196"/>
        <v>0</v>
      </c>
      <c r="L322" s="11">
        <f t="shared" si="197"/>
        <v>3</v>
      </c>
      <c r="M322" s="85">
        <v>45188</v>
      </c>
      <c r="N322" s="50"/>
      <c r="O322" s="25"/>
      <c r="P322" s="45"/>
      <c r="Q322" s="26"/>
      <c r="R322" s="32"/>
      <c r="S322" s="33">
        <f t="shared" si="201"/>
        <v>0</v>
      </c>
      <c r="T322" s="25"/>
      <c r="U322" s="45"/>
      <c r="V322" s="26"/>
      <c r="W322" s="32"/>
      <c r="X322" s="33">
        <f t="shared" si="202"/>
        <v>0</v>
      </c>
      <c r="Y322" s="11">
        <f t="shared" si="185"/>
        <v>0</v>
      </c>
    </row>
    <row r="323" spans="1:25" x14ac:dyDescent="0.15">
      <c r="A323" s="15" t="s">
        <v>280</v>
      </c>
      <c r="B323" s="25">
        <v>1</v>
      </c>
      <c r="C323" s="45">
        <v>1</v>
      </c>
      <c r="D323" s="26"/>
      <c r="E323" s="32"/>
      <c r="F323" s="33">
        <f t="shared" si="195"/>
        <v>2</v>
      </c>
      <c r="G323" s="25">
        <v>1</v>
      </c>
      <c r="H323" s="45">
        <v>1</v>
      </c>
      <c r="I323" s="26"/>
      <c r="J323" s="32"/>
      <c r="K323" s="33">
        <f t="shared" si="196"/>
        <v>2</v>
      </c>
      <c r="L323" s="11">
        <f t="shared" si="197"/>
        <v>4</v>
      </c>
      <c r="M323" s="85">
        <v>45188</v>
      </c>
      <c r="N323" s="50"/>
      <c r="O323" s="25"/>
      <c r="P323" s="45"/>
      <c r="Q323" s="26"/>
      <c r="R323" s="32"/>
      <c r="S323" s="33">
        <f t="shared" si="201"/>
        <v>0</v>
      </c>
      <c r="T323" s="25"/>
      <c r="U323" s="45"/>
      <c r="V323" s="26"/>
      <c r="W323" s="32"/>
      <c r="X323" s="33">
        <f t="shared" si="202"/>
        <v>0</v>
      </c>
      <c r="Y323" s="11">
        <f t="shared" si="185"/>
        <v>0</v>
      </c>
    </row>
    <row r="324" spans="1:25" x14ac:dyDescent="0.15">
      <c r="A324" s="12" t="s">
        <v>281</v>
      </c>
      <c r="B324" s="25">
        <v>4</v>
      </c>
      <c r="C324" s="45"/>
      <c r="D324" s="26"/>
      <c r="E324" s="32"/>
      <c r="F324" s="33">
        <f t="shared" si="195"/>
        <v>4</v>
      </c>
      <c r="G324" s="25"/>
      <c r="H324" s="45"/>
      <c r="I324" s="26"/>
      <c r="J324" s="32"/>
      <c r="K324" s="33">
        <f t="shared" si="196"/>
        <v>0</v>
      </c>
      <c r="L324" s="11">
        <f t="shared" si="197"/>
        <v>4</v>
      </c>
      <c r="M324" s="85">
        <v>45188</v>
      </c>
      <c r="N324" s="50"/>
      <c r="O324" s="25"/>
      <c r="P324" s="45"/>
      <c r="Q324" s="26"/>
      <c r="R324" s="32"/>
      <c r="S324" s="33">
        <f t="shared" si="201"/>
        <v>0</v>
      </c>
      <c r="T324" s="25"/>
      <c r="U324" s="45"/>
      <c r="V324" s="26"/>
      <c r="W324" s="32"/>
      <c r="X324" s="33">
        <f t="shared" si="202"/>
        <v>0</v>
      </c>
      <c r="Y324" s="11">
        <f t="shared" si="185"/>
        <v>0</v>
      </c>
    </row>
    <row r="325" spans="1:25" x14ac:dyDescent="0.15">
      <c r="A325" s="15" t="s">
        <v>282</v>
      </c>
      <c r="B325" s="25"/>
      <c r="C325" s="45"/>
      <c r="D325" s="26"/>
      <c r="E325" s="32"/>
      <c r="F325" s="33">
        <f t="shared" si="195"/>
        <v>0</v>
      </c>
      <c r="G325" s="25"/>
      <c r="H325" s="45">
        <v>5</v>
      </c>
      <c r="I325" s="26"/>
      <c r="J325" s="32"/>
      <c r="K325" s="33">
        <f t="shared" si="196"/>
        <v>5</v>
      </c>
      <c r="L325" s="11">
        <f t="shared" si="197"/>
        <v>5</v>
      </c>
      <c r="M325" s="85">
        <v>45191</v>
      </c>
      <c r="N325" s="50"/>
      <c r="O325" s="25"/>
      <c r="P325" s="45"/>
      <c r="Q325" s="26"/>
      <c r="R325" s="32"/>
      <c r="S325" s="33">
        <f t="shared" si="201"/>
        <v>0</v>
      </c>
      <c r="T325" s="25"/>
      <c r="U325" s="45"/>
      <c r="V325" s="26"/>
      <c r="W325" s="32"/>
      <c r="X325" s="33">
        <f t="shared" si="202"/>
        <v>0</v>
      </c>
      <c r="Y325" s="11">
        <f t="shared" si="185"/>
        <v>0</v>
      </c>
    </row>
    <row r="326" spans="1:25" x14ac:dyDescent="0.15">
      <c r="A326" s="15" t="s">
        <v>285</v>
      </c>
      <c r="B326" s="25"/>
      <c r="C326" s="45"/>
      <c r="D326" s="26"/>
      <c r="E326" s="32"/>
      <c r="F326" s="33">
        <f t="shared" ref="F326:F337" si="203">SUM(B326:E326)</f>
        <v>0</v>
      </c>
      <c r="G326" s="25"/>
      <c r="H326" s="45">
        <v>1</v>
      </c>
      <c r="I326" s="26"/>
      <c r="J326" s="32"/>
      <c r="K326" s="33">
        <f t="shared" ref="K326:K337" si="204">SUM(G326:J326)</f>
        <v>1</v>
      </c>
      <c r="L326" s="11">
        <f t="shared" si="186"/>
        <v>1</v>
      </c>
      <c r="M326" s="85">
        <v>45189</v>
      </c>
      <c r="N326" s="50"/>
      <c r="O326" s="25"/>
      <c r="P326" s="45"/>
      <c r="Q326" s="26"/>
      <c r="R326" s="32"/>
      <c r="S326" s="33">
        <f t="shared" si="201"/>
        <v>0</v>
      </c>
      <c r="T326" s="25"/>
      <c r="U326" s="45"/>
      <c r="V326" s="26"/>
      <c r="W326" s="32"/>
      <c r="X326" s="33">
        <f t="shared" si="202"/>
        <v>0</v>
      </c>
      <c r="Y326" s="11">
        <f t="shared" si="185"/>
        <v>0</v>
      </c>
    </row>
    <row r="327" spans="1:25" x14ac:dyDescent="0.15">
      <c r="A327" s="12" t="s">
        <v>286</v>
      </c>
      <c r="B327" s="25"/>
      <c r="C327" s="45"/>
      <c r="D327" s="26">
        <v>4</v>
      </c>
      <c r="E327" s="32"/>
      <c r="F327" s="33">
        <f t="shared" si="203"/>
        <v>4</v>
      </c>
      <c r="G327" s="25"/>
      <c r="H327" s="45"/>
      <c r="I327" s="26"/>
      <c r="J327" s="32"/>
      <c r="K327" s="33">
        <f t="shared" si="204"/>
        <v>0</v>
      </c>
      <c r="L327" s="11">
        <f t="shared" si="186"/>
        <v>4</v>
      </c>
      <c r="M327" s="85">
        <v>45189</v>
      </c>
      <c r="N327" s="50"/>
      <c r="O327" s="25"/>
      <c r="P327" s="45"/>
      <c r="Q327" s="26"/>
      <c r="R327" s="32"/>
      <c r="S327" s="33">
        <f t="shared" si="201"/>
        <v>0</v>
      </c>
      <c r="T327" s="25"/>
      <c r="U327" s="45"/>
      <c r="V327" s="26"/>
      <c r="W327" s="32"/>
      <c r="X327" s="33">
        <f t="shared" si="202"/>
        <v>0</v>
      </c>
      <c r="Y327" s="11">
        <f t="shared" si="185"/>
        <v>0</v>
      </c>
    </row>
    <row r="328" spans="1:25" x14ac:dyDescent="0.15">
      <c r="A328" s="70" t="s">
        <v>30</v>
      </c>
      <c r="B328" s="25"/>
      <c r="C328" s="45"/>
      <c r="D328" s="26"/>
      <c r="E328" s="32"/>
      <c r="F328" s="33">
        <f t="shared" si="203"/>
        <v>0</v>
      </c>
      <c r="G328" s="25"/>
      <c r="H328" s="45">
        <v>1</v>
      </c>
      <c r="I328" s="26">
        <v>1</v>
      </c>
      <c r="J328" s="32"/>
      <c r="K328" s="33">
        <f t="shared" si="204"/>
        <v>2</v>
      </c>
      <c r="L328" s="11">
        <f t="shared" si="186"/>
        <v>2</v>
      </c>
      <c r="M328" s="115">
        <v>45188</v>
      </c>
      <c r="N328" s="50"/>
      <c r="O328" s="25"/>
      <c r="P328" s="45"/>
      <c r="Q328" s="26"/>
      <c r="R328" s="32"/>
      <c r="S328" s="33">
        <f t="shared" si="201"/>
        <v>0</v>
      </c>
      <c r="T328" s="25"/>
      <c r="U328" s="45"/>
      <c r="V328" s="26"/>
      <c r="W328" s="32"/>
      <c r="X328" s="33">
        <f t="shared" si="202"/>
        <v>0</v>
      </c>
      <c r="Y328" s="11">
        <f t="shared" si="185"/>
        <v>0</v>
      </c>
    </row>
    <row r="329" spans="1:25" x14ac:dyDescent="0.15">
      <c r="A329" s="15" t="s">
        <v>287</v>
      </c>
      <c r="B329" s="25"/>
      <c r="C329" s="45"/>
      <c r="D329" s="26"/>
      <c r="E329" s="32"/>
      <c r="F329" s="33">
        <f t="shared" si="203"/>
        <v>0</v>
      </c>
      <c r="G329" s="25"/>
      <c r="H329" s="45"/>
      <c r="I329" s="26">
        <v>1</v>
      </c>
      <c r="J329" s="32"/>
      <c r="K329" s="33">
        <f t="shared" si="204"/>
        <v>1</v>
      </c>
      <c r="L329" s="11">
        <f t="shared" si="186"/>
        <v>1</v>
      </c>
      <c r="M329" s="85">
        <v>45190</v>
      </c>
      <c r="N329" s="50"/>
      <c r="O329" s="25"/>
      <c r="P329" s="45"/>
      <c r="Q329" s="26"/>
      <c r="R329" s="32"/>
      <c r="S329" s="33">
        <f t="shared" si="201"/>
        <v>0</v>
      </c>
      <c r="T329" s="25"/>
      <c r="U329" s="45"/>
      <c r="V329" s="26"/>
      <c r="W329" s="32"/>
      <c r="X329" s="33">
        <f t="shared" si="202"/>
        <v>0</v>
      </c>
      <c r="Y329" s="11">
        <f t="shared" si="185"/>
        <v>0</v>
      </c>
    </row>
    <row r="330" spans="1:25" x14ac:dyDescent="0.15">
      <c r="A330" s="70" t="s">
        <v>288</v>
      </c>
      <c r="B330" s="25"/>
      <c r="C330" s="45"/>
      <c r="D330" s="26">
        <v>-5</v>
      </c>
      <c r="E330" s="32"/>
      <c r="F330" s="33">
        <f t="shared" si="203"/>
        <v>-5</v>
      </c>
      <c r="G330" s="25"/>
      <c r="H330" s="45"/>
      <c r="I330" s="26"/>
      <c r="J330" s="32"/>
      <c r="K330" s="33">
        <f t="shared" si="204"/>
        <v>0</v>
      </c>
      <c r="L330" s="11">
        <f t="shared" si="186"/>
        <v>-5</v>
      </c>
      <c r="M330" s="85">
        <v>45190</v>
      </c>
      <c r="N330" s="50"/>
      <c r="O330" s="25"/>
      <c r="P330" s="45"/>
      <c r="Q330" s="26"/>
      <c r="R330" s="32"/>
      <c r="S330" s="33">
        <f t="shared" si="201"/>
        <v>0</v>
      </c>
      <c r="T330" s="25"/>
      <c r="U330" s="45"/>
      <c r="V330" s="26"/>
      <c r="W330" s="32"/>
      <c r="X330" s="33">
        <f t="shared" si="202"/>
        <v>0</v>
      </c>
      <c r="Y330" s="11">
        <f t="shared" si="185"/>
        <v>0</v>
      </c>
    </row>
    <row r="331" spans="1:25" x14ac:dyDescent="0.15">
      <c r="A331" s="15" t="s">
        <v>289</v>
      </c>
      <c r="B331" s="25"/>
      <c r="C331" s="45">
        <v>1</v>
      </c>
      <c r="D331" s="26">
        <v>1</v>
      </c>
      <c r="E331" s="32"/>
      <c r="F331" s="33">
        <f t="shared" si="203"/>
        <v>2</v>
      </c>
      <c r="G331" s="25"/>
      <c r="H331" s="45"/>
      <c r="I331" s="26"/>
      <c r="J331" s="32"/>
      <c r="K331" s="33">
        <f t="shared" si="204"/>
        <v>0</v>
      </c>
      <c r="L331" s="11">
        <f t="shared" si="186"/>
        <v>2</v>
      </c>
      <c r="M331" s="85">
        <v>45190</v>
      </c>
      <c r="N331" s="50"/>
      <c r="O331" s="25"/>
      <c r="P331" s="45"/>
      <c r="Q331" s="26"/>
      <c r="R331" s="32"/>
      <c r="S331" s="33">
        <f t="shared" si="201"/>
        <v>0</v>
      </c>
      <c r="T331" s="25"/>
      <c r="U331" s="45"/>
      <c r="V331" s="26"/>
      <c r="W331" s="32"/>
      <c r="X331" s="33">
        <f t="shared" si="202"/>
        <v>0</v>
      </c>
      <c r="Y331" s="11">
        <f t="shared" si="185"/>
        <v>0</v>
      </c>
    </row>
    <row r="332" spans="1:25" x14ac:dyDescent="0.15">
      <c r="A332" s="70" t="s">
        <v>290</v>
      </c>
      <c r="B332" s="25"/>
      <c r="C332" s="45"/>
      <c r="D332" s="26"/>
      <c r="E332" s="32">
        <v>-1</v>
      </c>
      <c r="F332" s="33">
        <f t="shared" si="203"/>
        <v>-1</v>
      </c>
      <c r="G332" s="25"/>
      <c r="H332" s="45"/>
      <c r="I332" s="26"/>
      <c r="J332" s="32"/>
      <c r="K332" s="33">
        <f t="shared" si="204"/>
        <v>0</v>
      </c>
      <c r="L332" s="11">
        <f t="shared" si="186"/>
        <v>-1</v>
      </c>
      <c r="M332" s="115">
        <v>45190</v>
      </c>
      <c r="N332" s="50"/>
      <c r="O332" s="25"/>
      <c r="P332" s="45"/>
      <c r="Q332" s="26"/>
      <c r="R332" s="32"/>
      <c r="S332" s="33">
        <f t="shared" si="201"/>
        <v>0</v>
      </c>
      <c r="T332" s="25"/>
      <c r="U332" s="45"/>
      <c r="V332" s="26"/>
      <c r="W332" s="32"/>
      <c r="X332" s="33">
        <f t="shared" si="202"/>
        <v>0</v>
      </c>
      <c r="Y332" s="11">
        <f t="shared" si="185"/>
        <v>0</v>
      </c>
    </row>
    <row r="333" spans="1:25" x14ac:dyDescent="0.15">
      <c r="A333" s="15" t="s">
        <v>291</v>
      </c>
      <c r="B333" s="25"/>
      <c r="C333" s="45"/>
      <c r="D333" s="26"/>
      <c r="E333" s="32"/>
      <c r="F333" s="33">
        <f t="shared" si="203"/>
        <v>0</v>
      </c>
      <c r="G333" s="25"/>
      <c r="H333" s="45">
        <v>1</v>
      </c>
      <c r="I333" s="26"/>
      <c r="J333" s="32"/>
      <c r="K333" s="33">
        <f t="shared" si="204"/>
        <v>1</v>
      </c>
      <c r="L333" s="11">
        <f t="shared" si="186"/>
        <v>1</v>
      </c>
      <c r="M333" s="85">
        <v>45194</v>
      </c>
      <c r="N333" s="12"/>
      <c r="O333" s="25"/>
      <c r="P333" s="45"/>
      <c r="Q333" s="26"/>
      <c r="R333" s="32"/>
      <c r="S333" s="33">
        <f t="shared" si="201"/>
        <v>0</v>
      </c>
      <c r="T333" s="25"/>
      <c r="U333" s="45"/>
      <c r="V333" s="26"/>
      <c r="W333" s="32"/>
      <c r="X333" s="33">
        <f t="shared" si="202"/>
        <v>0</v>
      </c>
      <c r="Y333" s="93">
        <f t="shared" si="185"/>
        <v>0</v>
      </c>
    </row>
    <row r="334" spans="1:25" x14ac:dyDescent="0.15">
      <c r="A334" s="70" t="s">
        <v>292</v>
      </c>
      <c r="B334" s="25">
        <v>1</v>
      </c>
      <c r="C334" s="45"/>
      <c r="D334" s="26"/>
      <c r="E334" s="32"/>
      <c r="F334" s="33">
        <f t="shared" si="203"/>
        <v>1</v>
      </c>
      <c r="G334" s="25"/>
      <c r="H334" s="45"/>
      <c r="I334" s="26"/>
      <c r="J334" s="32"/>
      <c r="K334" s="33">
        <f t="shared" si="204"/>
        <v>0</v>
      </c>
      <c r="L334" s="11">
        <f t="shared" si="186"/>
        <v>1</v>
      </c>
      <c r="M334" s="85">
        <v>45194</v>
      </c>
      <c r="N334" s="12"/>
      <c r="O334" s="25"/>
      <c r="P334" s="45"/>
      <c r="Q334" s="26"/>
      <c r="R334" s="32"/>
      <c r="S334" s="33">
        <f t="shared" si="201"/>
        <v>0</v>
      </c>
      <c r="T334" s="25"/>
      <c r="U334" s="45"/>
      <c r="V334" s="26"/>
      <c r="W334" s="32"/>
      <c r="X334" s="33">
        <f t="shared" si="202"/>
        <v>0</v>
      </c>
      <c r="Y334" s="93">
        <f t="shared" si="185"/>
        <v>0</v>
      </c>
    </row>
    <row r="335" spans="1:25" x14ac:dyDescent="0.15">
      <c r="A335" s="70" t="s">
        <v>293</v>
      </c>
      <c r="B335" s="25"/>
      <c r="C335" s="45">
        <v>1</v>
      </c>
      <c r="D335" s="26"/>
      <c r="E335" s="32"/>
      <c r="F335" s="33">
        <f t="shared" si="203"/>
        <v>1</v>
      </c>
      <c r="G335" s="25"/>
      <c r="H335" s="45"/>
      <c r="I335" s="26">
        <v>1</v>
      </c>
      <c r="J335" s="32"/>
      <c r="K335" s="33">
        <f t="shared" si="204"/>
        <v>1</v>
      </c>
      <c r="L335" s="11">
        <f t="shared" si="186"/>
        <v>2</v>
      </c>
      <c r="M335" s="85">
        <v>45192</v>
      </c>
      <c r="N335" s="50"/>
      <c r="O335" s="59"/>
      <c r="P335" s="60"/>
      <c r="Q335" s="61"/>
      <c r="R335" s="62"/>
      <c r="S335" s="63">
        <f t="shared" si="201"/>
        <v>0</v>
      </c>
      <c r="T335" s="59"/>
      <c r="U335" s="60"/>
      <c r="V335" s="61"/>
      <c r="W335" s="62"/>
      <c r="X335" s="63">
        <f t="shared" si="202"/>
        <v>0</v>
      </c>
      <c r="Y335" s="11">
        <f t="shared" si="185"/>
        <v>0</v>
      </c>
    </row>
    <row r="336" spans="1:25" x14ac:dyDescent="0.15">
      <c r="A336" s="70" t="s">
        <v>30</v>
      </c>
      <c r="B336" s="25"/>
      <c r="C336" s="45">
        <v>1</v>
      </c>
      <c r="D336" s="26"/>
      <c r="E336" s="32"/>
      <c r="F336" s="33">
        <f t="shared" si="203"/>
        <v>1</v>
      </c>
      <c r="G336" s="25">
        <v>1</v>
      </c>
      <c r="H336" s="45">
        <v>1</v>
      </c>
      <c r="I336" s="26"/>
      <c r="J336" s="32"/>
      <c r="K336" s="33">
        <f t="shared" si="204"/>
        <v>2</v>
      </c>
      <c r="L336" s="11">
        <f t="shared" si="186"/>
        <v>3</v>
      </c>
      <c r="M336" s="115">
        <v>45194</v>
      </c>
      <c r="N336" s="50"/>
      <c r="O336" s="59"/>
      <c r="P336" s="60"/>
      <c r="Q336" s="61"/>
      <c r="R336" s="62"/>
      <c r="S336" s="63">
        <f t="shared" ref="S336" si="205">SUM(O336:R336)</f>
        <v>0</v>
      </c>
      <c r="T336" s="59"/>
      <c r="U336" s="60"/>
      <c r="V336" s="61"/>
      <c r="W336" s="62"/>
      <c r="X336" s="63">
        <f t="shared" ref="X336" si="206">SUM(T336:W336)</f>
        <v>0</v>
      </c>
      <c r="Y336" s="11">
        <f t="shared" ref="Y336" si="207">S336+X336</f>
        <v>0</v>
      </c>
    </row>
    <row r="337" spans="1:26" x14ac:dyDescent="0.15">
      <c r="A337" s="13" t="s">
        <v>294</v>
      </c>
      <c r="B337" s="25"/>
      <c r="C337" s="45">
        <v>-1</v>
      </c>
      <c r="D337" s="26"/>
      <c r="E337" s="32"/>
      <c r="F337" s="33">
        <f t="shared" si="203"/>
        <v>-1</v>
      </c>
      <c r="G337" s="25"/>
      <c r="H337" s="45"/>
      <c r="I337" s="26">
        <v>-1</v>
      </c>
      <c r="J337" s="32"/>
      <c r="K337" s="33">
        <f t="shared" si="204"/>
        <v>-1</v>
      </c>
      <c r="L337" s="93">
        <f t="shared" si="186"/>
        <v>-2</v>
      </c>
      <c r="M337" s="115">
        <v>45194</v>
      </c>
      <c r="N337" s="50"/>
      <c r="O337" s="59"/>
      <c r="P337" s="60"/>
      <c r="Q337" s="61"/>
      <c r="R337" s="62"/>
      <c r="S337" s="63">
        <f t="shared" ref="S337:S338" si="208">SUM(O337:R337)</f>
        <v>0</v>
      </c>
      <c r="T337" s="59"/>
      <c r="U337" s="60"/>
      <c r="V337" s="61"/>
      <c r="W337" s="62"/>
      <c r="X337" s="63">
        <f t="shared" ref="X337:X338" si="209">SUM(T337:W337)</f>
        <v>0</v>
      </c>
      <c r="Y337" s="11">
        <f t="shared" ref="Y337:Y338" si="210">S337+X337</f>
        <v>0</v>
      </c>
    </row>
    <row r="338" spans="1:26" ht="14.25" thickBot="1" x14ac:dyDescent="0.2">
      <c r="A338" s="108" t="s">
        <v>295</v>
      </c>
      <c r="B338" s="55"/>
      <c r="C338" s="56">
        <v>5</v>
      </c>
      <c r="D338" s="57"/>
      <c r="E338" s="58"/>
      <c r="F338" s="109">
        <f>SUM(B338:E338)</f>
        <v>5</v>
      </c>
      <c r="G338" s="55"/>
      <c r="H338" s="56"/>
      <c r="I338" s="57"/>
      <c r="J338" s="58">
        <v>5</v>
      </c>
      <c r="K338" s="109">
        <f>SUM(G338:J338)</f>
        <v>5</v>
      </c>
      <c r="L338" s="107">
        <f>F338+K338</f>
        <v>10</v>
      </c>
      <c r="M338" s="85">
        <v>45196</v>
      </c>
      <c r="N338" s="74" t="s">
        <v>242</v>
      </c>
      <c r="O338" s="55"/>
      <c r="P338" s="56"/>
      <c r="Q338" s="57"/>
      <c r="R338" s="58"/>
      <c r="S338" s="109">
        <f t="shared" si="208"/>
        <v>0</v>
      </c>
      <c r="T338" s="55"/>
      <c r="U338" s="56"/>
      <c r="V338" s="57"/>
      <c r="W338" s="58"/>
      <c r="X338" s="109">
        <f t="shared" si="209"/>
        <v>0</v>
      </c>
      <c r="Y338" s="107">
        <f t="shared" si="210"/>
        <v>0</v>
      </c>
      <c r="Z338" s="159" t="s">
        <v>243</v>
      </c>
    </row>
    <row r="339" spans="1:26" ht="14.25" thickBot="1" x14ac:dyDescent="0.2">
      <c r="A339" s="72" t="s">
        <v>10</v>
      </c>
      <c r="B339" s="36">
        <f>SUM(B314:B338)</f>
        <v>6</v>
      </c>
      <c r="C339" s="46">
        <f>SUM(C314:C338)</f>
        <v>20</v>
      </c>
      <c r="D339" s="37">
        <f>SUM(D314:D338)</f>
        <v>4</v>
      </c>
      <c r="E339" s="38">
        <f>SUM(E314:E338)</f>
        <v>4</v>
      </c>
      <c r="F339" s="71">
        <f>SUM(B339:E339)</f>
        <v>34</v>
      </c>
      <c r="G339" s="36">
        <f>SUM(G314:G338)</f>
        <v>3</v>
      </c>
      <c r="H339" s="46">
        <f>SUM(H314:H338)</f>
        <v>17</v>
      </c>
      <c r="I339" s="37">
        <f>SUM(I314:I338)</f>
        <v>3</v>
      </c>
      <c r="J339" s="38">
        <f>SUM(J314:J338)</f>
        <v>7</v>
      </c>
      <c r="K339" s="71">
        <f>SUM(G339:J339)</f>
        <v>30</v>
      </c>
      <c r="L339" s="75">
        <f t="shared" si="186"/>
        <v>64</v>
      </c>
      <c r="N339" s="72" t="s">
        <v>10</v>
      </c>
      <c r="O339" s="36">
        <f>SUM(O314:O338)</f>
        <v>1</v>
      </c>
      <c r="P339" s="46">
        <f>SUM(P314:P338)</f>
        <v>6</v>
      </c>
      <c r="Q339" s="37">
        <f>SUM(Q314:Q338)</f>
        <v>5</v>
      </c>
      <c r="R339" s="38">
        <f>SUM(R314:R338)</f>
        <v>0</v>
      </c>
      <c r="S339" s="71">
        <f t="shared" si="201"/>
        <v>12</v>
      </c>
      <c r="T339" s="36">
        <f>SUM(T314:T338)</f>
        <v>1</v>
      </c>
      <c r="U339" s="46">
        <f>SUM(U314:U338)</f>
        <v>6</v>
      </c>
      <c r="V339" s="37">
        <f>SUM(V314:V338)</f>
        <v>0</v>
      </c>
      <c r="W339" s="38">
        <f>SUM(W314:W338)</f>
        <v>3</v>
      </c>
      <c r="X339" s="71">
        <f t="shared" si="202"/>
        <v>10</v>
      </c>
      <c r="Y339" s="75">
        <f t="shared" si="185"/>
        <v>22</v>
      </c>
    </row>
    <row r="340" spans="1:26" ht="14.25" thickBot="1" x14ac:dyDescent="0.2">
      <c r="A340" s="21" t="s">
        <v>11</v>
      </c>
      <c r="B340" s="39">
        <f t="shared" ref="B340:K340" si="211">B313-B339</f>
        <v>14</v>
      </c>
      <c r="C340" s="47">
        <f t="shared" si="211"/>
        <v>5</v>
      </c>
      <c r="D340" s="40">
        <f t="shared" si="211"/>
        <v>7</v>
      </c>
      <c r="E340" s="41">
        <f t="shared" si="211"/>
        <v>9</v>
      </c>
      <c r="F340" s="54">
        <f t="shared" si="211"/>
        <v>35</v>
      </c>
      <c r="G340" s="39">
        <f t="shared" si="211"/>
        <v>14</v>
      </c>
      <c r="H340" s="47">
        <f t="shared" si="211"/>
        <v>9</v>
      </c>
      <c r="I340" s="40">
        <f t="shared" si="211"/>
        <v>10</v>
      </c>
      <c r="J340" s="41">
        <f t="shared" si="211"/>
        <v>4</v>
      </c>
      <c r="K340" s="54">
        <f t="shared" si="211"/>
        <v>37</v>
      </c>
      <c r="L340" s="20">
        <f t="shared" si="186"/>
        <v>72</v>
      </c>
      <c r="N340" s="16" t="s">
        <v>11</v>
      </c>
      <c r="O340" s="39">
        <f t="shared" ref="O340:X340" si="212">O313-O339</f>
        <v>476</v>
      </c>
      <c r="P340" s="47">
        <f t="shared" si="212"/>
        <v>324</v>
      </c>
      <c r="Q340" s="40">
        <f t="shared" si="212"/>
        <v>306</v>
      </c>
      <c r="R340" s="41">
        <f t="shared" si="212"/>
        <v>194</v>
      </c>
      <c r="S340" s="54">
        <f t="shared" si="212"/>
        <v>1300</v>
      </c>
      <c r="T340" s="39">
        <f t="shared" si="212"/>
        <v>522</v>
      </c>
      <c r="U340" s="47">
        <f t="shared" si="212"/>
        <v>350</v>
      </c>
      <c r="V340" s="40">
        <f t="shared" si="212"/>
        <v>241</v>
      </c>
      <c r="W340" s="41">
        <f t="shared" si="212"/>
        <v>160</v>
      </c>
      <c r="X340" s="54">
        <f t="shared" si="212"/>
        <v>1273</v>
      </c>
      <c r="Y340" s="20">
        <f t="shared" si="185"/>
        <v>2573</v>
      </c>
    </row>
    <row r="343" spans="1:26" ht="19.5" thickBot="1" x14ac:dyDescent="0.25">
      <c r="A343" s="2" t="s">
        <v>26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27</v>
      </c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6" ht="14.25" thickBot="1" x14ac:dyDescent="0.2">
      <c r="A344" s="5" t="s">
        <v>0</v>
      </c>
      <c r="B344" s="228" t="s">
        <v>19</v>
      </c>
      <c r="C344" s="229"/>
      <c r="D344" s="229"/>
      <c r="E344" s="229"/>
      <c r="F344" s="230"/>
      <c r="G344" s="231" t="s">
        <v>18</v>
      </c>
      <c r="H344" s="232"/>
      <c r="I344" s="232"/>
      <c r="J344" s="232"/>
      <c r="K344" s="233"/>
      <c r="L344" s="234" t="s">
        <v>1</v>
      </c>
      <c r="N344" s="5" t="s">
        <v>0</v>
      </c>
      <c r="O344" s="228" t="s">
        <v>19</v>
      </c>
      <c r="P344" s="229"/>
      <c r="Q344" s="229"/>
      <c r="R344" s="229"/>
      <c r="S344" s="230"/>
      <c r="T344" s="231" t="s">
        <v>18</v>
      </c>
      <c r="U344" s="232"/>
      <c r="V344" s="232"/>
      <c r="W344" s="232"/>
      <c r="X344" s="233"/>
      <c r="Y344" s="73" t="s">
        <v>1</v>
      </c>
    </row>
    <row r="345" spans="1:26" ht="14.25" thickBot="1" x14ac:dyDescent="0.2">
      <c r="A345" s="5" t="s">
        <v>2</v>
      </c>
      <c r="B345" s="3" t="s">
        <v>12</v>
      </c>
      <c r="C345" s="42" t="s">
        <v>13</v>
      </c>
      <c r="D345" s="4" t="s">
        <v>14</v>
      </c>
      <c r="E345" s="22" t="s">
        <v>15</v>
      </c>
      <c r="F345" s="30" t="s">
        <v>3</v>
      </c>
      <c r="G345" s="3" t="s">
        <v>12</v>
      </c>
      <c r="H345" s="42" t="s">
        <v>13</v>
      </c>
      <c r="I345" s="4" t="s">
        <v>14</v>
      </c>
      <c r="J345" s="22" t="s">
        <v>15</v>
      </c>
      <c r="K345" s="30" t="s">
        <v>3</v>
      </c>
      <c r="L345" s="235"/>
      <c r="N345" s="5" t="s">
        <v>2</v>
      </c>
      <c r="O345" s="64" t="s">
        <v>12</v>
      </c>
      <c r="P345" s="65" t="s">
        <v>13</v>
      </c>
      <c r="Q345" s="66" t="s">
        <v>14</v>
      </c>
      <c r="R345" s="67" t="s">
        <v>15</v>
      </c>
      <c r="S345" s="30" t="s">
        <v>3</v>
      </c>
      <c r="T345" s="3" t="s">
        <v>12</v>
      </c>
      <c r="U345" s="42" t="s">
        <v>13</v>
      </c>
      <c r="V345" s="4" t="s">
        <v>14</v>
      </c>
      <c r="W345" s="22" t="s">
        <v>15</v>
      </c>
      <c r="X345" s="30" t="s">
        <v>3</v>
      </c>
      <c r="Y345" s="74"/>
    </row>
    <row r="346" spans="1:26" ht="14.25" thickBot="1" x14ac:dyDescent="0.2">
      <c r="A346" s="21" t="s">
        <v>16</v>
      </c>
      <c r="B346" s="39">
        <f>B340</f>
        <v>14</v>
      </c>
      <c r="C346" s="40">
        <f>C340</f>
        <v>5</v>
      </c>
      <c r="D346" s="40">
        <f>D340</f>
        <v>7</v>
      </c>
      <c r="E346" s="41">
        <f>E340</f>
        <v>9</v>
      </c>
      <c r="F346" s="122">
        <f>SUM(B346:E346)</f>
        <v>35</v>
      </c>
      <c r="G346" s="39">
        <f>G340</f>
        <v>14</v>
      </c>
      <c r="H346" s="40">
        <f>H340</f>
        <v>9</v>
      </c>
      <c r="I346" s="40">
        <f>I340</f>
        <v>10</v>
      </c>
      <c r="J346" s="41">
        <f>J340</f>
        <v>4</v>
      </c>
      <c r="K346" s="123">
        <f>SUM(G346:J346)</f>
        <v>37</v>
      </c>
      <c r="L346" s="20">
        <f>F346+K346</f>
        <v>72</v>
      </c>
      <c r="N346" s="21" t="s">
        <v>16</v>
      </c>
      <c r="O346" s="39">
        <f>O340</f>
        <v>476</v>
      </c>
      <c r="P346" s="40">
        <f>P340</f>
        <v>324</v>
      </c>
      <c r="Q346" s="40">
        <f t="shared" ref="Q346:R346" si="213">Q340</f>
        <v>306</v>
      </c>
      <c r="R346" s="88">
        <f t="shared" si="213"/>
        <v>194</v>
      </c>
      <c r="S346" s="123">
        <f>SUM(O346:R346)</f>
        <v>1300</v>
      </c>
      <c r="T346" s="39">
        <f>T340</f>
        <v>522</v>
      </c>
      <c r="U346" s="40">
        <f>U340</f>
        <v>350</v>
      </c>
      <c r="V346" s="40">
        <f>V340</f>
        <v>241</v>
      </c>
      <c r="W346" s="41">
        <f>W340</f>
        <v>160</v>
      </c>
      <c r="X346" s="123">
        <f>SUM(T346:W346)</f>
        <v>1273</v>
      </c>
      <c r="Y346" s="20">
        <f t="shared" ref="Y346:Y348" si="214">S346+X346</f>
        <v>2573</v>
      </c>
    </row>
    <row r="347" spans="1:26" x14ac:dyDescent="0.15">
      <c r="A347" s="70" t="s">
        <v>5</v>
      </c>
      <c r="B347" s="6"/>
      <c r="C347" s="29">
        <v>5</v>
      </c>
      <c r="D347" s="7">
        <v>5</v>
      </c>
      <c r="E347" s="8"/>
      <c r="F347" s="9">
        <f>SUM(B347:E347)</f>
        <v>10</v>
      </c>
      <c r="G347" s="29"/>
      <c r="H347" s="29"/>
      <c r="I347" s="7"/>
      <c r="J347" s="8"/>
      <c r="K347" s="9">
        <f>SUM(G347:J347)</f>
        <v>0</v>
      </c>
      <c r="L347" s="11">
        <f t="shared" ref="L347:L378" si="215">F347+K347</f>
        <v>10</v>
      </c>
      <c r="M347" s="85">
        <v>45195</v>
      </c>
      <c r="N347" s="70" t="s">
        <v>301</v>
      </c>
      <c r="O347" s="59">
        <v>12</v>
      </c>
      <c r="P347" s="60">
        <v>3</v>
      </c>
      <c r="Q347" s="61">
        <v>1</v>
      </c>
      <c r="R347" s="62">
        <v>2</v>
      </c>
      <c r="S347" s="120">
        <f>SUM(O347:R347)</f>
        <v>18</v>
      </c>
      <c r="T347" s="60">
        <v>21</v>
      </c>
      <c r="U347" s="60">
        <v>14</v>
      </c>
      <c r="V347" s="61">
        <v>7</v>
      </c>
      <c r="W347" s="124">
        <v>3</v>
      </c>
      <c r="X347" s="121">
        <f>SUM(T347:W347)</f>
        <v>45</v>
      </c>
      <c r="Y347" s="11">
        <f t="shared" si="214"/>
        <v>63</v>
      </c>
      <c r="Z347" s="85">
        <v>45205</v>
      </c>
    </row>
    <row r="348" spans="1:26" x14ac:dyDescent="0.15">
      <c r="A348" s="70" t="s">
        <v>65</v>
      </c>
      <c r="B348" s="6"/>
      <c r="C348" s="29">
        <v>1</v>
      </c>
      <c r="D348" s="7"/>
      <c r="E348" s="8"/>
      <c r="F348" s="9">
        <f t="shared" ref="F348:F350" si="216">SUM(B348:E348)</f>
        <v>1</v>
      </c>
      <c r="G348" s="29"/>
      <c r="H348" s="29">
        <v>1</v>
      </c>
      <c r="I348" s="7"/>
      <c r="J348" s="8"/>
      <c r="K348" s="9">
        <f t="shared" ref="K348:K350" si="217">SUM(G348:J348)</f>
        <v>1</v>
      </c>
      <c r="L348" s="11">
        <f t="shared" si="215"/>
        <v>2</v>
      </c>
      <c r="M348" s="85">
        <v>45196</v>
      </c>
      <c r="N348" s="70" t="s">
        <v>301</v>
      </c>
      <c r="O348" s="25">
        <v>4</v>
      </c>
      <c r="P348" s="45">
        <v>7</v>
      </c>
      <c r="Q348" s="26">
        <v>1</v>
      </c>
      <c r="R348" s="32">
        <v>9</v>
      </c>
      <c r="S348" s="68">
        <f>SUM(O348:R348)</f>
        <v>21</v>
      </c>
      <c r="T348" s="45">
        <v>7</v>
      </c>
      <c r="U348" s="45">
        <v>12</v>
      </c>
      <c r="V348" s="26">
        <v>4</v>
      </c>
      <c r="W348" s="48">
        <v>1</v>
      </c>
      <c r="X348" s="9">
        <f>SUM(T348:W348)</f>
        <v>24</v>
      </c>
      <c r="Y348" s="11">
        <f t="shared" si="214"/>
        <v>45</v>
      </c>
      <c r="Z348" s="85">
        <v>45205</v>
      </c>
    </row>
    <row r="349" spans="1:26" x14ac:dyDescent="0.15">
      <c r="A349" s="70" t="s">
        <v>7</v>
      </c>
      <c r="B349" s="6"/>
      <c r="C349" s="29"/>
      <c r="D349" s="7"/>
      <c r="E349" s="8"/>
      <c r="F349" s="9">
        <f t="shared" si="216"/>
        <v>0</v>
      </c>
      <c r="G349" s="29"/>
      <c r="H349" s="29"/>
      <c r="I349" s="7"/>
      <c r="J349" s="8">
        <v>5</v>
      </c>
      <c r="K349" s="9">
        <f t="shared" si="217"/>
        <v>5</v>
      </c>
      <c r="L349" s="11">
        <f t="shared" si="215"/>
        <v>5</v>
      </c>
      <c r="M349" s="85">
        <v>45212</v>
      </c>
      <c r="N349" s="13" t="s">
        <v>6</v>
      </c>
      <c r="O349" s="25"/>
      <c r="P349" s="45"/>
      <c r="Q349" s="26"/>
      <c r="R349" s="32"/>
      <c r="S349" s="68">
        <f>SUM(O349:R349)</f>
        <v>0</v>
      </c>
      <c r="T349" s="45"/>
      <c r="U349" s="45"/>
      <c r="V349" s="26"/>
      <c r="W349" s="48"/>
      <c r="X349" s="9">
        <f>SUM(T349:W349)</f>
        <v>0</v>
      </c>
      <c r="Y349" s="11">
        <f t="shared" ref="Y349:Y378" si="218">S349+X349</f>
        <v>0</v>
      </c>
    </row>
    <row r="350" spans="1:26" ht="14.25" thickBot="1" x14ac:dyDescent="0.2">
      <c r="A350" s="70" t="s">
        <v>8</v>
      </c>
      <c r="B350" s="125"/>
      <c r="C350" s="126"/>
      <c r="D350" s="127"/>
      <c r="E350" s="128">
        <v>5</v>
      </c>
      <c r="F350" s="129">
        <f t="shared" si="216"/>
        <v>5</v>
      </c>
      <c r="G350" s="126"/>
      <c r="H350" s="126">
        <v>5</v>
      </c>
      <c r="I350" s="127">
        <v>5</v>
      </c>
      <c r="J350" s="128"/>
      <c r="K350" s="129">
        <f t="shared" si="217"/>
        <v>10</v>
      </c>
      <c r="L350" s="14">
        <f t="shared" si="215"/>
        <v>15</v>
      </c>
      <c r="M350" s="85">
        <v>45215</v>
      </c>
      <c r="N350" s="13" t="s">
        <v>7</v>
      </c>
      <c r="O350" s="55"/>
      <c r="P350" s="56"/>
      <c r="Q350" s="57"/>
      <c r="R350" s="58"/>
      <c r="S350" s="69">
        <f>SUM(O350:R350)</f>
        <v>0</v>
      </c>
      <c r="T350" s="45"/>
      <c r="U350" s="45"/>
      <c r="V350" s="26"/>
      <c r="W350" s="48"/>
      <c r="X350" s="10">
        <f>SUM(T350:W350)</f>
        <v>0</v>
      </c>
      <c r="Y350" s="14">
        <f t="shared" si="218"/>
        <v>0</v>
      </c>
    </row>
    <row r="351" spans="1:26" ht="14.25" thickBot="1" x14ac:dyDescent="0.2">
      <c r="A351" s="21" t="s">
        <v>9</v>
      </c>
      <c r="B351" s="130">
        <f t="shared" ref="B351:K351" si="219">SUM(B346:B350)</f>
        <v>14</v>
      </c>
      <c r="C351" s="131">
        <f t="shared" si="219"/>
        <v>11</v>
      </c>
      <c r="D351" s="132">
        <f t="shared" si="219"/>
        <v>12</v>
      </c>
      <c r="E351" s="133">
        <f t="shared" si="219"/>
        <v>14</v>
      </c>
      <c r="F351" s="123">
        <f t="shared" si="219"/>
        <v>51</v>
      </c>
      <c r="G351" s="130">
        <f t="shared" si="219"/>
        <v>14</v>
      </c>
      <c r="H351" s="131">
        <f t="shared" si="219"/>
        <v>15</v>
      </c>
      <c r="I351" s="132">
        <f t="shared" si="219"/>
        <v>15</v>
      </c>
      <c r="J351" s="133">
        <f t="shared" si="219"/>
        <v>9</v>
      </c>
      <c r="K351" s="123">
        <f t="shared" si="219"/>
        <v>53</v>
      </c>
      <c r="L351" s="20">
        <f t="shared" si="215"/>
        <v>104</v>
      </c>
      <c r="N351" s="16" t="s">
        <v>9</v>
      </c>
      <c r="O351" s="39">
        <f t="shared" ref="O351:X351" si="220">SUM(O346:O350)</f>
        <v>492</v>
      </c>
      <c r="P351" s="47">
        <f t="shared" si="220"/>
        <v>334</v>
      </c>
      <c r="Q351" s="40">
        <f t="shared" si="220"/>
        <v>308</v>
      </c>
      <c r="R351" s="88">
        <f t="shared" si="220"/>
        <v>205</v>
      </c>
      <c r="S351" s="89">
        <f t="shared" si="220"/>
        <v>1339</v>
      </c>
      <c r="T351" s="39">
        <f t="shared" si="220"/>
        <v>550</v>
      </c>
      <c r="U351" s="47">
        <f t="shared" si="220"/>
        <v>376</v>
      </c>
      <c r="V351" s="40">
        <f t="shared" si="220"/>
        <v>252</v>
      </c>
      <c r="W351" s="88">
        <f t="shared" si="220"/>
        <v>164</v>
      </c>
      <c r="X351" s="89">
        <f t="shared" si="220"/>
        <v>1342</v>
      </c>
      <c r="Y351" s="49">
        <f t="shared" si="218"/>
        <v>2681</v>
      </c>
    </row>
    <row r="352" spans="1:26" x14ac:dyDescent="0.15">
      <c r="A352" s="15" t="s">
        <v>297</v>
      </c>
      <c r="B352" s="59"/>
      <c r="C352" s="60"/>
      <c r="D352" s="61">
        <v>1</v>
      </c>
      <c r="E352" s="62"/>
      <c r="F352" s="63">
        <f t="shared" ref="F352:F375" si="221">SUM(B352:E352)</f>
        <v>1</v>
      </c>
      <c r="G352" s="59"/>
      <c r="H352" s="60"/>
      <c r="I352" s="61">
        <v>1</v>
      </c>
      <c r="J352" s="62"/>
      <c r="K352" s="63">
        <f t="shared" ref="K352:K375" si="222">SUM(G352:J352)</f>
        <v>1</v>
      </c>
      <c r="L352" s="11">
        <f t="shared" si="215"/>
        <v>2</v>
      </c>
      <c r="M352" s="85">
        <v>45196</v>
      </c>
      <c r="N352" s="50" t="s">
        <v>296</v>
      </c>
      <c r="O352" s="25"/>
      <c r="P352" s="45">
        <v>5</v>
      </c>
      <c r="Q352" s="26">
        <v>5</v>
      </c>
      <c r="R352" s="32"/>
      <c r="S352" s="33">
        <f t="shared" ref="S352:S377" si="223">SUM(O352:R352)</f>
        <v>10</v>
      </c>
      <c r="T352" s="25"/>
      <c r="U352" s="45"/>
      <c r="V352" s="26"/>
      <c r="W352" s="32"/>
      <c r="X352" s="33">
        <f t="shared" ref="X352:X377" si="224">SUM(T352:W352)</f>
        <v>0</v>
      </c>
      <c r="Y352" s="11">
        <f t="shared" si="218"/>
        <v>10</v>
      </c>
      <c r="Z352" s="85">
        <v>45195</v>
      </c>
    </row>
    <row r="353" spans="1:27" x14ac:dyDescent="0.15">
      <c r="A353" s="70" t="s">
        <v>298</v>
      </c>
      <c r="B353" s="25"/>
      <c r="C353" s="45">
        <v>-1</v>
      </c>
      <c r="D353" s="26"/>
      <c r="E353" s="32"/>
      <c r="F353" s="33">
        <f t="shared" si="221"/>
        <v>-1</v>
      </c>
      <c r="G353" s="25"/>
      <c r="H353" s="45"/>
      <c r="I353" s="26"/>
      <c r="J353" s="32"/>
      <c r="K353" s="33">
        <f t="shared" si="222"/>
        <v>0</v>
      </c>
      <c r="L353" s="11">
        <f t="shared" si="215"/>
        <v>-1</v>
      </c>
      <c r="M353" s="115">
        <v>45195</v>
      </c>
      <c r="N353" s="12" t="s">
        <v>299</v>
      </c>
      <c r="O353" s="25"/>
      <c r="P353" s="45"/>
      <c r="Q353" s="26"/>
      <c r="R353" s="32"/>
      <c r="S353" s="33">
        <f t="shared" si="223"/>
        <v>0</v>
      </c>
      <c r="T353" s="25"/>
      <c r="U353" s="45">
        <v>1</v>
      </c>
      <c r="V353" s="26"/>
      <c r="W353" s="32"/>
      <c r="X353" s="33">
        <f t="shared" si="224"/>
        <v>1</v>
      </c>
      <c r="Y353" s="11">
        <f t="shared" si="218"/>
        <v>1</v>
      </c>
      <c r="Z353" s="85">
        <v>45202</v>
      </c>
    </row>
    <row r="354" spans="1:27" x14ac:dyDescent="0.15">
      <c r="A354" s="70" t="s">
        <v>30</v>
      </c>
      <c r="B354" s="25">
        <v>1</v>
      </c>
      <c r="C354" s="45"/>
      <c r="D354" s="26"/>
      <c r="E354" s="32"/>
      <c r="F354" s="33">
        <f t="shared" si="221"/>
        <v>1</v>
      </c>
      <c r="G354" s="25"/>
      <c r="H354" s="45"/>
      <c r="I354" s="26"/>
      <c r="J354" s="32"/>
      <c r="K354" s="33">
        <f t="shared" si="222"/>
        <v>0</v>
      </c>
      <c r="L354" s="11">
        <f t="shared" si="215"/>
        <v>1</v>
      </c>
      <c r="M354" s="115">
        <v>45196</v>
      </c>
      <c r="N354" s="50" t="s">
        <v>302</v>
      </c>
      <c r="O354" s="25"/>
      <c r="P354" s="45">
        <v>4</v>
      </c>
      <c r="Q354" s="26"/>
      <c r="R354" s="32"/>
      <c r="S354" s="33">
        <f t="shared" si="223"/>
        <v>4</v>
      </c>
      <c r="T354" s="25"/>
      <c r="U354" s="45"/>
      <c r="V354" s="26"/>
      <c r="W354" s="32"/>
      <c r="X354" s="33">
        <f t="shared" si="224"/>
        <v>0</v>
      </c>
      <c r="Y354" s="11">
        <f t="shared" si="218"/>
        <v>4</v>
      </c>
      <c r="Z354" s="85">
        <v>45201</v>
      </c>
      <c r="AA354" s="51"/>
    </row>
    <row r="355" spans="1:27" x14ac:dyDescent="0.15">
      <c r="A355" s="70" t="s">
        <v>300</v>
      </c>
      <c r="B355" s="25"/>
      <c r="C355" s="45"/>
      <c r="D355" s="26"/>
      <c r="E355" s="32"/>
      <c r="F355" s="33">
        <f t="shared" si="221"/>
        <v>0</v>
      </c>
      <c r="G355" s="25"/>
      <c r="H355" s="45">
        <v>1</v>
      </c>
      <c r="I355" s="26"/>
      <c r="J355" s="32"/>
      <c r="K355" s="33">
        <f t="shared" si="222"/>
        <v>1</v>
      </c>
      <c r="L355" s="11">
        <f t="shared" si="215"/>
        <v>1</v>
      </c>
      <c r="M355" s="85">
        <v>45197</v>
      </c>
      <c r="N355" s="50" t="s">
        <v>304</v>
      </c>
      <c r="O355" s="25"/>
      <c r="P355" s="45"/>
      <c r="Q355" s="26"/>
      <c r="R355" s="32"/>
      <c r="S355" s="33">
        <f t="shared" si="223"/>
        <v>0</v>
      </c>
      <c r="T355" s="25">
        <v>5</v>
      </c>
      <c r="U355" s="45"/>
      <c r="V355" s="26"/>
      <c r="W355" s="32"/>
      <c r="X355" s="33">
        <f t="shared" si="224"/>
        <v>5</v>
      </c>
      <c r="Y355" s="11">
        <f t="shared" si="218"/>
        <v>5</v>
      </c>
      <c r="Z355" s="85">
        <v>45205</v>
      </c>
    </row>
    <row r="356" spans="1:27" x14ac:dyDescent="0.15">
      <c r="A356" s="70" t="s">
        <v>30</v>
      </c>
      <c r="B356" s="25"/>
      <c r="C356" s="45"/>
      <c r="D356" s="26"/>
      <c r="E356" s="32"/>
      <c r="F356" s="33">
        <f t="shared" si="221"/>
        <v>0</v>
      </c>
      <c r="G356" s="25"/>
      <c r="H356" s="45"/>
      <c r="I356" s="26">
        <v>2</v>
      </c>
      <c r="J356" s="32"/>
      <c r="K356" s="33">
        <f t="shared" si="222"/>
        <v>2</v>
      </c>
      <c r="L356" s="11">
        <f t="shared" si="215"/>
        <v>2</v>
      </c>
      <c r="M356" s="115">
        <v>45199</v>
      </c>
      <c r="N356" s="50" t="s">
        <v>305</v>
      </c>
      <c r="O356" s="25"/>
      <c r="P356" s="45"/>
      <c r="Q356" s="26"/>
      <c r="R356" s="32"/>
      <c r="S356" s="33">
        <f t="shared" si="223"/>
        <v>0</v>
      </c>
      <c r="T356" s="25"/>
      <c r="U356" s="45">
        <v>5</v>
      </c>
      <c r="V356" s="26"/>
      <c r="W356" s="32"/>
      <c r="X356" s="33">
        <f t="shared" si="224"/>
        <v>5</v>
      </c>
      <c r="Y356" s="11">
        <f t="shared" si="218"/>
        <v>5</v>
      </c>
      <c r="Z356" s="85">
        <v>45205</v>
      </c>
    </row>
    <row r="357" spans="1:27" x14ac:dyDescent="0.15">
      <c r="A357" s="15" t="s">
        <v>303</v>
      </c>
      <c r="B357" s="25"/>
      <c r="C357" s="45"/>
      <c r="D357" s="26"/>
      <c r="E357" s="32"/>
      <c r="F357" s="33">
        <f t="shared" si="221"/>
        <v>0</v>
      </c>
      <c r="G357" s="25"/>
      <c r="H357" s="45">
        <v>2</v>
      </c>
      <c r="I357" s="26"/>
      <c r="J357" s="32"/>
      <c r="K357" s="33">
        <f t="shared" si="222"/>
        <v>2</v>
      </c>
      <c r="L357" s="11">
        <f t="shared" si="215"/>
        <v>2</v>
      </c>
      <c r="M357" s="85">
        <v>45202</v>
      </c>
      <c r="N357" s="50" t="s">
        <v>306</v>
      </c>
      <c r="O357" s="25"/>
      <c r="P357" s="45"/>
      <c r="Q357" s="26"/>
      <c r="R357" s="32"/>
      <c r="S357" s="33">
        <f t="shared" si="223"/>
        <v>0</v>
      </c>
      <c r="T357" s="25"/>
      <c r="U357" s="45"/>
      <c r="V357" s="26"/>
      <c r="W357" s="32">
        <v>1</v>
      </c>
      <c r="X357" s="33">
        <f t="shared" si="224"/>
        <v>1</v>
      </c>
      <c r="Y357" s="11">
        <f t="shared" si="218"/>
        <v>1</v>
      </c>
      <c r="Z357" s="85">
        <v>45205</v>
      </c>
    </row>
    <row r="358" spans="1:27" x14ac:dyDescent="0.15">
      <c r="A358" s="70" t="s">
        <v>30</v>
      </c>
      <c r="B358" s="25"/>
      <c r="C358" s="45"/>
      <c r="D358" s="26"/>
      <c r="E358" s="32">
        <v>1</v>
      </c>
      <c r="F358" s="33">
        <f t="shared" si="221"/>
        <v>1</v>
      </c>
      <c r="G358" s="25"/>
      <c r="H358" s="45"/>
      <c r="I358" s="26"/>
      <c r="J358" s="32"/>
      <c r="K358" s="33">
        <f t="shared" si="222"/>
        <v>0</v>
      </c>
      <c r="L358" s="11">
        <f t="shared" si="215"/>
        <v>1</v>
      </c>
      <c r="M358" s="115">
        <v>45202</v>
      </c>
      <c r="N358" s="13" t="s">
        <v>310</v>
      </c>
      <c r="O358" s="25">
        <v>5</v>
      </c>
      <c r="P358" s="45"/>
      <c r="Q358" s="26"/>
      <c r="R358" s="32"/>
      <c r="S358" s="33">
        <f t="shared" si="223"/>
        <v>5</v>
      </c>
      <c r="T358" s="25"/>
      <c r="U358" s="45"/>
      <c r="V358" s="26"/>
      <c r="W358" s="32"/>
      <c r="X358" s="33">
        <f t="shared" si="224"/>
        <v>0</v>
      </c>
      <c r="Y358" s="11">
        <f t="shared" si="218"/>
        <v>5</v>
      </c>
      <c r="Z358" s="85">
        <v>45216</v>
      </c>
    </row>
    <row r="359" spans="1:27" x14ac:dyDescent="0.15">
      <c r="A359" s="70" t="s">
        <v>108</v>
      </c>
      <c r="B359" s="25"/>
      <c r="C359" s="45">
        <v>1</v>
      </c>
      <c r="D359" s="26"/>
      <c r="E359" s="32"/>
      <c r="F359" s="33">
        <f t="shared" si="221"/>
        <v>1</v>
      </c>
      <c r="G359" s="25">
        <v>1</v>
      </c>
      <c r="H359" s="45"/>
      <c r="I359" s="26"/>
      <c r="J359" s="32">
        <v>1</v>
      </c>
      <c r="K359" s="33">
        <f t="shared" si="222"/>
        <v>2</v>
      </c>
      <c r="L359" s="11">
        <f t="shared" si="215"/>
        <v>3</v>
      </c>
      <c r="M359" s="85">
        <v>45202</v>
      </c>
      <c r="N359" s="50" t="s">
        <v>28</v>
      </c>
      <c r="O359" s="25"/>
      <c r="P359" s="45"/>
      <c r="Q359" s="26"/>
      <c r="R359" s="32"/>
      <c r="S359" s="33">
        <f t="shared" si="223"/>
        <v>0</v>
      </c>
      <c r="T359" s="25"/>
      <c r="U359" s="45"/>
      <c r="V359" s="26"/>
      <c r="W359" s="32">
        <v>5</v>
      </c>
      <c r="X359" s="33">
        <f t="shared" si="224"/>
        <v>5</v>
      </c>
      <c r="Y359" s="11">
        <f t="shared" si="218"/>
        <v>5</v>
      </c>
      <c r="Z359" s="85">
        <v>45212</v>
      </c>
    </row>
    <row r="360" spans="1:27" x14ac:dyDescent="0.15">
      <c r="A360" s="15" t="s">
        <v>307</v>
      </c>
      <c r="B360" s="25">
        <v>1</v>
      </c>
      <c r="C360" s="45"/>
      <c r="D360" s="26"/>
      <c r="E360" s="32"/>
      <c r="F360" s="33">
        <f t="shared" si="221"/>
        <v>1</v>
      </c>
      <c r="G360" s="25"/>
      <c r="H360" s="45"/>
      <c r="I360" s="26"/>
      <c r="J360" s="32"/>
      <c r="K360" s="33">
        <f t="shared" si="222"/>
        <v>0</v>
      </c>
      <c r="L360" s="11">
        <f t="shared" si="215"/>
        <v>1</v>
      </c>
      <c r="M360" s="85">
        <v>45205</v>
      </c>
      <c r="N360" s="50" t="s">
        <v>28</v>
      </c>
      <c r="O360" s="25"/>
      <c r="P360" s="45"/>
      <c r="Q360" s="26"/>
      <c r="R360" s="32">
        <v>5</v>
      </c>
      <c r="S360" s="33">
        <f t="shared" si="223"/>
        <v>5</v>
      </c>
      <c r="T360" s="25"/>
      <c r="U360" s="45">
        <v>5</v>
      </c>
      <c r="V360" s="26">
        <v>5</v>
      </c>
      <c r="W360" s="32"/>
      <c r="X360" s="33">
        <f t="shared" si="224"/>
        <v>10</v>
      </c>
      <c r="Y360" s="11">
        <f t="shared" si="218"/>
        <v>15</v>
      </c>
      <c r="Z360" s="85">
        <v>45215</v>
      </c>
    </row>
    <row r="361" spans="1:27" x14ac:dyDescent="0.15">
      <c r="A361" s="15" t="s">
        <v>308</v>
      </c>
      <c r="B361" s="25"/>
      <c r="C361" s="45"/>
      <c r="D361" s="26"/>
      <c r="E361" s="32"/>
      <c r="F361" s="33">
        <f t="shared" si="221"/>
        <v>0</v>
      </c>
      <c r="G361" s="25">
        <v>1</v>
      </c>
      <c r="H361" s="45"/>
      <c r="I361" s="26"/>
      <c r="J361" s="32"/>
      <c r="K361" s="33">
        <f t="shared" si="222"/>
        <v>1</v>
      </c>
      <c r="L361" s="11">
        <f t="shared" si="215"/>
        <v>1</v>
      </c>
      <c r="M361" s="85">
        <v>45209</v>
      </c>
      <c r="N361" s="13" t="s">
        <v>311</v>
      </c>
      <c r="O361" s="25"/>
      <c r="P361" s="45"/>
      <c r="Q361" s="26"/>
      <c r="R361" s="32"/>
      <c r="S361" s="33">
        <f t="shared" si="223"/>
        <v>0</v>
      </c>
      <c r="T361" s="25">
        <v>5</v>
      </c>
      <c r="U361" s="45"/>
      <c r="V361" s="26"/>
      <c r="W361" s="32"/>
      <c r="X361" s="33">
        <f t="shared" si="224"/>
        <v>5</v>
      </c>
      <c r="Y361" s="11">
        <f t="shared" si="218"/>
        <v>5</v>
      </c>
      <c r="Z361" s="85">
        <v>45223</v>
      </c>
    </row>
    <row r="362" spans="1:27" x14ac:dyDescent="0.15">
      <c r="A362" s="70" t="s">
        <v>309</v>
      </c>
      <c r="B362" s="25">
        <v>1</v>
      </c>
      <c r="C362" s="45"/>
      <c r="D362" s="26">
        <v>2</v>
      </c>
      <c r="E362" s="32">
        <v>2</v>
      </c>
      <c r="F362" s="33">
        <f t="shared" si="221"/>
        <v>5</v>
      </c>
      <c r="G362" s="25"/>
      <c r="H362" s="45">
        <v>1</v>
      </c>
      <c r="I362" s="26">
        <v>1</v>
      </c>
      <c r="J362" s="32">
        <v>1</v>
      </c>
      <c r="K362" s="33">
        <f t="shared" si="222"/>
        <v>3</v>
      </c>
      <c r="L362" s="11">
        <f t="shared" si="215"/>
        <v>8</v>
      </c>
      <c r="M362" s="85">
        <v>45208</v>
      </c>
      <c r="N362" s="50" t="s">
        <v>313</v>
      </c>
      <c r="O362" s="25"/>
      <c r="P362" s="45">
        <v>3</v>
      </c>
      <c r="Q362" s="26"/>
      <c r="R362" s="32"/>
      <c r="S362" s="33">
        <f t="shared" si="223"/>
        <v>3</v>
      </c>
      <c r="T362" s="25"/>
      <c r="U362" s="45"/>
      <c r="V362" s="26"/>
      <c r="W362" s="32"/>
      <c r="X362" s="33">
        <f t="shared" si="224"/>
        <v>0</v>
      </c>
      <c r="Y362" s="11">
        <f t="shared" si="218"/>
        <v>3</v>
      </c>
      <c r="Z362" s="85">
        <v>45223</v>
      </c>
    </row>
    <row r="363" spans="1:27" x14ac:dyDescent="0.15">
      <c r="A363" s="70" t="s">
        <v>30</v>
      </c>
      <c r="B363" s="25">
        <v>1</v>
      </c>
      <c r="C363" s="45"/>
      <c r="D363" s="26"/>
      <c r="E363" s="32"/>
      <c r="F363" s="33">
        <f t="shared" si="221"/>
        <v>1</v>
      </c>
      <c r="G363" s="25"/>
      <c r="H363" s="45"/>
      <c r="I363" s="26"/>
      <c r="J363" s="32"/>
      <c r="K363" s="33">
        <f t="shared" si="222"/>
        <v>0</v>
      </c>
      <c r="L363" s="11">
        <f t="shared" si="215"/>
        <v>1</v>
      </c>
      <c r="M363" s="85">
        <v>45209</v>
      </c>
      <c r="N363" s="50" t="s">
        <v>317</v>
      </c>
      <c r="O363" s="25">
        <v>3</v>
      </c>
      <c r="P363" s="45"/>
      <c r="Q363" s="26"/>
      <c r="R363" s="32"/>
      <c r="S363" s="33">
        <f t="shared" si="223"/>
        <v>3</v>
      </c>
      <c r="T363" s="25"/>
      <c r="U363" s="45"/>
      <c r="V363" s="26"/>
      <c r="W363" s="32"/>
      <c r="X363" s="33">
        <f t="shared" si="224"/>
        <v>0</v>
      </c>
      <c r="Y363" s="11">
        <f t="shared" si="218"/>
        <v>3</v>
      </c>
      <c r="Z363" s="85">
        <v>45225</v>
      </c>
    </row>
    <row r="364" spans="1:27" x14ac:dyDescent="0.15">
      <c r="A364" s="70" t="s">
        <v>30</v>
      </c>
      <c r="B364" s="25"/>
      <c r="C364" s="45">
        <v>1</v>
      </c>
      <c r="D364" s="26"/>
      <c r="E364" s="32"/>
      <c r="F364" s="33">
        <f t="shared" si="221"/>
        <v>1</v>
      </c>
      <c r="G364" s="25"/>
      <c r="H364" s="45"/>
      <c r="I364" s="26"/>
      <c r="J364" s="32"/>
      <c r="K364" s="33">
        <f t="shared" si="222"/>
        <v>0</v>
      </c>
      <c r="L364" s="11">
        <f t="shared" si="215"/>
        <v>1</v>
      </c>
      <c r="M364" s="115">
        <v>45210</v>
      </c>
      <c r="N364" s="12" t="s">
        <v>318</v>
      </c>
      <c r="O364" s="25"/>
      <c r="P364" s="45"/>
      <c r="Q364" s="26"/>
      <c r="R364" s="32"/>
      <c r="S364" s="33">
        <f t="shared" si="223"/>
        <v>0</v>
      </c>
      <c r="T364" s="25"/>
      <c r="U364" s="45">
        <v>2</v>
      </c>
      <c r="V364" s="26"/>
      <c r="W364" s="32"/>
      <c r="X364" s="33">
        <f t="shared" si="224"/>
        <v>2</v>
      </c>
      <c r="Y364" s="11">
        <f t="shared" si="218"/>
        <v>2</v>
      </c>
      <c r="Z364" s="85">
        <v>45236</v>
      </c>
    </row>
    <row r="365" spans="1:27" x14ac:dyDescent="0.15">
      <c r="A365" s="70" t="s">
        <v>30</v>
      </c>
      <c r="B365" s="25"/>
      <c r="C365" s="45">
        <v>3</v>
      </c>
      <c r="D365" s="26"/>
      <c r="E365" s="32">
        <v>1</v>
      </c>
      <c r="F365" s="33">
        <f t="shared" si="221"/>
        <v>4</v>
      </c>
      <c r="G365" s="25"/>
      <c r="H365" s="45">
        <v>1</v>
      </c>
      <c r="I365" s="26"/>
      <c r="J365" s="32"/>
      <c r="K365" s="33">
        <f t="shared" si="222"/>
        <v>1</v>
      </c>
      <c r="L365" s="11">
        <f t="shared" si="215"/>
        <v>5</v>
      </c>
      <c r="M365" s="115">
        <v>45215</v>
      </c>
      <c r="N365" s="12" t="s">
        <v>321</v>
      </c>
      <c r="O365" s="25"/>
      <c r="P365" s="45"/>
      <c r="Q365" s="26">
        <v>4</v>
      </c>
      <c r="R365" s="32"/>
      <c r="S365" s="33">
        <f t="shared" si="223"/>
        <v>4</v>
      </c>
      <c r="T365" s="25"/>
      <c r="U365" s="45"/>
      <c r="V365" s="26"/>
      <c r="W365" s="32"/>
      <c r="X365" s="33">
        <f t="shared" si="224"/>
        <v>0</v>
      </c>
      <c r="Y365" s="11">
        <f t="shared" si="218"/>
        <v>4</v>
      </c>
      <c r="Z365" s="85">
        <v>45250</v>
      </c>
    </row>
    <row r="366" spans="1:27" x14ac:dyDescent="0.15">
      <c r="A366" s="70" t="s">
        <v>30</v>
      </c>
      <c r="B366" s="25"/>
      <c r="C366" s="45"/>
      <c r="D366" s="26"/>
      <c r="E366" s="32"/>
      <c r="F366" s="33">
        <f t="shared" si="221"/>
        <v>0</v>
      </c>
      <c r="G366" s="25"/>
      <c r="H366" s="45"/>
      <c r="I366" s="26">
        <v>1</v>
      </c>
      <c r="J366" s="32"/>
      <c r="K366" s="33">
        <f t="shared" si="222"/>
        <v>1</v>
      </c>
      <c r="L366" s="11">
        <f t="shared" si="215"/>
        <v>1</v>
      </c>
      <c r="M366" s="115">
        <v>45217</v>
      </c>
      <c r="N366" s="12" t="s">
        <v>322</v>
      </c>
      <c r="O366" s="25">
        <v>2</v>
      </c>
      <c r="P366" s="45"/>
      <c r="Q366" s="26"/>
      <c r="R366" s="32"/>
      <c r="S366" s="33">
        <f t="shared" si="223"/>
        <v>2</v>
      </c>
      <c r="T366" s="25"/>
      <c r="U366" s="45"/>
      <c r="V366" s="26"/>
      <c r="W366" s="32"/>
      <c r="X366" s="33">
        <f t="shared" si="224"/>
        <v>0</v>
      </c>
      <c r="Y366" s="11">
        <f t="shared" si="218"/>
        <v>2</v>
      </c>
      <c r="Z366" s="85">
        <v>45250</v>
      </c>
    </row>
    <row r="367" spans="1:27" x14ac:dyDescent="0.15">
      <c r="A367" s="15" t="s">
        <v>312</v>
      </c>
      <c r="B367" s="25"/>
      <c r="C367" s="45"/>
      <c r="D367" s="26"/>
      <c r="E367" s="32"/>
      <c r="F367" s="33">
        <f t="shared" si="221"/>
        <v>0</v>
      </c>
      <c r="G367" s="25"/>
      <c r="H367" s="45">
        <v>-1</v>
      </c>
      <c r="I367" s="26"/>
      <c r="J367" s="32"/>
      <c r="K367" s="33">
        <f t="shared" si="222"/>
        <v>-1</v>
      </c>
      <c r="L367" s="11">
        <f t="shared" si="215"/>
        <v>-1</v>
      </c>
      <c r="M367" s="115">
        <v>45218</v>
      </c>
      <c r="N367" s="50" t="s">
        <v>28</v>
      </c>
      <c r="O367" s="25">
        <v>12</v>
      </c>
      <c r="P367" s="45">
        <v>3</v>
      </c>
      <c r="Q367" s="26">
        <v>2</v>
      </c>
      <c r="R367" s="32">
        <v>11</v>
      </c>
      <c r="S367" s="33">
        <f t="shared" si="223"/>
        <v>28</v>
      </c>
      <c r="T367" s="25">
        <v>21</v>
      </c>
      <c r="U367" s="45">
        <v>14</v>
      </c>
      <c r="V367" s="26">
        <v>7</v>
      </c>
      <c r="W367" s="32">
        <v>4</v>
      </c>
      <c r="X367" s="33">
        <f t="shared" si="224"/>
        <v>46</v>
      </c>
      <c r="Y367" s="11">
        <f t="shared" si="218"/>
        <v>74</v>
      </c>
      <c r="Z367" s="115">
        <v>45234</v>
      </c>
    </row>
    <row r="368" spans="1:27" x14ac:dyDescent="0.15">
      <c r="A368" s="15" t="s">
        <v>314</v>
      </c>
      <c r="B368" s="25"/>
      <c r="C368" s="45"/>
      <c r="D368" s="26"/>
      <c r="E368" s="32">
        <v>2</v>
      </c>
      <c r="F368" s="33">
        <f t="shared" si="221"/>
        <v>2</v>
      </c>
      <c r="G368" s="25"/>
      <c r="H368" s="45"/>
      <c r="I368" s="26"/>
      <c r="J368" s="32">
        <v>1</v>
      </c>
      <c r="K368" s="33">
        <f t="shared" si="222"/>
        <v>1</v>
      </c>
      <c r="L368" s="11">
        <f t="shared" si="215"/>
        <v>3</v>
      </c>
      <c r="M368" s="85">
        <v>45222</v>
      </c>
      <c r="N368" s="12" t="s">
        <v>324</v>
      </c>
      <c r="O368" s="25"/>
      <c r="P368" s="45"/>
      <c r="Q368" s="26"/>
      <c r="R368" s="32"/>
      <c r="S368" s="33">
        <f t="shared" si="223"/>
        <v>0</v>
      </c>
      <c r="T368" s="25"/>
      <c r="U368" s="45"/>
      <c r="V368" s="26">
        <v>10</v>
      </c>
      <c r="W368" s="32"/>
      <c r="X368" s="33">
        <f t="shared" si="224"/>
        <v>10</v>
      </c>
      <c r="Y368" s="11">
        <f t="shared" si="218"/>
        <v>10</v>
      </c>
      <c r="Z368" s="85">
        <v>45245</v>
      </c>
    </row>
    <row r="369" spans="1:35" x14ac:dyDescent="0.15">
      <c r="A369" s="70" t="s">
        <v>30</v>
      </c>
      <c r="B369" s="25"/>
      <c r="C369" s="45"/>
      <c r="D369" s="26"/>
      <c r="E369" s="32"/>
      <c r="F369" s="33">
        <f t="shared" si="221"/>
        <v>0</v>
      </c>
      <c r="G369" s="25"/>
      <c r="H369" s="45"/>
      <c r="I369" s="26"/>
      <c r="J369" s="32">
        <v>2</v>
      </c>
      <c r="K369" s="33">
        <f t="shared" si="222"/>
        <v>2</v>
      </c>
      <c r="L369" s="11">
        <f t="shared" si="215"/>
        <v>2</v>
      </c>
      <c r="M369" s="115">
        <v>45219</v>
      </c>
      <c r="N369" s="13" t="s">
        <v>326</v>
      </c>
      <c r="O369" s="25"/>
      <c r="P369" s="45"/>
      <c r="Q369" s="26">
        <v>5</v>
      </c>
      <c r="R369" s="32"/>
      <c r="S369" s="33">
        <f t="shared" si="223"/>
        <v>5</v>
      </c>
      <c r="T369" s="25"/>
      <c r="U369" s="45"/>
      <c r="V369" s="26">
        <v>5</v>
      </c>
      <c r="W369" s="32"/>
      <c r="X369" s="33">
        <f t="shared" si="224"/>
        <v>5</v>
      </c>
      <c r="Y369" s="11">
        <f t="shared" si="218"/>
        <v>10</v>
      </c>
      <c r="Z369" s="85">
        <v>45244</v>
      </c>
    </row>
    <row r="370" spans="1:35" x14ac:dyDescent="0.15">
      <c r="A370" s="70" t="s">
        <v>30</v>
      </c>
      <c r="B370" s="25"/>
      <c r="C370" s="45">
        <v>1</v>
      </c>
      <c r="D370" s="26"/>
      <c r="E370" s="32"/>
      <c r="F370" s="33">
        <f t="shared" si="221"/>
        <v>1</v>
      </c>
      <c r="G370" s="25"/>
      <c r="H370" s="45"/>
      <c r="I370" s="26"/>
      <c r="J370" s="32"/>
      <c r="K370" s="33">
        <f t="shared" si="222"/>
        <v>0</v>
      </c>
      <c r="L370" s="11">
        <f t="shared" si="215"/>
        <v>1</v>
      </c>
      <c r="M370" s="115">
        <v>45222</v>
      </c>
      <c r="N370" s="12" t="s">
        <v>322</v>
      </c>
      <c r="O370" s="25"/>
      <c r="P370" s="45">
        <v>5</v>
      </c>
      <c r="Q370" s="26"/>
      <c r="R370" s="32"/>
      <c r="S370" s="33">
        <f t="shared" si="223"/>
        <v>5</v>
      </c>
      <c r="T370" s="25"/>
      <c r="U370" s="45"/>
      <c r="V370" s="26"/>
      <c r="W370" s="32"/>
      <c r="X370" s="33">
        <f t="shared" si="224"/>
        <v>0</v>
      </c>
      <c r="Y370" s="11">
        <f t="shared" si="218"/>
        <v>5</v>
      </c>
      <c r="Z370" s="85">
        <v>45245</v>
      </c>
    </row>
    <row r="371" spans="1:35" x14ac:dyDescent="0.15">
      <c r="A371" s="70" t="s">
        <v>30</v>
      </c>
      <c r="B371" s="25"/>
      <c r="C371" s="45"/>
      <c r="D371" s="26">
        <v>1</v>
      </c>
      <c r="E371" s="32"/>
      <c r="F371" s="33">
        <f t="shared" si="221"/>
        <v>1</v>
      </c>
      <c r="G371" s="25"/>
      <c r="H371" s="45"/>
      <c r="I371" s="26"/>
      <c r="J371" s="32"/>
      <c r="K371" s="33">
        <f t="shared" si="222"/>
        <v>0</v>
      </c>
      <c r="L371" s="11">
        <f t="shared" si="215"/>
        <v>1</v>
      </c>
      <c r="M371" s="115">
        <v>45223</v>
      </c>
      <c r="N371" s="50" t="s">
        <v>28</v>
      </c>
      <c r="O371" s="25"/>
      <c r="P371" s="45">
        <v>3</v>
      </c>
      <c r="Q371" s="26">
        <v>3</v>
      </c>
      <c r="R371" s="32"/>
      <c r="S371" s="33">
        <f t="shared" si="223"/>
        <v>6</v>
      </c>
      <c r="T371" s="25"/>
      <c r="U371" s="45"/>
      <c r="V371" s="26"/>
      <c r="W371" s="32">
        <v>5</v>
      </c>
      <c r="X371" s="33">
        <f t="shared" si="224"/>
        <v>5</v>
      </c>
      <c r="Y371" s="93">
        <f t="shared" si="218"/>
        <v>11</v>
      </c>
      <c r="Z371" s="85">
        <v>45243</v>
      </c>
    </row>
    <row r="372" spans="1:35" x14ac:dyDescent="0.15">
      <c r="A372" s="70" t="s">
        <v>30</v>
      </c>
      <c r="B372" s="25">
        <v>1</v>
      </c>
      <c r="C372" s="45"/>
      <c r="D372" s="26"/>
      <c r="E372" s="32"/>
      <c r="F372" s="33">
        <f t="shared" si="221"/>
        <v>1</v>
      </c>
      <c r="G372" s="25"/>
      <c r="H372" s="45"/>
      <c r="I372" s="26"/>
      <c r="J372" s="32"/>
      <c r="K372" s="33">
        <f t="shared" si="222"/>
        <v>0</v>
      </c>
      <c r="L372" s="11">
        <f t="shared" si="215"/>
        <v>1</v>
      </c>
      <c r="M372" s="115">
        <v>45224</v>
      </c>
      <c r="N372" s="12" t="s">
        <v>327</v>
      </c>
      <c r="O372" s="25"/>
      <c r="P372" s="45"/>
      <c r="Q372" s="26">
        <v>8</v>
      </c>
      <c r="R372" s="32"/>
      <c r="S372" s="33">
        <f t="shared" si="223"/>
        <v>8</v>
      </c>
      <c r="T372" s="25"/>
      <c r="U372" s="45"/>
      <c r="V372" s="26"/>
      <c r="W372" s="32">
        <v>6</v>
      </c>
      <c r="X372" s="33">
        <f t="shared" si="224"/>
        <v>6</v>
      </c>
      <c r="Y372" s="93">
        <f t="shared" si="218"/>
        <v>14</v>
      </c>
      <c r="Z372" s="85">
        <v>45247</v>
      </c>
    </row>
    <row r="373" spans="1:35" x14ac:dyDescent="0.15">
      <c r="A373" s="70" t="s">
        <v>30</v>
      </c>
      <c r="B373" s="25"/>
      <c r="C373" s="45">
        <v>1</v>
      </c>
      <c r="D373" s="26"/>
      <c r="E373" s="32"/>
      <c r="F373" s="33">
        <f t="shared" si="221"/>
        <v>1</v>
      </c>
      <c r="G373" s="25"/>
      <c r="H373" s="45">
        <v>1</v>
      </c>
      <c r="I373" s="26"/>
      <c r="J373" s="32"/>
      <c r="K373" s="33">
        <f t="shared" si="222"/>
        <v>1</v>
      </c>
      <c r="L373" s="11">
        <f t="shared" si="215"/>
        <v>2</v>
      </c>
      <c r="M373" s="115">
        <v>45226</v>
      </c>
      <c r="N373" s="12" t="s">
        <v>328</v>
      </c>
      <c r="O373" s="59"/>
      <c r="P373" s="60"/>
      <c r="Q373" s="61"/>
      <c r="R373" s="62"/>
      <c r="S373" s="63">
        <f t="shared" si="223"/>
        <v>0</v>
      </c>
      <c r="T373" s="59"/>
      <c r="U373" s="60"/>
      <c r="V373" s="61"/>
      <c r="W373" s="62">
        <v>6</v>
      </c>
      <c r="X373" s="63">
        <f t="shared" si="224"/>
        <v>6</v>
      </c>
      <c r="Y373" s="11">
        <f t="shared" si="218"/>
        <v>6</v>
      </c>
      <c r="Z373" s="85">
        <v>45250</v>
      </c>
    </row>
    <row r="374" spans="1:35" x14ac:dyDescent="0.15">
      <c r="A374" s="15" t="s">
        <v>319</v>
      </c>
      <c r="B374" s="25"/>
      <c r="C374" s="45"/>
      <c r="D374" s="26"/>
      <c r="E374" s="32"/>
      <c r="F374" s="33">
        <f t="shared" si="221"/>
        <v>0</v>
      </c>
      <c r="G374" s="25"/>
      <c r="H374" s="45">
        <v>1</v>
      </c>
      <c r="I374" s="26"/>
      <c r="J374" s="32"/>
      <c r="K374" s="33">
        <f t="shared" si="222"/>
        <v>1</v>
      </c>
      <c r="L374" s="11">
        <f t="shared" si="215"/>
        <v>1</v>
      </c>
      <c r="M374" s="85">
        <v>45231</v>
      </c>
      <c r="N374" s="50"/>
      <c r="O374" s="59"/>
      <c r="P374" s="60"/>
      <c r="Q374" s="61"/>
      <c r="R374" s="62"/>
      <c r="S374" s="63">
        <f t="shared" si="223"/>
        <v>0</v>
      </c>
      <c r="T374" s="59"/>
      <c r="U374" s="60"/>
      <c r="V374" s="61"/>
      <c r="W374" s="62"/>
      <c r="X374" s="63">
        <f t="shared" si="224"/>
        <v>0</v>
      </c>
      <c r="Y374" s="11">
        <f t="shared" si="218"/>
        <v>0</v>
      </c>
    </row>
    <row r="375" spans="1:35" x14ac:dyDescent="0.15">
      <c r="A375" s="15" t="s">
        <v>320</v>
      </c>
      <c r="B375" s="25"/>
      <c r="C375" s="45"/>
      <c r="D375" s="26"/>
      <c r="E375" s="32"/>
      <c r="F375" s="33">
        <f t="shared" si="221"/>
        <v>0</v>
      </c>
      <c r="G375" s="25"/>
      <c r="H375" s="45"/>
      <c r="I375" s="26">
        <v>1</v>
      </c>
      <c r="J375" s="32"/>
      <c r="K375" s="33">
        <f t="shared" si="222"/>
        <v>1</v>
      </c>
      <c r="L375" s="93">
        <f t="shared" si="215"/>
        <v>1</v>
      </c>
      <c r="M375" s="85">
        <v>45236</v>
      </c>
      <c r="N375" s="12" t="s">
        <v>247</v>
      </c>
      <c r="O375" s="25"/>
      <c r="P375" s="45"/>
      <c r="Q375" s="26"/>
      <c r="R375" s="32"/>
      <c r="S375" s="33">
        <f t="shared" si="223"/>
        <v>0</v>
      </c>
      <c r="T375" s="25"/>
      <c r="U375" s="45"/>
      <c r="V375" s="26"/>
      <c r="W375" s="32"/>
      <c r="X375" s="33">
        <f t="shared" si="224"/>
        <v>0</v>
      </c>
      <c r="Y375" s="93">
        <f t="shared" si="218"/>
        <v>0</v>
      </c>
      <c r="Z375" s="159" t="s">
        <v>245</v>
      </c>
    </row>
    <row r="376" spans="1:35" ht="14.25" thickBot="1" x14ac:dyDescent="0.2">
      <c r="A376" s="138" t="s">
        <v>30</v>
      </c>
      <c r="B376" s="55">
        <v>1</v>
      </c>
      <c r="C376" s="56">
        <v>1</v>
      </c>
      <c r="D376" s="57"/>
      <c r="E376" s="58">
        <v>1</v>
      </c>
      <c r="F376" s="109">
        <f>SUM(B376:E376)</f>
        <v>3</v>
      </c>
      <c r="G376" s="55"/>
      <c r="H376" s="56"/>
      <c r="I376" s="57"/>
      <c r="J376" s="58"/>
      <c r="K376" s="109">
        <f>SUM(G376:J376)</f>
        <v>0</v>
      </c>
      <c r="L376" s="107">
        <f>F376+K376</f>
        <v>3</v>
      </c>
      <c r="M376" s="85">
        <v>45232</v>
      </c>
      <c r="N376" s="140" t="s">
        <v>246</v>
      </c>
      <c r="O376" s="141"/>
      <c r="P376" s="142"/>
      <c r="Q376" s="143"/>
      <c r="R376" s="144"/>
      <c r="S376" s="145">
        <f t="shared" si="223"/>
        <v>0</v>
      </c>
      <c r="T376" s="141"/>
      <c r="U376" s="142"/>
      <c r="V376" s="143"/>
      <c r="W376" s="144"/>
      <c r="X376" s="145">
        <f t="shared" si="224"/>
        <v>0</v>
      </c>
      <c r="Y376" s="75">
        <f t="shared" si="218"/>
        <v>0</v>
      </c>
      <c r="Z376" s="159" t="s">
        <v>245</v>
      </c>
    </row>
    <row r="377" spans="1:35" ht="14.25" thickBot="1" x14ac:dyDescent="0.2">
      <c r="A377" s="16" t="s">
        <v>10</v>
      </c>
      <c r="B377" s="36">
        <f>SUM(B352:B376)</f>
        <v>6</v>
      </c>
      <c r="C377" s="46">
        <f>SUM(C352:C376)</f>
        <v>7</v>
      </c>
      <c r="D377" s="37">
        <f>SUM(D352:D376)</f>
        <v>4</v>
      </c>
      <c r="E377" s="38">
        <f>SUM(E352:E376)</f>
        <v>7</v>
      </c>
      <c r="F377" s="71">
        <f>SUM(B377:E377)</f>
        <v>24</v>
      </c>
      <c r="G377" s="36">
        <f>SUM(G352:G376)</f>
        <v>2</v>
      </c>
      <c r="H377" s="46">
        <f>SUM(H352:H376)</f>
        <v>6</v>
      </c>
      <c r="I377" s="37">
        <f>SUM(I352:I376)</f>
        <v>6</v>
      </c>
      <c r="J377" s="38">
        <f>SUM(J352:J376)</f>
        <v>5</v>
      </c>
      <c r="K377" s="71">
        <f>SUM(G377:J377)</f>
        <v>19</v>
      </c>
      <c r="L377" s="75">
        <f t="shared" si="215"/>
        <v>43</v>
      </c>
      <c r="N377" s="72" t="s">
        <v>10</v>
      </c>
      <c r="O377" s="36">
        <f>SUM(O352:O376)</f>
        <v>22</v>
      </c>
      <c r="P377" s="46">
        <f>SUM(P352:P376)</f>
        <v>23</v>
      </c>
      <c r="Q377" s="37">
        <f>SUM(Q352:Q376)</f>
        <v>27</v>
      </c>
      <c r="R377" s="38">
        <f>SUM(R352:R376)</f>
        <v>16</v>
      </c>
      <c r="S377" s="71">
        <f t="shared" si="223"/>
        <v>88</v>
      </c>
      <c r="T377" s="36">
        <f>SUM(T352:T376)</f>
        <v>31</v>
      </c>
      <c r="U377" s="46">
        <f>SUM(U352:U376)</f>
        <v>27</v>
      </c>
      <c r="V377" s="37">
        <f>SUM(V352:V376)</f>
        <v>27</v>
      </c>
      <c r="W377" s="38">
        <f>SUM(W352:W376)</f>
        <v>27</v>
      </c>
      <c r="X377" s="71">
        <f t="shared" si="224"/>
        <v>112</v>
      </c>
      <c r="Y377" s="75">
        <f t="shared" si="218"/>
        <v>200</v>
      </c>
    </row>
    <row r="378" spans="1:35" ht="14.25" thickBot="1" x14ac:dyDescent="0.2">
      <c r="A378" s="21" t="s">
        <v>11</v>
      </c>
      <c r="B378" s="39">
        <f t="shared" ref="B378:K378" si="225">B351-B377</f>
        <v>8</v>
      </c>
      <c r="C378" s="47">
        <f t="shared" si="225"/>
        <v>4</v>
      </c>
      <c r="D378" s="40">
        <f t="shared" si="225"/>
        <v>8</v>
      </c>
      <c r="E378" s="41">
        <f t="shared" si="225"/>
        <v>7</v>
      </c>
      <c r="F378" s="54">
        <f t="shared" si="225"/>
        <v>27</v>
      </c>
      <c r="G378" s="39">
        <f t="shared" si="225"/>
        <v>12</v>
      </c>
      <c r="H378" s="47">
        <f t="shared" si="225"/>
        <v>9</v>
      </c>
      <c r="I378" s="40">
        <f t="shared" si="225"/>
        <v>9</v>
      </c>
      <c r="J378" s="41">
        <f t="shared" si="225"/>
        <v>4</v>
      </c>
      <c r="K378" s="54">
        <f t="shared" si="225"/>
        <v>34</v>
      </c>
      <c r="L378" s="20">
        <f t="shared" si="215"/>
        <v>61</v>
      </c>
      <c r="N378" s="16" t="s">
        <v>11</v>
      </c>
      <c r="O378" s="39">
        <f t="shared" ref="O378:X378" si="226">O351-O377</f>
        <v>470</v>
      </c>
      <c r="P378" s="47">
        <f t="shared" si="226"/>
        <v>311</v>
      </c>
      <c r="Q378" s="40">
        <f t="shared" si="226"/>
        <v>281</v>
      </c>
      <c r="R378" s="41">
        <f t="shared" si="226"/>
        <v>189</v>
      </c>
      <c r="S378" s="54">
        <f t="shared" si="226"/>
        <v>1251</v>
      </c>
      <c r="T378" s="39">
        <f t="shared" si="226"/>
        <v>519</v>
      </c>
      <c r="U378" s="47">
        <f t="shared" si="226"/>
        <v>349</v>
      </c>
      <c r="V378" s="40">
        <f t="shared" si="226"/>
        <v>225</v>
      </c>
      <c r="W378" s="41">
        <f t="shared" si="226"/>
        <v>137</v>
      </c>
      <c r="X378" s="54">
        <f t="shared" si="226"/>
        <v>1230</v>
      </c>
      <c r="Y378" s="20">
        <f t="shared" si="218"/>
        <v>2481</v>
      </c>
    </row>
    <row r="379" spans="1:35" x14ac:dyDescent="0.15">
      <c r="O379" s="139">
        <f>O377+O339+O303</f>
        <v>468</v>
      </c>
      <c r="P379" s="139">
        <f t="shared" ref="P379:Y379" si="227">P377+P339+P303</f>
        <v>599</v>
      </c>
      <c r="Q379" s="139">
        <f t="shared" si="227"/>
        <v>403</v>
      </c>
      <c r="R379" s="139">
        <f t="shared" si="227"/>
        <v>331</v>
      </c>
      <c r="S379" s="139">
        <f t="shared" si="227"/>
        <v>1801</v>
      </c>
      <c r="T379" s="139">
        <f t="shared" si="227"/>
        <v>382</v>
      </c>
      <c r="U379" s="139">
        <f t="shared" si="227"/>
        <v>518</v>
      </c>
      <c r="V379" s="139">
        <f t="shared" si="227"/>
        <v>369</v>
      </c>
      <c r="W379" s="139">
        <f t="shared" si="227"/>
        <v>298</v>
      </c>
      <c r="X379" s="139">
        <f t="shared" si="227"/>
        <v>1567</v>
      </c>
      <c r="Y379" s="139">
        <f t="shared" si="227"/>
        <v>3368</v>
      </c>
    </row>
    <row r="380" spans="1:35" x14ac:dyDescent="0.15">
      <c r="O380" s="94">
        <f>O379/$S$379*100</f>
        <v>25.985563575791225</v>
      </c>
      <c r="P380" s="94">
        <f t="shared" ref="P380:S380" si="228">P379/$S$379*100</f>
        <v>33.259300388672955</v>
      </c>
      <c r="Q380" s="94">
        <f t="shared" si="228"/>
        <v>22.376457523597999</v>
      </c>
      <c r="R380" s="94">
        <f t="shared" si="228"/>
        <v>18.378678511937814</v>
      </c>
      <c r="S380" s="94">
        <f t="shared" si="228"/>
        <v>100</v>
      </c>
      <c r="T380" s="94">
        <f>T379/$X$379*100</f>
        <v>24.377791959157626</v>
      </c>
      <c r="U380" s="94">
        <f t="shared" ref="U380:X380" si="229">U379/$X$379*100</f>
        <v>33.05679642629228</v>
      </c>
      <c r="V380" s="94">
        <f t="shared" si="229"/>
        <v>23.548181238034459</v>
      </c>
      <c r="W380" s="94">
        <f t="shared" si="229"/>
        <v>19.017230376515634</v>
      </c>
      <c r="X380" s="94">
        <f t="shared" si="229"/>
        <v>100</v>
      </c>
    </row>
    <row r="381" spans="1:35" ht="19.5" thickBot="1" x14ac:dyDescent="0.25">
      <c r="A381" s="2" t="s">
        <v>26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27</v>
      </c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84"/>
      <c r="AA381" s="53"/>
      <c r="AB381" s="53"/>
      <c r="AC381" s="53"/>
      <c r="AD381" s="28"/>
      <c r="AE381" s="53"/>
      <c r="AF381" s="53"/>
      <c r="AG381" s="53"/>
      <c r="AH381" s="53"/>
      <c r="AI381" s="28"/>
    </row>
    <row r="382" spans="1:35" ht="14.25" thickBot="1" x14ac:dyDescent="0.2">
      <c r="A382" s="5" t="s">
        <v>0</v>
      </c>
      <c r="B382" s="228" t="s">
        <v>19</v>
      </c>
      <c r="C382" s="229"/>
      <c r="D382" s="229"/>
      <c r="E382" s="229"/>
      <c r="F382" s="230"/>
      <c r="G382" s="231" t="s">
        <v>18</v>
      </c>
      <c r="H382" s="232"/>
      <c r="I382" s="232"/>
      <c r="J382" s="232"/>
      <c r="K382" s="233"/>
      <c r="L382" s="234" t="s">
        <v>1</v>
      </c>
      <c r="N382" s="5" t="s">
        <v>0</v>
      </c>
      <c r="O382" s="228" t="s">
        <v>19</v>
      </c>
      <c r="P382" s="229"/>
      <c r="Q382" s="229"/>
      <c r="R382" s="229"/>
      <c r="S382" s="230"/>
      <c r="T382" s="231" t="s">
        <v>18</v>
      </c>
      <c r="U382" s="232"/>
      <c r="V382" s="232"/>
      <c r="W382" s="232"/>
      <c r="X382" s="233"/>
      <c r="Y382" s="5" t="s">
        <v>1</v>
      </c>
      <c r="Z382" s="84"/>
      <c r="AA382" s="53"/>
      <c r="AB382" s="53"/>
      <c r="AC382" s="53"/>
      <c r="AD382" s="28"/>
      <c r="AE382" s="53"/>
      <c r="AF382" s="53"/>
      <c r="AG382" s="53"/>
      <c r="AH382" s="53"/>
      <c r="AI382" s="28"/>
    </row>
    <row r="383" spans="1:35" ht="14.25" thickBot="1" x14ac:dyDescent="0.2">
      <c r="A383" s="5" t="s">
        <v>2</v>
      </c>
      <c r="B383" s="3" t="s">
        <v>12</v>
      </c>
      <c r="C383" s="42" t="s">
        <v>13</v>
      </c>
      <c r="D383" s="4" t="s">
        <v>14</v>
      </c>
      <c r="E383" s="22" t="s">
        <v>15</v>
      </c>
      <c r="F383" s="30" t="s">
        <v>3</v>
      </c>
      <c r="G383" s="3" t="s">
        <v>12</v>
      </c>
      <c r="H383" s="42" t="s">
        <v>13</v>
      </c>
      <c r="I383" s="4" t="s">
        <v>14</v>
      </c>
      <c r="J383" s="22" t="s">
        <v>15</v>
      </c>
      <c r="K383" s="30" t="s">
        <v>3</v>
      </c>
      <c r="L383" s="235"/>
      <c r="N383" s="5" t="s">
        <v>2</v>
      </c>
      <c r="O383" s="64" t="s">
        <v>12</v>
      </c>
      <c r="P383" s="65" t="s">
        <v>13</v>
      </c>
      <c r="Q383" s="66" t="s">
        <v>14</v>
      </c>
      <c r="R383" s="67" t="s">
        <v>15</v>
      </c>
      <c r="S383" s="30" t="s">
        <v>3</v>
      </c>
      <c r="T383" s="3" t="s">
        <v>12</v>
      </c>
      <c r="U383" s="42" t="s">
        <v>13</v>
      </c>
      <c r="V383" s="4" t="s">
        <v>14</v>
      </c>
      <c r="W383" s="22" t="s">
        <v>15</v>
      </c>
      <c r="X383" s="30" t="s">
        <v>3</v>
      </c>
      <c r="Y383" s="140"/>
    </row>
    <row r="384" spans="1:35" ht="14.25" thickBot="1" x14ac:dyDescent="0.2">
      <c r="A384" s="21" t="s">
        <v>16</v>
      </c>
      <c r="B384" s="39">
        <f>B378</f>
        <v>8</v>
      </c>
      <c r="C384" s="40">
        <f>C378</f>
        <v>4</v>
      </c>
      <c r="D384" s="40">
        <f>D378</f>
        <v>8</v>
      </c>
      <c r="E384" s="41">
        <f>E378</f>
        <v>7</v>
      </c>
      <c r="F384" s="122">
        <f>SUM(B384:E384)</f>
        <v>27</v>
      </c>
      <c r="G384" s="39">
        <f>G378</f>
        <v>12</v>
      </c>
      <c r="H384" s="40">
        <f>H378</f>
        <v>9</v>
      </c>
      <c r="I384" s="40">
        <f>I378</f>
        <v>9</v>
      </c>
      <c r="J384" s="41">
        <f>J378</f>
        <v>4</v>
      </c>
      <c r="K384" s="123">
        <f>SUM(G384:J384)</f>
        <v>34</v>
      </c>
      <c r="L384" s="20">
        <f>F384+K384</f>
        <v>61</v>
      </c>
      <c r="N384" s="21" t="s">
        <v>16</v>
      </c>
      <c r="O384" s="39">
        <f>O378</f>
        <v>470</v>
      </c>
      <c r="P384" s="40">
        <f>P378</f>
        <v>311</v>
      </c>
      <c r="Q384" s="40">
        <f t="shared" ref="Q384:R384" si="230">Q378</f>
        <v>281</v>
      </c>
      <c r="R384" s="88">
        <f t="shared" si="230"/>
        <v>189</v>
      </c>
      <c r="S384" s="123">
        <f>SUM(O384:R384)</f>
        <v>1251</v>
      </c>
      <c r="T384" s="39">
        <f>T378</f>
        <v>519</v>
      </c>
      <c r="U384" s="40">
        <f>U378</f>
        <v>349</v>
      </c>
      <c r="V384" s="40">
        <f>V378</f>
        <v>225</v>
      </c>
      <c r="W384" s="41">
        <f>W378</f>
        <v>137</v>
      </c>
      <c r="X384" s="123">
        <f>SUM(T384:W384)</f>
        <v>1230</v>
      </c>
      <c r="Y384" s="20">
        <f t="shared" ref="Y384:Y416" si="231">S384+X384</f>
        <v>2481</v>
      </c>
    </row>
    <row r="385" spans="1:26" x14ac:dyDescent="0.15">
      <c r="A385" s="70" t="s">
        <v>5</v>
      </c>
      <c r="B385" s="6">
        <v>12</v>
      </c>
      <c r="C385" s="29">
        <v>3</v>
      </c>
      <c r="D385" s="7">
        <v>2</v>
      </c>
      <c r="E385" s="8">
        <v>11</v>
      </c>
      <c r="F385" s="9">
        <f t="shared" ref="F385" si="232">SUM(B385:E385)</f>
        <v>28</v>
      </c>
      <c r="G385" s="29">
        <v>21</v>
      </c>
      <c r="H385" s="29">
        <v>14</v>
      </c>
      <c r="I385" s="7">
        <v>7</v>
      </c>
      <c r="J385" s="8">
        <v>4</v>
      </c>
      <c r="K385" s="9">
        <f t="shared" ref="K385" si="233">SUM(G385:J385)</f>
        <v>46</v>
      </c>
      <c r="L385" s="11">
        <f t="shared" ref="L385" si="234">F385+K385</f>
        <v>74</v>
      </c>
      <c r="M385" s="115">
        <v>45234</v>
      </c>
      <c r="N385" s="70" t="s">
        <v>17</v>
      </c>
      <c r="O385" s="59"/>
      <c r="P385" s="60"/>
      <c r="Q385" s="61"/>
      <c r="R385" s="62"/>
      <c r="S385" s="120">
        <f>SUM(O385:R385)</f>
        <v>0</v>
      </c>
      <c r="T385" s="60"/>
      <c r="U385" s="60"/>
      <c r="V385" s="61"/>
      <c r="W385" s="124"/>
      <c r="X385" s="121">
        <f>SUM(T385:W385)</f>
        <v>0</v>
      </c>
      <c r="Y385" s="11">
        <f t="shared" si="231"/>
        <v>0</v>
      </c>
    </row>
    <row r="386" spans="1:26" x14ac:dyDescent="0.15">
      <c r="A386" s="70" t="s">
        <v>6</v>
      </c>
      <c r="B386" s="6"/>
      <c r="C386" s="29">
        <v>3</v>
      </c>
      <c r="D386" s="7">
        <v>3</v>
      </c>
      <c r="E386" s="8"/>
      <c r="F386" s="9">
        <f t="shared" ref="F386:F388" si="235">SUM(B386:E386)</f>
        <v>6</v>
      </c>
      <c r="G386" s="29"/>
      <c r="H386" s="29"/>
      <c r="I386" s="7"/>
      <c r="J386" s="8">
        <v>5</v>
      </c>
      <c r="K386" s="9">
        <f t="shared" ref="K386:K388" si="236">SUM(G386:J386)</f>
        <v>5</v>
      </c>
      <c r="L386" s="11">
        <f t="shared" ref="L386:L416" si="237">F386+K386</f>
        <v>11</v>
      </c>
      <c r="M386" s="85">
        <v>45243</v>
      </c>
      <c r="N386" s="70" t="s">
        <v>5</v>
      </c>
      <c r="O386" s="59"/>
      <c r="P386" s="60"/>
      <c r="Q386" s="61"/>
      <c r="R386" s="62"/>
      <c r="S386" s="120">
        <f>SUM(O386:R386)</f>
        <v>0</v>
      </c>
      <c r="T386" s="60"/>
      <c r="U386" s="60"/>
      <c r="V386" s="61"/>
      <c r="W386" s="124"/>
      <c r="X386" s="121">
        <f>SUM(T386:W386)</f>
        <v>0</v>
      </c>
      <c r="Y386" s="11">
        <f t="shared" ref="Y386" si="238">S386+X386</f>
        <v>0</v>
      </c>
    </row>
    <row r="387" spans="1:26" x14ac:dyDescent="0.15">
      <c r="A387" s="70" t="s">
        <v>7</v>
      </c>
      <c r="B387" s="6"/>
      <c r="C387" s="29">
        <v>5</v>
      </c>
      <c r="D387" s="7">
        <v>5</v>
      </c>
      <c r="E387" s="8"/>
      <c r="F387" s="9">
        <f t="shared" si="235"/>
        <v>10</v>
      </c>
      <c r="G387" s="29"/>
      <c r="H387" s="29"/>
      <c r="I387" s="7"/>
      <c r="J387" s="8">
        <v>5</v>
      </c>
      <c r="K387" s="9">
        <f t="shared" si="236"/>
        <v>5</v>
      </c>
      <c r="L387" s="11">
        <f t="shared" si="237"/>
        <v>15</v>
      </c>
      <c r="M387" s="85">
        <v>45260</v>
      </c>
      <c r="N387" s="13" t="s">
        <v>6</v>
      </c>
      <c r="O387" s="25"/>
      <c r="P387" s="45"/>
      <c r="Q387" s="26"/>
      <c r="R387" s="32"/>
      <c r="S387" s="68">
        <f>SUM(O387:R387)</f>
        <v>0</v>
      </c>
      <c r="T387" s="45"/>
      <c r="U387" s="45"/>
      <c r="V387" s="26"/>
      <c r="W387" s="48"/>
      <c r="X387" s="9">
        <f>SUM(T387:W387)</f>
        <v>0</v>
      </c>
      <c r="Y387" s="11">
        <f t="shared" si="231"/>
        <v>0</v>
      </c>
    </row>
    <row r="388" spans="1:26" ht="14.25" thickBot="1" x14ac:dyDescent="0.2">
      <c r="A388" s="70" t="s">
        <v>163</v>
      </c>
      <c r="B388" s="125"/>
      <c r="C388" s="126">
        <v>2</v>
      </c>
      <c r="D388" s="127">
        <v>2</v>
      </c>
      <c r="E388" s="128">
        <v>1</v>
      </c>
      <c r="F388" s="129">
        <f t="shared" si="235"/>
        <v>5</v>
      </c>
      <c r="G388" s="126">
        <v>1</v>
      </c>
      <c r="H388" s="126">
        <v>1</v>
      </c>
      <c r="I388" s="127">
        <v>3</v>
      </c>
      <c r="J388" s="128">
        <v>1</v>
      </c>
      <c r="K388" s="129">
        <f t="shared" si="236"/>
        <v>6</v>
      </c>
      <c r="L388" s="14">
        <f t="shared" si="237"/>
        <v>11</v>
      </c>
      <c r="M388" s="115">
        <v>45266</v>
      </c>
      <c r="N388" s="13" t="s">
        <v>7</v>
      </c>
      <c r="O388" s="55"/>
      <c r="P388" s="56"/>
      <c r="Q388" s="57"/>
      <c r="R388" s="58"/>
      <c r="S388" s="69">
        <f>SUM(O388:R388)</f>
        <v>0</v>
      </c>
      <c r="T388" s="45"/>
      <c r="U388" s="45"/>
      <c r="V388" s="26"/>
      <c r="W388" s="48"/>
      <c r="X388" s="10">
        <f>SUM(T388:W388)</f>
        <v>0</v>
      </c>
      <c r="Y388" s="14">
        <f t="shared" si="231"/>
        <v>0</v>
      </c>
    </row>
    <row r="389" spans="1:26" ht="14.25" thickBot="1" x14ac:dyDescent="0.2">
      <c r="A389" s="21" t="s">
        <v>9</v>
      </c>
      <c r="B389" s="130">
        <f t="shared" ref="B389:K389" si="239">SUM(B384:B388)</f>
        <v>20</v>
      </c>
      <c r="C389" s="131">
        <f t="shared" si="239"/>
        <v>17</v>
      </c>
      <c r="D389" s="132">
        <f t="shared" si="239"/>
        <v>20</v>
      </c>
      <c r="E389" s="133">
        <f t="shared" si="239"/>
        <v>19</v>
      </c>
      <c r="F389" s="123">
        <f t="shared" si="239"/>
        <v>76</v>
      </c>
      <c r="G389" s="130">
        <f t="shared" si="239"/>
        <v>34</v>
      </c>
      <c r="H389" s="131">
        <f t="shared" si="239"/>
        <v>24</v>
      </c>
      <c r="I389" s="132">
        <f t="shared" si="239"/>
        <v>19</v>
      </c>
      <c r="J389" s="133">
        <f t="shared" si="239"/>
        <v>19</v>
      </c>
      <c r="K389" s="123">
        <f t="shared" si="239"/>
        <v>96</v>
      </c>
      <c r="L389" s="20">
        <f t="shared" si="237"/>
        <v>172</v>
      </c>
      <c r="N389" s="16" t="s">
        <v>9</v>
      </c>
      <c r="O389" s="39">
        <f t="shared" ref="O389:X389" si="240">SUM(O384:O388)</f>
        <v>470</v>
      </c>
      <c r="P389" s="47">
        <f t="shared" si="240"/>
        <v>311</v>
      </c>
      <c r="Q389" s="40">
        <f t="shared" si="240"/>
        <v>281</v>
      </c>
      <c r="R389" s="88">
        <f t="shared" si="240"/>
        <v>189</v>
      </c>
      <c r="S389" s="89">
        <f t="shared" si="240"/>
        <v>1251</v>
      </c>
      <c r="T389" s="39">
        <f t="shared" si="240"/>
        <v>519</v>
      </c>
      <c r="U389" s="47">
        <f t="shared" si="240"/>
        <v>349</v>
      </c>
      <c r="V389" s="40">
        <f t="shared" si="240"/>
        <v>225</v>
      </c>
      <c r="W389" s="88">
        <f t="shared" si="240"/>
        <v>137</v>
      </c>
      <c r="X389" s="89">
        <f t="shared" si="240"/>
        <v>1230</v>
      </c>
      <c r="Y389" s="49">
        <f t="shared" si="231"/>
        <v>2481</v>
      </c>
    </row>
    <row r="390" spans="1:26" x14ac:dyDescent="0.15">
      <c r="A390" s="15" t="s">
        <v>323</v>
      </c>
      <c r="B390" s="59"/>
      <c r="C390" s="60"/>
      <c r="D390" s="61"/>
      <c r="E390" s="62"/>
      <c r="F390" s="63">
        <f t="shared" ref="F390:F414" si="241">SUM(B390:E390)</f>
        <v>0</v>
      </c>
      <c r="G390" s="59">
        <v>3</v>
      </c>
      <c r="H390" s="60"/>
      <c r="I390" s="61"/>
      <c r="J390" s="62"/>
      <c r="K390" s="63">
        <f t="shared" ref="K390:K414" si="242">SUM(G390:J390)</f>
        <v>3</v>
      </c>
      <c r="L390" s="11">
        <f t="shared" si="237"/>
        <v>3</v>
      </c>
      <c r="M390" s="85">
        <v>45237</v>
      </c>
      <c r="N390" s="12" t="s">
        <v>329</v>
      </c>
      <c r="O390" s="25"/>
      <c r="P390" s="45"/>
      <c r="Q390" s="26"/>
      <c r="R390" s="32"/>
      <c r="S390" s="33">
        <f t="shared" ref="S390:S391" si="243">SUM(O390:R390)</f>
        <v>0</v>
      </c>
      <c r="T390" s="25"/>
      <c r="U390" s="45">
        <v>3</v>
      </c>
      <c r="V390" s="26"/>
      <c r="W390" s="32"/>
      <c r="X390" s="33">
        <f t="shared" ref="X390:X391" si="244">SUM(T390:W390)</f>
        <v>3</v>
      </c>
      <c r="Y390" s="11">
        <f t="shared" ref="Y390:Y391" si="245">S390+X390</f>
        <v>3</v>
      </c>
      <c r="Z390" s="85">
        <v>45250</v>
      </c>
    </row>
    <row r="391" spans="1:26" x14ac:dyDescent="0.15">
      <c r="A391" s="70" t="s">
        <v>30</v>
      </c>
      <c r="B391" s="25"/>
      <c r="C391" s="45">
        <v>3</v>
      </c>
      <c r="D391" s="26">
        <f>1+1</f>
        <v>2</v>
      </c>
      <c r="E391" s="32">
        <v>1</v>
      </c>
      <c r="F391" s="33">
        <f t="shared" si="241"/>
        <v>6</v>
      </c>
      <c r="G391" s="25"/>
      <c r="H391" s="45">
        <v>2</v>
      </c>
      <c r="I391" s="26"/>
      <c r="J391" s="32">
        <f>1+1</f>
        <v>2</v>
      </c>
      <c r="K391" s="33">
        <f t="shared" si="242"/>
        <v>4</v>
      </c>
      <c r="L391" s="11">
        <f t="shared" si="237"/>
        <v>10</v>
      </c>
      <c r="M391" s="115">
        <v>45236</v>
      </c>
      <c r="N391" s="12" t="s">
        <v>330</v>
      </c>
      <c r="O391" s="25"/>
      <c r="P391" s="45"/>
      <c r="Q391" s="26"/>
      <c r="R391" s="32">
        <v>6</v>
      </c>
      <c r="S391" s="33">
        <f t="shared" si="243"/>
        <v>6</v>
      </c>
      <c r="T391" s="25"/>
      <c r="U391" s="45"/>
      <c r="V391" s="26"/>
      <c r="W391" s="32"/>
      <c r="X391" s="33">
        <f t="shared" si="244"/>
        <v>0</v>
      </c>
      <c r="Y391" s="11">
        <f t="shared" si="245"/>
        <v>6</v>
      </c>
      <c r="Z391" s="85">
        <v>45250</v>
      </c>
    </row>
    <row r="392" spans="1:26" x14ac:dyDescent="0.15">
      <c r="A392" s="70" t="s">
        <v>30</v>
      </c>
      <c r="B392" s="25"/>
      <c r="C392" s="45"/>
      <c r="D392" s="26">
        <v>1</v>
      </c>
      <c r="E392" s="32"/>
      <c r="F392" s="33">
        <f t="shared" si="241"/>
        <v>1</v>
      </c>
      <c r="G392" s="25"/>
      <c r="H392" s="45"/>
      <c r="I392" s="26">
        <v>1</v>
      </c>
      <c r="J392" s="32"/>
      <c r="K392" s="33">
        <f t="shared" si="242"/>
        <v>1</v>
      </c>
      <c r="L392" s="11">
        <f t="shared" si="237"/>
        <v>2</v>
      </c>
      <c r="M392" s="115">
        <v>45237</v>
      </c>
      <c r="N392" s="12" t="s">
        <v>332</v>
      </c>
      <c r="O392" s="25">
        <v>12</v>
      </c>
      <c r="P392" s="45"/>
      <c r="Q392" s="26"/>
      <c r="R392" s="32">
        <v>6</v>
      </c>
      <c r="S392" s="33">
        <f t="shared" ref="S392:S415" si="246">SUM(O392:R392)</f>
        <v>18</v>
      </c>
      <c r="T392" s="25"/>
      <c r="U392" s="45"/>
      <c r="V392" s="26"/>
      <c r="W392" s="32"/>
      <c r="X392" s="33">
        <f t="shared" ref="X392:X415" si="247">SUM(T392:W392)</f>
        <v>0</v>
      </c>
      <c r="Y392" s="11">
        <f t="shared" si="231"/>
        <v>18</v>
      </c>
      <c r="Z392" s="85">
        <v>45257</v>
      </c>
    </row>
    <row r="393" spans="1:26" x14ac:dyDescent="0.15">
      <c r="A393" s="70" t="s">
        <v>30</v>
      </c>
      <c r="B393" s="25"/>
      <c r="C393" s="45"/>
      <c r="D393" s="26"/>
      <c r="E393" s="32"/>
      <c r="F393" s="33">
        <f t="shared" si="241"/>
        <v>0</v>
      </c>
      <c r="G393" s="25"/>
      <c r="H393" s="45">
        <v>1</v>
      </c>
      <c r="I393" s="26"/>
      <c r="J393" s="32"/>
      <c r="K393" s="33">
        <f t="shared" si="242"/>
        <v>1</v>
      </c>
      <c r="L393" s="11">
        <f t="shared" si="237"/>
        <v>1</v>
      </c>
      <c r="M393" s="115">
        <v>45238</v>
      </c>
      <c r="N393" s="13" t="s">
        <v>333</v>
      </c>
      <c r="O393" s="25">
        <v>5</v>
      </c>
      <c r="P393" s="45"/>
      <c r="Q393" s="26"/>
      <c r="R393" s="32"/>
      <c r="S393" s="33">
        <f t="shared" si="246"/>
        <v>5</v>
      </c>
      <c r="T393" s="25"/>
      <c r="U393" s="45">
        <v>5</v>
      </c>
      <c r="V393" s="26"/>
      <c r="W393" s="32"/>
      <c r="X393" s="33">
        <f t="shared" si="247"/>
        <v>5</v>
      </c>
      <c r="Y393" s="11">
        <f t="shared" si="231"/>
        <v>10</v>
      </c>
      <c r="Z393" s="85">
        <v>45259</v>
      </c>
    </row>
    <row r="394" spans="1:26" x14ac:dyDescent="0.15">
      <c r="A394" s="15" t="s">
        <v>325</v>
      </c>
      <c r="B394" s="25"/>
      <c r="C394" s="45"/>
      <c r="D394" s="26"/>
      <c r="E394" s="32"/>
      <c r="F394" s="33">
        <f t="shared" si="241"/>
        <v>0</v>
      </c>
      <c r="G394" s="25">
        <v>1</v>
      </c>
      <c r="H394" s="45"/>
      <c r="I394" s="26"/>
      <c r="J394" s="32"/>
      <c r="K394" s="33">
        <f t="shared" si="242"/>
        <v>1</v>
      </c>
      <c r="L394" s="11">
        <f t="shared" si="237"/>
        <v>1</v>
      </c>
      <c r="M394" s="85">
        <v>45240</v>
      </c>
      <c r="N394" s="12" t="s">
        <v>334</v>
      </c>
      <c r="O394" s="25"/>
      <c r="P394" s="45"/>
      <c r="Q394" s="26"/>
      <c r="R394" s="32"/>
      <c r="S394" s="33">
        <f t="shared" si="246"/>
        <v>0</v>
      </c>
      <c r="T394" s="25"/>
      <c r="U394" s="45"/>
      <c r="V394" s="26"/>
      <c r="W394" s="32">
        <v>8</v>
      </c>
      <c r="X394" s="33">
        <f t="shared" si="247"/>
        <v>8</v>
      </c>
      <c r="Y394" s="11">
        <f t="shared" si="231"/>
        <v>8</v>
      </c>
      <c r="Z394" s="85">
        <v>45257</v>
      </c>
    </row>
    <row r="395" spans="1:26" x14ac:dyDescent="0.15">
      <c r="A395" s="70" t="s">
        <v>30</v>
      </c>
      <c r="B395" s="25">
        <v>1</v>
      </c>
      <c r="C395" s="45"/>
      <c r="D395" s="26">
        <v>2</v>
      </c>
      <c r="E395" s="32"/>
      <c r="F395" s="33">
        <f t="shared" si="241"/>
        <v>3</v>
      </c>
      <c r="G395" s="25">
        <v>1</v>
      </c>
      <c r="H395" s="45">
        <v>1</v>
      </c>
      <c r="I395" s="26"/>
      <c r="J395" s="32"/>
      <c r="K395" s="33">
        <f t="shared" si="242"/>
        <v>2</v>
      </c>
      <c r="L395" s="11">
        <f t="shared" si="237"/>
        <v>5</v>
      </c>
      <c r="M395" s="115">
        <v>45239</v>
      </c>
      <c r="N395" s="13" t="s">
        <v>340</v>
      </c>
      <c r="O395" s="25"/>
      <c r="P395" s="45"/>
      <c r="Q395" s="26"/>
      <c r="R395" s="32"/>
      <c r="S395" s="33">
        <f t="shared" si="246"/>
        <v>0</v>
      </c>
      <c r="T395" s="25"/>
      <c r="U395" s="45"/>
      <c r="V395" s="26"/>
      <c r="W395" s="32">
        <v>7</v>
      </c>
      <c r="X395" s="33">
        <f t="shared" si="247"/>
        <v>7</v>
      </c>
      <c r="Y395" s="11">
        <f t="shared" si="231"/>
        <v>7</v>
      </c>
      <c r="Z395" s="85">
        <v>45266</v>
      </c>
    </row>
    <row r="396" spans="1:26" x14ac:dyDescent="0.15">
      <c r="A396" s="70" t="s">
        <v>30</v>
      </c>
      <c r="B396" s="25">
        <v>1</v>
      </c>
      <c r="C396" s="45"/>
      <c r="D396" s="26"/>
      <c r="E396" s="32"/>
      <c r="F396" s="33">
        <f t="shared" si="241"/>
        <v>1</v>
      </c>
      <c r="G396" s="25"/>
      <c r="H396" s="45"/>
      <c r="I396" s="26">
        <v>1</v>
      </c>
      <c r="J396" s="32">
        <v>3</v>
      </c>
      <c r="K396" s="33">
        <f t="shared" si="242"/>
        <v>4</v>
      </c>
      <c r="L396" s="11">
        <f t="shared" si="237"/>
        <v>5</v>
      </c>
      <c r="M396" s="115">
        <v>45240</v>
      </c>
      <c r="N396" s="12" t="s">
        <v>341</v>
      </c>
      <c r="O396" s="25"/>
      <c r="P396" s="45"/>
      <c r="Q396" s="26"/>
      <c r="R396" s="32"/>
      <c r="S396" s="33">
        <f t="shared" si="246"/>
        <v>0</v>
      </c>
      <c r="T396" s="25"/>
      <c r="U396" s="45"/>
      <c r="V396" s="26"/>
      <c r="W396" s="32">
        <v>8</v>
      </c>
      <c r="X396" s="33">
        <f t="shared" si="247"/>
        <v>8</v>
      </c>
      <c r="Y396" s="11">
        <f t="shared" si="231"/>
        <v>8</v>
      </c>
      <c r="Z396" s="85">
        <v>45264</v>
      </c>
    </row>
    <row r="397" spans="1:26" x14ac:dyDescent="0.15">
      <c r="A397" s="70" t="s">
        <v>30</v>
      </c>
      <c r="B397" s="25">
        <v>1</v>
      </c>
      <c r="C397" s="45"/>
      <c r="D397" s="26"/>
      <c r="E397" s="32"/>
      <c r="F397" s="33">
        <f t="shared" si="241"/>
        <v>1</v>
      </c>
      <c r="G397" s="25">
        <v>1</v>
      </c>
      <c r="H397" s="45"/>
      <c r="I397" s="26"/>
      <c r="J397" s="32"/>
      <c r="K397" s="33">
        <f t="shared" si="242"/>
        <v>1</v>
      </c>
      <c r="L397" s="11">
        <f t="shared" si="237"/>
        <v>2</v>
      </c>
      <c r="M397" s="115">
        <v>45243</v>
      </c>
      <c r="N397" s="50" t="s">
        <v>28</v>
      </c>
      <c r="O397" s="25"/>
      <c r="P397" s="45">
        <v>5</v>
      </c>
      <c r="Q397" s="26">
        <v>5</v>
      </c>
      <c r="R397" s="32"/>
      <c r="S397" s="33">
        <f t="shared" si="246"/>
        <v>10</v>
      </c>
      <c r="T397" s="25"/>
      <c r="U397" s="45"/>
      <c r="V397" s="26"/>
      <c r="W397" s="32">
        <v>5</v>
      </c>
      <c r="X397" s="33">
        <f t="shared" si="247"/>
        <v>5</v>
      </c>
      <c r="Y397" s="11">
        <f t="shared" si="231"/>
        <v>15</v>
      </c>
      <c r="Z397" s="85">
        <v>45260</v>
      </c>
    </row>
    <row r="398" spans="1:26" x14ac:dyDescent="0.15">
      <c r="A398" s="70" t="s">
        <v>30</v>
      </c>
      <c r="B398" s="25"/>
      <c r="C398" s="45"/>
      <c r="D398" s="26">
        <v>1</v>
      </c>
      <c r="E398" s="32"/>
      <c r="F398" s="33">
        <f t="shared" si="241"/>
        <v>1</v>
      </c>
      <c r="G398" s="25"/>
      <c r="H398" s="45"/>
      <c r="I398" s="26"/>
      <c r="J398" s="32"/>
      <c r="K398" s="33">
        <f t="shared" si="242"/>
        <v>0</v>
      </c>
      <c r="L398" s="11">
        <f t="shared" si="237"/>
        <v>1</v>
      </c>
      <c r="M398" s="115">
        <v>45245</v>
      </c>
      <c r="N398" s="12" t="s">
        <v>342</v>
      </c>
      <c r="O398" s="25"/>
      <c r="P398" s="45"/>
      <c r="Q398" s="26"/>
      <c r="R398" s="32"/>
      <c r="S398" s="33">
        <f t="shared" si="246"/>
        <v>0</v>
      </c>
      <c r="T398" s="25"/>
      <c r="U398" s="45"/>
      <c r="V398" s="26">
        <v>14</v>
      </c>
      <c r="W398" s="32"/>
      <c r="X398" s="33">
        <f t="shared" si="247"/>
        <v>14</v>
      </c>
      <c r="Y398" s="11">
        <f t="shared" si="231"/>
        <v>14</v>
      </c>
      <c r="Z398" s="85">
        <v>45267</v>
      </c>
    </row>
    <row r="399" spans="1:26" x14ac:dyDescent="0.15">
      <c r="A399" s="70" t="s">
        <v>30</v>
      </c>
      <c r="B399" s="25"/>
      <c r="C399" s="45"/>
      <c r="D399" s="26"/>
      <c r="E399" s="32">
        <v>1</v>
      </c>
      <c r="F399" s="33">
        <f t="shared" si="241"/>
        <v>1</v>
      </c>
      <c r="G399" s="25"/>
      <c r="H399" s="45"/>
      <c r="I399" s="26"/>
      <c r="J399" s="32"/>
      <c r="K399" s="33">
        <f t="shared" si="242"/>
        <v>0</v>
      </c>
      <c r="L399" s="11">
        <f t="shared" si="237"/>
        <v>1</v>
      </c>
      <c r="M399" s="115">
        <v>45246</v>
      </c>
      <c r="N399" s="12" t="s">
        <v>344</v>
      </c>
      <c r="O399" s="25"/>
      <c r="P399" s="45"/>
      <c r="Q399" s="26"/>
      <c r="R399" s="32"/>
      <c r="S399" s="33">
        <f t="shared" si="246"/>
        <v>0</v>
      </c>
      <c r="T399" s="25"/>
      <c r="U399" s="45">
        <v>14</v>
      </c>
      <c r="V399" s="26"/>
      <c r="W399" s="32"/>
      <c r="X399" s="33">
        <f t="shared" si="247"/>
        <v>14</v>
      </c>
      <c r="Y399" s="11">
        <f t="shared" si="231"/>
        <v>14</v>
      </c>
      <c r="Z399" s="85">
        <v>45271</v>
      </c>
    </row>
    <row r="400" spans="1:26" x14ac:dyDescent="0.15">
      <c r="A400" s="70" t="s">
        <v>331</v>
      </c>
      <c r="B400" s="25">
        <v>1</v>
      </c>
      <c r="C400" s="45"/>
      <c r="D400" s="26"/>
      <c r="E400" s="32"/>
      <c r="F400" s="33">
        <f t="shared" si="241"/>
        <v>1</v>
      </c>
      <c r="G400" s="25">
        <v>1</v>
      </c>
      <c r="H400" s="45"/>
      <c r="I400" s="26"/>
      <c r="J400" s="32"/>
      <c r="K400" s="33">
        <f t="shared" si="242"/>
        <v>1</v>
      </c>
      <c r="L400" s="11">
        <f t="shared" si="237"/>
        <v>2</v>
      </c>
      <c r="M400" s="115">
        <v>45250</v>
      </c>
      <c r="N400" s="12" t="s">
        <v>345</v>
      </c>
      <c r="O400" s="25"/>
      <c r="P400" s="45"/>
      <c r="Q400" s="26"/>
      <c r="R400" s="32"/>
      <c r="S400" s="33">
        <f t="shared" ref="S400" si="248">SUM(O400:R400)</f>
        <v>0</v>
      </c>
      <c r="T400" s="25"/>
      <c r="U400" s="45"/>
      <c r="V400" s="26">
        <v>3</v>
      </c>
      <c r="W400" s="32"/>
      <c r="X400" s="33">
        <f t="shared" ref="X400" si="249">SUM(T400:W400)</f>
        <v>3</v>
      </c>
      <c r="Y400" s="11">
        <f t="shared" ref="Y400" si="250">S400+X400</f>
        <v>3</v>
      </c>
      <c r="Z400" s="85">
        <v>45274</v>
      </c>
    </row>
    <row r="401" spans="1:26" x14ac:dyDescent="0.15">
      <c r="A401" s="70" t="s">
        <v>30</v>
      </c>
      <c r="B401" s="25"/>
      <c r="C401" s="45"/>
      <c r="D401" s="26"/>
      <c r="E401" s="32"/>
      <c r="F401" s="33">
        <f t="shared" si="241"/>
        <v>0</v>
      </c>
      <c r="G401" s="25"/>
      <c r="H401" s="45"/>
      <c r="I401" s="26"/>
      <c r="J401" s="32">
        <v>2</v>
      </c>
      <c r="K401" s="33">
        <f t="shared" si="242"/>
        <v>2</v>
      </c>
      <c r="L401" s="11">
        <f t="shared" si="237"/>
        <v>2</v>
      </c>
      <c r="M401" s="115">
        <v>45251</v>
      </c>
      <c r="N401" s="13" t="s">
        <v>346</v>
      </c>
      <c r="O401" s="25"/>
      <c r="P401" s="45"/>
      <c r="Q401" s="26"/>
      <c r="R401" s="32"/>
      <c r="S401" s="33">
        <f t="shared" si="246"/>
        <v>0</v>
      </c>
      <c r="T401" s="25">
        <v>10</v>
      </c>
      <c r="U401" s="45"/>
      <c r="V401" s="26"/>
      <c r="W401" s="32"/>
      <c r="X401" s="33">
        <f t="shared" si="247"/>
        <v>10</v>
      </c>
      <c r="Y401" s="11">
        <f t="shared" si="231"/>
        <v>10</v>
      </c>
      <c r="Z401" s="85">
        <v>45279</v>
      </c>
    </row>
    <row r="402" spans="1:26" x14ac:dyDescent="0.15">
      <c r="A402" s="70" t="s">
        <v>30</v>
      </c>
      <c r="B402" s="25"/>
      <c r="C402" s="45">
        <v>1</v>
      </c>
      <c r="D402" s="26">
        <v>2</v>
      </c>
      <c r="E402" s="32">
        <v>1</v>
      </c>
      <c r="F402" s="33">
        <f t="shared" si="241"/>
        <v>4</v>
      </c>
      <c r="G402" s="25"/>
      <c r="H402" s="45">
        <v>2</v>
      </c>
      <c r="I402" s="26">
        <v>1</v>
      </c>
      <c r="J402" s="32"/>
      <c r="K402" s="33">
        <f t="shared" si="242"/>
        <v>3</v>
      </c>
      <c r="L402" s="11">
        <f t="shared" si="237"/>
        <v>7</v>
      </c>
      <c r="M402" s="115">
        <v>45254</v>
      </c>
      <c r="N402" s="12" t="s">
        <v>347</v>
      </c>
      <c r="O402" s="25"/>
      <c r="P402" s="45">
        <v>6</v>
      </c>
      <c r="Q402" s="26"/>
      <c r="R402" s="32"/>
      <c r="S402" s="33">
        <f t="shared" si="246"/>
        <v>6</v>
      </c>
      <c r="T402" s="25"/>
      <c r="U402" s="45">
        <v>6</v>
      </c>
      <c r="V402" s="26"/>
      <c r="W402" s="32"/>
      <c r="X402" s="33">
        <f t="shared" si="247"/>
        <v>6</v>
      </c>
      <c r="Y402" s="11">
        <f t="shared" si="231"/>
        <v>12</v>
      </c>
      <c r="Z402" s="85">
        <v>45281</v>
      </c>
    </row>
    <row r="403" spans="1:26" x14ac:dyDescent="0.15">
      <c r="A403" s="70" t="s">
        <v>30</v>
      </c>
      <c r="B403" s="25">
        <v>2</v>
      </c>
      <c r="C403" s="45"/>
      <c r="D403" s="26"/>
      <c r="E403" s="32">
        <v>1</v>
      </c>
      <c r="F403" s="33">
        <f t="shared" si="241"/>
        <v>3</v>
      </c>
      <c r="G403" s="25"/>
      <c r="H403" s="45"/>
      <c r="I403" s="26">
        <v>2</v>
      </c>
      <c r="J403" s="32">
        <v>1</v>
      </c>
      <c r="K403" s="33">
        <f t="shared" si="242"/>
        <v>3</v>
      </c>
      <c r="L403" s="11">
        <f t="shared" si="237"/>
        <v>6</v>
      </c>
      <c r="M403" s="115">
        <v>45257</v>
      </c>
      <c r="N403" s="12" t="s">
        <v>348</v>
      </c>
      <c r="O403" s="25"/>
      <c r="P403" s="45"/>
      <c r="Q403" s="26"/>
      <c r="R403" s="32"/>
      <c r="S403" s="33">
        <f t="shared" si="246"/>
        <v>0</v>
      </c>
      <c r="T403" s="25"/>
      <c r="U403" s="45"/>
      <c r="V403" s="26">
        <v>4</v>
      </c>
      <c r="W403" s="32"/>
      <c r="X403" s="33">
        <f t="shared" si="247"/>
        <v>4</v>
      </c>
      <c r="Y403" s="11">
        <f t="shared" si="231"/>
        <v>4</v>
      </c>
      <c r="Z403" s="85">
        <v>45281</v>
      </c>
    </row>
    <row r="404" spans="1:26" x14ac:dyDescent="0.15">
      <c r="A404" s="12" t="s">
        <v>338</v>
      </c>
      <c r="B404" s="25"/>
      <c r="C404" s="45">
        <v>3</v>
      </c>
      <c r="D404" s="26"/>
      <c r="E404" s="32"/>
      <c r="F404" s="33">
        <f t="shared" si="241"/>
        <v>3</v>
      </c>
      <c r="G404" s="25"/>
      <c r="H404" s="45">
        <v>3</v>
      </c>
      <c r="I404" s="26"/>
      <c r="J404" s="32"/>
      <c r="K404" s="33">
        <f t="shared" si="242"/>
        <v>3</v>
      </c>
      <c r="L404" s="11">
        <f t="shared" si="237"/>
        <v>6</v>
      </c>
      <c r="M404" s="85">
        <v>45261</v>
      </c>
      <c r="N404" s="12" t="s">
        <v>349</v>
      </c>
      <c r="O404" s="25"/>
      <c r="P404" s="45"/>
      <c r="Q404" s="26"/>
      <c r="R404" s="32"/>
      <c r="S404" s="33">
        <f t="shared" si="246"/>
        <v>0</v>
      </c>
      <c r="T404" s="25">
        <v>10</v>
      </c>
      <c r="U404" s="45"/>
      <c r="V404" s="26"/>
      <c r="W404" s="32"/>
      <c r="X404" s="33">
        <f t="shared" si="247"/>
        <v>10</v>
      </c>
      <c r="Y404" s="11">
        <f t="shared" si="231"/>
        <v>10</v>
      </c>
      <c r="Z404" s="85">
        <v>45285</v>
      </c>
    </row>
    <row r="405" spans="1:26" x14ac:dyDescent="0.15">
      <c r="A405" s="15" t="s">
        <v>339</v>
      </c>
      <c r="B405" s="25"/>
      <c r="C405" s="45"/>
      <c r="D405" s="26"/>
      <c r="E405" s="32"/>
      <c r="F405" s="33">
        <f t="shared" si="241"/>
        <v>0</v>
      </c>
      <c r="G405" s="25"/>
      <c r="H405" s="45">
        <v>1</v>
      </c>
      <c r="I405" s="26"/>
      <c r="J405" s="32"/>
      <c r="K405" s="33">
        <f t="shared" si="242"/>
        <v>1</v>
      </c>
      <c r="L405" s="11">
        <f t="shared" si="237"/>
        <v>1</v>
      </c>
      <c r="M405" s="85">
        <v>45258</v>
      </c>
      <c r="N405" s="50" t="s">
        <v>28</v>
      </c>
      <c r="O405" s="25"/>
      <c r="P405" s="45">
        <v>10</v>
      </c>
      <c r="Q405" s="26"/>
      <c r="R405" s="32"/>
      <c r="S405" s="33">
        <f t="shared" si="246"/>
        <v>10</v>
      </c>
      <c r="T405" s="25"/>
      <c r="U405" s="45">
        <v>5</v>
      </c>
      <c r="V405" s="26"/>
      <c r="W405" s="32"/>
      <c r="X405" s="33">
        <f t="shared" si="247"/>
        <v>5</v>
      </c>
      <c r="Y405" s="11">
        <f t="shared" si="231"/>
        <v>15</v>
      </c>
      <c r="Z405" s="85">
        <v>45287</v>
      </c>
    </row>
    <row r="406" spans="1:26" x14ac:dyDescent="0.15">
      <c r="A406" s="70" t="s">
        <v>30</v>
      </c>
      <c r="B406" s="25"/>
      <c r="C406" s="45">
        <v>1</v>
      </c>
      <c r="D406" s="26"/>
      <c r="E406" s="32"/>
      <c r="F406" s="33">
        <f t="shared" si="241"/>
        <v>1</v>
      </c>
      <c r="G406" s="25"/>
      <c r="H406" s="45"/>
      <c r="I406" s="26"/>
      <c r="J406" s="32"/>
      <c r="K406" s="33">
        <f t="shared" si="242"/>
        <v>0</v>
      </c>
      <c r="L406" s="11">
        <f t="shared" si="237"/>
        <v>1</v>
      </c>
      <c r="M406" s="115">
        <v>45261</v>
      </c>
      <c r="N406" s="50"/>
      <c r="O406" s="25"/>
      <c r="P406" s="45"/>
      <c r="Q406" s="26"/>
      <c r="R406" s="32"/>
      <c r="S406" s="33">
        <f t="shared" si="246"/>
        <v>0</v>
      </c>
      <c r="T406" s="25"/>
      <c r="U406" s="45"/>
      <c r="V406" s="26"/>
      <c r="W406" s="32"/>
      <c r="X406" s="33">
        <f t="shared" si="247"/>
        <v>0</v>
      </c>
      <c r="Y406" s="11">
        <f t="shared" si="231"/>
        <v>0</v>
      </c>
    </row>
    <row r="407" spans="1:26" x14ac:dyDescent="0.15">
      <c r="A407" s="15" t="s">
        <v>343</v>
      </c>
      <c r="B407" s="25"/>
      <c r="C407" s="45">
        <v>1</v>
      </c>
      <c r="D407" s="26"/>
      <c r="E407" s="32"/>
      <c r="F407" s="33">
        <f t="shared" si="241"/>
        <v>1</v>
      </c>
      <c r="G407" s="25"/>
      <c r="H407" s="45">
        <v>1</v>
      </c>
      <c r="I407" s="26"/>
      <c r="J407" s="32"/>
      <c r="K407" s="33">
        <f t="shared" si="242"/>
        <v>1</v>
      </c>
      <c r="L407" s="11">
        <f t="shared" si="237"/>
        <v>2</v>
      </c>
      <c r="M407" s="115">
        <v>45265</v>
      </c>
      <c r="N407" s="50"/>
      <c r="O407" s="25"/>
      <c r="P407" s="45"/>
      <c r="Q407" s="26"/>
      <c r="R407" s="32"/>
      <c r="S407" s="33">
        <f t="shared" si="246"/>
        <v>0</v>
      </c>
      <c r="T407" s="25"/>
      <c r="U407" s="45"/>
      <c r="V407" s="26"/>
      <c r="W407" s="32"/>
      <c r="X407" s="33">
        <f t="shared" si="247"/>
        <v>0</v>
      </c>
      <c r="Y407" s="11">
        <f t="shared" si="231"/>
        <v>0</v>
      </c>
    </row>
    <row r="408" spans="1:26" x14ac:dyDescent="0.15">
      <c r="A408" s="70" t="s">
        <v>30</v>
      </c>
      <c r="B408" s="25">
        <v>1</v>
      </c>
      <c r="C408" s="45"/>
      <c r="D408" s="26"/>
      <c r="E408" s="32"/>
      <c r="F408" s="33">
        <f t="shared" si="241"/>
        <v>1</v>
      </c>
      <c r="G408" s="25"/>
      <c r="H408" s="45"/>
      <c r="I408" s="26">
        <v>2</v>
      </c>
      <c r="J408" s="32"/>
      <c r="K408" s="33">
        <f t="shared" si="242"/>
        <v>2</v>
      </c>
      <c r="L408" s="11">
        <f t="shared" si="237"/>
        <v>3</v>
      </c>
      <c r="M408" s="115">
        <v>45268</v>
      </c>
      <c r="N408" s="50"/>
      <c r="O408" s="25"/>
      <c r="P408" s="45"/>
      <c r="Q408" s="26"/>
      <c r="R408" s="32"/>
      <c r="S408" s="33">
        <f t="shared" si="246"/>
        <v>0</v>
      </c>
      <c r="T408" s="25"/>
      <c r="U408" s="45"/>
      <c r="V408" s="26"/>
      <c r="W408" s="32"/>
      <c r="X408" s="33">
        <f t="shared" si="247"/>
        <v>0</v>
      </c>
      <c r="Y408" s="11">
        <f t="shared" si="231"/>
        <v>0</v>
      </c>
    </row>
    <row r="409" spans="1:26" x14ac:dyDescent="0.15">
      <c r="A409" s="70" t="s">
        <v>30</v>
      </c>
      <c r="B409" s="25">
        <v>1</v>
      </c>
      <c r="C409" s="45">
        <v>1</v>
      </c>
      <c r="D409" s="26"/>
      <c r="E409" s="32"/>
      <c r="F409" s="33">
        <f t="shared" si="241"/>
        <v>2</v>
      </c>
      <c r="G409" s="25">
        <v>1</v>
      </c>
      <c r="H409" s="45">
        <v>2</v>
      </c>
      <c r="I409" s="26">
        <v>2</v>
      </c>
      <c r="J409" s="32"/>
      <c r="K409" s="33">
        <f t="shared" si="242"/>
        <v>5</v>
      </c>
      <c r="L409" s="11">
        <f t="shared" si="237"/>
        <v>7</v>
      </c>
      <c r="M409" s="115">
        <v>45271</v>
      </c>
      <c r="N409" s="12"/>
      <c r="O409" s="25"/>
      <c r="P409" s="45"/>
      <c r="Q409" s="26"/>
      <c r="R409" s="32"/>
      <c r="S409" s="33">
        <f t="shared" si="246"/>
        <v>0</v>
      </c>
      <c r="T409" s="25"/>
      <c r="U409" s="45"/>
      <c r="V409" s="26"/>
      <c r="W409" s="32"/>
      <c r="X409" s="33">
        <f t="shared" si="247"/>
        <v>0</v>
      </c>
      <c r="Y409" s="93">
        <f t="shared" si="231"/>
        <v>0</v>
      </c>
    </row>
    <row r="410" spans="1:26" x14ac:dyDescent="0.15">
      <c r="A410" s="70" t="s">
        <v>30</v>
      </c>
      <c r="B410" s="25"/>
      <c r="C410" s="45"/>
      <c r="D410" s="26"/>
      <c r="E410" s="32"/>
      <c r="F410" s="33">
        <f t="shared" si="241"/>
        <v>0</v>
      </c>
      <c r="G410" s="25"/>
      <c r="H410" s="45"/>
      <c r="I410" s="26"/>
      <c r="J410" s="32">
        <v>1</v>
      </c>
      <c r="K410" s="33">
        <f t="shared" si="242"/>
        <v>1</v>
      </c>
      <c r="L410" s="11">
        <f t="shared" si="237"/>
        <v>1</v>
      </c>
      <c r="M410" s="115">
        <v>45272</v>
      </c>
      <c r="N410" s="12"/>
      <c r="O410" s="25"/>
      <c r="P410" s="45"/>
      <c r="Q410" s="26"/>
      <c r="R410" s="32"/>
      <c r="S410" s="33">
        <f t="shared" si="246"/>
        <v>0</v>
      </c>
      <c r="T410" s="25"/>
      <c r="U410" s="45"/>
      <c r="V410" s="26"/>
      <c r="W410" s="32"/>
      <c r="X410" s="33">
        <f t="shared" si="247"/>
        <v>0</v>
      </c>
      <c r="Y410" s="93">
        <f t="shared" si="231"/>
        <v>0</v>
      </c>
    </row>
    <row r="411" spans="1:26" x14ac:dyDescent="0.15">
      <c r="A411" s="70" t="s">
        <v>30</v>
      </c>
      <c r="B411" s="25"/>
      <c r="C411" s="45">
        <v>2</v>
      </c>
      <c r="D411" s="26"/>
      <c r="E411" s="32"/>
      <c r="F411" s="33">
        <f t="shared" si="241"/>
        <v>2</v>
      </c>
      <c r="G411" s="25"/>
      <c r="H411" s="45">
        <v>1</v>
      </c>
      <c r="I411" s="26">
        <v>1</v>
      </c>
      <c r="J411" s="32"/>
      <c r="K411" s="33">
        <f t="shared" si="242"/>
        <v>2</v>
      </c>
      <c r="L411" s="11">
        <f t="shared" si="237"/>
        <v>4</v>
      </c>
      <c r="M411" s="115">
        <v>45273</v>
      </c>
      <c r="N411" s="50"/>
      <c r="O411" s="59"/>
      <c r="P411" s="60"/>
      <c r="Q411" s="61"/>
      <c r="R411" s="62"/>
      <c r="S411" s="63">
        <f t="shared" si="246"/>
        <v>0</v>
      </c>
      <c r="T411" s="59"/>
      <c r="U411" s="60"/>
      <c r="V411" s="61"/>
      <c r="W411" s="62"/>
      <c r="X411" s="63">
        <f t="shared" si="247"/>
        <v>0</v>
      </c>
      <c r="Y411" s="11">
        <f t="shared" si="231"/>
        <v>0</v>
      </c>
    </row>
    <row r="412" spans="1:26" x14ac:dyDescent="0.15">
      <c r="A412" s="70" t="s">
        <v>30</v>
      </c>
      <c r="B412" s="25"/>
      <c r="C412" s="45"/>
      <c r="D412" s="26">
        <v>1</v>
      </c>
      <c r="E412" s="32"/>
      <c r="F412" s="33">
        <f t="shared" si="241"/>
        <v>1</v>
      </c>
      <c r="G412" s="25"/>
      <c r="H412" s="45"/>
      <c r="I412" s="26"/>
      <c r="J412" s="32"/>
      <c r="K412" s="33">
        <f t="shared" si="242"/>
        <v>0</v>
      </c>
      <c r="L412" s="11">
        <f t="shared" si="237"/>
        <v>1</v>
      </c>
      <c r="M412" s="115">
        <v>45274</v>
      </c>
      <c r="N412" s="50"/>
      <c r="O412" s="59"/>
      <c r="P412" s="60"/>
      <c r="Q412" s="61"/>
      <c r="R412" s="62"/>
      <c r="S412" s="63">
        <f t="shared" si="246"/>
        <v>0</v>
      </c>
      <c r="T412" s="59"/>
      <c r="U412" s="60"/>
      <c r="V412" s="61"/>
      <c r="W412" s="62"/>
      <c r="X412" s="63">
        <f t="shared" si="247"/>
        <v>0</v>
      </c>
      <c r="Y412" s="11">
        <f t="shared" si="231"/>
        <v>0</v>
      </c>
    </row>
    <row r="413" spans="1:26" x14ac:dyDescent="0.15">
      <c r="A413" s="70" t="s">
        <v>30</v>
      </c>
      <c r="B413" s="25"/>
      <c r="C413" s="45"/>
      <c r="D413" s="26"/>
      <c r="E413" s="32"/>
      <c r="F413" s="33">
        <f t="shared" si="241"/>
        <v>0</v>
      </c>
      <c r="G413" s="25">
        <v>2</v>
      </c>
      <c r="H413" s="45"/>
      <c r="I413" s="26"/>
      <c r="J413" s="32"/>
      <c r="K413" s="33">
        <f t="shared" si="242"/>
        <v>2</v>
      </c>
      <c r="L413" s="93">
        <f t="shared" si="237"/>
        <v>2</v>
      </c>
      <c r="M413" s="115">
        <v>45275</v>
      </c>
      <c r="N413" s="50"/>
      <c r="O413" s="59"/>
      <c r="P413" s="60"/>
      <c r="Q413" s="61"/>
      <c r="R413" s="62"/>
      <c r="S413" s="63">
        <f t="shared" ref="S413" si="251">SUM(O413:R413)</f>
        <v>0</v>
      </c>
      <c r="T413" s="59"/>
      <c r="U413" s="60"/>
      <c r="V413" s="61"/>
      <c r="W413" s="62"/>
      <c r="X413" s="63">
        <f t="shared" ref="X413" si="252">SUM(T413:W413)</f>
        <v>0</v>
      </c>
      <c r="Y413" s="11">
        <f t="shared" ref="Y413" si="253">S413+X413</f>
        <v>0</v>
      </c>
    </row>
    <row r="414" spans="1:26" ht="14.25" thickBot="1" x14ac:dyDescent="0.2">
      <c r="A414" s="70" t="s">
        <v>30</v>
      </c>
      <c r="B414" s="55"/>
      <c r="C414" s="56"/>
      <c r="D414" s="57"/>
      <c r="E414" s="58"/>
      <c r="F414" s="109">
        <f t="shared" si="241"/>
        <v>0</v>
      </c>
      <c r="G414" s="55"/>
      <c r="H414" s="56"/>
      <c r="I414" s="57">
        <v>2</v>
      </c>
      <c r="J414" s="58"/>
      <c r="K414" s="109">
        <f t="shared" si="242"/>
        <v>2</v>
      </c>
      <c r="L414" s="75">
        <f t="shared" si="237"/>
        <v>2</v>
      </c>
      <c r="M414" s="115">
        <v>45276</v>
      </c>
      <c r="N414" s="74"/>
      <c r="O414" s="55"/>
      <c r="P414" s="56"/>
      <c r="Q414" s="57"/>
      <c r="R414" s="58"/>
      <c r="S414" s="109">
        <f t="shared" ref="S414" si="254">SUM(O414:R414)</f>
        <v>0</v>
      </c>
      <c r="T414" s="55"/>
      <c r="U414" s="56"/>
      <c r="V414" s="57"/>
      <c r="W414" s="58"/>
      <c r="X414" s="109">
        <f t="shared" ref="X414" si="255">SUM(T414:W414)</f>
        <v>0</v>
      </c>
      <c r="Y414" s="107">
        <f t="shared" ref="Y414" si="256">S414+X414</f>
        <v>0</v>
      </c>
    </row>
    <row r="415" spans="1:26" ht="14.25" thickBot="1" x14ac:dyDescent="0.2">
      <c r="A415" s="72" t="s">
        <v>10</v>
      </c>
      <c r="B415" s="36">
        <f>SUM(B390:B414)</f>
        <v>8</v>
      </c>
      <c r="C415" s="46">
        <f>SUM(C390:C414)</f>
        <v>12</v>
      </c>
      <c r="D415" s="37">
        <f>SUM(D390:D414)</f>
        <v>9</v>
      </c>
      <c r="E415" s="38">
        <f>SUM(E390:E414)</f>
        <v>4</v>
      </c>
      <c r="F415" s="71">
        <f>SUM(B415:E415)</f>
        <v>33</v>
      </c>
      <c r="G415" s="36">
        <f>SUM(G390:G414)</f>
        <v>10</v>
      </c>
      <c r="H415" s="46">
        <f>SUM(H390:H414)</f>
        <v>14</v>
      </c>
      <c r="I415" s="37">
        <f>SUM(I390:I414)</f>
        <v>12</v>
      </c>
      <c r="J415" s="38">
        <f>SUM(J390:J414)</f>
        <v>9</v>
      </c>
      <c r="K415" s="71">
        <f>SUM(G415:J415)</f>
        <v>45</v>
      </c>
      <c r="L415" s="75">
        <f t="shared" si="237"/>
        <v>78</v>
      </c>
      <c r="N415" s="72" t="s">
        <v>10</v>
      </c>
      <c r="O415" s="36">
        <f>SUM(O390:O414)</f>
        <v>17</v>
      </c>
      <c r="P415" s="46">
        <f>SUM(P390:P414)</f>
        <v>21</v>
      </c>
      <c r="Q415" s="37">
        <f>SUM(Q390:Q414)</f>
        <v>5</v>
      </c>
      <c r="R415" s="38">
        <f>SUM(R390:R414)</f>
        <v>12</v>
      </c>
      <c r="S415" s="71">
        <f t="shared" si="246"/>
        <v>55</v>
      </c>
      <c r="T415" s="36">
        <f>SUM(T390:T414)</f>
        <v>20</v>
      </c>
      <c r="U415" s="46">
        <f>SUM(U390:U414)</f>
        <v>33</v>
      </c>
      <c r="V415" s="37">
        <f>SUM(V390:V414)</f>
        <v>21</v>
      </c>
      <c r="W415" s="38">
        <f>SUM(W390:W414)</f>
        <v>28</v>
      </c>
      <c r="X415" s="71">
        <f t="shared" si="247"/>
        <v>102</v>
      </c>
      <c r="Y415" s="75">
        <f t="shared" si="231"/>
        <v>157</v>
      </c>
    </row>
    <row r="416" spans="1:26" ht="14.25" thickBot="1" x14ac:dyDescent="0.2">
      <c r="A416" s="21" t="s">
        <v>11</v>
      </c>
      <c r="B416" s="39">
        <f t="shared" ref="B416:K416" si="257">B389-B415</f>
        <v>12</v>
      </c>
      <c r="C416" s="47">
        <f t="shared" si="257"/>
        <v>5</v>
      </c>
      <c r="D416" s="40">
        <f t="shared" si="257"/>
        <v>11</v>
      </c>
      <c r="E416" s="41">
        <f t="shared" si="257"/>
        <v>15</v>
      </c>
      <c r="F416" s="54">
        <f t="shared" si="257"/>
        <v>43</v>
      </c>
      <c r="G416" s="39">
        <f t="shared" si="257"/>
        <v>24</v>
      </c>
      <c r="H416" s="47">
        <f t="shared" si="257"/>
        <v>10</v>
      </c>
      <c r="I416" s="40">
        <f t="shared" si="257"/>
        <v>7</v>
      </c>
      <c r="J416" s="41">
        <f t="shared" si="257"/>
        <v>10</v>
      </c>
      <c r="K416" s="54">
        <f t="shared" si="257"/>
        <v>51</v>
      </c>
      <c r="L416" s="20">
        <f t="shared" si="237"/>
        <v>94</v>
      </c>
      <c r="N416" s="16" t="s">
        <v>11</v>
      </c>
      <c r="O416" s="39">
        <f t="shared" ref="O416:X416" si="258">O389-O415</f>
        <v>453</v>
      </c>
      <c r="P416" s="47">
        <f t="shared" si="258"/>
        <v>290</v>
      </c>
      <c r="Q416" s="40">
        <f t="shared" si="258"/>
        <v>276</v>
      </c>
      <c r="R416" s="41">
        <f t="shared" si="258"/>
        <v>177</v>
      </c>
      <c r="S416" s="54">
        <f t="shared" si="258"/>
        <v>1196</v>
      </c>
      <c r="T416" s="39">
        <f t="shared" si="258"/>
        <v>499</v>
      </c>
      <c r="U416" s="47">
        <f t="shared" si="258"/>
        <v>316</v>
      </c>
      <c r="V416" s="40">
        <f t="shared" si="258"/>
        <v>204</v>
      </c>
      <c r="W416" s="41">
        <f t="shared" si="258"/>
        <v>109</v>
      </c>
      <c r="X416" s="54">
        <f t="shared" si="258"/>
        <v>1128</v>
      </c>
      <c r="Y416" s="20">
        <f t="shared" si="231"/>
        <v>2324</v>
      </c>
    </row>
    <row r="417" spans="1:27" x14ac:dyDescent="0.15">
      <c r="N417" t="s">
        <v>316</v>
      </c>
      <c r="O417">
        <v>110</v>
      </c>
      <c r="P417">
        <v>170</v>
      </c>
      <c r="Q417">
        <v>90</v>
      </c>
      <c r="R417">
        <v>100</v>
      </c>
      <c r="T417">
        <v>50</v>
      </c>
      <c r="U417">
        <v>85</v>
      </c>
      <c r="V417">
        <v>65</v>
      </c>
      <c r="W417">
        <v>75</v>
      </c>
      <c r="X417" s="80"/>
    </row>
    <row r="418" spans="1:27" x14ac:dyDescent="0.15">
      <c r="N418" t="s">
        <v>315</v>
      </c>
      <c r="O418" s="137">
        <v>35</v>
      </c>
      <c r="P418" s="137">
        <v>50</v>
      </c>
      <c r="Q418" s="137">
        <v>45</v>
      </c>
      <c r="R418" s="136"/>
      <c r="S418" s="136"/>
      <c r="T418" s="51">
        <v>20</v>
      </c>
      <c r="U418" s="51">
        <v>30</v>
      </c>
      <c r="V418" s="51">
        <v>25</v>
      </c>
      <c r="W418" s="51"/>
      <c r="X418" s="91"/>
    </row>
    <row r="419" spans="1:27" ht="19.5" thickBot="1" x14ac:dyDescent="0.25">
      <c r="A419" s="2" t="s">
        <v>26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27</v>
      </c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7" ht="14.25" thickBot="1" x14ac:dyDescent="0.2">
      <c r="A420" s="5" t="s">
        <v>0</v>
      </c>
      <c r="B420" s="228" t="s">
        <v>19</v>
      </c>
      <c r="C420" s="229"/>
      <c r="D420" s="229"/>
      <c r="E420" s="229"/>
      <c r="F420" s="230"/>
      <c r="G420" s="231" t="s">
        <v>18</v>
      </c>
      <c r="H420" s="232"/>
      <c r="I420" s="232"/>
      <c r="J420" s="232"/>
      <c r="K420" s="233"/>
      <c r="L420" s="234" t="s">
        <v>1</v>
      </c>
      <c r="N420" s="5" t="s">
        <v>0</v>
      </c>
      <c r="O420" s="228" t="s">
        <v>19</v>
      </c>
      <c r="P420" s="229"/>
      <c r="Q420" s="229"/>
      <c r="R420" s="229"/>
      <c r="S420" s="230"/>
      <c r="T420" s="231" t="s">
        <v>18</v>
      </c>
      <c r="U420" s="232"/>
      <c r="V420" s="232"/>
      <c r="W420" s="232"/>
      <c r="X420" s="233"/>
      <c r="Y420" s="5" t="s">
        <v>1</v>
      </c>
    </row>
    <row r="421" spans="1:27" ht="14.25" thickBot="1" x14ac:dyDescent="0.2">
      <c r="A421" s="5" t="s">
        <v>2</v>
      </c>
      <c r="B421" s="3" t="s">
        <v>12</v>
      </c>
      <c r="C421" s="42" t="s">
        <v>13</v>
      </c>
      <c r="D421" s="4" t="s">
        <v>14</v>
      </c>
      <c r="E421" s="22" t="s">
        <v>15</v>
      </c>
      <c r="F421" s="30" t="s">
        <v>3</v>
      </c>
      <c r="G421" s="3" t="s">
        <v>12</v>
      </c>
      <c r="H421" s="42" t="s">
        <v>13</v>
      </c>
      <c r="I421" s="4" t="s">
        <v>14</v>
      </c>
      <c r="J421" s="22" t="s">
        <v>15</v>
      </c>
      <c r="K421" s="30" t="s">
        <v>3</v>
      </c>
      <c r="L421" s="235"/>
      <c r="N421" s="5" t="s">
        <v>2</v>
      </c>
      <c r="O421" s="64" t="s">
        <v>12</v>
      </c>
      <c r="P421" s="65" t="s">
        <v>13</v>
      </c>
      <c r="Q421" s="66" t="s">
        <v>14</v>
      </c>
      <c r="R421" s="67" t="s">
        <v>15</v>
      </c>
      <c r="S421" s="30" t="s">
        <v>3</v>
      </c>
      <c r="T421" s="3" t="s">
        <v>12</v>
      </c>
      <c r="U421" s="42" t="s">
        <v>13</v>
      </c>
      <c r="V421" s="4" t="s">
        <v>14</v>
      </c>
      <c r="W421" s="22" t="s">
        <v>15</v>
      </c>
      <c r="X421" s="30" t="s">
        <v>3</v>
      </c>
      <c r="Y421" s="140"/>
    </row>
    <row r="422" spans="1:27" ht="14.25" thickBot="1" x14ac:dyDescent="0.2">
      <c r="A422" s="21" t="s">
        <v>16</v>
      </c>
      <c r="B422" s="39">
        <f>B416</f>
        <v>12</v>
      </c>
      <c r="C422" s="40">
        <f>C416</f>
        <v>5</v>
      </c>
      <c r="D422" s="40">
        <f>D416</f>
        <v>11</v>
      </c>
      <c r="E422" s="41">
        <f>E416</f>
        <v>15</v>
      </c>
      <c r="F422" s="122">
        <f>SUM(B422:E422)</f>
        <v>43</v>
      </c>
      <c r="G422" s="39">
        <f>G416</f>
        <v>24</v>
      </c>
      <c r="H422" s="40">
        <f>H416</f>
        <v>10</v>
      </c>
      <c r="I422" s="40">
        <f>I416</f>
        <v>7</v>
      </c>
      <c r="J422" s="41">
        <f>J416</f>
        <v>10</v>
      </c>
      <c r="K422" s="123">
        <f>SUM(G422:J422)</f>
        <v>51</v>
      </c>
      <c r="L422" s="20">
        <f>F422+K422</f>
        <v>94</v>
      </c>
      <c r="N422" s="21" t="s">
        <v>16</v>
      </c>
      <c r="O422" s="39">
        <f>O416</f>
        <v>453</v>
      </c>
      <c r="P422" s="40">
        <f>P416</f>
        <v>290</v>
      </c>
      <c r="Q422" s="40">
        <f t="shared" ref="Q422:R422" si="259">Q416</f>
        <v>276</v>
      </c>
      <c r="R422" s="88">
        <f t="shared" si="259"/>
        <v>177</v>
      </c>
      <c r="S422" s="123">
        <f>SUM(O422:R422)</f>
        <v>1196</v>
      </c>
      <c r="T422" s="39">
        <f>T416</f>
        <v>499</v>
      </c>
      <c r="U422" s="40">
        <f>U416</f>
        <v>316</v>
      </c>
      <c r="V422" s="40">
        <f>V416</f>
        <v>204</v>
      </c>
      <c r="W422" s="41">
        <f>W416</f>
        <v>109</v>
      </c>
      <c r="X422" s="123">
        <f>SUM(T422:W422)</f>
        <v>1128</v>
      </c>
      <c r="Y422" s="20">
        <f t="shared" ref="Y422:Y454" si="260">S422+X422</f>
        <v>2324</v>
      </c>
    </row>
    <row r="423" spans="1:27" x14ac:dyDescent="0.15">
      <c r="A423" s="70" t="s">
        <v>290</v>
      </c>
      <c r="B423" s="6"/>
      <c r="C423" s="29"/>
      <c r="D423" s="7"/>
      <c r="E423" s="8"/>
      <c r="F423" s="9">
        <f>SUM(B423:E423)</f>
        <v>0</v>
      </c>
      <c r="G423" s="29"/>
      <c r="H423" s="29"/>
      <c r="I423" s="7">
        <v>2</v>
      </c>
      <c r="J423" s="8"/>
      <c r="K423" s="9">
        <f>SUM(G423:J423)</f>
        <v>2</v>
      </c>
      <c r="L423" s="11">
        <f t="shared" ref="L423:L454" si="261">F423+K423</f>
        <v>2</v>
      </c>
      <c r="M423" s="115">
        <v>45280</v>
      </c>
      <c r="N423" s="70" t="s">
        <v>17</v>
      </c>
      <c r="O423" s="59"/>
      <c r="P423" s="60"/>
      <c r="Q423" s="61"/>
      <c r="R423" s="62"/>
      <c r="S423" s="120">
        <f>SUM(O423:R423)</f>
        <v>0</v>
      </c>
      <c r="T423" s="60"/>
      <c r="U423" s="60"/>
      <c r="V423" s="61"/>
      <c r="W423" s="124"/>
      <c r="X423" s="121">
        <f>SUM(T423:W423)</f>
        <v>0</v>
      </c>
      <c r="Y423" s="11">
        <f t="shared" si="260"/>
        <v>0</v>
      </c>
    </row>
    <row r="424" spans="1:27" x14ac:dyDescent="0.15">
      <c r="A424" s="70" t="s">
        <v>6</v>
      </c>
      <c r="B424" s="6"/>
      <c r="C424" s="29">
        <v>10</v>
      </c>
      <c r="D424" s="7"/>
      <c r="E424" s="8"/>
      <c r="F424" s="9">
        <f t="shared" ref="F424:F426" si="262">SUM(B424:E424)</f>
        <v>10</v>
      </c>
      <c r="G424" s="29"/>
      <c r="H424" s="29">
        <v>5</v>
      </c>
      <c r="I424" s="7"/>
      <c r="J424" s="8"/>
      <c r="K424" s="9">
        <f t="shared" ref="K424:K426" si="263">SUM(G424:J424)</f>
        <v>5</v>
      </c>
      <c r="L424" s="11">
        <f t="shared" si="261"/>
        <v>15</v>
      </c>
      <c r="M424" s="85">
        <v>45287</v>
      </c>
      <c r="N424" s="13" t="s">
        <v>5</v>
      </c>
      <c r="O424" s="25"/>
      <c r="P424" s="45"/>
      <c r="Q424" s="26"/>
      <c r="R424" s="32"/>
      <c r="S424" s="68">
        <f>SUM(O424:R424)</f>
        <v>0</v>
      </c>
      <c r="T424" s="45"/>
      <c r="U424" s="45"/>
      <c r="V424" s="26"/>
      <c r="W424" s="48"/>
      <c r="X424" s="9">
        <f>SUM(T424:W424)</f>
        <v>0</v>
      </c>
      <c r="Y424" s="11">
        <f t="shared" ref="Y424" si="264">S424+X424</f>
        <v>0</v>
      </c>
    </row>
    <row r="425" spans="1:27" x14ac:dyDescent="0.15">
      <c r="A425" s="70" t="s">
        <v>7</v>
      </c>
      <c r="B425" s="6">
        <v>3</v>
      </c>
      <c r="C425" s="29">
        <v>3</v>
      </c>
      <c r="D425" s="7">
        <v>3</v>
      </c>
      <c r="E425" s="8"/>
      <c r="F425" s="9">
        <f t="shared" si="262"/>
        <v>9</v>
      </c>
      <c r="G425" s="29"/>
      <c r="H425" s="29">
        <v>3</v>
      </c>
      <c r="I425" s="7">
        <v>3</v>
      </c>
      <c r="J425" s="8"/>
      <c r="K425" s="9">
        <f t="shared" si="263"/>
        <v>6</v>
      </c>
      <c r="L425" s="11">
        <f t="shared" si="261"/>
        <v>15</v>
      </c>
      <c r="M425" s="85">
        <v>45308</v>
      </c>
      <c r="N425" s="13" t="s">
        <v>6</v>
      </c>
      <c r="O425" s="25"/>
      <c r="P425" s="45"/>
      <c r="Q425" s="26"/>
      <c r="R425" s="32"/>
      <c r="S425" s="68">
        <f>SUM(O425:R425)</f>
        <v>0</v>
      </c>
      <c r="T425" s="45"/>
      <c r="U425" s="45"/>
      <c r="V425" s="26"/>
      <c r="W425" s="48"/>
      <c r="X425" s="9">
        <f>SUM(T425:W425)</f>
        <v>0</v>
      </c>
      <c r="Y425" s="11">
        <f t="shared" si="260"/>
        <v>0</v>
      </c>
    </row>
    <row r="426" spans="1:27" ht="14.25" thickBot="1" x14ac:dyDescent="0.2">
      <c r="A426" s="70" t="s">
        <v>290</v>
      </c>
      <c r="B426" s="125"/>
      <c r="C426" s="126">
        <v>2</v>
      </c>
      <c r="D426" s="127"/>
      <c r="E426" s="128"/>
      <c r="F426" s="129">
        <f t="shared" si="262"/>
        <v>2</v>
      </c>
      <c r="G426" s="126"/>
      <c r="H426" s="126"/>
      <c r="I426" s="127">
        <v>2</v>
      </c>
      <c r="J426" s="128"/>
      <c r="K426" s="129">
        <f t="shared" si="263"/>
        <v>2</v>
      </c>
      <c r="L426" s="14">
        <f t="shared" si="261"/>
        <v>4</v>
      </c>
      <c r="M426" s="115">
        <v>45310</v>
      </c>
      <c r="N426" s="13" t="s">
        <v>7</v>
      </c>
      <c r="O426" s="55"/>
      <c r="P426" s="56"/>
      <c r="Q426" s="57"/>
      <c r="R426" s="58"/>
      <c r="S426" s="69">
        <f>SUM(O426:R426)</f>
        <v>0</v>
      </c>
      <c r="T426" s="45"/>
      <c r="U426" s="45"/>
      <c r="V426" s="26"/>
      <c r="W426" s="48"/>
      <c r="X426" s="10">
        <f>SUM(T426:W426)</f>
        <v>0</v>
      </c>
      <c r="Y426" s="14">
        <f t="shared" si="260"/>
        <v>0</v>
      </c>
    </row>
    <row r="427" spans="1:27" ht="14.25" thickBot="1" x14ac:dyDescent="0.2">
      <c r="A427" s="21" t="s">
        <v>9</v>
      </c>
      <c r="B427" s="130">
        <f t="shared" ref="B427:K427" si="265">SUM(B422:B426)</f>
        <v>15</v>
      </c>
      <c r="C427" s="131">
        <f t="shared" si="265"/>
        <v>20</v>
      </c>
      <c r="D427" s="132">
        <f t="shared" si="265"/>
        <v>14</v>
      </c>
      <c r="E427" s="133">
        <f t="shared" si="265"/>
        <v>15</v>
      </c>
      <c r="F427" s="123">
        <f t="shared" si="265"/>
        <v>64</v>
      </c>
      <c r="G427" s="130">
        <f t="shared" si="265"/>
        <v>24</v>
      </c>
      <c r="H427" s="131">
        <f t="shared" si="265"/>
        <v>18</v>
      </c>
      <c r="I427" s="132">
        <f t="shared" si="265"/>
        <v>14</v>
      </c>
      <c r="J427" s="133">
        <f t="shared" si="265"/>
        <v>10</v>
      </c>
      <c r="K427" s="123">
        <f t="shared" si="265"/>
        <v>66</v>
      </c>
      <c r="L427" s="20">
        <f t="shared" si="261"/>
        <v>130</v>
      </c>
      <c r="N427" s="16" t="s">
        <v>9</v>
      </c>
      <c r="O427" s="39">
        <f t="shared" ref="O427:X427" si="266">SUM(O422:O426)</f>
        <v>453</v>
      </c>
      <c r="P427" s="47">
        <f t="shared" si="266"/>
        <v>290</v>
      </c>
      <c r="Q427" s="40">
        <f t="shared" si="266"/>
        <v>276</v>
      </c>
      <c r="R427" s="88">
        <f t="shared" si="266"/>
        <v>177</v>
      </c>
      <c r="S427" s="89">
        <f t="shared" si="266"/>
        <v>1196</v>
      </c>
      <c r="T427" s="39">
        <f t="shared" si="266"/>
        <v>499</v>
      </c>
      <c r="U427" s="47">
        <f t="shared" si="266"/>
        <v>316</v>
      </c>
      <c r="V427" s="40">
        <f t="shared" si="266"/>
        <v>204</v>
      </c>
      <c r="W427" s="88">
        <f t="shared" si="266"/>
        <v>109</v>
      </c>
      <c r="X427" s="89">
        <f t="shared" si="266"/>
        <v>1128</v>
      </c>
      <c r="Y427" s="49">
        <f t="shared" si="260"/>
        <v>2324</v>
      </c>
    </row>
    <row r="428" spans="1:27" x14ac:dyDescent="0.15">
      <c r="A428" s="70" t="s">
        <v>30</v>
      </c>
      <c r="B428" s="59"/>
      <c r="C428" s="60"/>
      <c r="D428" s="61"/>
      <c r="E428" s="62"/>
      <c r="F428" s="63">
        <f t="shared" ref="F428:F452" si="267">SUM(B428:E428)</f>
        <v>0</v>
      </c>
      <c r="G428" s="59"/>
      <c r="H428" s="60">
        <v>1</v>
      </c>
      <c r="I428" s="61"/>
      <c r="J428" s="62"/>
      <c r="K428" s="63">
        <f t="shared" ref="K428:K452" si="268">SUM(G428:J428)</f>
        <v>1</v>
      </c>
      <c r="L428" s="11">
        <f t="shared" si="261"/>
        <v>1</v>
      </c>
      <c r="M428" s="115">
        <v>45278</v>
      </c>
      <c r="N428" s="12" t="s">
        <v>351</v>
      </c>
      <c r="O428" s="25"/>
      <c r="P428" s="45"/>
      <c r="Q428" s="26"/>
      <c r="R428" s="32"/>
      <c r="S428" s="33">
        <f t="shared" ref="S428:S453" si="269">SUM(O428:R428)</f>
        <v>0</v>
      </c>
      <c r="T428" s="25"/>
      <c r="U428" s="45"/>
      <c r="V428" s="26"/>
      <c r="W428" s="32">
        <v>6</v>
      </c>
      <c r="X428" s="33">
        <f t="shared" ref="X428:X453" si="270">SUM(T428:W428)</f>
        <v>6</v>
      </c>
      <c r="Y428" s="11">
        <f t="shared" si="260"/>
        <v>6</v>
      </c>
      <c r="Z428" s="85">
        <v>45300</v>
      </c>
    </row>
    <row r="429" spans="1:27" x14ac:dyDescent="0.15">
      <c r="A429" s="70" t="s">
        <v>30</v>
      </c>
      <c r="B429" s="25">
        <v>1</v>
      </c>
      <c r="C429" s="45"/>
      <c r="D429" s="26"/>
      <c r="E429" s="32"/>
      <c r="F429" s="33">
        <f t="shared" si="267"/>
        <v>1</v>
      </c>
      <c r="G429" s="25"/>
      <c r="H429" s="45"/>
      <c r="I429" s="26"/>
      <c r="J429" s="32"/>
      <c r="K429" s="33">
        <f t="shared" si="268"/>
        <v>0</v>
      </c>
      <c r="L429" s="11">
        <f t="shared" si="261"/>
        <v>1</v>
      </c>
      <c r="M429" s="115">
        <v>45279</v>
      </c>
      <c r="N429" s="13" t="s">
        <v>352</v>
      </c>
      <c r="O429" s="25">
        <v>2</v>
      </c>
      <c r="P429" s="45"/>
      <c r="Q429" s="26"/>
      <c r="R429" s="32">
        <v>2</v>
      </c>
      <c r="S429" s="33">
        <f t="shared" si="269"/>
        <v>4</v>
      </c>
      <c r="T429" s="25"/>
      <c r="U429" s="45"/>
      <c r="V429" s="26">
        <v>2</v>
      </c>
      <c r="W429" s="32"/>
      <c r="X429" s="33">
        <f t="shared" si="270"/>
        <v>2</v>
      </c>
      <c r="Y429" s="11">
        <f t="shared" si="260"/>
        <v>6</v>
      </c>
      <c r="Z429" s="85">
        <v>45309</v>
      </c>
      <c r="AA429" s="51"/>
    </row>
    <row r="430" spans="1:27" x14ac:dyDescent="0.15">
      <c r="A430" s="70" t="s">
        <v>30</v>
      </c>
      <c r="B430" s="25"/>
      <c r="C430" s="45"/>
      <c r="D430" s="26">
        <v>1</v>
      </c>
      <c r="E430" s="32"/>
      <c r="F430" s="33">
        <f t="shared" si="267"/>
        <v>1</v>
      </c>
      <c r="G430" s="25"/>
      <c r="H430" s="45"/>
      <c r="I430" s="26"/>
      <c r="J430" s="32"/>
      <c r="K430" s="33">
        <f t="shared" si="268"/>
        <v>0</v>
      </c>
      <c r="L430" s="11">
        <f t="shared" si="261"/>
        <v>1</v>
      </c>
      <c r="M430" s="85">
        <v>45280</v>
      </c>
      <c r="N430" s="50" t="s">
        <v>28</v>
      </c>
      <c r="O430" s="25">
        <v>3</v>
      </c>
      <c r="P430" s="45">
        <v>3</v>
      </c>
      <c r="Q430" s="26">
        <v>3</v>
      </c>
      <c r="R430" s="32"/>
      <c r="S430" s="33">
        <f t="shared" si="269"/>
        <v>9</v>
      </c>
      <c r="T430" s="25"/>
      <c r="U430" s="45">
        <v>3</v>
      </c>
      <c r="V430" s="26">
        <v>3</v>
      </c>
      <c r="W430" s="32"/>
      <c r="X430" s="33">
        <f t="shared" si="270"/>
        <v>6</v>
      </c>
      <c r="Y430" s="11">
        <f t="shared" si="260"/>
        <v>15</v>
      </c>
      <c r="Z430" s="85">
        <v>45308</v>
      </c>
    </row>
    <row r="431" spans="1:27" x14ac:dyDescent="0.15">
      <c r="A431" s="70" t="s">
        <v>30</v>
      </c>
      <c r="B431" s="25"/>
      <c r="C431" s="45">
        <v>1</v>
      </c>
      <c r="D431" s="26"/>
      <c r="E431" s="32"/>
      <c r="F431" s="33">
        <f t="shared" si="267"/>
        <v>1</v>
      </c>
      <c r="G431" s="25"/>
      <c r="H431" s="45"/>
      <c r="I431" s="26"/>
      <c r="J431" s="32"/>
      <c r="K431" s="33">
        <f t="shared" si="268"/>
        <v>0</v>
      </c>
      <c r="L431" s="11">
        <f t="shared" si="261"/>
        <v>1</v>
      </c>
      <c r="M431" s="85">
        <v>45281</v>
      </c>
      <c r="N431" s="12" t="s">
        <v>358</v>
      </c>
      <c r="O431" s="25">
        <v>1</v>
      </c>
      <c r="P431" s="45"/>
      <c r="Q431" s="26"/>
      <c r="R431" s="32"/>
      <c r="S431" s="33">
        <f t="shared" si="269"/>
        <v>1</v>
      </c>
      <c r="T431" s="25"/>
      <c r="U431" s="45"/>
      <c r="V431" s="26"/>
      <c r="W431" s="32"/>
      <c r="X431" s="33">
        <f t="shared" si="270"/>
        <v>0</v>
      </c>
      <c r="Y431" s="11">
        <f t="shared" si="260"/>
        <v>1</v>
      </c>
      <c r="Z431" s="85">
        <v>45322</v>
      </c>
    </row>
    <row r="432" spans="1:27" x14ac:dyDescent="0.15">
      <c r="A432" s="15" t="s">
        <v>350</v>
      </c>
      <c r="B432" s="25"/>
      <c r="C432" s="45"/>
      <c r="D432" s="26"/>
      <c r="E432" s="32"/>
      <c r="F432" s="33">
        <f t="shared" si="267"/>
        <v>0</v>
      </c>
      <c r="G432" s="25"/>
      <c r="H432" s="45">
        <v>1</v>
      </c>
      <c r="I432" s="26"/>
      <c r="J432" s="32"/>
      <c r="K432" s="33">
        <f t="shared" si="268"/>
        <v>1</v>
      </c>
      <c r="L432" s="11">
        <f t="shared" si="261"/>
        <v>1</v>
      </c>
      <c r="M432" s="85">
        <v>45287</v>
      </c>
      <c r="N432" s="50" t="s">
        <v>28</v>
      </c>
      <c r="O432" s="25">
        <v>5</v>
      </c>
      <c r="P432" s="45"/>
      <c r="Q432" s="26"/>
      <c r="R432" s="32"/>
      <c r="S432" s="33">
        <f t="shared" si="269"/>
        <v>5</v>
      </c>
      <c r="T432" s="25"/>
      <c r="U432" s="45">
        <v>5</v>
      </c>
      <c r="V432" s="26"/>
      <c r="W432" s="32"/>
      <c r="X432" s="33">
        <f t="shared" si="270"/>
        <v>5</v>
      </c>
      <c r="Y432" s="11">
        <f t="shared" si="260"/>
        <v>10</v>
      </c>
      <c r="Z432" s="85">
        <v>45320</v>
      </c>
    </row>
    <row r="433" spans="1:26" x14ac:dyDescent="0.15">
      <c r="A433" s="70" t="s">
        <v>30</v>
      </c>
      <c r="B433" s="25">
        <v>3</v>
      </c>
      <c r="C433" s="45">
        <v>1</v>
      </c>
      <c r="D433" s="26"/>
      <c r="E433" s="32"/>
      <c r="F433" s="33">
        <f t="shared" si="267"/>
        <v>4</v>
      </c>
      <c r="G433" s="25">
        <v>1</v>
      </c>
      <c r="H433" s="45">
        <v>1</v>
      </c>
      <c r="I433" s="26"/>
      <c r="J433" s="32"/>
      <c r="K433" s="33">
        <f t="shared" si="268"/>
        <v>2</v>
      </c>
      <c r="L433" s="11">
        <f t="shared" si="261"/>
        <v>6</v>
      </c>
      <c r="M433" s="115">
        <v>45285</v>
      </c>
      <c r="N433" s="12" t="s">
        <v>361</v>
      </c>
      <c r="O433" s="25">
        <v>3</v>
      </c>
      <c r="P433" s="45"/>
      <c r="Q433" s="26"/>
      <c r="R433" s="32"/>
      <c r="S433" s="33">
        <f t="shared" si="269"/>
        <v>3</v>
      </c>
      <c r="T433" s="25"/>
      <c r="U433" s="45"/>
      <c r="V433" s="26"/>
      <c r="W433" s="32"/>
      <c r="X433" s="33">
        <f t="shared" si="270"/>
        <v>0</v>
      </c>
      <c r="Y433" s="11">
        <f t="shared" si="260"/>
        <v>3</v>
      </c>
      <c r="Z433" s="85">
        <v>45324</v>
      </c>
    </row>
    <row r="434" spans="1:26" x14ac:dyDescent="0.15">
      <c r="A434" s="70" t="s">
        <v>30</v>
      </c>
      <c r="B434" s="25"/>
      <c r="C434" s="45">
        <v>1</v>
      </c>
      <c r="D434" s="26"/>
      <c r="E434" s="32"/>
      <c r="F434" s="33">
        <f t="shared" si="267"/>
        <v>1</v>
      </c>
      <c r="G434" s="25"/>
      <c r="H434" s="45">
        <v>1</v>
      </c>
      <c r="I434" s="26"/>
      <c r="J434" s="32"/>
      <c r="K434" s="33">
        <f t="shared" si="268"/>
        <v>1</v>
      </c>
      <c r="L434" s="11">
        <f t="shared" si="261"/>
        <v>2</v>
      </c>
      <c r="M434" s="115">
        <v>45286</v>
      </c>
      <c r="N434" s="12" t="s">
        <v>362</v>
      </c>
      <c r="O434" s="25"/>
      <c r="P434" s="45"/>
      <c r="Q434" s="26"/>
      <c r="R434" s="32"/>
      <c r="S434" s="33">
        <f t="shared" si="269"/>
        <v>0</v>
      </c>
      <c r="T434" s="25"/>
      <c r="U434" s="45">
        <v>2</v>
      </c>
      <c r="V434" s="26"/>
      <c r="W434" s="32"/>
      <c r="X434" s="33">
        <f t="shared" si="270"/>
        <v>2</v>
      </c>
      <c r="Y434" s="11">
        <f t="shared" si="260"/>
        <v>2</v>
      </c>
      <c r="Z434" s="85">
        <v>45330</v>
      </c>
    </row>
    <row r="435" spans="1:26" x14ac:dyDescent="0.15">
      <c r="A435" s="70" t="s">
        <v>30</v>
      </c>
      <c r="B435" s="25">
        <v>1</v>
      </c>
      <c r="C435" s="45">
        <v>1</v>
      </c>
      <c r="D435" s="26"/>
      <c r="E435" s="32">
        <v>1</v>
      </c>
      <c r="F435" s="33">
        <f t="shared" si="267"/>
        <v>3</v>
      </c>
      <c r="G435" s="25"/>
      <c r="H435" s="45"/>
      <c r="I435" s="26"/>
      <c r="J435" s="32"/>
      <c r="K435" s="33">
        <f t="shared" si="268"/>
        <v>0</v>
      </c>
      <c r="L435" s="11">
        <f t="shared" si="261"/>
        <v>3</v>
      </c>
      <c r="M435" s="85">
        <v>45296</v>
      </c>
      <c r="N435" s="13" t="s">
        <v>363</v>
      </c>
      <c r="O435" s="25">
        <v>5</v>
      </c>
      <c r="P435" s="45">
        <v>5</v>
      </c>
      <c r="Q435" s="26"/>
      <c r="R435" s="32">
        <v>2</v>
      </c>
      <c r="S435" s="33">
        <f t="shared" si="269"/>
        <v>12</v>
      </c>
      <c r="T435" s="25"/>
      <c r="U435" s="45"/>
      <c r="V435" s="26">
        <v>2</v>
      </c>
      <c r="W435" s="32">
        <v>5</v>
      </c>
      <c r="X435" s="33">
        <f t="shared" si="270"/>
        <v>7</v>
      </c>
      <c r="Y435" s="11">
        <f t="shared" si="260"/>
        <v>19</v>
      </c>
      <c r="Z435" s="85">
        <v>45336</v>
      </c>
    </row>
    <row r="436" spans="1:26" x14ac:dyDescent="0.15">
      <c r="A436" s="70" t="s">
        <v>30</v>
      </c>
      <c r="B436" s="25"/>
      <c r="C436" s="45">
        <v>1</v>
      </c>
      <c r="D436" s="26"/>
      <c r="E436" s="32"/>
      <c r="F436" s="33">
        <f t="shared" si="267"/>
        <v>1</v>
      </c>
      <c r="G436" s="25"/>
      <c r="H436" s="45">
        <v>1</v>
      </c>
      <c r="I436" s="26"/>
      <c r="J436" s="32"/>
      <c r="K436" s="33">
        <f t="shared" si="268"/>
        <v>1</v>
      </c>
      <c r="L436" s="11">
        <f t="shared" si="261"/>
        <v>2</v>
      </c>
      <c r="M436" s="85">
        <v>45301</v>
      </c>
      <c r="N436" s="12" t="s">
        <v>364</v>
      </c>
      <c r="O436" s="25"/>
      <c r="P436" s="45"/>
      <c r="Q436" s="26"/>
      <c r="R436" s="32"/>
      <c r="S436" s="33">
        <f t="shared" si="269"/>
        <v>0</v>
      </c>
      <c r="T436" s="25">
        <v>2</v>
      </c>
      <c r="U436" s="45"/>
      <c r="V436" s="26"/>
      <c r="W436" s="32"/>
      <c r="X436" s="33">
        <f t="shared" si="270"/>
        <v>2</v>
      </c>
      <c r="Y436" s="11">
        <f t="shared" si="260"/>
        <v>2</v>
      </c>
      <c r="Z436" s="85">
        <v>45336</v>
      </c>
    </row>
    <row r="437" spans="1:26" x14ac:dyDescent="0.15">
      <c r="A437" s="15" t="s">
        <v>353</v>
      </c>
      <c r="B437" s="25"/>
      <c r="C437" s="45"/>
      <c r="D437" s="26"/>
      <c r="E437" s="32"/>
      <c r="F437" s="33">
        <f t="shared" si="267"/>
        <v>0</v>
      </c>
      <c r="G437" s="25"/>
      <c r="H437" s="45">
        <v>4</v>
      </c>
      <c r="I437" s="26"/>
      <c r="J437" s="32"/>
      <c r="K437" s="33">
        <f t="shared" si="268"/>
        <v>4</v>
      </c>
      <c r="L437" s="11">
        <f t="shared" si="261"/>
        <v>4</v>
      </c>
      <c r="M437" s="85">
        <v>45306</v>
      </c>
      <c r="N437" s="50"/>
      <c r="O437" s="25"/>
      <c r="P437" s="45"/>
      <c r="Q437" s="26"/>
      <c r="R437" s="32"/>
      <c r="S437" s="33">
        <f t="shared" si="269"/>
        <v>0</v>
      </c>
      <c r="T437" s="25"/>
      <c r="U437" s="45"/>
      <c r="V437" s="26"/>
      <c r="W437" s="32"/>
      <c r="X437" s="33">
        <f t="shared" si="270"/>
        <v>0</v>
      </c>
      <c r="Y437" s="11">
        <f t="shared" si="260"/>
        <v>0</v>
      </c>
    </row>
    <row r="438" spans="1:26" x14ac:dyDescent="0.15">
      <c r="A438" s="70" t="s">
        <v>30</v>
      </c>
      <c r="B438" s="25">
        <v>1</v>
      </c>
      <c r="C438" s="45"/>
      <c r="D438" s="26">
        <v>2</v>
      </c>
      <c r="E438" s="32"/>
      <c r="F438" s="33">
        <f t="shared" si="267"/>
        <v>3</v>
      </c>
      <c r="G438" s="25"/>
      <c r="H438" s="45"/>
      <c r="I438" s="26"/>
      <c r="J438" s="32"/>
      <c r="K438" s="33">
        <f t="shared" si="268"/>
        <v>0</v>
      </c>
      <c r="L438" s="11">
        <f t="shared" si="261"/>
        <v>3</v>
      </c>
      <c r="M438" s="115">
        <v>45303</v>
      </c>
      <c r="N438" s="50"/>
      <c r="O438" s="25"/>
      <c r="P438" s="45"/>
      <c r="Q438" s="26"/>
      <c r="R438" s="32"/>
      <c r="S438" s="33">
        <f t="shared" si="269"/>
        <v>0</v>
      </c>
      <c r="T438" s="25"/>
      <c r="U438" s="45"/>
      <c r="V438" s="26"/>
      <c r="W438" s="32"/>
      <c r="X438" s="33">
        <f t="shared" si="270"/>
        <v>0</v>
      </c>
      <c r="Y438" s="11">
        <f t="shared" si="260"/>
        <v>0</v>
      </c>
    </row>
    <row r="439" spans="1:26" x14ac:dyDescent="0.15">
      <c r="A439" s="15" t="s">
        <v>108</v>
      </c>
      <c r="B439" s="25"/>
      <c r="C439" s="45"/>
      <c r="D439" s="26"/>
      <c r="E439" s="32">
        <v>1</v>
      </c>
      <c r="F439" s="33">
        <f t="shared" si="267"/>
        <v>1</v>
      </c>
      <c r="G439" s="25"/>
      <c r="H439" s="45"/>
      <c r="I439" s="26"/>
      <c r="J439" s="32"/>
      <c r="K439" s="33">
        <f t="shared" si="268"/>
        <v>0</v>
      </c>
      <c r="L439" s="11">
        <f t="shared" si="261"/>
        <v>1</v>
      </c>
      <c r="M439" s="85">
        <v>45306</v>
      </c>
      <c r="N439" s="50"/>
      <c r="O439" s="25"/>
      <c r="P439" s="45"/>
      <c r="Q439" s="26"/>
      <c r="R439" s="32"/>
      <c r="S439" s="33">
        <f t="shared" si="269"/>
        <v>0</v>
      </c>
      <c r="T439" s="25"/>
      <c r="U439" s="45"/>
      <c r="V439" s="26"/>
      <c r="W439" s="32"/>
      <c r="X439" s="33">
        <f t="shared" si="270"/>
        <v>0</v>
      </c>
      <c r="Y439" s="11">
        <f t="shared" si="260"/>
        <v>0</v>
      </c>
    </row>
    <row r="440" spans="1:26" x14ac:dyDescent="0.15">
      <c r="A440" s="70" t="s">
        <v>30</v>
      </c>
      <c r="B440" s="25">
        <v>1</v>
      </c>
      <c r="C440" s="45">
        <f>1+1</f>
        <v>2</v>
      </c>
      <c r="D440" s="26"/>
      <c r="E440" s="32"/>
      <c r="F440" s="33">
        <f t="shared" si="267"/>
        <v>3</v>
      </c>
      <c r="G440" s="25"/>
      <c r="H440" s="45">
        <v>1</v>
      </c>
      <c r="I440" s="26"/>
      <c r="J440" s="32"/>
      <c r="K440" s="33">
        <f t="shared" si="268"/>
        <v>1</v>
      </c>
      <c r="L440" s="11">
        <f t="shared" si="261"/>
        <v>4</v>
      </c>
      <c r="M440" s="115">
        <v>45306</v>
      </c>
      <c r="N440" s="50"/>
      <c r="O440" s="25"/>
      <c r="P440" s="45"/>
      <c r="Q440" s="26"/>
      <c r="R440" s="32"/>
      <c r="S440" s="33">
        <f t="shared" si="269"/>
        <v>0</v>
      </c>
      <c r="T440" s="25"/>
      <c r="U440" s="45"/>
      <c r="V440" s="26"/>
      <c r="W440" s="32"/>
      <c r="X440" s="33">
        <f t="shared" si="270"/>
        <v>0</v>
      </c>
      <c r="Y440" s="11">
        <f t="shared" si="260"/>
        <v>0</v>
      </c>
    </row>
    <row r="441" spans="1:26" x14ac:dyDescent="0.15">
      <c r="A441" s="70" t="s">
        <v>30</v>
      </c>
      <c r="B441" s="25">
        <v>1</v>
      </c>
      <c r="C441" s="45">
        <v>1</v>
      </c>
      <c r="D441" s="26">
        <v>2</v>
      </c>
      <c r="E441" s="32"/>
      <c r="F441" s="33">
        <f t="shared" si="267"/>
        <v>4</v>
      </c>
      <c r="G441" s="25">
        <v>1</v>
      </c>
      <c r="H441" s="45"/>
      <c r="I441" s="26">
        <v>1</v>
      </c>
      <c r="J441" s="32"/>
      <c r="K441" s="33">
        <f t="shared" si="268"/>
        <v>2</v>
      </c>
      <c r="L441" s="11">
        <f t="shared" si="261"/>
        <v>6</v>
      </c>
      <c r="M441" s="115">
        <v>45307</v>
      </c>
      <c r="N441" s="50"/>
      <c r="O441" s="25"/>
      <c r="P441" s="45"/>
      <c r="Q441" s="26"/>
      <c r="R441" s="32"/>
      <c r="S441" s="33">
        <f t="shared" si="269"/>
        <v>0</v>
      </c>
      <c r="T441" s="25"/>
      <c r="U441" s="45"/>
      <c r="V441" s="26"/>
      <c r="W441" s="32"/>
      <c r="X441" s="33">
        <f t="shared" si="270"/>
        <v>0</v>
      </c>
      <c r="Y441" s="11">
        <f t="shared" si="260"/>
        <v>0</v>
      </c>
    </row>
    <row r="442" spans="1:26" x14ac:dyDescent="0.15">
      <c r="A442" s="70" t="s">
        <v>30</v>
      </c>
      <c r="B442" s="25"/>
      <c r="C442" s="45"/>
      <c r="D442" s="26"/>
      <c r="E442" s="32"/>
      <c r="F442" s="33">
        <f t="shared" si="267"/>
        <v>0</v>
      </c>
      <c r="G442" s="25"/>
      <c r="H442" s="45">
        <v>1</v>
      </c>
      <c r="I442" s="26"/>
      <c r="J442" s="32"/>
      <c r="K442" s="33">
        <f t="shared" si="268"/>
        <v>1</v>
      </c>
      <c r="L442" s="11">
        <f t="shared" si="261"/>
        <v>1</v>
      </c>
      <c r="M442" s="115">
        <v>45310</v>
      </c>
      <c r="N442" s="50"/>
      <c r="O442" s="25"/>
      <c r="P442" s="45"/>
      <c r="Q442" s="26"/>
      <c r="R442" s="32"/>
      <c r="S442" s="33">
        <f t="shared" si="269"/>
        <v>0</v>
      </c>
      <c r="T442" s="25"/>
      <c r="U442" s="45"/>
      <c r="V442" s="26"/>
      <c r="W442" s="32"/>
      <c r="X442" s="33">
        <f t="shared" si="270"/>
        <v>0</v>
      </c>
      <c r="Y442" s="11">
        <f t="shared" si="260"/>
        <v>0</v>
      </c>
    </row>
    <row r="443" spans="1:26" x14ac:dyDescent="0.15">
      <c r="A443" s="70" t="s">
        <v>30</v>
      </c>
      <c r="B443" s="25">
        <v>1</v>
      </c>
      <c r="C443" s="45"/>
      <c r="D443" s="26"/>
      <c r="E443" s="32"/>
      <c r="F443" s="33">
        <f t="shared" si="267"/>
        <v>1</v>
      </c>
      <c r="G443" s="25">
        <v>1</v>
      </c>
      <c r="H443" s="45"/>
      <c r="I443" s="26"/>
      <c r="J443" s="32"/>
      <c r="K443" s="33">
        <f t="shared" si="268"/>
        <v>1</v>
      </c>
      <c r="L443" s="11">
        <f t="shared" si="261"/>
        <v>2</v>
      </c>
      <c r="M443" s="115">
        <v>45314</v>
      </c>
      <c r="N443" s="50"/>
      <c r="O443" s="25"/>
      <c r="P443" s="45"/>
      <c r="Q443" s="26"/>
      <c r="R443" s="32"/>
      <c r="S443" s="33">
        <f t="shared" si="269"/>
        <v>0</v>
      </c>
      <c r="T443" s="25"/>
      <c r="U443" s="45"/>
      <c r="V443" s="26"/>
      <c r="W443" s="32"/>
      <c r="X443" s="33">
        <f t="shared" si="270"/>
        <v>0</v>
      </c>
      <c r="Y443" s="11">
        <f t="shared" si="260"/>
        <v>0</v>
      </c>
    </row>
    <row r="444" spans="1:26" x14ac:dyDescent="0.15">
      <c r="A444" s="70" t="s">
        <v>30</v>
      </c>
      <c r="B444" s="25"/>
      <c r="C444" s="45"/>
      <c r="D444" s="26"/>
      <c r="E444" s="32">
        <v>1</v>
      </c>
      <c r="F444" s="33">
        <f t="shared" si="267"/>
        <v>1</v>
      </c>
      <c r="G444" s="25"/>
      <c r="H444" s="45"/>
      <c r="I444" s="26"/>
      <c r="J444" s="32"/>
      <c r="K444" s="33">
        <f t="shared" si="268"/>
        <v>0</v>
      </c>
      <c r="L444" s="11">
        <f t="shared" si="261"/>
        <v>1</v>
      </c>
      <c r="M444" s="85">
        <v>45317</v>
      </c>
      <c r="N444" s="50"/>
      <c r="O444" s="25"/>
      <c r="P444" s="45"/>
      <c r="Q444" s="26"/>
      <c r="R444" s="32"/>
      <c r="S444" s="33">
        <f t="shared" si="269"/>
        <v>0</v>
      </c>
      <c r="T444" s="25"/>
      <c r="U444" s="45"/>
      <c r="V444" s="26"/>
      <c r="W444" s="32"/>
      <c r="X444" s="33">
        <f t="shared" si="270"/>
        <v>0</v>
      </c>
      <c r="Y444" s="11">
        <f t="shared" si="260"/>
        <v>0</v>
      </c>
    </row>
    <row r="445" spans="1:26" x14ac:dyDescent="0.15">
      <c r="A445" s="15" t="s">
        <v>359</v>
      </c>
      <c r="B445" s="25">
        <v>-5</v>
      </c>
      <c r="C445" s="45"/>
      <c r="D445" s="26"/>
      <c r="E445" s="32"/>
      <c r="F445" s="33">
        <f t="shared" si="267"/>
        <v>-5</v>
      </c>
      <c r="G445" s="25"/>
      <c r="H445" s="45">
        <v>-5</v>
      </c>
      <c r="I445" s="26"/>
      <c r="J445" s="32"/>
      <c r="K445" s="33">
        <f t="shared" si="268"/>
        <v>-5</v>
      </c>
      <c r="L445" s="11">
        <f t="shared" si="261"/>
        <v>-10</v>
      </c>
      <c r="M445" s="85">
        <v>45320</v>
      </c>
      <c r="N445" s="50"/>
      <c r="O445" s="25"/>
      <c r="P445" s="45"/>
      <c r="Q445" s="26"/>
      <c r="R445" s="32"/>
      <c r="S445" s="33">
        <f t="shared" si="269"/>
        <v>0</v>
      </c>
      <c r="T445" s="25"/>
      <c r="U445" s="45"/>
      <c r="V445" s="26"/>
      <c r="W445" s="32"/>
      <c r="X445" s="33">
        <f t="shared" si="270"/>
        <v>0</v>
      </c>
      <c r="Y445" s="11">
        <f t="shared" si="260"/>
        <v>0</v>
      </c>
    </row>
    <row r="446" spans="1:26" x14ac:dyDescent="0.15">
      <c r="A446" s="70" t="s">
        <v>30</v>
      </c>
      <c r="B446" s="25"/>
      <c r="C446" s="45">
        <v>1</v>
      </c>
      <c r="D446" s="26"/>
      <c r="E446" s="32"/>
      <c r="F446" s="33">
        <f t="shared" si="267"/>
        <v>1</v>
      </c>
      <c r="G446" s="25"/>
      <c r="H446" s="45"/>
      <c r="I446" s="26"/>
      <c r="J446" s="32"/>
      <c r="K446" s="33">
        <f t="shared" si="268"/>
        <v>0</v>
      </c>
      <c r="L446" s="11">
        <f t="shared" si="261"/>
        <v>1</v>
      </c>
      <c r="M446" s="115">
        <v>45317</v>
      </c>
      <c r="N446" s="50"/>
      <c r="O446" s="25"/>
      <c r="P446" s="45"/>
      <c r="Q446" s="26"/>
      <c r="R446" s="32"/>
      <c r="S446" s="33">
        <f t="shared" si="269"/>
        <v>0</v>
      </c>
      <c r="T446" s="25"/>
      <c r="U446" s="45"/>
      <c r="V446" s="26"/>
      <c r="W446" s="32"/>
      <c r="X446" s="33">
        <f t="shared" si="270"/>
        <v>0</v>
      </c>
      <c r="Y446" s="11">
        <f t="shared" si="260"/>
        <v>0</v>
      </c>
    </row>
    <row r="447" spans="1:26" x14ac:dyDescent="0.15">
      <c r="A447" s="15" t="s">
        <v>360</v>
      </c>
      <c r="B447" s="25">
        <v>1</v>
      </c>
      <c r="C447" s="45"/>
      <c r="D447" s="26"/>
      <c r="E447" s="32"/>
      <c r="F447" s="33">
        <f t="shared" si="267"/>
        <v>1</v>
      </c>
      <c r="G447" s="25"/>
      <c r="H447" s="45"/>
      <c r="I447" s="26"/>
      <c r="J447" s="32"/>
      <c r="K447" s="33">
        <f t="shared" si="268"/>
        <v>0</v>
      </c>
      <c r="L447" s="11">
        <f t="shared" si="261"/>
        <v>1</v>
      </c>
      <c r="M447" s="115">
        <v>45321</v>
      </c>
      <c r="N447" s="12"/>
      <c r="O447" s="25"/>
      <c r="P447" s="45"/>
      <c r="Q447" s="26"/>
      <c r="R447" s="32"/>
      <c r="S447" s="33">
        <f t="shared" si="269"/>
        <v>0</v>
      </c>
      <c r="T447" s="25"/>
      <c r="U447" s="45"/>
      <c r="V447" s="26"/>
      <c r="W447" s="32"/>
      <c r="X447" s="33">
        <f t="shared" si="270"/>
        <v>0</v>
      </c>
      <c r="Y447" s="93">
        <f t="shared" si="260"/>
        <v>0</v>
      </c>
    </row>
    <row r="448" spans="1:26" x14ac:dyDescent="0.15">
      <c r="A448" s="70" t="s">
        <v>30</v>
      </c>
      <c r="B448" s="25">
        <v>2</v>
      </c>
      <c r="C448" s="45"/>
      <c r="D448" s="26"/>
      <c r="E448" s="32"/>
      <c r="F448" s="33">
        <f t="shared" si="267"/>
        <v>2</v>
      </c>
      <c r="G448" s="25"/>
      <c r="H448" s="45"/>
      <c r="I448" s="26"/>
      <c r="J448" s="32"/>
      <c r="K448" s="33">
        <f t="shared" si="268"/>
        <v>0</v>
      </c>
      <c r="L448" s="11">
        <f t="shared" si="261"/>
        <v>2</v>
      </c>
      <c r="M448" s="115">
        <v>45324</v>
      </c>
      <c r="N448" s="12"/>
      <c r="O448" s="25"/>
      <c r="P448" s="45"/>
      <c r="Q448" s="26"/>
      <c r="R448" s="32"/>
      <c r="S448" s="33">
        <f t="shared" si="269"/>
        <v>0</v>
      </c>
      <c r="T448" s="25"/>
      <c r="U448" s="45"/>
      <c r="V448" s="26"/>
      <c r="W448" s="32"/>
      <c r="X448" s="33">
        <f t="shared" si="270"/>
        <v>0</v>
      </c>
      <c r="Y448" s="93">
        <f t="shared" si="260"/>
        <v>0</v>
      </c>
    </row>
    <row r="449" spans="1:27" x14ac:dyDescent="0.15">
      <c r="A449" s="70" t="s">
        <v>30</v>
      </c>
      <c r="B449" s="25"/>
      <c r="C449" s="45"/>
      <c r="D449" s="26">
        <v>1</v>
      </c>
      <c r="E449" s="32"/>
      <c r="F449" s="33">
        <f t="shared" si="267"/>
        <v>1</v>
      </c>
      <c r="G449" s="25">
        <v>1</v>
      </c>
      <c r="H449" s="45">
        <f>2+2</f>
        <v>4</v>
      </c>
      <c r="I449" s="26">
        <v>1</v>
      </c>
      <c r="J449" s="32"/>
      <c r="K449" s="33">
        <f t="shared" si="268"/>
        <v>6</v>
      </c>
      <c r="L449" s="11">
        <f t="shared" si="261"/>
        <v>7</v>
      </c>
      <c r="M449" s="115">
        <v>45329</v>
      </c>
      <c r="N449" s="50"/>
      <c r="O449" s="59"/>
      <c r="P449" s="60"/>
      <c r="Q449" s="61"/>
      <c r="R449" s="62"/>
      <c r="S449" s="63">
        <f t="shared" si="269"/>
        <v>0</v>
      </c>
      <c r="T449" s="59"/>
      <c r="U449" s="60"/>
      <c r="V449" s="61"/>
      <c r="W449" s="62"/>
      <c r="X449" s="63">
        <f t="shared" si="270"/>
        <v>0</v>
      </c>
      <c r="Y449" s="11">
        <f t="shared" si="260"/>
        <v>0</v>
      </c>
    </row>
    <row r="450" spans="1:27" x14ac:dyDescent="0.15">
      <c r="A450" s="70" t="s">
        <v>30</v>
      </c>
      <c r="B450" s="25"/>
      <c r="C450" s="45">
        <v>1</v>
      </c>
      <c r="D450" s="26">
        <v>1</v>
      </c>
      <c r="E450" s="32"/>
      <c r="F450" s="33">
        <f t="shared" si="267"/>
        <v>2</v>
      </c>
      <c r="G450" s="25"/>
      <c r="H450" s="45"/>
      <c r="I450" s="26">
        <v>1</v>
      </c>
      <c r="J450" s="32">
        <v>2</v>
      </c>
      <c r="K450" s="33">
        <f t="shared" si="268"/>
        <v>3</v>
      </c>
      <c r="L450" s="11">
        <f t="shared" si="261"/>
        <v>5</v>
      </c>
      <c r="M450" s="115">
        <v>45335</v>
      </c>
      <c r="N450" s="50"/>
      <c r="O450" s="59"/>
      <c r="P450" s="60"/>
      <c r="Q450" s="61"/>
      <c r="R450" s="62"/>
      <c r="S450" s="63">
        <f t="shared" si="269"/>
        <v>0</v>
      </c>
      <c r="T450" s="59"/>
      <c r="U450" s="60"/>
      <c r="V450" s="61"/>
      <c r="W450" s="62"/>
      <c r="X450" s="63">
        <f t="shared" si="270"/>
        <v>0</v>
      </c>
      <c r="Y450" s="11">
        <f t="shared" si="260"/>
        <v>0</v>
      </c>
    </row>
    <row r="451" spans="1:27" x14ac:dyDescent="0.15">
      <c r="A451" s="70" t="s">
        <v>30</v>
      </c>
      <c r="B451" s="25">
        <v>1</v>
      </c>
      <c r="C451" s="45"/>
      <c r="D451" s="26"/>
      <c r="E451" s="32"/>
      <c r="F451" s="33">
        <f t="shared" si="267"/>
        <v>1</v>
      </c>
      <c r="G451" s="25">
        <v>1</v>
      </c>
      <c r="H451" s="45"/>
      <c r="I451" s="26"/>
      <c r="J451" s="32"/>
      <c r="K451" s="33">
        <f t="shared" si="268"/>
        <v>1</v>
      </c>
      <c r="L451" s="93">
        <f t="shared" si="261"/>
        <v>2</v>
      </c>
      <c r="M451" s="115">
        <v>45338</v>
      </c>
      <c r="N451" s="50"/>
      <c r="O451" s="59"/>
      <c r="P451" s="60"/>
      <c r="Q451" s="61"/>
      <c r="R451" s="62"/>
      <c r="S451" s="63">
        <f t="shared" si="269"/>
        <v>0</v>
      </c>
      <c r="T451" s="59"/>
      <c r="U451" s="60"/>
      <c r="V451" s="61"/>
      <c r="W451" s="62"/>
      <c r="X451" s="63">
        <f t="shared" si="270"/>
        <v>0</v>
      </c>
      <c r="Y451" s="11">
        <f t="shared" si="260"/>
        <v>0</v>
      </c>
    </row>
    <row r="452" spans="1:27" ht="14.25" thickBot="1" x14ac:dyDescent="0.2">
      <c r="A452" s="138" t="s">
        <v>30</v>
      </c>
      <c r="B452" s="55"/>
      <c r="C452" s="56"/>
      <c r="D452" s="57"/>
      <c r="E452" s="58"/>
      <c r="F452" s="109">
        <f t="shared" si="267"/>
        <v>0</v>
      </c>
      <c r="G452" s="55"/>
      <c r="H452" s="56"/>
      <c r="I452" s="57"/>
      <c r="J452" s="58">
        <v>1</v>
      </c>
      <c r="K452" s="109">
        <f t="shared" si="268"/>
        <v>1</v>
      </c>
      <c r="L452" s="75">
        <f t="shared" si="261"/>
        <v>1</v>
      </c>
      <c r="M452" s="115">
        <v>45339</v>
      </c>
      <c r="N452" s="74"/>
      <c r="O452" s="55"/>
      <c r="P452" s="56"/>
      <c r="Q452" s="57"/>
      <c r="R452" s="58"/>
      <c r="S452" s="109">
        <f t="shared" ref="S452" si="271">SUM(O452:R452)</f>
        <v>0</v>
      </c>
      <c r="T452" s="55"/>
      <c r="U452" s="56"/>
      <c r="V452" s="57"/>
      <c r="W452" s="58"/>
      <c r="X452" s="109">
        <f t="shared" ref="X452" si="272">SUM(T452:W452)</f>
        <v>0</v>
      </c>
      <c r="Y452" s="107">
        <f t="shared" ref="Y452" si="273">S452+X452</f>
        <v>0</v>
      </c>
    </row>
    <row r="453" spans="1:27" ht="14.25" thickBot="1" x14ac:dyDescent="0.2">
      <c r="A453" s="16" t="s">
        <v>10</v>
      </c>
      <c r="B453" s="36">
        <f>SUM(B428:B452)</f>
        <v>8</v>
      </c>
      <c r="C453" s="46">
        <f>SUM(C428:C452)</f>
        <v>10</v>
      </c>
      <c r="D453" s="37">
        <f>SUM(D428:D452)</f>
        <v>7</v>
      </c>
      <c r="E453" s="38">
        <f>SUM(E428:E452)</f>
        <v>3</v>
      </c>
      <c r="F453" s="71">
        <f>SUM(B453:E453)</f>
        <v>28</v>
      </c>
      <c r="G453" s="36">
        <f>SUM(G428:G452)</f>
        <v>5</v>
      </c>
      <c r="H453" s="46">
        <f>SUM(H428:H452)</f>
        <v>10</v>
      </c>
      <c r="I453" s="37">
        <f>SUM(I428:I452)</f>
        <v>3</v>
      </c>
      <c r="J453" s="38">
        <f>SUM(J428:J452)</f>
        <v>3</v>
      </c>
      <c r="K453" s="71">
        <f>SUM(G453:J453)</f>
        <v>21</v>
      </c>
      <c r="L453" s="75">
        <f t="shared" si="261"/>
        <v>49</v>
      </c>
      <c r="N453" s="72" t="s">
        <v>10</v>
      </c>
      <c r="O453" s="36">
        <f>SUM(O428:O452)</f>
        <v>19</v>
      </c>
      <c r="P453" s="46">
        <f>SUM(P428:P452)</f>
        <v>8</v>
      </c>
      <c r="Q453" s="37">
        <f>SUM(Q428:Q452)</f>
        <v>3</v>
      </c>
      <c r="R453" s="38">
        <f>SUM(R428:R452)</f>
        <v>4</v>
      </c>
      <c r="S453" s="71">
        <f t="shared" si="269"/>
        <v>34</v>
      </c>
      <c r="T453" s="36">
        <f>SUM(T428:T452)</f>
        <v>2</v>
      </c>
      <c r="U453" s="46">
        <f>SUM(U428:U452)</f>
        <v>10</v>
      </c>
      <c r="V453" s="37">
        <f>SUM(V428:V452)</f>
        <v>7</v>
      </c>
      <c r="W453" s="38">
        <f>SUM(W428:W452)</f>
        <v>11</v>
      </c>
      <c r="X453" s="71">
        <f t="shared" si="270"/>
        <v>30</v>
      </c>
      <c r="Y453" s="75">
        <f t="shared" si="260"/>
        <v>64</v>
      </c>
    </row>
    <row r="454" spans="1:27" ht="14.25" thickBot="1" x14ac:dyDescent="0.2">
      <c r="A454" s="21" t="s">
        <v>11</v>
      </c>
      <c r="B454" s="39">
        <f t="shared" ref="B454:K454" si="274">B427-B453</f>
        <v>7</v>
      </c>
      <c r="C454" s="47">
        <f t="shared" si="274"/>
        <v>10</v>
      </c>
      <c r="D454" s="40">
        <f t="shared" si="274"/>
        <v>7</v>
      </c>
      <c r="E454" s="41">
        <f t="shared" si="274"/>
        <v>12</v>
      </c>
      <c r="F454" s="54">
        <f t="shared" si="274"/>
        <v>36</v>
      </c>
      <c r="G454" s="39">
        <f t="shared" si="274"/>
        <v>19</v>
      </c>
      <c r="H454" s="47">
        <f t="shared" si="274"/>
        <v>8</v>
      </c>
      <c r="I454" s="40">
        <f t="shared" si="274"/>
        <v>11</v>
      </c>
      <c r="J454" s="41">
        <f t="shared" si="274"/>
        <v>7</v>
      </c>
      <c r="K454" s="54">
        <f t="shared" si="274"/>
        <v>45</v>
      </c>
      <c r="L454" s="20">
        <f t="shared" si="261"/>
        <v>81</v>
      </c>
      <c r="N454" s="16" t="s">
        <v>11</v>
      </c>
      <c r="O454" s="39">
        <f t="shared" ref="O454:X454" si="275">O427-O453</f>
        <v>434</v>
      </c>
      <c r="P454" s="47">
        <f t="shared" si="275"/>
        <v>282</v>
      </c>
      <c r="Q454" s="40">
        <f t="shared" si="275"/>
        <v>273</v>
      </c>
      <c r="R454" s="41">
        <f t="shared" si="275"/>
        <v>173</v>
      </c>
      <c r="S454" s="54">
        <f t="shared" si="275"/>
        <v>1162</v>
      </c>
      <c r="T454" s="39">
        <f t="shared" si="275"/>
        <v>497</v>
      </c>
      <c r="U454" s="47">
        <f t="shared" si="275"/>
        <v>306</v>
      </c>
      <c r="V454" s="40">
        <f t="shared" si="275"/>
        <v>197</v>
      </c>
      <c r="W454" s="41">
        <f t="shared" si="275"/>
        <v>98</v>
      </c>
      <c r="X454" s="54">
        <f t="shared" si="275"/>
        <v>1098</v>
      </c>
      <c r="Y454" s="20">
        <f t="shared" si="260"/>
        <v>2260</v>
      </c>
    </row>
    <row r="455" spans="1:27" x14ac:dyDescent="0.15">
      <c r="O455" s="94"/>
      <c r="P455" s="94"/>
      <c r="Q455" s="94"/>
      <c r="R455" s="94"/>
      <c r="S455" s="94"/>
      <c r="T455" s="94"/>
      <c r="U455" s="94"/>
      <c r="V455" s="94"/>
      <c r="W455" s="94"/>
      <c r="X455" s="94"/>
    </row>
    <row r="456" spans="1:27" x14ac:dyDescent="0.15"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spans="1:27" ht="19.5" thickBot="1" x14ac:dyDescent="0.25">
      <c r="A457" s="2" t="s">
        <v>26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27</v>
      </c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7" ht="14.25" thickBot="1" x14ac:dyDescent="0.2">
      <c r="A458" s="5" t="s">
        <v>0</v>
      </c>
      <c r="B458" s="228" t="s">
        <v>19</v>
      </c>
      <c r="C458" s="229"/>
      <c r="D458" s="229"/>
      <c r="E458" s="229"/>
      <c r="F458" s="230"/>
      <c r="G458" s="231" t="s">
        <v>18</v>
      </c>
      <c r="H458" s="232"/>
      <c r="I458" s="232"/>
      <c r="J458" s="232"/>
      <c r="K458" s="233"/>
      <c r="L458" s="234" t="s">
        <v>1</v>
      </c>
      <c r="N458" s="5" t="s">
        <v>0</v>
      </c>
      <c r="O458" s="228" t="s">
        <v>19</v>
      </c>
      <c r="P458" s="229"/>
      <c r="Q458" s="229"/>
      <c r="R458" s="229"/>
      <c r="S458" s="230"/>
      <c r="T458" s="231" t="s">
        <v>18</v>
      </c>
      <c r="U458" s="232"/>
      <c r="V458" s="232"/>
      <c r="W458" s="232"/>
      <c r="X458" s="233"/>
      <c r="Y458" s="5" t="s">
        <v>1</v>
      </c>
    </row>
    <row r="459" spans="1:27" ht="14.25" thickBot="1" x14ac:dyDescent="0.2">
      <c r="A459" s="5" t="s">
        <v>2</v>
      </c>
      <c r="B459" s="3" t="s">
        <v>12</v>
      </c>
      <c r="C459" s="42" t="s">
        <v>13</v>
      </c>
      <c r="D459" s="4" t="s">
        <v>14</v>
      </c>
      <c r="E459" s="22" t="s">
        <v>15</v>
      </c>
      <c r="F459" s="30" t="s">
        <v>3</v>
      </c>
      <c r="G459" s="3" t="s">
        <v>12</v>
      </c>
      <c r="H459" s="42" t="s">
        <v>13</v>
      </c>
      <c r="I459" s="4" t="s">
        <v>14</v>
      </c>
      <c r="J459" s="22" t="s">
        <v>15</v>
      </c>
      <c r="K459" s="30" t="s">
        <v>3</v>
      </c>
      <c r="L459" s="235"/>
      <c r="N459" s="5" t="s">
        <v>2</v>
      </c>
      <c r="O459" s="64" t="s">
        <v>12</v>
      </c>
      <c r="P459" s="65" t="s">
        <v>13</v>
      </c>
      <c r="Q459" s="66" t="s">
        <v>14</v>
      </c>
      <c r="R459" s="67" t="s">
        <v>15</v>
      </c>
      <c r="S459" s="30" t="s">
        <v>3</v>
      </c>
      <c r="T459" s="3" t="s">
        <v>12</v>
      </c>
      <c r="U459" s="42" t="s">
        <v>13</v>
      </c>
      <c r="V459" s="4" t="s">
        <v>14</v>
      </c>
      <c r="W459" s="22" t="s">
        <v>15</v>
      </c>
      <c r="X459" s="30" t="s">
        <v>3</v>
      </c>
      <c r="Y459" s="140"/>
    </row>
    <row r="460" spans="1:27" ht="14.25" thickBot="1" x14ac:dyDescent="0.2">
      <c r="A460" s="21" t="s">
        <v>16</v>
      </c>
      <c r="B460" s="39">
        <f>B454</f>
        <v>7</v>
      </c>
      <c r="C460" s="40">
        <f>C454</f>
        <v>10</v>
      </c>
      <c r="D460" s="40">
        <f>D454</f>
        <v>7</v>
      </c>
      <c r="E460" s="41">
        <f>E454</f>
        <v>12</v>
      </c>
      <c r="F460" s="122">
        <f>SUM(B460:E460)</f>
        <v>36</v>
      </c>
      <c r="G460" s="39">
        <f>G454</f>
        <v>19</v>
      </c>
      <c r="H460" s="40">
        <f>H454</f>
        <v>8</v>
      </c>
      <c r="I460" s="40">
        <f>I454</f>
        <v>11</v>
      </c>
      <c r="J460" s="41">
        <f>J454</f>
        <v>7</v>
      </c>
      <c r="K460" s="123">
        <f>SUM(G460:J460)</f>
        <v>45</v>
      </c>
      <c r="L460" s="20">
        <f>F460+K460</f>
        <v>81</v>
      </c>
      <c r="N460" s="21" t="s">
        <v>16</v>
      </c>
      <c r="O460" s="39">
        <f>O454</f>
        <v>434</v>
      </c>
      <c r="P460" s="40">
        <f>P454</f>
        <v>282</v>
      </c>
      <c r="Q460" s="40">
        <f t="shared" ref="Q460:R460" si="276">Q454</f>
        <v>273</v>
      </c>
      <c r="R460" s="88">
        <f t="shared" si="276"/>
        <v>173</v>
      </c>
      <c r="S460" s="123">
        <f>SUM(O460:R460)</f>
        <v>1162</v>
      </c>
      <c r="T460" s="39">
        <f>T454</f>
        <v>497</v>
      </c>
      <c r="U460" s="40">
        <f>U454</f>
        <v>306</v>
      </c>
      <c r="V460" s="40">
        <f>V454</f>
        <v>197</v>
      </c>
      <c r="W460" s="41">
        <f>W454</f>
        <v>98</v>
      </c>
      <c r="X460" s="123">
        <f>SUM(T460:W460)</f>
        <v>1098</v>
      </c>
      <c r="Y460" s="20">
        <f t="shared" ref="Y460:Y461" si="277">S460+X460</f>
        <v>2260</v>
      </c>
    </row>
    <row r="461" spans="1:27" x14ac:dyDescent="0.15">
      <c r="A461" s="70" t="s">
        <v>5</v>
      </c>
      <c r="B461" s="6">
        <v>5</v>
      </c>
      <c r="C461" s="29">
        <v>5</v>
      </c>
      <c r="D461" s="7">
        <v>5</v>
      </c>
      <c r="E461" s="8"/>
      <c r="F461" s="9">
        <f>SUM(B461:E461)</f>
        <v>15</v>
      </c>
      <c r="G461" s="29"/>
      <c r="H461" s="29">
        <v>5</v>
      </c>
      <c r="I461" s="7"/>
      <c r="J461" s="8">
        <v>5</v>
      </c>
      <c r="K461" s="9">
        <f>SUM(G461:J461)</f>
        <v>10</v>
      </c>
      <c r="L461" s="11">
        <f t="shared" ref="L461:L492" si="278">F461+K461</f>
        <v>25</v>
      </c>
      <c r="M461" s="85">
        <v>45349</v>
      </c>
      <c r="N461" s="70" t="s">
        <v>17</v>
      </c>
      <c r="O461" s="25"/>
      <c r="P461" s="45"/>
      <c r="Q461" s="26"/>
      <c r="R461" s="32">
        <v>140</v>
      </c>
      <c r="S461" s="68">
        <f>SUM(O461:R461)</f>
        <v>140</v>
      </c>
      <c r="T461" s="45"/>
      <c r="U461" s="45"/>
      <c r="V461" s="26"/>
      <c r="W461" s="48">
        <v>140</v>
      </c>
      <c r="X461" s="9">
        <f>SUM(T461:W461)</f>
        <v>140</v>
      </c>
      <c r="Y461" s="11">
        <f t="shared" si="277"/>
        <v>280</v>
      </c>
      <c r="Z461" s="85" t="s">
        <v>368</v>
      </c>
    </row>
    <row r="462" spans="1:27" x14ac:dyDescent="0.15">
      <c r="A462" s="70" t="s">
        <v>373</v>
      </c>
      <c r="B462" s="6">
        <v>4</v>
      </c>
      <c r="C462" s="29">
        <v>1</v>
      </c>
      <c r="D462" s="7">
        <v>2</v>
      </c>
      <c r="E462" s="8">
        <v>2</v>
      </c>
      <c r="F462" s="9">
        <f t="shared" ref="F462:F464" si="279">SUM(B462:E462)</f>
        <v>9</v>
      </c>
      <c r="G462" s="29"/>
      <c r="H462" s="29"/>
      <c r="I462" s="7">
        <v>2</v>
      </c>
      <c r="J462" s="8">
        <v>4</v>
      </c>
      <c r="K462" s="9">
        <f t="shared" ref="K462:K464" si="280">SUM(G462:J462)</f>
        <v>6</v>
      </c>
      <c r="L462" s="11">
        <f t="shared" si="278"/>
        <v>15</v>
      </c>
      <c r="M462" s="85">
        <v>45357</v>
      </c>
      <c r="N462" s="13" t="s">
        <v>5</v>
      </c>
      <c r="O462" s="25"/>
      <c r="P462" s="45"/>
      <c r="Q462" s="26"/>
      <c r="R462" s="32"/>
      <c r="S462" s="68">
        <f>SUM(O462:R462)</f>
        <v>0</v>
      </c>
      <c r="T462" s="45"/>
      <c r="U462" s="45"/>
      <c r="V462" s="26"/>
      <c r="W462" s="48"/>
      <c r="X462" s="9">
        <f>SUM(T462:W462)</f>
        <v>0</v>
      </c>
      <c r="Y462" s="11">
        <f t="shared" ref="Y462:Y492" si="281">S462+X462</f>
        <v>0</v>
      </c>
      <c r="Z462" s="85"/>
    </row>
    <row r="463" spans="1:27" x14ac:dyDescent="0.15">
      <c r="A463" s="70" t="s">
        <v>7</v>
      </c>
      <c r="B463" s="6"/>
      <c r="C463" s="29">
        <v>11</v>
      </c>
      <c r="D463" s="7">
        <v>10</v>
      </c>
      <c r="E463" s="8">
        <v>5</v>
      </c>
      <c r="F463" s="9">
        <f t="shared" si="279"/>
        <v>26</v>
      </c>
      <c r="G463" s="29"/>
      <c r="H463" s="29">
        <v>11</v>
      </c>
      <c r="I463" s="7">
        <v>10</v>
      </c>
      <c r="J463" s="8">
        <v>5</v>
      </c>
      <c r="K463" s="9">
        <f t="shared" si="280"/>
        <v>26</v>
      </c>
      <c r="L463" s="11">
        <f t="shared" si="278"/>
        <v>52</v>
      </c>
      <c r="M463" s="85">
        <v>45363</v>
      </c>
      <c r="N463" s="13" t="s">
        <v>7</v>
      </c>
      <c r="O463" s="25"/>
      <c r="P463" s="45">
        <v>140</v>
      </c>
      <c r="Q463" s="26"/>
      <c r="R463" s="32"/>
      <c r="S463" s="68">
        <f>SUM(O463:R463)</f>
        <v>140</v>
      </c>
      <c r="T463" s="45"/>
      <c r="U463" s="45"/>
      <c r="V463" s="26"/>
      <c r="W463" s="48"/>
      <c r="X463" s="9">
        <f>SUM(T463:W463)</f>
        <v>0</v>
      </c>
      <c r="Y463" s="11">
        <f t="shared" si="281"/>
        <v>140</v>
      </c>
      <c r="Z463" s="85" t="s">
        <v>388</v>
      </c>
      <c r="AA463" s="51"/>
    </row>
    <row r="464" spans="1:27" ht="14.25" thickBot="1" x14ac:dyDescent="0.2">
      <c r="A464" s="70" t="s">
        <v>8</v>
      </c>
      <c r="B464" s="125"/>
      <c r="C464" s="126">
        <v>10</v>
      </c>
      <c r="D464" s="127"/>
      <c r="E464" s="128"/>
      <c r="F464" s="129">
        <f t="shared" si="279"/>
        <v>10</v>
      </c>
      <c r="G464" s="126"/>
      <c r="H464" s="126"/>
      <c r="I464" s="127"/>
      <c r="J464" s="128"/>
      <c r="K464" s="129">
        <f t="shared" si="280"/>
        <v>0</v>
      </c>
      <c r="L464" s="14">
        <f t="shared" si="278"/>
        <v>10</v>
      </c>
      <c r="M464" s="85">
        <v>45370</v>
      </c>
      <c r="N464" s="13" t="s">
        <v>7</v>
      </c>
      <c r="O464" s="55"/>
      <c r="P464" s="56"/>
      <c r="Q464" s="57"/>
      <c r="R464" s="58"/>
      <c r="S464" s="69">
        <f>SUM(O464:R464)</f>
        <v>0</v>
      </c>
      <c r="T464" s="45"/>
      <c r="U464" s="45"/>
      <c r="V464" s="26"/>
      <c r="W464" s="48"/>
      <c r="X464" s="10">
        <f>SUM(T464:W464)</f>
        <v>0</v>
      </c>
      <c r="Y464" s="14">
        <f t="shared" si="281"/>
        <v>0</v>
      </c>
    </row>
    <row r="465" spans="1:27" ht="14.25" thickBot="1" x14ac:dyDescent="0.2">
      <c r="A465" s="21" t="s">
        <v>9</v>
      </c>
      <c r="B465" s="130">
        <f t="shared" ref="B465:K465" si="282">SUM(B460:B464)</f>
        <v>16</v>
      </c>
      <c r="C465" s="131">
        <f t="shared" si="282"/>
        <v>37</v>
      </c>
      <c r="D465" s="132">
        <f t="shared" si="282"/>
        <v>24</v>
      </c>
      <c r="E465" s="133">
        <f t="shared" si="282"/>
        <v>19</v>
      </c>
      <c r="F465" s="123">
        <f t="shared" si="282"/>
        <v>96</v>
      </c>
      <c r="G465" s="130">
        <f t="shared" si="282"/>
        <v>19</v>
      </c>
      <c r="H465" s="131">
        <f t="shared" si="282"/>
        <v>24</v>
      </c>
      <c r="I465" s="132">
        <f t="shared" si="282"/>
        <v>23</v>
      </c>
      <c r="J465" s="133">
        <f t="shared" si="282"/>
        <v>21</v>
      </c>
      <c r="K465" s="123">
        <f t="shared" si="282"/>
        <v>87</v>
      </c>
      <c r="L465" s="20">
        <f t="shared" si="278"/>
        <v>183</v>
      </c>
      <c r="N465" s="16" t="s">
        <v>9</v>
      </c>
      <c r="O465" s="39">
        <f t="shared" ref="O465:X465" si="283">SUM(O460:O464)</f>
        <v>434</v>
      </c>
      <c r="P465" s="47">
        <f t="shared" si="283"/>
        <v>422</v>
      </c>
      <c r="Q465" s="40">
        <f t="shared" si="283"/>
        <v>273</v>
      </c>
      <c r="R465" s="88">
        <f t="shared" si="283"/>
        <v>313</v>
      </c>
      <c r="S465" s="89">
        <f t="shared" si="283"/>
        <v>1442</v>
      </c>
      <c r="T465" s="39">
        <f t="shared" si="283"/>
        <v>497</v>
      </c>
      <c r="U465" s="47">
        <f t="shared" si="283"/>
        <v>306</v>
      </c>
      <c r="V465" s="40">
        <f t="shared" si="283"/>
        <v>197</v>
      </c>
      <c r="W465" s="88">
        <f t="shared" si="283"/>
        <v>238</v>
      </c>
      <c r="X465" s="89">
        <f t="shared" si="283"/>
        <v>1238</v>
      </c>
      <c r="Y465" s="49">
        <f t="shared" si="281"/>
        <v>2680</v>
      </c>
    </row>
    <row r="466" spans="1:27" x14ac:dyDescent="0.15">
      <c r="A466" s="12" t="s">
        <v>365</v>
      </c>
      <c r="B466" s="59">
        <v>2</v>
      </c>
      <c r="C466" s="60"/>
      <c r="D466" s="61"/>
      <c r="E466" s="62"/>
      <c r="F466" s="63">
        <f t="shared" ref="F466:F490" si="284">SUM(B466:E466)</f>
        <v>2</v>
      </c>
      <c r="G466" s="59"/>
      <c r="H466" s="60"/>
      <c r="I466" s="61"/>
      <c r="J466" s="62"/>
      <c r="K466" s="63">
        <f t="shared" ref="K466:K490" si="285">SUM(G466:J466)</f>
        <v>0</v>
      </c>
      <c r="L466" s="11">
        <f t="shared" si="278"/>
        <v>2</v>
      </c>
      <c r="M466" s="85">
        <v>45343</v>
      </c>
      <c r="N466" s="13" t="s">
        <v>366</v>
      </c>
      <c r="O466" s="25"/>
      <c r="P466" s="45"/>
      <c r="Q466" s="26"/>
      <c r="R466" s="32">
        <v>5</v>
      </c>
      <c r="S466" s="33">
        <f t="shared" ref="S466:S491" si="286">SUM(O466:R466)</f>
        <v>5</v>
      </c>
      <c r="T466" s="25"/>
      <c r="U466" s="45"/>
      <c r="V466" s="26"/>
      <c r="W466" s="32"/>
      <c r="X466" s="33">
        <f t="shared" ref="X466:X491" si="287">SUM(T466:W466)</f>
        <v>0</v>
      </c>
      <c r="Y466" s="11">
        <f t="shared" si="281"/>
        <v>5</v>
      </c>
      <c r="Z466" s="85">
        <v>45356</v>
      </c>
    </row>
    <row r="467" spans="1:27" x14ac:dyDescent="0.15">
      <c r="A467" s="70" t="s">
        <v>30</v>
      </c>
      <c r="B467" s="25">
        <v>1</v>
      </c>
      <c r="C467" s="45"/>
      <c r="D467" s="26"/>
      <c r="E467" s="32"/>
      <c r="F467" s="33">
        <f t="shared" si="284"/>
        <v>1</v>
      </c>
      <c r="G467" s="25"/>
      <c r="H467" s="45"/>
      <c r="I467" s="26"/>
      <c r="J467" s="32"/>
      <c r="K467" s="33">
        <f t="shared" si="285"/>
        <v>0</v>
      </c>
      <c r="L467" s="11">
        <f t="shared" si="278"/>
        <v>1</v>
      </c>
      <c r="M467" s="85">
        <v>45341</v>
      </c>
      <c r="N467" s="50" t="s">
        <v>28</v>
      </c>
      <c r="O467" s="25">
        <v>5</v>
      </c>
      <c r="P467" s="45">
        <v>5</v>
      </c>
      <c r="Q467" s="26">
        <v>5</v>
      </c>
      <c r="R467" s="32"/>
      <c r="S467" s="33">
        <f>SUM(O467:R467)</f>
        <v>15</v>
      </c>
      <c r="T467" s="25"/>
      <c r="U467" s="45">
        <v>5</v>
      </c>
      <c r="V467" s="26"/>
      <c r="W467" s="32">
        <v>5</v>
      </c>
      <c r="X467" s="33">
        <f>SUM(T467:W467)</f>
        <v>10</v>
      </c>
      <c r="Y467" s="11">
        <f t="shared" si="281"/>
        <v>25</v>
      </c>
      <c r="Z467" s="85">
        <v>45349</v>
      </c>
    </row>
    <row r="468" spans="1:27" x14ac:dyDescent="0.15">
      <c r="A468" s="70" t="s">
        <v>30</v>
      </c>
      <c r="B468" s="25"/>
      <c r="C468" s="45">
        <v>1</v>
      </c>
      <c r="D468" s="26">
        <v>1</v>
      </c>
      <c r="E468" s="32">
        <v>1</v>
      </c>
      <c r="F468" s="33">
        <f t="shared" si="284"/>
        <v>3</v>
      </c>
      <c r="G468" s="25"/>
      <c r="H468" s="45"/>
      <c r="I468" s="26">
        <v>1</v>
      </c>
      <c r="J468" s="32"/>
      <c r="K468" s="33">
        <f t="shared" si="285"/>
        <v>1</v>
      </c>
      <c r="L468" s="11">
        <f t="shared" si="278"/>
        <v>4</v>
      </c>
      <c r="M468" s="115">
        <v>45342</v>
      </c>
      <c r="N468" s="95" t="s">
        <v>369</v>
      </c>
      <c r="O468" s="25">
        <v>5</v>
      </c>
      <c r="P468" s="45">
        <v>5</v>
      </c>
      <c r="Q468" s="26">
        <v>5</v>
      </c>
      <c r="R468" s="32">
        <v>5</v>
      </c>
      <c r="S468" s="33">
        <f t="shared" si="286"/>
        <v>20</v>
      </c>
      <c r="T468" s="25">
        <v>5</v>
      </c>
      <c r="U468" s="45">
        <v>5</v>
      </c>
      <c r="V468" s="26">
        <v>5</v>
      </c>
      <c r="W468" s="32">
        <v>5</v>
      </c>
      <c r="X468" s="33">
        <f t="shared" si="287"/>
        <v>20</v>
      </c>
      <c r="Y468" s="11">
        <f t="shared" si="281"/>
        <v>40</v>
      </c>
      <c r="Z468" s="85">
        <v>45351</v>
      </c>
    </row>
    <row r="469" spans="1:27" x14ac:dyDescent="0.15">
      <c r="A469" s="15" t="s">
        <v>108</v>
      </c>
      <c r="B469" s="25"/>
      <c r="C469" s="45"/>
      <c r="D469" s="26"/>
      <c r="E469" s="32">
        <v>1</v>
      </c>
      <c r="F469" s="33">
        <f t="shared" si="284"/>
        <v>1</v>
      </c>
      <c r="G469" s="25"/>
      <c r="H469" s="45"/>
      <c r="I469" s="26">
        <v>1</v>
      </c>
      <c r="J469" s="32"/>
      <c r="K469" s="33">
        <f t="shared" si="285"/>
        <v>1</v>
      </c>
      <c r="L469" s="11">
        <f t="shared" si="278"/>
        <v>2</v>
      </c>
      <c r="M469" s="85">
        <v>45343</v>
      </c>
      <c r="N469" s="13" t="s">
        <v>367</v>
      </c>
      <c r="O469" s="25"/>
      <c r="P469" s="45"/>
      <c r="Q469" s="26"/>
      <c r="R469" s="32"/>
      <c r="S469" s="33">
        <f t="shared" si="286"/>
        <v>0</v>
      </c>
      <c r="T469" s="25"/>
      <c r="U469" s="45"/>
      <c r="V469" s="26">
        <v>5</v>
      </c>
      <c r="W469" s="32"/>
      <c r="X469" s="33">
        <f t="shared" si="287"/>
        <v>5</v>
      </c>
      <c r="Y469" s="11">
        <f t="shared" si="281"/>
        <v>5</v>
      </c>
      <c r="Z469" s="85">
        <v>45356</v>
      </c>
      <c r="AA469" s="51"/>
    </row>
    <row r="470" spans="1:27" x14ac:dyDescent="0.15">
      <c r="A470" s="70" t="s">
        <v>30</v>
      </c>
      <c r="B470" s="25"/>
      <c r="C470" s="45">
        <v>2</v>
      </c>
      <c r="D470" s="26"/>
      <c r="E470" s="32"/>
      <c r="F470" s="33">
        <f t="shared" si="284"/>
        <v>2</v>
      </c>
      <c r="G470" s="25"/>
      <c r="H470" s="45">
        <v>2</v>
      </c>
      <c r="I470" s="26"/>
      <c r="J470" s="32"/>
      <c r="K470" s="33">
        <f t="shared" si="285"/>
        <v>2</v>
      </c>
      <c r="L470" s="11">
        <f t="shared" si="278"/>
        <v>4</v>
      </c>
      <c r="M470" s="115">
        <v>45343</v>
      </c>
      <c r="N470" s="95" t="s">
        <v>370</v>
      </c>
      <c r="O470" s="25">
        <v>10</v>
      </c>
      <c r="P470" s="45">
        <v>10</v>
      </c>
      <c r="Q470" s="26">
        <v>10</v>
      </c>
      <c r="R470" s="32">
        <v>10</v>
      </c>
      <c r="S470" s="33">
        <f t="shared" si="286"/>
        <v>40</v>
      </c>
      <c r="T470" s="25">
        <v>10</v>
      </c>
      <c r="U470" s="45">
        <v>10</v>
      </c>
      <c r="V470" s="26">
        <v>10</v>
      </c>
      <c r="W470" s="32">
        <v>10</v>
      </c>
      <c r="X470" s="33">
        <f t="shared" si="287"/>
        <v>40</v>
      </c>
      <c r="Y470" s="11">
        <f t="shared" si="281"/>
        <v>80</v>
      </c>
      <c r="Z470" s="85">
        <v>45359</v>
      </c>
      <c r="AA470" s="51"/>
    </row>
    <row r="471" spans="1:27" x14ac:dyDescent="0.15">
      <c r="A471" s="70" t="s">
        <v>30</v>
      </c>
      <c r="B471" s="25"/>
      <c r="C471" s="45">
        <f>1+1</f>
        <v>2</v>
      </c>
      <c r="D471" s="26">
        <v>1</v>
      </c>
      <c r="E471" s="32"/>
      <c r="F471" s="33">
        <f t="shared" si="284"/>
        <v>3</v>
      </c>
      <c r="G471" s="25"/>
      <c r="H471" s="45"/>
      <c r="I471" s="26"/>
      <c r="J471" s="32"/>
      <c r="K471" s="33">
        <f t="shared" si="285"/>
        <v>0</v>
      </c>
      <c r="L471" s="11">
        <f t="shared" si="278"/>
        <v>3</v>
      </c>
      <c r="M471" s="115">
        <v>45344</v>
      </c>
      <c r="N471" s="95" t="s">
        <v>371</v>
      </c>
      <c r="O471" s="25">
        <v>20</v>
      </c>
      <c r="P471" s="45">
        <v>20</v>
      </c>
      <c r="Q471" s="26">
        <v>20</v>
      </c>
      <c r="R471" s="32">
        <v>20</v>
      </c>
      <c r="S471" s="33">
        <f t="shared" si="286"/>
        <v>80</v>
      </c>
      <c r="T471" s="25">
        <v>20</v>
      </c>
      <c r="U471" s="45">
        <v>20</v>
      </c>
      <c r="V471" s="26">
        <v>20</v>
      </c>
      <c r="W471" s="32">
        <v>10</v>
      </c>
      <c r="X471" s="33">
        <f t="shared" si="287"/>
        <v>70</v>
      </c>
      <c r="Y471" s="11">
        <f t="shared" si="281"/>
        <v>150</v>
      </c>
      <c r="Z471" s="85">
        <v>45359</v>
      </c>
      <c r="AA471" s="51"/>
    </row>
    <row r="472" spans="1:27" x14ac:dyDescent="0.15">
      <c r="A472" s="70" t="s">
        <v>30</v>
      </c>
      <c r="B472" s="25">
        <v>1</v>
      </c>
      <c r="C472" s="45">
        <v>2</v>
      </c>
      <c r="D472" s="26"/>
      <c r="E472" s="32">
        <v>1</v>
      </c>
      <c r="F472" s="33">
        <f t="shared" si="284"/>
        <v>4</v>
      </c>
      <c r="G472" s="25">
        <v>2</v>
      </c>
      <c r="H472" s="45">
        <v>4</v>
      </c>
      <c r="I472" s="26"/>
      <c r="J472" s="32">
        <v>1</v>
      </c>
      <c r="K472" s="33">
        <f t="shared" si="285"/>
        <v>7</v>
      </c>
      <c r="L472" s="11">
        <f t="shared" si="278"/>
        <v>11</v>
      </c>
      <c r="M472" s="115">
        <v>45348</v>
      </c>
      <c r="N472" s="50" t="s">
        <v>372</v>
      </c>
      <c r="O472" s="25">
        <v>10</v>
      </c>
      <c r="P472" s="45">
        <v>10</v>
      </c>
      <c r="Q472" s="26">
        <v>10</v>
      </c>
      <c r="R472" s="32"/>
      <c r="S472" s="33">
        <f t="shared" si="286"/>
        <v>30</v>
      </c>
      <c r="T472" s="25">
        <v>5</v>
      </c>
      <c r="U472" s="45">
        <v>5</v>
      </c>
      <c r="V472" s="26">
        <v>5</v>
      </c>
      <c r="W472" s="32"/>
      <c r="X472" s="33">
        <f t="shared" si="287"/>
        <v>15</v>
      </c>
      <c r="Y472" s="11">
        <f t="shared" si="281"/>
        <v>45</v>
      </c>
      <c r="Z472" s="85">
        <v>45358</v>
      </c>
    </row>
    <row r="473" spans="1:27" x14ac:dyDescent="0.15">
      <c r="A473" s="15" t="s">
        <v>108</v>
      </c>
      <c r="B473" s="25"/>
      <c r="C473" s="45"/>
      <c r="D473" s="26">
        <v>2</v>
      </c>
      <c r="E473" s="32"/>
      <c r="F473" s="33">
        <f t="shared" si="284"/>
        <v>2</v>
      </c>
      <c r="G473" s="25"/>
      <c r="H473" s="45"/>
      <c r="I473" s="26"/>
      <c r="J473" s="32"/>
      <c r="K473" s="33">
        <f t="shared" si="285"/>
        <v>0</v>
      </c>
      <c r="L473" s="11">
        <f t="shared" si="278"/>
        <v>2</v>
      </c>
      <c r="M473" s="85">
        <v>45348</v>
      </c>
      <c r="N473" s="13" t="s">
        <v>374</v>
      </c>
      <c r="O473" s="25"/>
      <c r="P473" s="45"/>
      <c r="Q473" s="26"/>
      <c r="R473" s="32"/>
      <c r="S473" s="33">
        <f t="shared" si="286"/>
        <v>0</v>
      </c>
      <c r="T473" s="25"/>
      <c r="U473" s="45"/>
      <c r="V473" s="26"/>
      <c r="W473" s="32">
        <v>5</v>
      </c>
      <c r="X473" s="33">
        <f t="shared" si="287"/>
        <v>5</v>
      </c>
      <c r="Y473" s="11">
        <f t="shared" si="281"/>
        <v>5</v>
      </c>
      <c r="Z473" s="85">
        <v>45364</v>
      </c>
      <c r="AA473" s="51"/>
    </row>
    <row r="474" spans="1:27" x14ac:dyDescent="0.15">
      <c r="A474" s="70" t="s">
        <v>30</v>
      </c>
      <c r="B474" s="25"/>
      <c r="C474" s="45"/>
      <c r="D474" s="26">
        <v>2</v>
      </c>
      <c r="E474" s="32"/>
      <c r="F474" s="33">
        <f t="shared" si="284"/>
        <v>2</v>
      </c>
      <c r="G474" s="25"/>
      <c r="H474" s="45"/>
      <c r="I474" s="26"/>
      <c r="J474" s="32"/>
      <c r="K474" s="33">
        <f t="shared" si="285"/>
        <v>0</v>
      </c>
      <c r="L474" s="11">
        <f t="shared" si="278"/>
        <v>2</v>
      </c>
      <c r="M474" s="115">
        <v>45349</v>
      </c>
      <c r="N474" s="50" t="s">
        <v>28</v>
      </c>
      <c r="O474" s="25"/>
      <c r="P474" s="45">
        <v>11</v>
      </c>
      <c r="Q474" s="26">
        <v>10</v>
      </c>
      <c r="R474" s="32">
        <v>5</v>
      </c>
      <c r="S474" s="33">
        <f t="shared" si="286"/>
        <v>26</v>
      </c>
      <c r="T474" s="25"/>
      <c r="U474" s="45">
        <v>11</v>
      </c>
      <c r="V474" s="26">
        <v>10</v>
      </c>
      <c r="W474" s="32">
        <v>5</v>
      </c>
      <c r="X474" s="33">
        <f t="shared" si="287"/>
        <v>26</v>
      </c>
      <c r="Y474" s="11">
        <f t="shared" si="281"/>
        <v>52</v>
      </c>
      <c r="Z474" s="85">
        <v>45363</v>
      </c>
    </row>
    <row r="475" spans="1:27" x14ac:dyDescent="0.15">
      <c r="A475" s="15" t="s">
        <v>108</v>
      </c>
      <c r="B475" s="25"/>
      <c r="C475" s="45"/>
      <c r="D475" s="26"/>
      <c r="E475" s="32">
        <v>2</v>
      </c>
      <c r="F475" s="33">
        <f t="shared" si="284"/>
        <v>2</v>
      </c>
      <c r="G475" s="25"/>
      <c r="H475" s="45"/>
      <c r="I475" s="26"/>
      <c r="J475" s="32"/>
      <c r="K475" s="33">
        <f t="shared" si="285"/>
        <v>0</v>
      </c>
      <c r="L475" s="11">
        <f t="shared" si="278"/>
        <v>2</v>
      </c>
      <c r="M475" s="85">
        <v>45350</v>
      </c>
      <c r="N475" s="95" t="s">
        <v>376</v>
      </c>
      <c r="O475" s="25"/>
      <c r="P475" s="45">
        <v>15</v>
      </c>
      <c r="Q475" s="26"/>
      <c r="R475" s="32">
        <v>5</v>
      </c>
      <c r="S475" s="33">
        <f t="shared" si="286"/>
        <v>20</v>
      </c>
      <c r="T475" s="25"/>
      <c r="U475" s="45"/>
      <c r="V475" s="26"/>
      <c r="W475" s="32"/>
      <c r="X475" s="33">
        <f t="shared" si="287"/>
        <v>0</v>
      </c>
      <c r="Y475" s="11">
        <f t="shared" si="281"/>
        <v>20</v>
      </c>
      <c r="Z475" s="85">
        <v>45366</v>
      </c>
    </row>
    <row r="476" spans="1:27" x14ac:dyDescent="0.15">
      <c r="A476" s="70" t="s">
        <v>30</v>
      </c>
      <c r="B476" s="25"/>
      <c r="C476" s="45"/>
      <c r="D476" s="26"/>
      <c r="E476" s="32"/>
      <c r="F476" s="33">
        <f t="shared" si="284"/>
        <v>0</v>
      </c>
      <c r="G476" s="25"/>
      <c r="H476" s="45"/>
      <c r="I476" s="26">
        <v>1</v>
      </c>
      <c r="J476" s="32"/>
      <c r="K476" s="33">
        <f t="shared" si="285"/>
        <v>1</v>
      </c>
      <c r="L476" s="11">
        <f t="shared" si="278"/>
        <v>1</v>
      </c>
      <c r="M476" s="115">
        <v>45351</v>
      </c>
      <c r="N476" s="95" t="s">
        <v>377</v>
      </c>
      <c r="O476" s="25"/>
      <c r="P476" s="45">
        <v>130</v>
      </c>
      <c r="Q476" s="26">
        <v>15</v>
      </c>
      <c r="R476" s="32">
        <v>90</v>
      </c>
      <c r="S476" s="33">
        <f t="shared" si="286"/>
        <v>235</v>
      </c>
      <c r="T476" s="25">
        <v>15</v>
      </c>
      <c r="U476" s="45">
        <v>30</v>
      </c>
      <c r="V476" s="26">
        <v>10</v>
      </c>
      <c r="W476" s="32">
        <v>55</v>
      </c>
      <c r="X476" s="33">
        <f t="shared" si="287"/>
        <v>110</v>
      </c>
      <c r="Y476" s="11">
        <f t="shared" si="281"/>
        <v>345</v>
      </c>
      <c r="Z476" s="85">
        <v>45366</v>
      </c>
    </row>
    <row r="477" spans="1:27" x14ac:dyDescent="0.15">
      <c r="A477" s="70" t="s">
        <v>30</v>
      </c>
      <c r="B477" s="25"/>
      <c r="C477" s="45"/>
      <c r="D477" s="26">
        <v>2</v>
      </c>
      <c r="E477" s="32"/>
      <c r="F477" s="33">
        <f t="shared" si="284"/>
        <v>2</v>
      </c>
      <c r="G477" s="25"/>
      <c r="H477" s="45"/>
      <c r="I477" s="26"/>
      <c r="J477" s="32"/>
      <c r="K477" s="33">
        <f t="shared" si="285"/>
        <v>0</v>
      </c>
      <c r="L477" s="11">
        <f t="shared" si="278"/>
        <v>2</v>
      </c>
      <c r="M477" s="115">
        <v>45353</v>
      </c>
      <c r="N477" s="95" t="s">
        <v>379</v>
      </c>
      <c r="O477" s="25"/>
      <c r="P477" s="45">
        <v>5</v>
      </c>
      <c r="Q477" s="26">
        <v>5</v>
      </c>
      <c r="R477" s="32">
        <v>5</v>
      </c>
      <c r="S477" s="33">
        <f t="shared" si="286"/>
        <v>15</v>
      </c>
      <c r="T477" s="25"/>
      <c r="U477" s="45">
        <v>10</v>
      </c>
      <c r="V477" s="26"/>
      <c r="W477" s="32">
        <v>5</v>
      </c>
      <c r="X477" s="33">
        <f t="shared" si="287"/>
        <v>15</v>
      </c>
      <c r="Y477" s="11">
        <f t="shared" si="281"/>
        <v>30</v>
      </c>
      <c r="Z477" s="85">
        <v>45367</v>
      </c>
    </row>
    <row r="478" spans="1:27" x14ac:dyDescent="0.15">
      <c r="A478" s="70" t="s">
        <v>30</v>
      </c>
      <c r="B478" s="25">
        <v>1</v>
      </c>
      <c r="C478" s="45">
        <v>1</v>
      </c>
      <c r="D478" s="26"/>
      <c r="E478" s="32"/>
      <c r="F478" s="33">
        <f t="shared" si="284"/>
        <v>2</v>
      </c>
      <c r="G478" s="25">
        <v>1</v>
      </c>
      <c r="H478" s="45"/>
      <c r="I478" s="26"/>
      <c r="J478" s="32"/>
      <c r="K478" s="33">
        <f t="shared" si="285"/>
        <v>1</v>
      </c>
      <c r="L478" s="11">
        <f t="shared" si="278"/>
        <v>3</v>
      </c>
      <c r="M478" s="115">
        <v>45355</v>
      </c>
      <c r="N478" s="95" t="s">
        <v>380</v>
      </c>
      <c r="O478" s="25">
        <v>10</v>
      </c>
      <c r="P478" s="45">
        <v>80</v>
      </c>
      <c r="Q478" s="26">
        <v>20</v>
      </c>
      <c r="R478" s="32">
        <v>50</v>
      </c>
      <c r="S478" s="33">
        <f t="shared" si="286"/>
        <v>160</v>
      </c>
      <c r="T478" s="25">
        <v>15</v>
      </c>
      <c r="U478" s="45">
        <v>30</v>
      </c>
      <c r="V478" s="26">
        <v>10</v>
      </c>
      <c r="W478" s="32">
        <v>25</v>
      </c>
      <c r="X478" s="33">
        <f t="shared" si="287"/>
        <v>80</v>
      </c>
      <c r="Y478" s="11">
        <f t="shared" si="281"/>
        <v>240</v>
      </c>
      <c r="Z478" s="85">
        <v>45367</v>
      </c>
      <c r="AA478" s="51"/>
    </row>
    <row r="479" spans="1:27" x14ac:dyDescent="0.15">
      <c r="A479" s="70" t="s">
        <v>30</v>
      </c>
      <c r="B479" s="25"/>
      <c r="C479" s="45"/>
      <c r="D479" s="26"/>
      <c r="E479" s="32"/>
      <c r="F479" s="33">
        <f t="shared" si="284"/>
        <v>0</v>
      </c>
      <c r="G479" s="25">
        <v>1</v>
      </c>
      <c r="H479" s="45"/>
      <c r="I479" s="26"/>
      <c r="J479" s="32"/>
      <c r="K479" s="33">
        <f t="shared" si="285"/>
        <v>1</v>
      </c>
      <c r="L479" s="11">
        <f t="shared" si="278"/>
        <v>1</v>
      </c>
      <c r="M479" s="115">
        <v>45356</v>
      </c>
      <c r="N479" s="50" t="s">
        <v>382</v>
      </c>
      <c r="O479" s="25">
        <v>10</v>
      </c>
      <c r="P479" s="45">
        <v>10</v>
      </c>
      <c r="Q479" s="26">
        <v>10</v>
      </c>
      <c r="R479" s="32"/>
      <c r="S479" s="33">
        <f t="shared" si="286"/>
        <v>30</v>
      </c>
      <c r="T479" s="25">
        <v>10</v>
      </c>
      <c r="U479" s="45">
        <v>10</v>
      </c>
      <c r="V479" s="26">
        <v>10</v>
      </c>
      <c r="W479" s="32"/>
      <c r="X479" s="33">
        <f t="shared" si="287"/>
        <v>30</v>
      </c>
      <c r="Y479" s="11">
        <f t="shared" si="281"/>
        <v>60</v>
      </c>
      <c r="Z479" s="85">
        <v>45370</v>
      </c>
      <c r="AA479" s="51"/>
    </row>
    <row r="480" spans="1:27" x14ac:dyDescent="0.15">
      <c r="A480" s="70" t="s">
        <v>30</v>
      </c>
      <c r="B480" s="25"/>
      <c r="C480" s="45">
        <v>1</v>
      </c>
      <c r="D480" s="26">
        <v>1</v>
      </c>
      <c r="E480" s="32"/>
      <c r="F480" s="33">
        <f t="shared" si="284"/>
        <v>2</v>
      </c>
      <c r="G480" s="25"/>
      <c r="H480" s="45"/>
      <c r="I480" s="26"/>
      <c r="J480" s="32"/>
      <c r="K480" s="33">
        <f t="shared" si="285"/>
        <v>0</v>
      </c>
      <c r="L480" s="11">
        <f t="shared" si="278"/>
        <v>2</v>
      </c>
      <c r="M480" s="115">
        <v>45357</v>
      </c>
      <c r="N480" s="50" t="s">
        <v>28</v>
      </c>
      <c r="O480" s="25"/>
      <c r="P480" s="45">
        <v>10</v>
      </c>
      <c r="Q480" s="26"/>
      <c r="R480" s="32"/>
      <c r="S480" s="33">
        <f t="shared" si="286"/>
        <v>10</v>
      </c>
      <c r="T480" s="25"/>
      <c r="U480" s="45"/>
      <c r="V480" s="26"/>
      <c r="W480" s="32"/>
      <c r="X480" s="33">
        <f t="shared" si="287"/>
        <v>0</v>
      </c>
      <c r="Y480" s="11">
        <f t="shared" si="281"/>
        <v>10</v>
      </c>
      <c r="Z480" s="85">
        <v>45370</v>
      </c>
    </row>
    <row r="481" spans="1:26" x14ac:dyDescent="0.15">
      <c r="A481" s="70" t="s">
        <v>30</v>
      </c>
      <c r="B481" s="25"/>
      <c r="C481" s="45"/>
      <c r="D481" s="26"/>
      <c r="E481" s="32"/>
      <c r="F481" s="33">
        <f t="shared" si="284"/>
        <v>0</v>
      </c>
      <c r="G481" s="25"/>
      <c r="H481" s="45">
        <v>1</v>
      </c>
      <c r="I481" s="26"/>
      <c r="J481" s="32"/>
      <c r="K481" s="33">
        <f t="shared" si="285"/>
        <v>1</v>
      </c>
      <c r="L481" s="11">
        <f t="shared" si="278"/>
        <v>1</v>
      </c>
      <c r="M481" s="115">
        <v>45358</v>
      </c>
      <c r="N481" s="12" t="s">
        <v>383</v>
      </c>
      <c r="O481" s="25"/>
      <c r="P481" s="45"/>
      <c r="Q481" s="26"/>
      <c r="R481" s="32"/>
      <c r="S481" s="33">
        <f t="shared" si="286"/>
        <v>0</v>
      </c>
      <c r="T481" s="25">
        <v>4</v>
      </c>
      <c r="U481" s="45"/>
      <c r="V481" s="26"/>
      <c r="W481" s="32"/>
      <c r="X481" s="33">
        <f t="shared" si="287"/>
        <v>4</v>
      </c>
      <c r="Y481" s="11">
        <f t="shared" si="281"/>
        <v>4</v>
      </c>
      <c r="Z481" s="85">
        <v>45373</v>
      </c>
    </row>
    <row r="482" spans="1:26" x14ac:dyDescent="0.15">
      <c r="A482" s="70" t="s">
        <v>30</v>
      </c>
      <c r="B482" s="25"/>
      <c r="C482" s="45"/>
      <c r="D482" s="26"/>
      <c r="E482" s="32"/>
      <c r="F482" s="33">
        <f t="shared" si="284"/>
        <v>0</v>
      </c>
      <c r="G482" s="25"/>
      <c r="H482" s="45"/>
      <c r="I482" s="26">
        <v>1</v>
      </c>
      <c r="J482" s="32"/>
      <c r="K482" s="33">
        <f t="shared" si="285"/>
        <v>1</v>
      </c>
      <c r="L482" s="11">
        <f t="shared" si="278"/>
        <v>1</v>
      </c>
      <c r="M482" s="115">
        <v>45359</v>
      </c>
      <c r="N482" s="95" t="s">
        <v>384</v>
      </c>
      <c r="O482" s="25">
        <v>10</v>
      </c>
      <c r="P482" s="45"/>
      <c r="Q482" s="26">
        <v>20</v>
      </c>
      <c r="R482" s="32"/>
      <c r="S482" s="33">
        <f t="shared" si="286"/>
        <v>30</v>
      </c>
      <c r="T482" s="25"/>
      <c r="U482" s="45"/>
      <c r="V482" s="26"/>
      <c r="W482" s="32"/>
      <c r="X482" s="33">
        <f t="shared" si="287"/>
        <v>0</v>
      </c>
      <c r="Y482" s="11">
        <f t="shared" si="281"/>
        <v>30</v>
      </c>
      <c r="Z482" s="85">
        <v>45374</v>
      </c>
    </row>
    <row r="483" spans="1:26" x14ac:dyDescent="0.15">
      <c r="A483" s="70" t="s">
        <v>30</v>
      </c>
      <c r="B483" s="25"/>
      <c r="C483" s="45">
        <v>2</v>
      </c>
      <c r="D483" s="26">
        <f>1+1</f>
        <v>2</v>
      </c>
      <c r="E483" s="32">
        <v>1</v>
      </c>
      <c r="F483" s="33">
        <f t="shared" si="284"/>
        <v>5</v>
      </c>
      <c r="G483" s="25"/>
      <c r="H483" s="45"/>
      <c r="I483" s="26"/>
      <c r="J483" s="32">
        <v>1</v>
      </c>
      <c r="K483" s="33">
        <f t="shared" si="285"/>
        <v>1</v>
      </c>
      <c r="L483" s="11">
        <f t="shared" si="278"/>
        <v>6</v>
      </c>
      <c r="M483" s="115">
        <v>45362</v>
      </c>
      <c r="N483" s="95" t="s">
        <v>385</v>
      </c>
      <c r="O483" s="25">
        <v>10</v>
      </c>
      <c r="P483" s="45"/>
      <c r="Q483" s="26"/>
      <c r="R483" s="32"/>
      <c r="S483" s="33">
        <f t="shared" si="286"/>
        <v>10</v>
      </c>
      <c r="T483" s="25"/>
      <c r="U483" s="45"/>
      <c r="V483" s="26"/>
      <c r="W483" s="32"/>
      <c r="X483" s="33">
        <f t="shared" si="287"/>
        <v>0</v>
      </c>
      <c r="Y483" s="11">
        <f t="shared" si="281"/>
        <v>10</v>
      </c>
      <c r="Z483" s="85">
        <v>45374</v>
      </c>
    </row>
    <row r="484" spans="1:26" x14ac:dyDescent="0.15">
      <c r="A484" s="70" t="s">
        <v>30</v>
      </c>
      <c r="B484" s="25"/>
      <c r="C484" s="45"/>
      <c r="D484" s="26">
        <v>1</v>
      </c>
      <c r="E484" s="32"/>
      <c r="F484" s="33">
        <f t="shared" si="284"/>
        <v>1</v>
      </c>
      <c r="G484" s="25"/>
      <c r="H484" s="45"/>
      <c r="I484" s="26"/>
      <c r="J484" s="32"/>
      <c r="K484" s="33">
        <f t="shared" si="285"/>
        <v>0</v>
      </c>
      <c r="L484" s="11">
        <f t="shared" si="278"/>
        <v>1</v>
      </c>
      <c r="M484" s="115">
        <v>45363</v>
      </c>
      <c r="N484" s="50" t="s">
        <v>386</v>
      </c>
      <c r="O484" s="25">
        <v>15</v>
      </c>
      <c r="P484" s="45">
        <v>15</v>
      </c>
      <c r="Q484" s="26"/>
      <c r="R484" s="32"/>
      <c r="S484" s="33">
        <f t="shared" si="286"/>
        <v>30</v>
      </c>
      <c r="T484" s="25"/>
      <c r="U484" s="45"/>
      <c r="V484" s="26"/>
      <c r="W484" s="32"/>
      <c r="X484" s="33">
        <f t="shared" si="287"/>
        <v>0</v>
      </c>
      <c r="Y484" s="11">
        <f t="shared" si="281"/>
        <v>30</v>
      </c>
      <c r="Z484" s="85">
        <v>45374</v>
      </c>
    </row>
    <row r="485" spans="1:26" x14ac:dyDescent="0.15">
      <c r="A485" s="15" t="s">
        <v>378</v>
      </c>
      <c r="B485" s="25"/>
      <c r="C485" s="45">
        <v>4</v>
      </c>
      <c r="D485" s="26"/>
      <c r="E485" s="32"/>
      <c r="F485" s="33">
        <f t="shared" si="284"/>
        <v>4</v>
      </c>
      <c r="G485" s="25"/>
      <c r="H485" s="45"/>
      <c r="I485" s="26"/>
      <c r="J485" s="32"/>
      <c r="K485" s="33">
        <f t="shared" si="285"/>
        <v>0</v>
      </c>
      <c r="L485" s="11">
        <f t="shared" si="278"/>
        <v>4</v>
      </c>
      <c r="M485" s="85">
        <v>45366</v>
      </c>
      <c r="N485" s="50" t="s">
        <v>28</v>
      </c>
      <c r="O485" s="25">
        <v>5</v>
      </c>
      <c r="P485" s="45">
        <v>10</v>
      </c>
      <c r="Q485" s="26">
        <v>5</v>
      </c>
      <c r="R485" s="32"/>
      <c r="S485" s="33">
        <f t="shared" si="286"/>
        <v>20</v>
      </c>
      <c r="T485" s="25"/>
      <c r="U485" s="45"/>
      <c r="V485" s="26"/>
      <c r="W485" s="32"/>
      <c r="X485" s="33">
        <f t="shared" si="287"/>
        <v>0</v>
      </c>
      <c r="Y485" s="93">
        <f t="shared" si="281"/>
        <v>20</v>
      </c>
      <c r="Z485" s="85">
        <v>45388</v>
      </c>
    </row>
    <row r="486" spans="1:26" x14ac:dyDescent="0.15">
      <c r="A486" s="70" t="s">
        <v>30</v>
      </c>
      <c r="B486" s="25"/>
      <c r="C486" s="45"/>
      <c r="D486" s="26">
        <v>1</v>
      </c>
      <c r="E486" s="32"/>
      <c r="F486" s="33">
        <f t="shared" si="284"/>
        <v>1</v>
      </c>
      <c r="G486" s="25"/>
      <c r="H486" s="45"/>
      <c r="I486" s="26">
        <v>2</v>
      </c>
      <c r="J486" s="32"/>
      <c r="K486" s="33">
        <f t="shared" si="285"/>
        <v>2</v>
      </c>
      <c r="L486" s="11">
        <f t="shared" si="278"/>
        <v>3</v>
      </c>
      <c r="M486" s="115">
        <v>45365</v>
      </c>
      <c r="N486" s="12"/>
      <c r="O486" s="25"/>
      <c r="P486" s="45"/>
      <c r="Q486" s="26"/>
      <c r="R486" s="32"/>
      <c r="S486" s="33">
        <f t="shared" si="286"/>
        <v>0</v>
      </c>
      <c r="T486" s="25"/>
      <c r="U486" s="45"/>
      <c r="V486" s="26"/>
      <c r="W486" s="32"/>
      <c r="X486" s="33">
        <f t="shared" si="287"/>
        <v>0</v>
      </c>
      <c r="Y486" s="93">
        <f t="shared" si="281"/>
        <v>0</v>
      </c>
    </row>
    <row r="487" spans="1:26" x14ac:dyDescent="0.15">
      <c r="A487" s="70" t="s">
        <v>381</v>
      </c>
      <c r="B487" s="25"/>
      <c r="C487" s="45">
        <v>9</v>
      </c>
      <c r="D487" s="26"/>
      <c r="E487" s="32"/>
      <c r="F487" s="33">
        <f t="shared" si="284"/>
        <v>9</v>
      </c>
      <c r="G487" s="25"/>
      <c r="H487" s="45"/>
      <c r="I487" s="26"/>
      <c r="J487" s="32"/>
      <c r="K487" s="33">
        <f t="shared" si="285"/>
        <v>0</v>
      </c>
      <c r="L487" s="11">
        <f t="shared" si="278"/>
        <v>9</v>
      </c>
      <c r="M487" s="115">
        <v>45366</v>
      </c>
      <c r="N487" s="134" t="s">
        <v>355</v>
      </c>
      <c r="O487" s="103"/>
      <c r="P487" s="104"/>
      <c r="Q487" s="105"/>
      <c r="R487" s="106"/>
      <c r="S487" s="135">
        <f t="shared" si="286"/>
        <v>0</v>
      </c>
      <c r="T487" s="103"/>
      <c r="U487" s="104"/>
      <c r="V487" s="105"/>
      <c r="W487" s="106"/>
      <c r="X487" s="135">
        <f t="shared" si="287"/>
        <v>0</v>
      </c>
      <c r="Y487" s="102">
        <f t="shared" si="281"/>
        <v>0</v>
      </c>
      <c r="Z487" s="159"/>
    </row>
    <row r="488" spans="1:26" x14ac:dyDescent="0.15">
      <c r="A488" s="15" t="s">
        <v>108</v>
      </c>
      <c r="B488" s="25"/>
      <c r="C488" s="45">
        <v>1</v>
      </c>
      <c r="D488" s="26"/>
      <c r="E488" s="32"/>
      <c r="F488" s="33">
        <f t="shared" si="284"/>
        <v>1</v>
      </c>
      <c r="G488" s="25"/>
      <c r="H488" s="45"/>
      <c r="I488" s="26"/>
      <c r="J488" s="32"/>
      <c r="K488" s="33">
        <f t="shared" si="285"/>
        <v>0</v>
      </c>
      <c r="L488" s="11">
        <f t="shared" si="278"/>
        <v>1</v>
      </c>
      <c r="M488" s="85">
        <v>45370</v>
      </c>
      <c r="N488" s="50" t="s">
        <v>354</v>
      </c>
      <c r="O488" s="59"/>
      <c r="P488" s="60"/>
      <c r="Q488" s="61"/>
      <c r="R488" s="62"/>
      <c r="S488" s="63">
        <f t="shared" si="286"/>
        <v>0</v>
      </c>
      <c r="T488" s="59"/>
      <c r="U488" s="60"/>
      <c r="V488" s="61"/>
      <c r="W488" s="62"/>
      <c r="X488" s="63">
        <f t="shared" si="287"/>
        <v>0</v>
      </c>
      <c r="Y488" s="11">
        <f t="shared" si="281"/>
        <v>0</v>
      </c>
      <c r="Z488" s="159" t="s">
        <v>356</v>
      </c>
    </row>
    <row r="489" spans="1:26" x14ac:dyDescent="0.15">
      <c r="A489" s="70" t="s">
        <v>30</v>
      </c>
      <c r="B489" s="25">
        <v>2</v>
      </c>
      <c r="C489" s="45"/>
      <c r="D489" s="26"/>
      <c r="E489" s="32"/>
      <c r="F489" s="33">
        <f t="shared" si="284"/>
        <v>2</v>
      </c>
      <c r="G489" s="25"/>
      <c r="H489" s="45">
        <v>1</v>
      </c>
      <c r="I489" s="26"/>
      <c r="J489" s="32"/>
      <c r="K489" s="33">
        <f t="shared" si="285"/>
        <v>1</v>
      </c>
      <c r="L489" s="93">
        <f t="shared" si="278"/>
        <v>3</v>
      </c>
      <c r="M489" s="115">
        <v>45372</v>
      </c>
      <c r="N489" s="96" t="s">
        <v>335</v>
      </c>
      <c r="O489" s="103"/>
      <c r="P489" s="104"/>
      <c r="Q489" s="105"/>
      <c r="R489" s="106"/>
      <c r="S489" s="135">
        <f t="shared" si="286"/>
        <v>0</v>
      </c>
      <c r="T489" s="103"/>
      <c r="U489" s="104"/>
      <c r="V489" s="105"/>
      <c r="W489" s="106"/>
      <c r="X489" s="135">
        <f t="shared" si="287"/>
        <v>0</v>
      </c>
      <c r="Y489" s="102">
        <f t="shared" si="281"/>
        <v>0</v>
      </c>
      <c r="Z489" s="210"/>
    </row>
    <row r="490" spans="1:26" ht="14.25" thickBot="1" x14ac:dyDescent="0.2">
      <c r="A490" s="151" t="s">
        <v>108</v>
      </c>
      <c r="B490" s="152"/>
      <c r="C490" s="153"/>
      <c r="D490" s="154"/>
      <c r="E490" s="155"/>
      <c r="F490" s="156">
        <f t="shared" si="284"/>
        <v>0</v>
      </c>
      <c r="G490" s="152"/>
      <c r="H490" s="153"/>
      <c r="I490" s="154">
        <v>1</v>
      </c>
      <c r="J490" s="155"/>
      <c r="K490" s="156">
        <f t="shared" si="285"/>
        <v>1</v>
      </c>
      <c r="L490" s="14">
        <f t="shared" si="278"/>
        <v>1</v>
      </c>
      <c r="M490" s="85">
        <v>45372</v>
      </c>
      <c r="N490" s="140" t="s">
        <v>336</v>
      </c>
      <c r="O490" s="55"/>
      <c r="P490" s="56"/>
      <c r="Q490" s="57"/>
      <c r="R490" s="58"/>
      <c r="S490" s="109">
        <f t="shared" si="286"/>
        <v>0</v>
      </c>
      <c r="T490" s="55"/>
      <c r="U490" s="56"/>
      <c r="V490" s="57"/>
      <c r="W490" s="58"/>
      <c r="X490" s="109">
        <f t="shared" si="287"/>
        <v>0</v>
      </c>
      <c r="Y490" s="107">
        <f t="shared" si="281"/>
        <v>0</v>
      </c>
      <c r="Z490" s="159" t="s">
        <v>337</v>
      </c>
    </row>
    <row r="491" spans="1:26" ht="14.25" thickBot="1" x14ac:dyDescent="0.2">
      <c r="A491" s="16" t="s">
        <v>10</v>
      </c>
      <c r="B491" s="147">
        <f>SUM(B466:B490)</f>
        <v>7</v>
      </c>
      <c r="C491" s="148">
        <f>SUM(C466:C490)</f>
        <v>25</v>
      </c>
      <c r="D491" s="149">
        <f>SUM(D466:D490)</f>
        <v>13</v>
      </c>
      <c r="E491" s="150">
        <f>SUM(E466:E490)</f>
        <v>6</v>
      </c>
      <c r="F491" s="34">
        <f>SUM(B491:E491)</f>
        <v>51</v>
      </c>
      <c r="G491" s="147">
        <f>SUM(G466:G490)</f>
        <v>4</v>
      </c>
      <c r="H491" s="148">
        <f>SUM(H466:H490)</f>
        <v>8</v>
      </c>
      <c r="I491" s="149">
        <f>SUM(I466:I490)</f>
        <v>7</v>
      </c>
      <c r="J491" s="150">
        <f>SUM(J466:J490)</f>
        <v>2</v>
      </c>
      <c r="K491" s="34">
        <f>SUM(G491:J491)</f>
        <v>21</v>
      </c>
      <c r="L491" s="35">
        <f t="shared" si="278"/>
        <v>72</v>
      </c>
      <c r="N491" s="72" t="s">
        <v>10</v>
      </c>
      <c r="O491" s="36">
        <f>SUM(O466:O490)</f>
        <v>110</v>
      </c>
      <c r="P491" s="46">
        <f>SUM(P466:P490)</f>
        <v>336</v>
      </c>
      <c r="Q491" s="37">
        <f>SUM(Q466:Q490)</f>
        <v>135</v>
      </c>
      <c r="R491" s="38">
        <f>SUM(R466:R490)</f>
        <v>195</v>
      </c>
      <c r="S491" s="71">
        <f t="shared" si="286"/>
        <v>776</v>
      </c>
      <c r="T491" s="36">
        <f>SUM(T466:T490)</f>
        <v>84</v>
      </c>
      <c r="U491" s="46">
        <f>SUM(U466:U490)</f>
        <v>136</v>
      </c>
      <c r="V491" s="37">
        <f>SUM(V466:V490)</f>
        <v>85</v>
      </c>
      <c r="W491" s="38">
        <f>SUM(W466:W490)</f>
        <v>125</v>
      </c>
      <c r="X491" s="71">
        <f t="shared" si="287"/>
        <v>430</v>
      </c>
      <c r="Y491" s="75">
        <f t="shared" si="281"/>
        <v>1206</v>
      </c>
    </row>
    <row r="492" spans="1:26" ht="14.25" thickBot="1" x14ac:dyDescent="0.2">
      <c r="A492" s="21" t="s">
        <v>11</v>
      </c>
      <c r="B492" s="39">
        <f t="shared" ref="B492:K492" si="288">B465-B491</f>
        <v>9</v>
      </c>
      <c r="C492" s="47">
        <f t="shared" si="288"/>
        <v>12</v>
      </c>
      <c r="D492" s="40">
        <f t="shared" si="288"/>
        <v>11</v>
      </c>
      <c r="E492" s="41">
        <f t="shared" si="288"/>
        <v>13</v>
      </c>
      <c r="F492" s="54">
        <f t="shared" si="288"/>
        <v>45</v>
      </c>
      <c r="G492" s="39">
        <f t="shared" si="288"/>
        <v>15</v>
      </c>
      <c r="H492" s="47">
        <f t="shared" si="288"/>
        <v>16</v>
      </c>
      <c r="I492" s="40">
        <f t="shared" si="288"/>
        <v>16</v>
      </c>
      <c r="J492" s="41">
        <f t="shared" si="288"/>
        <v>19</v>
      </c>
      <c r="K492" s="54">
        <f t="shared" si="288"/>
        <v>66</v>
      </c>
      <c r="L492" s="20">
        <f t="shared" si="278"/>
        <v>111</v>
      </c>
      <c r="N492" s="16" t="s">
        <v>11</v>
      </c>
      <c r="O492" s="39">
        <f t="shared" ref="O492:X492" si="289">O465-O491</f>
        <v>324</v>
      </c>
      <c r="P492" s="47">
        <f t="shared" si="289"/>
        <v>86</v>
      </c>
      <c r="Q492" s="40">
        <f t="shared" si="289"/>
        <v>138</v>
      </c>
      <c r="R492" s="41">
        <f t="shared" si="289"/>
        <v>118</v>
      </c>
      <c r="S492" s="54">
        <f t="shared" si="289"/>
        <v>666</v>
      </c>
      <c r="T492" s="39">
        <f t="shared" si="289"/>
        <v>413</v>
      </c>
      <c r="U492" s="47">
        <f t="shared" si="289"/>
        <v>170</v>
      </c>
      <c r="V492" s="40">
        <f t="shared" si="289"/>
        <v>112</v>
      </c>
      <c r="W492" s="41">
        <f t="shared" si="289"/>
        <v>113</v>
      </c>
      <c r="X492" s="54">
        <f t="shared" si="289"/>
        <v>808</v>
      </c>
      <c r="Y492" s="20">
        <f t="shared" si="281"/>
        <v>1474</v>
      </c>
    </row>
    <row r="493" spans="1:26" x14ac:dyDescent="0.15">
      <c r="O493" s="94"/>
      <c r="P493" s="94"/>
      <c r="Q493" s="94"/>
      <c r="R493" s="94"/>
      <c r="S493" s="94"/>
      <c r="T493" s="94"/>
      <c r="U493" s="94"/>
      <c r="V493" s="94"/>
      <c r="W493" s="94"/>
      <c r="X493" s="94"/>
    </row>
    <row r="494" spans="1:26" x14ac:dyDescent="0.15"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spans="1:26" ht="19.5" thickBot="1" x14ac:dyDescent="0.25">
      <c r="A495" s="2" t="s">
        <v>26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27</v>
      </c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6" ht="14.25" thickBot="1" x14ac:dyDescent="0.2">
      <c r="A496" s="5" t="s">
        <v>0</v>
      </c>
      <c r="B496" s="228" t="s">
        <v>19</v>
      </c>
      <c r="C496" s="229"/>
      <c r="D496" s="229"/>
      <c r="E496" s="229"/>
      <c r="F496" s="230"/>
      <c r="G496" s="231" t="s">
        <v>18</v>
      </c>
      <c r="H496" s="232"/>
      <c r="I496" s="232"/>
      <c r="J496" s="232"/>
      <c r="K496" s="233"/>
      <c r="L496" s="234" t="s">
        <v>1</v>
      </c>
      <c r="N496" s="5" t="s">
        <v>0</v>
      </c>
      <c r="O496" s="228" t="s">
        <v>19</v>
      </c>
      <c r="P496" s="229"/>
      <c r="Q496" s="229"/>
      <c r="R496" s="229"/>
      <c r="S496" s="230"/>
      <c r="T496" s="231" t="s">
        <v>18</v>
      </c>
      <c r="U496" s="232"/>
      <c r="V496" s="232"/>
      <c r="W496" s="232"/>
      <c r="X496" s="233"/>
      <c r="Y496" s="5" t="s">
        <v>1</v>
      </c>
    </row>
    <row r="497" spans="1:27" ht="14.25" thickBot="1" x14ac:dyDescent="0.2">
      <c r="A497" s="5" t="s">
        <v>2</v>
      </c>
      <c r="B497" s="3" t="s">
        <v>12</v>
      </c>
      <c r="C497" s="42" t="s">
        <v>13</v>
      </c>
      <c r="D497" s="4" t="s">
        <v>14</v>
      </c>
      <c r="E497" s="22" t="s">
        <v>15</v>
      </c>
      <c r="F497" s="30" t="s">
        <v>3</v>
      </c>
      <c r="G497" s="3" t="s">
        <v>12</v>
      </c>
      <c r="H497" s="42" t="s">
        <v>13</v>
      </c>
      <c r="I497" s="4" t="s">
        <v>14</v>
      </c>
      <c r="J497" s="22" t="s">
        <v>15</v>
      </c>
      <c r="K497" s="30" t="s">
        <v>3</v>
      </c>
      <c r="L497" s="235"/>
      <c r="N497" s="5" t="s">
        <v>2</v>
      </c>
      <c r="O497" s="64" t="s">
        <v>12</v>
      </c>
      <c r="P497" s="65" t="s">
        <v>13</v>
      </c>
      <c r="Q497" s="66" t="s">
        <v>14</v>
      </c>
      <c r="R497" s="67" t="s">
        <v>15</v>
      </c>
      <c r="S497" s="30" t="s">
        <v>3</v>
      </c>
      <c r="T497" s="3" t="s">
        <v>12</v>
      </c>
      <c r="U497" s="42" t="s">
        <v>13</v>
      </c>
      <c r="V497" s="4" t="s">
        <v>14</v>
      </c>
      <c r="W497" s="22" t="s">
        <v>15</v>
      </c>
      <c r="X497" s="30" t="s">
        <v>3</v>
      </c>
      <c r="Y497" s="140"/>
    </row>
    <row r="498" spans="1:27" ht="14.25" thickBot="1" x14ac:dyDescent="0.2">
      <c r="A498" s="21" t="s">
        <v>16</v>
      </c>
      <c r="B498" s="39">
        <f>B492</f>
        <v>9</v>
      </c>
      <c r="C498" s="40">
        <f>C492</f>
        <v>12</v>
      </c>
      <c r="D498" s="40">
        <f>D492</f>
        <v>11</v>
      </c>
      <c r="E498" s="41">
        <f>E492</f>
        <v>13</v>
      </c>
      <c r="F498" s="122">
        <f>SUM(B498:E498)</f>
        <v>45</v>
      </c>
      <c r="G498" s="39">
        <f>G492</f>
        <v>15</v>
      </c>
      <c r="H498" s="40">
        <f>H492</f>
        <v>16</v>
      </c>
      <c r="I498" s="40">
        <f>I492</f>
        <v>16</v>
      </c>
      <c r="J498" s="41">
        <f>J492</f>
        <v>19</v>
      </c>
      <c r="K498" s="123">
        <f>SUM(G498:J498)</f>
        <v>66</v>
      </c>
      <c r="L498" s="20">
        <f>F498+K498</f>
        <v>111</v>
      </c>
      <c r="N498" s="21" t="s">
        <v>16</v>
      </c>
      <c r="O498" s="39">
        <f>O492</f>
        <v>324</v>
      </c>
      <c r="P498" s="40">
        <f>P492</f>
        <v>86</v>
      </c>
      <c r="Q498" s="40">
        <f t="shared" ref="Q498:R498" si="290">Q492</f>
        <v>138</v>
      </c>
      <c r="R498" s="88">
        <f t="shared" si="290"/>
        <v>118</v>
      </c>
      <c r="S498" s="123">
        <f>SUM(O498:R498)</f>
        <v>666</v>
      </c>
      <c r="T498" s="39">
        <f>T492</f>
        <v>413</v>
      </c>
      <c r="U498" s="40">
        <f>U492</f>
        <v>170</v>
      </c>
      <c r="V498" s="40">
        <f>V492</f>
        <v>112</v>
      </c>
      <c r="W498" s="41">
        <f>W492</f>
        <v>113</v>
      </c>
      <c r="X498" s="123">
        <f>SUM(T498:W498)</f>
        <v>808</v>
      </c>
      <c r="Y498" s="20">
        <f t="shared" ref="Y498:Y500" si="291">S498+X498</f>
        <v>1474</v>
      </c>
    </row>
    <row r="499" spans="1:27" x14ac:dyDescent="0.15">
      <c r="A499" s="70" t="s">
        <v>143</v>
      </c>
      <c r="B499" s="6"/>
      <c r="C499" s="29"/>
      <c r="D499" s="7">
        <v>2</v>
      </c>
      <c r="E499" s="8"/>
      <c r="F499" s="9">
        <f>SUM(B499:E499)</f>
        <v>2</v>
      </c>
      <c r="G499" s="29"/>
      <c r="H499" s="29"/>
      <c r="I499" s="7"/>
      <c r="J499" s="8"/>
      <c r="K499" s="9">
        <f>SUM(G499:J499)</f>
        <v>0</v>
      </c>
      <c r="L499" s="11">
        <f t="shared" ref="L499:L530" si="292">F499+K499</f>
        <v>2</v>
      </c>
      <c r="M499" s="115">
        <v>45377</v>
      </c>
      <c r="N499" s="70" t="s">
        <v>17</v>
      </c>
      <c r="O499" s="59"/>
      <c r="P499" s="60">
        <v>-140</v>
      </c>
      <c r="Q499" s="61"/>
      <c r="R499" s="62">
        <v>-140</v>
      </c>
      <c r="S499" s="120">
        <f>SUM(O499:R499)</f>
        <v>-280</v>
      </c>
      <c r="T499" s="60"/>
      <c r="U499" s="60"/>
      <c r="V499" s="61"/>
      <c r="W499" s="124">
        <v>-140</v>
      </c>
      <c r="X499" s="121">
        <f>SUM(T499:W499)</f>
        <v>-140</v>
      </c>
      <c r="Y499" s="11">
        <f t="shared" si="291"/>
        <v>-420</v>
      </c>
      <c r="Z499" s="85"/>
      <c r="AA499" s="51"/>
    </row>
    <row r="500" spans="1:27" x14ac:dyDescent="0.15">
      <c r="A500" s="70" t="s">
        <v>6</v>
      </c>
      <c r="B500" s="6">
        <v>5</v>
      </c>
      <c r="C500" s="29">
        <v>10</v>
      </c>
      <c r="D500" s="7">
        <v>5</v>
      </c>
      <c r="E500" s="8"/>
      <c r="F500" s="9">
        <f t="shared" ref="F500:F502" si="293">SUM(B500:E500)</f>
        <v>20</v>
      </c>
      <c r="G500" s="29"/>
      <c r="H500" s="29"/>
      <c r="I500" s="7"/>
      <c r="J500" s="8"/>
      <c r="K500" s="9">
        <f t="shared" ref="K500:K502" si="294">SUM(G500:J500)</f>
        <v>0</v>
      </c>
      <c r="L500" s="11">
        <f t="shared" si="292"/>
        <v>20</v>
      </c>
      <c r="M500" s="85">
        <v>45388</v>
      </c>
      <c r="N500" s="70" t="s">
        <v>5</v>
      </c>
      <c r="O500" s="59">
        <v>250</v>
      </c>
      <c r="P500" s="60">
        <v>600</v>
      </c>
      <c r="Q500" s="61">
        <v>320</v>
      </c>
      <c r="R500" s="62">
        <v>330</v>
      </c>
      <c r="S500" s="120">
        <f>SUM(O500:R500)</f>
        <v>1500</v>
      </c>
      <c r="T500" s="60">
        <v>100</v>
      </c>
      <c r="U500" s="60">
        <v>450</v>
      </c>
      <c r="V500" s="61">
        <v>350</v>
      </c>
      <c r="W500" s="124">
        <v>300</v>
      </c>
      <c r="X500" s="121">
        <f>SUM(T500:W500)</f>
        <v>1200</v>
      </c>
      <c r="Y500" s="11">
        <f t="shared" si="291"/>
        <v>2700</v>
      </c>
      <c r="Z500" s="85" t="s">
        <v>424</v>
      </c>
      <c r="AA500" s="51"/>
    </row>
    <row r="501" spans="1:27" x14ac:dyDescent="0.15">
      <c r="A501" s="70" t="s">
        <v>392</v>
      </c>
      <c r="B501" s="6">
        <v>5</v>
      </c>
      <c r="C501" s="29"/>
      <c r="D501" s="7"/>
      <c r="E501" s="8"/>
      <c r="F501" s="9">
        <f t="shared" si="293"/>
        <v>5</v>
      </c>
      <c r="G501" s="29"/>
      <c r="H501" s="29"/>
      <c r="I501" s="7"/>
      <c r="J501" s="8"/>
      <c r="K501" s="9">
        <f t="shared" si="294"/>
        <v>0</v>
      </c>
      <c r="L501" s="11">
        <f t="shared" si="292"/>
        <v>5</v>
      </c>
      <c r="M501" s="85">
        <v>45394</v>
      </c>
      <c r="N501" s="13" t="s">
        <v>6</v>
      </c>
      <c r="O501" s="25"/>
      <c r="P501" s="45"/>
      <c r="Q501" s="26"/>
      <c r="R501" s="32"/>
      <c r="S501" s="68">
        <f>SUM(O501:R501)</f>
        <v>0</v>
      </c>
      <c r="T501" s="45"/>
      <c r="U501" s="45"/>
      <c r="V501" s="26"/>
      <c r="W501" s="48"/>
      <c r="X501" s="9">
        <f>SUM(T501:W501)</f>
        <v>0</v>
      </c>
      <c r="Y501" s="11">
        <f t="shared" ref="Y501:Y502" si="295">S501+X501</f>
        <v>0</v>
      </c>
      <c r="Z501" s="159"/>
      <c r="AA501" s="51"/>
    </row>
    <row r="502" spans="1:27" ht="14.25" thickBot="1" x14ac:dyDescent="0.2">
      <c r="A502" s="70" t="s">
        <v>8</v>
      </c>
      <c r="B502" s="125"/>
      <c r="C502" s="126">
        <v>10</v>
      </c>
      <c r="D502" s="127">
        <v>5</v>
      </c>
      <c r="E502" s="128">
        <v>5</v>
      </c>
      <c r="F502" s="129">
        <f t="shared" si="293"/>
        <v>20</v>
      </c>
      <c r="G502" s="126">
        <v>5</v>
      </c>
      <c r="H502" s="126">
        <v>5</v>
      </c>
      <c r="I502" s="127"/>
      <c r="J502" s="128"/>
      <c r="K502" s="129">
        <f t="shared" si="294"/>
        <v>10</v>
      </c>
      <c r="L502" s="14">
        <f t="shared" si="292"/>
        <v>30</v>
      </c>
      <c r="M502" s="85">
        <v>45399</v>
      </c>
      <c r="N502" s="13" t="s">
        <v>7</v>
      </c>
      <c r="O502" s="25"/>
      <c r="P502" s="45"/>
      <c r="Q502" s="26"/>
      <c r="R502" s="32"/>
      <c r="S502" s="68">
        <f>SUM(O502:R502)</f>
        <v>0</v>
      </c>
      <c r="T502" s="45"/>
      <c r="U502" s="45"/>
      <c r="V502" s="26"/>
      <c r="W502" s="48"/>
      <c r="X502" s="9">
        <f>SUM(T502:W502)</f>
        <v>0</v>
      </c>
      <c r="Y502" s="11">
        <f t="shared" si="295"/>
        <v>0</v>
      </c>
      <c r="Z502" s="212"/>
    </row>
    <row r="503" spans="1:27" ht="14.25" thickBot="1" x14ac:dyDescent="0.2">
      <c r="A503" s="21" t="s">
        <v>9</v>
      </c>
      <c r="B503" s="130">
        <f t="shared" ref="B503:K503" si="296">SUM(B498:B502)</f>
        <v>19</v>
      </c>
      <c r="C503" s="131">
        <f t="shared" si="296"/>
        <v>32</v>
      </c>
      <c r="D503" s="132">
        <f t="shared" si="296"/>
        <v>23</v>
      </c>
      <c r="E503" s="133">
        <f t="shared" si="296"/>
        <v>18</v>
      </c>
      <c r="F503" s="123">
        <f t="shared" si="296"/>
        <v>92</v>
      </c>
      <c r="G503" s="130">
        <f t="shared" si="296"/>
        <v>20</v>
      </c>
      <c r="H503" s="131">
        <f t="shared" si="296"/>
        <v>21</v>
      </c>
      <c r="I503" s="132">
        <f t="shared" si="296"/>
        <v>16</v>
      </c>
      <c r="J503" s="133">
        <f t="shared" si="296"/>
        <v>19</v>
      </c>
      <c r="K503" s="123">
        <f t="shared" si="296"/>
        <v>76</v>
      </c>
      <c r="L503" s="20">
        <f t="shared" si="292"/>
        <v>168</v>
      </c>
      <c r="N503" s="16" t="s">
        <v>9</v>
      </c>
      <c r="O503" s="39">
        <f t="shared" ref="O503:X503" si="297">SUM(O498:O502)</f>
        <v>574</v>
      </c>
      <c r="P503" s="47">
        <f t="shared" si="297"/>
        <v>546</v>
      </c>
      <c r="Q503" s="40">
        <f t="shared" si="297"/>
        <v>458</v>
      </c>
      <c r="R503" s="88">
        <f t="shared" si="297"/>
        <v>308</v>
      </c>
      <c r="S503" s="89">
        <f t="shared" si="297"/>
        <v>1886</v>
      </c>
      <c r="T503" s="39">
        <f t="shared" si="297"/>
        <v>513</v>
      </c>
      <c r="U503" s="47">
        <f t="shared" si="297"/>
        <v>620</v>
      </c>
      <c r="V503" s="40">
        <f t="shared" si="297"/>
        <v>462</v>
      </c>
      <c r="W503" s="88">
        <f t="shared" si="297"/>
        <v>273</v>
      </c>
      <c r="X503" s="89">
        <f t="shared" si="297"/>
        <v>1868</v>
      </c>
      <c r="Y503" s="49">
        <f t="shared" ref="Y503:Y505" si="298">S503+X503</f>
        <v>3754</v>
      </c>
    </row>
    <row r="504" spans="1:27" x14ac:dyDescent="0.15">
      <c r="A504" s="70" t="s">
        <v>30</v>
      </c>
      <c r="B504" s="59"/>
      <c r="C504" s="60"/>
      <c r="D504" s="61">
        <v>1</v>
      </c>
      <c r="E504" s="62"/>
      <c r="F504" s="63">
        <f t="shared" ref="F504:F528" si="299">SUM(B504:E504)</f>
        <v>1</v>
      </c>
      <c r="G504" s="59"/>
      <c r="H504" s="60"/>
      <c r="I504" s="61"/>
      <c r="J504" s="62"/>
      <c r="K504" s="63">
        <f t="shared" ref="K504:K528" si="300">SUM(G504:J504)</f>
        <v>0</v>
      </c>
      <c r="L504" s="11">
        <f t="shared" si="292"/>
        <v>1</v>
      </c>
      <c r="M504" s="115">
        <v>45373</v>
      </c>
      <c r="N504" s="13" t="s">
        <v>389</v>
      </c>
      <c r="O504" s="25"/>
      <c r="P504" s="45">
        <v>5</v>
      </c>
      <c r="Q504" s="26">
        <v>5</v>
      </c>
      <c r="R504" s="32"/>
      <c r="S504" s="33">
        <f t="shared" ref="S504:S505" si="301">SUM(O504:R504)</f>
        <v>10</v>
      </c>
      <c r="T504" s="25"/>
      <c r="U504" s="45">
        <v>5</v>
      </c>
      <c r="V504" s="26"/>
      <c r="W504" s="32"/>
      <c r="X504" s="33">
        <f t="shared" ref="X504:X505" si="302">SUM(T504:W504)</f>
        <v>5</v>
      </c>
      <c r="Y504" s="93">
        <f t="shared" si="298"/>
        <v>15</v>
      </c>
      <c r="Z504" s="85">
        <v>45399</v>
      </c>
    </row>
    <row r="505" spans="1:27" x14ac:dyDescent="0.15">
      <c r="A505" s="70" t="s">
        <v>387</v>
      </c>
      <c r="B505" s="25"/>
      <c r="C505" s="45"/>
      <c r="D505" s="26"/>
      <c r="E505" s="32"/>
      <c r="F505" s="33">
        <f t="shared" si="299"/>
        <v>0</v>
      </c>
      <c r="G505" s="25"/>
      <c r="H505" s="45"/>
      <c r="I505" s="26">
        <v>1</v>
      </c>
      <c r="J505" s="32"/>
      <c r="K505" s="33">
        <f t="shared" si="300"/>
        <v>1</v>
      </c>
      <c r="L505" s="11">
        <f t="shared" si="292"/>
        <v>1</v>
      </c>
      <c r="M505" s="115">
        <v>45376</v>
      </c>
      <c r="N505" s="50" t="s">
        <v>28</v>
      </c>
      <c r="O505" s="25"/>
      <c r="P505" s="45">
        <v>10</v>
      </c>
      <c r="Q505" s="26">
        <v>5</v>
      </c>
      <c r="R505" s="32">
        <v>5</v>
      </c>
      <c r="S505" s="33">
        <f t="shared" si="301"/>
        <v>20</v>
      </c>
      <c r="T505" s="25">
        <v>5</v>
      </c>
      <c r="U505" s="45">
        <v>5</v>
      </c>
      <c r="V505" s="26"/>
      <c r="W505" s="32"/>
      <c r="X505" s="33">
        <f t="shared" si="302"/>
        <v>10</v>
      </c>
      <c r="Y505" s="11">
        <f t="shared" si="298"/>
        <v>30</v>
      </c>
      <c r="Z505" s="85">
        <v>45399</v>
      </c>
      <c r="AA505" s="51"/>
    </row>
    <row r="506" spans="1:27" x14ac:dyDescent="0.15">
      <c r="A506" s="70" t="s">
        <v>30</v>
      </c>
      <c r="B506" s="25"/>
      <c r="C506" s="45">
        <f>2+1</f>
        <v>3</v>
      </c>
      <c r="D506" s="26"/>
      <c r="E506" s="32"/>
      <c r="F506" s="33">
        <f t="shared" si="299"/>
        <v>3</v>
      </c>
      <c r="G506" s="25"/>
      <c r="H506" s="45">
        <v>2</v>
      </c>
      <c r="I506" s="26"/>
      <c r="J506" s="32"/>
      <c r="K506" s="33">
        <f t="shared" si="300"/>
        <v>2</v>
      </c>
      <c r="L506" s="11">
        <f t="shared" si="292"/>
        <v>5</v>
      </c>
      <c r="M506" s="115">
        <v>45376</v>
      </c>
      <c r="N506" s="13" t="s">
        <v>399</v>
      </c>
      <c r="O506" s="25"/>
      <c r="P506" s="45"/>
      <c r="Q506" s="26"/>
      <c r="R506" s="32">
        <v>5</v>
      </c>
      <c r="S506" s="33">
        <f t="shared" ref="S506:S529" si="303">SUM(O506:R506)</f>
        <v>5</v>
      </c>
      <c r="T506" s="25"/>
      <c r="U506" s="45"/>
      <c r="V506" s="26"/>
      <c r="W506" s="32">
        <v>6</v>
      </c>
      <c r="X506" s="33">
        <f t="shared" ref="X506:X529" si="304">SUM(T506:W506)</f>
        <v>6</v>
      </c>
      <c r="Y506" s="11">
        <f t="shared" ref="Y506:Y530" si="305">S506+X506</f>
        <v>11</v>
      </c>
      <c r="Z506" s="85">
        <v>45407</v>
      </c>
      <c r="AA506" s="51"/>
    </row>
    <row r="507" spans="1:27" x14ac:dyDescent="0.15">
      <c r="A507" s="70" t="s">
        <v>30</v>
      </c>
      <c r="B507" s="25"/>
      <c r="C507" s="45"/>
      <c r="D507" s="26"/>
      <c r="E507" s="32"/>
      <c r="F507" s="33">
        <f t="shared" si="299"/>
        <v>0</v>
      </c>
      <c r="G507" s="25"/>
      <c r="H507" s="45"/>
      <c r="I507" s="26">
        <v>2</v>
      </c>
      <c r="J507" s="32">
        <v>1</v>
      </c>
      <c r="K507" s="33">
        <f t="shared" si="300"/>
        <v>3</v>
      </c>
      <c r="L507" s="11">
        <f t="shared" si="292"/>
        <v>3</v>
      </c>
      <c r="M507" s="115">
        <v>45377</v>
      </c>
      <c r="N507" s="50" t="s">
        <v>28</v>
      </c>
      <c r="O507" s="25"/>
      <c r="P507" s="45">
        <v>3</v>
      </c>
      <c r="Q507" s="26">
        <v>3</v>
      </c>
      <c r="R507" s="32"/>
      <c r="S507" s="33">
        <f>SUM(O507:R507)</f>
        <v>6</v>
      </c>
      <c r="T507" s="25">
        <v>3</v>
      </c>
      <c r="U507" s="45">
        <v>3</v>
      </c>
      <c r="V507" s="26"/>
      <c r="W507" s="32"/>
      <c r="X507" s="33">
        <f>SUM(T507:W507)</f>
        <v>6</v>
      </c>
      <c r="Y507" s="11">
        <f t="shared" si="305"/>
        <v>12</v>
      </c>
      <c r="Z507" s="85">
        <v>45412</v>
      </c>
    </row>
    <row r="508" spans="1:27" x14ac:dyDescent="0.15">
      <c r="A508" s="70" t="s">
        <v>387</v>
      </c>
      <c r="B508" s="25"/>
      <c r="C508" s="45"/>
      <c r="D508" s="26"/>
      <c r="E508" s="32">
        <v>1</v>
      </c>
      <c r="F508" s="33">
        <f t="shared" si="299"/>
        <v>1</v>
      </c>
      <c r="G508" s="25"/>
      <c r="H508" s="45"/>
      <c r="I508" s="26"/>
      <c r="J508" s="32">
        <v>1</v>
      </c>
      <c r="K508" s="33">
        <f t="shared" si="300"/>
        <v>1</v>
      </c>
      <c r="L508" s="11">
        <f t="shared" si="292"/>
        <v>2</v>
      </c>
      <c r="M508" s="115">
        <v>45377</v>
      </c>
      <c r="N508" s="50"/>
      <c r="O508" s="25"/>
      <c r="P508" s="45"/>
      <c r="Q508" s="26"/>
      <c r="R508" s="32"/>
      <c r="S508" s="33">
        <f t="shared" si="303"/>
        <v>0</v>
      </c>
      <c r="T508" s="25"/>
      <c r="U508" s="45"/>
      <c r="V508" s="26"/>
      <c r="W508" s="32"/>
      <c r="X508" s="33">
        <f t="shared" si="304"/>
        <v>0</v>
      </c>
      <c r="Y508" s="11">
        <f t="shared" si="305"/>
        <v>0</v>
      </c>
      <c r="Z508" s="159"/>
    </row>
    <row r="509" spans="1:27" x14ac:dyDescent="0.15">
      <c r="A509" s="70" t="s">
        <v>30</v>
      </c>
      <c r="B509" s="25"/>
      <c r="C509" s="45"/>
      <c r="D509" s="26"/>
      <c r="E509" s="32"/>
      <c r="F509" s="33">
        <f t="shared" si="299"/>
        <v>0</v>
      </c>
      <c r="G509" s="25"/>
      <c r="H509" s="45">
        <v>1</v>
      </c>
      <c r="I509" s="26"/>
      <c r="J509" s="32"/>
      <c r="K509" s="33">
        <f t="shared" si="300"/>
        <v>1</v>
      </c>
      <c r="L509" s="11">
        <f t="shared" si="292"/>
        <v>1</v>
      </c>
      <c r="M509" s="115">
        <v>45380</v>
      </c>
      <c r="N509" s="50"/>
      <c r="O509" s="25"/>
      <c r="P509" s="45"/>
      <c r="Q509" s="26"/>
      <c r="R509" s="32"/>
      <c r="S509" s="33">
        <f t="shared" si="303"/>
        <v>0</v>
      </c>
      <c r="T509" s="25"/>
      <c r="U509" s="45"/>
      <c r="V509" s="26"/>
      <c r="W509" s="32"/>
      <c r="X509" s="33">
        <f t="shared" si="304"/>
        <v>0</v>
      </c>
      <c r="Y509" s="11">
        <f t="shared" si="305"/>
        <v>0</v>
      </c>
    </row>
    <row r="510" spans="1:27" x14ac:dyDescent="0.15">
      <c r="A510" s="15" t="s">
        <v>108</v>
      </c>
      <c r="B510" s="25"/>
      <c r="C510" s="45"/>
      <c r="D510" s="26"/>
      <c r="E510" s="32"/>
      <c r="F510" s="33">
        <f t="shared" si="299"/>
        <v>0</v>
      </c>
      <c r="G510" s="25"/>
      <c r="H510" s="45"/>
      <c r="I510" s="26"/>
      <c r="J510" s="32">
        <v>1</v>
      </c>
      <c r="K510" s="33">
        <f t="shared" si="300"/>
        <v>1</v>
      </c>
      <c r="L510" s="11">
        <f t="shared" si="292"/>
        <v>1</v>
      </c>
      <c r="M510" s="85">
        <v>45385</v>
      </c>
      <c r="N510" s="50"/>
      <c r="O510" s="25"/>
      <c r="P510" s="45"/>
      <c r="Q510" s="26"/>
      <c r="R510" s="32"/>
      <c r="S510" s="33">
        <f t="shared" si="303"/>
        <v>0</v>
      </c>
      <c r="T510" s="25"/>
      <c r="U510" s="45"/>
      <c r="V510" s="26"/>
      <c r="W510" s="32"/>
      <c r="X510" s="33">
        <f t="shared" si="304"/>
        <v>0</v>
      </c>
      <c r="Y510" s="11">
        <f t="shared" si="305"/>
        <v>0</v>
      </c>
    </row>
    <row r="511" spans="1:27" x14ac:dyDescent="0.15">
      <c r="A511" s="70" t="s">
        <v>30</v>
      </c>
      <c r="B511" s="25"/>
      <c r="C511" s="45"/>
      <c r="D511" s="26"/>
      <c r="E511" s="32"/>
      <c r="F511" s="33">
        <f t="shared" si="299"/>
        <v>0</v>
      </c>
      <c r="G511" s="25">
        <v>1</v>
      </c>
      <c r="H511" s="45"/>
      <c r="I511" s="26"/>
      <c r="J511" s="32"/>
      <c r="K511" s="33">
        <f t="shared" si="300"/>
        <v>1</v>
      </c>
      <c r="L511" s="11">
        <f t="shared" si="292"/>
        <v>1</v>
      </c>
      <c r="M511" s="115">
        <v>45383</v>
      </c>
      <c r="N511" s="50"/>
      <c r="O511" s="25"/>
      <c r="P511" s="45"/>
      <c r="Q511" s="26"/>
      <c r="R511" s="32"/>
      <c r="S511" s="33">
        <f t="shared" si="303"/>
        <v>0</v>
      </c>
      <c r="T511" s="25"/>
      <c r="U511" s="45"/>
      <c r="V511" s="26"/>
      <c r="W511" s="32"/>
      <c r="X511" s="33">
        <f t="shared" si="304"/>
        <v>0</v>
      </c>
      <c r="Y511" s="11">
        <f t="shared" si="305"/>
        <v>0</v>
      </c>
    </row>
    <row r="512" spans="1:27" x14ac:dyDescent="0.15">
      <c r="A512" s="70" t="s">
        <v>30</v>
      </c>
      <c r="B512" s="25">
        <v>2</v>
      </c>
      <c r="C512" s="45">
        <v>1</v>
      </c>
      <c r="D512" s="26">
        <v>6</v>
      </c>
      <c r="E512" s="32"/>
      <c r="F512" s="33">
        <f t="shared" si="299"/>
        <v>9</v>
      </c>
      <c r="G512" s="25">
        <v>1</v>
      </c>
      <c r="H512" s="45">
        <f>1+1</f>
        <v>2</v>
      </c>
      <c r="I512" s="26"/>
      <c r="J512" s="32"/>
      <c r="K512" s="33">
        <f t="shared" si="300"/>
        <v>3</v>
      </c>
      <c r="L512" s="11">
        <f t="shared" si="292"/>
        <v>12</v>
      </c>
      <c r="M512" s="115">
        <v>45387</v>
      </c>
      <c r="N512" s="50"/>
      <c r="O512" s="25"/>
      <c r="P512" s="45"/>
      <c r="Q512" s="26"/>
      <c r="R512" s="32"/>
      <c r="S512" s="33">
        <f t="shared" si="303"/>
        <v>0</v>
      </c>
      <c r="T512" s="25"/>
      <c r="U512" s="45"/>
      <c r="V512" s="26"/>
      <c r="W512" s="32"/>
      <c r="X512" s="33">
        <f t="shared" si="304"/>
        <v>0</v>
      </c>
      <c r="Y512" s="11">
        <f t="shared" si="305"/>
        <v>0</v>
      </c>
    </row>
    <row r="513" spans="1:26" x14ac:dyDescent="0.15">
      <c r="A513" s="70" t="s">
        <v>390</v>
      </c>
      <c r="B513" s="25"/>
      <c r="C513" s="45">
        <v>5</v>
      </c>
      <c r="D513" s="26"/>
      <c r="E513" s="32"/>
      <c r="F513" s="33">
        <f t="shared" si="299"/>
        <v>5</v>
      </c>
      <c r="G513" s="25"/>
      <c r="H513" s="45"/>
      <c r="I513" s="26"/>
      <c r="J513" s="32"/>
      <c r="K513" s="33">
        <f t="shared" si="300"/>
        <v>0</v>
      </c>
      <c r="L513" s="11">
        <f t="shared" si="292"/>
        <v>5</v>
      </c>
      <c r="M513" s="115">
        <v>45390</v>
      </c>
      <c r="N513" s="50"/>
      <c r="O513" s="25"/>
      <c r="P513" s="45"/>
      <c r="Q513" s="26"/>
      <c r="R513" s="32"/>
      <c r="S513" s="33">
        <f t="shared" si="303"/>
        <v>0</v>
      </c>
      <c r="T513" s="25"/>
      <c r="U513" s="45"/>
      <c r="V513" s="26"/>
      <c r="W513" s="32"/>
      <c r="X513" s="33">
        <f t="shared" si="304"/>
        <v>0</v>
      </c>
      <c r="Y513" s="11">
        <f t="shared" si="305"/>
        <v>0</v>
      </c>
    </row>
    <row r="514" spans="1:26" x14ac:dyDescent="0.15">
      <c r="A514" s="70" t="s">
        <v>30</v>
      </c>
      <c r="B514" s="25"/>
      <c r="C514" s="45"/>
      <c r="D514" s="26"/>
      <c r="E514" s="32">
        <v>1</v>
      </c>
      <c r="F514" s="33">
        <f t="shared" si="299"/>
        <v>1</v>
      </c>
      <c r="G514" s="25"/>
      <c r="H514" s="45"/>
      <c r="I514" s="26"/>
      <c r="J514" s="32">
        <v>1</v>
      </c>
      <c r="K514" s="33">
        <f t="shared" si="300"/>
        <v>1</v>
      </c>
      <c r="L514" s="11">
        <f t="shared" si="292"/>
        <v>2</v>
      </c>
      <c r="M514" s="115">
        <v>45390</v>
      </c>
      <c r="N514" s="50"/>
      <c r="O514" s="25"/>
      <c r="P514" s="45"/>
      <c r="Q514" s="26"/>
      <c r="R514" s="32"/>
      <c r="S514" s="33">
        <f t="shared" si="303"/>
        <v>0</v>
      </c>
      <c r="T514" s="25"/>
      <c r="U514" s="45"/>
      <c r="V514" s="26"/>
      <c r="W514" s="32"/>
      <c r="X514" s="33">
        <f t="shared" si="304"/>
        <v>0</v>
      </c>
      <c r="Y514" s="11">
        <f t="shared" si="305"/>
        <v>0</v>
      </c>
    </row>
    <row r="515" spans="1:26" x14ac:dyDescent="0.15">
      <c r="A515" s="15" t="s">
        <v>108</v>
      </c>
      <c r="B515" s="25">
        <v>1</v>
      </c>
      <c r="C515" s="45"/>
      <c r="D515" s="26"/>
      <c r="E515" s="32"/>
      <c r="F515" s="33">
        <f t="shared" si="299"/>
        <v>1</v>
      </c>
      <c r="G515" s="25"/>
      <c r="H515" s="45"/>
      <c r="I515" s="26"/>
      <c r="J515" s="32"/>
      <c r="K515" s="33">
        <f t="shared" si="300"/>
        <v>0</v>
      </c>
      <c r="L515" s="11">
        <f t="shared" si="292"/>
        <v>1</v>
      </c>
      <c r="M515" s="85">
        <v>45392</v>
      </c>
      <c r="N515" s="50"/>
      <c r="O515" s="25"/>
      <c r="P515" s="45"/>
      <c r="Q515" s="26"/>
      <c r="R515" s="32"/>
      <c r="S515" s="33">
        <f t="shared" si="303"/>
        <v>0</v>
      </c>
      <c r="T515" s="25"/>
      <c r="U515" s="45"/>
      <c r="V515" s="26"/>
      <c r="W515" s="32"/>
      <c r="X515" s="33">
        <f t="shared" si="304"/>
        <v>0</v>
      </c>
      <c r="Y515" s="11">
        <f t="shared" si="305"/>
        <v>0</v>
      </c>
    </row>
    <row r="516" spans="1:26" x14ac:dyDescent="0.15">
      <c r="A516" s="70" t="s">
        <v>30</v>
      </c>
      <c r="B516" s="25"/>
      <c r="C516" s="45">
        <v>2</v>
      </c>
      <c r="D516" s="26"/>
      <c r="E516" s="32"/>
      <c r="F516" s="33">
        <f t="shared" si="299"/>
        <v>2</v>
      </c>
      <c r="G516" s="25">
        <v>1</v>
      </c>
      <c r="H516" s="45"/>
      <c r="I516" s="26"/>
      <c r="J516" s="32"/>
      <c r="K516" s="33">
        <f t="shared" si="300"/>
        <v>1</v>
      </c>
      <c r="L516" s="11">
        <f t="shared" si="292"/>
        <v>3</v>
      </c>
      <c r="M516" s="115">
        <v>45391</v>
      </c>
      <c r="N516" s="50"/>
      <c r="O516" s="25"/>
      <c r="P516" s="45"/>
      <c r="Q516" s="26"/>
      <c r="R516" s="32"/>
      <c r="S516" s="33">
        <f t="shared" si="303"/>
        <v>0</v>
      </c>
      <c r="T516" s="25"/>
      <c r="U516" s="45"/>
      <c r="V516" s="26"/>
      <c r="W516" s="32"/>
      <c r="X516" s="33">
        <f t="shared" si="304"/>
        <v>0</v>
      </c>
      <c r="Y516" s="11">
        <f t="shared" si="305"/>
        <v>0</v>
      </c>
    </row>
    <row r="517" spans="1:26" x14ac:dyDescent="0.15">
      <c r="A517" s="70" t="s">
        <v>30</v>
      </c>
      <c r="B517" s="25">
        <v>2</v>
      </c>
      <c r="C517" s="45"/>
      <c r="D517" s="26">
        <v>2</v>
      </c>
      <c r="E517" s="32"/>
      <c r="F517" s="33">
        <f t="shared" si="299"/>
        <v>4</v>
      </c>
      <c r="G517" s="25">
        <v>2</v>
      </c>
      <c r="H517" s="45"/>
      <c r="I517" s="26"/>
      <c r="J517" s="32"/>
      <c r="K517" s="33">
        <f t="shared" si="300"/>
        <v>2</v>
      </c>
      <c r="L517" s="11">
        <f t="shared" si="292"/>
        <v>6</v>
      </c>
      <c r="M517" s="115">
        <v>45392</v>
      </c>
      <c r="N517" s="50"/>
      <c r="O517" s="25"/>
      <c r="P517" s="45"/>
      <c r="Q517" s="26"/>
      <c r="R517" s="32"/>
      <c r="S517" s="33">
        <f t="shared" si="303"/>
        <v>0</v>
      </c>
      <c r="T517" s="25"/>
      <c r="U517" s="45"/>
      <c r="V517" s="26"/>
      <c r="W517" s="32"/>
      <c r="X517" s="33">
        <f t="shared" si="304"/>
        <v>0</v>
      </c>
      <c r="Y517" s="11">
        <f t="shared" si="305"/>
        <v>0</v>
      </c>
    </row>
    <row r="518" spans="1:26" x14ac:dyDescent="0.15">
      <c r="A518" s="15" t="s">
        <v>391</v>
      </c>
      <c r="B518" s="25"/>
      <c r="C518" s="45">
        <v>2</v>
      </c>
      <c r="D518" s="26"/>
      <c r="E518" s="32"/>
      <c r="F518" s="33">
        <f t="shared" si="299"/>
        <v>2</v>
      </c>
      <c r="G518" s="25">
        <v>2</v>
      </c>
      <c r="H518" s="45"/>
      <c r="I518" s="26"/>
      <c r="J518" s="32"/>
      <c r="K518" s="33">
        <f t="shared" si="300"/>
        <v>2</v>
      </c>
      <c r="L518" s="11">
        <f t="shared" si="292"/>
        <v>4</v>
      </c>
      <c r="M518" s="85">
        <v>45394</v>
      </c>
      <c r="N518" s="50"/>
      <c r="O518" s="25"/>
      <c r="P518" s="45"/>
      <c r="Q518" s="26"/>
      <c r="R518" s="32"/>
      <c r="S518" s="33">
        <f t="shared" si="303"/>
        <v>0</v>
      </c>
      <c r="T518" s="25"/>
      <c r="U518" s="45"/>
      <c r="V518" s="26"/>
      <c r="W518" s="32"/>
      <c r="X518" s="33">
        <f t="shared" si="304"/>
        <v>0</v>
      </c>
      <c r="Y518" s="11">
        <f t="shared" si="305"/>
        <v>0</v>
      </c>
    </row>
    <row r="519" spans="1:26" x14ac:dyDescent="0.15">
      <c r="A519" s="70" t="s">
        <v>30</v>
      </c>
      <c r="B519" s="25"/>
      <c r="C519" s="45"/>
      <c r="D519" s="26"/>
      <c r="E519" s="32">
        <v>1</v>
      </c>
      <c r="F519" s="33">
        <f t="shared" si="299"/>
        <v>1</v>
      </c>
      <c r="G519" s="25"/>
      <c r="H519" s="45"/>
      <c r="I519" s="26"/>
      <c r="J519" s="32"/>
      <c r="K519" s="33">
        <f t="shared" si="300"/>
        <v>0</v>
      </c>
      <c r="L519" s="11">
        <f t="shared" si="292"/>
        <v>1</v>
      </c>
      <c r="M519" s="115">
        <v>45393</v>
      </c>
      <c r="N519" s="50"/>
      <c r="O519" s="25"/>
      <c r="P519" s="45"/>
      <c r="Q519" s="26"/>
      <c r="R519" s="32"/>
      <c r="S519" s="33">
        <f t="shared" si="303"/>
        <v>0</v>
      </c>
      <c r="T519" s="25"/>
      <c r="U519" s="45"/>
      <c r="V519" s="26"/>
      <c r="W519" s="32"/>
      <c r="X519" s="33">
        <f t="shared" si="304"/>
        <v>0</v>
      </c>
      <c r="Y519" s="11">
        <f t="shared" si="305"/>
        <v>0</v>
      </c>
    </row>
    <row r="520" spans="1:26" x14ac:dyDescent="0.15">
      <c r="A520" s="70" t="s">
        <v>30</v>
      </c>
      <c r="B520" s="25"/>
      <c r="C520" s="45">
        <v>1</v>
      </c>
      <c r="D520" s="26"/>
      <c r="E520" s="32">
        <v>1</v>
      </c>
      <c r="F520" s="33">
        <f t="shared" si="299"/>
        <v>2</v>
      </c>
      <c r="G520" s="25"/>
      <c r="H520" s="45">
        <v>1</v>
      </c>
      <c r="I520" s="26"/>
      <c r="J520" s="32"/>
      <c r="K520" s="33">
        <f t="shared" si="300"/>
        <v>1</v>
      </c>
      <c r="L520" s="11">
        <f t="shared" si="292"/>
        <v>3</v>
      </c>
      <c r="M520" s="115">
        <v>45394</v>
      </c>
      <c r="N520" s="50"/>
      <c r="O520" s="25"/>
      <c r="P520" s="45"/>
      <c r="Q520" s="26"/>
      <c r="R520" s="32"/>
      <c r="S520" s="33">
        <f t="shared" si="303"/>
        <v>0</v>
      </c>
      <c r="T520" s="25"/>
      <c r="U520" s="45"/>
      <c r="V520" s="26"/>
      <c r="W520" s="32"/>
      <c r="X520" s="33">
        <f t="shared" si="304"/>
        <v>0</v>
      </c>
      <c r="Y520" s="11">
        <f t="shared" si="305"/>
        <v>0</v>
      </c>
    </row>
    <row r="521" spans="1:26" x14ac:dyDescent="0.15">
      <c r="A521" s="15" t="s">
        <v>393</v>
      </c>
      <c r="B521" s="25">
        <v>1</v>
      </c>
      <c r="C521" s="45">
        <v>2</v>
      </c>
      <c r="D521" s="26">
        <v>1</v>
      </c>
      <c r="E521" s="32"/>
      <c r="F521" s="33">
        <f t="shared" si="299"/>
        <v>4</v>
      </c>
      <c r="G521" s="25">
        <v>2</v>
      </c>
      <c r="H521" s="45">
        <v>1</v>
      </c>
      <c r="I521" s="26">
        <v>4</v>
      </c>
      <c r="J521" s="32">
        <v>1</v>
      </c>
      <c r="K521" s="33">
        <f t="shared" si="300"/>
        <v>8</v>
      </c>
      <c r="L521" s="11">
        <f t="shared" si="292"/>
        <v>12</v>
      </c>
      <c r="M521" s="85">
        <v>45399</v>
      </c>
      <c r="N521" s="50"/>
      <c r="O521" s="25"/>
      <c r="P521" s="45"/>
      <c r="Q521" s="26"/>
      <c r="R521" s="32"/>
      <c r="S521" s="33">
        <f t="shared" si="303"/>
        <v>0</v>
      </c>
      <c r="T521" s="25"/>
      <c r="U521" s="45"/>
      <c r="V521" s="26"/>
      <c r="W521" s="32"/>
      <c r="X521" s="33">
        <f t="shared" si="304"/>
        <v>0</v>
      </c>
      <c r="Y521" s="11">
        <f t="shared" si="305"/>
        <v>0</v>
      </c>
    </row>
    <row r="522" spans="1:26" x14ac:dyDescent="0.15">
      <c r="A522" s="70" t="s">
        <v>30</v>
      </c>
      <c r="B522" s="25">
        <v>1</v>
      </c>
      <c r="C522" s="45">
        <v>1</v>
      </c>
      <c r="D522" s="26"/>
      <c r="E522" s="32"/>
      <c r="F522" s="33">
        <f t="shared" si="299"/>
        <v>2</v>
      </c>
      <c r="G522" s="25">
        <v>1</v>
      </c>
      <c r="H522" s="45"/>
      <c r="I522" s="26">
        <v>1</v>
      </c>
      <c r="J522" s="32"/>
      <c r="K522" s="33">
        <f t="shared" si="300"/>
        <v>2</v>
      </c>
      <c r="L522" s="11">
        <f t="shared" si="292"/>
        <v>4</v>
      </c>
      <c r="M522" s="115">
        <v>45397</v>
      </c>
      <c r="N522" s="50"/>
      <c r="O522" s="25"/>
      <c r="P522" s="45"/>
      <c r="Q522" s="26"/>
      <c r="R522" s="32"/>
      <c r="S522" s="33">
        <f t="shared" si="303"/>
        <v>0</v>
      </c>
      <c r="T522" s="25"/>
      <c r="U522" s="45"/>
      <c r="V522" s="26"/>
      <c r="W522" s="32"/>
      <c r="X522" s="33">
        <f t="shared" si="304"/>
        <v>0</v>
      </c>
      <c r="Y522" s="11">
        <f t="shared" si="305"/>
        <v>0</v>
      </c>
    </row>
    <row r="523" spans="1:26" x14ac:dyDescent="0.15">
      <c r="A523" s="15" t="s">
        <v>397</v>
      </c>
      <c r="B523" s="25"/>
      <c r="C523" s="45">
        <v>1</v>
      </c>
      <c r="D523" s="26">
        <v>1</v>
      </c>
      <c r="E523" s="32">
        <v>1</v>
      </c>
      <c r="F523" s="33">
        <f t="shared" si="299"/>
        <v>3</v>
      </c>
      <c r="G523" s="25"/>
      <c r="H523" s="45">
        <v>3</v>
      </c>
      <c r="I523" s="26"/>
      <c r="J523" s="32">
        <v>1</v>
      </c>
      <c r="K523" s="33">
        <f t="shared" si="300"/>
        <v>4</v>
      </c>
      <c r="L523" s="11">
        <f t="shared" si="292"/>
        <v>7</v>
      </c>
      <c r="M523" s="85">
        <v>45400</v>
      </c>
      <c r="N523" s="12"/>
      <c r="O523" s="25"/>
      <c r="P523" s="45"/>
      <c r="Q523" s="26"/>
      <c r="R523" s="32"/>
      <c r="S523" s="33">
        <f t="shared" si="303"/>
        <v>0</v>
      </c>
      <c r="T523" s="25"/>
      <c r="U523" s="45"/>
      <c r="V523" s="26"/>
      <c r="W523" s="32"/>
      <c r="X523" s="33">
        <f t="shared" si="304"/>
        <v>0</v>
      </c>
      <c r="Y523" s="93">
        <f t="shared" si="305"/>
        <v>0</v>
      </c>
    </row>
    <row r="524" spans="1:26" x14ac:dyDescent="0.15">
      <c r="A524" s="70" t="s">
        <v>30</v>
      </c>
      <c r="B524" s="25"/>
      <c r="C524" s="45">
        <f>1+2</f>
        <v>3</v>
      </c>
      <c r="D524" s="26">
        <v>2</v>
      </c>
      <c r="E524" s="32">
        <v>2</v>
      </c>
      <c r="F524" s="33">
        <f t="shared" si="299"/>
        <v>7</v>
      </c>
      <c r="G524" s="25"/>
      <c r="H524" s="45"/>
      <c r="I524" s="26"/>
      <c r="J524" s="32">
        <v>1</v>
      </c>
      <c r="K524" s="33">
        <f t="shared" si="300"/>
        <v>1</v>
      </c>
      <c r="L524" s="11">
        <f t="shared" si="292"/>
        <v>8</v>
      </c>
      <c r="M524" s="115">
        <v>45398</v>
      </c>
      <c r="N524" s="12"/>
      <c r="O524" s="25"/>
      <c r="P524" s="45"/>
      <c r="Q524" s="26"/>
      <c r="R524" s="32"/>
      <c r="S524" s="33">
        <f t="shared" ref="S524:S527" si="306">SUM(O524:R524)</f>
        <v>0</v>
      </c>
      <c r="T524" s="25"/>
      <c r="U524" s="45"/>
      <c r="V524" s="26"/>
      <c r="W524" s="32"/>
      <c r="X524" s="33">
        <f t="shared" ref="X524:X527" si="307">SUM(T524:W524)</f>
        <v>0</v>
      </c>
      <c r="Y524" s="93">
        <f t="shared" ref="Y524:Y527" si="308">S524+X524</f>
        <v>0</v>
      </c>
    </row>
    <row r="525" spans="1:26" x14ac:dyDescent="0.15">
      <c r="A525" s="70" t="s">
        <v>30</v>
      </c>
      <c r="B525" s="25"/>
      <c r="C525" s="45"/>
      <c r="D525" s="26">
        <v>1</v>
      </c>
      <c r="E525" s="32"/>
      <c r="F525" s="33">
        <f t="shared" si="299"/>
        <v>1</v>
      </c>
      <c r="G525" s="25">
        <v>2</v>
      </c>
      <c r="H525" s="45"/>
      <c r="I525" s="26"/>
      <c r="J525" s="32"/>
      <c r="K525" s="33">
        <f t="shared" si="300"/>
        <v>2</v>
      </c>
      <c r="L525" s="11">
        <f t="shared" si="292"/>
        <v>3</v>
      </c>
      <c r="M525" s="115">
        <v>45399</v>
      </c>
      <c r="N525" s="12"/>
      <c r="O525" s="25"/>
      <c r="P525" s="45"/>
      <c r="Q525" s="26"/>
      <c r="R525" s="32"/>
      <c r="S525" s="33">
        <f t="shared" si="306"/>
        <v>0</v>
      </c>
      <c r="T525" s="25"/>
      <c r="U525" s="45"/>
      <c r="V525" s="26"/>
      <c r="W525" s="32"/>
      <c r="X525" s="33">
        <f t="shared" si="307"/>
        <v>0</v>
      </c>
      <c r="Y525" s="93">
        <f t="shared" si="308"/>
        <v>0</v>
      </c>
    </row>
    <row r="526" spans="1:26" x14ac:dyDescent="0.15">
      <c r="A526" s="15" t="s">
        <v>398</v>
      </c>
      <c r="B526" s="25"/>
      <c r="C526" s="45"/>
      <c r="D526" s="26"/>
      <c r="E526" s="32"/>
      <c r="F526" s="33">
        <f t="shared" si="299"/>
        <v>0</v>
      </c>
      <c r="G526" s="25"/>
      <c r="H526" s="45">
        <v>1</v>
      </c>
      <c r="I526" s="26"/>
      <c r="J526" s="32"/>
      <c r="K526" s="33">
        <f t="shared" si="300"/>
        <v>1</v>
      </c>
      <c r="L526" s="11">
        <f t="shared" si="292"/>
        <v>1</v>
      </c>
      <c r="M526" s="85">
        <v>45401</v>
      </c>
      <c r="N526" s="12"/>
      <c r="O526" s="25"/>
      <c r="P526" s="45"/>
      <c r="Q526" s="26"/>
      <c r="R526" s="32"/>
      <c r="S526" s="33">
        <f t="shared" si="306"/>
        <v>0</v>
      </c>
      <c r="T526" s="25"/>
      <c r="U526" s="45"/>
      <c r="V526" s="26"/>
      <c r="W526" s="32"/>
      <c r="X526" s="33">
        <f t="shared" si="307"/>
        <v>0</v>
      </c>
      <c r="Y526" s="93">
        <f t="shared" si="308"/>
        <v>0</v>
      </c>
    </row>
    <row r="527" spans="1:26" x14ac:dyDescent="0.15">
      <c r="A527" s="70" t="s">
        <v>30</v>
      </c>
      <c r="B527" s="25">
        <v>1</v>
      </c>
      <c r="C527" s="45">
        <v>2</v>
      </c>
      <c r="D527" s="26"/>
      <c r="E527" s="32"/>
      <c r="F527" s="33">
        <f t="shared" si="299"/>
        <v>3</v>
      </c>
      <c r="G527" s="25"/>
      <c r="H527" s="45"/>
      <c r="I527" s="26"/>
      <c r="J527" s="32"/>
      <c r="K527" s="33">
        <f t="shared" si="300"/>
        <v>0</v>
      </c>
      <c r="L527" s="93">
        <f t="shared" si="292"/>
        <v>3</v>
      </c>
      <c r="M527" s="85">
        <v>45400</v>
      </c>
      <c r="N527" s="12"/>
      <c r="O527" s="25"/>
      <c r="P527" s="45"/>
      <c r="Q527" s="26"/>
      <c r="R527" s="32"/>
      <c r="S527" s="33">
        <f t="shared" si="306"/>
        <v>0</v>
      </c>
      <c r="T527" s="25"/>
      <c r="U527" s="45"/>
      <c r="V527" s="26"/>
      <c r="W527" s="32"/>
      <c r="X527" s="33">
        <f t="shared" si="307"/>
        <v>0</v>
      </c>
      <c r="Y527" s="93">
        <f t="shared" si="308"/>
        <v>0</v>
      </c>
      <c r="Z527" s="159"/>
    </row>
    <row r="528" spans="1:26" ht="14.25" thickBot="1" x14ac:dyDescent="0.2">
      <c r="A528" s="157" t="s">
        <v>400</v>
      </c>
      <c r="B528" s="55">
        <v>1</v>
      </c>
      <c r="C528" s="56">
        <v>4</v>
      </c>
      <c r="D528" s="57"/>
      <c r="E528" s="58"/>
      <c r="F528" s="109">
        <f t="shared" si="299"/>
        <v>5</v>
      </c>
      <c r="G528" s="55">
        <v>2</v>
      </c>
      <c r="H528" s="56">
        <v>4</v>
      </c>
      <c r="I528" s="57"/>
      <c r="J528" s="58"/>
      <c r="K528" s="109">
        <f t="shared" si="300"/>
        <v>6</v>
      </c>
      <c r="L528" s="75">
        <f t="shared" si="292"/>
        <v>11</v>
      </c>
      <c r="M528" s="85">
        <v>45404</v>
      </c>
      <c r="N528" s="74" t="s">
        <v>375</v>
      </c>
      <c r="O528" s="55"/>
      <c r="P528" s="56"/>
      <c r="Q528" s="57"/>
      <c r="R528" s="58"/>
      <c r="S528" s="109">
        <f t="shared" ref="S528" si="309">SUM(O528:R528)</f>
        <v>0</v>
      </c>
      <c r="T528" s="55"/>
      <c r="U528" s="56"/>
      <c r="V528" s="57"/>
      <c r="W528" s="58"/>
      <c r="X528" s="109">
        <f t="shared" ref="X528" si="310">SUM(T528:W528)</f>
        <v>0</v>
      </c>
      <c r="Y528" s="107">
        <f t="shared" ref="Y528" si="311">S528+X528</f>
        <v>0</v>
      </c>
      <c r="Z528" s="159" t="s">
        <v>47</v>
      </c>
    </row>
    <row r="529" spans="1:27" ht="14.25" thickBot="1" x14ac:dyDescent="0.2">
      <c r="A529" s="72" t="s">
        <v>10</v>
      </c>
      <c r="B529" s="36">
        <f>SUM(B504:B528)</f>
        <v>9</v>
      </c>
      <c r="C529" s="46">
        <f>SUM(C504:C528)</f>
        <v>27</v>
      </c>
      <c r="D529" s="37">
        <f>SUM(D504:D528)</f>
        <v>14</v>
      </c>
      <c r="E529" s="38">
        <f>SUM(E504:E528)</f>
        <v>7</v>
      </c>
      <c r="F529" s="71">
        <f>SUM(B529:E529)</f>
        <v>57</v>
      </c>
      <c r="G529" s="36">
        <f>SUM(G504:G528)</f>
        <v>14</v>
      </c>
      <c r="H529" s="46">
        <f>SUM(H504:H528)</f>
        <v>15</v>
      </c>
      <c r="I529" s="37">
        <f>SUM(I504:I528)</f>
        <v>8</v>
      </c>
      <c r="J529" s="38">
        <f>SUM(J504:J528)</f>
        <v>7</v>
      </c>
      <c r="K529" s="71">
        <f>SUM(G529:J529)</f>
        <v>44</v>
      </c>
      <c r="L529" s="75">
        <f t="shared" si="292"/>
        <v>101</v>
      </c>
      <c r="N529" s="72" t="s">
        <v>10</v>
      </c>
      <c r="O529" s="36">
        <f>SUM(O504:O528)</f>
        <v>0</v>
      </c>
      <c r="P529" s="46">
        <f>SUM(P504:P528)</f>
        <v>18</v>
      </c>
      <c r="Q529" s="37">
        <f>SUM(Q504:Q528)</f>
        <v>13</v>
      </c>
      <c r="R529" s="38">
        <f>SUM(R504:R528)</f>
        <v>10</v>
      </c>
      <c r="S529" s="71">
        <f t="shared" si="303"/>
        <v>41</v>
      </c>
      <c r="T529" s="36">
        <f>SUM(T504:T528)</f>
        <v>8</v>
      </c>
      <c r="U529" s="46">
        <f>SUM(U504:U528)</f>
        <v>13</v>
      </c>
      <c r="V529" s="37">
        <f>SUM(V504:V528)</f>
        <v>0</v>
      </c>
      <c r="W529" s="38">
        <f>SUM(W504:W528)</f>
        <v>6</v>
      </c>
      <c r="X529" s="71">
        <f t="shared" si="304"/>
        <v>27</v>
      </c>
      <c r="Y529" s="75">
        <f t="shared" si="305"/>
        <v>68</v>
      </c>
    </row>
    <row r="530" spans="1:27" ht="14.25" thickBot="1" x14ac:dyDescent="0.2">
      <c r="A530" s="21" t="s">
        <v>11</v>
      </c>
      <c r="B530" s="39">
        <f t="shared" ref="B530:K530" si="312">B503-B529</f>
        <v>10</v>
      </c>
      <c r="C530" s="47">
        <f t="shared" si="312"/>
        <v>5</v>
      </c>
      <c r="D530" s="40">
        <f t="shared" si="312"/>
        <v>9</v>
      </c>
      <c r="E530" s="41">
        <f t="shared" si="312"/>
        <v>11</v>
      </c>
      <c r="F530" s="54">
        <f t="shared" si="312"/>
        <v>35</v>
      </c>
      <c r="G530" s="39">
        <f t="shared" si="312"/>
        <v>6</v>
      </c>
      <c r="H530" s="47">
        <f t="shared" si="312"/>
        <v>6</v>
      </c>
      <c r="I530" s="40">
        <f t="shared" si="312"/>
        <v>8</v>
      </c>
      <c r="J530" s="41">
        <f t="shared" si="312"/>
        <v>12</v>
      </c>
      <c r="K530" s="54">
        <f t="shared" si="312"/>
        <v>32</v>
      </c>
      <c r="L530" s="20">
        <f t="shared" si="292"/>
        <v>67</v>
      </c>
      <c r="N530" s="16" t="s">
        <v>11</v>
      </c>
      <c r="O530" s="39">
        <f t="shared" ref="O530:X530" si="313">O503-O529</f>
        <v>574</v>
      </c>
      <c r="P530" s="47">
        <f t="shared" si="313"/>
        <v>528</v>
      </c>
      <c r="Q530" s="40">
        <f t="shared" si="313"/>
        <v>445</v>
      </c>
      <c r="R530" s="41">
        <f t="shared" si="313"/>
        <v>298</v>
      </c>
      <c r="S530" s="54">
        <f t="shared" si="313"/>
        <v>1845</v>
      </c>
      <c r="T530" s="39">
        <f t="shared" si="313"/>
        <v>505</v>
      </c>
      <c r="U530" s="47">
        <f t="shared" si="313"/>
        <v>607</v>
      </c>
      <c r="V530" s="40">
        <f t="shared" si="313"/>
        <v>462</v>
      </c>
      <c r="W530" s="41">
        <f t="shared" si="313"/>
        <v>267</v>
      </c>
      <c r="X530" s="54">
        <f t="shared" si="313"/>
        <v>1841</v>
      </c>
      <c r="Y530" s="20">
        <f t="shared" si="305"/>
        <v>3686</v>
      </c>
    </row>
    <row r="531" spans="1:27" x14ac:dyDescent="0.15">
      <c r="N531" t="s">
        <v>316</v>
      </c>
      <c r="O531">
        <v>110</v>
      </c>
      <c r="P531">
        <v>170</v>
      </c>
      <c r="Q531">
        <v>90</v>
      </c>
      <c r="R531">
        <v>100</v>
      </c>
      <c r="T531">
        <v>50</v>
      </c>
      <c r="U531">
        <v>85</v>
      </c>
      <c r="V531">
        <v>65</v>
      </c>
      <c r="W531">
        <v>75</v>
      </c>
      <c r="X531" s="94"/>
    </row>
    <row r="532" spans="1:27" x14ac:dyDescent="0.15">
      <c r="N532" s="52" t="s">
        <v>357</v>
      </c>
      <c r="O532" s="146">
        <v>35</v>
      </c>
      <c r="P532" s="146">
        <v>50</v>
      </c>
      <c r="Q532" s="146">
        <v>49</v>
      </c>
      <c r="R532" s="146"/>
      <c r="S532" s="146"/>
      <c r="T532" s="146">
        <v>20</v>
      </c>
      <c r="U532" s="146">
        <v>30</v>
      </c>
      <c r="V532" s="146">
        <v>25</v>
      </c>
      <c r="W532" s="146"/>
      <c r="X532" s="146"/>
    </row>
    <row r="533" spans="1:27" ht="19.5" thickBot="1" x14ac:dyDescent="0.25">
      <c r="A533" s="2" t="s">
        <v>26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27</v>
      </c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7" ht="14.25" thickBot="1" x14ac:dyDescent="0.2">
      <c r="A534" s="5" t="s">
        <v>0</v>
      </c>
      <c r="B534" s="228" t="s">
        <v>19</v>
      </c>
      <c r="C534" s="229"/>
      <c r="D534" s="229"/>
      <c r="E534" s="229"/>
      <c r="F534" s="230"/>
      <c r="G534" s="231" t="s">
        <v>18</v>
      </c>
      <c r="H534" s="232"/>
      <c r="I534" s="232"/>
      <c r="J534" s="232"/>
      <c r="K534" s="233"/>
      <c r="L534" s="73" t="s">
        <v>1</v>
      </c>
      <c r="N534" s="5" t="s">
        <v>0</v>
      </c>
      <c r="O534" s="228" t="s">
        <v>19</v>
      </c>
      <c r="P534" s="229"/>
      <c r="Q534" s="229"/>
      <c r="R534" s="229"/>
      <c r="S534" s="230"/>
      <c r="T534" s="231" t="s">
        <v>18</v>
      </c>
      <c r="U534" s="232"/>
      <c r="V534" s="232"/>
      <c r="W534" s="232"/>
      <c r="X534" s="233"/>
      <c r="Y534" s="73" t="s">
        <v>1</v>
      </c>
    </row>
    <row r="535" spans="1:27" ht="14.25" thickBot="1" x14ac:dyDescent="0.2">
      <c r="A535" s="5" t="s">
        <v>2</v>
      </c>
      <c r="B535" s="3" t="s">
        <v>12</v>
      </c>
      <c r="C535" s="42" t="s">
        <v>13</v>
      </c>
      <c r="D535" s="4" t="s">
        <v>14</v>
      </c>
      <c r="E535" s="22" t="s">
        <v>15</v>
      </c>
      <c r="F535" s="30" t="s">
        <v>3</v>
      </c>
      <c r="G535" s="3" t="s">
        <v>12</v>
      </c>
      <c r="H535" s="42" t="s">
        <v>13</v>
      </c>
      <c r="I535" s="4" t="s">
        <v>14</v>
      </c>
      <c r="J535" s="22" t="s">
        <v>15</v>
      </c>
      <c r="K535" s="30" t="s">
        <v>3</v>
      </c>
      <c r="L535" s="74"/>
      <c r="N535" s="5" t="s">
        <v>2</v>
      </c>
      <c r="O535" s="64" t="s">
        <v>12</v>
      </c>
      <c r="P535" s="65" t="s">
        <v>13</v>
      </c>
      <c r="Q535" s="66" t="s">
        <v>14</v>
      </c>
      <c r="R535" s="67" t="s">
        <v>15</v>
      </c>
      <c r="S535" s="30" t="s">
        <v>3</v>
      </c>
      <c r="T535" s="3" t="s">
        <v>12</v>
      </c>
      <c r="U535" s="42" t="s">
        <v>13</v>
      </c>
      <c r="V535" s="4" t="s">
        <v>14</v>
      </c>
      <c r="W535" s="22" t="s">
        <v>15</v>
      </c>
      <c r="X535" s="30" t="s">
        <v>3</v>
      </c>
      <c r="Y535" s="74"/>
    </row>
    <row r="536" spans="1:27" ht="14.25" thickBot="1" x14ac:dyDescent="0.2">
      <c r="A536" s="21" t="s">
        <v>16</v>
      </c>
      <c r="B536" s="39">
        <f>B530</f>
        <v>10</v>
      </c>
      <c r="C536" s="40">
        <f>C530</f>
        <v>5</v>
      </c>
      <c r="D536" s="40">
        <f>D530</f>
        <v>9</v>
      </c>
      <c r="E536" s="41">
        <f>E530</f>
        <v>11</v>
      </c>
      <c r="F536" s="122">
        <f>SUM(B536:E536)</f>
        <v>35</v>
      </c>
      <c r="G536" s="39">
        <f>G530</f>
        <v>6</v>
      </c>
      <c r="H536" s="40">
        <f>H530</f>
        <v>6</v>
      </c>
      <c r="I536" s="40">
        <f>I530</f>
        <v>8</v>
      </c>
      <c r="J536" s="41">
        <f>J530</f>
        <v>12</v>
      </c>
      <c r="K536" s="123">
        <f>SUM(G536:J536)</f>
        <v>32</v>
      </c>
      <c r="L536" s="20">
        <f>F536+K536</f>
        <v>67</v>
      </c>
      <c r="N536" s="21" t="s">
        <v>16</v>
      </c>
      <c r="O536" s="39">
        <f>O530</f>
        <v>574</v>
      </c>
      <c r="P536" s="40">
        <f>P530</f>
        <v>528</v>
      </c>
      <c r="Q536" s="40">
        <f t="shared" ref="Q536:R536" si="314">Q530</f>
        <v>445</v>
      </c>
      <c r="R536" s="88">
        <f t="shared" si="314"/>
        <v>298</v>
      </c>
      <c r="S536" s="123">
        <f>SUM(O536:R536)</f>
        <v>1845</v>
      </c>
      <c r="T536" s="39">
        <f>T530</f>
        <v>505</v>
      </c>
      <c r="U536" s="40">
        <f>U530</f>
        <v>607</v>
      </c>
      <c r="V536" s="40">
        <f>V530</f>
        <v>462</v>
      </c>
      <c r="W536" s="41">
        <f>W530</f>
        <v>267</v>
      </c>
      <c r="X536" s="123">
        <f>SUM(T536:W536)</f>
        <v>1841</v>
      </c>
      <c r="Y536" s="20">
        <f t="shared" ref="Y536:Y568" si="315">S536+X536</f>
        <v>3686</v>
      </c>
    </row>
    <row r="537" spans="1:27" x14ac:dyDescent="0.15">
      <c r="A537" s="70" t="s">
        <v>5</v>
      </c>
      <c r="B537" s="6"/>
      <c r="C537" s="29">
        <v>3</v>
      </c>
      <c r="D537" s="7">
        <v>3</v>
      </c>
      <c r="E537" s="8"/>
      <c r="F537" s="9">
        <f>SUM(B537:E537)</f>
        <v>6</v>
      </c>
      <c r="G537" s="29">
        <v>3</v>
      </c>
      <c r="H537" s="29">
        <v>3</v>
      </c>
      <c r="I537" s="7"/>
      <c r="J537" s="8"/>
      <c r="K537" s="9">
        <f>SUM(G537:J537)</f>
        <v>6</v>
      </c>
      <c r="L537" s="11">
        <f t="shared" ref="L537:L568" si="316">F537+K537</f>
        <v>12</v>
      </c>
      <c r="M537" s="85">
        <v>45412</v>
      </c>
      <c r="N537" s="13" t="s">
        <v>413</v>
      </c>
      <c r="O537" s="25"/>
      <c r="P537" s="45"/>
      <c r="Q537" s="26"/>
      <c r="R537" s="32"/>
      <c r="S537" s="68">
        <f t="shared" ref="S537:S538" si="317">SUM(O537:R537)</f>
        <v>0</v>
      </c>
      <c r="T537" s="45">
        <v>6</v>
      </c>
      <c r="U537" s="45">
        <v>9</v>
      </c>
      <c r="V537" s="26">
        <v>12</v>
      </c>
      <c r="W537" s="48">
        <v>3</v>
      </c>
      <c r="X537" s="9">
        <f t="shared" ref="X537:X538" si="318">SUM(T537:W537)</f>
        <v>30</v>
      </c>
      <c r="Y537" s="11">
        <f t="shared" ref="Y537:Y538" si="319">S537+X537</f>
        <v>30</v>
      </c>
      <c r="Z537" s="115">
        <v>45430</v>
      </c>
    </row>
    <row r="538" spans="1:27" x14ac:dyDescent="0.15">
      <c r="A538" s="70" t="s">
        <v>65</v>
      </c>
      <c r="B538" s="6"/>
      <c r="C538" s="29"/>
      <c r="D538" s="7"/>
      <c r="E538" s="8"/>
      <c r="F538" s="9">
        <f t="shared" ref="F538:F540" si="320">SUM(B538:E538)</f>
        <v>0</v>
      </c>
      <c r="G538" s="29">
        <v>1</v>
      </c>
      <c r="H538" s="29"/>
      <c r="I538" s="7"/>
      <c r="J538" s="8"/>
      <c r="K538" s="9">
        <f t="shared" ref="K538:K540" si="321">SUM(G538:J538)</f>
        <v>1</v>
      </c>
      <c r="L538" s="11">
        <f t="shared" si="316"/>
        <v>1</v>
      </c>
      <c r="M538" s="85">
        <v>45420</v>
      </c>
      <c r="N538" s="13" t="s">
        <v>5</v>
      </c>
      <c r="O538" s="25"/>
      <c r="P538" s="45"/>
      <c r="Q538" s="26"/>
      <c r="R538" s="32"/>
      <c r="S538" s="68">
        <f t="shared" si="317"/>
        <v>0</v>
      </c>
      <c r="T538" s="45"/>
      <c r="U538" s="45"/>
      <c r="V538" s="26"/>
      <c r="W538" s="48"/>
      <c r="X538" s="9">
        <f t="shared" si="318"/>
        <v>0</v>
      </c>
      <c r="Y538" s="11">
        <f t="shared" si="319"/>
        <v>0</v>
      </c>
    </row>
    <row r="539" spans="1:27" x14ac:dyDescent="0.15">
      <c r="A539" s="70" t="s">
        <v>7</v>
      </c>
      <c r="B539" s="6"/>
      <c r="C539" s="29">
        <v>10</v>
      </c>
      <c r="D539" s="7"/>
      <c r="E539" s="8"/>
      <c r="F539" s="9">
        <f t="shared" si="320"/>
        <v>10</v>
      </c>
      <c r="G539" s="29"/>
      <c r="H539" s="29">
        <v>10</v>
      </c>
      <c r="I539" s="7"/>
      <c r="J539" s="8"/>
      <c r="K539" s="9">
        <f t="shared" si="321"/>
        <v>10</v>
      </c>
      <c r="L539" s="11">
        <f t="shared" si="316"/>
        <v>20</v>
      </c>
      <c r="M539" s="85">
        <v>45423</v>
      </c>
      <c r="N539" s="13" t="s">
        <v>6</v>
      </c>
      <c r="O539" s="25"/>
      <c r="P539" s="45"/>
      <c r="Q539" s="26"/>
      <c r="R539" s="32"/>
      <c r="S539" s="68">
        <f>SUM(O539:R539)</f>
        <v>0</v>
      </c>
      <c r="T539" s="45"/>
      <c r="U539" s="45"/>
      <c r="V539" s="26"/>
      <c r="W539" s="48"/>
      <c r="X539" s="9">
        <f>SUM(T539:W539)</f>
        <v>0</v>
      </c>
      <c r="Y539" s="11">
        <f t="shared" si="315"/>
        <v>0</v>
      </c>
    </row>
    <row r="540" spans="1:27" ht="14.25" thickBot="1" x14ac:dyDescent="0.2">
      <c r="A540" s="70" t="s">
        <v>143</v>
      </c>
      <c r="B540" s="125">
        <f>1+2</f>
        <v>3</v>
      </c>
      <c r="C540" s="126">
        <f>3+4</f>
        <v>7</v>
      </c>
      <c r="D540" s="127">
        <f>7+2</f>
        <v>9</v>
      </c>
      <c r="E540" s="128">
        <f>7+2</f>
        <v>9</v>
      </c>
      <c r="F540" s="129">
        <f t="shared" si="320"/>
        <v>28</v>
      </c>
      <c r="G540" s="126">
        <f>3+6</f>
        <v>9</v>
      </c>
      <c r="H540" s="126">
        <f>2+10</f>
        <v>12</v>
      </c>
      <c r="I540" s="127">
        <f>7+8</f>
        <v>15</v>
      </c>
      <c r="J540" s="128">
        <f>2+10</f>
        <v>12</v>
      </c>
      <c r="K540" s="129">
        <f t="shared" si="321"/>
        <v>48</v>
      </c>
      <c r="L540" s="14">
        <f t="shared" si="316"/>
        <v>76</v>
      </c>
      <c r="M540" s="85">
        <v>45428</v>
      </c>
      <c r="N540" s="13" t="s">
        <v>7</v>
      </c>
      <c r="O540" s="55"/>
      <c r="P540" s="56"/>
      <c r="Q540" s="57"/>
      <c r="R540" s="58"/>
      <c r="S540" s="69">
        <f>SUM(O540:R540)</f>
        <v>0</v>
      </c>
      <c r="T540" s="45"/>
      <c r="U540" s="45"/>
      <c r="V540" s="26"/>
      <c r="W540" s="48"/>
      <c r="X540" s="10">
        <f>SUM(T540:W540)</f>
        <v>0</v>
      </c>
      <c r="Y540" s="14">
        <f t="shared" si="315"/>
        <v>0</v>
      </c>
    </row>
    <row r="541" spans="1:27" ht="14.25" thickBot="1" x14ac:dyDescent="0.2">
      <c r="A541" s="21" t="s">
        <v>9</v>
      </c>
      <c r="B541" s="130">
        <f t="shared" ref="B541:K541" si="322">SUM(B536:B540)</f>
        <v>13</v>
      </c>
      <c r="C541" s="131">
        <f t="shared" si="322"/>
        <v>25</v>
      </c>
      <c r="D541" s="132">
        <f t="shared" si="322"/>
        <v>21</v>
      </c>
      <c r="E541" s="133">
        <f t="shared" si="322"/>
        <v>20</v>
      </c>
      <c r="F541" s="123">
        <f t="shared" si="322"/>
        <v>79</v>
      </c>
      <c r="G541" s="130">
        <f t="shared" si="322"/>
        <v>19</v>
      </c>
      <c r="H541" s="131">
        <f t="shared" si="322"/>
        <v>31</v>
      </c>
      <c r="I541" s="132">
        <f t="shared" si="322"/>
        <v>23</v>
      </c>
      <c r="J541" s="133">
        <f t="shared" si="322"/>
        <v>24</v>
      </c>
      <c r="K541" s="123">
        <f t="shared" si="322"/>
        <v>97</v>
      </c>
      <c r="L541" s="20">
        <f t="shared" si="316"/>
        <v>176</v>
      </c>
      <c r="N541" s="16" t="s">
        <v>9</v>
      </c>
      <c r="O541" s="39">
        <f t="shared" ref="O541:X541" si="323">SUM(O536:O540)</f>
        <v>574</v>
      </c>
      <c r="P541" s="47">
        <f t="shared" si="323"/>
        <v>528</v>
      </c>
      <c r="Q541" s="40">
        <f t="shared" si="323"/>
        <v>445</v>
      </c>
      <c r="R541" s="88">
        <f t="shared" si="323"/>
        <v>298</v>
      </c>
      <c r="S541" s="89">
        <f t="shared" si="323"/>
        <v>1845</v>
      </c>
      <c r="T541" s="39">
        <f t="shared" si="323"/>
        <v>511</v>
      </c>
      <c r="U541" s="47">
        <f t="shared" si="323"/>
        <v>616</v>
      </c>
      <c r="V541" s="40">
        <f t="shared" si="323"/>
        <v>474</v>
      </c>
      <c r="W541" s="88">
        <f t="shared" si="323"/>
        <v>270</v>
      </c>
      <c r="X541" s="89">
        <f t="shared" si="323"/>
        <v>1871</v>
      </c>
      <c r="Y541" s="49">
        <f t="shared" si="315"/>
        <v>3716</v>
      </c>
    </row>
    <row r="542" spans="1:27" x14ac:dyDescent="0.15">
      <c r="A542" s="70" t="s">
        <v>30</v>
      </c>
      <c r="B542" s="59"/>
      <c r="C542" s="60">
        <v>1</v>
      </c>
      <c r="D542" s="61">
        <v>2</v>
      </c>
      <c r="E542" s="62"/>
      <c r="F542" s="63">
        <f t="shared" ref="F542:F566" si="324">SUM(B542:E542)</f>
        <v>3</v>
      </c>
      <c r="G542" s="59"/>
      <c r="H542" s="60"/>
      <c r="I542" s="61"/>
      <c r="J542" s="62"/>
      <c r="K542" s="63">
        <f t="shared" ref="K542:K566" si="325">SUM(G542:J542)</f>
        <v>0</v>
      </c>
      <c r="L542" s="11">
        <f t="shared" si="316"/>
        <v>3</v>
      </c>
      <c r="M542" s="115">
        <v>45401</v>
      </c>
      <c r="N542" s="13" t="s">
        <v>408</v>
      </c>
      <c r="O542" s="25"/>
      <c r="P542" s="45"/>
      <c r="Q542" s="26"/>
      <c r="R542" s="32"/>
      <c r="S542" s="33">
        <f t="shared" ref="S542:S567" si="326">SUM(O542:R542)</f>
        <v>0</v>
      </c>
      <c r="T542" s="25"/>
      <c r="U542" s="45"/>
      <c r="V542" s="26"/>
      <c r="W542" s="32">
        <v>5</v>
      </c>
      <c r="X542" s="33">
        <f t="shared" ref="X542:X567" si="327">SUM(T542:W542)</f>
        <v>5</v>
      </c>
      <c r="Y542" s="11">
        <f t="shared" si="315"/>
        <v>5</v>
      </c>
      <c r="Z542" s="85">
        <v>45427</v>
      </c>
    </row>
    <row r="543" spans="1:27" x14ac:dyDescent="0.15">
      <c r="A543" s="15" t="s">
        <v>401</v>
      </c>
      <c r="B543" s="25"/>
      <c r="C543" s="45"/>
      <c r="D543" s="26"/>
      <c r="E543" s="32">
        <v>1</v>
      </c>
      <c r="F543" s="33">
        <f t="shared" si="324"/>
        <v>1</v>
      </c>
      <c r="G543" s="25"/>
      <c r="H543" s="45">
        <v>1</v>
      </c>
      <c r="I543" s="26"/>
      <c r="J543" s="32">
        <v>1</v>
      </c>
      <c r="K543" s="33">
        <f t="shared" si="325"/>
        <v>2</v>
      </c>
      <c r="L543" s="11">
        <f t="shared" si="316"/>
        <v>3</v>
      </c>
      <c r="M543" s="85">
        <v>45406</v>
      </c>
      <c r="N543" s="50" t="s">
        <v>28</v>
      </c>
      <c r="O543" s="25"/>
      <c r="P543" s="45">
        <v>10</v>
      </c>
      <c r="Q543" s="26"/>
      <c r="R543" s="32"/>
      <c r="S543" s="33">
        <f t="shared" si="326"/>
        <v>10</v>
      </c>
      <c r="T543" s="25"/>
      <c r="U543" s="45">
        <v>10</v>
      </c>
      <c r="V543" s="26"/>
      <c r="W543" s="32"/>
      <c r="X543" s="33">
        <f t="shared" si="327"/>
        <v>10</v>
      </c>
      <c r="Y543" s="11">
        <f t="shared" si="315"/>
        <v>20</v>
      </c>
      <c r="Z543" s="85">
        <v>45423</v>
      </c>
      <c r="AA543" s="51"/>
    </row>
    <row r="544" spans="1:27" x14ac:dyDescent="0.15">
      <c r="A544" s="15" t="s">
        <v>402</v>
      </c>
      <c r="B544" s="25"/>
      <c r="C544" s="45"/>
      <c r="D544" s="26">
        <v>1</v>
      </c>
      <c r="E544" s="32"/>
      <c r="F544" s="33">
        <f t="shared" si="324"/>
        <v>1</v>
      </c>
      <c r="G544" s="25"/>
      <c r="H544" s="45">
        <v>1</v>
      </c>
      <c r="I544" s="26"/>
      <c r="J544" s="32"/>
      <c r="K544" s="33">
        <f t="shared" si="325"/>
        <v>1</v>
      </c>
      <c r="L544" s="11">
        <f t="shared" si="316"/>
        <v>2</v>
      </c>
      <c r="M544" s="85">
        <v>45407</v>
      </c>
      <c r="N544" s="13" t="s">
        <v>411</v>
      </c>
      <c r="O544" s="25"/>
      <c r="P544" s="45"/>
      <c r="Q544" s="26"/>
      <c r="R544" s="32"/>
      <c r="S544" s="33">
        <f t="shared" si="326"/>
        <v>0</v>
      </c>
      <c r="T544" s="25">
        <v>5</v>
      </c>
      <c r="U544" s="45"/>
      <c r="V544" s="26"/>
      <c r="W544" s="32"/>
      <c r="X544" s="33">
        <f t="shared" si="327"/>
        <v>5</v>
      </c>
      <c r="Y544" s="11">
        <f t="shared" si="315"/>
        <v>5</v>
      </c>
      <c r="Z544" s="85">
        <v>45433</v>
      </c>
      <c r="AA544" s="51"/>
    </row>
    <row r="545" spans="1:26" x14ac:dyDescent="0.15">
      <c r="A545" s="15" t="s">
        <v>403</v>
      </c>
      <c r="B545" s="25"/>
      <c r="C545" s="45"/>
      <c r="D545" s="26"/>
      <c r="E545" s="32">
        <v>1</v>
      </c>
      <c r="F545" s="33">
        <f t="shared" si="324"/>
        <v>1</v>
      </c>
      <c r="G545" s="25"/>
      <c r="H545" s="45"/>
      <c r="I545" s="26"/>
      <c r="J545" s="32"/>
      <c r="K545" s="33">
        <f t="shared" si="325"/>
        <v>0</v>
      </c>
      <c r="L545" s="11">
        <f t="shared" si="316"/>
        <v>1</v>
      </c>
      <c r="M545" s="85">
        <v>45407</v>
      </c>
      <c r="N545" s="50" t="s">
        <v>28</v>
      </c>
      <c r="O545" s="25">
        <v>5</v>
      </c>
      <c r="P545" s="45"/>
      <c r="Q545" s="26"/>
      <c r="R545" s="32"/>
      <c r="S545" s="33">
        <f t="shared" si="326"/>
        <v>5</v>
      </c>
      <c r="T545" s="25"/>
      <c r="U545" s="45"/>
      <c r="V545" s="26"/>
      <c r="W545" s="32"/>
      <c r="X545" s="33">
        <f t="shared" si="327"/>
        <v>0</v>
      </c>
      <c r="Y545" s="11">
        <f t="shared" si="315"/>
        <v>5</v>
      </c>
      <c r="Z545" s="85">
        <v>45430</v>
      </c>
    </row>
    <row r="546" spans="1:26" x14ac:dyDescent="0.15">
      <c r="A546" s="70" t="s">
        <v>30</v>
      </c>
      <c r="B546" s="25">
        <v>1</v>
      </c>
      <c r="C546" s="45"/>
      <c r="D546" s="26"/>
      <c r="E546" s="32"/>
      <c r="F546" s="33">
        <f t="shared" si="324"/>
        <v>1</v>
      </c>
      <c r="G546" s="25">
        <v>2</v>
      </c>
      <c r="H546" s="45"/>
      <c r="I546" s="26"/>
      <c r="J546" s="32"/>
      <c r="K546" s="33">
        <f t="shared" si="325"/>
        <v>2</v>
      </c>
      <c r="L546" s="11">
        <f t="shared" si="316"/>
        <v>3</v>
      </c>
      <c r="M546" s="85">
        <v>45407</v>
      </c>
      <c r="N546" s="50" t="s">
        <v>28</v>
      </c>
      <c r="O546" s="25">
        <v>5</v>
      </c>
      <c r="P546" s="45"/>
      <c r="Q546" s="26"/>
      <c r="R546" s="32"/>
      <c r="S546" s="33">
        <f>SUM(O546:R546)</f>
        <v>5</v>
      </c>
      <c r="T546" s="25">
        <v>5</v>
      </c>
      <c r="U546" s="45">
        <v>5</v>
      </c>
      <c r="V546" s="26">
        <v>5</v>
      </c>
      <c r="W546" s="32"/>
      <c r="X546" s="33">
        <f>SUM(T546:W546)</f>
        <v>15</v>
      </c>
      <c r="Y546" s="11">
        <f t="shared" si="315"/>
        <v>20</v>
      </c>
      <c r="Z546" s="85">
        <v>45442</v>
      </c>
    </row>
    <row r="547" spans="1:26" x14ac:dyDescent="0.15">
      <c r="A547" s="15" t="s">
        <v>404</v>
      </c>
      <c r="B547" s="25"/>
      <c r="C547" s="45"/>
      <c r="D547" s="26"/>
      <c r="E547" s="32"/>
      <c r="F547" s="33">
        <f t="shared" si="324"/>
        <v>0</v>
      </c>
      <c r="G547" s="25"/>
      <c r="H547" s="45"/>
      <c r="I547" s="26"/>
      <c r="J547" s="32">
        <v>1</v>
      </c>
      <c r="K547" s="33">
        <f t="shared" si="325"/>
        <v>1</v>
      </c>
      <c r="L547" s="11">
        <f t="shared" si="316"/>
        <v>1</v>
      </c>
      <c r="M547" s="85">
        <v>45412</v>
      </c>
      <c r="N547" s="50"/>
      <c r="O547" s="25"/>
      <c r="P547" s="45"/>
      <c r="Q547" s="26"/>
      <c r="R547" s="32"/>
      <c r="S547" s="33">
        <f t="shared" ref="S547" si="328">SUM(O547:R547)</f>
        <v>0</v>
      </c>
      <c r="T547" s="25"/>
      <c r="U547" s="45"/>
      <c r="V547" s="26"/>
      <c r="W547" s="32"/>
      <c r="X547" s="33">
        <f t="shared" ref="X547" si="329">SUM(T547:W547)</f>
        <v>0</v>
      </c>
      <c r="Y547" s="11">
        <f t="shared" ref="Y547" si="330">S547+X547</f>
        <v>0</v>
      </c>
    </row>
    <row r="548" spans="1:26" x14ac:dyDescent="0.15">
      <c r="A548" s="70" t="s">
        <v>30</v>
      </c>
      <c r="B548" s="25"/>
      <c r="C548" s="45"/>
      <c r="D548" s="26"/>
      <c r="E548" s="32"/>
      <c r="F548" s="33">
        <f t="shared" si="324"/>
        <v>0</v>
      </c>
      <c r="G548" s="25"/>
      <c r="H548" s="45"/>
      <c r="I548" s="26"/>
      <c r="J548" s="32">
        <v>2</v>
      </c>
      <c r="K548" s="33">
        <f t="shared" si="325"/>
        <v>2</v>
      </c>
      <c r="L548" s="11">
        <f t="shared" si="316"/>
        <v>2</v>
      </c>
      <c r="M548" s="85">
        <v>45408</v>
      </c>
      <c r="N548" s="50"/>
      <c r="O548" s="25"/>
      <c r="P548" s="45"/>
      <c r="Q548" s="26"/>
      <c r="R548" s="32"/>
      <c r="S548" s="33">
        <f t="shared" si="326"/>
        <v>0</v>
      </c>
      <c r="T548" s="25"/>
      <c r="U548" s="45"/>
      <c r="V548" s="26"/>
      <c r="W548" s="32"/>
      <c r="X548" s="33">
        <f t="shared" si="327"/>
        <v>0</v>
      </c>
      <c r="Y548" s="11">
        <f t="shared" si="315"/>
        <v>0</v>
      </c>
    </row>
    <row r="549" spans="1:26" x14ac:dyDescent="0.15">
      <c r="A549" s="70" t="s">
        <v>405</v>
      </c>
      <c r="B549" s="25"/>
      <c r="C549" s="45"/>
      <c r="D549" s="26"/>
      <c r="E549" s="32"/>
      <c r="F549" s="33">
        <f t="shared" si="324"/>
        <v>0</v>
      </c>
      <c r="G549" s="25"/>
      <c r="H549" s="45"/>
      <c r="I549" s="26"/>
      <c r="J549" s="32">
        <v>1</v>
      </c>
      <c r="K549" s="33">
        <f t="shared" si="325"/>
        <v>1</v>
      </c>
      <c r="L549" s="11">
        <f t="shared" si="316"/>
        <v>1</v>
      </c>
      <c r="M549" s="85">
        <v>45408</v>
      </c>
      <c r="N549" s="50"/>
      <c r="O549" s="25"/>
      <c r="P549" s="45"/>
      <c r="Q549" s="26"/>
      <c r="R549" s="32"/>
      <c r="S549" s="33">
        <f t="shared" si="326"/>
        <v>0</v>
      </c>
      <c r="T549" s="25"/>
      <c r="U549" s="45"/>
      <c r="V549" s="26"/>
      <c r="W549" s="32"/>
      <c r="X549" s="33">
        <f t="shared" si="327"/>
        <v>0</v>
      </c>
      <c r="Y549" s="11">
        <f t="shared" si="315"/>
        <v>0</v>
      </c>
    </row>
    <row r="550" spans="1:26" x14ac:dyDescent="0.15">
      <c r="A550" s="70" t="s">
        <v>30</v>
      </c>
      <c r="B550" s="25"/>
      <c r="C550" s="45">
        <v>1</v>
      </c>
      <c r="D550" s="26"/>
      <c r="E550" s="32"/>
      <c r="F550" s="33">
        <f t="shared" si="324"/>
        <v>1</v>
      </c>
      <c r="G550" s="25"/>
      <c r="H550" s="45"/>
      <c r="I550" s="26"/>
      <c r="J550" s="32"/>
      <c r="K550" s="33">
        <f t="shared" si="325"/>
        <v>0</v>
      </c>
      <c r="L550" s="11">
        <f t="shared" si="316"/>
        <v>1</v>
      </c>
      <c r="M550" s="115">
        <v>45412</v>
      </c>
      <c r="N550" s="50"/>
      <c r="O550" s="25"/>
      <c r="P550" s="45"/>
      <c r="Q550" s="26"/>
      <c r="R550" s="32"/>
      <c r="S550" s="33">
        <f t="shared" si="326"/>
        <v>0</v>
      </c>
      <c r="T550" s="25"/>
      <c r="U550" s="45"/>
      <c r="V550" s="26"/>
      <c r="W550" s="32"/>
      <c r="X550" s="33">
        <f t="shared" si="327"/>
        <v>0</v>
      </c>
      <c r="Y550" s="11">
        <f t="shared" si="315"/>
        <v>0</v>
      </c>
    </row>
    <row r="551" spans="1:26" x14ac:dyDescent="0.15">
      <c r="A551" s="15" t="s">
        <v>406</v>
      </c>
      <c r="B551" s="25">
        <v>1</v>
      </c>
      <c r="C551" s="45">
        <v>1</v>
      </c>
      <c r="D551" s="26"/>
      <c r="E551" s="32"/>
      <c r="F551" s="33">
        <f t="shared" si="324"/>
        <v>2</v>
      </c>
      <c r="G551" s="25"/>
      <c r="H551" s="45">
        <v>2</v>
      </c>
      <c r="I551" s="26"/>
      <c r="J551" s="32"/>
      <c r="K551" s="33">
        <f t="shared" si="325"/>
        <v>2</v>
      </c>
      <c r="L551" s="11">
        <f t="shared" si="316"/>
        <v>4</v>
      </c>
      <c r="M551" s="85">
        <v>45414</v>
      </c>
      <c r="N551" s="50"/>
      <c r="O551" s="25"/>
      <c r="P551" s="45"/>
      <c r="Q551" s="26"/>
      <c r="R551" s="32"/>
      <c r="S551" s="33">
        <f t="shared" si="326"/>
        <v>0</v>
      </c>
      <c r="T551" s="25"/>
      <c r="U551" s="45"/>
      <c r="V551" s="26"/>
      <c r="W551" s="32"/>
      <c r="X551" s="33">
        <f t="shared" si="327"/>
        <v>0</v>
      </c>
      <c r="Y551" s="11">
        <f t="shared" si="315"/>
        <v>0</v>
      </c>
    </row>
    <row r="552" spans="1:26" x14ac:dyDescent="0.15">
      <c r="A552" s="15" t="s">
        <v>407</v>
      </c>
      <c r="B552" s="25"/>
      <c r="C552" s="45">
        <v>1</v>
      </c>
      <c r="D552" s="26"/>
      <c r="E552" s="32"/>
      <c r="F552" s="33">
        <f t="shared" si="324"/>
        <v>1</v>
      </c>
      <c r="G552" s="25"/>
      <c r="H552" s="45">
        <v>1</v>
      </c>
      <c r="I552" s="26"/>
      <c r="J552" s="32"/>
      <c r="K552" s="33">
        <f t="shared" si="325"/>
        <v>1</v>
      </c>
      <c r="L552" s="11">
        <f t="shared" si="316"/>
        <v>2</v>
      </c>
      <c r="M552" s="85">
        <v>45419</v>
      </c>
      <c r="N552" s="50"/>
      <c r="O552" s="25"/>
      <c r="P552" s="45"/>
      <c r="Q552" s="26"/>
      <c r="R552" s="32"/>
      <c r="S552" s="33">
        <f t="shared" si="326"/>
        <v>0</v>
      </c>
      <c r="T552" s="25"/>
      <c r="U552" s="45"/>
      <c r="V552" s="26"/>
      <c r="W552" s="32"/>
      <c r="X552" s="33">
        <f t="shared" si="327"/>
        <v>0</v>
      </c>
      <c r="Y552" s="11">
        <f t="shared" si="315"/>
        <v>0</v>
      </c>
    </row>
    <row r="553" spans="1:26" x14ac:dyDescent="0.15">
      <c r="A553" s="70" t="s">
        <v>30</v>
      </c>
      <c r="B553" s="25"/>
      <c r="C553" s="45"/>
      <c r="D553" s="26"/>
      <c r="E553" s="32">
        <v>1</v>
      </c>
      <c r="F553" s="33">
        <f t="shared" si="324"/>
        <v>1</v>
      </c>
      <c r="G553" s="25"/>
      <c r="H553" s="45"/>
      <c r="I553" s="26"/>
      <c r="J553" s="32">
        <v>1</v>
      </c>
      <c r="K553" s="33">
        <f t="shared" si="325"/>
        <v>1</v>
      </c>
      <c r="L553" s="11">
        <f t="shared" si="316"/>
        <v>2</v>
      </c>
      <c r="M553" s="85">
        <v>45414</v>
      </c>
      <c r="N553" s="50"/>
      <c r="O553" s="25"/>
      <c r="P553" s="45"/>
      <c r="Q553" s="26"/>
      <c r="R553" s="32"/>
      <c r="S553" s="33">
        <f t="shared" si="326"/>
        <v>0</v>
      </c>
      <c r="T553" s="25"/>
      <c r="U553" s="45"/>
      <c r="V553" s="26"/>
      <c r="W553" s="32"/>
      <c r="X553" s="33">
        <f t="shared" si="327"/>
        <v>0</v>
      </c>
      <c r="Y553" s="11">
        <f t="shared" si="315"/>
        <v>0</v>
      </c>
    </row>
    <row r="554" spans="1:26" x14ac:dyDescent="0.15">
      <c r="A554" s="70" t="s">
        <v>30</v>
      </c>
      <c r="B554" s="25"/>
      <c r="C554" s="45"/>
      <c r="D554" s="26">
        <v>1</v>
      </c>
      <c r="E554" s="32">
        <v>1</v>
      </c>
      <c r="F554" s="33">
        <f t="shared" si="324"/>
        <v>2</v>
      </c>
      <c r="G554" s="25"/>
      <c r="H554" s="45"/>
      <c r="I554" s="26"/>
      <c r="J554" s="32"/>
      <c r="K554" s="33">
        <f t="shared" si="325"/>
        <v>0</v>
      </c>
      <c r="L554" s="11">
        <f t="shared" si="316"/>
        <v>2</v>
      </c>
      <c r="M554" s="85">
        <v>45419</v>
      </c>
      <c r="N554" s="50"/>
      <c r="O554" s="25"/>
      <c r="P554" s="45"/>
      <c r="Q554" s="26"/>
      <c r="R554" s="32"/>
      <c r="S554" s="33">
        <f t="shared" si="326"/>
        <v>0</v>
      </c>
      <c r="T554" s="25"/>
      <c r="U554" s="45"/>
      <c r="V554" s="26"/>
      <c r="W554" s="32"/>
      <c r="X554" s="33">
        <f t="shared" si="327"/>
        <v>0</v>
      </c>
      <c r="Y554" s="11">
        <f t="shared" si="315"/>
        <v>0</v>
      </c>
    </row>
    <row r="555" spans="1:26" x14ac:dyDescent="0.15">
      <c r="A555" s="70" t="s">
        <v>409</v>
      </c>
      <c r="B555" s="25"/>
      <c r="C555" s="45"/>
      <c r="D555" s="26"/>
      <c r="E555" s="32"/>
      <c r="F555" s="33">
        <f t="shared" si="324"/>
        <v>0</v>
      </c>
      <c r="G555" s="25"/>
      <c r="H555" s="45">
        <v>1</v>
      </c>
      <c r="I555" s="26"/>
      <c r="J555" s="32"/>
      <c r="K555" s="33">
        <f t="shared" si="325"/>
        <v>1</v>
      </c>
      <c r="L555" s="11">
        <f t="shared" si="316"/>
        <v>1</v>
      </c>
      <c r="M555" s="85">
        <v>45423</v>
      </c>
      <c r="N555" s="50"/>
      <c r="O555" s="25"/>
      <c r="P555" s="45"/>
      <c r="Q555" s="26"/>
      <c r="R555" s="32"/>
      <c r="S555" s="33">
        <f t="shared" si="326"/>
        <v>0</v>
      </c>
      <c r="T555" s="25"/>
      <c r="U555" s="45"/>
      <c r="V555" s="26"/>
      <c r="W555" s="32"/>
      <c r="X555" s="33">
        <f t="shared" si="327"/>
        <v>0</v>
      </c>
      <c r="Y555" s="11">
        <f t="shared" si="315"/>
        <v>0</v>
      </c>
    </row>
    <row r="556" spans="1:26" x14ac:dyDescent="0.15">
      <c r="A556" s="70" t="s">
        <v>30</v>
      </c>
      <c r="B556" s="25">
        <v>1</v>
      </c>
      <c r="C556" s="45">
        <v>1</v>
      </c>
      <c r="D556" s="26"/>
      <c r="E556" s="32"/>
      <c r="F556" s="33">
        <f t="shared" si="324"/>
        <v>2</v>
      </c>
      <c r="G556" s="25">
        <v>1</v>
      </c>
      <c r="H556" s="45">
        <v>1</v>
      </c>
      <c r="I556" s="26"/>
      <c r="J556" s="32"/>
      <c r="K556" s="33">
        <f t="shared" si="325"/>
        <v>2</v>
      </c>
      <c r="L556" s="11">
        <f t="shared" si="316"/>
        <v>4</v>
      </c>
      <c r="M556" s="85">
        <v>45422</v>
      </c>
      <c r="N556" s="50"/>
      <c r="O556" s="25"/>
      <c r="P556" s="45"/>
      <c r="Q556" s="26"/>
      <c r="R556" s="32"/>
      <c r="S556" s="33">
        <f t="shared" si="326"/>
        <v>0</v>
      </c>
      <c r="T556" s="25"/>
      <c r="U556" s="45"/>
      <c r="V556" s="26"/>
      <c r="W556" s="32"/>
      <c r="X556" s="33">
        <f t="shared" si="327"/>
        <v>0</v>
      </c>
      <c r="Y556" s="11">
        <f t="shared" si="315"/>
        <v>0</v>
      </c>
    </row>
    <row r="557" spans="1:26" x14ac:dyDescent="0.15">
      <c r="A557" s="70" t="s">
        <v>30</v>
      </c>
      <c r="B557" s="25">
        <v>2</v>
      </c>
      <c r="C557" s="45"/>
      <c r="D557" s="26"/>
      <c r="E557" s="32"/>
      <c r="F557" s="33">
        <f t="shared" si="324"/>
        <v>2</v>
      </c>
      <c r="G557" s="25"/>
      <c r="H557" s="45">
        <v>2</v>
      </c>
      <c r="I557" s="26"/>
      <c r="J557" s="32"/>
      <c r="K557" s="33">
        <f t="shared" si="325"/>
        <v>2</v>
      </c>
      <c r="L557" s="11">
        <f t="shared" si="316"/>
        <v>4</v>
      </c>
      <c r="M557" s="85">
        <v>45423</v>
      </c>
      <c r="N557" s="50"/>
      <c r="O557" s="25"/>
      <c r="P557" s="45"/>
      <c r="Q557" s="26"/>
      <c r="R557" s="32"/>
      <c r="S557" s="33">
        <f t="shared" si="326"/>
        <v>0</v>
      </c>
      <c r="T557" s="25"/>
      <c r="U557" s="45"/>
      <c r="V557" s="26"/>
      <c r="W557" s="32"/>
      <c r="X557" s="33">
        <f t="shared" si="327"/>
        <v>0</v>
      </c>
      <c r="Y557" s="11">
        <f t="shared" si="315"/>
        <v>0</v>
      </c>
    </row>
    <row r="558" spans="1:26" x14ac:dyDescent="0.15">
      <c r="A558" s="15" t="s">
        <v>410</v>
      </c>
      <c r="B558" s="25"/>
      <c r="C558" s="45"/>
      <c r="D558" s="26"/>
      <c r="E558" s="32"/>
      <c r="F558" s="33">
        <f t="shared" si="324"/>
        <v>0</v>
      </c>
      <c r="G558" s="25"/>
      <c r="H558" s="45">
        <v>1</v>
      </c>
      <c r="I558" s="26"/>
      <c r="J558" s="32"/>
      <c r="K558" s="33">
        <f t="shared" si="325"/>
        <v>1</v>
      </c>
      <c r="L558" s="11">
        <f t="shared" si="316"/>
        <v>1</v>
      </c>
      <c r="M558" s="85">
        <v>45427</v>
      </c>
      <c r="N558" s="50"/>
      <c r="O558" s="25"/>
      <c r="P558" s="45"/>
      <c r="Q558" s="26"/>
      <c r="R558" s="32"/>
      <c r="S558" s="33">
        <f t="shared" si="326"/>
        <v>0</v>
      </c>
      <c r="T558" s="25"/>
      <c r="U558" s="45"/>
      <c r="V558" s="26"/>
      <c r="W558" s="32"/>
      <c r="X558" s="33">
        <f t="shared" si="327"/>
        <v>0</v>
      </c>
      <c r="Y558" s="11">
        <f t="shared" si="315"/>
        <v>0</v>
      </c>
    </row>
    <row r="559" spans="1:26" x14ac:dyDescent="0.15">
      <c r="A559" s="70" t="s">
        <v>30</v>
      </c>
      <c r="B559" s="25"/>
      <c r="C559" s="45">
        <v>1</v>
      </c>
      <c r="D559" s="26"/>
      <c r="E559" s="32"/>
      <c r="F559" s="33">
        <f t="shared" si="324"/>
        <v>1</v>
      </c>
      <c r="G559" s="25"/>
      <c r="H559" s="45"/>
      <c r="I559" s="26"/>
      <c r="J559" s="32"/>
      <c r="K559" s="33">
        <f t="shared" si="325"/>
        <v>0</v>
      </c>
      <c r="L559" s="11">
        <f t="shared" si="316"/>
        <v>1</v>
      </c>
      <c r="M559" s="115">
        <v>45425</v>
      </c>
      <c r="N559" s="50"/>
      <c r="O559" s="25"/>
      <c r="P559" s="45"/>
      <c r="Q559" s="26"/>
      <c r="R559" s="32"/>
      <c r="S559" s="33">
        <f t="shared" si="326"/>
        <v>0</v>
      </c>
      <c r="T559" s="25"/>
      <c r="U559" s="45"/>
      <c r="V559" s="26"/>
      <c r="W559" s="32"/>
      <c r="X559" s="33">
        <f t="shared" si="327"/>
        <v>0</v>
      </c>
      <c r="Y559" s="11">
        <f t="shared" si="315"/>
        <v>0</v>
      </c>
    </row>
    <row r="560" spans="1:26" x14ac:dyDescent="0.15">
      <c r="A560" s="70" t="s">
        <v>30</v>
      </c>
      <c r="B560" s="25">
        <v>1</v>
      </c>
      <c r="C560" s="45">
        <v>2</v>
      </c>
      <c r="D560" s="26">
        <v>2</v>
      </c>
      <c r="E560" s="32"/>
      <c r="F560" s="33">
        <f t="shared" si="324"/>
        <v>5</v>
      </c>
      <c r="G560" s="25">
        <v>1</v>
      </c>
      <c r="H560" s="45">
        <v>2</v>
      </c>
      <c r="I560" s="26"/>
      <c r="J560" s="32"/>
      <c r="K560" s="33">
        <f t="shared" si="325"/>
        <v>3</v>
      </c>
      <c r="L560" s="11">
        <f t="shared" si="316"/>
        <v>8</v>
      </c>
      <c r="M560" s="115">
        <v>45426</v>
      </c>
      <c r="N560" s="50"/>
      <c r="O560" s="25"/>
      <c r="P560" s="45"/>
      <c r="Q560" s="26"/>
      <c r="R560" s="32"/>
      <c r="S560" s="33">
        <f t="shared" si="326"/>
        <v>0</v>
      </c>
      <c r="T560" s="25"/>
      <c r="U560" s="45"/>
      <c r="V560" s="26"/>
      <c r="W560" s="32"/>
      <c r="X560" s="33">
        <f t="shared" si="327"/>
        <v>0</v>
      </c>
      <c r="Y560" s="11">
        <f t="shared" si="315"/>
        <v>0</v>
      </c>
    </row>
    <row r="561" spans="1:25" x14ac:dyDescent="0.15">
      <c r="A561" s="70" t="s">
        <v>30</v>
      </c>
      <c r="B561" s="25"/>
      <c r="C561" s="45"/>
      <c r="D561" s="26">
        <v>1</v>
      </c>
      <c r="E561" s="32"/>
      <c r="F561" s="33">
        <f t="shared" si="324"/>
        <v>1</v>
      </c>
      <c r="G561" s="25"/>
      <c r="H561" s="45"/>
      <c r="I561" s="26">
        <v>1</v>
      </c>
      <c r="J561" s="32"/>
      <c r="K561" s="33">
        <f t="shared" si="325"/>
        <v>1</v>
      </c>
      <c r="L561" s="11">
        <f t="shared" si="316"/>
        <v>2</v>
      </c>
      <c r="M561" s="115">
        <v>45427</v>
      </c>
      <c r="N561" s="12"/>
      <c r="O561" s="25"/>
      <c r="P561" s="45"/>
      <c r="Q561" s="26"/>
      <c r="R561" s="32"/>
      <c r="S561" s="33">
        <f t="shared" si="326"/>
        <v>0</v>
      </c>
      <c r="T561" s="25"/>
      <c r="U561" s="45"/>
      <c r="V561" s="26"/>
      <c r="W561" s="32"/>
      <c r="X561" s="33">
        <f t="shared" si="327"/>
        <v>0</v>
      </c>
      <c r="Y561" s="93">
        <f t="shared" si="315"/>
        <v>0</v>
      </c>
    </row>
    <row r="562" spans="1:25" x14ac:dyDescent="0.15">
      <c r="A562" s="70" t="s">
        <v>30</v>
      </c>
      <c r="B562" s="25">
        <v>1</v>
      </c>
      <c r="C562" s="45">
        <v>2</v>
      </c>
      <c r="D562" s="26"/>
      <c r="E562" s="32"/>
      <c r="F562" s="33">
        <f t="shared" si="324"/>
        <v>3</v>
      </c>
      <c r="G562" s="25"/>
      <c r="H562" s="45">
        <v>2</v>
      </c>
      <c r="I562" s="26"/>
      <c r="J562" s="32"/>
      <c r="K562" s="33">
        <f t="shared" si="325"/>
        <v>2</v>
      </c>
      <c r="L562" s="11">
        <f t="shared" si="316"/>
        <v>5</v>
      </c>
      <c r="M562" s="115">
        <v>45428</v>
      </c>
      <c r="N562" s="12"/>
      <c r="O562" s="25"/>
      <c r="P562" s="45"/>
      <c r="Q562" s="26"/>
      <c r="R562" s="32"/>
      <c r="S562" s="33">
        <f t="shared" si="326"/>
        <v>0</v>
      </c>
      <c r="T562" s="25"/>
      <c r="U562" s="45"/>
      <c r="V562" s="26"/>
      <c r="W562" s="32"/>
      <c r="X562" s="33">
        <f t="shared" si="327"/>
        <v>0</v>
      </c>
      <c r="Y562" s="93">
        <f t="shared" si="315"/>
        <v>0</v>
      </c>
    </row>
    <row r="563" spans="1:25" x14ac:dyDescent="0.15">
      <c r="A563" s="70" t="s">
        <v>149</v>
      </c>
      <c r="B563" s="25">
        <v>-5</v>
      </c>
      <c r="C563" s="45"/>
      <c r="D563" s="26"/>
      <c r="E563" s="32"/>
      <c r="F563" s="33">
        <f t="shared" si="324"/>
        <v>-5</v>
      </c>
      <c r="G563" s="25"/>
      <c r="H563" s="45"/>
      <c r="I563" s="26"/>
      <c r="J563" s="32"/>
      <c r="K563" s="33">
        <f t="shared" si="325"/>
        <v>0</v>
      </c>
      <c r="L563" s="11">
        <f t="shared" si="316"/>
        <v>-5</v>
      </c>
      <c r="M563" s="85">
        <v>45430</v>
      </c>
      <c r="N563" s="50"/>
      <c r="O563" s="59"/>
      <c r="P563" s="60"/>
      <c r="Q563" s="61"/>
      <c r="R563" s="62"/>
      <c r="S563" s="63">
        <f t="shared" si="326"/>
        <v>0</v>
      </c>
      <c r="T563" s="59"/>
      <c r="U563" s="60"/>
      <c r="V563" s="61"/>
      <c r="W563" s="62"/>
      <c r="X563" s="63">
        <f t="shared" si="327"/>
        <v>0</v>
      </c>
      <c r="Y563" s="11">
        <f t="shared" si="315"/>
        <v>0</v>
      </c>
    </row>
    <row r="564" spans="1:25" x14ac:dyDescent="0.15">
      <c r="A564" s="70" t="s">
        <v>412</v>
      </c>
      <c r="B564" s="25"/>
      <c r="C564" s="45"/>
      <c r="D564" s="26"/>
      <c r="E564" s="32"/>
      <c r="F564" s="33">
        <f t="shared" si="324"/>
        <v>0</v>
      </c>
      <c r="G564" s="25">
        <v>6</v>
      </c>
      <c r="H564" s="45">
        <v>9</v>
      </c>
      <c r="I564" s="26">
        <v>12</v>
      </c>
      <c r="J564" s="32">
        <v>3</v>
      </c>
      <c r="K564" s="33">
        <f t="shared" si="325"/>
        <v>30</v>
      </c>
      <c r="L564" s="11">
        <f t="shared" si="316"/>
        <v>30</v>
      </c>
      <c r="M564" s="115">
        <v>45430</v>
      </c>
      <c r="N564" s="50"/>
      <c r="O564" s="59"/>
      <c r="P564" s="60"/>
      <c r="Q564" s="61"/>
      <c r="R564" s="62"/>
      <c r="S564" s="63">
        <f t="shared" si="326"/>
        <v>0</v>
      </c>
      <c r="T564" s="59"/>
      <c r="U564" s="60"/>
      <c r="V564" s="61"/>
      <c r="W564" s="62"/>
      <c r="X564" s="63">
        <f t="shared" si="327"/>
        <v>0</v>
      </c>
      <c r="Y564" s="11">
        <f t="shared" si="315"/>
        <v>0</v>
      </c>
    </row>
    <row r="565" spans="1:25" x14ac:dyDescent="0.15">
      <c r="A565" s="70" t="s">
        <v>108</v>
      </c>
      <c r="B565" s="25"/>
      <c r="C565" s="45"/>
      <c r="D565" s="26"/>
      <c r="E565" s="32"/>
      <c r="F565" s="33">
        <f t="shared" si="324"/>
        <v>0</v>
      </c>
      <c r="G565" s="25"/>
      <c r="H565" s="45">
        <v>1</v>
      </c>
      <c r="I565" s="26"/>
      <c r="J565" s="32"/>
      <c r="K565" s="33">
        <f t="shared" si="325"/>
        <v>1</v>
      </c>
      <c r="L565" s="93">
        <f t="shared" si="316"/>
        <v>1</v>
      </c>
      <c r="M565" s="85">
        <v>45432</v>
      </c>
      <c r="N565" s="50"/>
      <c r="O565" s="59"/>
      <c r="P565" s="60"/>
      <c r="Q565" s="61"/>
      <c r="R565" s="62"/>
      <c r="S565" s="63">
        <f t="shared" ref="S565:S566" si="331">SUM(O565:R565)</f>
        <v>0</v>
      </c>
      <c r="T565" s="59"/>
      <c r="U565" s="60"/>
      <c r="V565" s="61"/>
      <c r="W565" s="62"/>
      <c r="X565" s="63">
        <f t="shared" ref="X565:X566" si="332">SUM(T565:W565)</f>
        <v>0</v>
      </c>
      <c r="Y565" s="11">
        <f t="shared" ref="Y565:Y566" si="333">S565+X565</f>
        <v>0</v>
      </c>
    </row>
    <row r="566" spans="1:25" ht="14.25" thickBot="1" x14ac:dyDescent="0.2">
      <c r="A566" s="138" t="s">
        <v>30</v>
      </c>
      <c r="B566" s="152">
        <v>1</v>
      </c>
      <c r="C566" s="153">
        <v>2</v>
      </c>
      <c r="D566" s="154"/>
      <c r="E566" s="155"/>
      <c r="F566" s="156">
        <f t="shared" si="324"/>
        <v>3</v>
      </c>
      <c r="G566" s="152">
        <v>1</v>
      </c>
      <c r="H566" s="153">
        <v>1</v>
      </c>
      <c r="I566" s="154"/>
      <c r="J566" s="155"/>
      <c r="K566" s="156">
        <f t="shared" si="325"/>
        <v>2</v>
      </c>
      <c r="L566" s="14">
        <f t="shared" si="316"/>
        <v>5</v>
      </c>
      <c r="M566" s="115">
        <v>45432</v>
      </c>
      <c r="N566" s="74"/>
      <c r="O566" s="55"/>
      <c r="P566" s="56"/>
      <c r="Q566" s="57"/>
      <c r="R566" s="58"/>
      <c r="S566" s="109">
        <f t="shared" si="331"/>
        <v>0</v>
      </c>
      <c r="T566" s="55"/>
      <c r="U566" s="56"/>
      <c r="V566" s="57"/>
      <c r="W566" s="58"/>
      <c r="X566" s="109">
        <f t="shared" si="332"/>
        <v>0</v>
      </c>
      <c r="Y566" s="107">
        <f t="shared" si="333"/>
        <v>0</v>
      </c>
    </row>
    <row r="567" spans="1:25" ht="14.25" thickBot="1" x14ac:dyDescent="0.2">
      <c r="A567" s="16" t="s">
        <v>10</v>
      </c>
      <c r="B567" s="147">
        <f>SUM(B542:B566)</f>
        <v>3</v>
      </c>
      <c r="C567" s="148">
        <f>SUM(C542:C566)</f>
        <v>12</v>
      </c>
      <c r="D567" s="149">
        <f>SUM(D542:D566)</f>
        <v>7</v>
      </c>
      <c r="E567" s="150">
        <f>SUM(E542:E566)</f>
        <v>4</v>
      </c>
      <c r="F567" s="34">
        <f>SUM(B567:E567)</f>
        <v>26</v>
      </c>
      <c r="G567" s="147">
        <f>SUM(G542:G566)</f>
        <v>11</v>
      </c>
      <c r="H567" s="148">
        <f>SUM(H542:H566)</f>
        <v>25</v>
      </c>
      <c r="I567" s="149">
        <f>SUM(I542:I566)</f>
        <v>13</v>
      </c>
      <c r="J567" s="150">
        <f>SUM(J542:J566)</f>
        <v>9</v>
      </c>
      <c r="K567" s="34">
        <f>SUM(G567:J567)</f>
        <v>58</v>
      </c>
      <c r="L567" s="35">
        <f t="shared" si="316"/>
        <v>84</v>
      </c>
      <c r="N567" s="72" t="s">
        <v>10</v>
      </c>
      <c r="O567" s="36">
        <f>SUM(O542:O566)</f>
        <v>10</v>
      </c>
      <c r="P567" s="46">
        <f>SUM(P542:P566)</f>
        <v>10</v>
      </c>
      <c r="Q567" s="37">
        <f>SUM(Q542:Q566)</f>
        <v>0</v>
      </c>
      <c r="R567" s="38">
        <f>SUM(R542:R566)</f>
        <v>0</v>
      </c>
      <c r="S567" s="71">
        <f t="shared" si="326"/>
        <v>20</v>
      </c>
      <c r="T567" s="36">
        <f>SUM(T542:T566)</f>
        <v>10</v>
      </c>
      <c r="U567" s="46">
        <f>SUM(U542:U566)</f>
        <v>15</v>
      </c>
      <c r="V567" s="37">
        <f>SUM(V542:V566)</f>
        <v>5</v>
      </c>
      <c r="W567" s="38">
        <f>SUM(W542:W566)</f>
        <v>5</v>
      </c>
      <c r="X567" s="71">
        <f t="shared" si="327"/>
        <v>35</v>
      </c>
      <c r="Y567" s="75">
        <f t="shared" si="315"/>
        <v>55</v>
      </c>
    </row>
    <row r="568" spans="1:25" ht="14.25" thickBot="1" x14ac:dyDescent="0.2">
      <c r="A568" s="21" t="s">
        <v>11</v>
      </c>
      <c r="B568" s="39">
        <f t="shared" ref="B568:K568" si="334">B541-B567</f>
        <v>10</v>
      </c>
      <c r="C568" s="47">
        <f t="shared" si="334"/>
        <v>13</v>
      </c>
      <c r="D568" s="40">
        <f t="shared" si="334"/>
        <v>14</v>
      </c>
      <c r="E568" s="41">
        <f t="shared" si="334"/>
        <v>16</v>
      </c>
      <c r="F568" s="54">
        <f t="shared" si="334"/>
        <v>53</v>
      </c>
      <c r="G568" s="39">
        <f t="shared" si="334"/>
        <v>8</v>
      </c>
      <c r="H568" s="47">
        <f t="shared" si="334"/>
        <v>6</v>
      </c>
      <c r="I568" s="40">
        <f t="shared" si="334"/>
        <v>10</v>
      </c>
      <c r="J568" s="41">
        <f t="shared" si="334"/>
        <v>15</v>
      </c>
      <c r="K568" s="54">
        <f t="shared" si="334"/>
        <v>39</v>
      </c>
      <c r="L568" s="20">
        <f t="shared" si="316"/>
        <v>92</v>
      </c>
      <c r="N568" s="16" t="s">
        <v>11</v>
      </c>
      <c r="O568" s="39">
        <f t="shared" ref="O568:X568" si="335">O541-O567</f>
        <v>564</v>
      </c>
      <c r="P568" s="47">
        <f t="shared" si="335"/>
        <v>518</v>
      </c>
      <c r="Q568" s="40">
        <f t="shared" si="335"/>
        <v>445</v>
      </c>
      <c r="R568" s="41">
        <f t="shared" si="335"/>
        <v>298</v>
      </c>
      <c r="S568" s="54">
        <f t="shared" si="335"/>
        <v>1825</v>
      </c>
      <c r="T568" s="39">
        <f t="shared" si="335"/>
        <v>501</v>
      </c>
      <c r="U568" s="47">
        <f t="shared" si="335"/>
        <v>601</v>
      </c>
      <c r="V568" s="40">
        <f t="shared" si="335"/>
        <v>469</v>
      </c>
      <c r="W568" s="41">
        <f t="shared" si="335"/>
        <v>265</v>
      </c>
      <c r="X568" s="54">
        <f t="shared" si="335"/>
        <v>1836</v>
      </c>
      <c r="Y568" s="20">
        <f t="shared" si="315"/>
        <v>3661</v>
      </c>
    </row>
    <row r="571" spans="1:25" ht="19.5" thickBot="1" x14ac:dyDescent="0.25">
      <c r="A571" s="2" t="s">
        <v>26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27</v>
      </c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thickBot="1" x14ac:dyDescent="0.2">
      <c r="A572" s="5" t="s">
        <v>0</v>
      </c>
      <c r="B572" s="228" t="s">
        <v>19</v>
      </c>
      <c r="C572" s="229"/>
      <c r="D572" s="229"/>
      <c r="E572" s="229"/>
      <c r="F572" s="230"/>
      <c r="G572" s="231" t="s">
        <v>18</v>
      </c>
      <c r="H572" s="232"/>
      <c r="I572" s="232"/>
      <c r="J572" s="232"/>
      <c r="K572" s="233"/>
      <c r="L572" s="73" t="s">
        <v>1</v>
      </c>
      <c r="N572" s="5" t="s">
        <v>0</v>
      </c>
      <c r="O572" s="228" t="s">
        <v>19</v>
      </c>
      <c r="P572" s="229"/>
      <c r="Q572" s="229"/>
      <c r="R572" s="229"/>
      <c r="S572" s="230"/>
      <c r="T572" s="231" t="s">
        <v>18</v>
      </c>
      <c r="U572" s="232"/>
      <c r="V572" s="232"/>
      <c r="W572" s="232"/>
      <c r="X572" s="233"/>
      <c r="Y572" s="73" t="s">
        <v>1</v>
      </c>
    </row>
    <row r="573" spans="1:25" ht="14.25" thickBot="1" x14ac:dyDescent="0.2">
      <c r="A573" s="5" t="s">
        <v>2</v>
      </c>
      <c r="B573" s="3" t="s">
        <v>12</v>
      </c>
      <c r="C573" s="42" t="s">
        <v>13</v>
      </c>
      <c r="D573" s="4" t="s">
        <v>14</v>
      </c>
      <c r="E573" s="22" t="s">
        <v>15</v>
      </c>
      <c r="F573" s="30" t="s">
        <v>3</v>
      </c>
      <c r="G573" s="3" t="s">
        <v>12</v>
      </c>
      <c r="H573" s="42" t="s">
        <v>13</v>
      </c>
      <c r="I573" s="4" t="s">
        <v>14</v>
      </c>
      <c r="J573" s="22" t="s">
        <v>15</v>
      </c>
      <c r="K573" s="30" t="s">
        <v>3</v>
      </c>
      <c r="L573" s="74"/>
      <c r="N573" s="5" t="s">
        <v>2</v>
      </c>
      <c r="O573" s="64" t="s">
        <v>12</v>
      </c>
      <c r="P573" s="65" t="s">
        <v>13</v>
      </c>
      <c r="Q573" s="66" t="s">
        <v>14</v>
      </c>
      <c r="R573" s="67" t="s">
        <v>15</v>
      </c>
      <c r="S573" s="30" t="s">
        <v>3</v>
      </c>
      <c r="T573" s="3" t="s">
        <v>12</v>
      </c>
      <c r="U573" s="42" t="s">
        <v>13</v>
      </c>
      <c r="V573" s="4" t="s">
        <v>14</v>
      </c>
      <c r="W573" s="22" t="s">
        <v>15</v>
      </c>
      <c r="X573" s="30" t="s">
        <v>3</v>
      </c>
      <c r="Y573" s="74"/>
    </row>
    <row r="574" spans="1:25" ht="14.25" thickBot="1" x14ac:dyDescent="0.2">
      <c r="A574" s="21" t="s">
        <v>16</v>
      </c>
      <c r="B574" s="39">
        <f>B568</f>
        <v>10</v>
      </c>
      <c r="C574" s="40">
        <f>C568</f>
        <v>13</v>
      </c>
      <c r="D574" s="40">
        <f>D568</f>
        <v>14</v>
      </c>
      <c r="E574" s="41">
        <f>E568</f>
        <v>16</v>
      </c>
      <c r="F574" s="122">
        <f>SUM(B574:E574)</f>
        <v>53</v>
      </c>
      <c r="G574" s="39">
        <f>G568</f>
        <v>8</v>
      </c>
      <c r="H574" s="40">
        <f>H568</f>
        <v>6</v>
      </c>
      <c r="I574" s="40">
        <f>I568</f>
        <v>10</v>
      </c>
      <c r="J574" s="41">
        <f>J568</f>
        <v>15</v>
      </c>
      <c r="K574" s="123">
        <f>SUM(G574:J574)</f>
        <v>39</v>
      </c>
      <c r="L574" s="20">
        <f>F574+K574</f>
        <v>92</v>
      </c>
      <c r="N574" s="21" t="s">
        <v>16</v>
      </c>
      <c r="O574" s="39">
        <f>O568</f>
        <v>564</v>
      </c>
      <c r="P574" s="40">
        <f>P568</f>
        <v>518</v>
      </c>
      <c r="Q574" s="40">
        <f t="shared" ref="Q574:R574" si="336">Q568</f>
        <v>445</v>
      </c>
      <c r="R574" s="88">
        <f t="shared" si="336"/>
        <v>298</v>
      </c>
      <c r="S574" s="123">
        <f>SUM(O574:R574)</f>
        <v>1825</v>
      </c>
      <c r="T574" s="39">
        <f>T568</f>
        <v>501</v>
      </c>
      <c r="U574" s="40">
        <f>U568</f>
        <v>601</v>
      </c>
      <c r="V574" s="40">
        <f>V568</f>
        <v>469</v>
      </c>
      <c r="W574" s="41">
        <f>W568</f>
        <v>265</v>
      </c>
      <c r="X574" s="123">
        <f>SUM(T574:W574)</f>
        <v>1836</v>
      </c>
      <c r="Y574" s="20">
        <f t="shared" ref="Y574:Y606" si="337">S574+X574</f>
        <v>3661</v>
      </c>
    </row>
    <row r="575" spans="1:25" x14ac:dyDescent="0.15">
      <c r="A575" s="70" t="s">
        <v>5</v>
      </c>
      <c r="B575" s="6">
        <v>5</v>
      </c>
      <c r="C575" s="29"/>
      <c r="D575" s="7"/>
      <c r="E575" s="8"/>
      <c r="F575" s="9">
        <f>SUM(B575:E575)</f>
        <v>5</v>
      </c>
      <c r="G575" s="29">
        <v>5</v>
      </c>
      <c r="H575" s="29">
        <v>5</v>
      </c>
      <c r="I575" s="7">
        <v>5</v>
      </c>
      <c r="J575" s="8"/>
      <c r="K575" s="9">
        <f>SUM(G575:J575)</f>
        <v>15</v>
      </c>
      <c r="L575" s="11">
        <f t="shared" ref="L575:L606" si="338">F575+K575</f>
        <v>20</v>
      </c>
      <c r="M575" s="85">
        <v>45442</v>
      </c>
      <c r="N575" s="13" t="s">
        <v>17</v>
      </c>
      <c r="O575" s="25"/>
      <c r="P575" s="45"/>
      <c r="Q575" s="26"/>
      <c r="R575" s="32"/>
      <c r="S575" s="68">
        <f t="shared" ref="S575" si="339">SUM(O575:R575)</f>
        <v>0</v>
      </c>
      <c r="T575" s="45"/>
      <c r="U575" s="45"/>
      <c r="V575" s="26"/>
      <c r="W575" s="48"/>
      <c r="X575" s="9">
        <f t="shared" ref="X575" si="340">SUM(T575:W575)</f>
        <v>0</v>
      </c>
      <c r="Y575" s="11">
        <f t="shared" ref="Y575" si="341">S575+X575</f>
        <v>0</v>
      </c>
    </row>
    <row r="576" spans="1:25" x14ac:dyDescent="0.15">
      <c r="A576" s="70" t="s">
        <v>422</v>
      </c>
      <c r="B576" s="6">
        <v>6</v>
      </c>
      <c r="C576" s="29">
        <v>4</v>
      </c>
      <c r="D576" s="7">
        <v>2</v>
      </c>
      <c r="E576" s="8">
        <v>1</v>
      </c>
      <c r="F576" s="9">
        <f t="shared" ref="F576:F578" si="342">SUM(B576:E576)</f>
        <v>13</v>
      </c>
      <c r="G576" s="29">
        <v>3</v>
      </c>
      <c r="H576" s="29">
        <v>3</v>
      </c>
      <c r="I576" s="7"/>
      <c r="J576" s="8">
        <f>1+4</f>
        <v>5</v>
      </c>
      <c r="K576" s="9">
        <f t="shared" ref="K576:K578" si="343">SUM(G576:J576)</f>
        <v>11</v>
      </c>
      <c r="L576" s="11">
        <f t="shared" si="338"/>
        <v>24</v>
      </c>
      <c r="M576" s="85">
        <v>45456</v>
      </c>
      <c r="N576" s="13" t="s">
        <v>5</v>
      </c>
      <c r="O576" s="25"/>
      <c r="P576" s="45"/>
      <c r="Q576" s="26"/>
      <c r="R576" s="32"/>
      <c r="S576" s="68">
        <f t="shared" ref="S576" si="344">SUM(O576:R576)</f>
        <v>0</v>
      </c>
      <c r="T576" s="45"/>
      <c r="U576" s="45"/>
      <c r="V576" s="26"/>
      <c r="W576" s="48"/>
      <c r="X576" s="9">
        <f t="shared" ref="X576" si="345">SUM(T576:W576)</f>
        <v>0</v>
      </c>
      <c r="Y576" s="11">
        <f t="shared" si="337"/>
        <v>0</v>
      </c>
    </row>
    <row r="577" spans="1:27" x14ac:dyDescent="0.15">
      <c r="A577" s="70" t="s">
        <v>7</v>
      </c>
      <c r="B577" s="6"/>
      <c r="C577" s="29"/>
      <c r="D577" s="7"/>
      <c r="E577" s="8"/>
      <c r="F577" s="9">
        <f t="shared" si="342"/>
        <v>0</v>
      </c>
      <c r="G577" s="29"/>
      <c r="H577" s="29"/>
      <c r="I577" s="7"/>
      <c r="J577" s="8"/>
      <c r="K577" s="9">
        <f t="shared" si="343"/>
        <v>0</v>
      </c>
      <c r="L577" s="11">
        <f t="shared" si="338"/>
        <v>0</v>
      </c>
      <c r="M577" s="85"/>
      <c r="N577" s="13" t="s">
        <v>6</v>
      </c>
      <c r="O577" s="25"/>
      <c r="P577" s="45"/>
      <c r="Q577" s="26"/>
      <c r="R577" s="32"/>
      <c r="S577" s="68">
        <f>SUM(O577:R577)</f>
        <v>0</v>
      </c>
      <c r="T577" s="45"/>
      <c r="U577" s="45"/>
      <c r="V577" s="26"/>
      <c r="W577" s="48"/>
      <c r="X577" s="9">
        <f>SUM(T577:W577)</f>
        <v>0</v>
      </c>
      <c r="Y577" s="11">
        <f t="shared" si="337"/>
        <v>0</v>
      </c>
    </row>
    <row r="578" spans="1:27" ht="14.25" thickBot="1" x14ac:dyDescent="0.2">
      <c r="A578" s="70" t="s">
        <v>8</v>
      </c>
      <c r="B578" s="125"/>
      <c r="C578" s="126"/>
      <c r="D578" s="127"/>
      <c r="E578" s="128"/>
      <c r="F578" s="129">
        <f t="shared" si="342"/>
        <v>0</v>
      </c>
      <c r="G578" s="126"/>
      <c r="H578" s="126"/>
      <c r="I578" s="127"/>
      <c r="J578" s="128"/>
      <c r="K578" s="129">
        <f t="shared" si="343"/>
        <v>0</v>
      </c>
      <c r="L578" s="14">
        <f t="shared" si="338"/>
        <v>0</v>
      </c>
      <c r="M578" s="85"/>
      <c r="N578" s="13" t="s">
        <v>7</v>
      </c>
      <c r="O578" s="55"/>
      <c r="P578" s="56"/>
      <c r="Q578" s="57"/>
      <c r="R578" s="58"/>
      <c r="S578" s="69">
        <f>SUM(O578:R578)</f>
        <v>0</v>
      </c>
      <c r="T578" s="45"/>
      <c r="U578" s="45"/>
      <c r="V578" s="26"/>
      <c r="W578" s="48"/>
      <c r="X578" s="10">
        <f>SUM(T578:W578)</f>
        <v>0</v>
      </c>
      <c r="Y578" s="14">
        <f t="shared" si="337"/>
        <v>0</v>
      </c>
    </row>
    <row r="579" spans="1:27" ht="14.25" thickBot="1" x14ac:dyDescent="0.2">
      <c r="A579" s="21" t="s">
        <v>9</v>
      </c>
      <c r="B579" s="130">
        <f t="shared" ref="B579:K579" si="346">SUM(B574:B578)</f>
        <v>21</v>
      </c>
      <c r="C579" s="131">
        <f t="shared" si="346"/>
        <v>17</v>
      </c>
      <c r="D579" s="132">
        <f t="shared" si="346"/>
        <v>16</v>
      </c>
      <c r="E579" s="133">
        <f t="shared" si="346"/>
        <v>17</v>
      </c>
      <c r="F579" s="123">
        <f t="shared" si="346"/>
        <v>71</v>
      </c>
      <c r="G579" s="130">
        <f t="shared" si="346"/>
        <v>16</v>
      </c>
      <c r="H579" s="131">
        <f t="shared" si="346"/>
        <v>14</v>
      </c>
      <c r="I579" s="132">
        <f t="shared" si="346"/>
        <v>15</v>
      </c>
      <c r="J579" s="133">
        <f t="shared" si="346"/>
        <v>20</v>
      </c>
      <c r="K579" s="123">
        <f t="shared" si="346"/>
        <v>65</v>
      </c>
      <c r="L579" s="20">
        <f t="shared" si="338"/>
        <v>136</v>
      </c>
      <c r="N579" s="16" t="s">
        <v>9</v>
      </c>
      <c r="O579" s="39">
        <f t="shared" ref="O579:X579" si="347">SUM(O574:O578)</f>
        <v>564</v>
      </c>
      <c r="P579" s="47">
        <f t="shared" si="347"/>
        <v>518</v>
      </c>
      <c r="Q579" s="40">
        <f t="shared" si="347"/>
        <v>445</v>
      </c>
      <c r="R579" s="88">
        <f t="shared" si="347"/>
        <v>298</v>
      </c>
      <c r="S579" s="89">
        <f t="shared" si="347"/>
        <v>1825</v>
      </c>
      <c r="T579" s="39">
        <f t="shared" si="347"/>
        <v>501</v>
      </c>
      <c r="U579" s="47">
        <f t="shared" si="347"/>
        <v>601</v>
      </c>
      <c r="V579" s="40">
        <f t="shared" si="347"/>
        <v>469</v>
      </c>
      <c r="W579" s="88">
        <f t="shared" si="347"/>
        <v>265</v>
      </c>
      <c r="X579" s="89">
        <f t="shared" si="347"/>
        <v>1836</v>
      </c>
      <c r="Y579" s="49">
        <f t="shared" si="337"/>
        <v>3661</v>
      </c>
    </row>
    <row r="580" spans="1:27" x14ac:dyDescent="0.15">
      <c r="A580" s="70" t="s">
        <v>108</v>
      </c>
      <c r="B580" s="59">
        <v>1</v>
      </c>
      <c r="C580" s="60"/>
      <c r="D580" s="61"/>
      <c r="E580" s="62"/>
      <c r="F580" s="63">
        <f t="shared" ref="F580:F604" si="348">SUM(B580:E580)</f>
        <v>1</v>
      </c>
      <c r="G580" s="59"/>
      <c r="H580" s="60"/>
      <c r="I580" s="61"/>
      <c r="J580" s="62"/>
      <c r="K580" s="63">
        <f t="shared" ref="K580:K604" si="349">SUM(G580:J580)</f>
        <v>0</v>
      </c>
      <c r="L580" s="11">
        <f t="shared" si="338"/>
        <v>1</v>
      </c>
      <c r="M580" s="85">
        <v>45434</v>
      </c>
      <c r="N580" s="13" t="s">
        <v>416</v>
      </c>
      <c r="O580" s="25"/>
      <c r="P580" s="45"/>
      <c r="Q580" s="26">
        <v>7</v>
      </c>
      <c r="R580" s="32"/>
      <c r="S580" s="33">
        <f t="shared" ref="S580" si="350">SUM(O580:R580)</f>
        <v>7</v>
      </c>
      <c r="T580" s="25"/>
      <c r="U580" s="45"/>
      <c r="V580" s="26"/>
      <c r="W580" s="32"/>
      <c r="X580" s="33">
        <f t="shared" ref="X580" si="351">SUM(T580:W580)</f>
        <v>0</v>
      </c>
      <c r="Y580" s="11">
        <f t="shared" si="337"/>
        <v>7</v>
      </c>
      <c r="Z580" s="85">
        <v>45447</v>
      </c>
      <c r="AA580" s="51"/>
    </row>
    <row r="581" spans="1:27" x14ac:dyDescent="0.15">
      <c r="A581" s="15" t="s">
        <v>414</v>
      </c>
      <c r="B581" s="25"/>
      <c r="C581" s="45"/>
      <c r="D581" s="26"/>
      <c r="E581" s="32"/>
      <c r="F581" s="33">
        <f t="shared" si="348"/>
        <v>0</v>
      </c>
      <c r="G581" s="25">
        <v>1</v>
      </c>
      <c r="H581" s="45"/>
      <c r="I581" s="26"/>
      <c r="J581" s="32"/>
      <c r="K581" s="33">
        <f t="shared" si="349"/>
        <v>1</v>
      </c>
      <c r="L581" s="11">
        <f t="shared" si="338"/>
        <v>1</v>
      </c>
      <c r="M581" s="85">
        <v>45436</v>
      </c>
      <c r="N581" s="13" t="s">
        <v>417</v>
      </c>
      <c r="O581" s="25"/>
      <c r="P581" s="45"/>
      <c r="Q581" s="26"/>
      <c r="R581" s="32">
        <v>5</v>
      </c>
      <c r="S581" s="33">
        <f t="shared" ref="S581:S584" si="352">SUM(O581:R581)</f>
        <v>5</v>
      </c>
      <c r="T581" s="25">
        <v>5</v>
      </c>
      <c r="U581" s="45"/>
      <c r="V581" s="26"/>
      <c r="W581" s="32"/>
      <c r="X581" s="33">
        <f t="shared" ref="X581:X584" si="353">SUM(T581:W581)</f>
        <v>5</v>
      </c>
      <c r="Y581" s="11">
        <f t="shared" ref="Y581:Y584" si="354">S581+X581</f>
        <v>10</v>
      </c>
      <c r="Z581" s="85">
        <v>45455</v>
      </c>
      <c r="AA581" s="51"/>
    </row>
    <row r="582" spans="1:27" x14ac:dyDescent="0.15">
      <c r="A582" s="70" t="s">
        <v>30</v>
      </c>
      <c r="B582" s="25"/>
      <c r="C582" s="45"/>
      <c r="D582" s="26"/>
      <c r="E582" s="32">
        <v>1</v>
      </c>
      <c r="F582" s="33">
        <f t="shared" si="348"/>
        <v>1</v>
      </c>
      <c r="G582" s="25"/>
      <c r="H582" s="45"/>
      <c r="I582" s="26"/>
      <c r="J582" s="32">
        <v>1</v>
      </c>
      <c r="K582" s="33">
        <f t="shared" si="349"/>
        <v>1</v>
      </c>
      <c r="L582" s="11">
        <f t="shared" si="338"/>
        <v>2</v>
      </c>
      <c r="M582" s="85">
        <v>45436</v>
      </c>
      <c r="N582" s="13" t="s">
        <v>421</v>
      </c>
      <c r="O582" s="25"/>
      <c r="P582" s="45"/>
      <c r="Q582" s="26"/>
      <c r="R582" s="32">
        <v>5</v>
      </c>
      <c r="S582" s="33">
        <f t="shared" si="352"/>
        <v>5</v>
      </c>
      <c r="T582" s="25"/>
      <c r="U582" s="45">
        <v>5</v>
      </c>
      <c r="V582" s="26">
        <v>5</v>
      </c>
      <c r="W582" s="32"/>
      <c r="X582" s="33">
        <f t="shared" si="353"/>
        <v>10</v>
      </c>
      <c r="Y582" s="11">
        <f t="shared" si="354"/>
        <v>15</v>
      </c>
      <c r="Z582" s="85">
        <v>45461</v>
      </c>
    </row>
    <row r="583" spans="1:27" x14ac:dyDescent="0.15">
      <c r="A583" s="15" t="s">
        <v>415</v>
      </c>
      <c r="B583" s="25"/>
      <c r="C583" s="45"/>
      <c r="D583" s="26"/>
      <c r="E583" s="32"/>
      <c r="F583" s="33">
        <f t="shared" si="348"/>
        <v>0</v>
      </c>
      <c r="G583" s="25"/>
      <c r="H583" s="45"/>
      <c r="I583" s="26"/>
      <c r="J583" s="32">
        <v>1</v>
      </c>
      <c r="K583" s="33">
        <f t="shared" si="349"/>
        <v>1</v>
      </c>
      <c r="L583" s="11">
        <f t="shared" si="338"/>
        <v>1</v>
      </c>
      <c r="M583" s="85">
        <v>45441</v>
      </c>
      <c r="N583" s="13" t="s">
        <v>423</v>
      </c>
      <c r="O583" s="25"/>
      <c r="P583" s="45"/>
      <c r="Q583" s="26"/>
      <c r="R583" s="32"/>
      <c r="S583" s="33">
        <f t="shared" si="352"/>
        <v>0</v>
      </c>
      <c r="T583" s="25"/>
      <c r="U583" s="45">
        <v>2</v>
      </c>
      <c r="V583" s="26"/>
      <c r="W583" s="32">
        <v>2</v>
      </c>
      <c r="X583" s="33">
        <f t="shared" si="353"/>
        <v>4</v>
      </c>
      <c r="Y583" s="11">
        <f t="shared" si="354"/>
        <v>4</v>
      </c>
      <c r="Z583" s="85">
        <v>45475</v>
      </c>
    </row>
    <row r="584" spans="1:27" x14ac:dyDescent="0.15">
      <c r="A584" s="70" t="s">
        <v>30</v>
      </c>
      <c r="B584" s="25">
        <v>4</v>
      </c>
      <c r="C584" s="45">
        <v>2</v>
      </c>
      <c r="D584" s="26">
        <f>1+2</f>
        <v>3</v>
      </c>
      <c r="E584" s="32">
        <v>1</v>
      </c>
      <c r="F584" s="33">
        <f t="shared" si="348"/>
        <v>10</v>
      </c>
      <c r="G584" s="25">
        <v>1</v>
      </c>
      <c r="H584" s="45">
        <v>1</v>
      </c>
      <c r="I584" s="26">
        <v>3</v>
      </c>
      <c r="J584" s="32">
        <v>1</v>
      </c>
      <c r="K584" s="33">
        <f t="shared" si="349"/>
        <v>6</v>
      </c>
      <c r="L584" s="11">
        <f t="shared" si="338"/>
        <v>16</v>
      </c>
      <c r="M584" s="85">
        <v>45439</v>
      </c>
      <c r="N584" s="50" t="s">
        <v>28</v>
      </c>
      <c r="O584" s="25">
        <v>10</v>
      </c>
      <c r="P584" s="45">
        <v>10</v>
      </c>
      <c r="Q584" s="26">
        <v>5</v>
      </c>
      <c r="R584" s="32">
        <v>5</v>
      </c>
      <c r="S584" s="33">
        <f t="shared" si="352"/>
        <v>30</v>
      </c>
      <c r="T584" s="25">
        <v>10</v>
      </c>
      <c r="U584" s="45">
        <v>10</v>
      </c>
      <c r="V584" s="26">
        <v>5</v>
      </c>
      <c r="W584" s="32">
        <v>5</v>
      </c>
      <c r="X584" s="33">
        <f t="shared" si="353"/>
        <v>30</v>
      </c>
      <c r="Y584" s="11">
        <f t="shared" si="354"/>
        <v>60</v>
      </c>
      <c r="Z584" s="85">
        <v>45479</v>
      </c>
    </row>
    <row r="585" spans="1:27" x14ac:dyDescent="0.15">
      <c r="A585" s="70" t="s">
        <v>108</v>
      </c>
      <c r="B585" s="25"/>
      <c r="C585" s="45"/>
      <c r="D585" s="26"/>
      <c r="E585" s="32"/>
      <c r="F585" s="33">
        <f t="shared" si="348"/>
        <v>0</v>
      </c>
      <c r="G585" s="25">
        <v>1</v>
      </c>
      <c r="H585" s="45"/>
      <c r="I585" s="26"/>
      <c r="J585" s="32"/>
      <c r="K585" s="33">
        <f t="shared" si="349"/>
        <v>1</v>
      </c>
      <c r="L585" s="11">
        <f t="shared" si="338"/>
        <v>1</v>
      </c>
      <c r="M585" s="85">
        <v>45439</v>
      </c>
      <c r="N585" s="50"/>
      <c r="O585" s="25"/>
      <c r="P585" s="45"/>
      <c r="Q585" s="26"/>
      <c r="R585" s="32"/>
      <c r="S585" s="33">
        <f t="shared" ref="S585:S605" si="355">SUM(O585:R585)</f>
        <v>0</v>
      </c>
      <c r="T585" s="25"/>
      <c r="U585" s="45"/>
      <c r="V585" s="26"/>
      <c r="W585" s="32"/>
      <c r="X585" s="33">
        <f t="shared" ref="X585:X605" si="356">SUM(T585:W585)</f>
        <v>0</v>
      </c>
      <c r="Y585" s="11">
        <f t="shared" si="337"/>
        <v>0</v>
      </c>
    </row>
    <row r="586" spans="1:27" x14ac:dyDescent="0.15">
      <c r="A586" s="70" t="s">
        <v>30</v>
      </c>
      <c r="B586" s="25"/>
      <c r="C586" s="45">
        <v>1</v>
      </c>
      <c r="D586" s="26"/>
      <c r="E586" s="32"/>
      <c r="F586" s="33">
        <f t="shared" si="348"/>
        <v>1</v>
      </c>
      <c r="G586" s="25"/>
      <c r="H586" s="45"/>
      <c r="I586" s="26"/>
      <c r="J586" s="32"/>
      <c r="K586" s="33">
        <f t="shared" si="349"/>
        <v>0</v>
      </c>
      <c r="L586" s="11">
        <f t="shared" si="338"/>
        <v>1</v>
      </c>
      <c r="M586" s="85">
        <v>45441</v>
      </c>
      <c r="N586" s="50"/>
      <c r="O586" s="25"/>
      <c r="P586" s="45"/>
      <c r="Q586" s="26"/>
      <c r="R586" s="32"/>
      <c r="S586" s="33">
        <f t="shared" si="355"/>
        <v>0</v>
      </c>
      <c r="T586" s="25"/>
      <c r="U586" s="45"/>
      <c r="V586" s="26"/>
      <c r="W586" s="32"/>
      <c r="X586" s="33">
        <f t="shared" si="356"/>
        <v>0</v>
      </c>
      <c r="Y586" s="11">
        <f t="shared" si="337"/>
        <v>0</v>
      </c>
    </row>
    <row r="587" spans="1:27" x14ac:dyDescent="0.15">
      <c r="A587" s="70" t="s">
        <v>30</v>
      </c>
      <c r="B587" s="25"/>
      <c r="C587" s="45"/>
      <c r="D587" s="26"/>
      <c r="E587" s="32">
        <v>1</v>
      </c>
      <c r="F587" s="33">
        <f t="shared" si="348"/>
        <v>1</v>
      </c>
      <c r="G587" s="25"/>
      <c r="H587" s="45"/>
      <c r="I587" s="26"/>
      <c r="J587" s="32">
        <v>1</v>
      </c>
      <c r="K587" s="33">
        <f t="shared" si="349"/>
        <v>1</v>
      </c>
      <c r="L587" s="11">
        <f t="shared" si="338"/>
        <v>2</v>
      </c>
      <c r="M587" s="85">
        <v>45442</v>
      </c>
      <c r="N587" s="50"/>
      <c r="O587" s="25"/>
      <c r="P587" s="45"/>
      <c r="Q587" s="26"/>
      <c r="R587" s="32"/>
      <c r="S587" s="33">
        <f t="shared" si="355"/>
        <v>0</v>
      </c>
      <c r="T587" s="25"/>
      <c r="U587" s="45"/>
      <c r="V587" s="26"/>
      <c r="W587" s="32"/>
      <c r="X587" s="33">
        <f t="shared" si="356"/>
        <v>0</v>
      </c>
      <c r="Y587" s="11">
        <f t="shared" si="337"/>
        <v>0</v>
      </c>
    </row>
    <row r="588" spans="1:27" x14ac:dyDescent="0.15">
      <c r="A588" s="70" t="s">
        <v>30</v>
      </c>
      <c r="B588" s="25"/>
      <c r="C588" s="45"/>
      <c r="D588" s="26">
        <v>1</v>
      </c>
      <c r="E588" s="32">
        <v>1</v>
      </c>
      <c r="F588" s="33">
        <f t="shared" si="348"/>
        <v>2</v>
      </c>
      <c r="G588" s="25"/>
      <c r="H588" s="45"/>
      <c r="I588" s="26"/>
      <c r="J588" s="32"/>
      <c r="K588" s="33">
        <f t="shared" si="349"/>
        <v>0</v>
      </c>
      <c r="L588" s="11">
        <f t="shared" si="338"/>
        <v>2</v>
      </c>
      <c r="M588" s="85">
        <v>45446</v>
      </c>
      <c r="N588" s="50"/>
      <c r="O588" s="25"/>
      <c r="P588" s="45"/>
      <c r="Q588" s="26"/>
      <c r="R588" s="32"/>
      <c r="S588" s="33">
        <f t="shared" si="355"/>
        <v>0</v>
      </c>
      <c r="T588" s="25"/>
      <c r="U588" s="45"/>
      <c r="V588" s="26"/>
      <c r="W588" s="32"/>
      <c r="X588" s="33">
        <f t="shared" si="356"/>
        <v>0</v>
      </c>
      <c r="Y588" s="11">
        <f t="shared" si="337"/>
        <v>0</v>
      </c>
    </row>
    <row r="589" spans="1:27" x14ac:dyDescent="0.15">
      <c r="A589" s="70" t="s">
        <v>30</v>
      </c>
      <c r="B589" s="25"/>
      <c r="C589" s="45"/>
      <c r="D589" s="26"/>
      <c r="E589" s="32"/>
      <c r="F589" s="33">
        <f t="shared" si="348"/>
        <v>0</v>
      </c>
      <c r="G589" s="25"/>
      <c r="H589" s="45">
        <v>1</v>
      </c>
      <c r="I589" s="26"/>
      <c r="J589" s="32"/>
      <c r="K589" s="33">
        <f t="shared" si="349"/>
        <v>1</v>
      </c>
      <c r="L589" s="11">
        <f t="shared" si="338"/>
        <v>1</v>
      </c>
      <c r="M589" s="85">
        <v>45447</v>
      </c>
      <c r="N589" s="50"/>
      <c r="O589" s="25"/>
      <c r="P589" s="45"/>
      <c r="Q589" s="26"/>
      <c r="R589" s="32"/>
      <c r="S589" s="33">
        <f t="shared" si="355"/>
        <v>0</v>
      </c>
      <c r="T589" s="25"/>
      <c r="U589" s="45"/>
      <c r="V589" s="26"/>
      <c r="W589" s="32"/>
      <c r="X589" s="33">
        <f t="shared" si="356"/>
        <v>0</v>
      </c>
      <c r="Y589" s="11">
        <f t="shared" si="337"/>
        <v>0</v>
      </c>
    </row>
    <row r="590" spans="1:27" x14ac:dyDescent="0.15">
      <c r="A590" s="70" t="s">
        <v>30</v>
      </c>
      <c r="B590" s="25"/>
      <c r="C590" s="45"/>
      <c r="D590" s="26"/>
      <c r="E590" s="32">
        <v>1</v>
      </c>
      <c r="F590" s="33">
        <f t="shared" si="348"/>
        <v>1</v>
      </c>
      <c r="G590" s="25"/>
      <c r="H590" s="45">
        <v>1</v>
      </c>
      <c r="I590" s="26">
        <v>1</v>
      </c>
      <c r="J590" s="32">
        <v>1</v>
      </c>
      <c r="K590" s="33">
        <f t="shared" si="349"/>
        <v>3</v>
      </c>
      <c r="L590" s="11">
        <f t="shared" si="338"/>
        <v>4</v>
      </c>
      <c r="M590" s="85">
        <v>45448</v>
      </c>
      <c r="N590" s="50"/>
      <c r="O590" s="25"/>
      <c r="P590" s="45"/>
      <c r="Q590" s="26"/>
      <c r="R590" s="32"/>
      <c r="S590" s="33">
        <f t="shared" si="355"/>
        <v>0</v>
      </c>
      <c r="T590" s="25"/>
      <c r="U590" s="45"/>
      <c r="V590" s="26"/>
      <c r="W590" s="32"/>
      <c r="X590" s="33">
        <f t="shared" si="356"/>
        <v>0</v>
      </c>
      <c r="Y590" s="11">
        <f t="shared" si="337"/>
        <v>0</v>
      </c>
    </row>
    <row r="591" spans="1:27" x14ac:dyDescent="0.15">
      <c r="A591" s="70" t="s">
        <v>30</v>
      </c>
      <c r="B591" s="25">
        <v>1</v>
      </c>
      <c r="C591" s="45">
        <v>2</v>
      </c>
      <c r="D591" s="26"/>
      <c r="E591" s="32">
        <v>1</v>
      </c>
      <c r="F591" s="33">
        <f t="shared" si="348"/>
        <v>4</v>
      </c>
      <c r="G591" s="25"/>
      <c r="H591" s="45">
        <v>1</v>
      </c>
      <c r="I591" s="26"/>
      <c r="J591" s="32"/>
      <c r="K591" s="33">
        <f t="shared" si="349"/>
        <v>1</v>
      </c>
      <c r="L591" s="11">
        <f t="shared" si="338"/>
        <v>5</v>
      </c>
      <c r="M591" s="85">
        <v>45449</v>
      </c>
      <c r="N591" s="50"/>
      <c r="O591" s="25"/>
      <c r="P591" s="45"/>
      <c r="Q591" s="26"/>
      <c r="R591" s="32"/>
      <c r="S591" s="33">
        <f t="shared" si="355"/>
        <v>0</v>
      </c>
      <c r="T591" s="25"/>
      <c r="U591" s="45"/>
      <c r="V591" s="26"/>
      <c r="W591" s="32"/>
      <c r="X591" s="33">
        <f t="shared" si="356"/>
        <v>0</v>
      </c>
      <c r="Y591" s="11">
        <f t="shared" si="337"/>
        <v>0</v>
      </c>
    </row>
    <row r="592" spans="1:27" x14ac:dyDescent="0.15">
      <c r="A592" s="70" t="s">
        <v>30</v>
      </c>
      <c r="B592" s="25">
        <f>1+1</f>
        <v>2</v>
      </c>
      <c r="C592" s="45">
        <v>1</v>
      </c>
      <c r="D592" s="26">
        <v>1</v>
      </c>
      <c r="E592" s="32">
        <v>1</v>
      </c>
      <c r="F592" s="33">
        <f t="shared" si="348"/>
        <v>5</v>
      </c>
      <c r="G592" s="25"/>
      <c r="H592" s="45"/>
      <c r="I592" s="26"/>
      <c r="J592" s="32"/>
      <c r="K592" s="33">
        <f t="shared" si="349"/>
        <v>0</v>
      </c>
      <c r="L592" s="11">
        <f t="shared" si="338"/>
        <v>5</v>
      </c>
      <c r="M592" s="85">
        <v>45453</v>
      </c>
      <c r="N592" s="50"/>
      <c r="O592" s="25"/>
      <c r="P592" s="45"/>
      <c r="Q592" s="26"/>
      <c r="R592" s="32"/>
      <c r="S592" s="33">
        <f t="shared" si="355"/>
        <v>0</v>
      </c>
      <c r="T592" s="25"/>
      <c r="U592" s="45"/>
      <c r="V592" s="26"/>
      <c r="W592" s="32"/>
      <c r="X592" s="33">
        <f t="shared" si="356"/>
        <v>0</v>
      </c>
      <c r="Y592" s="11">
        <f t="shared" si="337"/>
        <v>0</v>
      </c>
    </row>
    <row r="593" spans="1:25" x14ac:dyDescent="0.15">
      <c r="A593" s="15" t="s">
        <v>420</v>
      </c>
      <c r="B593" s="25"/>
      <c r="C593" s="45"/>
      <c r="D593" s="26"/>
      <c r="E593" s="32"/>
      <c r="F593" s="33">
        <f t="shared" si="348"/>
        <v>0</v>
      </c>
      <c r="G593" s="25"/>
      <c r="H593" s="45"/>
      <c r="I593" s="26">
        <v>1</v>
      </c>
      <c r="J593" s="32"/>
      <c r="K593" s="33">
        <f t="shared" si="349"/>
        <v>1</v>
      </c>
      <c r="L593" s="11">
        <f t="shared" si="338"/>
        <v>1</v>
      </c>
      <c r="M593" s="85">
        <v>45456</v>
      </c>
      <c r="N593" s="50"/>
      <c r="O593" s="25"/>
      <c r="P593" s="45"/>
      <c r="Q593" s="26"/>
      <c r="R593" s="32"/>
      <c r="S593" s="33">
        <f t="shared" si="355"/>
        <v>0</v>
      </c>
      <c r="T593" s="25"/>
      <c r="U593" s="45"/>
      <c r="V593" s="26"/>
      <c r="W593" s="32"/>
      <c r="X593" s="33">
        <f t="shared" si="356"/>
        <v>0</v>
      </c>
      <c r="Y593" s="11">
        <f t="shared" si="337"/>
        <v>0</v>
      </c>
    </row>
    <row r="594" spans="1:25" x14ac:dyDescent="0.15">
      <c r="A594" s="70" t="s">
        <v>30</v>
      </c>
      <c r="B594" s="25"/>
      <c r="C594" s="45">
        <v>1</v>
      </c>
      <c r="D594" s="26"/>
      <c r="E594" s="32"/>
      <c r="F594" s="33">
        <f t="shared" si="348"/>
        <v>1</v>
      </c>
      <c r="G594" s="25"/>
      <c r="H594" s="45">
        <v>1</v>
      </c>
      <c r="I594" s="26"/>
      <c r="J594" s="32"/>
      <c r="K594" s="33">
        <f t="shared" si="349"/>
        <v>1</v>
      </c>
      <c r="L594" s="11">
        <f t="shared" si="338"/>
        <v>2</v>
      </c>
      <c r="M594" s="85">
        <v>45454</v>
      </c>
      <c r="N594" s="50"/>
      <c r="O594" s="25"/>
      <c r="P594" s="45"/>
      <c r="Q594" s="26"/>
      <c r="R594" s="32"/>
      <c r="S594" s="33">
        <f t="shared" si="355"/>
        <v>0</v>
      </c>
      <c r="T594" s="25"/>
      <c r="U594" s="45"/>
      <c r="V594" s="26"/>
      <c r="W594" s="32"/>
      <c r="X594" s="33">
        <f t="shared" si="356"/>
        <v>0</v>
      </c>
      <c r="Y594" s="11">
        <f t="shared" si="337"/>
        <v>0</v>
      </c>
    </row>
    <row r="595" spans="1:25" x14ac:dyDescent="0.15">
      <c r="A595" s="70" t="s">
        <v>30</v>
      </c>
      <c r="B595" s="25"/>
      <c r="C595" s="45">
        <v>1</v>
      </c>
      <c r="D595" s="26"/>
      <c r="E595" s="32"/>
      <c r="F595" s="33">
        <f t="shared" si="348"/>
        <v>1</v>
      </c>
      <c r="G595" s="25"/>
      <c r="H595" s="45"/>
      <c r="I595" s="26"/>
      <c r="J595" s="32"/>
      <c r="K595" s="33">
        <f t="shared" si="349"/>
        <v>0</v>
      </c>
      <c r="L595" s="11">
        <f t="shared" si="338"/>
        <v>1</v>
      </c>
      <c r="M595" s="85">
        <v>45457</v>
      </c>
      <c r="N595" s="50"/>
      <c r="O595" s="25"/>
      <c r="P595" s="45"/>
      <c r="Q595" s="26"/>
      <c r="R595" s="32"/>
      <c r="S595" s="33">
        <f t="shared" si="355"/>
        <v>0</v>
      </c>
      <c r="T595" s="25"/>
      <c r="U595" s="45"/>
      <c r="V595" s="26"/>
      <c r="W595" s="32"/>
      <c r="X595" s="33">
        <f t="shared" si="356"/>
        <v>0</v>
      </c>
      <c r="Y595" s="11">
        <f t="shared" si="337"/>
        <v>0</v>
      </c>
    </row>
    <row r="596" spans="1:25" x14ac:dyDescent="0.15">
      <c r="A596" s="70" t="s">
        <v>30</v>
      </c>
      <c r="B596" s="25"/>
      <c r="C596" s="45"/>
      <c r="D596" s="26"/>
      <c r="E596" s="32">
        <v>1</v>
      </c>
      <c r="F596" s="33">
        <f t="shared" si="348"/>
        <v>1</v>
      </c>
      <c r="G596" s="25"/>
      <c r="H596" s="45"/>
      <c r="I596" s="26"/>
      <c r="J596" s="32"/>
      <c r="K596" s="33">
        <f t="shared" si="349"/>
        <v>0</v>
      </c>
      <c r="L596" s="11">
        <f t="shared" si="338"/>
        <v>1</v>
      </c>
      <c r="M596" s="85">
        <v>45460</v>
      </c>
      <c r="N596" s="50"/>
      <c r="O596" s="25"/>
      <c r="P596" s="45"/>
      <c r="Q596" s="26"/>
      <c r="R596" s="32"/>
      <c r="S596" s="33">
        <f t="shared" si="355"/>
        <v>0</v>
      </c>
      <c r="T596" s="25"/>
      <c r="U596" s="45"/>
      <c r="V596" s="26"/>
      <c r="W596" s="32"/>
      <c r="X596" s="33">
        <f t="shared" si="356"/>
        <v>0</v>
      </c>
      <c r="Y596" s="11">
        <f t="shared" si="337"/>
        <v>0</v>
      </c>
    </row>
    <row r="597" spans="1:25" x14ac:dyDescent="0.15">
      <c r="A597" s="70" t="s">
        <v>108</v>
      </c>
      <c r="B597" s="25"/>
      <c r="C597" s="45"/>
      <c r="D597" s="26"/>
      <c r="E597" s="32">
        <v>1</v>
      </c>
      <c r="F597" s="33">
        <f t="shared" si="348"/>
        <v>1</v>
      </c>
      <c r="G597" s="25"/>
      <c r="H597" s="45"/>
      <c r="I597" s="26"/>
      <c r="J597" s="32">
        <v>1</v>
      </c>
      <c r="K597" s="33">
        <f t="shared" si="349"/>
        <v>1</v>
      </c>
      <c r="L597" s="11">
        <f t="shared" si="338"/>
        <v>2</v>
      </c>
      <c r="M597" s="85">
        <v>45462</v>
      </c>
      <c r="N597" s="50"/>
      <c r="O597" s="25"/>
      <c r="P597" s="45"/>
      <c r="Q597" s="26"/>
      <c r="R597" s="32"/>
      <c r="S597" s="33">
        <f t="shared" si="355"/>
        <v>0</v>
      </c>
      <c r="T597" s="25"/>
      <c r="U597" s="45"/>
      <c r="V597" s="26"/>
      <c r="W597" s="32"/>
      <c r="X597" s="33">
        <f t="shared" si="356"/>
        <v>0</v>
      </c>
      <c r="Y597" s="11">
        <f t="shared" si="337"/>
        <v>0</v>
      </c>
    </row>
    <row r="598" spans="1:25" x14ac:dyDescent="0.15">
      <c r="A598" s="70" t="s">
        <v>30</v>
      </c>
      <c r="B598" s="25">
        <v>1</v>
      </c>
      <c r="C598" s="45"/>
      <c r="D598" s="26"/>
      <c r="E598" s="32"/>
      <c r="F598" s="33">
        <f t="shared" si="348"/>
        <v>1</v>
      </c>
      <c r="G598" s="25"/>
      <c r="H598" s="45"/>
      <c r="I598" s="26"/>
      <c r="J598" s="32"/>
      <c r="K598" s="33">
        <f t="shared" si="349"/>
        <v>0</v>
      </c>
      <c r="L598" s="11">
        <f t="shared" si="338"/>
        <v>1</v>
      </c>
      <c r="M598" s="85">
        <v>45462</v>
      </c>
      <c r="N598" s="50"/>
      <c r="O598" s="25"/>
      <c r="P598" s="45"/>
      <c r="Q598" s="26"/>
      <c r="R598" s="32"/>
      <c r="S598" s="33">
        <f t="shared" si="355"/>
        <v>0</v>
      </c>
      <c r="T598" s="25"/>
      <c r="U598" s="45"/>
      <c r="V598" s="26"/>
      <c r="W598" s="32"/>
      <c r="X598" s="33">
        <f t="shared" si="356"/>
        <v>0</v>
      </c>
      <c r="Y598" s="11">
        <f t="shared" si="337"/>
        <v>0</v>
      </c>
    </row>
    <row r="599" spans="1:25" x14ac:dyDescent="0.15">
      <c r="A599" s="70" t="s">
        <v>108</v>
      </c>
      <c r="B599" s="25"/>
      <c r="C599" s="45"/>
      <c r="D599" s="26"/>
      <c r="E599" s="32"/>
      <c r="F599" s="33">
        <f t="shared" si="348"/>
        <v>0</v>
      </c>
      <c r="G599" s="25">
        <v>3</v>
      </c>
      <c r="H599" s="45"/>
      <c r="I599" s="26"/>
      <c r="J599" s="32"/>
      <c r="K599" s="33">
        <f t="shared" si="349"/>
        <v>3</v>
      </c>
      <c r="L599" s="11">
        <f t="shared" si="338"/>
        <v>3</v>
      </c>
      <c r="M599" s="85">
        <v>45463</v>
      </c>
      <c r="N599" s="12"/>
      <c r="O599" s="25"/>
      <c r="P599" s="45"/>
      <c r="Q599" s="26"/>
      <c r="R599" s="32"/>
      <c r="S599" s="33">
        <f t="shared" si="355"/>
        <v>0</v>
      </c>
      <c r="T599" s="25"/>
      <c r="U599" s="45"/>
      <c r="V599" s="26"/>
      <c r="W599" s="32"/>
      <c r="X599" s="33">
        <f t="shared" si="356"/>
        <v>0</v>
      </c>
      <c r="Y599" s="93">
        <f t="shared" si="337"/>
        <v>0</v>
      </c>
    </row>
    <row r="600" spans="1:25" x14ac:dyDescent="0.15">
      <c r="A600" s="70" t="s">
        <v>30</v>
      </c>
      <c r="B600" s="25"/>
      <c r="C600" s="45"/>
      <c r="D600" s="26"/>
      <c r="E600" s="32"/>
      <c r="F600" s="33">
        <f t="shared" si="348"/>
        <v>0</v>
      </c>
      <c r="G600" s="25"/>
      <c r="H600" s="45">
        <v>1</v>
      </c>
      <c r="I600" s="26"/>
      <c r="J600" s="32"/>
      <c r="K600" s="33">
        <f t="shared" si="349"/>
        <v>1</v>
      </c>
      <c r="L600" s="11">
        <f t="shared" si="338"/>
        <v>1</v>
      </c>
      <c r="M600" s="115">
        <v>45463</v>
      </c>
      <c r="N600" s="12"/>
      <c r="O600" s="25"/>
      <c r="P600" s="45"/>
      <c r="Q600" s="26"/>
      <c r="R600" s="32"/>
      <c r="S600" s="33">
        <f t="shared" si="355"/>
        <v>0</v>
      </c>
      <c r="T600" s="25"/>
      <c r="U600" s="45"/>
      <c r="V600" s="26"/>
      <c r="W600" s="32"/>
      <c r="X600" s="33">
        <f t="shared" si="356"/>
        <v>0</v>
      </c>
      <c r="Y600" s="93">
        <f t="shared" si="337"/>
        <v>0</v>
      </c>
    </row>
    <row r="601" spans="1:25" x14ac:dyDescent="0.15">
      <c r="A601" s="70" t="s">
        <v>30</v>
      </c>
      <c r="B601" s="25"/>
      <c r="C601" s="45">
        <v>1</v>
      </c>
      <c r="D601" s="26"/>
      <c r="E601" s="32"/>
      <c r="F601" s="33">
        <f t="shared" si="348"/>
        <v>1</v>
      </c>
      <c r="G601" s="25"/>
      <c r="H601" s="45"/>
      <c r="I601" s="26"/>
      <c r="J601" s="32"/>
      <c r="K601" s="33">
        <f t="shared" si="349"/>
        <v>0</v>
      </c>
      <c r="L601" s="11">
        <f t="shared" si="338"/>
        <v>1</v>
      </c>
      <c r="M601" s="85">
        <v>45464</v>
      </c>
      <c r="N601" s="50"/>
      <c r="O601" s="59"/>
      <c r="P601" s="60"/>
      <c r="Q601" s="61"/>
      <c r="R601" s="62"/>
      <c r="S601" s="63">
        <f t="shared" si="355"/>
        <v>0</v>
      </c>
      <c r="T601" s="59"/>
      <c r="U601" s="60"/>
      <c r="V601" s="61"/>
      <c r="W601" s="62"/>
      <c r="X601" s="63">
        <f t="shared" si="356"/>
        <v>0</v>
      </c>
      <c r="Y601" s="11">
        <f t="shared" si="337"/>
        <v>0</v>
      </c>
    </row>
    <row r="602" spans="1:25" x14ac:dyDescent="0.15">
      <c r="A602" s="70" t="s">
        <v>30</v>
      </c>
      <c r="B602" s="25">
        <v>1</v>
      </c>
      <c r="C602" s="45"/>
      <c r="D602" s="26">
        <v>1</v>
      </c>
      <c r="E602" s="32"/>
      <c r="F602" s="33">
        <f t="shared" si="348"/>
        <v>2</v>
      </c>
      <c r="G602" s="25">
        <v>1</v>
      </c>
      <c r="H602" s="45"/>
      <c r="I602" s="26"/>
      <c r="J602" s="32">
        <v>1</v>
      </c>
      <c r="K602" s="33">
        <f t="shared" si="349"/>
        <v>2</v>
      </c>
      <c r="L602" s="11">
        <f t="shared" si="338"/>
        <v>4</v>
      </c>
      <c r="M602" s="85">
        <v>45467</v>
      </c>
      <c r="N602" s="50"/>
      <c r="O602" s="59"/>
      <c r="P602" s="60"/>
      <c r="Q602" s="61"/>
      <c r="R602" s="62"/>
      <c r="S602" s="63">
        <f t="shared" si="355"/>
        <v>0</v>
      </c>
      <c r="T602" s="59"/>
      <c r="U602" s="60"/>
      <c r="V602" s="61"/>
      <c r="W602" s="62"/>
      <c r="X602" s="63">
        <f t="shared" si="356"/>
        <v>0</v>
      </c>
      <c r="Y602" s="11">
        <f t="shared" si="337"/>
        <v>0</v>
      </c>
    </row>
    <row r="603" spans="1:25" x14ac:dyDescent="0.15">
      <c r="A603" s="15" t="s">
        <v>425</v>
      </c>
      <c r="B603" s="25"/>
      <c r="C603" s="45">
        <v>1</v>
      </c>
      <c r="D603" s="26"/>
      <c r="E603" s="32"/>
      <c r="F603" s="33">
        <f t="shared" si="348"/>
        <v>1</v>
      </c>
      <c r="G603" s="25"/>
      <c r="H603" s="45">
        <v>1</v>
      </c>
      <c r="I603" s="26"/>
      <c r="J603" s="32"/>
      <c r="K603" s="33">
        <f t="shared" si="349"/>
        <v>1</v>
      </c>
      <c r="L603" s="93">
        <f t="shared" si="338"/>
        <v>2</v>
      </c>
      <c r="M603" s="85">
        <v>45470</v>
      </c>
      <c r="N603" s="50"/>
      <c r="O603" s="59"/>
      <c r="P603" s="60"/>
      <c r="Q603" s="61"/>
      <c r="R603" s="62"/>
      <c r="S603" s="63">
        <f t="shared" ref="S603:S604" si="357">SUM(O603:R603)</f>
        <v>0</v>
      </c>
      <c r="T603" s="59"/>
      <c r="U603" s="60"/>
      <c r="V603" s="61"/>
      <c r="W603" s="62"/>
      <c r="X603" s="63">
        <f t="shared" ref="X603:X604" si="358">SUM(T603:W603)</f>
        <v>0</v>
      </c>
      <c r="Y603" s="11">
        <f t="shared" ref="Y603:Y604" si="359">S603+X603</f>
        <v>0</v>
      </c>
    </row>
    <row r="604" spans="1:25" ht="14.25" thickBot="1" x14ac:dyDescent="0.2">
      <c r="A604" s="70" t="s">
        <v>30</v>
      </c>
      <c r="B604" s="55">
        <f>1+1</f>
        <v>2</v>
      </c>
      <c r="C604" s="56"/>
      <c r="D604" s="57"/>
      <c r="E604" s="58"/>
      <c r="F604" s="109">
        <f t="shared" si="348"/>
        <v>2</v>
      </c>
      <c r="G604" s="55">
        <v>2</v>
      </c>
      <c r="H604" s="56"/>
      <c r="I604" s="57">
        <v>1</v>
      </c>
      <c r="J604" s="58"/>
      <c r="K604" s="109">
        <f t="shared" si="349"/>
        <v>3</v>
      </c>
      <c r="L604" s="75">
        <f t="shared" si="338"/>
        <v>5</v>
      </c>
      <c r="M604" s="85">
        <v>45469</v>
      </c>
      <c r="N604" s="74"/>
      <c r="O604" s="55"/>
      <c r="P604" s="56"/>
      <c r="Q604" s="57"/>
      <c r="R604" s="58"/>
      <c r="S604" s="109">
        <f t="shared" si="357"/>
        <v>0</v>
      </c>
      <c r="T604" s="55"/>
      <c r="U604" s="56"/>
      <c r="V604" s="57"/>
      <c r="W604" s="58"/>
      <c r="X604" s="109">
        <f t="shared" si="358"/>
        <v>0</v>
      </c>
      <c r="Y604" s="107">
        <f t="shared" si="359"/>
        <v>0</v>
      </c>
    </row>
    <row r="605" spans="1:25" ht="14.25" thickBot="1" x14ac:dyDescent="0.2">
      <c r="A605" s="72" t="s">
        <v>10</v>
      </c>
      <c r="B605" s="36">
        <f>SUM(B580:B604)</f>
        <v>12</v>
      </c>
      <c r="C605" s="46">
        <f>SUM(C580:C604)</f>
        <v>10</v>
      </c>
      <c r="D605" s="37">
        <f>SUM(D580:D604)</f>
        <v>6</v>
      </c>
      <c r="E605" s="38">
        <f>SUM(E580:E604)</f>
        <v>9</v>
      </c>
      <c r="F605" s="71">
        <f>SUM(B605:E605)</f>
        <v>37</v>
      </c>
      <c r="G605" s="36">
        <f>SUM(G580:G604)</f>
        <v>9</v>
      </c>
      <c r="H605" s="46">
        <f>SUM(H580:H604)</f>
        <v>7</v>
      </c>
      <c r="I605" s="37">
        <f>SUM(I580:I604)</f>
        <v>6</v>
      </c>
      <c r="J605" s="38">
        <f>SUM(J580:J604)</f>
        <v>7</v>
      </c>
      <c r="K605" s="71">
        <f>SUM(G605:J605)</f>
        <v>29</v>
      </c>
      <c r="L605" s="75">
        <f t="shared" si="338"/>
        <v>66</v>
      </c>
      <c r="N605" s="72" t="s">
        <v>10</v>
      </c>
      <c r="O605" s="36">
        <f>SUM(O580:O604)</f>
        <v>10</v>
      </c>
      <c r="P605" s="46">
        <f>SUM(P580:P604)</f>
        <v>10</v>
      </c>
      <c r="Q605" s="37">
        <f>SUM(Q580:Q604)</f>
        <v>12</v>
      </c>
      <c r="R605" s="38">
        <f>SUM(R580:R604)</f>
        <v>15</v>
      </c>
      <c r="S605" s="71">
        <f t="shared" si="355"/>
        <v>47</v>
      </c>
      <c r="T605" s="36">
        <f>SUM(T580:T604)</f>
        <v>15</v>
      </c>
      <c r="U605" s="46">
        <f>SUM(U580:U604)</f>
        <v>17</v>
      </c>
      <c r="V605" s="37">
        <f>SUM(V580:V604)</f>
        <v>10</v>
      </c>
      <c r="W605" s="38">
        <f>SUM(W580:W604)</f>
        <v>7</v>
      </c>
      <c r="X605" s="71">
        <f t="shared" si="356"/>
        <v>49</v>
      </c>
      <c r="Y605" s="75">
        <f t="shared" si="337"/>
        <v>96</v>
      </c>
    </row>
    <row r="606" spans="1:25" ht="14.25" thickBot="1" x14ac:dyDescent="0.2">
      <c r="A606" s="21" t="s">
        <v>11</v>
      </c>
      <c r="B606" s="39">
        <f t="shared" ref="B606:K606" si="360">B579-B605</f>
        <v>9</v>
      </c>
      <c r="C606" s="47">
        <f t="shared" si="360"/>
        <v>7</v>
      </c>
      <c r="D606" s="40">
        <f t="shared" si="360"/>
        <v>10</v>
      </c>
      <c r="E606" s="41">
        <f t="shared" si="360"/>
        <v>8</v>
      </c>
      <c r="F606" s="54">
        <f t="shared" si="360"/>
        <v>34</v>
      </c>
      <c r="G606" s="39">
        <f t="shared" si="360"/>
        <v>7</v>
      </c>
      <c r="H606" s="47">
        <f t="shared" si="360"/>
        <v>7</v>
      </c>
      <c r="I606" s="40">
        <f t="shared" si="360"/>
        <v>9</v>
      </c>
      <c r="J606" s="41">
        <f t="shared" si="360"/>
        <v>13</v>
      </c>
      <c r="K606" s="54">
        <f t="shared" si="360"/>
        <v>36</v>
      </c>
      <c r="L606" s="20">
        <f t="shared" si="338"/>
        <v>70</v>
      </c>
      <c r="N606" s="16" t="s">
        <v>11</v>
      </c>
      <c r="O606" s="39">
        <f t="shared" ref="O606:X606" si="361">O579-O605</f>
        <v>554</v>
      </c>
      <c r="P606" s="47">
        <f t="shared" si="361"/>
        <v>508</v>
      </c>
      <c r="Q606" s="40">
        <f t="shared" si="361"/>
        <v>433</v>
      </c>
      <c r="R606" s="41">
        <f t="shared" si="361"/>
        <v>283</v>
      </c>
      <c r="S606" s="54">
        <f t="shared" si="361"/>
        <v>1778</v>
      </c>
      <c r="T606" s="39">
        <f t="shared" si="361"/>
        <v>486</v>
      </c>
      <c r="U606" s="47">
        <f t="shared" si="361"/>
        <v>584</v>
      </c>
      <c r="V606" s="40">
        <f t="shared" si="361"/>
        <v>459</v>
      </c>
      <c r="W606" s="41">
        <f t="shared" si="361"/>
        <v>258</v>
      </c>
      <c r="X606" s="54">
        <f t="shared" si="361"/>
        <v>1787</v>
      </c>
      <c r="Y606" s="20">
        <f t="shared" si="337"/>
        <v>3565</v>
      </c>
    </row>
    <row r="609" spans="1:28" ht="19.5" thickBot="1" x14ac:dyDescent="0.25">
      <c r="A609" s="2" t="s">
        <v>26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27</v>
      </c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8" ht="14.25" thickBot="1" x14ac:dyDescent="0.2">
      <c r="A610" s="5" t="s">
        <v>0</v>
      </c>
      <c r="B610" s="228" t="s">
        <v>19</v>
      </c>
      <c r="C610" s="229"/>
      <c r="D610" s="229"/>
      <c r="E610" s="229"/>
      <c r="F610" s="230"/>
      <c r="G610" s="231" t="s">
        <v>18</v>
      </c>
      <c r="H610" s="232"/>
      <c r="I610" s="232"/>
      <c r="J610" s="232"/>
      <c r="K610" s="233"/>
      <c r="L610" s="73" t="s">
        <v>1</v>
      </c>
      <c r="N610" s="5" t="s">
        <v>0</v>
      </c>
      <c r="O610" s="228" t="s">
        <v>19</v>
      </c>
      <c r="P610" s="229"/>
      <c r="Q610" s="229"/>
      <c r="R610" s="229"/>
      <c r="S610" s="230"/>
      <c r="T610" s="231" t="s">
        <v>18</v>
      </c>
      <c r="U610" s="232"/>
      <c r="V610" s="232"/>
      <c r="W610" s="232"/>
      <c r="X610" s="233"/>
      <c r="Y610" s="73" t="s">
        <v>1</v>
      </c>
    </row>
    <row r="611" spans="1:28" ht="14.25" thickBot="1" x14ac:dyDescent="0.2">
      <c r="A611" s="5" t="s">
        <v>2</v>
      </c>
      <c r="B611" s="3" t="s">
        <v>12</v>
      </c>
      <c r="C611" s="42" t="s">
        <v>13</v>
      </c>
      <c r="D611" s="4" t="s">
        <v>14</v>
      </c>
      <c r="E611" s="22" t="s">
        <v>15</v>
      </c>
      <c r="F611" s="30" t="s">
        <v>3</v>
      </c>
      <c r="G611" s="3" t="s">
        <v>12</v>
      </c>
      <c r="H611" s="42" t="s">
        <v>13</v>
      </c>
      <c r="I611" s="4" t="s">
        <v>14</v>
      </c>
      <c r="J611" s="22" t="s">
        <v>15</v>
      </c>
      <c r="K611" s="30" t="s">
        <v>3</v>
      </c>
      <c r="L611" s="74"/>
      <c r="N611" s="5" t="s">
        <v>2</v>
      </c>
      <c r="O611" s="64" t="s">
        <v>12</v>
      </c>
      <c r="P611" s="65" t="s">
        <v>13</v>
      </c>
      <c r="Q611" s="66" t="s">
        <v>14</v>
      </c>
      <c r="R611" s="67" t="s">
        <v>15</v>
      </c>
      <c r="S611" s="30" t="s">
        <v>3</v>
      </c>
      <c r="T611" s="3" t="s">
        <v>12</v>
      </c>
      <c r="U611" s="42" t="s">
        <v>13</v>
      </c>
      <c r="V611" s="4" t="s">
        <v>14</v>
      </c>
      <c r="W611" s="22" t="s">
        <v>15</v>
      </c>
      <c r="X611" s="30" t="s">
        <v>3</v>
      </c>
      <c r="Y611" s="74"/>
    </row>
    <row r="612" spans="1:28" ht="14.25" thickBot="1" x14ac:dyDescent="0.2">
      <c r="A612" s="21" t="s">
        <v>16</v>
      </c>
      <c r="B612" s="39">
        <f>B606</f>
        <v>9</v>
      </c>
      <c r="C612" s="40">
        <f>C606</f>
        <v>7</v>
      </c>
      <c r="D612" s="40">
        <f>D606</f>
        <v>10</v>
      </c>
      <c r="E612" s="41">
        <f>E606</f>
        <v>8</v>
      </c>
      <c r="F612" s="122">
        <f>SUM(B612:E612)</f>
        <v>34</v>
      </c>
      <c r="G612" s="39">
        <f>G606</f>
        <v>7</v>
      </c>
      <c r="H612" s="40">
        <f>H606</f>
        <v>7</v>
      </c>
      <c r="I612" s="40">
        <f>I606</f>
        <v>9</v>
      </c>
      <c r="J612" s="41">
        <f>J606</f>
        <v>13</v>
      </c>
      <c r="K612" s="123">
        <f>SUM(G612:J612)</f>
        <v>36</v>
      </c>
      <c r="L612" s="20">
        <f>F612+K612</f>
        <v>70</v>
      </c>
      <c r="N612" s="21" t="s">
        <v>16</v>
      </c>
      <c r="O612" s="39">
        <f>O606</f>
        <v>554</v>
      </c>
      <c r="P612" s="40">
        <f>P606</f>
        <v>508</v>
      </c>
      <c r="Q612" s="40">
        <f t="shared" ref="Q612:R612" si="362">Q606</f>
        <v>433</v>
      </c>
      <c r="R612" s="88">
        <f t="shared" si="362"/>
        <v>283</v>
      </c>
      <c r="S612" s="123">
        <f>SUM(O612:R612)</f>
        <v>1778</v>
      </c>
      <c r="T612" s="39">
        <f>T606</f>
        <v>486</v>
      </c>
      <c r="U612" s="40">
        <f>U606</f>
        <v>584</v>
      </c>
      <c r="V612" s="40">
        <f>V606</f>
        <v>459</v>
      </c>
      <c r="W612" s="41">
        <f>W606</f>
        <v>258</v>
      </c>
      <c r="X612" s="123">
        <f>SUM(T612:W612)</f>
        <v>1787</v>
      </c>
      <c r="Y612" s="20">
        <f t="shared" ref="Y612:Y644" si="363">S612+X612</f>
        <v>3565</v>
      </c>
    </row>
    <row r="613" spans="1:28" x14ac:dyDescent="0.15">
      <c r="A613" s="70" t="s">
        <v>5</v>
      </c>
      <c r="B613" s="6">
        <v>10</v>
      </c>
      <c r="C613" s="29">
        <v>10</v>
      </c>
      <c r="D613" s="7">
        <v>5</v>
      </c>
      <c r="E613" s="8">
        <v>5</v>
      </c>
      <c r="F613" s="9">
        <f t="shared" ref="F613:F614" si="364">SUM(B613:E613)</f>
        <v>30</v>
      </c>
      <c r="G613" s="29">
        <v>10</v>
      </c>
      <c r="H613" s="29">
        <v>10</v>
      </c>
      <c r="I613" s="7">
        <v>5</v>
      </c>
      <c r="J613" s="8">
        <v>5</v>
      </c>
      <c r="K613" s="9">
        <f t="shared" ref="K613:K614" si="365">SUM(G613:J613)</f>
        <v>30</v>
      </c>
      <c r="L613" s="11">
        <f t="shared" ref="L613:L614" si="366">F613+K613</f>
        <v>60</v>
      </c>
      <c r="M613" s="85">
        <v>45479</v>
      </c>
      <c r="N613" s="13" t="s">
        <v>17</v>
      </c>
      <c r="O613" s="25"/>
      <c r="P613" s="45"/>
      <c r="Q613" s="26"/>
      <c r="R613" s="32"/>
      <c r="S613" s="68">
        <f t="shared" ref="S613:S614" si="367">SUM(O613:R613)</f>
        <v>0</v>
      </c>
      <c r="T613" s="45"/>
      <c r="U613" s="45"/>
      <c r="V613" s="26"/>
      <c r="W613" s="48"/>
      <c r="X613" s="9">
        <f t="shared" ref="X613:X614" si="368">SUM(T613:W613)</f>
        <v>0</v>
      </c>
      <c r="Y613" s="11">
        <f t="shared" si="363"/>
        <v>0</v>
      </c>
    </row>
    <row r="614" spans="1:28" x14ac:dyDescent="0.15">
      <c r="A614" s="70" t="s">
        <v>6</v>
      </c>
      <c r="B614" s="6"/>
      <c r="C614" s="29">
        <v>3</v>
      </c>
      <c r="D614" s="7">
        <v>3</v>
      </c>
      <c r="E614" s="8">
        <v>3</v>
      </c>
      <c r="F614" s="9">
        <f t="shared" si="364"/>
        <v>9</v>
      </c>
      <c r="G614" s="29"/>
      <c r="H614" s="29">
        <v>15</v>
      </c>
      <c r="I614" s="7">
        <v>3</v>
      </c>
      <c r="J614" s="8"/>
      <c r="K614" s="9">
        <f t="shared" si="365"/>
        <v>18</v>
      </c>
      <c r="L614" s="11">
        <f t="shared" si="366"/>
        <v>27</v>
      </c>
      <c r="M614" s="85">
        <v>45511</v>
      </c>
      <c r="N614" s="13" t="s">
        <v>5</v>
      </c>
      <c r="O614" s="25"/>
      <c r="P614" s="45"/>
      <c r="Q614" s="26"/>
      <c r="R614" s="32"/>
      <c r="S614" s="68">
        <f t="shared" si="367"/>
        <v>0</v>
      </c>
      <c r="T614" s="45"/>
      <c r="U614" s="45"/>
      <c r="V614" s="26"/>
      <c r="W614" s="48"/>
      <c r="X614" s="9">
        <f t="shared" si="368"/>
        <v>0</v>
      </c>
      <c r="Y614" s="11">
        <f t="shared" si="363"/>
        <v>0</v>
      </c>
    </row>
    <row r="615" spans="1:28" x14ac:dyDescent="0.15">
      <c r="A615" s="70" t="s">
        <v>7</v>
      </c>
      <c r="B615" s="6"/>
      <c r="C615" s="29"/>
      <c r="D615" s="7"/>
      <c r="E615" s="8"/>
      <c r="F615" s="9">
        <f t="shared" ref="F615:F616" si="369">SUM(B615:E615)</f>
        <v>0</v>
      </c>
      <c r="G615" s="29"/>
      <c r="H615" s="29"/>
      <c r="I615" s="7"/>
      <c r="J615" s="8"/>
      <c r="K615" s="9">
        <f t="shared" ref="K615:K616" si="370">SUM(G615:J615)</f>
        <v>0</v>
      </c>
      <c r="L615" s="11">
        <f t="shared" ref="L615:L644" si="371">F615+K615</f>
        <v>0</v>
      </c>
      <c r="M615" s="85"/>
      <c r="N615" s="13" t="s">
        <v>6</v>
      </c>
      <c r="O615" s="25"/>
      <c r="P615" s="45"/>
      <c r="Q615" s="26"/>
      <c r="R615" s="32"/>
      <c r="S615" s="68">
        <f>SUM(O615:R615)</f>
        <v>0</v>
      </c>
      <c r="T615" s="45"/>
      <c r="U615" s="45"/>
      <c r="V615" s="26"/>
      <c r="W615" s="48"/>
      <c r="X615" s="9">
        <f>SUM(T615:W615)</f>
        <v>0</v>
      </c>
      <c r="Y615" s="11">
        <f t="shared" si="363"/>
        <v>0</v>
      </c>
    </row>
    <row r="616" spans="1:28" ht="14.25" thickBot="1" x14ac:dyDescent="0.2">
      <c r="A616" s="70" t="s">
        <v>8</v>
      </c>
      <c r="B616" s="125"/>
      <c r="C616" s="126"/>
      <c r="D616" s="127"/>
      <c r="E616" s="128"/>
      <c r="F616" s="129">
        <f t="shared" si="369"/>
        <v>0</v>
      </c>
      <c r="G616" s="126"/>
      <c r="H616" s="126"/>
      <c r="I616" s="127"/>
      <c r="J616" s="128"/>
      <c r="K616" s="129">
        <f t="shared" si="370"/>
        <v>0</v>
      </c>
      <c r="L616" s="14">
        <f t="shared" si="371"/>
        <v>0</v>
      </c>
      <c r="M616" s="85"/>
      <c r="N616" s="13" t="s">
        <v>7</v>
      </c>
      <c r="O616" s="55"/>
      <c r="P616" s="56"/>
      <c r="Q616" s="57"/>
      <c r="R616" s="58"/>
      <c r="S616" s="69">
        <f>SUM(O616:R616)</f>
        <v>0</v>
      </c>
      <c r="T616" s="45"/>
      <c r="U616" s="45"/>
      <c r="V616" s="26"/>
      <c r="W616" s="48"/>
      <c r="X616" s="10">
        <f>SUM(T616:W616)</f>
        <v>0</v>
      </c>
      <c r="Y616" s="14">
        <f t="shared" si="363"/>
        <v>0</v>
      </c>
    </row>
    <row r="617" spans="1:28" ht="14.25" thickBot="1" x14ac:dyDescent="0.2">
      <c r="A617" s="21" t="s">
        <v>9</v>
      </c>
      <c r="B617" s="130">
        <f t="shared" ref="B617:K617" si="372">SUM(B612:B616)</f>
        <v>19</v>
      </c>
      <c r="C617" s="131">
        <f t="shared" si="372"/>
        <v>20</v>
      </c>
      <c r="D617" s="132">
        <f t="shared" si="372"/>
        <v>18</v>
      </c>
      <c r="E617" s="133">
        <f t="shared" si="372"/>
        <v>16</v>
      </c>
      <c r="F617" s="123">
        <f t="shared" si="372"/>
        <v>73</v>
      </c>
      <c r="G617" s="130">
        <f t="shared" si="372"/>
        <v>17</v>
      </c>
      <c r="H617" s="131">
        <f t="shared" si="372"/>
        <v>32</v>
      </c>
      <c r="I617" s="132">
        <f t="shared" si="372"/>
        <v>17</v>
      </c>
      <c r="J617" s="133">
        <f t="shared" si="372"/>
        <v>18</v>
      </c>
      <c r="K617" s="123">
        <f t="shared" si="372"/>
        <v>84</v>
      </c>
      <c r="L617" s="20">
        <f t="shared" si="371"/>
        <v>157</v>
      </c>
      <c r="N617" s="16" t="s">
        <v>9</v>
      </c>
      <c r="O617" s="39">
        <f t="shared" ref="O617:X617" si="373">SUM(O612:O616)</f>
        <v>554</v>
      </c>
      <c r="P617" s="47">
        <f t="shared" si="373"/>
        <v>508</v>
      </c>
      <c r="Q617" s="40">
        <f t="shared" si="373"/>
        <v>433</v>
      </c>
      <c r="R617" s="88">
        <f t="shared" si="373"/>
        <v>283</v>
      </c>
      <c r="S617" s="89">
        <f t="shared" si="373"/>
        <v>1778</v>
      </c>
      <c r="T617" s="39">
        <f t="shared" si="373"/>
        <v>486</v>
      </c>
      <c r="U617" s="47">
        <f t="shared" si="373"/>
        <v>584</v>
      </c>
      <c r="V617" s="40">
        <f t="shared" si="373"/>
        <v>459</v>
      </c>
      <c r="W617" s="88">
        <f t="shared" si="373"/>
        <v>258</v>
      </c>
      <c r="X617" s="89">
        <f t="shared" si="373"/>
        <v>1787</v>
      </c>
      <c r="Y617" s="49">
        <f t="shared" si="363"/>
        <v>3565</v>
      </c>
    </row>
    <row r="618" spans="1:28" x14ac:dyDescent="0.15">
      <c r="A618" s="70" t="s">
        <v>30</v>
      </c>
      <c r="B618" s="25"/>
      <c r="C618" s="45"/>
      <c r="D618" s="26">
        <v>2</v>
      </c>
      <c r="E618" s="32"/>
      <c r="F618" s="33">
        <f t="shared" ref="F618:F625" si="374">SUM(B618:E618)</f>
        <v>2</v>
      </c>
      <c r="G618" s="25"/>
      <c r="H618" s="45">
        <v>1</v>
      </c>
      <c r="I618" s="26"/>
      <c r="J618" s="32"/>
      <c r="K618" s="33">
        <f t="shared" ref="K618:K625" si="375">SUM(G618:J618)</f>
        <v>1</v>
      </c>
      <c r="L618" s="11">
        <f t="shared" ref="L618:L625" si="376">F618+K618</f>
        <v>3</v>
      </c>
      <c r="M618" s="85">
        <v>45470</v>
      </c>
      <c r="N618" s="13" t="s">
        <v>426</v>
      </c>
      <c r="O618" s="25"/>
      <c r="P618" s="45"/>
      <c r="Q618" s="26"/>
      <c r="R618" s="32"/>
      <c r="S618" s="33">
        <f t="shared" ref="S618:S619" si="377">SUM(O618:R618)</f>
        <v>0</v>
      </c>
      <c r="T618" s="25"/>
      <c r="U618" s="45"/>
      <c r="V618" s="26"/>
      <c r="W618" s="32">
        <v>2</v>
      </c>
      <c r="X618" s="33">
        <f t="shared" ref="X618:X619" si="378">SUM(T618:W618)</f>
        <v>2</v>
      </c>
      <c r="Y618" s="11">
        <f t="shared" ref="Y618:Y619" si="379">S618+X618</f>
        <v>2</v>
      </c>
      <c r="Z618" s="85">
        <v>45490</v>
      </c>
    </row>
    <row r="619" spans="1:28" x14ac:dyDescent="0.15">
      <c r="A619" s="70" t="s">
        <v>30</v>
      </c>
      <c r="B619" s="25"/>
      <c r="C619" s="45"/>
      <c r="D619" s="26"/>
      <c r="E619" s="32">
        <v>1</v>
      </c>
      <c r="F619" s="33">
        <f t="shared" si="374"/>
        <v>1</v>
      </c>
      <c r="G619" s="25"/>
      <c r="H619" s="45"/>
      <c r="I619" s="26"/>
      <c r="J619" s="32"/>
      <c r="K619" s="33">
        <f t="shared" si="375"/>
        <v>0</v>
      </c>
      <c r="L619" s="11">
        <f t="shared" si="376"/>
        <v>1</v>
      </c>
      <c r="M619" s="85">
        <v>45471</v>
      </c>
      <c r="N619" s="50" t="s">
        <v>28</v>
      </c>
      <c r="O619" s="25"/>
      <c r="P619" s="45">
        <v>3</v>
      </c>
      <c r="Q619" s="26">
        <v>3</v>
      </c>
      <c r="R619" s="32">
        <v>3</v>
      </c>
      <c r="S619" s="33">
        <f t="shared" si="377"/>
        <v>9</v>
      </c>
      <c r="T619" s="25"/>
      <c r="U619" s="45">
        <v>15</v>
      </c>
      <c r="V619" s="26">
        <v>3</v>
      </c>
      <c r="W619" s="32"/>
      <c r="X619" s="33">
        <f t="shared" si="378"/>
        <v>18</v>
      </c>
      <c r="Y619" s="11">
        <f t="shared" si="379"/>
        <v>27</v>
      </c>
      <c r="Z619" s="85">
        <v>45511</v>
      </c>
      <c r="AA619" s="51"/>
      <c r="AB619" s="51"/>
    </row>
    <row r="620" spans="1:28" x14ac:dyDescent="0.15">
      <c r="A620" s="70" t="s">
        <v>30</v>
      </c>
      <c r="B620" s="25"/>
      <c r="C620" s="45"/>
      <c r="D620" s="26"/>
      <c r="E620" s="32">
        <v>1</v>
      </c>
      <c r="F620" s="33">
        <f t="shared" si="374"/>
        <v>1</v>
      </c>
      <c r="G620" s="25"/>
      <c r="H620" s="45">
        <v>1</v>
      </c>
      <c r="I620" s="26"/>
      <c r="J620" s="32"/>
      <c r="K620" s="33">
        <f t="shared" si="375"/>
        <v>1</v>
      </c>
      <c r="L620" s="11">
        <f t="shared" si="376"/>
        <v>2</v>
      </c>
      <c r="M620" s="85">
        <v>45472</v>
      </c>
      <c r="N620" s="50"/>
      <c r="O620" s="25"/>
      <c r="P620" s="45"/>
      <c r="Q620" s="26"/>
      <c r="R620" s="32"/>
      <c r="S620" s="33">
        <f t="shared" ref="S620:S643" si="380">SUM(O620:R620)</f>
        <v>0</v>
      </c>
      <c r="T620" s="25"/>
      <c r="U620" s="45"/>
      <c r="V620" s="26"/>
      <c r="W620" s="32"/>
      <c r="X620" s="33">
        <f t="shared" ref="X620:X643" si="381">SUM(T620:W620)</f>
        <v>0</v>
      </c>
      <c r="Y620" s="11">
        <f t="shared" si="363"/>
        <v>0</v>
      </c>
      <c r="Z620" s="159"/>
      <c r="AA620" s="51"/>
      <c r="AB620" s="51"/>
    </row>
    <row r="621" spans="1:28" x14ac:dyDescent="0.15">
      <c r="A621" s="70" t="s">
        <v>30</v>
      </c>
      <c r="B621" s="25">
        <v>1</v>
      </c>
      <c r="C621" s="45"/>
      <c r="D621" s="26">
        <v>1</v>
      </c>
      <c r="E621" s="32"/>
      <c r="F621" s="33">
        <f t="shared" si="374"/>
        <v>2</v>
      </c>
      <c r="G621" s="25">
        <v>2</v>
      </c>
      <c r="H621" s="45"/>
      <c r="I621" s="26"/>
      <c r="J621" s="32">
        <v>1</v>
      </c>
      <c r="K621" s="33">
        <f t="shared" si="375"/>
        <v>3</v>
      </c>
      <c r="L621" s="11">
        <f t="shared" si="376"/>
        <v>5</v>
      </c>
      <c r="M621" s="85">
        <v>45474</v>
      </c>
      <c r="N621" s="50"/>
      <c r="O621" s="25"/>
      <c r="P621" s="45"/>
      <c r="Q621" s="26"/>
      <c r="R621" s="32"/>
      <c r="S621" s="33">
        <f t="shared" si="380"/>
        <v>0</v>
      </c>
      <c r="T621" s="25"/>
      <c r="U621" s="45"/>
      <c r="V621" s="26"/>
      <c r="W621" s="32"/>
      <c r="X621" s="33">
        <f t="shared" si="381"/>
        <v>0</v>
      </c>
      <c r="Y621" s="11">
        <f t="shared" si="363"/>
        <v>0</v>
      </c>
      <c r="Z621" s="159"/>
      <c r="AA621" s="51"/>
      <c r="AB621" s="51"/>
    </row>
    <row r="622" spans="1:28" x14ac:dyDescent="0.15">
      <c r="A622" s="70" t="s">
        <v>30</v>
      </c>
      <c r="B622" s="25"/>
      <c r="C622" s="45">
        <v>1</v>
      </c>
      <c r="D622" s="26"/>
      <c r="E622" s="32"/>
      <c r="F622" s="33">
        <f t="shared" si="374"/>
        <v>1</v>
      </c>
      <c r="G622" s="25"/>
      <c r="H622" s="45"/>
      <c r="I622" s="26">
        <v>1</v>
      </c>
      <c r="J622" s="32"/>
      <c r="K622" s="33">
        <f t="shared" si="375"/>
        <v>1</v>
      </c>
      <c r="L622" s="11">
        <f t="shared" si="376"/>
        <v>2</v>
      </c>
      <c r="M622" s="85">
        <v>45475</v>
      </c>
      <c r="N622" s="50"/>
      <c r="O622" s="25"/>
      <c r="P622" s="45"/>
      <c r="Q622" s="26"/>
      <c r="R622" s="32"/>
      <c r="S622" s="33">
        <f t="shared" si="380"/>
        <v>0</v>
      </c>
      <c r="T622" s="25"/>
      <c r="U622" s="45"/>
      <c r="V622" s="26"/>
      <c r="W622" s="32"/>
      <c r="X622" s="33">
        <f t="shared" si="381"/>
        <v>0</v>
      </c>
      <c r="Y622" s="11">
        <f t="shared" si="363"/>
        <v>0</v>
      </c>
    </row>
    <row r="623" spans="1:28" x14ac:dyDescent="0.15">
      <c r="A623" s="70" t="s">
        <v>30</v>
      </c>
      <c r="B623" s="25"/>
      <c r="C623" s="45"/>
      <c r="D623" s="26"/>
      <c r="E623" s="32"/>
      <c r="F623" s="33">
        <f t="shared" si="374"/>
        <v>0</v>
      </c>
      <c r="G623" s="25"/>
      <c r="H623" s="45"/>
      <c r="I623" s="26"/>
      <c r="J623" s="32">
        <v>3</v>
      </c>
      <c r="K623" s="33">
        <f t="shared" si="375"/>
        <v>3</v>
      </c>
      <c r="L623" s="11">
        <f t="shared" si="376"/>
        <v>3</v>
      </c>
      <c r="M623" s="85">
        <v>45477</v>
      </c>
      <c r="N623" s="50"/>
      <c r="O623" s="25"/>
      <c r="P623" s="45"/>
      <c r="Q623" s="26"/>
      <c r="R623" s="32"/>
      <c r="S623" s="33">
        <f t="shared" si="380"/>
        <v>0</v>
      </c>
      <c r="T623" s="25"/>
      <c r="U623" s="45"/>
      <c r="V623" s="26"/>
      <c r="W623" s="32"/>
      <c r="X623" s="33">
        <f t="shared" si="381"/>
        <v>0</v>
      </c>
      <c r="Y623" s="11">
        <f t="shared" si="363"/>
        <v>0</v>
      </c>
    </row>
    <row r="624" spans="1:28" x14ac:dyDescent="0.15">
      <c r="A624" s="70" t="s">
        <v>30</v>
      </c>
      <c r="B624" s="25"/>
      <c r="C624" s="45">
        <v>2</v>
      </c>
      <c r="D624" s="26">
        <v>1</v>
      </c>
      <c r="E624" s="32"/>
      <c r="F624" s="33">
        <f t="shared" si="374"/>
        <v>3</v>
      </c>
      <c r="G624" s="25"/>
      <c r="H624" s="45"/>
      <c r="I624" s="26">
        <v>1</v>
      </c>
      <c r="J624" s="32">
        <v>1</v>
      </c>
      <c r="K624" s="33">
        <f t="shared" si="375"/>
        <v>2</v>
      </c>
      <c r="L624" s="11">
        <f t="shared" si="376"/>
        <v>5</v>
      </c>
      <c r="M624" s="85">
        <v>45478</v>
      </c>
      <c r="N624" s="50"/>
      <c r="O624" s="25"/>
      <c r="P624" s="45"/>
      <c r="Q624" s="26"/>
      <c r="R624" s="32"/>
      <c r="S624" s="33">
        <f t="shared" si="380"/>
        <v>0</v>
      </c>
      <c r="T624" s="25"/>
      <c r="U624" s="45"/>
      <c r="V624" s="26"/>
      <c r="W624" s="32"/>
      <c r="X624" s="33">
        <f t="shared" si="381"/>
        <v>0</v>
      </c>
      <c r="Y624" s="11">
        <f t="shared" si="363"/>
        <v>0</v>
      </c>
    </row>
    <row r="625" spans="1:25" x14ac:dyDescent="0.15">
      <c r="A625" s="70" t="s">
        <v>30</v>
      </c>
      <c r="B625" s="25"/>
      <c r="C625" s="45"/>
      <c r="D625" s="26"/>
      <c r="E625" s="32"/>
      <c r="F625" s="33">
        <f t="shared" si="374"/>
        <v>0</v>
      </c>
      <c r="G625" s="25"/>
      <c r="H625" s="45">
        <v>2</v>
      </c>
      <c r="I625" s="26"/>
      <c r="J625" s="32"/>
      <c r="K625" s="33">
        <f t="shared" si="375"/>
        <v>2</v>
      </c>
      <c r="L625" s="11">
        <f t="shared" si="376"/>
        <v>2</v>
      </c>
      <c r="M625" s="85">
        <v>45481</v>
      </c>
      <c r="N625" s="50"/>
      <c r="O625" s="25"/>
      <c r="P625" s="45"/>
      <c r="Q625" s="26"/>
      <c r="R625" s="32"/>
      <c r="S625" s="33">
        <f t="shared" si="380"/>
        <v>0</v>
      </c>
      <c r="T625" s="25"/>
      <c r="U625" s="45"/>
      <c r="V625" s="26"/>
      <c r="W625" s="32"/>
      <c r="X625" s="33">
        <f t="shared" si="381"/>
        <v>0</v>
      </c>
      <c r="Y625" s="11">
        <f t="shared" si="363"/>
        <v>0</v>
      </c>
    </row>
    <row r="626" spans="1:25" x14ac:dyDescent="0.15">
      <c r="A626" s="70" t="s">
        <v>30</v>
      </c>
      <c r="B626" s="25"/>
      <c r="C626" s="45"/>
      <c r="D626" s="26"/>
      <c r="E626" s="32">
        <v>1</v>
      </c>
      <c r="F626" s="33">
        <f t="shared" ref="F626:F642" si="382">SUM(B626:E626)</f>
        <v>1</v>
      </c>
      <c r="G626" s="25"/>
      <c r="H626" s="45"/>
      <c r="I626" s="26"/>
      <c r="J626" s="32"/>
      <c r="K626" s="33">
        <f t="shared" ref="K626:K642" si="383">SUM(G626:J626)</f>
        <v>0</v>
      </c>
      <c r="L626" s="11">
        <f t="shared" si="371"/>
        <v>1</v>
      </c>
      <c r="M626" s="85">
        <v>45482</v>
      </c>
      <c r="N626" s="50"/>
      <c r="O626" s="25"/>
      <c r="P626" s="45"/>
      <c r="Q626" s="26"/>
      <c r="R626" s="32"/>
      <c r="S626" s="33">
        <f t="shared" si="380"/>
        <v>0</v>
      </c>
      <c r="T626" s="25"/>
      <c r="U626" s="45"/>
      <c r="V626" s="26"/>
      <c r="W626" s="32"/>
      <c r="X626" s="33">
        <f t="shared" si="381"/>
        <v>0</v>
      </c>
      <c r="Y626" s="11">
        <f t="shared" si="363"/>
        <v>0</v>
      </c>
    </row>
    <row r="627" spans="1:25" x14ac:dyDescent="0.15">
      <c r="A627" s="70" t="s">
        <v>30</v>
      </c>
      <c r="B627" s="25"/>
      <c r="C627" s="45">
        <v>1</v>
      </c>
      <c r="D627" s="26"/>
      <c r="E627" s="32"/>
      <c r="F627" s="33">
        <f t="shared" si="382"/>
        <v>1</v>
      </c>
      <c r="G627" s="25"/>
      <c r="H627" s="45"/>
      <c r="I627" s="26"/>
      <c r="J627" s="32"/>
      <c r="K627" s="33">
        <f t="shared" si="383"/>
        <v>0</v>
      </c>
      <c r="L627" s="11">
        <f t="shared" si="371"/>
        <v>1</v>
      </c>
      <c r="M627" s="85">
        <v>45483</v>
      </c>
      <c r="N627" s="50"/>
      <c r="O627" s="25"/>
      <c r="P627" s="45"/>
      <c r="Q627" s="26"/>
      <c r="R627" s="32"/>
      <c r="S627" s="33">
        <f t="shared" si="380"/>
        <v>0</v>
      </c>
      <c r="T627" s="25"/>
      <c r="U627" s="45"/>
      <c r="V627" s="26"/>
      <c r="W627" s="32"/>
      <c r="X627" s="33">
        <f t="shared" si="381"/>
        <v>0</v>
      </c>
      <c r="Y627" s="11">
        <f t="shared" si="363"/>
        <v>0</v>
      </c>
    </row>
    <row r="628" spans="1:25" x14ac:dyDescent="0.15">
      <c r="A628" s="70" t="s">
        <v>30</v>
      </c>
      <c r="B628" s="25"/>
      <c r="C628" s="45">
        <v>2</v>
      </c>
      <c r="D628" s="26"/>
      <c r="E628" s="32">
        <v>1</v>
      </c>
      <c r="F628" s="33">
        <f t="shared" si="382"/>
        <v>3</v>
      </c>
      <c r="G628" s="25"/>
      <c r="H628" s="45">
        <v>1</v>
      </c>
      <c r="I628" s="26"/>
      <c r="J628" s="32"/>
      <c r="K628" s="33">
        <f t="shared" si="383"/>
        <v>1</v>
      </c>
      <c r="L628" s="11">
        <f t="shared" si="371"/>
        <v>4</v>
      </c>
      <c r="M628" s="85">
        <v>45484</v>
      </c>
      <c r="N628" s="50"/>
      <c r="O628" s="25"/>
      <c r="P628" s="45"/>
      <c r="Q628" s="26"/>
      <c r="R628" s="32"/>
      <c r="S628" s="33">
        <f t="shared" si="380"/>
        <v>0</v>
      </c>
      <c r="T628" s="25"/>
      <c r="U628" s="45"/>
      <c r="V628" s="26"/>
      <c r="W628" s="32"/>
      <c r="X628" s="33">
        <f t="shared" si="381"/>
        <v>0</v>
      </c>
      <c r="Y628" s="11">
        <f t="shared" si="363"/>
        <v>0</v>
      </c>
    </row>
    <row r="629" spans="1:25" x14ac:dyDescent="0.15">
      <c r="A629" s="70" t="s">
        <v>30</v>
      </c>
      <c r="B629" s="25">
        <v>1</v>
      </c>
      <c r="C629" s="45"/>
      <c r="D629" s="26">
        <v>1</v>
      </c>
      <c r="E629" s="32"/>
      <c r="F629" s="33">
        <f t="shared" si="382"/>
        <v>2</v>
      </c>
      <c r="G629" s="25"/>
      <c r="H629" s="45"/>
      <c r="I629" s="26"/>
      <c r="J629" s="32"/>
      <c r="K629" s="33">
        <f t="shared" si="383"/>
        <v>0</v>
      </c>
      <c r="L629" s="11">
        <f t="shared" si="371"/>
        <v>2</v>
      </c>
      <c r="M629" s="85">
        <v>45489</v>
      </c>
      <c r="N629" s="50"/>
      <c r="O629" s="25"/>
      <c r="P629" s="45"/>
      <c r="Q629" s="26"/>
      <c r="R629" s="32"/>
      <c r="S629" s="33">
        <f t="shared" si="380"/>
        <v>0</v>
      </c>
      <c r="T629" s="25"/>
      <c r="U629" s="45"/>
      <c r="V629" s="26"/>
      <c r="W629" s="32"/>
      <c r="X629" s="33">
        <f t="shared" si="381"/>
        <v>0</v>
      </c>
      <c r="Y629" s="11">
        <f t="shared" si="363"/>
        <v>0</v>
      </c>
    </row>
    <row r="630" spans="1:25" x14ac:dyDescent="0.15">
      <c r="A630" s="70" t="s">
        <v>30</v>
      </c>
      <c r="B630" s="25">
        <v>1</v>
      </c>
      <c r="C630" s="45"/>
      <c r="D630" s="26"/>
      <c r="E630" s="32"/>
      <c r="F630" s="33">
        <f t="shared" si="382"/>
        <v>1</v>
      </c>
      <c r="G630" s="25">
        <v>1</v>
      </c>
      <c r="H630" s="45"/>
      <c r="I630" s="26"/>
      <c r="J630" s="32"/>
      <c r="K630" s="33">
        <f t="shared" si="383"/>
        <v>1</v>
      </c>
      <c r="L630" s="11">
        <f t="shared" si="371"/>
        <v>2</v>
      </c>
      <c r="M630" s="85">
        <v>45493</v>
      </c>
      <c r="N630" s="50"/>
      <c r="O630" s="25"/>
      <c r="P630" s="45"/>
      <c r="Q630" s="26"/>
      <c r="R630" s="32"/>
      <c r="S630" s="33">
        <f t="shared" si="380"/>
        <v>0</v>
      </c>
      <c r="T630" s="25"/>
      <c r="U630" s="45"/>
      <c r="V630" s="26"/>
      <c r="W630" s="32"/>
      <c r="X630" s="33">
        <f t="shared" si="381"/>
        <v>0</v>
      </c>
      <c r="Y630" s="11">
        <f t="shared" si="363"/>
        <v>0</v>
      </c>
    </row>
    <row r="631" spans="1:25" x14ac:dyDescent="0.15">
      <c r="A631" s="70" t="s">
        <v>30</v>
      </c>
      <c r="B631" s="25"/>
      <c r="C631" s="45"/>
      <c r="D631" s="26">
        <v>1</v>
      </c>
      <c r="E631" s="32">
        <v>1</v>
      </c>
      <c r="F631" s="33">
        <f t="shared" si="382"/>
        <v>2</v>
      </c>
      <c r="G631" s="25"/>
      <c r="H631" s="45">
        <v>1</v>
      </c>
      <c r="I631" s="26"/>
      <c r="J631" s="32"/>
      <c r="K631" s="33">
        <f t="shared" si="383"/>
        <v>1</v>
      </c>
      <c r="L631" s="11">
        <f t="shared" si="371"/>
        <v>3</v>
      </c>
      <c r="M631" s="85">
        <v>45495</v>
      </c>
      <c r="N631" s="50"/>
      <c r="O631" s="25"/>
      <c r="P631" s="45"/>
      <c r="Q631" s="26"/>
      <c r="R631" s="32"/>
      <c r="S631" s="33">
        <f t="shared" si="380"/>
        <v>0</v>
      </c>
      <c r="T631" s="25"/>
      <c r="U631" s="45"/>
      <c r="V631" s="26"/>
      <c r="W631" s="32"/>
      <c r="X631" s="33">
        <f t="shared" si="381"/>
        <v>0</v>
      </c>
      <c r="Y631" s="11">
        <f t="shared" si="363"/>
        <v>0</v>
      </c>
    </row>
    <row r="632" spans="1:25" x14ac:dyDescent="0.15">
      <c r="A632" s="70" t="s">
        <v>30</v>
      </c>
      <c r="B632" s="25"/>
      <c r="C632" s="45"/>
      <c r="D632" s="26">
        <v>1</v>
      </c>
      <c r="E632" s="32"/>
      <c r="F632" s="33">
        <f t="shared" si="382"/>
        <v>1</v>
      </c>
      <c r="G632" s="25"/>
      <c r="H632" s="45"/>
      <c r="I632" s="26"/>
      <c r="J632" s="32"/>
      <c r="K632" s="33">
        <f t="shared" si="383"/>
        <v>0</v>
      </c>
      <c r="L632" s="11">
        <f t="shared" si="371"/>
        <v>1</v>
      </c>
      <c r="M632" s="85">
        <v>45496</v>
      </c>
      <c r="N632" s="50"/>
      <c r="O632" s="25"/>
      <c r="P632" s="45"/>
      <c r="Q632" s="26"/>
      <c r="R632" s="32"/>
      <c r="S632" s="33">
        <f t="shared" si="380"/>
        <v>0</v>
      </c>
      <c r="T632" s="25"/>
      <c r="U632" s="45"/>
      <c r="V632" s="26"/>
      <c r="W632" s="32"/>
      <c r="X632" s="33">
        <f t="shared" si="381"/>
        <v>0</v>
      </c>
      <c r="Y632" s="11">
        <f t="shared" si="363"/>
        <v>0</v>
      </c>
    </row>
    <row r="633" spans="1:25" x14ac:dyDescent="0.15">
      <c r="A633" s="70" t="s">
        <v>30</v>
      </c>
      <c r="B633" s="25"/>
      <c r="C633" s="45"/>
      <c r="D633" s="26"/>
      <c r="E633" s="32"/>
      <c r="F633" s="33">
        <f t="shared" si="382"/>
        <v>0</v>
      </c>
      <c r="G633" s="25"/>
      <c r="H633" s="45">
        <v>2</v>
      </c>
      <c r="I633" s="26"/>
      <c r="J633" s="32"/>
      <c r="K633" s="33">
        <f t="shared" si="383"/>
        <v>2</v>
      </c>
      <c r="L633" s="11">
        <f t="shared" si="371"/>
        <v>2</v>
      </c>
      <c r="M633" s="85">
        <v>45498</v>
      </c>
      <c r="N633" s="50"/>
      <c r="O633" s="25"/>
      <c r="P633" s="45"/>
      <c r="Q633" s="26"/>
      <c r="R633" s="32"/>
      <c r="S633" s="33">
        <f t="shared" si="380"/>
        <v>0</v>
      </c>
      <c r="T633" s="25"/>
      <c r="U633" s="45"/>
      <c r="V633" s="26"/>
      <c r="W633" s="32"/>
      <c r="X633" s="33">
        <f t="shared" si="381"/>
        <v>0</v>
      </c>
      <c r="Y633" s="11">
        <f t="shared" si="363"/>
        <v>0</v>
      </c>
    </row>
    <row r="634" spans="1:25" x14ac:dyDescent="0.15">
      <c r="A634" s="70" t="s">
        <v>30</v>
      </c>
      <c r="B634" s="25"/>
      <c r="C634" s="45">
        <v>1</v>
      </c>
      <c r="D634" s="26">
        <v>1</v>
      </c>
      <c r="E634" s="32"/>
      <c r="F634" s="33">
        <f t="shared" si="382"/>
        <v>2</v>
      </c>
      <c r="G634" s="25"/>
      <c r="H634" s="45">
        <v>1</v>
      </c>
      <c r="I634" s="26"/>
      <c r="J634" s="32"/>
      <c r="K634" s="33">
        <f t="shared" si="383"/>
        <v>1</v>
      </c>
      <c r="L634" s="11">
        <f t="shared" si="371"/>
        <v>3</v>
      </c>
      <c r="M634" s="85">
        <v>45499</v>
      </c>
      <c r="N634" s="50"/>
      <c r="O634" s="25"/>
      <c r="P634" s="45"/>
      <c r="Q634" s="26"/>
      <c r="R634" s="32"/>
      <c r="S634" s="33">
        <f t="shared" si="380"/>
        <v>0</v>
      </c>
      <c r="T634" s="25"/>
      <c r="U634" s="45"/>
      <c r="V634" s="26"/>
      <c r="W634" s="32"/>
      <c r="X634" s="33">
        <f t="shared" si="381"/>
        <v>0</v>
      </c>
      <c r="Y634" s="11">
        <f t="shared" si="363"/>
        <v>0</v>
      </c>
    </row>
    <row r="635" spans="1:25" x14ac:dyDescent="0.15">
      <c r="A635" s="70" t="s">
        <v>108</v>
      </c>
      <c r="B635" s="25"/>
      <c r="C635" s="45"/>
      <c r="D635" s="26"/>
      <c r="E635" s="32"/>
      <c r="F635" s="33">
        <f t="shared" si="382"/>
        <v>0</v>
      </c>
      <c r="G635" s="25"/>
      <c r="H635" s="45">
        <v>1</v>
      </c>
      <c r="I635" s="26"/>
      <c r="J635" s="32"/>
      <c r="K635" s="33">
        <f t="shared" si="383"/>
        <v>1</v>
      </c>
      <c r="L635" s="11">
        <f t="shared" si="371"/>
        <v>1</v>
      </c>
      <c r="M635" s="85">
        <v>45499</v>
      </c>
      <c r="N635" s="50"/>
      <c r="O635" s="25"/>
      <c r="P635" s="45"/>
      <c r="Q635" s="26"/>
      <c r="R635" s="32"/>
      <c r="S635" s="33">
        <f t="shared" si="380"/>
        <v>0</v>
      </c>
      <c r="T635" s="25"/>
      <c r="U635" s="45"/>
      <c r="V635" s="26"/>
      <c r="W635" s="32"/>
      <c r="X635" s="33">
        <f t="shared" si="381"/>
        <v>0</v>
      </c>
      <c r="Y635" s="11">
        <f t="shared" si="363"/>
        <v>0</v>
      </c>
    </row>
    <row r="636" spans="1:25" x14ac:dyDescent="0.15">
      <c r="A636" s="70" t="s">
        <v>30</v>
      </c>
      <c r="B636" s="25"/>
      <c r="C636" s="45"/>
      <c r="D636" s="26"/>
      <c r="E636" s="32"/>
      <c r="F636" s="33">
        <f t="shared" si="382"/>
        <v>0</v>
      </c>
      <c r="G636" s="25"/>
      <c r="H636" s="45">
        <v>1</v>
      </c>
      <c r="I636" s="26"/>
      <c r="J636" s="32"/>
      <c r="K636" s="33">
        <f t="shared" si="383"/>
        <v>1</v>
      </c>
      <c r="L636" s="11">
        <f t="shared" si="371"/>
        <v>1</v>
      </c>
      <c r="M636" s="115">
        <v>45503</v>
      </c>
      <c r="N636" s="50"/>
      <c r="O636" s="25"/>
      <c r="P636" s="45"/>
      <c r="Q636" s="26"/>
      <c r="R636" s="32"/>
      <c r="S636" s="33">
        <f t="shared" si="380"/>
        <v>0</v>
      </c>
      <c r="T636" s="25"/>
      <c r="U636" s="45"/>
      <c r="V636" s="26"/>
      <c r="W636" s="32"/>
      <c r="X636" s="33">
        <f t="shared" si="381"/>
        <v>0</v>
      </c>
      <c r="Y636" s="11">
        <f t="shared" si="363"/>
        <v>0</v>
      </c>
    </row>
    <row r="637" spans="1:25" x14ac:dyDescent="0.15">
      <c r="A637" s="70" t="s">
        <v>30</v>
      </c>
      <c r="B637" s="25"/>
      <c r="C637" s="45"/>
      <c r="D637" s="26"/>
      <c r="E637" s="32"/>
      <c r="F637" s="33">
        <f t="shared" si="382"/>
        <v>0</v>
      </c>
      <c r="G637" s="25"/>
      <c r="H637" s="45"/>
      <c r="I637" s="26">
        <v>2</v>
      </c>
      <c r="J637" s="32"/>
      <c r="K637" s="33">
        <f t="shared" si="383"/>
        <v>2</v>
      </c>
      <c r="L637" s="11">
        <f t="shared" si="371"/>
        <v>2</v>
      </c>
      <c r="M637" s="115">
        <v>45504</v>
      </c>
      <c r="N637" s="12"/>
      <c r="O637" s="25"/>
      <c r="P637" s="45"/>
      <c r="Q637" s="26"/>
      <c r="R637" s="32"/>
      <c r="S637" s="33">
        <f t="shared" si="380"/>
        <v>0</v>
      </c>
      <c r="T637" s="25"/>
      <c r="U637" s="45"/>
      <c r="V637" s="26"/>
      <c r="W637" s="32"/>
      <c r="X637" s="33">
        <f t="shared" si="381"/>
        <v>0</v>
      </c>
      <c r="Y637" s="93">
        <f t="shared" si="363"/>
        <v>0</v>
      </c>
    </row>
    <row r="638" spans="1:25" x14ac:dyDescent="0.15">
      <c r="A638" s="70" t="s">
        <v>427</v>
      </c>
      <c r="B638" s="25">
        <v>1</v>
      </c>
      <c r="C638" s="45"/>
      <c r="D638" s="26"/>
      <c r="E638" s="32"/>
      <c r="F638" s="33">
        <f t="shared" si="382"/>
        <v>1</v>
      </c>
      <c r="G638" s="25"/>
      <c r="H638" s="45"/>
      <c r="I638" s="26"/>
      <c r="J638" s="32"/>
      <c r="K638" s="33">
        <f t="shared" si="383"/>
        <v>0</v>
      </c>
      <c r="L638" s="11">
        <f t="shared" si="371"/>
        <v>1</v>
      </c>
      <c r="M638" s="85">
        <v>45506</v>
      </c>
      <c r="N638" s="12"/>
      <c r="O638" s="25"/>
      <c r="P638" s="45"/>
      <c r="Q638" s="26"/>
      <c r="R638" s="32"/>
      <c r="S638" s="33">
        <f t="shared" si="380"/>
        <v>0</v>
      </c>
      <c r="T638" s="25"/>
      <c r="U638" s="45"/>
      <c r="V638" s="26"/>
      <c r="W638" s="32"/>
      <c r="X638" s="33">
        <f t="shared" si="381"/>
        <v>0</v>
      </c>
      <c r="Y638" s="93">
        <f t="shared" si="363"/>
        <v>0</v>
      </c>
    </row>
    <row r="639" spans="1:25" x14ac:dyDescent="0.15">
      <c r="A639" s="70" t="s">
        <v>427</v>
      </c>
      <c r="B639" s="25"/>
      <c r="C639" s="45">
        <v>1</v>
      </c>
      <c r="D639" s="26"/>
      <c r="E639" s="32"/>
      <c r="F639" s="33">
        <f t="shared" si="382"/>
        <v>1</v>
      </c>
      <c r="G639" s="25"/>
      <c r="H639" s="45"/>
      <c r="I639" s="26"/>
      <c r="J639" s="32"/>
      <c r="K639" s="33">
        <f t="shared" si="383"/>
        <v>0</v>
      </c>
      <c r="L639" s="11">
        <f t="shared" si="371"/>
        <v>1</v>
      </c>
      <c r="M639" s="85">
        <v>45509</v>
      </c>
      <c r="N639" s="50"/>
      <c r="O639" s="59"/>
      <c r="P639" s="60"/>
      <c r="Q639" s="61"/>
      <c r="R639" s="62"/>
      <c r="S639" s="63">
        <f t="shared" si="380"/>
        <v>0</v>
      </c>
      <c r="T639" s="59"/>
      <c r="U639" s="60"/>
      <c r="V639" s="61"/>
      <c r="W639" s="62"/>
      <c r="X639" s="63">
        <f t="shared" si="381"/>
        <v>0</v>
      </c>
      <c r="Y639" s="11">
        <f t="shared" si="363"/>
        <v>0</v>
      </c>
    </row>
    <row r="640" spans="1:25" x14ac:dyDescent="0.15">
      <c r="A640" s="70" t="s">
        <v>30</v>
      </c>
      <c r="B640" s="25"/>
      <c r="C640" s="45">
        <v>1</v>
      </c>
      <c r="D640" s="26"/>
      <c r="E640" s="32"/>
      <c r="F640" s="33">
        <f t="shared" si="382"/>
        <v>1</v>
      </c>
      <c r="G640" s="25"/>
      <c r="H640" s="45"/>
      <c r="I640" s="26"/>
      <c r="J640" s="32"/>
      <c r="K640" s="33">
        <f t="shared" si="383"/>
        <v>0</v>
      </c>
      <c r="L640" s="11">
        <f t="shared" si="371"/>
        <v>1</v>
      </c>
      <c r="M640" s="85">
        <v>45506</v>
      </c>
      <c r="N640" s="50"/>
      <c r="O640" s="59"/>
      <c r="P640" s="60"/>
      <c r="Q640" s="61"/>
      <c r="R640" s="62"/>
      <c r="S640" s="63">
        <f t="shared" si="380"/>
        <v>0</v>
      </c>
      <c r="T640" s="59"/>
      <c r="U640" s="60"/>
      <c r="V640" s="61"/>
      <c r="W640" s="62"/>
      <c r="X640" s="63">
        <f t="shared" si="381"/>
        <v>0</v>
      </c>
      <c r="Y640" s="11">
        <f t="shared" si="363"/>
        <v>0</v>
      </c>
    </row>
    <row r="641" spans="1:26" x14ac:dyDescent="0.15">
      <c r="A641" s="70" t="s">
        <v>30</v>
      </c>
      <c r="B641" s="25"/>
      <c r="C641" s="45">
        <v>1</v>
      </c>
      <c r="D641" s="26"/>
      <c r="E641" s="32"/>
      <c r="F641" s="33">
        <f t="shared" si="382"/>
        <v>1</v>
      </c>
      <c r="G641" s="25"/>
      <c r="H641" s="45">
        <v>6</v>
      </c>
      <c r="I641" s="26">
        <v>1</v>
      </c>
      <c r="J641" s="32"/>
      <c r="K641" s="33">
        <f t="shared" si="383"/>
        <v>7</v>
      </c>
      <c r="L641" s="93">
        <f t="shared" si="371"/>
        <v>8</v>
      </c>
      <c r="M641" s="85">
        <v>45509</v>
      </c>
      <c r="N641" s="50"/>
      <c r="O641" s="59"/>
      <c r="P641" s="60"/>
      <c r="Q641" s="61"/>
      <c r="R641" s="62"/>
      <c r="S641" s="63">
        <f t="shared" ref="S641:S642" si="384">SUM(O641:R641)</f>
        <v>0</v>
      </c>
      <c r="T641" s="59"/>
      <c r="U641" s="60"/>
      <c r="V641" s="61"/>
      <c r="W641" s="62"/>
      <c r="X641" s="63">
        <f t="shared" ref="X641:X642" si="385">SUM(T641:W641)</f>
        <v>0</v>
      </c>
      <c r="Y641" s="11">
        <f t="shared" ref="Y641:Y642" si="386">S641+X641</f>
        <v>0</v>
      </c>
    </row>
    <row r="642" spans="1:26" ht="14.25" thickBot="1" x14ac:dyDescent="0.2">
      <c r="A642" s="70" t="s">
        <v>30</v>
      </c>
      <c r="B642" s="55"/>
      <c r="C642" s="56">
        <v>1</v>
      </c>
      <c r="D642" s="57">
        <v>1</v>
      </c>
      <c r="E642" s="58"/>
      <c r="F642" s="109">
        <f t="shared" si="382"/>
        <v>2</v>
      </c>
      <c r="G642" s="55">
        <v>1</v>
      </c>
      <c r="H642" s="56"/>
      <c r="I642" s="57"/>
      <c r="J642" s="58"/>
      <c r="K642" s="109">
        <f t="shared" si="383"/>
        <v>1</v>
      </c>
      <c r="L642" s="75">
        <f t="shared" si="371"/>
        <v>3</v>
      </c>
      <c r="M642" s="85">
        <v>45510</v>
      </c>
      <c r="N642" s="74"/>
      <c r="O642" s="55"/>
      <c r="P642" s="56"/>
      <c r="Q642" s="57"/>
      <c r="R642" s="58"/>
      <c r="S642" s="109">
        <f t="shared" si="384"/>
        <v>0</v>
      </c>
      <c r="T642" s="55"/>
      <c r="U642" s="56"/>
      <c r="V642" s="57"/>
      <c r="W642" s="58"/>
      <c r="X642" s="109">
        <f t="shared" si="385"/>
        <v>0</v>
      </c>
      <c r="Y642" s="107">
        <f t="shared" si="386"/>
        <v>0</v>
      </c>
    </row>
    <row r="643" spans="1:26" ht="14.25" thickBot="1" x14ac:dyDescent="0.2">
      <c r="A643" s="72" t="s">
        <v>10</v>
      </c>
      <c r="B643" s="36">
        <f>SUM(B618:B642)</f>
        <v>4</v>
      </c>
      <c r="C643" s="46">
        <f>SUM(C618:C642)</f>
        <v>11</v>
      </c>
      <c r="D643" s="37">
        <f>SUM(D618:D642)</f>
        <v>9</v>
      </c>
      <c r="E643" s="38">
        <f>SUM(E618:E642)</f>
        <v>5</v>
      </c>
      <c r="F643" s="71">
        <f>SUM(B643:E643)</f>
        <v>29</v>
      </c>
      <c r="G643" s="36">
        <f>SUM(G618:G642)</f>
        <v>4</v>
      </c>
      <c r="H643" s="46">
        <f>SUM(H618:H642)</f>
        <v>17</v>
      </c>
      <c r="I643" s="37">
        <f>SUM(I618:I642)</f>
        <v>5</v>
      </c>
      <c r="J643" s="38">
        <f>SUM(J618:J642)</f>
        <v>5</v>
      </c>
      <c r="K643" s="71">
        <f>SUM(G643:J643)</f>
        <v>31</v>
      </c>
      <c r="L643" s="75">
        <f t="shared" si="371"/>
        <v>60</v>
      </c>
      <c r="N643" s="72" t="s">
        <v>10</v>
      </c>
      <c r="O643" s="36">
        <f>SUM(O618:O642)</f>
        <v>0</v>
      </c>
      <c r="P643" s="46">
        <f>SUM(P618:P642)</f>
        <v>3</v>
      </c>
      <c r="Q643" s="37">
        <f>SUM(Q618:Q642)</f>
        <v>3</v>
      </c>
      <c r="R643" s="38">
        <f>SUM(R618:R642)</f>
        <v>3</v>
      </c>
      <c r="S643" s="71">
        <f t="shared" si="380"/>
        <v>9</v>
      </c>
      <c r="T643" s="36">
        <f>SUM(T618:T642)</f>
        <v>0</v>
      </c>
      <c r="U643" s="46">
        <f>SUM(U618:U642)</f>
        <v>15</v>
      </c>
      <c r="V643" s="37">
        <f>SUM(V618:V642)</f>
        <v>3</v>
      </c>
      <c r="W643" s="38">
        <f>SUM(W618:W642)</f>
        <v>2</v>
      </c>
      <c r="X643" s="71">
        <f t="shared" si="381"/>
        <v>20</v>
      </c>
      <c r="Y643" s="75">
        <f t="shared" si="363"/>
        <v>29</v>
      </c>
    </row>
    <row r="644" spans="1:26" ht="14.25" thickBot="1" x14ac:dyDescent="0.2">
      <c r="A644" s="21" t="s">
        <v>11</v>
      </c>
      <c r="B644" s="39">
        <f t="shared" ref="B644:K644" si="387">B617-B643</f>
        <v>15</v>
      </c>
      <c r="C644" s="47">
        <f t="shared" si="387"/>
        <v>9</v>
      </c>
      <c r="D644" s="40">
        <f t="shared" si="387"/>
        <v>9</v>
      </c>
      <c r="E644" s="41">
        <f t="shared" si="387"/>
        <v>11</v>
      </c>
      <c r="F644" s="54">
        <f t="shared" si="387"/>
        <v>44</v>
      </c>
      <c r="G644" s="39">
        <f t="shared" si="387"/>
        <v>13</v>
      </c>
      <c r="H644" s="47">
        <f t="shared" si="387"/>
        <v>15</v>
      </c>
      <c r="I644" s="40">
        <f t="shared" si="387"/>
        <v>12</v>
      </c>
      <c r="J644" s="41">
        <f t="shared" si="387"/>
        <v>13</v>
      </c>
      <c r="K644" s="54">
        <f t="shared" si="387"/>
        <v>53</v>
      </c>
      <c r="L644" s="20">
        <f t="shared" si="371"/>
        <v>97</v>
      </c>
      <c r="N644" s="16" t="s">
        <v>11</v>
      </c>
      <c r="O644" s="39">
        <f t="shared" ref="O644:X644" si="388">O617-O643</f>
        <v>554</v>
      </c>
      <c r="P644" s="47">
        <f t="shared" si="388"/>
        <v>505</v>
      </c>
      <c r="Q644" s="40">
        <f t="shared" si="388"/>
        <v>430</v>
      </c>
      <c r="R644" s="41">
        <f t="shared" si="388"/>
        <v>280</v>
      </c>
      <c r="S644" s="54">
        <f t="shared" si="388"/>
        <v>1769</v>
      </c>
      <c r="T644" s="39">
        <f t="shared" si="388"/>
        <v>486</v>
      </c>
      <c r="U644" s="47">
        <f t="shared" si="388"/>
        <v>569</v>
      </c>
      <c r="V644" s="40">
        <f t="shared" si="388"/>
        <v>456</v>
      </c>
      <c r="W644" s="41">
        <f t="shared" si="388"/>
        <v>256</v>
      </c>
      <c r="X644" s="54">
        <f t="shared" si="388"/>
        <v>1767</v>
      </c>
      <c r="Y644" s="20">
        <f t="shared" si="363"/>
        <v>3536</v>
      </c>
    </row>
    <row r="647" spans="1:26" ht="19.5" thickBot="1" x14ac:dyDescent="0.25">
      <c r="A647" s="2" t="s">
        <v>26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27</v>
      </c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6" ht="14.25" thickBot="1" x14ac:dyDescent="0.2">
      <c r="A648" s="5" t="s">
        <v>0</v>
      </c>
      <c r="B648" s="228" t="s">
        <v>19</v>
      </c>
      <c r="C648" s="229"/>
      <c r="D648" s="229"/>
      <c r="E648" s="229"/>
      <c r="F648" s="230"/>
      <c r="G648" s="231" t="s">
        <v>18</v>
      </c>
      <c r="H648" s="232"/>
      <c r="I648" s="232"/>
      <c r="J648" s="232"/>
      <c r="K648" s="233"/>
      <c r="L648" s="73" t="s">
        <v>1</v>
      </c>
      <c r="N648" s="5" t="s">
        <v>0</v>
      </c>
      <c r="O648" s="228" t="s">
        <v>19</v>
      </c>
      <c r="P648" s="229"/>
      <c r="Q648" s="229"/>
      <c r="R648" s="229"/>
      <c r="S648" s="230"/>
      <c r="T648" s="231" t="s">
        <v>18</v>
      </c>
      <c r="U648" s="232"/>
      <c r="V648" s="232"/>
      <c r="W648" s="232"/>
      <c r="X648" s="233"/>
      <c r="Y648" s="73" t="s">
        <v>1</v>
      </c>
    </row>
    <row r="649" spans="1:26" ht="14.25" thickBot="1" x14ac:dyDescent="0.2">
      <c r="A649" s="5" t="s">
        <v>2</v>
      </c>
      <c r="B649" s="3" t="s">
        <v>12</v>
      </c>
      <c r="C649" s="42" t="s">
        <v>13</v>
      </c>
      <c r="D649" s="4" t="s">
        <v>14</v>
      </c>
      <c r="E649" s="22" t="s">
        <v>15</v>
      </c>
      <c r="F649" s="30" t="s">
        <v>3</v>
      </c>
      <c r="G649" s="3" t="s">
        <v>12</v>
      </c>
      <c r="H649" s="42" t="s">
        <v>13</v>
      </c>
      <c r="I649" s="4" t="s">
        <v>14</v>
      </c>
      <c r="J649" s="22" t="s">
        <v>15</v>
      </c>
      <c r="K649" s="30" t="s">
        <v>3</v>
      </c>
      <c r="L649" s="74"/>
      <c r="N649" s="5" t="s">
        <v>2</v>
      </c>
      <c r="O649" s="64" t="s">
        <v>12</v>
      </c>
      <c r="P649" s="65" t="s">
        <v>13</v>
      </c>
      <c r="Q649" s="66" t="s">
        <v>14</v>
      </c>
      <c r="R649" s="67" t="s">
        <v>15</v>
      </c>
      <c r="S649" s="30" t="s">
        <v>3</v>
      </c>
      <c r="T649" s="3" t="s">
        <v>12</v>
      </c>
      <c r="U649" s="42" t="s">
        <v>13</v>
      </c>
      <c r="V649" s="4" t="s">
        <v>14</v>
      </c>
      <c r="W649" s="22" t="s">
        <v>15</v>
      </c>
      <c r="X649" s="30" t="s">
        <v>3</v>
      </c>
      <c r="Y649" s="74"/>
    </row>
    <row r="650" spans="1:26" ht="14.25" thickBot="1" x14ac:dyDescent="0.2">
      <c r="A650" s="21" t="s">
        <v>16</v>
      </c>
      <c r="B650" s="39">
        <f>B644</f>
        <v>15</v>
      </c>
      <c r="C650" s="40">
        <f>C644</f>
        <v>9</v>
      </c>
      <c r="D650" s="40">
        <f>D644</f>
        <v>9</v>
      </c>
      <c r="E650" s="41">
        <f>E644</f>
        <v>11</v>
      </c>
      <c r="F650" s="122">
        <f>SUM(B650:E650)</f>
        <v>44</v>
      </c>
      <c r="G650" s="39">
        <f>G644</f>
        <v>13</v>
      </c>
      <c r="H650" s="40">
        <f>H644</f>
        <v>15</v>
      </c>
      <c r="I650" s="40">
        <f>I644</f>
        <v>12</v>
      </c>
      <c r="J650" s="41">
        <f>J644</f>
        <v>13</v>
      </c>
      <c r="K650" s="123">
        <f>SUM(G650:J650)</f>
        <v>53</v>
      </c>
      <c r="L650" s="20">
        <f>F650+K650</f>
        <v>97</v>
      </c>
      <c r="N650" s="21" t="s">
        <v>16</v>
      </c>
      <c r="O650" s="39">
        <f>O644</f>
        <v>554</v>
      </c>
      <c r="P650" s="40">
        <f>P644</f>
        <v>505</v>
      </c>
      <c r="Q650" s="40">
        <f t="shared" ref="Q650:R650" si="389">Q644</f>
        <v>430</v>
      </c>
      <c r="R650" s="88">
        <f t="shared" si="389"/>
        <v>280</v>
      </c>
      <c r="S650" s="123">
        <f>SUM(O650:R650)</f>
        <v>1769</v>
      </c>
      <c r="T650" s="39">
        <f>T644</f>
        <v>486</v>
      </c>
      <c r="U650" s="40">
        <f>U644</f>
        <v>569</v>
      </c>
      <c r="V650" s="40">
        <f>V644</f>
        <v>456</v>
      </c>
      <c r="W650" s="41">
        <f>W644</f>
        <v>256</v>
      </c>
      <c r="X650" s="123">
        <f>SUM(T650:W650)</f>
        <v>1767</v>
      </c>
      <c r="Y650" s="20">
        <f t="shared" ref="Y650:Y682" si="390">S650+X650</f>
        <v>3536</v>
      </c>
    </row>
    <row r="651" spans="1:26" x14ac:dyDescent="0.15">
      <c r="A651" s="70" t="s">
        <v>65</v>
      </c>
      <c r="B651" s="6"/>
      <c r="C651" s="29">
        <v>1</v>
      </c>
      <c r="D651" s="7"/>
      <c r="E651" s="8"/>
      <c r="F651" s="9">
        <f t="shared" ref="F651:F653" si="391">SUM(B651:E651)</f>
        <v>1</v>
      </c>
      <c r="G651" s="29"/>
      <c r="H651" s="29">
        <v>1</v>
      </c>
      <c r="I651" s="7"/>
      <c r="J651" s="8"/>
      <c r="K651" s="9">
        <f t="shared" ref="K651:K653" si="392">SUM(G651:J651)</f>
        <v>1</v>
      </c>
      <c r="L651" s="11">
        <f t="shared" ref="L651:L653" si="393">F651+K651</f>
        <v>2</v>
      </c>
      <c r="M651" s="85">
        <v>45512</v>
      </c>
      <c r="N651" s="13" t="s">
        <v>17</v>
      </c>
      <c r="O651" s="25"/>
      <c r="P651" s="45"/>
      <c r="Q651" s="26"/>
      <c r="R651" s="32"/>
      <c r="S651" s="68">
        <f t="shared" ref="S651:S652" si="394">SUM(O651:R651)</f>
        <v>0</v>
      </c>
      <c r="T651" s="45"/>
      <c r="U651" s="45"/>
      <c r="V651" s="26"/>
      <c r="W651" s="48"/>
      <c r="X651" s="9">
        <f t="shared" ref="X651:X652" si="395">SUM(T651:W651)</f>
        <v>0</v>
      </c>
      <c r="Y651" s="11">
        <f t="shared" si="390"/>
        <v>0</v>
      </c>
    </row>
    <row r="652" spans="1:26" x14ac:dyDescent="0.15">
      <c r="A652" s="70" t="s">
        <v>432</v>
      </c>
      <c r="B652" s="6">
        <v>2</v>
      </c>
      <c r="C652" s="29"/>
      <c r="D652" s="7">
        <v>3</v>
      </c>
      <c r="E652" s="8">
        <v>3</v>
      </c>
      <c r="F652" s="9">
        <f t="shared" si="391"/>
        <v>8</v>
      </c>
      <c r="G652" s="29">
        <v>3</v>
      </c>
      <c r="H652" s="29">
        <v>2</v>
      </c>
      <c r="I652" s="7">
        <v>1</v>
      </c>
      <c r="J652" s="8"/>
      <c r="K652" s="9">
        <f t="shared" si="392"/>
        <v>6</v>
      </c>
      <c r="L652" s="11">
        <f t="shared" si="393"/>
        <v>14</v>
      </c>
      <c r="M652" s="85">
        <v>45527</v>
      </c>
      <c r="N652" s="13" t="s">
        <v>5</v>
      </c>
      <c r="O652" s="25"/>
      <c r="P652" s="45"/>
      <c r="Q652" s="26"/>
      <c r="R652" s="32"/>
      <c r="S652" s="68">
        <f t="shared" si="394"/>
        <v>0</v>
      </c>
      <c r="T652" s="45"/>
      <c r="U652" s="45"/>
      <c r="V652" s="26"/>
      <c r="W652" s="48"/>
      <c r="X652" s="9">
        <f t="shared" si="395"/>
        <v>0</v>
      </c>
      <c r="Y652" s="11">
        <f t="shared" si="390"/>
        <v>0</v>
      </c>
    </row>
    <row r="653" spans="1:26" x14ac:dyDescent="0.15">
      <c r="A653" s="70" t="s">
        <v>8</v>
      </c>
      <c r="B653" s="125"/>
      <c r="C653" s="126">
        <v>5</v>
      </c>
      <c r="D653" s="127"/>
      <c r="E653" s="128"/>
      <c r="F653" s="129">
        <f t="shared" si="391"/>
        <v>5</v>
      </c>
      <c r="G653" s="126"/>
      <c r="H653" s="126"/>
      <c r="I653" s="127"/>
      <c r="J653" s="128"/>
      <c r="K653" s="129">
        <f t="shared" si="392"/>
        <v>0</v>
      </c>
      <c r="L653" s="93">
        <f t="shared" si="393"/>
        <v>5</v>
      </c>
      <c r="M653" s="85">
        <v>45532</v>
      </c>
      <c r="N653" s="13" t="s">
        <v>6</v>
      </c>
      <c r="O653" s="25"/>
      <c r="P653" s="45"/>
      <c r="Q653" s="26"/>
      <c r="R653" s="32"/>
      <c r="S653" s="68">
        <f>SUM(O653:R653)</f>
        <v>0</v>
      </c>
      <c r="T653" s="45"/>
      <c r="U653" s="45"/>
      <c r="V653" s="26"/>
      <c r="W653" s="48"/>
      <c r="X653" s="9">
        <f>SUM(T653:W653)</f>
        <v>0</v>
      </c>
      <c r="Y653" s="11">
        <f t="shared" si="390"/>
        <v>0</v>
      </c>
    </row>
    <row r="654" spans="1:26" ht="14.25" thickBot="1" x14ac:dyDescent="0.2">
      <c r="A654" s="70" t="s">
        <v>434</v>
      </c>
      <c r="B654" s="125">
        <v>-1</v>
      </c>
      <c r="C654" s="126">
        <v>0</v>
      </c>
      <c r="D654" s="127">
        <v>-2</v>
      </c>
      <c r="E654" s="128">
        <v>0</v>
      </c>
      <c r="F654" s="129">
        <f t="shared" ref="F654" si="396">SUM(B654:E654)</f>
        <v>-3</v>
      </c>
      <c r="G654" s="126">
        <v>-2</v>
      </c>
      <c r="H654" s="126">
        <v>0</v>
      </c>
      <c r="I654" s="127">
        <v>0</v>
      </c>
      <c r="J654" s="128">
        <v>0</v>
      </c>
      <c r="K654" s="129">
        <f t="shared" ref="K654" si="397">SUM(G654:J654)</f>
        <v>-2</v>
      </c>
      <c r="L654" s="14">
        <f t="shared" ref="L654:L682" si="398">F654+K654</f>
        <v>-5</v>
      </c>
      <c r="M654" s="85">
        <v>45530</v>
      </c>
      <c r="N654" s="13" t="s">
        <v>7</v>
      </c>
      <c r="O654" s="55"/>
      <c r="P654" s="56"/>
      <c r="Q654" s="57"/>
      <c r="R654" s="58"/>
      <c r="S654" s="69">
        <f>SUM(O654:R654)</f>
        <v>0</v>
      </c>
      <c r="T654" s="45"/>
      <c r="U654" s="45"/>
      <c r="V654" s="26"/>
      <c r="W654" s="48"/>
      <c r="X654" s="10">
        <f>SUM(T654:W654)</f>
        <v>0</v>
      </c>
      <c r="Y654" s="14">
        <f t="shared" si="390"/>
        <v>0</v>
      </c>
    </row>
    <row r="655" spans="1:26" ht="14.25" thickBot="1" x14ac:dyDescent="0.2">
      <c r="A655" s="21" t="s">
        <v>9</v>
      </c>
      <c r="B655" s="130">
        <f t="shared" ref="B655:K655" si="399">SUM(B650:B654)</f>
        <v>16</v>
      </c>
      <c r="C655" s="131">
        <f t="shared" si="399"/>
        <v>15</v>
      </c>
      <c r="D655" s="132">
        <f t="shared" si="399"/>
        <v>10</v>
      </c>
      <c r="E655" s="133">
        <f t="shared" si="399"/>
        <v>14</v>
      </c>
      <c r="F655" s="123">
        <f t="shared" si="399"/>
        <v>55</v>
      </c>
      <c r="G655" s="130">
        <f t="shared" si="399"/>
        <v>14</v>
      </c>
      <c r="H655" s="131">
        <f t="shared" si="399"/>
        <v>18</v>
      </c>
      <c r="I655" s="132">
        <f t="shared" si="399"/>
        <v>13</v>
      </c>
      <c r="J655" s="133">
        <f t="shared" si="399"/>
        <v>13</v>
      </c>
      <c r="K655" s="123">
        <f t="shared" si="399"/>
        <v>58</v>
      </c>
      <c r="L655" s="20">
        <f t="shared" si="398"/>
        <v>113</v>
      </c>
      <c r="N655" s="16" t="s">
        <v>9</v>
      </c>
      <c r="O655" s="39">
        <f t="shared" ref="O655:X655" si="400">SUM(O650:O654)</f>
        <v>554</v>
      </c>
      <c r="P655" s="47">
        <f t="shared" si="400"/>
        <v>505</v>
      </c>
      <c r="Q655" s="40">
        <f t="shared" si="400"/>
        <v>430</v>
      </c>
      <c r="R655" s="88">
        <f t="shared" si="400"/>
        <v>280</v>
      </c>
      <c r="S655" s="89">
        <f t="shared" si="400"/>
        <v>1769</v>
      </c>
      <c r="T655" s="39">
        <f t="shared" si="400"/>
        <v>486</v>
      </c>
      <c r="U655" s="47">
        <f t="shared" si="400"/>
        <v>569</v>
      </c>
      <c r="V655" s="40">
        <f t="shared" si="400"/>
        <v>456</v>
      </c>
      <c r="W655" s="88">
        <f t="shared" si="400"/>
        <v>256</v>
      </c>
      <c r="X655" s="89">
        <f t="shared" si="400"/>
        <v>1767</v>
      </c>
      <c r="Y655" s="49">
        <f t="shared" si="390"/>
        <v>3536</v>
      </c>
    </row>
    <row r="656" spans="1:26" x14ac:dyDescent="0.15">
      <c r="A656" s="70" t="s">
        <v>429</v>
      </c>
      <c r="B656" s="25"/>
      <c r="C656" s="45"/>
      <c r="D656" s="26"/>
      <c r="E656" s="32"/>
      <c r="F656" s="33">
        <f t="shared" ref="F656:F680" si="401">SUM(B656:E656)</f>
        <v>0</v>
      </c>
      <c r="G656" s="25"/>
      <c r="H656" s="45">
        <v>1</v>
      </c>
      <c r="I656" s="26"/>
      <c r="J656" s="32"/>
      <c r="K656" s="33">
        <f t="shared" ref="K656:K680" si="402">SUM(G656:J656)</f>
        <v>1</v>
      </c>
      <c r="L656" s="11">
        <f t="shared" si="398"/>
        <v>1</v>
      </c>
      <c r="M656" s="85">
        <v>45512</v>
      </c>
      <c r="N656" s="73" t="s">
        <v>430</v>
      </c>
      <c r="O656" s="25"/>
      <c r="P656" s="45"/>
      <c r="Q656" s="26">
        <v>15</v>
      </c>
      <c r="R656" s="32"/>
      <c r="S656" s="33">
        <f t="shared" ref="S656:S681" si="403">SUM(O656:R656)</f>
        <v>15</v>
      </c>
      <c r="T656" s="25"/>
      <c r="U656" s="45"/>
      <c r="V656" s="26">
        <v>20</v>
      </c>
      <c r="W656" s="32"/>
      <c r="X656" s="33">
        <f t="shared" ref="X656:X681" si="404">SUM(T656:W656)</f>
        <v>20</v>
      </c>
      <c r="Y656" s="11">
        <f t="shared" si="390"/>
        <v>35</v>
      </c>
      <c r="Z656" s="85">
        <v>45520</v>
      </c>
    </row>
    <row r="657" spans="1:27" x14ac:dyDescent="0.15">
      <c r="A657" s="70" t="s">
        <v>30</v>
      </c>
      <c r="B657" s="25">
        <v>1</v>
      </c>
      <c r="C657" s="45"/>
      <c r="D657" s="26"/>
      <c r="E657" s="32">
        <v>1</v>
      </c>
      <c r="F657" s="33">
        <f t="shared" si="401"/>
        <v>2</v>
      </c>
      <c r="G657" s="25"/>
      <c r="H657" s="45"/>
      <c r="I657" s="26"/>
      <c r="J657" s="32"/>
      <c r="K657" s="33">
        <f t="shared" si="402"/>
        <v>0</v>
      </c>
      <c r="L657" s="11">
        <f t="shared" si="398"/>
        <v>2</v>
      </c>
      <c r="M657" s="85">
        <v>45511</v>
      </c>
      <c r="N657" s="50" t="s">
        <v>431</v>
      </c>
      <c r="O657" s="25">
        <v>85</v>
      </c>
      <c r="P657" s="45"/>
      <c r="Q657" s="26">
        <v>90</v>
      </c>
      <c r="R657" s="32">
        <v>35</v>
      </c>
      <c r="S657" s="33">
        <f t="shared" si="403"/>
        <v>210</v>
      </c>
      <c r="T657" s="25">
        <v>65</v>
      </c>
      <c r="U657" s="45">
        <v>115</v>
      </c>
      <c r="V657" s="26">
        <v>30</v>
      </c>
      <c r="W657" s="32">
        <v>30</v>
      </c>
      <c r="X657" s="33">
        <f t="shared" si="404"/>
        <v>240</v>
      </c>
      <c r="Y657" s="11">
        <f t="shared" si="390"/>
        <v>450</v>
      </c>
      <c r="Z657" s="85">
        <v>45526</v>
      </c>
    </row>
    <row r="658" spans="1:27" x14ac:dyDescent="0.15">
      <c r="A658" s="70" t="s">
        <v>30</v>
      </c>
      <c r="B658" s="25">
        <v>1</v>
      </c>
      <c r="C658" s="45"/>
      <c r="D658" s="26"/>
      <c r="E658" s="32"/>
      <c r="F658" s="33">
        <f t="shared" si="401"/>
        <v>1</v>
      </c>
      <c r="G658" s="25"/>
      <c r="H658" s="45"/>
      <c r="I658" s="26"/>
      <c r="J658" s="32"/>
      <c r="K658" s="33">
        <f t="shared" si="402"/>
        <v>0</v>
      </c>
      <c r="L658" s="11">
        <f t="shared" si="398"/>
        <v>1</v>
      </c>
      <c r="M658" s="85">
        <v>45512</v>
      </c>
      <c r="N658" s="50" t="s">
        <v>433</v>
      </c>
      <c r="O658" s="25"/>
      <c r="P658" s="45">
        <v>20</v>
      </c>
      <c r="Q658" s="26">
        <v>15</v>
      </c>
      <c r="R658" s="32">
        <v>10</v>
      </c>
      <c r="S658" s="33">
        <f t="shared" si="403"/>
        <v>45</v>
      </c>
      <c r="T658" s="25"/>
      <c r="U658" s="45"/>
      <c r="V658" s="26">
        <v>20</v>
      </c>
      <c r="W658" s="32">
        <v>20</v>
      </c>
      <c r="X658" s="33">
        <f t="shared" si="404"/>
        <v>40</v>
      </c>
      <c r="Y658" s="11">
        <f t="shared" si="390"/>
        <v>85</v>
      </c>
      <c r="Z658" s="85">
        <v>45532</v>
      </c>
      <c r="AA658" s="51"/>
    </row>
    <row r="659" spans="1:27" x14ac:dyDescent="0.15">
      <c r="A659" s="70" t="s">
        <v>30</v>
      </c>
      <c r="B659" s="25">
        <v>1</v>
      </c>
      <c r="C659" s="45"/>
      <c r="D659" s="26"/>
      <c r="E659" s="32"/>
      <c r="F659" s="33">
        <f t="shared" si="401"/>
        <v>1</v>
      </c>
      <c r="G659" s="25">
        <v>1</v>
      </c>
      <c r="H659" s="45"/>
      <c r="I659" s="26"/>
      <c r="J659" s="32"/>
      <c r="K659" s="33">
        <f t="shared" si="402"/>
        <v>1</v>
      </c>
      <c r="L659" s="11">
        <f t="shared" si="398"/>
        <v>2</v>
      </c>
      <c r="M659" s="85">
        <v>45513</v>
      </c>
      <c r="N659" s="50" t="s">
        <v>28</v>
      </c>
      <c r="O659" s="25"/>
      <c r="P659" s="45">
        <v>5</v>
      </c>
      <c r="Q659" s="26"/>
      <c r="R659" s="32"/>
      <c r="S659" s="33">
        <f t="shared" si="403"/>
        <v>5</v>
      </c>
      <c r="T659" s="25"/>
      <c r="U659" s="45"/>
      <c r="V659" s="26"/>
      <c r="W659" s="32"/>
      <c r="X659" s="33">
        <f t="shared" si="404"/>
        <v>0</v>
      </c>
      <c r="Y659" s="11">
        <f t="shared" si="390"/>
        <v>5</v>
      </c>
      <c r="Z659" s="85">
        <v>45532</v>
      </c>
    </row>
    <row r="660" spans="1:27" x14ac:dyDescent="0.15">
      <c r="A660" s="70" t="s">
        <v>30</v>
      </c>
      <c r="B660" s="25">
        <v>4</v>
      </c>
      <c r="C660" s="45"/>
      <c r="D660" s="26"/>
      <c r="E660" s="32"/>
      <c r="F660" s="33">
        <f t="shared" si="401"/>
        <v>4</v>
      </c>
      <c r="G660" s="25">
        <v>1</v>
      </c>
      <c r="H660" s="45">
        <v>1</v>
      </c>
      <c r="I660" s="26">
        <v>1</v>
      </c>
      <c r="J660" s="32">
        <v>2</v>
      </c>
      <c r="K660" s="33">
        <f t="shared" si="402"/>
        <v>5</v>
      </c>
      <c r="L660" s="11">
        <f t="shared" si="398"/>
        <v>9</v>
      </c>
      <c r="M660" s="85">
        <v>45515</v>
      </c>
      <c r="N660" s="50" t="s">
        <v>28</v>
      </c>
      <c r="O660" s="25">
        <v>5</v>
      </c>
      <c r="P660" s="45">
        <v>3</v>
      </c>
      <c r="Q660" s="26"/>
      <c r="R660" s="32"/>
      <c r="S660" s="33">
        <f t="shared" si="403"/>
        <v>8</v>
      </c>
      <c r="T660" s="25"/>
      <c r="U660" s="45"/>
      <c r="V660" s="26">
        <v>3</v>
      </c>
      <c r="W660" s="32"/>
      <c r="X660" s="33">
        <f t="shared" si="404"/>
        <v>3</v>
      </c>
      <c r="Y660" s="11">
        <f t="shared" si="390"/>
        <v>11</v>
      </c>
      <c r="Z660" s="85">
        <v>45539</v>
      </c>
    </row>
    <row r="661" spans="1:27" x14ac:dyDescent="0.15">
      <c r="A661" s="70" t="s">
        <v>30</v>
      </c>
      <c r="B661" s="25">
        <v>1</v>
      </c>
      <c r="C661" s="45">
        <v>1</v>
      </c>
      <c r="D661" s="26"/>
      <c r="E661" s="32">
        <v>1</v>
      </c>
      <c r="F661" s="33">
        <f t="shared" si="401"/>
        <v>3</v>
      </c>
      <c r="G661" s="25"/>
      <c r="H661" s="45"/>
      <c r="I661" s="26"/>
      <c r="J661" s="32"/>
      <c r="K661" s="33">
        <f t="shared" si="402"/>
        <v>0</v>
      </c>
      <c r="L661" s="11">
        <f t="shared" si="398"/>
        <v>3</v>
      </c>
      <c r="M661" s="85">
        <v>45520</v>
      </c>
      <c r="N661" s="50" t="s">
        <v>28</v>
      </c>
      <c r="O661" s="25">
        <v>3</v>
      </c>
      <c r="P661" s="45"/>
      <c r="Q661" s="26"/>
      <c r="R661" s="32"/>
      <c r="S661" s="33">
        <f t="shared" si="403"/>
        <v>3</v>
      </c>
      <c r="T661" s="25">
        <v>3</v>
      </c>
      <c r="U661" s="45"/>
      <c r="V661" s="26"/>
      <c r="W661" s="32"/>
      <c r="X661" s="33">
        <f t="shared" si="404"/>
        <v>3</v>
      </c>
      <c r="Y661" s="11">
        <f t="shared" si="390"/>
        <v>6</v>
      </c>
      <c r="Z661" s="85">
        <v>45548</v>
      </c>
    </row>
    <row r="662" spans="1:27" x14ac:dyDescent="0.15">
      <c r="A662" s="70" t="s">
        <v>30</v>
      </c>
      <c r="B662" s="25"/>
      <c r="C662" s="45">
        <v>2</v>
      </c>
      <c r="D662" s="26"/>
      <c r="E662" s="32">
        <v>1</v>
      </c>
      <c r="F662" s="33">
        <f t="shared" si="401"/>
        <v>3</v>
      </c>
      <c r="G662" s="25"/>
      <c r="H662" s="45">
        <v>1</v>
      </c>
      <c r="I662" s="26">
        <v>3</v>
      </c>
      <c r="J662" s="32">
        <v>1</v>
      </c>
      <c r="K662" s="33">
        <f t="shared" si="402"/>
        <v>5</v>
      </c>
      <c r="L662" s="11">
        <f t="shared" si="398"/>
        <v>8</v>
      </c>
      <c r="M662" s="85">
        <v>45523</v>
      </c>
      <c r="N662" s="50" t="s">
        <v>28</v>
      </c>
      <c r="O662" s="25"/>
      <c r="P662" s="45"/>
      <c r="Q662" s="26"/>
      <c r="R662" s="32">
        <v>3</v>
      </c>
      <c r="S662" s="33">
        <f t="shared" si="403"/>
        <v>3</v>
      </c>
      <c r="T662" s="25"/>
      <c r="U662" s="45"/>
      <c r="V662" s="26"/>
      <c r="W662" s="32">
        <v>3</v>
      </c>
      <c r="X662" s="33">
        <f t="shared" si="404"/>
        <v>3</v>
      </c>
      <c r="Y662" s="11">
        <f t="shared" si="390"/>
        <v>6</v>
      </c>
      <c r="Z662" s="85">
        <v>45552</v>
      </c>
    </row>
    <row r="663" spans="1:27" x14ac:dyDescent="0.15">
      <c r="A663" s="70" t="s">
        <v>30</v>
      </c>
      <c r="B663" s="25"/>
      <c r="C663" s="45">
        <v>1</v>
      </c>
      <c r="D663" s="26"/>
      <c r="E663" s="32"/>
      <c r="F663" s="33">
        <f t="shared" si="401"/>
        <v>1</v>
      </c>
      <c r="G663" s="25"/>
      <c r="H663" s="45"/>
      <c r="I663" s="26"/>
      <c r="J663" s="32"/>
      <c r="K663" s="33">
        <f t="shared" si="402"/>
        <v>0</v>
      </c>
      <c r="L663" s="11">
        <f t="shared" si="398"/>
        <v>1</v>
      </c>
      <c r="M663" s="85">
        <v>45525</v>
      </c>
      <c r="N663" s="50" t="s">
        <v>28</v>
      </c>
      <c r="O663" s="25"/>
      <c r="P663" s="45"/>
      <c r="Q663" s="26">
        <v>5</v>
      </c>
      <c r="R663" s="32"/>
      <c r="S663" s="33">
        <f t="shared" si="403"/>
        <v>5</v>
      </c>
      <c r="T663" s="25"/>
      <c r="U663" s="45">
        <v>5</v>
      </c>
      <c r="V663" s="26"/>
      <c r="W663" s="32"/>
      <c r="X663" s="33">
        <f t="shared" si="404"/>
        <v>5</v>
      </c>
      <c r="Y663" s="11">
        <f t="shared" si="390"/>
        <v>10</v>
      </c>
      <c r="Z663" s="85">
        <v>45555</v>
      </c>
    </row>
    <row r="664" spans="1:27" x14ac:dyDescent="0.15">
      <c r="A664" s="70" t="s">
        <v>30</v>
      </c>
      <c r="B664" s="25">
        <v>1</v>
      </c>
      <c r="C664" s="45"/>
      <c r="D664" s="26"/>
      <c r="E664" s="32">
        <v>1</v>
      </c>
      <c r="F664" s="33">
        <f t="shared" si="401"/>
        <v>2</v>
      </c>
      <c r="G664" s="25"/>
      <c r="H664" s="45"/>
      <c r="I664" s="26"/>
      <c r="J664" s="32"/>
      <c r="K664" s="33">
        <f t="shared" si="402"/>
        <v>0</v>
      </c>
      <c r="L664" s="11">
        <f t="shared" si="398"/>
        <v>2</v>
      </c>
      <c r="M664" s="85">
        <v>45527</v>
      </c>
      <c r="N664" s="50" t="s">
        <v>28</v>
      </c>
      <c r="O664" s="25">
        <v>5</v>
      </c>
      <c r="P664" s="45">
        <v>5</v>
      </c>
      <c r="Q664" s="26"/>
      <c r="R664" s="32"/>
      <c r="S664" s="33">
        <f t="shared" si="403"/>
        <v>10</v>
      </c>
      <c r="T664" s="25"/>
      <c r="U664" s="45"/>
      <c r="V664" s="26"/>
      <c r="W664" s="32"/>
      <c r="X664" s="33">
        <f t="shared" si="404"/>
        <v>0</v>
      </c>
      <c r="Y664" s="11">
        <f t="shared" si="390"/>
        <v>10</v>
      </c>
      <c r="Z664" s="85">
        <v>45565</v>
      </c>
    </row>
    <row r="665" spans="1:27" x14ac:dyDescent="0.15">
      <c r="A665" s="70" t="s">
        <v>30</v>
      </c>
      <c r="B665" s="25">
        <v>2</v>
      </c>
      <c r="C665" s="45">
        <v>1</v>
      </c>
      <c r="D665" s="26"/>
      <c r="E665" s="32">
        <v>1</v>
      </c>
      <c r="F665" s="33">
        <f t="shared" si="401"/>
        <v>4</v>
      </c>
      <c r="G665" s="25">
        <v>1</v>
      </c>
      <c r="H665" s="45">
        <v>1</v>
      </c>
      <c r="I665" s="26">
        <v>1</v>
      </c>
      <c r="J665" s="32">
        <v>2</v>
      </c>
      <c r="K665" s="33">
        <f t="shared" si="402"/>
        <v>5</v>
      </c>
      <c r="L665" s="11">
        <f t="shared" si="398"/>
        <v>9</v>
      </c>
      <c r="M665" s="85">
        <v>45530</v>
      </c>
      <c r="N665" s="50"/>
      <c r="O665" s="25"/>
      <c r="P665" s="45"/>
      <c r="Q665" s="26"/>
      <c r="R665" s="32"/>
      <c r="S665" s="33">
        <f t="shared" si="403"/>
        <v>0</v>
      </c>
      <c r="T665" s="25"/>
      <c r="U665" s="45"/>
      <c r="V665" s="26"/>
      <c r="W665" s="32"/>
      <c r="X665" s="33">
        <f t="shared" si="404"/>
        <v>0</v>
      </c>
      <c r="Y665" s="11">
        <f t="shared" si="390"/>
        <v>0</v>
      </c>
      <c r="Z665" s="159"/>
    </row>
    <row r="666" spans="1:27" x14ac:dyDescent="0.15">
      <c r="A666" s="70" t="s">
        <v>30</v>
      </c>
      <c r="B666" s="25"/>
      <c r="C666" s="45">
        <v>3</v>
      </c>
      <c r="D666" s="26"/>
      <c r="E666" s="32"/>
      <c r="F666" s="33">
        <f t="shared" si="401"/>
        <v>3</v>
      </c>
      <c r="G666" s="25"/>
      <c r="H666" s="45">
        <v>3</v>
      </c>
      <c r="I666" s="26"/>
      <c r="J666" s="32"/>
      <c r="K666" s="33">
        <f t="shared" si="402"/>
        <v>3</v>
      </c>
      <c r="L666" s="11">
        <f t="shared" si="398"/>
        <v>6</v>
      </c>
      <c r="M666" s="85">
        <v>45531</v>
      </c>
      <c r="N666" s="50"/>
      <c r="O666" s="25"/>
      <c r="P666" s="45"/>
      <c r="Q666" s="26"/>
      <c r="R666" s="32"/>
      <c r="S666" s="33">
        <f t="shared" si="403"/>
        <v>0</v>
      </c>
      <c r="T666" s="25"/>
      <c r="U666" s="45"/>
      <c r="V666" s="26"/>
      <c r="W666" s="32"/>
      <c r="X666" s="33">
        <f t="shared" si="404"/>
        <v>0</v>
      </c>
      <c r="Y666" s="11">
        <f t="shared" si="390"/>
        <v>0</v>
      </c>
      <c r="Z666" s="159"/>
    </row>
    <row r="667" spans="1:27" x14ac:dyDescent="0.15">
      <c r="A667" s="70" t="s">
        <v>30</v>
      </c>
      <c r="B667" s="25">
        <v>1</v>
      </c>
      <c r="C667" s="45"/>
      <c r="D667" s="26"/>
      <c r="E667" s="32">
        <v>2</v>
      </c>
      <c r="F667" s="33">
        <f t="shared" si="401"/>
        <v>3</v>
      </c>
      <c r="G667" s="25"/>
      <c r="H667" s="45"/>
      <c r="I667" s="26"/>
      <c r="J667" s="32"/>
      <c r="K667" s="33">
        <f t="shared" si="402"/>
        <v>0</v>
      </c>
      <c r="L667" s="11">
        <f t="shared" si="398"/>
        <v>3</v>
      </c>
      <c r="M667" s="85">
        <v>45532</v>
      </c>
      <c r="N667" s="50"/>
      <c r="O667" s="25"/>
      <c r="P667" s="45"/>
      <c r="Q667" s="26"/>
      <c r="R667" s="32"/>
      <c r="S667" s="33">
        <f t="shared" si="403"/>
        <v>0</v>
      </c>
      <c r="T667" s="25"/>
      <c r="U667" s="45"/>
      <c r="V667" s="26"/>
      <c r="W667" s="32"/>
      <c r="X667" s="33">
        <f t="shared" si="404"/>
        <v>0</v>
      </c>
      <c r="Y667" s="11">
        <f t="shared" si="390"/>
        <v>0</v>
      </c>
      <c r="Z667" s="159"/>
    </row>
    <row r="668" spans="1:27" x14ac:dyDescent="0.15">
      <c r="A668" s="70" t="s">
        <v>30</v>
      </c>
      <c r="B668" s="25">
        <v>1</v>
      </c>
      <c r="C668" s="45"/>
      <c r="D668" s="26"/>
      <c r="E668" s="32"/>
      <c r="F668" s="33">
        <f t="shared" si="401"/>
        <v>1</v>
      </c>
      <c r="G668" s="25"/>
      <c r="H668" s="45"/>
      <c r="I668" s="26"/>
      <c r="J668" s="32"/>
      <c r="K668" s="33">
        <f t="shared" si="402"/>
        <v>0</v>
      </c>
      <c r="L668" s="11">
        <f t="shared" si="398"/>
        <v>1</v>
      </c>
      <c r="M668" s="85">
        <v>45535</v>
      </c>
      <c r="N668" s="50"/>
      <c r="O668" s="25"/>
      <c r="P668" s="45"/>
      <c r="Q668" s="26"/>
      <c r="R668" s="32"/>
      <c r="S668" s="33">
        <f t="shared" si="403"/>
        <v>0</v>
      </c>
      <c r="T668" s="25"/>
      <c r="U668" s="45"/>
      <c r="V668" s="26"/>
      <c r="W668" s="32"/>
      <c r="X668" s="33">
        <f t="shared" si="404"/>
        <v>0</v>
      </c>
      <c r="Y668" s="11">
        <f t="shared" si="390"/>
        <v>0</v>
      </c>
      <c r="Z668" s="159"/>
    </row>
    <row r="669" spans="1:27" x14ac:dyDescent="0.15">
      <c r="A669" s="70" t="s">
        <v>30</v>
      </c>
      <c r="B669" s="25"/>
      <c r="C669" s="45"/>
      <c r="D669" s="26">
        <v>1</v>
      </c>
      <c r="E669" s="32"/>
      <c r="F669" s="33">
        <f t="shared" si="401"/>
        <v>1</v>
      </c>
      <c r="G669" s="25"/>
      <c r="H669" s="45">
        <v>1</v>
      </c>
      <c r="I669" s="26">
        <v>2</v>
      </c>
      <c r="J669" s="32"/>
      <c r="K669" s="33">
        <f t="shared" si="402"/>
        <v>3</v>
      </c>
      <c r="L669" s="11">
        <f t="shared" si="398"/>
        <v>4</v>
      </c>
      <c r="M669" s="85">
        <v>45537</v>
      </c>
      <c r="N669" s="50"/>
      <c r="O669" s="25"/>
      <c r="P669" s="45"/>
      <c r="Q669" s="26"/>
      <c r="R669" s="32"/>
      <c r="S669" s="33">
        <f t="shared" si="403"/>
        <v>0</v>
      </c>
      <c r="T669" s="25"/>
      <c r="U669" s="45"/>
      <c r="V669" s="26"/>
      <c r="W669" s="32"/>
      <c r="X669" s="33">
        <f t="shared" si="404"/>
        <v>0</v>
      </c>
      <c r="Y669" s="11">
        <f t="shared" si="390"/>
        <v>0</v>
      </c>
      <c r="Z669" s="159"/>
    </row>
    <row r="670" spans="1:27" x14ac:dyDescent="0.15">
      <c r="A670" s="70" t="s">
        <v>435</v>
      </c>
      <c r="B670" s="25">
        <v>-5</v>
      </c>
      <c r="C670" s="45">
        <v>-3</v>
      </c>
      <c r="D670" s="26"/>
      <c r="E670" s="32"/>
      <c r="F670" s="33">
        <f t="shared" si="401"/>
        <v>-8</v>
      </c>
      <c r="G670" s="25"/>
      <c r="H670" s="45"/>
      <c r="I670" s="26">
        <v>-3</v>
      </c>
      <c r="J670" s="32"/>
      <c r="K670" s="33">
        <f t="shared" si="402"/>
        <v>-3</v>
      </c>
      <c r="L670" s="11">
        <f t="shared" si="398"/>
        <v>-11</v>
      </c>
      <c r="M670" s="85">
        <v>45539</v>
      </c>
      <c r="N670" s="50"/>
      <c r="O670" s="25"/>
      <c r="P670" s="45"/>
      <c r="Q670" s="26"/>
      <c r="R670" s="32"/>
      <c r="S670" s="33">
        <f t="shared" si="403"/>
        <v>0</v>
      </c>
      <c r="T670" s="25"/>
      <c r="U670" s="45"/>
      <c r="V670" s="26"/>
      <c r="W670" s="32"/>
      <c r="X670" s="33">
        <f t="shared" si="404"/>
        <v>0</v>
      </c>
      <c r="Y670" s="11">
        <f t="shared" si="390"/>
        <v>0</v>
      </c>
    </row>
    <row r="671" spans="1:27" x14ac:dyDescent="0.15">
      <c r="A671" s="70" t="s">
        <v>436</v>
      </c>
      <c r="B671" s="25">
        <v>1</v>
      </c>
      <c r="C671" s="45"/>
      <c r="D671" s="26"/>
      <c r="E671" s="32"/>
      <c r="F671" s="33">
        <f t="shared" si="401"/>
        <v>1</v>
      </c>
      <c r="G671" s="25">
        <v>1</v>
      </c>
      <c r="H671" s="45"/>
      <c r="I671" s="26"/>
      <c r="J671" s="32"/>
      <c r="K671" s="33">
        <f t="shared" si="402"/>
        <v>1</v>
      </c>
      <c r="L671" s="11">
        <f t="shared" si="398"/>
        <v>2</v>
      </c>
      <c r="M671" s="85">
        <v>45540</v>
      </c>
      <c r="N671" s="50"/>
      <c r="O671" s="25"/>
      <c r="P671" s="45"/>
      <c r="Q671" s="26"/>
      <c r="R671" s="32"/>
      <c r="S671" s="33">
        <f t="shared" si="403"/>
        <v>0</v>
      </c>
      <c r="T671" s="25"/>
      <c r="U671" s="45"/>
      <c r="V671" s="26"/>
      <c r="W671" s="32"/>
      <c r="X671" s="33">
        <f t="shared" si="404"/>
        <v>0</v>
      </c>
      <c r="Y671" s="11">
        <f t="shared" si="390"/>
        <v>0</v>
      </c>
    </row>
    <row r="672" spans="1:27" x14ac:dyDescent="0.15">
      <c r="A672" s="70" t="s">
        <v>30</v>
      </c>
      <c r="B672" s="25"/>
      <c r="C672" s="45">
        <v>1</v>
      </c>
      <c r="D672" s="26"/>
      <c r="E672" s="32"/>
      <c r="F672" s="33">
        <f t="shared" si="401"/>
        <v>1</v>
      </c>
      <c r="G672" s="25"/>
      <c r="H672" s="45">
        <v>1</v>
      </c>
      <c r="I672" s="26"/>
      <c r="J672" s="32"/>
      <c r="K672" s="33">
        <f t="shared" si="402"/>
        <v>1</v>
      </c>
      <c r="L672" s="11">
        <f t="shared" si="398"/>
        <v>2</v>
      </c>
      <c r="M672" s="85">
        <v>45540</v>
      </c>
      <c r="N672" s="50"/>
      <c r="O672" s="25"/>
      <c r="P672" s="45"/>
      <c r="Q672" s="26"/>
      <c r="R672" s="32"/>
      <c r="S672" s="33">
        <f t="shared" si="403"/>
        <v>0</v>
      </c>
      <c r="T672" s="25"/>
      <c r="U672" s="45"/>
      <c r="V672" s="26"/>
      <c r="W672" s="32"/>
      <c r="X672" s="33">
        <f t="shared" si="404"/>
        <v>0</v>
      </c>
      <c r="Y672" s="11">
        <f t="shared" si="390"/>
        <v>0</v>
      </c>
    </row>
    <row r="673" spans="1:26" x14ac:dyDescent="0.15">
      <c r="A673" s="70" t="s">
        <v>30</v>
      </c>
      <c r="B673" s="25">
        <v>1</v>
      </c>
      <c r="C673" s="45"/>
      <c r="D673" s="26">
        <v>1</v>
      </c>
      <c r="E673" s="32"/>
      <c r="F673" s="33">
        <f t="shared" si="401"/>
        <v>2</v>
      </c>
      <c r="G673" s="25">
        <v>4</v>
      </c>
      <c r="H673" s="45"/>
      <c r="I673" s="26">
        <v>1</v>
      </c>
      <c r="J673" s="32"/>
      <c r="K673" s="33">
        <f t="shared" si="402"/>
        <v>5</v>
      </c>
      <c r="L673" s="11">
        <f t="shared" si="398"/>
        <v>7</v>
      </c>
      <c r="M673" s="85">
        <v>45541</v>
      </c>
      <c r="N673" s="50"/>
      <c r="O673" s="25"/>
      <c r="P673" s="45"/>
      <c r="Q673" s="26"/>
      <c r="R673" s="32"/>
      <c r="S673" s="33">
        <f t="shared" si="403"/>
        <v>0</v>
      </c>
      <c r="T673" s="25"/>
      <c r="U673" s="45"/>
      <c r="V673" s="26"/>
      <c r="W673" s="32"/>
      <c r="X673" s="33">
        <f t="shared" si="404"/>
        <v>0</v>
      </c>
      <c r="Y673" s="11">
        <f t="shared" si="390"/>
        <v>0</v>
      </c>
    </row>
    <row r="674" spans="1:26" x14ac:dyDescent="0.15">
      <c r="A674" s="70" t="s">
        <v>30</v>
      </c>
      <c r="B674" s="25"/>
      <c r="C674" s="45"/>
      <c r="D674" s="26"/>
      <c r="E674" s="32"/>
      <c r="F674" s="33">
        <f t="shared" si="401"/>
        <v>0</v>
      </c>
      <c r="G674" s="25"/>
      <c r="H674" s="45">
        <v>1</v>
      </c>
      <c r="I674" s="26">
        <v>-1</v>
      </c>
      <c r="J674" s="32"/>
      <c r="K674" s="33">
        <f t="shared" si="402"/>
        <v>0</v>
      </c>
      <c r="L674" s="11">
        <f t="shared" si="398"/>
        <v>0</v>
      </c>
      <c r="M674" s="115">
        <v>45544</v>
      </c>
      <c r="N674" s="50"/>
      <c r="O674" s="25"/>
      <c r="P674" s="45"/>
      <c r="Q674" s="26"/>
      <c r="R674" s="32"/>
      <c r="S674" s="33">
        <f t="shared" si="403"/>
        <v>0</v>
      </c>
      <c r="T674" s="25"/>
      <c r="U674" s="45"/>
      <c r="V674" s="26"/>
      <c r="W674" s="32"/>
      <c r="X674" s="33">
        <f t="shared" si="404"/>
        <v>0</v>
      </c>
      <c r="Y674" s="11">
        <f t="shared" si="390"/>
        <v>0</v>
      </c>
    </row>
    <row r="675" spans="1:26" x14ac:dyDescent="0.15">
      <c r="A675" s="70" t="s">
        <v>437</v>
      </c>
      <c r="B675" s="25">
        <v>-3</v>
      </c>
      <c r="C675" s="45"/>
      <c r="D675" s="26"/>
      <c r="E675" s="32"/>
      <c r="F675" s="33">
        <f t="shared" si="401"/>
        <v>-3</v>
      </c>
      <c r="G675" s="25">
        <v>-3</v>
      </c>
      <c r="H675" s="45"/>
      <c r="I675" s="26"/>
      <c r="J675" s="32"/>
      <c r="K675" s="33">
        <f t="shared" si="402"/>
        <v>-3</v>
      </c>
      <c r="L675" s="11">
        <f t="shared" si="398"/>
        <v>-6</v>
      </c>
      <c r="M675" s="85">
        <v>45548</v>
      </c>
      <c r="N675" s="12"/>
      <c r="O675" s="25"/>
      <c r="P675" s="45"/>
      <c r="Q675" s="26"/>
      <c r="R675" s="32"/>
      <c r="S675" s="33">
        <f t="shared" si="403"/>
        <v>0</v>
      </c>
      <c r="T675" s="25"/>
      <c r="U675" s="45"/>
      <c r="V675" s="26"/>
      <c r="W675" s="32"/>
      <c r="X675" s="33">
        <f t="shared" si="404"/>
        <v>0</v>
      </c>
      <c r="Y675" s="93">
        <f t="shared" si="390"/>
        <v>0</v>
      </c>
    </row>
    <row r="676" spans="1:26" x14ac:dyDescent="0.15">
      <c r="A676" s="70" t="s">
        <v>30</v>
      </c>
      <c r="B676" s="25"/>
      <c r="C676" s="45"/>
      <c r="D676" s="26"/>
      <c r="E676" s="32">
        <v>2</v>
      </c>
      <c r="F676" s="33">
        <f t="shared" si="401"/>
        <v>2</v>
      </c>
      <c r="G676" s="25"/>
      <c r="H676" s="45"/>
      <c r="I676" s="26"/>
      <c r="J676" s="32">
        <v>2</v>
      </c>
      <c r="K676" s="33">
        <f t="shared" si="402"/>
        <v>2</v>
      </c>
      <c r="L676" s="11">
        <f t="shared" si="398"/>
        <v>4</v>
      </c>
      <c r="M676" s="85">
        <v>45548</v>
      </c>
      <c r="N676" s="12"/>
      <c r="O676" s="25"/>
      <c r="P676" s="45"/>
      <c r="Q676" s="26"/>
      <c r="R676" s="32"/>
      <c r="S676" s="33">
        <f t="shared" si="403"/>
        <v>0</v>
      </c>
      <c r="T676" s="25"/>
      <c r="U676" s="45"/>
      <c r="V676" s="26"/>
      <c r="W676" s="32"/>
      <c r="X676" s="33">
        <f t="shared" si="404"/>
        <v>0</v>
      </c>
      <c r="Y676" s="93">
        <f t="shared" si="390"/>
        <v>0</v>
      </c>
    </row>
    <row r="677" spans="1:26" x14ac:dyDescent="0.15">
      <c r="A677" s="70" t="s">
        <v>149</v>
      </c>
      <c r="B677" s="25"/>
      <c r="C677" s="45"/>
      <c r="D677" s="26"/>
      <c r="E677" s="32">
        <v>-3</v>
      </c>
      <c r="F677" s="33">
        <f t="shared" si="401"/>
        <v>-3</v>
      </c>
      <c r="G677" s="25"/>
      <c r="H677" s="45"/>
      <c r="I677" s="26"/>
      <c r="J677" s="32">
        <v>-3</v>
      </c>
      <c r="K677" s="33">
        <f t="shared" si="402"/>
        <v>-3</v>
      </c>
      <c r="L677" s="11">
        <f t="shared" si="398"/>
        <v>-6</v>
      </c>
      <c r="M677" s="85">
        <v>45552</v>
      </c>
      <c r="N677" s="50"/>
      <c r="O677" s="59"/>
      <c r="P677" s="60"/>
      <c r="Q677" s="61"/>
      <c r="R677" s="62"/>
      <c r="S677" s="63">
        <f t="shared" si="403"/>
        <v>0</v>
      </c>
      <c r="T677" s="59"/>
      <c r="U677" s="60"/>
      <c r="V677" s="61"/>
      <c r="W677" s="62"/>
      <c r="X677" s="63">
        <f t="shared" si="404"/>
        <v>0</v>
      </c>
      <c r="Y677" s="11">
        <f t="shared" si="390"/>
        <v>0</v>
      </c>
    </row>
    <row r="678" spans="1:26" x14ac:dyDescent="0.15">
      <c r="A678" s="70" t="s">
        <v>438</v>
      </c>
      <c r="B678" s="25">
        <v>1</v>
      </c>
      <c r="C678" s="45"/>
      <c r="D678" s="26"/>
      <c r="E678" s="32"/>
      <c r="F678" s="33">
        <f t="shared" si="401"/>
        <v>1</v>
      </c>
      <c r="G678" s="25"/>
      <c r="H678" s="45">
        <v>1</v>
      </c>
      <c r="I678" s="26"/>
      <c r="J678" s="32"/>
      <c r="K678" s="33">
        <f t="shared" si="402"/>
        <v>1</v>
      </c>
      <c r="L678" s="11">
        <f t="shared" si="398"/>
        <v>2</v>
      </c>
      <c r="M678" s="85">
        <v>45552</v>
      </c>
      <c r="N678" s="50"/>
      <c r="O678" s="59"/>
      <c r="P678" s="60"/>
      <c r="Q678" s="61"/>
      <c r="R678" s="62"/>
      <c r="S678" s="63">
        <f t="shared" si="403"/>
        <v>0</v>
      </c>
      <c r="T678" s="59"/>
      <c r="U678" s="60"/>
      <c r="V678" s="61"/>
      <c r="W678" s="62"/>
      <c r="X678" s="63">
        <f t="shared" si="404"/>
        <v>0</v>
      </c>
      <c r="Y678" s="11">
        <f t="shared" si="390"/>
        <v>0</v>
      </c>
    </row>
    <row r="679" spans="1:26" x14ac:dyDescent="0.15">
      <c r="A679" s="70" t="s">
        <v>30</v>
      </c>
      <c r="B679" s="25"/>
      <c r="C679" s="45"/>
      <c r="D679" s="26">
        <v>2</v>
      </c>
      <c r="E679" s="32"/>
      <c r="F679" s="33">
        <f t="shared" si="401"/>
        <v>2</v>
      </c>
      <c r="G679" s="25"/>
      <c r="H679" s="45"/>
      <c r="I679" s="26"/>
      <c r="J679" s="32"/>
      <c r="K679" s="33">
        <f t="shared" si="402"/>
        <v>0</v>
      </c>
      <c r="L679" s="93">
        <f t="shared" si="398"/>
        <v>2</v>
      </c>
      <c r="M679" s="85">
        <v>45552</v>
      </c>
      <c r="N679" s="134" t="s">
        <v>395</v>
      </c>
      <c r="O679" s="103"/>
      <c r="P679" s="104"/>
      <c r="Q679" s="105"/>
      <c r="R679" s="106"/>
      <c r="S679" s="135">
        <f t="shared" si="403"/>
        <v>0</v>
      </c>
      <c r="T679" s="103"/>
      <c r="U679" s="104"/>
      <c r="V679" s="105"/>
      <c r="W679" s="106"/>
      <c r="X679" s="135">
        <f t="shared" si="404"/>
        <v>0</v>
      </c>
      <c r="Y679" s="102">
        <f t="shared" si="390"/>
        <v>0</v>
      </c>
      <c r="Z679" s="159"/>
    </row>
    <row r="680" spans="1:26" ht="14.25" thickBot="1" x14ac:dyDescent="0.2">
      <c r="A680" s="138" t="s">
        <v>30</v>
      </c>
      <c r="B680" s="152"/>
      <c r="C680" s="153"/>
      <c r="D680" s="154">
        <v>1</v>
      </c>
      <c r="E680" s="155"/>
      <c r="F680" s="156">
        <f t="shared" si="401"/>
        <v>1</v>
      </c>
      <c r="G680" s="55"/>
      <c r="H680" s="56"/>
      <c r="I680" s="57"/>
      <c r="J680" s="58"/>
      <c r="K680" s="109">
        <f t="shared" si="402"/>
        <v>0</v>
      </c>
      <c r="L680" s="75">
        <f t="shared" si="398"/>
        <v>1</v>
      </c>
      <c r="M680" s="85">
        <v>45553</v>
      </c>
      <c r="N680" s="74" t="s">
        <v>394</v>
      </c>
      <c r="O680" s="55"/>
      <c r="P680" s="56"/>
      <c r="Q680" s="57"/>
      <c r="R680" s="58"/>
      <c r="S680" s="109">
        <f t="shared" si="403"/>
        <v>0</v>
      </c>
      <c r="T680" s="55"/>
      <c r="U680" s="56"/>
      <c r="V680" s="57"/>
      <c r="W680" s="58"/>
      <c r="X680" s="109">
        <f t="shared" si="404"/>
        <v>0</v>
      </c>
      <c r="Y680" s="107">
        <f t="shared" si="390"/>
        <v>0</v>
      </c>
      <c r="Z680" s="159" t="s">
        <v>396</v>
      </c>
    </row>
    <row r="681" spans="1:26" ht="14.25" thickBot="1" x14ac:dyDescent="0.2">
      <c r="A681" s="16" t="s">
        <v>10</v>
      </c>
      <c r="B681" s="160">
        <f>SUM(B656:B680)</f>
        <v>8</v>
      </c>
      <c r="C681" s="161">
        <f>SUM(C656:C680)</f>
        <v>6</v>
      </c>
      <c r="D681" s="162">
        <f>SUM(D656:D680)</f>
        <v>5</v>
      </c>
      <c r="E681" s="163">
        <f>SUM(E656:E680)</f>
        <v>6</v>
      </c>
      <c r="F681" s="34">
        <f>SUM(B681:E681)</f>
        <v>25</v>
      </c>
      <c r="G681" s="36">
        <f>SUM(G656:G680)</f>
        <v>5</v>
      </c>
      <c r="H681" s="46">
        <f>SUM(H656:H680)</f>
        <v>11</v>
      </c>
      <c r="I681" s="37">
        <f>SUM(I656:I680)</f>
        <v>4</v>
      </c>
      <c r="J681" s="38">
        <f>SUM(J656:J680)</f>
        <v>4</v>
      </c>
      <c r="K681" s="71">
        <f>SUM(G681:J681)</f>
        <v>24</v>
      </c>
      <c r="L681" s="75">
        <f t="shared" si="398"/>
        <v>49</v>
      </c>
      <c r="N681" s="72" t="s">
        <v>10</v>
      </c>
      <c r="O681" s="36">
        <f>SUM(O656:O680)</f>
        <v>98</v>
      </c>
      <c r="P681" s="46">
        <f>SUM(P656:P680)</f>
        <v>33</v>
      </c>
      <c r="Q681" s="37">
        <f>SUM(Q656:Q680)</f>
        <v>125</v>
      </c>
      <c r="R681" s="38">
        <f>SUM(R656:R680)</f>
        <v>48</v>
      </c>
      <c r="S681" s="71">
        <f t="shared" si="403"/>
        <v>304</v>
      </c>
      <c r="T681" s="36">
        <f>SUM(T656:T680)</f>
        <v>68</v>
      </c>
      <c r="U681" s="46">
        <f>SUM(U656:U680)</f>
        <v>120</v>
      </c>
      <c r="V681" s="37">
        <f>SUM(V656:V680)</f>
        <v>73</v>
      </c>
      <c r="W681" s="38">
        <f>SUM(W656:W680)</f>
        <v>53</v>
      </c>
      <c r="X681" s="71">
        <f t="shared" si="404"/>
        <v>314</v>
      </c>
      <c r="Y681" s="75">
        <f t="shared" si="390"/>
        <v>618</v>
      </c>
    </row>
    <row r="682" spans="1:26" ht="14.25" thickBot="1" x14ac:dyDescent="0.2">
      <c r="A682" s="21" t="s">
        <v>11</v>
      </c>
      <c r="B682" s="39">
        <f t="shared" ref="B682:K682" si="405">B655-B681</f>
        <v>8</v>
      </c>
      <c r="C682" s="47">
        <f t="shared" si="405"/>
        <v>9</v>
      </c>
      <c r="D682" s="40">
        <f t="shared" si="405"/>
        <v>5</v>
      </c>
      <c r="E682" s="41">
        <f t="shared" si="405"/>
        <v>8</v>
      </c>
      <c r="F682" s="54">
        <f t="shared" si="405"/>
        <v>30</v>
      </c>
      <c r="G682" s="39">
        <f t="shared" si="405"/>
        <v>9</v>
      </c>
      <c r="H682" s="47">
        <f t="shared" si="405"/>
        <v>7</v>
      </c>
      <c r="I682" s="40">
        <f t="shared" si="405"/>
        <v>9</v>
      </c>
      <c r="J682" s="41">
        <f t="shared" si="405"/>
        <v>9</v>
      </c>
      <c r="K682" s="54">
        <f t="shared" si="405"/>
        <v>34</v>
      </c>
      <c r="L682" s="20">
        <f t="shared" si="398"/>
        <v>64</v>
      </c>
      <c r="N682" s="16" t="s">
        <v>11</v>
      </c>
      <c r="O682" s="39">
        <f t="shared" ref="O682:X682" si="406">O655-O681</f>
        <v>456</v>
      </c>
      <c r="P682" s="47">
        <f t="shared" si="406"/>
        <v>472</v>
      </c>
      <c r="Q682" s="40">
        <f t="shared" si="406"/>
        <v>305</v>
      </c>
      <c r="R682" s="41">
        <f t="shared" si="406"/>
        <v>232</v>
      </c>
      <c r="S682" s="54">
        <f t="shared" si="406"/>
        <v>1465</v>
      </c>
      <c r="T682" s="39">
        <f t="shared" si="406"/>
        <v>418</v>
      </c>
      <c r="U682" s="47">
        <f t="shared" si="406"/>
        <v>449</v>
      </c>
      <c r="V682" s="40">
        <f t="shared" si="406"/>
        <v>383</v>
      </c>
      <c r="W682" s="41">
        <f t="shared" si="406"/>
        <v>203</v>
      </c>
      <c r="X682" s="54">
        <f t="shared" si="406"/>
        <v>1453</v>
      </c>
      <c r="Y682" s="20">
        <f t="shared" si="390"/>
        <v>2918</v>
      </c>
    </row>
    <row r="685" spans="1:26" ht="19.5" thickBot="1" x14ac:dyDescent="0.25">
      <c r="A685" s="2" t="s">
        <v>26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27</v>
      </c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6" ht="14.25" thickBot="1" x14ac:dyDescent="0.2">
      <c r="A686" s="5" t="s">
        <v>0</v>
      </c>
      <c r="B686" s="228" t="s">
        <v>19</v>
      </c>
      <c r="C686" s="229"/>
      <c r="D686" s="229"/>
      <c r="E686" s="229"/>
      <c r="F686" s="230"/>
      <c r="G686" s="231" t="s">
        <v>18</v>
      </c>
      <c r="H686" s="232"/>
      <c r="I686" s="232"/>
      <c r="J686" s="232"/>
      <c r="K686" s="233"/>
      <c r="L686" s="73" t="s">
        <v>1</v>
      </c>
      <c r="N686" s="5" t="s">
        <v>0</v>
      </c>
      <c r="O686" s="228" t="s">
        <v>19</v>
      </c>
      <c r="P686" s="229"/>
      <c r="Q686" s="229"/>
      <c r="R686" s="229"/>
      <c r="S686" s="230"/>
      <c r="T686" s="231" t="s">
        <v>18</v>
      </c>
      <c r="U686" s="232"/>
      <c r="V686" s="232"/>
      <c r="W686" s="232"/>
      <c r="X686" s="233"/>
      <c r="Y686" s="73" t="s">
        <v>1</v>
      </c>
    </row>
    <row r="687" spans="1:26" ht="14.25" thickBot="1" x14ac:dyDescent="0.2">
      <c r="A687" s="5" t="s">
        <v>2</v>
      </c>
      <c r="B687" s="3" t="s">
        <v>12</v>
      </c>
      <c r="C687" s="42" t="s">
        <v>13</v>
      </c>
      <c r="D687" s="4" t="s">
        <v>14</v>
      </c>
      <c r="E687" s="22" t="s">
        <v>15</v>
      </c>
      <c r="F687" s="30" t="s">
        <v>3</v>
      </c>
      <c r="G687" s="3" t="s">
        <v>12</v>
      </c>
      <c r="H687" s="42" t="s">
        <v>13</v>
      </c>
      <c r="I687" s="4" t="s">
        <v>14</v>
      </c>
      <c r="J687" s="22" t="s">
        <v>15</v>
      </c>
      <c r="K687" s="30" t="s">
        <v>3</v>
      </c>
      <c r="L687" s="74"/>
      <c r="N687" s="5" t="s">
        <v>2</v>
      </c>
      <c r="O687" s="64" t="s">
        <v>12</v>
      </c>
      <c r="P687" s="65" t="s">
        <v>13</v>
      </c>
      <c r="Q687" s="66" t="s">
        <v>14</v>
      </c>
      <c r="R687" s="67" t="s">
        <v>15</v>
      </c>
      <c r="S687" s="30" t="s">
        <v>3</v>
      </c>
      <c r="T687" s="3" t="s">
        <v>12</v>
      </c>
      <c r="U687" s="42" t="s">
        <v>13</v>
      </c>
      <c r="V687" s="4" t="s">
        <v>14</v>
      </c>
      <c r="W687" s="22" t="s">
        <v>15</v>
      </c>
      <c r="X687" s="30" t="s">
        <v>3</v>
      </c>
      <c r="Y687" s="74"/>
    </row>
    <row r="688" spans="1:26" ht="14.25" thickBot="1" x14ac:dyDescent="0.2">
      <c r="A688" s="21" t="s">
        <v>16</v>
      </c>
      <c r="B688" s="39">
        <f>B682</f>
        <v>8</v>
      </c>
      <c r="C688" s="40">
        <f>C682</f>
        <v>9</v>
      </c>
      <c r="D688" s="40">
        <f>D682</f>
        <v>5</v>
      </c>
      <c r="E688" s="41">
        <f>E682</f>
        <v>8</v>
      </c>
      <c r="F688" s="122">
        <f>SUM(B688:E688)</f>
        <v>30</v>
      </c>
      <c r="G688" s="39">
        <f>G682</f>
        <v>9</v>
      </c>
      <c r="H688" s="40">
        <f>H682</f>
        <v>7</v>
      </c>
      <c r="I688" s="40">
        <f>I682</f>
        <v>9</v>
      </c>
      <c r="J688" s="41">
        <f>J682</f>
        <v>9</v>
      </c>
      <c r="K688" s="123">
        <f>SUM(G688:J688)</f>
        <v>34</v>
      </c>
      <c r="L688" s="20">
        <f>F688+K688</f>
        <v>64</v>
      </c>
      <c r="N688" s="21" t="s">
        <v>16</v>
      </c>
      <c r="O688" s="39">
        <f>O682</f>
        <v>456</v>
      </c>
      <c r="P688" s="40">
        <f>P682</f>
        <v>472</v>
      </c>
      <c r="Q688" s="40">
        <f t="shared" ref="Q688:R688" si="407">Q682</f>
        <v>305</v>
      </c>
      <c r="R688" s="88">
        <f t="shared" si="407"/>
        <v>232</v>
      </c>
      <c r="S688" s="123">
        <f>SUM(O688:R688)</f>
        <v>1465</v>
      </c>
      <c r="T688" s="39">
        <f>T682</f>
        <v>418</v>
      </c>
      <c r="U688" s="40">
        <f>U682</f>
        <v>449</v>
      </c>
      <c r="V688" s="40">
        <f>V682</f>
        <v>383</v>
      </c>
      <c r="W688" s="41">
        <f>W682</f>
        <v>203</v>
      </c>
      <c r="X688" s="123">
        <f>SUM(T688:W688)</f>
        <v>1453</v>
      </c>
      <c r="Y688" s="20">
        <f t="shared" ref="Y688:Y720" si="408">S688+X688</f>
        <v>2918</v>
      </c>
    </row>
    <row r="689" spans="1:27" x14ac:dyDescent="0.15">
      <c r="A689" s="70" t="s">
        <v>5</v>
      </c>
      <c r="B689" s="6"/>
      <c r="C689" s="29"/>
      <c r="D689" s="7">
        <v>5</v>
      </c>
      <c r="E689" s="8"/>
      <c r="F689" s="9">
        <f t="shared" ref="F689:F690" si="409">SUM(B689:E689)</f>
        <v>5</v>
      </c>
      <c r="G689" s="29"/>
      <c r="H689" s="29">
        <v>5</v>
      </c>
      <c r="I689" s="7"/>
      <c r="J689" s="8"/>
      <c r="K689" s="9">
        <f t="shared" ref="K689:K690" si="410">SUM(G689:J689)</f>
        <v>5</v>
      </c>
      <c r="L689" s="11">
        <f t="shared" ref="L689:L690" si="411">F689+K689</f>
        <v>10</v>
      </c>
      <c r="M689" s="85">
        <v>45555</v>
      </c>
      <c r="N689" s="13" t="s">
        <v>17</v>
      </c>
      <c r="O689" s="25"/>
      <c r="P689" s="45"/>
      <c r="Q689" s="26"/>
      <c r="R689" s="32"/>
      <c r="S689" s="68">
        <f t="shared" ref="S689:S690" si="412">SUM(O689:R689)</f>
        <v>0</v>
      </c>
      <c r="T689" s="45"/>
      <c r="U689" s="45"/>
      <c r="V689" s="26"/>
      <c r="W689" s="48"/>
      <c r="X689" s="9">
        <f t="shared" ref="X689:X690" si="413">SUM(T689:W689)</f>
        <v>0</v>
      </c>
      <c r="Y689" s="11">
        <f t="shared" si="408"/>
        <v>0</v>
      </c>
    </row>
    <row r="690" spans="1:27" x14ac:dyDescent="0.15">
      <c r="A690" s="70" t="s">
        <v>6</v>
      </c>
      <c r="B690" s="6">
        <v>5</v>
      </c>
      <c r="C690" s="29">
        <v>5</v>
      </c>
      <c r="D690" s="7"/>
      <c r="E690" s="8"/>
      <c r="F690" s="9">
        <f t="shared" si="409"/>
        <v>10</v>
      </c>
      <c r="G690" s="29"/>
      <c r="H690" s="29"/>
      <c r="I690" s="7"/>
      <c r="J690" s="8"/>
      <c r="K690" s="9">
        <f t="shared" si="410"/>
        <v>0</v>
      </c>
      <c r="L690" s="11">
        <f t="shared" si="411"/>
        <v>10</v>
      </c>
      <c r="M690" s="85">
        <v>45565</v>
      </c>
      <c r="N690" s="13" t="s">
        <v>163</v>
      </c>
      <c r="O690" s="25"/>
      <c r="P690" s="45"/>
      <c r="Q690" s="26"/>
      <c r="R690" s="32">
        <v>66</v>
      </c>
      <c r="S690" s="68">
        <f t="shared" si="412"/>
        <v>66</v>
      </c>
      <c r="T690" s="45"/>
      <c r="U690" s="45"/>
      <c r="V690" s="26"/>
      <c r="W690" s="48">
        <v>46</v>
      </c>
      <c r="X690" s="9">
        <f t="shared" si="413"/>
        <v>46</v>
      </c>
      <c r="Y690" s="11">
        <f t="shared" si="408"/>
        <v>112</v>
      </c>
      <c r="Z690" s="85">
        <v>45611</v>
      </c>
    </row>
    <row r="691" spans="1:27" x14ac:dyDescent="0.15">
      <c r="A691" s="70" t="s">
        <v>7</v>
      </c>
      <c r="B691" s="6">
        <v>5</v>
      </c>
      <c r="C691" s="29">
        <v>5</v>
      </c>
      <c r="D691" s="7">
        <v>5</v>
      </c>
      <c r="E691" s="8">
        <v>5</v>
      </c>
      <c r="F691" s="9">
        <f t="shared" ref="F691:F692" si="414">SUM(B691:E691)</f>
        <v>20</v>
      </c>
      <c r="G691" s="29">
        <v>5</v>
      </c>
      <c r="H691" s="29">
        <v>5</v>
      </c>
      <c r="I691" s="7">
        <v>5</v>
      </c>
      <c r="J691" s="8">
        <v>5</v>
      </c>
      <c r="K691" s="9">
        <f t="shared" ref="K691:K692" si="415">SUM(G691:J691)</f>
        <v>20</v>
      </c>
      <c r="L691" s="11">
        <f t="shared" ref="L691:L720" si="416">F691+K691</f>
        <v>40</v>
      </c>
      <c r="M691" s="85">
        <v>45582</v>
      </c>
      <c r="N691" s="13" t="s">
        <v>6</v>
      </c>
      <c r="O691" s="25"/>
      <c r="P691" s="45"/>
      <c r="Q691" s="26"/>
      <c r="R691" s="32"/>
      <c r="S691" s="68">
        <f>SUM(O691:R691)</f>
        <v>0</v>
      </c>
      <c r="T691" s="45"/>
      <c r="U691" s="45"/>
      <c r="V691" s="26"/>
      <c r="W691" s="48"/>
      <c r="X691" s="9">
        <f>SUM(T691:W691)</f>
        <v>0</v>
      </c>
      <c r="Y691" s="11">
        <f t="shared" si="408"/>
        <v>0</v>
      </c>
    </row>
    <row r="692" spans="1:27" ht="14.25" thickBot="1" x14ac:dyDescent="0.2">
      <c r="A692" s="70" t="s">
        <v>8</v>
      </c>
      <c r="B692" s="125"/>
      <c r="C692" s="126"/>
      <c r="D692" s="127"/>
      <c r="E692" s="128"/>
      <c r="F692" s="129">
        <f t="shared" si="414"/>
        <v>0</v>
      </c>
      <c r="G692" s="126">
        <v>10</v>
      </c>
      <c r="H692" s="126"/>
      <c r="I692" s="127"/>
      <c r="J692" s="128"/>
      <c r="K692" s="129">
        <f t="shared" si="415"/>
        <v>10</v>
      </c>
      <c r="L692" s="14">
        <f t="shared" si="416"/>
        <v>10</v>
      </c>
      <c r="M692" s="85">
        <v>45594</v>
      </c>
      <c r="N692" s="13" t="s">
        <v>7</v>
      </c>
      <c r="O692" s="55"/>
      <c r="P692" s="56"/>
      <c r="Q692" s="57"/>
      <c r="R692" s="58"/>
      <c r="S692" s="69">
        <f>SUM(O692:R692)</f>
        <v>0</v>
      </c>
      <c r="T692" s="45"/>
      <c r="U692" s="45"/>
      <c r="V692" s="26"/>
      <c r="W692" s="48"/>
      <c r="X692" s="10">
        <f>SUM(T692:W692)</f>
        <v>0</v>
      </c>
      <c r="Y692" s="14">
        <f t="shared" si="408"/>
        <v>0</v>
      </c>
    </row>
    <row r="693" spans="1:27" ht="14.25" thickBot="1" x14ac:dyDescent="0.2">
      <c r="A693" s="21" t="s">
        <v>9</v>
      </c>
      <c r="B693" s="130">
        <f t="shared" ref="B693:K693" si="417">SUM(B688:B692)</f>
        <v>18</v>
      </c>
      <c r="C693" s="131">
        <f t="shared" si="417"/>
        <v>19</v>
      </c>
      <c r="D693" s="132">
        <f t="shared" si="417"/>
        <v>15</v>
      </c>
      <c r="E693" s="133">
        <f t="shared" si="417"/>
        <v>13</v>
      </c>
      <c r="F693" s="123">
        <f t="shared" si="417"/>
        <v>65</v>
      </c>
      <c r="G693" s="130">
        <f t="shared" si="417"/>
        <v>24</v>
      </c>
      <c r="H693" s="131">
        <f t="shared" si="417"/>
        <v>17</v>
      </c>
      <c r="I693" s="132">
        <f t="shared" si="417"/>
        <v>14</v>
      </c>
      <c r="J693" s="133">
        <f t="shared" si="417"/>
        <v>14</v>
      </c>
      <c r="K693" s="123">
        <f t="shared" si="417"/>
        <v>69</v>
      </c>
      <c r="L693" s="20">
        <f t="shared" si="416"/>
        <v>134</v>
      </c>
      <c r="N693" s="16" t="s">
        <v>9</v>
      </c>
      <c r="O693" s="39">
        <f t="shared" ref="O693:X693" si="418">SUM(O688:O692)</f>
        <v>456</v>
      </c>
      <c r="P693" s="47">
        <f t="shared" si="418"/>
        <v>472</v>
      </c>
      <c r="Q693" s="40">
        <f t="shared" si="418"/>
        <v>305</v>
      </c>
      <c r="R693" s="88">
        <f t="shared" si="418"/>
        <v>298</v>
      </c>
      <c r="S693" s="89">
        <f t="shared" si="418"/>
        <v>1531</v>
      </c>
      <c r="T693" s="39">
        <f t="shared" si="418"/>
        <v>418</v>
      </c>
      <c r="U693" s="47">
        <f t="shared" si="418"/>
        <v>449</v>
      </c>
      <c r="V693" s="40">
        <f t="shared" si="418"/>
        <v>383</v>
      </c>
      <c r="W693" s="88">
        <f t="shared" si="418"/>
        <v>249</v>
      </c>
      <c r="X693" s="89">
        <f t="shared" si="418"/>
        <v>1499</v>
      </c>
      <c r="Y693" s="49">
        <f t="shared" si="408"/>
        <v>3030</v>
      </c>
    </row>
    <row r="694" spans="1:27" x14ac:dyDescent="0.15">
      <c r="A694" s="70" t="s">
        <v>30</v>
      </c>
      <c r="B694" s="25">
        <v>1</v>
      </c>
      <c r="C694" s="45"/>
      <c r="D694" s="26"/>
      <c r="E694" s="32"/>
      <c r="F694" s="33">
        <f t="shared" ref="F694:F718" si="419">SUM(B694:E694)</f>
        <v>1</v>
      </c>
      <c r="G694" s="25"/>
      <c r="H694" s="45">
        <v>1</v>
      </c>
      <c r="I694" s="26"/>
      <c r="J694" s="32"/>
      <c r="K694" s="33">
        <f t="shared" ref="K694:K718" si="420">SUM(G694:J694)</f>
        <v>1</v>
      </c>
      <c r="L694" s="11">
        <f t="shared" si="416"/>
        <v>2</v>
      </c>
      <c r="M694" s="85">
        <v>45555</v>
      </c>
      <c r="N694" s="13" t="s">
        <v>441</v>
      </c>
      <c r="O694" s="25"/>
      <c r="P694" s="45"/>
      <c r="Q694" s="26">
        <v>5</v>
      </c>
      <c r="R694" s="32">
        <v>5</v>
      </c>
      <c r="S694" s="33">
        <f t="shared" ref="S694:S719" si="421">SUM(O694:R694)</f>
        <v>10</v>
      </c>
      <c r="T694" s="25"/>
      <c r="U694" s="45">
        <v>5</v>
      </c>
      <c r="V694" s="26">
        <v>5</v>
      </c>
      <c r="W694" s="32"/>
      <c r="X694" s="33">
        <f t="shared" ref="X694:X719" si="422">SUM(T694:W694)</f>
        <v>10</v>
      </c>
      <c r="Y694" s="11">
        <f t="shared" si="408"/>
        <v>20</v>
      </c>
      <c r="Z694" s="85">
        <v>45573</v>
      </c>
      <c r="AA694" s="51"/>
    </row>
    <row r="695" spans="1:27" x14ac:dyDescent="0.15">
      <c r="A695" s="70" t="s">
        <v>30</v>
      </c>
      <c r="B695" s="25">
        <v>1</v>
      </c>
      <c r="C695" s="45">
        <v>2</v>
      </c>
      <c r="D695" s="26">
        <v>3</v>
      </c>
      <c r="E695" s="32"/>
      <c r="F695" s="33">
        <f t="shared" si="419"/>
        <v>6</v>
      </c>
      <c r="G695" s="25"/>
      <c r="H695" s="45"/>
      <c r="I695" s="26"/>
      <c r="J695" s="32"/>
      <c r="K695" s="33">
        <f t="shared" si="420"/>
        <v>0</v>
      </c>
      <c r="L695" s="11">
        <f t="shared" si="416"/>
        <v>6</v>
      </c>
      <c r="M695" s="85">
        <v>45559</v>
      </c>
      <c r="N695" s="13" t="s">
        <v>442</v>
      </c>
      <c r="O695" s="25"/>
      <c r="P695" s="45"/>
      <c r="Q695" s="26"/>
      <c r="R695" s="32"/>
      <c r="S695" s="33">
        <f t="shared" si="421"/>
        <v>0</v>
      </c>
      <c r="T695" s="25"/>
      <c r="U695" s="45"/>
      <c r="V695" s="26"/>
      <c r="W695" s="32">
        <v>6</v>
      </c>
      <c r="X695" s="33">
        <f t="shared" si="422"/>
        <v>6</v>
      </c>
      <c r="Y695" s="11">
        <f t="shared" si="408"/>
        <v>6</v>
      </c>
      <c r="Z695" s="85">
        <v>45581</v>
      </c>
    </row>
    <row r="696" spans="1:27" x14ac:dyDescent="0.15">
      <c r="A696" s="70" t="s">
        <v>30</v>
      </c>
      <c r="B696" s="25"/>
      <c r="C696" s="45"/>
      <c r="D696" s="26"/>
      <c r="E696" s="32"/>
      <c r="F696" s="33">
        <f t="shared" si="419"/>
        <v>0</v>
      </c>
      <c r="G696" s="25">
        <v>1</v>
      </c>
      <c r="H696" s="45">
        <v>1</v>
      </c>
      <c r="I696" s="26"/>
      <c r="J696" s="32"/>
      <c r="K696" s="33">
        <f t="shared" si="420"/>
        <v>2</v>
      </c>
      <c r="L696" s="11">
        <f t="shared" si="416"/>
        <v>2</v>
      </c>
      <c r="M696" s="85">
        <v>45561</v>
      </c>
      <c r="N696" s="13" t="s">
        <v>443</v>
      </c>
      <c r="O696" s="25"/>
      <c r="P696" s="45">
        <v>5</v>
      </c>
      <c r="Q696" s="26"/>
      <c r="R696" s="32"/>
      <c r="S696" s="33">
        <f t="shared" si="421"/>
        <v>5</v>
      </c>
      <c r="T696" s="25"/>
      <c r="U696" s="45"/>
      <c r="V696" s="26"/>
      <c r="W696" s="32"/>
      <c r="X696" s="33">
        <f t="shared" si="422"/>
        <v>0</v>
      </c>
      <c r="Y696" s="11">
        <f t="shared" si="408"/>
        <v>5</v>
      </c>
      <c r="Z696" s="85">
        <v>45587</v>
      </c>
    </row>
    <row r="697" spans="1:27" x14ac:dyDescent="0.15">
      <c r="A697" s="70" t="s">
        <v>30</v>
      </c>
      <c r="B697" s="25"/>
      <c r="C697" s="45"/>
      <c r="D697" s="26"/>
      <c r="E697" s="32"/>
      <c r="F697" s="33">
        <f t="shared" si="419"/>
        <v>0</v>
      </c>
      <c r="G697" s="25"/>
      <c r="H697" s="45"/>
      <c r="I697" s="26">
        <v>1</v>
      </c>
      <c r="J697" s="32"/>
      <c r="K697" s="33">
        <f t="shared" si="420"/>
        <v>1</v>
      </c>
      <c r="L697" s="11">
        <f t="shared" si="416"/>
        <v>1</v>
      </c>
      <c r="M697" s="85">
        <v>45565</v>
      </c>
      <c r="N697" s="50" t="s">
        <v>28</v>
      </c>
      <c r="O697" s="25">
        <v>5</v>
      </c>
      <c r="P697" s="45">
        <v>5</v>
      </c>
      <c r="Q697" s="26">
        <v>5</v>
      </c>
      <c r="R697" s="32">
        <v>5</v>
      </c>
      <c r="S697" s="33">
        <f t="shared" si="421"/>
        <v>20</v>
      </c>
      <c r="T697" s="25">
        <v>5</v>
      </c>
      <c r="U697" s="45">
        <v>5</v>
      </c>
      <c r="V697" s="26">
        <v>5</v>
      </c>
      <c r="W697" s="32">
        <v>5</v>
      </c>
      <c r="X697" s="33">
        <f t="shared" si="422"/>
        <v>20</v>
      </c>
      <c r="Y697" s="11">
        <f t="shared" si="408"/>
        <v>40</v>
      </c>
      <c r="Z697" s="85">
        <v>45582</v>
      </c>
    </row>
    <row r="698" spans="1:27" x14ac:dyDescent="0.15">
      <c r="A698" s="70" t="s">
        <v>30</v>
      </c>
      <c r="B698" s="25"/>
      <c r="C698" s="45">
        <v>1</v>
      </c>
      <c r="D698" s="26"/>
      <c r="E698" s="32"/>
      <c r="F698" s="33">
        <f t="shared" si="419"/>
        <v>1</v>
      </c>
      <c r="G698" s="25"/>
      <c r="H698" s="45"/>
      <c r="I698" s="26"/>
      <c r="J698" s="32"/>
      <c r="K698" s="33">
        <f t="shared" si="420"/>
        <v>0</v>
      </c>
      <c r="L698" s="11">
        <f t="shared" si="416"/>
        <v>1</v>
      </c>
      <c r="M698" s="85">
        <v>45570</v>
      </c>
      <c r="N698" s="50" t="s">
        <v>28</v>
      </c>
      <c r="O698" s="25"/>
      <c r="P698" s="45"/>
      <c r="Q698" s="26"/>
      <c r="R698" s="32"/>
      <c r="S698" s="33">
        <f t="shared" si="421"/>
        <v>0</v>
      </c>
      <c r="T698" s="25">
        <v>10</v>
      </c>
      <c r="U698" s="45"/>
      <c r="V698" s="26"/>
      <c r="W698" s="32"/>
      <c r="X698" s="33">
        <f t="shared" si="422"/>
        <v>10</v>
      </c>
      <c r="Y698" s="11">
        <f t="shared" si="408"/>
        <v>10</v>
      </c>
      <c r="Z698" s="85">
        <v>45594</v>
      </c>
    </row>
    <row r="699" spans="1:27" x14ac:dyDescent="0.15">
      <c r="A699" s="70" t="s">
        <v>30</v>
      </c>
      <c r="B699" s="25"/>
      <c r="C699" s="45">
        <v>1</v>
      </c>
      <c r="D699" s="26"/>
      <c r="E699" s="32"/>
      <c r="F699" s="33">
        <f t="shared" si="419"/>
        <v>1</v>
      </c>
      <c r="G699" s="25">
        <f>1+1</f>
        <v>2</v>
      </c>
      <c r="H699" s="45"/>
      <c r="I699" s="26"/>
      <c r="J699" s="32"/>
      <c r="K699" s="33">
        <f t="shared" si="420"/>
        <v>2</v>
      </c>
      <c r="L699" s="11">
        <f t="shared" si="416"/>
        <v>3</v>
      </c>
      <c r="M699" s="85">
        <v>45572</v>
      </c>
      <c r="N699" s="13" t="s">
        <v>445</v>
      </c>
      <c r="O699" s="25"/>
      <c r="P699" s="45"/>
      <c r="Q699" s="26">
        <v>10</v>
      </c>
      <c r="R699" s="32"/>
      <c r="S699" s="33">
        <f t="shared" si="421"/>
        <v>10</v>
      </c>
      <c r="T699" s="25">
        <v>5</v>
      </c>
      <c r="U699" s="45"/>
      <c r="V699" s="26"/>
      <c r="W699" s="32"/>
      <c r="X699" s="33">
        <f t="shared" si="422"/>
        <v>5</v>
      </c>
      <c r="Y699" s="11">
        <f t="shared" si="408"/>
        <v>15</v>
      </c>
      <c r="Z699" s="85">
        <v>45603</v>
      </c>
    </row>
    <row r="700" spans="1:27" x14ac:dyDescent="0.15">
      <c r="A700" s="70" t="s">
        <v>30</v>
      </c>
      <c r="B700" s="25"/>
      <c r="C700" s="45"/>
      <c r="D700" s="26"/>
      <c r="E700" s="32"/>
      <c r="F700" s="33">
        <f t="shared" si="419"/>
        <v>0</v>
      </c>
      <c r="G700" s="25"/>
      <c r="H700" s="45"/>
      <c r="I700" s="26">
        <v>1</v>
      </c>
      <c r="J700" s="32"/>
      <c r="K700" s="33">
        <f t="shared" si="420"/>
        <v>1</v>
      </c>
      <c r="L700" s="11">
        <f t="shared" si="416"/>
        <v>1</v>
      </c>
      <c r="M700" s="85">
        <v>45575</v>
      </c>
      <c r="N700" s="13" t="s">
        <v>446</v>
      </c>
      <c r="O700" s="25"/>
      <c r="P700" s="45"/>
      <c r="Q700" s="26"/>
      <c r="R700" s="32"/>
      <c r="S700" s="33">
        <f t="shared" si="421"/>
        <v>0</v>
      </c>
      <c r="T700" s="25"/>
      <c r="U700" s="45">
        <v>5</v>
      </c>
      <c r="V700" s="26"/>
      <c r="W700" s="32"/>
      <c r="X700" s="33">
        <f t="shared" si="422"/>
        <v>5</v>
      </c>
      <c r="Y700" s="11">
        <f t="shared" si="408"/>
        <v>5</v>
      </c>
      <c r="Z700" s="85">
        <v>45608</v>
      </c>
    </row>
    <row r="701" spans="1:27" x14ac:dyDescent="0.15">
      <c r="A701" s="70" t="s">
        <v>30</v>
      </c>
      <c r="B701" s="25">
        <v>2</v>
      </c>
      <c r="C701" s="45">
        <v>2</v>
      </c>
      <c r="D701" s="26">
        <v>1</v>
      </c>
      <c r="E701" s="32">
        <v>2</v>
      </c>
      <c r="F701" s="33">
        <f t="shared" si="419"/>
        <v>7</v>
      </c>
      <c r="G701" s="25">
        <v>2</v>
      </c>
      <c r="H701" s="45">
        <v>1</v>
      </c>
      <c r="I701" s="26">
        <v>1</v>
      </c>
      <c r="J701" s="32">
        <v>1</v>
      </c>
      <c r="K701" s="33">
        <f t="shared" si="420"/>
        <v>5</v>
      </c>
      <c r="L701" s="11">
        <f t="shared" si="416"/>
        <v>12</v>
      </c>
      <c r="M701" s="85">
        <v>45580</v>
      </c>
      <c r="N701" s="50"/>
      <c r="O701" s="25"/>
      <c r="P701" s="45"/>
      <c r="Q701" s="26"/>
      <c r="R701" s="32"/>
      <c r="S701" s="33">
        <f t="shared" si="421"/>
        <v>0</v>
      </c>
      <c r="T701" s="25"/>
      <c r="U701" s="45"/>
      <c r="V701" s="26"/>
      <c r="W701" s="32"/>
      <c r="X701" s="33">
        <f t="shared" si="422"/>
        <v>0</v>
      </c>
      <c r="Y701" s="11">
        <f t="shared" si="408"/>
        <v>0</v>
      </c>
      <c r="Z701" s="159"/>
    </row>
    <row r="702" spans="1:27" x14ac:dyDescent="0.15">
      <c r="A702" s="70" t="s">
        <v>444</v>
      </c>
      <c r="B702" s="25"/>
      <c r="C702" s="45"/>
      <c r="D702" s="26"/>
      <c r="E702" s="32"/>
      <c r="F702" s="33">
        <f t="shared" si="419"/>
        <v>0</v>
      </c>
      <c r="G702" s="25">
        <v>1</v>
      </c>
      <c r="H702" s="45"/>
      <c r="I702" s="26"/>
      <c r="J702" s="32"/>
      <c r="K702" s="33">
        <f t="shared" si="420"/>
        <v>1</v>
      </c>
      <c r="L702" s="11">
        <f t="shared" si="416"/>
        <v>1</v>
      </c>
      <c r="M702" s="85">
        <v>45580</v>
      </c>
      <c r="N702" s="50"/>
      <c r="O702" s="25"/>
      <c r="P702" s="45"/>
      <c r="Q702" s="26"/>
      <c r="R702" s="32"/>
      <c r="S702" s="33">
        <f t="shared" si="421"/>
        <v>0</v>
      </c>
      <c r="T702" s="25"/>
      <c r="U702" s="45"/>
      <c r="V702" s="26"/>
      <c r="W702" s="32"/>
      <c r="X702" s="33">
        <f t="shared" si="422"/>
        <v>0</v>
      </c>
      <c r="Y702" s="11">
        <f t="shared" si="408"/>
        <v>0</v>
      </c>
      <c r="Z702" s="159"/>
    </row>
    <row r="703" spans="1:27" x14ac:dyDescent="0.15">
      <c r="A703" s="70" t="s">
        <v>30</v>
      </c>
      <c r="B703" s="25"/>
      <c r="C703" s="45">
        <v>2</v>
      </c>
      <c r="D703" s="26"/>
      <c r="E703" s="32"/>
      <c r="F703" s="33">
        <f t="shared" si="419"/>
        <v>2</v>
      </c>
      <c r="G703" s="25"/>
      <c r="H703" s="45"/>
      <c r="I703" s="26"/>
      <c r="J703" s="32"/>
      <c r="K703" s="33">
        <f t="shared" si="420"/>
        <v>0</v>
      </c>
      <c r="L703" s="11">
        <f t="shared" si="416"/>
        <v>2</v>
      </c>
      <c r="M703" s="85">
        <v>45581</v>
      </c>
      <c r="N703" s="50"/>
      <c r="O703" s="25"/>
      <c r="P703" s="45"/>
      <c r="Q703" s="26"/>
      <c r="R703" s="32"/>
      <c r="S703" s="33">
        <f t="shared" si="421"/>
        <v>0</v>
      </c>
      <c r="T703" s="25"/>
      <c r="U703" s="45"/>
      <c r="V703" s="26"/>
      <c r="W703" s="32"/>
      <c r="X703" s="33">
        <f t="shared" si="422"/>
        <v>0</v>
      </c>
      <c r="Y703" s="11">
        <f t="shared" si="408"/>
        <v>0</v>
      </c>
    </row>
    <row r="704" spans="1:27" x14ac:dyDescent="0.15">
      <c r="A704" s="70" t="s">
        <v>30</v>
      </c>
      <c r="B704" s="25"/>
      <c r="C704" s="45"/>
      <c r="D704" s="26">
        <v>1</v>
      </c>
      <c r="E704" s="32"/>
      <c r="F704" s="33">
        <f t="shared" si="419"/>
        <v>1</v>
      </c>
      <c r="G704" s="25"/>
      <c r="H704" s="45"/>
      <c r="I704" s="26"/>
      <c r="J704" s="32"/>
      <c r="K704" s="33">
        <f t="shared" si="420"/>
        <v>0</v>
      </c>
      <c r="L704" s="11">
        <f t="shared" si="416"/>
        <v>1</v>
      </c>
      <c r="M704" s="85">
        <v>45583</v>
      </c>
      <c r="N704" s="50"/>
      <c r="O704" s="25"/>
      <c r="P704" s="45"/>
      <c r="Q704" s="26"/>
      <c r="R704" s="32"/>
      <c r="S704" s="33">
        <f t="shared" si="421"/>
        <v>0</v>
      </c>
      <c r="T704" s="25"/>
      <c r="U704" s="45"/>
      <c r="V704" s="26"/>
      <c r="W704" s="32"/>
      <c r="X704" s="33">
        <f t="shared" si="422"/>
        <v>0</v>
      </c>
      <c r="Y704" s="11">
        <f t="shared" si="408"/>
        <v>0</v>
      </c>
    </row>
    <row r="705" spans="1:26" x14ac:dyDescent="0.15">
      <c r="A705" s="70" t="s">
        <v>30</v>
      </c>
      <c r="B705" s="25">
        <v>1</v>
      </c>
      <c r="C705" s="45"/>
      <c r="D705" s="26"/>
      <c r="E705" s="32"/>
      <c r="F705" s="33">
        <f t="shared" si="419"/>
        <v>1</v>
      </c>
      <c r="G705" s="25">
        <v>2</v>
      </c>
      <c r="H705" s="45"/>
      <c r="I705" s="26"/>
      <c r="J705" s="32"/>
      <c r="K705" s="33">
        <f t="shared" si="420"/>
        <v>2</v>
      </c>
      <c r="L705" s="11">
        <f t="shared" si="416"/>
        <v>3</v>
      </c>
      <c r="M705" s="85">
        <v>45588</v>
      </c>
      <c r="N705" s="50"/>
      <c r="O705" s="25"/>
      <c r="P705" s="45"/>
      <c r="Q705" s="26"/>
      <c r="R705" s="32"/>
      <c r="S705" s="33">
        <f t="shared" si="421"/>
        <v>0</v>
      </c>
      <c r="T705" s="25"/>
      <c r="U705" s="45"/>
      <c r="V705" s="26"/>
      <c r="W705" s="32"/>
      <c r="X705" s="33">
        <f t="shared" si="422"/>
        <v>0</v>
      </c>
      <c r="Y705" s="11">
        <f t="shared" si="408"/>
        <v>0</v>
      </c>
    </row>
    <row r="706" spans="1:26" x14ac:dyDescent="0.15">
      <c r="A706" s="70" t="s">
        <v>30</v>
      </c>
      <c r="B706" s="25">
        <v>1</v>
      </c>
      <c r="C706" s="45"/>
      <c r="D706" s="26"/>
      <c r="E706" s="32"/>
      <c r="F706" s="33">
        <f t="shared" si="419"/>
        <v>1</v>
      </c>
      <c r="G706" s="25"/>
      <c r="H706" s="45"/>
      <c r="I706" s="26"/>
      <c r="J706" s="32"/>
      <c r="K706" s="33">
        <f t="shared" si="420"/>
        <v>0</v>
      </c>
      <c r="L706" s="11">
        <f t="shared" si="416"/>
        <v>1</v>
      </c>
      <c r="M706" s="85">
        <v>45593</v>
      </c>
      <c r="N706" s="50"/>
      <c r="O706" s="25"/>
      <c r="P706" s="45"/>
      <c r="Q706" s="26"/>
      <c r="R706" s="32"/>
      <c r="S706" s="33">
        <f t="shared" si="421"/>
        <v>0</v>
      </c>
      <c r="T706" s="25"/>
      <c r="U706" s="45"/>
      <c r="V706" s="26"/>
      <c r="W706" s="32"/>
      <c r="X706" s="33">
        <f t="shared" si="422"/>
        <v>0</v>
      </c>
      <c r="Y706" s="11">
        <f t="shared" si="408"/>
        <v>0</v>
      </c>
    </row>
    <row r="707" spans="1:26" x14ac:dyDescent="0.15">
      <c r="A707" s="70" t="s">
        <v>30</v>
      </c>
      <c r="B707" s="25"/>
      <c r="C707" s="45"/>
      <c r="D707" s="26">
        <v>1</v>
      </c>
      <c r="E707" s="32"/>
      <c r="F707" s="33">
        <f t="shared" si="419"/>
        <v>1</v>
      </c>
      <c r="G707" s="25"/>
      <c r="H707" s="45"/>
      <c r="I707" s="26"/>
      <c r="J707" s="32"/>
      <c r="K707" s="33">
        <f t="shared" si="420"/>
        <v>0</v>
      </c>
      <c r="L707" s="11">
        <f t="shared" si="416"/>
        <v>1</v>
      </c>
      <c r="M707" s="85">
        <v>45598</v>
      </c>
      <c r="N707" s="50"/>
      <c r="O707" s="25"/>
      <c r="P707" s="45"/>
      <c r="Q707" s="26"/>
      <c r="R707" s="32"/>
      <c r="S707" s="33">
        <f t="shared" si="421"/>
        <v>0</v>
      </c>
      <c r="T707" s="25"/>
      <c r="U707" s="45"/>
      <c r="V707" s="26"/>
      <c r="W707" s="32"/>
      <c r="X707" s="33">
        <f t="shared" si="422"/>
        <v>0</v>
      </c>
      <c r="Y707" s="11">
        <f t="shared" si="408"/>
        <v>0</v>
      </c>
    </row>
    <row r="708" spans="1:26" x14ac:dyDescent="0.15">
      <c r="A708" s="70" t="s">
        <v>30</v>
      </c>
      <c r="B708" s="25">
        <v>1</v>
      </c>
      <c r="C708" s="45"/>
      <c r="D708" s="26"/>
      <c r="E708" s="32"/>
      <c r="F708" s="33">
        <f t="shared" si="419"/>
        <v>1</v>
      </c>
      <c r="G708" s="25"/>
      <c r="H708" s="45"/>
      <c r="I708" s="26"/>
      <c r="J708" s="32"/>
      <c r="K708" s="33">
        <f t="shared" si="420"/>
        <v>0</v>
      </c>
      <c r="L708" s="11">
        <f t="shared" si="416"/>
        <v>1</v>
      </c>
      <c r="M708" s="85">
        <v>45601</v>
      </c>
      <c r="N708" s="50"/>
      <c r="O708" s="25"/>
      <c r="P708" s="45"/>
      <c r="Q708" s="26"/>
      <c r="R708" s="32"/>
      <c r="S708" s="33">
        <f t="shared" si="421"/>
        <v>0</v>
      </c>
      <c r="T708" s="25"/>
      <c r="U708" s="45"/>
      <c r="V708" s="26"/>
      <c r="W708" s="32"/>
      <c r="X708" s="33">
        <f t="shared" si="422"/>
        <v>0</v>
      </c>
      <c r="Y708" s="11">
        <f t="shared" si="408"/>
        <v>0</v>
      </c>
    </row>
    <row r="709" spans="1:26" x14ac:dyDescent="0.15">
      <c r="A709" s="70" t="s">
        <v>240</v>
      </c>
      <c r="B709" s="25"/>
      <c r="C709" s="45"/>
      <c r="D709" s="26"/>
      <c r="E709" s="32"/>
      <c r="F709" s="33">
        <f t="shared" si="419"/>
        <v>0</v>
      </c>
      <c r="G709" s="25"/>
      <c r="H709" s="45">
        <v>1</v>
      </c>
      <c r="I709" s="26"/>
      <c r="J709" s="32"/>
      <c r="K709" s="33">
        <f t="shared" si="420"/>
        <v>1</v>
      </c>
      <c r="L709" s="11">
        <f t="shared" si="416"/>
        <v>1</v>
      </c>
      <c r="M709" s="85">
        <v>45602</v>
      </c>
      <c r="N709" s="50"/>
      <c r="O709" s="25"/>
      <c r="P709" s="45"/>
      <c r="Q709" s="26"/>
      <c r="R709" s="32"/>
      <c r="S709" s="33">
        <f t="shared" si="421"/>
        <v>0</v>
      </c>
      <c r="T709" s="25"/>
      <c r="U709" s="45"/>
      <c r="V709" s="26"/>
      <c r="W709" s="32"/>
      <c r="X709" s="33">
        <f t="shared" si="422"/>
        <v>0</v>
      </c>
      <c r="Y709" s="11">
        <f t="shared" si="408"/>
        <v>0</v>
      </c>
    </row>
    <row r="710" spans="1:26" x14ac:dyDescent="0.15">
      <c r="A710" s="70" t="s">
        <v>30</v>
      </c>
      <c r="B710" s="25"/>
      <c r="C710" s="45"/>
      <c r="D710" s="26"/>
      <c r="E710" s="32">
        <v>1</v>
      </c>
      <c r="F710" s="33">
        <f t="shared" si="419"/>
        <v>1</v>
      </c>
      <c r="G710" s="25"/>
      <c r="H710" s="45"/>
      <c r="I710" s="26"/>
      <c r="J710" s="32"/>
      <c r="K710" s="33">
        <f t="shared" si="420"/>
        <v>0</v>
      </c>
      <c r="L710" s="11">
        <f t="shared" si="416"/>
        <v>1</v>
      </c>
      <c r="M710" s="85">
        <v>45604</v>
      </c>
      <c r="N710" s="50"/>
      <c r="O710" s="25"/>
      <c r="P710" s="45"/>
      <c r="Q710" s="26"/>
      <c r="R710" s="32"/>
      <c r="S710" s="33">
        <f t="shared" si="421"/>
        <v>0</v>
      </c>
      <c r="T710" s="25"/>
      <c r="U710" s="45"/>
      <c r="V710" s="26"/>
      <c r="W710" s="32"/>
      <c r="X710" s="33">
        <f t="shared" si="422"/>
        <v>0</v>
      </c>
      <c r="Y710" s="11">
        <f t="shared" si="408"/>
        <v>0</v>
      </c>
    </row>
    <row r="711" spans="1:26" x14ac:dyDescent="0.15">
      <c r="A711" s="70" t="s">
        <v>30</v>
      </c>
      <c r="B711" s="25">
        <v>1</v>
      </c>
      <c r="C711" s="45">
        <v>1</v>
      </c>
      <c r="D711" s="26"/>
      <c r="E711" s="32">
        <v>2</v>
      </c>
      <c r="F711" s="33">
        <f t="shared" si="419"/>
        <v>4</v>
      </c>
      <c r="G711" s="25"/>
      <c r="H711" s="45"/>
      <c r="I711" s="26"/>
      <c r="J711" s="32">
        <v>1</v>
      </c>
      <c r="K711" s="33">
        <f t="shared" si="420"/>
        <v>1</v>
      </c>
      <c r="L711" s="11">
        <f t="shared" si="416"/>
        <v>5</v>
      </c>
      <c r="M711" s="115">
        <v>45607</v>
      </c>
      <c r="N711" s="50"/>
      <c r="O711" s="25"/>
      <c r="P711" s="45"/>
      <c r="Q711" s="26"/>
      <c r="R711" s="32"/>
      <c r="S711" s="33">
        <f t="shared" si="421"/>
        <v>0</v>
      </c>
      <c r="T711" s="25"/>
      <c r="U711" s="45"/>
      <c r="V711" s="26"/>
      <c r="W711" s="32"/>
      <c r="X711" s="33">
        <f t="shared" si="422"/>
        <v>0</v>
      </c>
      <c r="Y711" s="11">
        <f t="shared" si="408"/>
        <v>0</v>
      </c>
    </row>
    <row r="712" spans="1:26" x14ac:dyDescent="0.15">
      <c r="A712" s="70" t="s">
        <v>240</v>
      </c>
      <c r="B712" s="25"/>
      <c r="C712" s="45">
        <v>1</v>
      </c>
      <c r="D712" s="26"/>
      <c r="E712" s="32"/>
      <c r="F712" s="33">
        <f t="shared" si="419"/>
        <v>1</v>
      </c>
      <c r="G712" s="25"/>
      <c r="H712" s="45"/>
      <c r="I712" s="26"/>
      <c r="J712" s="32"/>
      <c r="K712" s="33">
        <f t="shared" si="420"/>
        <v>0</v>
      </c>
      <c r="L712" s="11">
        <f t="shared" si="416"/>
        <v>1</v>
      </c>
      <c r="M712" s="85">
        <v>45607</v>
      </c>
      <c r="N712" s="50"/>
      <c r="O712" s="25"/>
      <c r="P712" s="45"/>
      <c r="Q712" s="26"/>
      <c r="R712" s="32"/>
      <c r="S712" s="33">
        <f t="shared" si="421"/>
        <v>0</v>
      </c>
      <c r="T712" s="25"/>
      <c r="U712" s="45"/>
      <c r="V712" s="26"/>
      <c r="W712" s="32"/>
      <c r="X712" s="33">
        <f t="shared" si="422"/>
        <v>0</v>
      </c>
      <c r="Y712" s="11">
        <f t="shared" si="408"/>
        <v>0</v>
      </c>
    </row>
    <row r="713" spans="1:26" x14ac:dyDescent="0.15">
      <c r="A713" s="70" t="s">
        <v>30</v>
      </c>
      <c r="B713" s="25"/>
      <c r="C713" s="45"/>
      <c r="D713" s="26"/>
      <c r="E713" s="32"/>
      <c r="F713" s="33">
        <f t="shared" si="419"/>
        <v>0</v>
      </c>
      <c r="G713" s="25"/>
      <c r="H713" s="45">
        <v>1</v>
      </c>
      <c r="I713" s="26"/>
      <c r="J713" s="32"/>
      <c r="K713" s="33">
        <f t="shared" si="420"/>
        <v>1</v>
      </c>
      <c r="L713" s="11">
        <f t="shared" si="416"/>
        <v>1</v>
      </c>
      <c r="M713" s="115">
        <v>45614</v>
      </c>
      <c r="N713" s="12"/>
      <c r="O713" s="25"/>
      <c r="P713" s="45"/>
      <c r="Q713" s="26"/>
      <c r="R713" s="32"/>
      <c r="S713" s="33">
        <f t="shared" si="421"/>
        <v>0</v>
      </c>
      <c r="T713" s="25"/>
      <c r="U713" s="45"/>
      <c r="V713" s="26"/>
      <c r="W713" s="32"/>
      <c r="X713" s="33">
        <f t="shared" si="422"/>
        <v>0</v>
      </c>
      <c r="Y713" s="93">
        <f t="shared" si="408"/>
        <v>0</v>
      </c>
    </row>
    <row r="714" spans="1:26" x14ac:dyDescent="0.15">
      <c r="A714" s="70" t="s">
        <v>30</v>
      </c>
      <c r="B714" s="25"/>
      <c r="C714" s="45"/>
      <c r="D714" s="26"/>
      <c r="E714" s="32"/>
      <c r="F714" s="33">
        <f t="shared" si="419"/>
        <v>0</v>
      </c>
      <c r="G714" s="25"/>
      <c r="H714" s="45">
        <v>1</v>
      </c>
      <c r="I714" s="26"/>
      <c r="J714" s="32"/>
      <c r="K714" s="33">
        <f t="shared" si="420"/>
        <v>1</v>
      </c>
      <c r="L714" s="11">
        <f t="shared" si="416"/>
        <v>1</v>
      </c>
      <c r="M714" s="115">
        <v>45618</v>
      </c>
      <c r="N714" s="12"/>
      <c r="O714" s="25"/>
      <c r="P714" s="45"/>
      <c r="Q714" s="26"/>
      <c r="R714" s="32"/>
      <c r="S714" s="33">
        <f t="shared" si="421"/>
        <v>0</v>
      </c>
      <c r="T714" s="25"/>
      <c r="U714" s="45"/>
      <c r="V714" s="26"/>
      <c r="W714" s="32"/>
      <c r="X714" s="33">
        <f t="shared" si="422"/>
        <v>0</v>
      </c>
      <c r="Y714" s="93">
        <f t="shared" si="408"/>
        <v>0</v>
      </c>
    </row>
    <row r="715" spans="1:26" x14ac:dyDescent="0.15">
      <c r="A715" s="70" t="s">
        <v>30</v>
      </c>
      <c r="B715" s="25"/>
      <c r="C715" s="45">
        <v>2</v>
      </c>
      <c r="D715" s="26"/>
      <c r="E715" s="32"/>
      <c r="F715" s="33">
        <f t="shared" si="419"/>
        <v>2</v>
      </c>
      <c r="G715" s="25"/>
      <c r="H715" s="45"/>
      <c r="I715" s="26">
        <v>2</v>
      </c>
      <c r="J715" s="32"/>
      <c r="K715" s="33">
        <f t="shared" si="420"/>
        <v>2</v>
      </c>
      <c r="L715" s="11">
        <f t="shared" si="416"/>
        <v>4</v>
      </c>
      <c r="M715" s="85">
        <v>45621</v>
      </c>
      <c r="N715" s="50"/>
      <c r="O715" s="59"/>
      <c r="P715" s="60"/>
      <c r="Q715" s="61"/>
      <c r="R715" s="62"/>
      <c r="S715" s="63">
        <f t="shared" si="421"/>
        <v>0</v>
      </c>
      <c r="T715" s="59"/>
      <c r="U715" s="60"/>
      <c r="V715" s="61"/>
      <c r="W715" s="62"/>
      <c r="X715" s="63">
        <f t="shared" si="422"/>
        <v>0</v>
      </c>
      <c r="Y715" s="11">
        <f t="shared" si="408"/>
        <v>0</v>
      </c>
    </row>
    <row r="716" spans="1:26" x14ac:dyDescent="0.15">
      <c r="A716" s="70" t="s">
        <v>30</v>
      </c>
      <c r="B716" s="25">
        <v>1</v>
      </c>
      <c r="C716" s="45"/>
      <c r="D716" s="26">
        <v>1</v>
      </c>
      <c r="E716" s="32"/>
      <c r="F716" s="33">
        <f t="shared" si="419"/>
        <v>2</v>
      </c>
      <c r="G716" s="25"/>
      <c r="H716" s="45"/>
      <c r="I716" s="26"/>
      <c r="J716" s="32"/>
      <c r="K716" s="33">
        <f t="shared" si="420"/>
        <v>0</v>
      </c>
      <c r="L716" s="11">
        <f t="shared" si="416"/>
        <v>2</v>
      </c>
      <c r="M716" s="85">
        <v>45623</v>
      </c>
      <c r="N716" s="50"/>
      <c r="O716" s="59"/>
      <c r="P716" s="60"/>
      <c r="Q716" s="61"/>
      <c r="R716" s="62"/>
      <c r="S716" s="63">
        <f t="shared" si="421"/>
        <v>0</v>
      </c>
      <c r="T716" s="59"/>
      <c r="U716" s="60"/>
      <c r="V716" s="61"/>
      <c r="W716" s="62"/>
      <c r="X716" s="63">
        <f t="shared" si="422"/>
        <v>0</v>
      </c>
      <c r="Y716" s="11">
        <f t="shared" si="408"/>
        <v>0</v>
      </c>
    </row>
    <row r="717" spans="1:26" x14ac:dyDescent="0.15">
      <c r="A717" s="70" t="s">
        <v>240</v>
      </c>
      <c r="B717" s="25"/>
      <c r="C717" s="45"/>
      <c r="D717" s="26"/>
      <c r="E717" s="32"/>
      <c r="F717" s="33">
        <f t="shared" si="419"/>
        <v>0</v>
      </c>
      <c r="G717" s="25"/>
      <c r="H717" s="45"/>
      <c r="I717" s="26">
        <v>1</v>
      </c>
      <c r="J717" s="32"/>
      <c r="K717" s="33">
        <f t="shared" si="420"/>
        <v>1</v>
      </c>
      <c r="L717" s="93">
        <f t="shared" si="416"/>
        <v>1</v>
      </c>
      <c r="M717" s="85">
        <v>45624</v>
      </c>
      <c r="N717" s="96" t="s">
        <v>419</v>
      </c>
      <c r="O717" s="103"/>
      <c r="P717" s="104"/>
      <c r="Q717" s="105"/>
      <c r="R717" s="106"/>
      <c r="S717" s="135">
        <f t="shared" si="421"/>
        <v>0</v>
      </c>
      <c r="T717" s="103"/>
      <c r="U717" s="104"/>
      <c r="V717" s="105"/>
      <c r="W717" s="106"/>
      <c r="X717" s="135">
        <f t="shared" si="422"/>
        <v>0</v>
      </c>
      <c r="Y717" s="102">
        <f t="shared" si="408"/>
        <v>0</v>
      </c>
      <c r="Z717" s="159"/>
    </row>
    <row r="718" spans="1:26" ht="14.25" thickBot="1" x14ac:dyDescent="0.2">
      <c r="A718" s="70" t="s">
        <v>30</v>
      </c>
      <c r="B718" s="55"/>
      <c r="C718" s="56">
        <v>1</v>
      </c>
      <c r="D718" s="57"/>
      <c r="E718" s="58"/>
      <c r="F718" s="109">
        <f t="shared" si="419"/>
        <v>1</v>
      </c>
      <c r="G718" s="55"/>
      <c r="H718" s="56"/>
      <c r="I718" s="57"/>
      <c r="J718" s="58"/>
      <c r="K718" s="109">
        <f t="shared" si="420"/>
        <v>0</v>
      </c>
      <c r="L718" s="75">
        <f t="shared" si="416"/>
        <v>1</v>
      </c>
      <c r="M718" s="85">
        <v>45624</v>
      </c>
      <c r="N718" s="140" t="s">
        <v>418</v>
      </c>
      <c r="O718" s="55"/>
      <c r="P718" s="56"/>
      <c r="Q718" s="57"/>
      <c r="R718" s="58"/>
      <c r="S718" s="109">
        <f t="shared" si="421"/>
        <v>0</v>
      </c>
      <c r="T718" s="55"/>
      <c r="U718" s="56"/>
      <c r="V718" s="57"/>
      <c r="W718" s="58"/>
      <c r="X718" s="109">
        <f t="shared" si="422"/>
        <v>0</v>
      </c>
      <c r="Y718" s="107">
        <f t="shared" si="408"/>
        <v>0</v>
      </c>
      <c r="Z718" s="159" t="s">
        <v>428</v>
      </c>
    </row>
    <row r="719" spans="1:26" ht="14.25" thickBot="1" x14ac:dyDescent="0.2">
      <c r="A719" s="72" t="s">
        <v>10</v>
      </c>
      <c r="B719" s="36">
        <f>SUM(B694:B718)</f>
        <v>9</v>
      </c>
      <c r="C719" s="46">
        <f>SUM(C694:C718)</f>
        <v>13</v>
      </c>
      <c r="D719" s="37">
        <f>SUM(D694:D718)</f>
        <v>7</v>
      </c>
      <c r="E719" s="38">
        <f>SUM(E694:E718)</f>
        <v>5</v>
      </c>
      <c r="F719" s="71">
        <f>SUM(B719:E719)</f>
        <v>34</v>
      </c>
      <c r="G719" s="36">
        <f>SUM(G694:G718)</f>
        <v>8</v>
      </c>
      <c r="H719" s="46">
        <f>SUM(H694:H718)</f>
        <v>6</v>
      </c>
      <c r="I719" s="37">
        <f>SUM(I694:I718)</f>
        <v>6</v>
      </c>
      <c r="J719" s="38">
        <f>SUM(J694:J718)</f>
        <v>2</v>
      </c>
      <c r="K719" s="71">
        <f>SUM(G719:J719)</f>
        <v>22</v>
      </c>
      <c r="L719" s="75">
        <f t="shared" si="416"/>
        <v>56</v>
      </c>
      <c r="N719" s="72" t="s">
        <v>10</v>
      </c>
      <c r="O719" s="36">
        <f>SUM(O694:O718)</f>
        <v>5</v>
      </c>
      <c r="P719" s="46">
        <f>SUM(P694:P718)</f>
        <v>10</v>
      </c>
      <c r="Q719" s="37">
        <f>SUM(Q694:Q718)</f>
        <v>20</v>
      </c>
      <c r="R719" s="38">
        <f>SUM(R694:R718)</f>
        <v>10</v>
      </c>
      <c r="S719" s="71">
        <f t="shared" si="421"/>
        <v>45</v>
      </c>
      <c r="T719" s="36">
        <f>SUM(T694:T718)</f>
        <v>20</v>
      </c>
      <c r="U719" s="46">
        <f>SUM(U694:U718)</f>
        <v>15</v>
      </c>
      <c r="V719" s="37">
        <f>SUM(V694:V718)</f>
        <v>10</v>
      </c>
      <c r="W719" s="38">
        <f>SUM(W694:W718)</f>
        <v>11</v>
      </c>
      <c r="X719" s="71">
        <f t="shared" si="422"/>
        <v>56</v>
      </c>
      <c r="Y719" s="75">
        <f t="shared" si="408"/>
        <v>101</v>
      </c>
    </row>
    <row r="720" spans="1:26" ht="14.25" thickBot="1" x14ac:dyDescent="0.2">
      <c r="A720" s="21" t="s">
        <v>11</v>
      </c>
      <c r="B720" s="39">
        <f t="shared" ref="B720:K720" si="423">B693-B719</f>
        <v>9</v>
      </c>
      <c r="C720" s="47">
        <f t="shared" si="423"/>
        <v>6</v>
      </c>
      <c r="D720" s="40">
        <f t="shared" si="423"/>
        <v>8</v>
      </c>
      <c r="E720" s="41">
        <f t="shared" si="423"/>
        <v>8</v>
      </c>
      <c r="F720" s="54">
        <f t="shared" si="423"/>
        <v>31</v>
      </c>
      <c r="G720" s="39">
        <f t="shared" si="423"/>
        <v>16</v>
      </c>
      <c r="H720" s="47">
        <f t="shared" si="423"/>
        <v>11</v>
      </c>
      <c r="I720" s="40">
        <f t="shared" si="423"/>
        <v>8</v>
      </c>
      <c r="J720" s="41">
        <f t="shared" si="423"/>
        <v>12</v>
      </c>
      <c r="K720" s="54">
        <f t="shared" si="423"/>
        <v>47</v>
      </c>
      <c r="L720" s="20">
        <f t="shared" si="416"/>
        <v>78</v>
      </c>
      <c r="N720" s="16" t="s">
        <v>11</v>
      </c>
      <c r="O720" s="39">
        <f t="shared" ref="O720:X720" si="424">O693-O719</f>
        <v>451</v>
      </c>
      <c r="P720" s="47">
        <f t="shared" si="424"/>
        <v>462</v>
      </c>
      <c r="Q720" s="40">
        <f t="shared" si="424"/>
        <v>285</v>
      </c>
      <c r="R720" s="41">
        <f t="shared" si="424"/>
        <v>288</v>
      </c>
      <c r="S720" s="54">
        <f t="shared" si="424"/>
        <v>1486</v>
      </c>
      <c r="T720" s="39">
        <f t="shared" si="424"/>
        <v>398</v>
      </c>
      <c r="U720" s="47">
        <f t="shared" si="424"/>
        <v>434</v>
      </c>
      <c r="V720" s="40">
        <f t="shared" si="424"/>
        <v>373</v>
      </c>
      <c r="W720" s="41">
        <f t="shared" si="424"/>
        <v>238</v>
      </c>
      <c r="X720" s="54">
        <f t="shared" si="424"/>
        <v>1443</v>
      </c>
      <c r="Y720" s="20">
        <f t="shared" si="408"/>
        <v>2929</v>
      </c>
    </row>
    <row r="723" spans="1:26" ht="19.5" thickBot="1" x14ac:dyDescent="0.25">
      <c r="A723" s="2" t="s">
        <v>26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27</v>
      </c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6" ht="14.25" thickBot="1" x14ac:dyDescent="0.2">
      <c r="A724" s="5" t="s">
        <v>0</v>
      </c>
      <c r="B724" s="228" t="s">
        <v>19</v>
      </c>
      <c r="C724" s="229"/>
      <c r="D724" s="229"/>
      <c r="E724" s="229"/>
      <c r="F724" s="230"/>
      <c r="G724" s="231" t="s">
        <v>18</v>
      </c>
      <c r="H724" s="232"/>
      <c r="I724" s="232"/>
      <c r="J724" s="232"/>
      <c r="K724" s="233"/>
      <c r="L724" s="73" t="s">
        <v>1</v>
      </c>
      <c r="N724" s="5" t="s">
        <v>0</v>
      </c>
      <c r="O724" s="228" t="s">
        <v>19</v>
      </c>
      <c r="P724" s="229"/>
      <c r="Q724" s="229"/>
      <c r="R724" s="229"/>
      <c r="S724" s="230"/>
      <c r="T724" s="231" t="s">
        <v>18</v>
      </c>
      <c r="U724" s="232"/>
      <c r="V724" s="232"/>
      <c r="W724" s="232"/>
      <c r="X724" s="233"/>
      <c r="Y724" s="73" t="s">
        <v>1</v>
      </c>
    </row>
    <row r="725" spans="1:26" ht="14.25" thickBot="1" x14ac:dyDescent="0.2">
      <c r="A725" s="5" t="s">
        <v>2</v>
      </c>
      <c r="B725" s="3" t="s">
        <v>12</v>
      </c>
      <c r="C725" s="42" t="s">
        <v>13</v>
      </c>
      <c r="D725" s="4" t="s">
        <v>14</v>
      </c>
      <c r="E725" s="22" t="s">
        <v>15</v>
      </c>
      <c r="F725" s="30" t="s">
        <v>3</v>
      </c>
      <c r="G725" s="3" t="s">
        <v>12</v>
      </c>
      <c r="H725" s="42" t="s">
        <v>13</v>
      </c>
      <c r="I725" s="4" t="s">
        <v>14</v>
      </c>
      <c r="J725" s="22" t="s">
        <v>15</v>
      </c>
      <c r="K725" s="30" t="s">
        <v>3</v>
      </c>
      <c r="L725" s="74"/>
      <c r="N725" s="5" t="s">
        <v>2</v>
      </c>
      <c r="O725" s="64" t="s">
        <v>12</v>
      </c>
      <c r="P725" s="65" t="s">
        <v>13</v>
      </c>
      <c r="Q725" s="66" t="s">
        <v>14</v>
      </c>
      <c r="R725" s="67" t="s">
        <v>15</v>
      </c>
      <c r="S725" s="30" t="s">
        <v>3</v>
      </c>
      <c r="T725" s="3" t="s">
        <v>12</v>
      </c>
      <c r="U725" s="42" t="s">
        <v>13</v>
      </c>
      <c r="V725" s="4" t="s">
        <v>14</v>
      </c>
      <c r="W725" s="22" t="s">
        <v>15</v>
      </c>
      <c r="X725" s="30" t="s">
        <v>3</v>
      </c>
      <c r="Y725" s="74"/>
    </row>
    <row r="726" spans="1:26" ht="14.25" thickBot="1" x14ac:dyDescent="0.2">
      <c r="A726" s="21" t="s">
        <v>16</v>
      </c>
      <c r="B726" s="39">
        <f>B720</f>
        <v>9</v>
      </c>
      <c r="C726" s="40">
        <f>C720</f>
        <v>6</v>
      </c>
      <c r="D726" s="40">
        <f>D720</f>
        <v>8</v>
      </c>
      <c r="E726" s="41">
        <f>E720</f>
        <v>8</v>
      </c>
      <c r="F726" s="122">
        <f>SUM(B726:E726)</f>
        <v>31</v>
      </c>
      <c r="G726" s="39">
        <f>G720</f>
        <v>16</v>
      </c>
      <c r="H726" s="40">
        <f>H720</f>
        <v>11</v>
      </c>
      <c r="I726" s="40">
        <f>I720</f>
        <v>8</v>
      </c>
      <c r="J726" s="41">
        <f>J720</f>
        <v>12</v>
      </c>
      <c r="K726" s="123">
        <f>SUM(G726:J726)</f>
        <v>47</v>
      </c>
      <c r="L726" s="20">
        <f>F726+K726</f>
        <v>78</v>
      </c>
      <c r="N726" s="21" t="s">
        <v>16</v>
      </c>
      <c r="O726" s="39">
        <f>O720</f>
        <v>451</v>
      </c>
      <c r="P726" s="40">
        <f>P720</f>
        <v>462</v>
      </c>
      <c r="Q726" s="40">
        <f t="shared" ref="Q726:R726" si="425">Q720</f>
        <v>285</v>
      </c>
      <c r="R726" s="88">
        <f t="shared" si="425"/>
        <v>288</v>
      </c>
      <c r="S726" s="123">
        <f>SUM(O726:R726)</f>
        <v>1486</v>
      </c>
      <c r="T726" s="39">
        <f>T720</f>
        <v>398</v>
      </c>
      <c r="U726" s="40">
        <f>U720</f>
        <v>434</v>
      </c>
      <c r="V726" s="40">
        <f>V720</f>
        <v>373</v>
      </c>
      <c r="W726" s="41">
        <f>W720</f>
        <v>238</v>
      </c>
      <c r="X726" s="123">
        <f>SUM(T726:W726)</f>
        <v>1443</v>
      </c>
      <c r="Y726" s="20">
        <f t="shared" ref="Y726:Y758" si="426">S726+X726</f>
        <v>2929</v>
      </c>
    </row>
    <row r="727" spans="1:26" x14ac:dyDescent="0.15">
      <c r="A727" s="70" t="s">
        <v>422</v>
      </c>
      <c r="B727" s="6">
        <v>1</v>
      </c>
      <c r="C727" s="29">
        <v>6</v>
      </c>
      <c r="D727" s="7">
        <v>3</v>
      </c>
      <c r="E727" s="8">
        <v>4</v>
      </c>
      <c r="F727" s="9">
        <f t="shared" ref="F727:F728" si="427">SUM(B727:E727)</f>
        <v>14</v>
      </c>
      <c r="G727" s="29">
        <v>5</v>
      </c>
      <c r="H727" s="29">
        <v>4</v>
      </c>
      <c r="I727" s="7">
        <v>2</v>
      </c>
      <c r="J727" s="8">
        <v>7</v>
      </c>
      <c r="K727" s="9">
        <f t="shared" ref="K727:K728" si="428">SUM(G727:J727)</f>
        <v>18</v>
      </c>
      <c r="L727" s="11">
        <f t="shared" ref="L727:L728" si="429">F727+K727</f>
        <v>32</v>
      </c>
      <c r="M727" s="85">
        <v>45630</v>
      </c>
      <c r="N727" s="13" t="s">
        <v>17</v>
      </c>
      <c r="O727" s="25"/>
      <c r="P727" s="45"/>
      <c r="Q727" s="26"/>
      <c r="R727" s="32"/>
      <c r="S727" s="68">
        <f t="shared" ref="S727:S728" si="430">SUM(O727:R727)</f>
        <v>0</v>
      </c>
      <c r="T727" s="45"/>
      <c r="U727" s="45"/>
      <c r="V727" s="26"/>
      <c r="W727" s="48"/>
      <c r="X727" s="9">
        <f t="shared" ref="X727:X728" si="431">SUM(T727:W727)</f>
        <v>0</v>
      </c>
      <c r="Y727" s="11">
        <f t="shared" ref="Y727:Y728" si="432">S727+X727</f>
        <v>0</v>
      </c>
    </row>
    <row r="728" spans="1:26" x14ac:dyDescent="0.15">
      <c r="A728" s="70" t="s">
        <v>6</v>
      </c>
      <c r="B728" s="6">
        <v>5</v>
      </c>
      <c r="C728" s="29">
        <v>5</v>
      </c>
      <c r="D728" s="7"/>
      <c r="E728" s="8"/>
      <c r="F728" s="9">
        <f t="shared" si="427"/>
        <v>10</v>
      </c>
      <c r="G728" s="29"/>
      <c r="H728" s="29"/>
      <c r="I728" s="7"/>
      <c r="J728" s="8"/>
      <c r="K728" s="9">
        <f t="shared" si="428"/>
        <v>0</v>
      </c>
      <c r="L728" s="11">
        <f t="shared" si="429"/>
        <v>10</v>
      </c>
      <c r="M728" s="85">
        <v>45642</v>
      </c>
      <c r="N728" s="13" t="s">
        <v>5</v>
      </c>
      <c r="O728" s="25"/>
      <c r="P728" s="45"/>
      <c r="Q728" s="26"/>
      <c r="R728" s="32"/>
      <c r="S728" s="68">
        <f t="shared" si="430"/>
        <v>0</v>
      </c>
      <c r="T728" s="45"/>
      <c r="U728" s="45"/>
      <c r="V728" s="26"/>
      <c r="W728" s="48"/>
      <c r="X728" s="9">
        <f t="shared" si="431"/>
        <v>0</v>
      </c>
      <c r="Y728" s="11">
        <f t="shared" si="432"/>
        <v>0</v>
      </c>
    </row>
    <row r="729" spans="1:26" x14ac:dyDescent="0.15">
      <c r="A729" s="70" t="s">
        <v>7</v>
      </c>
      <c r="B729" s="6"/>
      <c r="C729" s="29"/>
      <c r="D729" s="7"/>
      <c r="E729" s="8"/>
      <c r="F729" s="9">
        <f t="shared" ref="F729:F730" si="433">SUM(B729:E729)</f>
        <v>0</v>
      </c>
      <c r="G729" s="29"/>
      <c r="H729" s="29"/>
      <c r="I729" s="7"/>
      <c r="J729" s="8"/>
      <c r="K729" s="9">
        <f t="shared" ref="K729:K730" si="434">SUM(G729:J729)</f>
        <v>0</v>
      </c>
      <c r="L729" s="11">
        <f t="shared" ref="L729:L758" si="435">F729+K729</f>
        <v>0</v>
      </c>
      <c r="M729" s="85"/>
      <c r="N729" s="13" t="s">
        <v>6</v>
      </c>
      <c r="O729" s="25"/>
      <c r="P729" s="45"/>
      <c r="Q729" s="26"/>
      <c r="R729" s="32"/>
      <c r="S729" s="68">
        <f>SUM(O729:R729)</f>
        <v>0</v>
      </c>
      <c r="T729" s="45"/>
      <c r="U729" s="45"/>
      <c r="V729" s="26"/>
      <c r="W729" s="48"/>
      <c r="X729" s="9">
        <f>SUM(T729:W729)</f>
        <v>0</v>
      </c>
      <c r="Y729" s="11">
        <f t="shared" si="426"/>
        <v>0</v>
      </c>
    </row>
    <row r="730" spans="1:26" ht="14.25" thickBot="1" x14ac:dyDescent="0.2">
      <c r="A730" s="70" t="s">
        <v>8</v>
      </c>
      <c r="B730" s="125"/>
      <c r="C730" s="126"/>
      <c r="D730" s="127"/>
      <c r="E730" s="128"/>
      <c r="F730" s="129">
        <f t="shared" si="433"/>
        <v>0</v>
      </c>
      <c r="G730" s="126"/>
      <c r="H730" s="126"/>
      <c r="I730" s="127"/>
      <c r="J730" s="128"/>
      <c r="K730" s="129">
        <f t="shared" si="434"/>
        <v>0</v>
      </c>
      <c r="L730" s="14">
        <f t="shared" si="435"/>
        <v>0</v>
      </c>
      <c r="M730" s="85"/>
      <c r="N730" s="13" t="s">
        <v>7</v>
      </c>
      <c r="O730" s="55"/>
      <c r="P730" s="56"/>
      <c r="Q730" s="57"/>
      <c r="R730" s="58"/>
      <c r="S730" s="69">
        <f>SUM(O730:R730)</f>
        <v>0</v>
      </c>
      <c r="T730" s="45"/>
      <c r="U730" s="45"/>
      <c r="V730" s="26"/>
      <c r="W730" s="48"/>
      <c r="X730" s="10">
        <f>SUM(T730:W730)</f>
        <v>0</v>
      </c>
      <c r="Y730" s="14">
        <f t="shared" si="426"/>
        <v>0</v>
      </c>
    </row>
    <row r="731" spans="1:26" ht="14.25" thickBot="1" x14ac:dyDescent="0.2">
      <c r="A731" s="21" t="s">
        <v>9</v>
      </c>
      <c r="B731" s="130">
        <f t="shared" ref="B731:K731" si="436">SUM(B726:B730)</f>
        <v>15</v>
      </c>
      <c r="C731" s="131">
        <f t="shared" si="436"/>
        <v>17</v>
      </c>
      <c r="D731" s="132">
        <f t="shared" si="436"/>
        <v>11</v>
      </c>
      <c r="E731" s="133">
        <f t="shared" si="436"/>
        <v>12</v>
      </c>
      <c r="F731" s="123">
        <f t="shared" si="436"/>
        <v>55</v>
      </c>
      <c r="G731" s="130">
        <f t="shared" si="436"/>
        <v>21</v>
      </c>
      <c r="H731" s="131">
        <f t="shared" si="436"/>
        <v>15</v>
      </c>
      <c r="I731" s="132">
        <f t="shared" si="436"/>
        <v>10</v>
      </c>
      <c r="J731" s="133">
        <f t="shared" si="436"/>
        <v>19</v>
      </c>
      <c r="K731" s="123">
        <f t="shared" si="436"/>
        <v>65</v>
      </c>
      <c r="L731" s="20">
        <f t="shared" si="435"/>
        <v>120</v>
      </c>
      <c r="N731" s="16" t="s">
        <v>9</v>
      </c>
      <c r="O731" s="39">
        <f t="shared" ref="O731:X731" si="437">SUM(O726:O730)</f>
        <v>451</v>
      </c>
      <c r="P731" s="47">
        <f t="shared" si="437"/>
        <v>462</v>
      </c>
      <c r="Q731" s="40">
        <f t="shared" si="437"/>
        <v>285</v>
      </c>
      <c r="R731" s="88">
        <f t="shared" si="437"/>
        <v>288</v>
      </c>
      <c r="S731" s="89">
        <f t="shared" si="437"/>
        <v>1486</v>
      </c>
      <c r="T731" s="39">
        <f t="shared" si="437"/>
        <v>398</v>
      </c>
      <c r="U731" s="47">
        <f t="shared" si="437"/>
        <v>434</v>
      </c>
      <c r="V731" s="40">
        <f t="shared" si="437"/>
        <v>373</v>
      </c>
      <c r="W731" s="88">
        <f t="shared" si="437"/>
        <v>238</v>
      </c>
      <c r="X731" s="89">
        <f t="shared" si="437"/>
        <v>1443</v>
      </c>
      <c r="Y731" s="49">
        <f t="shared" si="426"/>
        <v>2929</v>
      </c>
    </row>
    <row r="732" spans="1:26" x14ac:dyDescent="0.15">
      <c r="A732" s="70" t="s">
        <v>30</v>
      </c>
      <c r="B732" s="25">
        <v>1</v>
      </c>
      <c r="C732" s="45"/>
      <c r="D732" s="26"/>
      <c r="E732" s="32"/>
      <c r="F732" s="33">
        <f t="shared" ref="F732:F735" si="438">SUM(B732:E732)</f>
        <v>1</v>
      </c>
      <c r="G732" s="25"/>
      <c r="H732" s="45">
        <v>1</v>
      </c>
      <c r="I732" s="26"/>
      <c r="J732" s="32"/>
      <c r="K732" s="33">
        <f t="shared" ref="K732:K735" si="439">SUM(G732:J732)</f>
        <v>1</v>
      </c>
      <c r="L732" s="11">
        <f t="shared" ref="L732:L735" si="440">F732+K732</f>
        <v>2</v>
      </c>
      <c r="M732" s="85">
        <v>45628</v>
      </c>
      <c r="N732" s="13" t="s">
        <v>450</v>
      </c>
      <c r="O732" s="25"/>
      <c r="P732" s="45"/>
      <c r="Q732" s="26"/>
      <c r="R732" s="32"/>
      <c r="S732" s="33">
        <f t="shared" ref="S732:S757" si="441">SUM(O732:R732)</f>
        <v>0</v>
      </c>
      <c r="T732" s="25">
        <v>5</v>
      </c>
      <c r="U732" s="45"/>
      <c r="V732" s="26"/>
      <c r="W732" s="32"/>
      <c r="X732" s="33">
        <f t="shared" ref="X732:X757" si="442">SUM(T732:W732)</f>
        <v>5</v>
      </c>
      <c r="Y732" s="11">
        <f t="shared" si="426"/>
        <v>5</v>
      </c>
      <c r="Z732" s="85">
        <v>45644</v>
      </c>
    </row>
    <row r="733" spans="1:26" x14ac:dyDescent="0.15">
      <c r="A733" s="70" t="s">
        <v>30</v>
      </c>
      <c r="B733" s="25"/>
      <c r="C733" s="45">
        <v>2</v>
      </c>
      <c r="D733" s="26"/>
      <c r="E733" s="32"/>
      <c r="F733" s="33">
        <f t="shared" si="438"/>
        <v>2</v>
      </c>
      <c r="G733" s="25"/>
      <c r="H733" s="45"/>
      <c r="I733" s="26"/>
      <c r="J733" s="32"/>
      <c r="K733" s="33">
        <f t="shared" si="439"/>
        <v>0</v>
      </c>
      <c r="L733" s="11">
        <f t="shared" si="440"/>
        <v>2</v>
      </c>
      <c r="M733" s="85">
        <v>45631</v>
      </c>
      <c r="N733" s="50" t="s">
        <v>28</v>
      </c>
      <c r="O733" s="25">
        <v>5</v>
      </c>
      <c r="P733" s="45">
        <v>5</v>
      </c>
      <c r="Q733" s="26"/>
      <c r="R733" s="32"/>
      <c r="S733" s="33">
        <f t="shared" si="441"/>
        <v>10</v>
      </c>
      <c r="T733" s="25"/>
      <c r="U733" s="45"/>
      <c r="V733" s="26"/>
      <c r="W733" s="32"/>
      <c r="X733" s="33">
        <f t="shared" si="442"/>
        <v>0</v>
      </c>
      <c r="Y733" s="11">
        <f t="shared" si="426"/>
        <v>10</v>
      </c>
      <c r="Z733" s="85">
        <v>45642</v>
      </c>
    </row>
    <row r="734" spans="1:26" x14ac:dyDescent="0.15">
      <c r="A734" s="70" t="s">
        <v>30</v>
      </c>
      <c r="B734" s="25">
        <v>1</v>
      </c>
      <c r="C734" s="45"/>
      <c r="D734" s="26"/>
      <c r="E734" s="32"/>
      <c r="F734" s="33">
        <f t="shared" si="438"/>
        <v>1</v>
      </c>
      <c r="G734" s="25">
        <v>1</v>
      </c>
      <c r="H734" s="45"/>
      <c r="I734" s="26"/>
      <c r="J734" s="32"/>
      <c r="K734" s="33">
        <f t="shared" si="439"/>
        <v>1</v>
      </c>
      <c r="L734" s="11">
        <f t="shared" si="440"/>
        <v>2</v>
      </c>
      <c r="M734" s="85">
        <v>45632</v>
      </c>
      <c r="N734" s="13" t="s">
        <v>452</v>
      </c>
      <c r="O734" s="25"/>
      <c r="P734" s="45"/>
      <c r="Q734" s="26"/>
      <c r="R734" s="32">
        <v>5</v>
      </c>
      <c r="S734" s="33">
        <f t="shared" si="441"/>
        <v>5</v>
      </c>
      <c r="T734" s="25"/>
      <c r="U734" s="45"/>
      <c r="V734" s="26"/>
      <c r="W734" s="32"/>
      <c r="X734" s="33">
        <f t="shared" si="442"/>
        <v>0</v>
      </c>
      <c r="Y734" s="11">
        <f t="shared" si="426"/>
        <v>5</v>
      </c>
      <c r="Z734" s="85">
        <v>45651</v>
      </c>
    </row>
    <row r="735" spans="1:26" x14ac:dyDescent="0.15">
      <c r="A735" s="70" t="s">
        <v>30</v>
      </c>
      <c r="B735" s="25">
        <v>1</v>
      </c>
      <c r="C735" s="45"/>
      <c r="D735" s="26"/>
      <c r="E735" s="32"/>
      <c r="F735" s="33">
        <f t="shared" si="438"/>
        <v>1</v>
      </c>
      <c r="G735" s="25"/>
      <c r="H735" s="45"/>
      <c r="I735" s="26"/>
      <c r="J735" s="32"/>
      <c r="K735" s="33">
        <f t="shared" si="439"/>
        <v>0</v>
      </c>
      <c r="L735" s="11">
        <f t="shared" si="440"/>
        <v>1</v>
      </c>
      <c r="M735" s="85">
        <v>45635</v>
      </c>
      <c r="N735" s="50"/>
      <c r="O735" s="25"/>
      <c r="P735" s="45"/>
      <c r="Q735" s="26"/>
      <c r="R735" s="32"/>
      <c r="S735" s="33">
        <f t="shared" si="441"/>
        <v>0</v>
      </c>
      <c r="T735" s="25"/>
      <c r="U735" s="45"/>
      <c r="V735" s="26"/>
      <c r="W735" s="32"/>
      <c r="X735" s="33">
        <f t="shared" si="442"/>
        <v>0</v>
      </c>
      <c r="Y735" s="11">
        <f t="shared" si="426"/>
        <v>0</v>
      </c>
      <c r="Z735" s="159"/>
    </row>
    <row r="736" spans="1:26" x14ac:dyDescent="0.15">
      <c r="A736" s="70" t="s">
        <v>30</v>
      </c>
      <c r="B736" s="25">
        <v>1</v>
      </c>
      <c r="C736" s="45"/>
      <c r="D736" s="26"/>
      <c r="E736" s="32"/>
      <c r="F736" s="33">
        <f t="shared" ref="F736:F756" si="443">SUM(B736:E736)</f>
        <v>1</v>
      </c>
      <c r="G736" s="25"/>
      <c r="H736" s="45"/>
      <c r="I736" s="26"/>
      <c r="J736" s="32"/>
      <c r="K736" s="33">
        <f t="shared" ref="K736:K756" si="444">SUM(G736:J736)</f>
        <v>0</v>
      </c>
      <c r="L736" s="11">
        <f t="shared" si="435"/>
        <v>1</v>
      </c>
      <c r="M736" s="85">
        <v>45636</v>
      </c>
      <c r="N736" s="50"/>
      <c r="O736" s="25"/>
      <c r="P736" s="45"/>
      <c r="Q736" s="26"/>
      <c r="R736" s="32"/>
      <c r="S736" s="33">
        <f t="shared" si="441"/>
        <v>0</v>
      </c>
      <c r="T736" s="25"/>
      <c r="U736" s="45"/>
      <c r="V736" s="26"/>
      <c r="W736" s="32"/>
      <c r="X736" s="33">
        <f t="shared" si="442"/>
        <v>0</v>
      </c>
      <c r="Y736" s="11">
        <f t="shared" si="426"/>
        <v>0</v>
      </c>
      <c r="Z736" s="159"/>
    </row>
    <row r="737" spans="1:25" x14ac:dyDescent="0.15">
      <c r="A737" s="70" t="s">
        <v>30</v>
      </c>
      <c r="B737" s="25"/>
      <c r="C737" s="45"/>
      <c r="D737" s="26">
        <v>1</v>
      </c>
      <c r="E737" s="32"/>
      <c r="F737" s="33">
        <f t="shared" si="443"/>
        <v>1</v>
      </c>
      <c r="G737" s="25"/>
      <c r="H737" s="45"/>
      <c r="I737" s="26"/>
      <c r="J737" s="32"/>
      <c r="K737" s="33">
        <f t="shared" si="444"/>
        <v>0</v>
      </c>
      <c r="L737" s="11">
        <f t="shared" si="435"/>
        <v>1</v>
      </c>
      <c r="M737" s="85">
        <v>45637</v>
      </c>
      <c r="N737" s="50"/>
      <c r="O737" s="25"/>
      <c r="P737" s="45"/>
      <c r="Q737" s="26"/>
      <c r="R737" s="32"/>
      <c r="S737" s="33">
        <f t="shared" si="441"/>
        <v>0</v>
      </c>
      <c r="T737" s="25"/>
      <c r="U737" s="45"/>
      <c r="V737" s="26"/>
      <c r="W737" s="32"/>
      <c r="X737" s="33">
        <f t="shared" si="442"/>
        <v>0</v>
      </c>
      <c r="Y737" s="11">
        <f t="shared" si="426"/>
        <v>0</v>
      </c>
    </row>
    <row r="738" spans="1:25" x14ac:dyDescent="0.15">
      <c r="A738" s="70" t="s">
        <v>30</v>
      </c>
      <c r="B738" s="25"/>
      <c r="C738" s="45">
        <v>1</v>
      </c>
      <c r="D738" s="26"/>
      <c r="E738" s="32"/>
      <c r="F738" s="33">
        <f t="shared" si="443"/>
        <v>1</v>
      </c>
      <c r="G738" s="25"/>
      <c r="H738" s="45">
        <v>1</v>
      </c>
      <c r="I738" s="26"/>
      <c r="J738" s="32"/>
      <c r="K738" s="33">
        <f t="shared" si="444"/>
        <v>1</v>
      </c>
      <c r="L738" s="11">
        <f t="shared" si="435"/>
        <v>2</v>
      </c>
      <c r="M738" s="85">
        <v>45639</v>
      </c>
      <c r="N738" s="50"/>
      <c r="O738" s="25"/>
      <c r="P738" s="45"/>
      <c r="Q738" s="26"/>
      <c r="R738" s="32"/>
      <c r="S738" s="33">
        <f t="shared" si="441"/>
        <v>0</v>
      </c>
      <c r="T738" s="25"/>
      <c r="U738" s="45"/>
      <c r="V738" s="26"/>
      <c r="W738" s="32"/>
      <c r="X738" s="33">
        <f t="shared" si="442"/>
        <v>0</v>
      </c>
      <c r="Y738" s="11">
        <f t="shared" si="426"/>
        <v>0</v>
      </c>
    </row>
    <row r="739" spans="1:25" x14ac:dyDescent="0.15">
      <c r="A739" s="70" t="s">
        <v>30</v>
      </c>
      <c r="B739" s="25">
        <v>1</v>
      </c>
      <c r="C739" s="45"/>
      <c r="D739" s="26"/>
      <c r="E739" s="32"/>
      <c r="F739" s="33">
        <f t="shared" si="443"/>
        <v>1</v>
      </c>
      <c r="G739" s="25"/>
      <c r="H739" s="45"/>
      <c r="I739" s="26"/>
      <c r="J739" s="32"/>
      <c r="K739" s="33">
        <f t="shared" si="444"/>
        <v>0</v>
      </c>
      <c r="L739" s="11">
        <f t="shared" si="435"/>
        <v>1</v>
      </c>
      <c r="M739" s="85">
        <v>45642</v>
      </c>
      <c r="N739" s="50"/>
      <c r="O739" s="25"/>
      <c r="P739" s="45"/>
      <c r="Q739" s="26"/>
      <c r="R739" s="32"/>
      <c r="S739" s="33">
        <f t="shared" si="441"/>
        <v>0</v>
      </c>
      <c r="T739" s="25"/>
      <c r="U739" s="45"/>
      <c r="V739" s="26"/>
      <c r="W739" s="32"/>
      <c r="X739" s="33">
        <f t="shared" si="442"/>
        <v>0</v>
      </c>
      <c r="Y739" s="11">
        <f t="shared" si="426"/>
        <v>0</v>
      </c>
    </row>
    <row r="740" spans="1:25" x14ac:dyDescent="0.15">
      <c r="A740" s="70" t="s">
        <v>451</v>
      </c>
      <c r="B740" s="25"/>
      <c r="C740" s="45"/>
      <c r="D740" s="26"/>
      <c r="E740" s="32"/>
      <c r="F740" s="33">
        <f t="shared" si="443"/>
        <v>0</v>
      </c>
      <c r="G740" s="25"/>
      <c r="H740" s="45"/>
      <c r="I740" s="26"/>
      <c r="J740" s="32">
        <v>1</v>
      </c>
      <c r="K740" s="33">
        <f t="shared" si="444"/>
        <v>1</v>
      </c>
      <c r="L740" s="11">
        <f t="shared" si="435"/>
        <v>1</v>
      </c>
      <c r="M740" s="85">
        <v>45642</v>
      </c>
      <c r="N740" s="50"/>
      <c r="O740" s="25"/>
      <c r="P740" s="45"/>
      <c r="Q740" s="26"/>
      <c r="R740" s="32"/>
      <c r="S740" s="33">
        <f t="shared" si="441"/>
        <v>0</v>
      </c>
      <c r="T740" s="25"/>
      <c r="U740" s="45"/>
      <c r="V740" s="26"/>
      <c r="W740" s="32"/>
      <c r="X740" s="33">
        <f t="shared" si="442"/>
        <v>0</v>
      </c>
      <c r="Y740" s="11">
        <f t="shared" si="426"/>
        <v>0</v>
      </c>
    </row>
    <row r="741" spans="1:25" x14ac:dyDescent="0.15">
      <c r="A741" s="70" t="s">
        <v>30</v>
      </c>
      <c r="B741" s="25">
        <v>1</v>
      </c>
      <c r="C741" s="45"/>
      <c r="D741" s="26"/>
      <c r="E741" s="32"/>
      <c r="F741" s="33">
        <f t="shared" si="443"/>
        <v>1</v>
      </c>
      <c r="G741" s="25">
        <v>1</v>
      </c>
      <c r="H741" s="45"/>
      <c r="I741" s="26">
        <v>1</v>
      </c>
      <c r="J741" s="32"/>
      <c r="K741" s="33">
        <f t="shared" si="444"/>
        <v>2</v>
      </c>
      <c r="L741" s="11">
        <f t="shared" si="435"/>
        <v>3</v>
      </c>
      <c r="M741" s="85">
        <v>45645</v>
      </c>
      <c r="N741" s="50"/>
      <c r="O741" s="25"/>
      <c r="P741" s="45"/>
      <c r="Q741" s="26"/>
      <c r="R741" s="32"/>
      <c r="S741" s="33">
        <f t="shared" si="441"/>
        <v>0</v>
      </c>
      <c r="T741" s="25"/>
      <c r="U741" s="45"/>
      <c r="V741" s="26"/>
      <c r="W741" s="32"/>
      <c r="X741" s="33">
        <f t="shared" si="442"/>
        <v>0</v>
      </c>
      <c r="Y741" s="11">
        <f t="shared" si="426"/>
        <v>0</v>
      </c>
    </row>
    <row r="742" spans="1:25" x14ac:dyDescent="0.15">
      <c r="A742" s="70" t="s">
        <v>30</v>
      </c>
      <c r="B742" s="25"/>
      <c r="C742" s="45">
        <v>1</v>
      </c>
      <c r="D742" s="26"/>
      <c r="E742" s="32"/>
      <c r="F742" s="33">
        <f t="shared" si="443"/>
        <v>1</v>
      </c>
      <c r="G742" s="25"/>
      <c r="H742" s="45"/>
      <c r="I742" s="26"/>
      <c r="J742" s="32"/>
      <c r="K742" s="33">
        <f t="shared" si="444"/>
        <v>0</v>
      </c>
      <c r="L742" s="11">
        <f t="shared" si="435"/>
        <v>1</v>
      </c>
      <c r="M742" s="85">
        <v>45647</v>
      </c>
      <c r="N742" s="50"/>
      <c r="O742" s="25"/>
      <c r="P742" s="45"/>
      <c r="Q742" s="26"/>
      <c r="R742" s="32"/>
      <c r="S742" s="33">
        <f t="shared" si="441"/>
        <v>0</v>
      </c>
      <c r="T742" s="25"/>
      <c r="U742" s="45"/>
      <c r="V742" s="26"/>
      <c r="W742" s="32"/>
      <c r="X742" s="33">
        <f t="shared" si="442"/>
        <v>0</v>
      </c>
      <c r="Y742" s="11">
        <f t="shared" si="426"/>
        <v>0</v>
      </c>
    </row>
    <row r="743" spans="1:25" x14ac:dyDescent="0.15">
      <c r="A743" s="70" t="s">
        <v>30</v>
      </c>
      <c r="B743" s="25"/>
      <c r="C743" s="45"/>
      <c r="D743" s="26"/>
      <c r="E743" s="32"/>
      <c r="F743" s="33">
        <f t="shared" si="443"/>
        <v>0</v>
      </c>
      <c r="G743" s="25">
        <v>1</v>
      </c>
      <c r="H743" s="45"/>
      <c r="I743" s="26"/>
      <c r="J743" s="32"/>
      <c r="K743" s="33">
        <f t="shared" si="444"/>
        <v>1</v>
      </c>
      <c r="L743" s="11">
        <f t="shared" si="435"/>
        <v>1</v>
      </c>
      <c r="M743" s="85">
        <v>45652</v>
      </c>
      <c r="N743" s="50"/>
      <c r="O743" s="25"/>
      <c r="P743" s="45"/>
      <c r="Q743" s="26"/>
      <c r="R743" s="32"/>
      <c r="S743" s="33">
        <f t="shared" si="441"/>
        <v>0</v>
      </c>
      <c r="T743" s="25"/>
      <c r="U743" s="45"/>
      <c r="V743" s="26"/>
      <c r="W743" s="32"/>
      <c r="X743" s="33">
        <f t="shared" si="442"/>
        <v>0</v>
      </c>
      <c r="Y743" s="11">
        <f t="shared" si="426"/>
        <v>0</v>
      </c>
    </row>
    <row r="744" spans="1:25" x14ac:dyDescent="0.15">
      <c r="A744" s="70" t="s">
        <v>30</v>
      </c>
      <c r="B744" s="25"/>
      <c r="C744" s="45">
        <v>1</v>
      </c>
      <c r="D744" s="26"/>
      <c r="E744" s="32"/>
      <c r="F744" s="33">
        <f t="shared" si="443"/>
        <v>1</v>
      </c>
      <c r="G744" s="25"/>
      <c r="H744" s="45"/>
      <c r="I744" s="26"/>
      <c r="J744" s="32"/>
      <c r="K744" s="33">
        <f t="shared" si="444"/>
        <v>0</v>
      </c>
      <c r="L744" s="11">
        <f t="shared" si="435"/>
        <v>1</v>
      </c>
      <c r="M744" s="85">
        <v>45653</v>
      </c>
      <c r="N744" s="50"/>
      <c r="O744" s="25"/>
      <c r="P744" s="45"/>
      <c r="Q744" s="26"/>
      <c r="R744" s="32"/>
      <c r="S744" s="33">
        <f t="shared" si="441"/>
        <v>0</v>
      </c>
      <c r="T744" s="25"/>
      <c r="U744" s="45"/>
      <c r="V744" s="26"/>
      <c r="W744" s="32"/>
      <c r="X744" s="33">
        <f t="shared" si="442"/>
        <v>0</v>
      </c>
      <c r="Y744" s="11">
        <f t="shared" si="426"/>
        <v>0</v>
      </c>
    </row>
    <row r="745" spans="1:25" x14ac:dyDescent="0.15">
      <c r="A745" s="70" t="s">
        <v>30</v>
      </c>
      <c r="B745" s="25"/>
      <c r="C745" s="45"/>
      <c r="D745" s="26"/>
      <c r="E745" s="32"/>
      <c r="F745" s="33">
        <f t="shared" si="443"/>
        <v>0</v>
      </c>
      <c r="G745" s="25"/>
      <c r="H745" s="45"/>
      <c r="I745" s="26"/>
      <c r="J745" s="32">
        <v>1</v>
      </c>
      <c r="K745" s="33">
        <f t="shared" si="444"/>
        <v>1</v>
      </c>
      <c r="L745" s="11">
        <f t="shared" si="435"/>
        <v>1</v>
      </c>
      <c r="M745" s="85">
        <v>45663</v>
      </c>
      <c r="N745" s="50"/>
      <c r="O745" s="25"/>
      <c r="P745" s="45"/>
      <c r="Q745" s="26"/>
      <c r="R745" s="32"/>
      <c r="S745" s="33">
        <f t="shared" si="441"/>
        <v>0</v>
      </c>
      <c r="T745" s="25"/>
      <c r="U745" s="45"/>
      <c r="V745" s="26"/>
      <c r="W745" s="32"/>
      <c r="X745" s="33">
        <f t="shared" si="442"/>
        <v>0</v>
      </c>
      <c r="Y745" s="11">
        <f t="shared" si="426"/>
        <v>0</v>
      </c>
    </row>
    <row r="746" spans="1:25" x14ac:dyDescent="0.15">
      <c r="A746" s="70" t="s">
        <v>30</v>
      </c>
      <c r="B746" s="25"/>
      <c r="C746" s="45"/>
      <c r="D746" s="26">
        <v>1</v>
      </c>
      <c r="E746" s="32"/>
      <c r="F746" s="33">
        <f t="shared" si="443"/>
        <v>1</v>
      </c>
      <c r="G746" s="25"/>
      <c r="H746" s="45"/>
      <c r="I746" s="26"/>
      <c r="J746" s="32"/>
      <c r="K746" s="33">
        <f t="shared" si="444"/>
        <v>0</v>
      </c>
      <c r="L746" s="11">
        <f t="shared" si="435"/>
        <v>1</v>
      </c>
      <c r="M746" s="85">
        <v>45664</v>
      </c>
      <c r="N746" s="50"/>
      <c r="O746" s="25"/>
      <c r="P746" s="45"/>
      <c r="Q746" s="26"/>
      <c r="R746" s="32"/>
      <c r="S746" s="33">
        <f t="shared" si="441"/>
        <v>0</v>
      </c>
      <c r="T746" s="25"/>
      <c r="U746" s="45"/>
      <c r="V746" s="26"/>
      <c r="W746" s="32"/>
      <c r="X746" s="33">
        <f t="shared" si="442"/>
        <v>0</v>
      </c>
      <c r="Y746" s="11">
        <f t="shared" si="426"/>
        <v>0</v>
      </c>
    </row>
    <row r="747" spans="1:25" x14ac:dyDescent="0.15">
      <c r="A747" s="70"/>
      <c r="B747" s="25"/>
      <c r="C747" s="45"/>
      <c r="D747" s="26"/>
      <c r="E747" s="32"/>
      <c r="F747" s="33">
        <f t="shared" si="443"/>
        <v>0</v>
      </c>
      <c r="G747" s="25"/>
      <c r="H747" s="45"/>
      <c r="I747" s="26"/>
      <c r="J747" s="32"/>
      <c r="K747" s="33">
        <f t="shared" si="444"/>
        <v>0</v>
      </c>
      <c r="L747" s="11">
        <f t="shared" si="435"/>
        <v>0</v>
      </c>
      <c r="M747" s="85"/>
      <c r="N747" s="50"/>
      <c r="O747" s="25"/>
      <c r="P747" s="45"/>
      <c r="Q747" s="26"/>
      <c r="R747" s="32"/>
      <c r="S747" s="33">
        <f t="shared" si="441"/>
        <v>0</v>
      </c>
      <c r="T747" s="25"/>
      <c r="U747" s="45"/>
      <c r="V747" s="26"/>
      <c r="W747" s="32"/>
      <c r="X747" s="33">
        <f t="shared" si="442"/>
        <v>0</v>
      </c>
      <c r="Y747" s="11">
        <f t="shared" si="426"/>
        <v>0</v>
      </c>
    </row>
    <row r="748" spans="1:25" x14ac:dyDescent="0.15">
      <c r="A748" s="15"/>
      <c r="B748" s="25"/>
      <c r="C748" s="45"/>
      <c r="D748" s="26"/>
      <c r="E748" s="32"/>
      <c r="F748" s="33">
        <f t="shared" si="443"/>
        <v>0</v>
      </c>
      <c r="G748" s="25"/>
      <c r="H748" s="45"/>
      <c r="I748" s="26"/>
      <c r="J748" s="32"/>
      <c r="K748" s="33">
        <f t="shared" si="444"/>
        <v>0</v>
      </c>
      <c r="L748" s="11">
        <f t="shared" si="435"/>
        <v>0</v>
      </c>
      <c r="M748" s="85"/>
      <c r="N748" s="50"/>
      <c r="O748" s="25"/>
      <c r="P748" s="45"/>
      <c r="Q748" s="26"/>
      <c r="R748" s="32"/>
      <c r="S748" s="33">
        <f t="shared" si="441"/>
        <v>0</v>
      </c>
      <c r="T748" s="25"/>
      <c r="U748" s="45"/>
      <c r="V748" s="26"/>
      <c r="W748" s="32"/>
      <c r="X748" s="33">
        <f t="shared" si="442"/>
        <v>0</v>
      </c>
      <c r="Y748" s="11">
        <f t="shared" si="426"/>
        <v>0</v>
      </c>
    </row>
    <row r="749" spans="1:25" x14ac:dyDescent="0.15">
      <c r="A749" s="70"/>
      <c r="B749" s="25"/>
      <c r="C749" s="45"/>
      <c r="D749" s="26"/>
      <c r="E749" s="32"/>
      <c r="F749" s="33">
        <f t="shared" si="443"/>
        <v>0</v>
      </c>
      <c r="G749" s="25"/>
      <c r="H749" s="45"/>
      <c r="I749" s="26"/>
      <c r="J749" s="32"/>
      <c r="K749" s="33">
        <f t="shared" si="444"/>
        <v>0</v>
      </c>
      <c r="L749" s="11">
        <f t="shared" si="435"/>
        <v>0</v>
      </c>
      <c r="M749" s="115"/>
      <c r="N749" s="50"/>
      <c r="O749" s="25"/>
      <c r="P749" s="45"/>
      <c r="Q749" s="26"/>
      <c r="R749" s="32"/>
      <c r="S749" s="33">
        <f t="shared" si="441"/>
        <v>0</v>
      </c>
      <c r="T749" s="25"/>
      <c r="U749" s="45"/>
      <c r="V749" s="26"/>
      <c r="W749" s="32"/>
      <c r="X749" s="33">
        <f t="shared" si="442"/>
        <v>0</v>
      </c>
      <c r="Y749" s="11">
        <f t="shared" si="426"/>
        <v>0</v>
      </c>
    </row>
    <row r="750" spans="1:25" x14ac:dyDescent="0.15">
      <c r="A750" s="70"/>
      <c r="B750" s="25"/>
      <c r="C750" s="45"/>
      <c r="D750" s="26"/>
      <c r="E750" s="32"/>
      <c r="F750" s="33">
        <f t="shared" si="443"/>
        <v>0</v>
      </c>
      <c r="G750" s="25"/>
      <c r="H750" s="45"/>
      <c r="I750" s="26"/>
      <c r="J750" s="32"/>
      <c r="K750" s="33">
        <f t="shared" si="444"/>
        <v>0</v>
      </c>
      <c r="L750" s="11">
        <f t="shared" si="435"/>
        <v>0</v>
      </c>
      <c r="M750" s="115"/>
      <c r="N750" s="50"/>
      <c r="O750" s="25"/>
      <c r="P750" s="45"/>
      <c r="Q750" s="26"/>
      <c r="R750" s="32"/>
      <c r="S750" s="33">
        <f t="shared" si="441"/>
        <v>0</v>
      </c>
      <c r="T750" s="25"/>
      <c r="U750" s="45"/>
      <c r="V750" s="26"/>
      <c r="W750" s="32"/>
      <c r="X750" s="33">
        <f t="shared" si="442"/>
        <v>0</v>
      </c>
      <c r="Y750" s="11">
        <f t="shared" si="426"/>
        <v>0</v>
      </c>
    </row>
    <row r="751" spans="1:25" x14ac:dyDescent="0.15">
      <c r="A751" s="70"/>
      <c r="B751" s="25"/>
      <c r="C751" s="45"/>
      <c r="D751" s="26"/>
      <c r="E751" s="32"/>
      <c r="F751" s="33">
        <f t="shared" si="443"/>
        <v>0</v>
      </c>
      <c r="G751" s="25"/>
      <c r="H751" s="45"/>
      <c r="I751" s="26"/>
      <c r="J751" s="32"/>
      <c r="K751" s="33">
        <f t="shared" si="444"/>
        <v>0</v>
      </c>
      <c r="L751" s="11">
        <f t="shared" si="435"/>
        <v>0</v>
      </c>
      <c r="M751" s="115"/>
      <c r="N751" s="12"/>
      <c r="O751" s="25"/>
      <c r="P751" s="45"/>
      <c r="Q751" s="26"/>
      <c r="R751" s="32"/>
      <c r="S751" s="33">
        <f t="shared" si="441"/>
        <v>0</v>
      </c>
      <c r="T751" s="25"/>
      <c r="U751" s="45"/>
      <c r="V751" s="26"/>
      <c r="W751" s="32"/>
      <c r="X751" s="33">
        <f t="shared" si="442"/>
        <v>0</v>
      </c>
      <c r="Y751" s="93">
        <f t="shared" si="426"/>
        <v>0</v>
      </c>
    </row>
    <row r="752" spans="1:25" x14ac:dyDescent="0.15">
      <c r="A752" s="70"/>
      <c r="B752" s="25"/>
      <c r="C752" s="45"/>
      <c r="D752" s="26"/>
      <c r="E752" s="32"/>
      <c r="F752" s="33">
        <f t="shared" si="443"/>
        <v>0</v>
      </c>
      <c r="G752" s="25"/>
      <c r="H752" s="45"/>
      <c r="I752" s="26"/>
      <c r="J752" s="32"/>
      <c r="K752" s="33">
        <f t="shared" si="444"/>
        <v>0</v>
      </c>
      <c r="L752" s="11">
        <f t="shared" si="435"/>
        <v>0</v>
      </c>
      <c r="M752" s="115"/>
      <c r="N752" s="12"/>
      <c r="O752" s="25"/>
      <c r="P752" s="45"/>
      <c r="Q752" s="26"/>
      <c r="R752" s="32"/>
      <c r="S752" s="33">
        <f t="shared" si="441"/>
        <v>0</v>
      </c>
      <c r="T752" s="25"/>
      <c r="U752" s="45"/>
      <c r="V752" s="26"/>
      <c r="W752" s="32"/>
      <c r="X752" s="33">
        <f t="shared" si="442"/>
        <v>0</v>
      </c>
      <c r="Y752" s="93">
        <f t="shared" si="426"/>
        <v>0</v>
      </c>
    </row>
    <row r="753" spans="1:26" x14ac:dyDescent="0.15">
      <c r="A753" s="70"/>
      <c r="B753" s="25"/>
      <c r="C753" s="45"/>
      <c r="D753" s="26"/>
      <c r="E753" s="32"/>
      <c r="F753" s="33">
        <f t="shared" si="443"/>
        <v>0</v>
      </c>
      <c r="G753" s="25"/>
      <c r="H753" s="45"/>
      <c r="I753" s="26"/>
      <c r="J753" s="32"/>
      <c r="K753" s="33">
        <f t="shared" si="444"/>
        <v>0</v>
      </c>
      <c r="L753" s="11">
        <f t="shared" si="435"/>
        <v>0</v>
      </c>
      <c r="M753" s="85"/>
      <c r="N753" s="50"/>
      <c r="O753" s="59"/>
      <c r="P753" s="60"/>
      <c r="Q753" s="61"/>
      <c r="R753" s="62"/>
      <c r="S753" s="63">
        <f t="shared" si="441"/>
        <v>0</v>
      </c>
      <c r="T753" s="59"/>
      <c r="U753" s="60"/>
      <c r="V753" s="61"/>
      <c r="W753" s="62"/>
      <c r="X753" s="63">
        <f t="shared" si="442"/>
        <v>0</v>
      </c>
      <c r="Y753" s="11">
        <f t="shared" si="426"/>
        <v>0</v>
      </c>
    </row>
    <row r="754" spans="1:26" x14ac:dyDescent="0.15">
      <c r="A754" s="70"/>
      <c r="B754" s="25"/>
      <c r="C754" s="45"/>
      <c r="D754" s="26"/>
      <c r="E754" s="32"/>
      <c r="F754" s="33">
        <f t="shared" si="443"/>
        <v>0</v>
      </c>
      <c r="G754" s="25"/>
      <c r="H754" s="45"/>
      <c r="I754" s="26"/>
      <c r="J754" s="32"/>
      <c r="K754" s="33">
        <f t="shared" si="444"/>
        <v>0</v>
      </c>
      <c r="L754" s="11">
        <f t="shared" si="435"/>
        <v>0</v>
      </c>
      <c r="M754" s="85"/>
      <c r="N754" s="50"/>
      <c r="O754" s="59"/>
      <c r="P754" s="60"/>
      <c r="Q754" s="61"/>
      <c r="R754" s="62"/>
      <c r="S754" s="63">
        <f t="shared" si="441"/>
        <v>0</v>
      </c>
      <c r="T754" s="59"/>
      <c r="U754" s="60"/>
      <c r="V754" s="61"/>
      <c r="W754" s="62"/>
      <c r="X754" s="63">
        <f t="shared" si="442"/>
        <v>0</v>
      </c>
      <c r="Y754" s="11">
        <f t="shared" si="426"/>
        <v>0</v>
      </c>
    </row>
    <row r="755" spans="1:26" x14ac:dyDescent="0.15">
      <c r="A755" s="70"/>
      <c r="B755" s="25"/>
      <c r="C755" s="45"/>
      <c r="D755" s="26"/>
      <c r="E755" s="32"/>
      <c r="F755" s="33">
        <f t="shared" si="443"/>
        <v>0</v>
      </c>
      <c r="G755" s="25"/>
      <c r="H755" s="45"/>
      <c r="I755" s="26"/>
      <c r="J755" s="32"/>
      <c r="K755" s="33">
        <f t="shared" si="444"/>
        <v>0</v>
      </c>
      <c r="L755" s="93">
        <f t="shared" si="435"/>
        <v>0</v>
      </c>
      <c r="M755" s="85"/>
      <c r="N755" s="50"/>
      <c r="O755" s="59"/>
      <c r="P755" s="60"/>
      <c r="Q755" s="61"/>
      <c r="R755" s="62"/>
      <c r="S755" s="63">
        <f t="shared" ref="S755" si="445">SUM(O755:R755)</f>
        <v>0</v>
      </c>
      <c r="T755" s="59"/>
      <c r="U755" s="60"/>
      <c r="V755" s="61"/>
      <c r="W755" s="62"/>
      <c r="X755" s="63">
        <f t="shared" ref="X755" si="446">SUM(T755:W755)</f>
        <v>0</v>
      </c>
      <c r="Y755" s="11">
        <f t="shared" ref="Y755" si="447">S755+X755</f>
        <v>0</v>
      </c>
    </row>
    <row r="756" spans="1:26" ht="14.25" thickBot="1" x14ac:dyDescent="0.2">
      <c r="A756" s="158"/>
      <c r="B756" s="55"/>
      <c r="C756" s="56"/>
      <c r="D756" s="57"/>
      <c r="E756" s="58"/>
      <c r="F756" s="109">
        <f t="shared" si="443"/>
        <v>0</v>
      </c>
      <c r="G756" s="55"/>
      <c r="H756" s="56"/>
      <c r="I756" s="57"/>
      <c r="J756" s="58"/>
      <c r="K756" s="109">
        <f t="shared" si="444"/>
        <v>0</v>
      </c>
      <c r="L756" s="75">
        <f t="shared" si="435"/>
        <v>0</v>
      </c>
      <c r="M756" s="159"/>
      <c r="N756" s="74"/>
      <c r="O756" s="55"/>
      <c r="P756" s="56"/>
      <c r="Q756" s="57"/>
      <c r="R756" s="58"/>
      <c r="S756" s="109">
        <f t="shared" ref="S756" si="448">SUM(O756:R756)</f>
        <v>0</v>
      </c>
      <c r="T756" s="55"/>
      <c r="U756" s="56"/>
      <c r="V756" s="57"/>
      <c r="W756" s="58"/>
      <c r="X756" s="109">
        <f t="shared" ref="X756" si="449">SUM(T756:W756)</f>
        <v>0</v>
      </c>
      <c r="Y756" s="107">
        <f t="shared" ref="Y756" si="450">S756+X756</f>
        <v>0</v>
      </c>
    </row>
    <row r="757" spans="1:26" ht="14.25" thickBot="1" x14ac:dyDescent="0.2">
      <c r="A757" s="72" t="s">
        <v>10</v>
      </c>
      <c r="B757" s="36">
        <f>SUM(B732:B756)</f>
        <v>6</v>
      </c>
      <c r="C757" s="46">
        <f>SUM(C732:C756)</f>
        <v>5</v>
      </c>
      <c r="D757" s="37">
        <f>SUM(D732:D756)</f>
        <v>2</v>
      </c>
      <c r="E757" s="38">
        <f>SUM(E732:E756)</f>
        <v>0</v>
      </c>
      <c r="F757" s="71">
        <f>SUM(B757:E757)</f>
        <v>13</v>
      </c>
      <c r="G757" s="36">
        <f>SUM(G732:G756)</f>
        <v>3</v>
      </c>
      <c r="H757" s="46">
        <f>SUM(H732:H756)</f>
        <v>2</v>
      </c>
      <c r="I757" s="37">
        <f>SUM(I732:I756)</f>
        <v>1</v>
      </c>
      <c r="J757" s="38">
        <f>SUM(J732:J756)</f>
        <v>2</v>
      </c>
      <c r="K757" s="71">
        <f>SUM(G757:J757)</f>
        <v>8</v>
      </c>
      <c r="L757" s="75">
        <f t="shared" si="435"/>
        <v>21</v>
      </c>
      <c r="N757" s="72" t="s">
        <v>10</v>
      </c>
      <c r="O757" s="36">
        <f>SUM(O732:O756)</f>
        <v>5</v>
      </c>
      <c r="P757" s="46">
        <f>SUM(P732:P756)</f>
        <v>5</v>
      </c>
      <c r="Q757" s="37">
        <f>SUM(Q732:Q756)</f>
        <v>0</v>
      </c>
      <c r="R757" s="38">
        <f>SUM(R732:R756)</f>
        <v>5</v>
      </c>
      <c r="S757" s="71">
        <f t="shared" si="441"/>
        <v>15</v>
      </c>
      <c r="T757" s="36">
        <f>SUM(T732:T756)</f>
        <v>5</v>
      </c>
      <c r="U757" s="46">
        <f>SUM(U732:U756)</f>
        <v>0</v>
      </c>
      <c r="V757" s="37">
        <f>SUM(V732:V756)</f>
        <v>0</v>
      </c>
      <c r="W757" s="38">
        <f>SUM(W732:W756)</f>
        <v>0</v>
      </c>
      <c r="X757" s="71">
        <f t="shared" si="442"/>
        <v>5</v>
      </c>
      <c r="Y757" s="75">
        <f t="shared" si="426"/>
        <v>20</v>
      </c>
    </row>
    <row r="758" spans="1:26" ht="14.25" thickBot="1" x14ac:dyDescent="0.2">
      <c r="A758" s="21" t="s">
        <v>11</v>
      </c>
      <c r="B758" s="39">
        <f t="shared" ref="B758:K758" si="451">B731-B757</f>
        <v>9</v>
      </c>
      <c r="C758" s="47">
        <f t="shared" si="451"/>
        <v>12</v>
      </c>
      <c r="D758" s="40">
        <f t="shared" si="451"/>
        <v>9</v>
      </c>
      <c r="E758" s="41">
        <f t="shared" si="451"/>
        <v>12</v>
      </c>
      <c r="F758" s="54">
        <f t="shared" si="451"/>
        <v>42</v>
      </c>
      <c r="G758" s="39">
        <f t="shared" si="451"/>
        <v>18</v>
      </c>
      <c r="H758" s="47">
        <f t="shared" si="451"/>
        <v>13</v>
      </c>
      <c r="I758" s="40">
        <f t="shared" si="451"/>
        <v>9</v>
      </c>
      <c r="J758" s="41">
        <f t="shared" si="451"/>
        <v>17</v>
      </c>
      <c r="K758" s="54">
        <f t="shared" si="451"/>
        <v>57</v>
      </c>
      <c r="L758" s="20">
        <f t="shared" si="435"/>
        <v>99</v>
      </c>
      <c r="N758" s="16" t="s">
        <v>11</v>
      </c>
      <c r="O758" s="39">
        <f t="shared" ref="O758:X758" si="452">O731-O757</f>
        <v>446</v>
      </c>
      <c r="P758" s="47">
        <f t="shared" si="452"/>
        <v>457</v>
      </c>
      <c r="Q758" s="40">
        <f t="shared" si="452"/>
        <v>285</v>
      </c>
      <c r="R758" s="41">
        <f t="shared" si="452"/>
        <v>283</v>
      </c>
      <c r="S758" s="54">
        <f t="shared" si="452"/>
        <v>1471</v>
      </c>
      <c r="T758" s="39">
        <f t="shared" si="452"/>
        <v>393</v>
      </c>
      <c r="U758" s="47">
        <f t="shared" si="452"/>
        <v>434</v>
      </c>
      <c r="V758" s="40">
        <f t="shared" si="452"/>
        <v>373</v>
      </c>
      <c r="W758" s="41">
        <f t="shared" si="452"/>
        <v>238</v>
      </c>
      <c r="X758" s="54">
        <f t="shared" si="452"/>
        <v>1438</v>
      </c>
      <c r="Y758" s="20">
        <f t="shared" si="426"/>
        <v>2909</v>
      </c>
    </row>
    <row r="761" spans="1:26" ht="19.5" thickBot="1" x14ac:dyDescent="0.25">
      <c r="A761" s="2" t="s">
        <v>26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27</v>
      </c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6" ht="14.25" thickBot="1" x14ac:dyDescent="0.2">
      <c r="A762" s="5" t="s">
        <v>0</v>
      </c>
      <c r="B762" s="228" t="s">
        <v>19</v>
      </c>
      <c r="C762" s="229"/>
      <c r="D762" s="229"/>
      <c r="E762" s="229"/>
      <c r="F762" s="230"/>
      <c r="G762" s="231" t="s">
        <v>18</v>
      </c>
      <c r="H762" s="232"/>
      <c r="I762" s="232"/>
      <c r="J762" s="232"/>
      <c r="K762" s="233"/>
      <c r="L762" s="73" t="s">
        <v>1</v>
      </c>
      <c r="N762" s="5" t="s">
        <v>0</v>
      </c>
      <c r="O762" s="228" t="s">
        <v>19</v>
      </c>
      <c r="P762" s="229"/>
      <c r="Q762" s="229"/>
      <c r="R762" s="229"/>
      <c r="S762" s="230"/>
      <c r="T762" s="231" t="s">
        <v>18</v>
      </c>
      <c r="U762" s="232"/>
      <c r="V762" s="232"/>
      <c r="W762" s="232"/>
      <c r="X762" s="233"/>
      <c r="Y762" s="73" t="s">
        <v>1</v>
      </c>
    </row>
    <row r="763" spans="1:26" ht="14.25" thickBot="1" x14ac:dyDescent="0.2">
      <c r="A763" s="5" t="s">
        <v>2</v>
      </c>
      <c r="B763" s="3" t="s">
        <v>12</v>
      </c>
      <c r="C763" s="42" t="s">
        <v>13</v>
      </c>
      <c r="D763" s="4" t="s">
        <v>14</v>
      </c>
      <c r="E763" s="22" t="s">
        <v>15</v>
      </c>
      <c r="F763" s="30" t="s">
        <v>3</v>
      </c>
      <c r="G763" s="3" t="s">
        <v>12</v>
      </c>
      <c r="H763" s="42" t="s">
        <v>13</v>
      </c>
      <c r="I763" s="4" t="s">
        <v>14</v>
      </c>
      <c r="J763" s="22" t="s">
        <v>15</v>
      </c>
      <c r="K763" s="30" t="s">
        <v>3</v>
      </c>
      <c r="L763" s="74"/>
      <c r="N763" s="5" t="s">
        <v>2</v>
      </c>
      <c r="O763" s="64" t="s">
        <v>12</v>
      </c>
      <c r="P763" s="65" t="s">
        <v>13</v>
      </c>
      <c r="Q763" s="66" t="s">
        <v>14</v>
      </c>
      <c r="R763" s="67" t="s">
        <v>15</v>
      </c>
      <c r="S763" s="30" t="s">
        <v>3</v>
      </c>
      <c r="T763" s="3" t="s">
        <v>12</v>
      </c>
      <c r="U763" s="42" t="s">
        <v>13</v>
      </c>
      <c r="V763" s="4" t="s">
        <v>14</v>
      </c>
      <c r="W763" s="22" t="s">
        <v>15</v>
      </c>
      <c r="X763" s="30" t="s">
        <v>3</v>
      </c>
      <c r="Y763" s="74"/>
    </row>
    <row r="764" spans="1:26" ht="14.25" thickBot="1" x14ac:dyDescent="0.2">
      <c r="A764" s="21" t="s">
        <v>16</v>
      </c>
      <c r="B764" s="39">
        <f>B758</f>
        <v>9</v>
      </c>
      <c r="C764" s="40">
        <f>C758</f>
        <v>12</v>
      </c>
      <c r="D764" s="40">
        <f>D758</f>
        <v>9</v>
      </c>
      <c r="E764" s="41">
        <f>E758</f>
        <v>12</v>
      </c>
      <c r="F764" s="122">
        <f>SUM(B764:E764)</f>
        <v>42</v>
      </c>
      <c r="G764" s="39">
        <f>G758</f>
        <v>18</v>
      </c>
      <c r="H764" s="40">
        <f>H758</f>
        <v>13</v>
      </c>
      <c r="I764" s="40">
        <f>I758</f>
        <v>9</v>
      </c>
      <c r="J764" s="41">
        <f>J758</f>
        <v>17</v>
      </c>
      <c r="K764" s="123">
        <f>SUM(G764:J764)</f>
        <v>57</v>
      </c>
      <c r="L764" s="20">
        <f>F764+K764</f>
        <v>99</v>
      </c>
      <c r="N764" s="21" t="s">
        <v>16</v>
      </c>
      <c r="O764" s="39">
        <f>O758</f>
        <v>446</v>
      </c>
      <c r="P764" s="40">
        <f>P758</f>
        <v>457</v>
      </c>
      <c r="Q764" s="40">
        <f t="shared" ref="Q764:R764" si="453">Q758</f>
        <v>285</v>
      </c>
      <c r="R764" s="88">
        <f t="shared" si="453"/>
        <v>283</v>
      </c>
      <c r="S764" s="123">
        <f>SUM(O764:R764)</f>
        <v>1471</v>
      </c>
      <c r="T764" s="39">
        <f>T758</f>
        <v>393</v>
      </c>
      <c r="U764" s="40">
        <f>U758</f>
        <v>434</v>
      </c>
      <c r="V764" s="40">
        <f>V758</f>
        <v>373</v>
      </c>
      <c r="W764" s="41">
        <f>W758</f>
        <v>238</v>
      </c>
      <c r="X764" s="123">
        <f>SUM(T764:W764)</f>
        <v>1438</v>
      </c>
      <c r="Y764" s="20">
        <f t="shared" ref="Y764:Y796" si="454">S764+X764</f>
        <v>2909</v>
      </c>
    </row>
    <row r="765" spans="1:26" x14ac:dyDescent="0.15">
      <c r="A765" s="70" t="s">
        <v>422</v>
      </c>
      <c r="B765" s="6"/>
      <c r="C765" s="29">
        <v>1</v>
      </c>
      <c r="D765" s="7"/>
      <c r="E765" s="8"/>
      <c r="F765" s="9">
        <f t="shared" ref="F765:F768" si="455">SUM(B765:E765)</f>
        <v>1</v>
      </c>
      <c r="G765" s="29"/>
      <c r="H765" s="29">
        <v>1</v>
      </c>
      <c r="I765" s="7"/>
      <c r="J765" s="8"/>
      <c r="K765" s="9">
        <f t="shared" ref="K765:K768" si="456">SUM(G765:J765)</f>
        <v>1</v>
      </c>
      <c r="L765" s="11">
        <f t="shared" ref="L765:L796" si="457">F765+K765</f>
        <v>2</v>
      </c>
      <c r="M765" s="85">
        <v>45300</v>
      </c>
      <c r="N765" s="13" t="s">
        <v>163</v>
      </c>
      <c r="O765" s="25"/>
      <c r="P765" s="45"/>
      <c r="Q765" s="26"/>
      <c r="R765" s="32">
        <v>27</v>
      </c>
      <c r="S765" s="68">
        <f t="shared" ref="S765:S766" si="458">SUM(O765:R765)</f>
        <v>27</v>
      </c>
      <c r="T765" s="45"/>
      <c r="U765" s="45"/>
      <c r="V765" s="26"/>
      <c r="W765" s="48"/>
      <c r="X765" s="9">
        <f t="shared" ref="X765:X766" si="459">SUM(T765:W765)</f>
        <v>0</v>
      </c>
      <c r="Y765" s="11">
        <f t="shared" si="454"/>
        <v>27</v>
      </c>
      <c r="Z765" s="85">
        <v>45730</v>
      </c>
    </row>
    <row r="766" spans="1:26" x14ac:dyDescent="0.15">
      <c r="A766" s="70" t="s">
        <v>6</v>
      </c>
      <c r="B766" s="6">
        <v>5</v>
      </c>
      <c r="C766" s="29"/>
      <c r="D766" s="7">
        <v>5</v>
      </c>
      <c r="E766" s="8"/>
      <c r="F766" s="9">
        <f t="shared" si="455"/>
        <v>10</v>
      </c>
      <c r="G766" s="29"/>
      <c r="H766" s="29"/>
      <c r="I766" s="7">
        <v>5</v>
      </c>
      <c r="J766" s="8"/>
      <c r="K766" s="9">
        <f t="shared" si="456"/>
        <v>5</v>
      </c>
      <c r="L766" s="11">
        <f t="shared" si="457"/>
        <v>15</v>
      </c>
      <c r="M766" s="85">
        <v>45693</v>
      </c>
      <c r="N766" s="13" t="s">
        <v>5</v>
      </c>
      <c r="O766" s="25"/>
      <c r="P766" s="45"/>
      <c r="Q766" s="26"/>
      <c r="R766" s="32"/>
      <c r="S766" s="68">
        <f t="shared" si="458"/>
        <v>0</v>
      </c>
      <c r="T766" s="45"/>
      <c r="U766" s="45"/>
      <c r="V766" s="26"/>
      <c r="W766" s="48"/>
      <c r="X766" s="9">
        <f t="shared" si="459"/>
        <v>0</v>
      </c>
      <c r="Y766" s="11">
        <f t="shared" si="454"/>
        <v>0</v>
      </c>
      <c r="Z766" s="159"/>
    </row>
    <row r="767" spans="1:26" x14ac:dyDescent="0.15">
      <c r="A767" s="70" t="s">
        <v>434</v>
      </c>
      <c r="B767" s="6">
        <v>1</v>
      </c>
      <c r="C767" s="29"/>
      <c r="D767" s="7">
        <v>2</v>
      </c>
      <c r="E767" s="8"/>
      <c r="F767" s="9">
        <f t="shared" si="455"/>
        <v>3</v>
      </c>
      <c r="G767" s="29">
        <v>1</v>
      </c>
      <c r="H767" s="29"/>
      <c r="I767" s="7">
        <v>-3</v>
      </c>
      <c r="J767" s="8">
        <v>-3</v>
      </c>
      <c r="K767" s="9">
        <f t="shared" si="456"/>
        <v>-5</v>
      </c>
      <c r="L767" s="11">
        <f t="shared" si="457"/>
        <v>-2</v>
      </c>
      <c r="M767" s="85"/>
      <c r="N767" s="13" t="s">
        <v>6</v>
      </c>
      <c r="O767" s="25"/>
      <c r="P767" s="45"/>
      <c r="Q767" s="26"/>
      <c r="R767" s="32"/>
      <c r="S767" s="68">
        <f>SUM(O767:R767)</f>
        <v>0</v>
      </c>
      <c r="T767" s="45"/>
      <c r="U767" s="45"/>
      <c r="V767" s="26"/>
      <c r="W767" s="48"/>
      <c r="X767" s="9">
        <f>SUM(T767:W767)</f>
        <v>0</v>
      </c>
      <c r="Y767" s="11">
        <f t="shared" si="454"/>
        <v>0</v>
      </c>
      <c r="Z767" s="159"/>
    </row>
    <row r="768" spans="1:26" ht="14.25" thickBot="1" x14ac:dyDescent="0.2">
      <c r="A768" s="70" t="s">
        <v>8</v>
      </c>
      <c r="B768" s="125"/>
      <c r="C768" s="126"/>
      <c r="D768" s="127"/>
      <c r="E768" s="128"/>
      <c r="F768" s="129">
        <f t="shared" si="455"/>
        <v>0</v>
      </c>
      <c r="G768" s="126"/>
      <c r="H768" s="126"/>
      <c r="I768" s="127"/>
      <c r="J768" s="128"/>
      <c r="K768" s="129">
        <f t="shared" si="456"/>
        <v>0</v>
      </c>
      <c r="L768" s="14">
        <f t="shared" si="457"/>
        <v>0</v>
      </c>
      <c r="M768" s="85"/>
      <c r="N768" s="13" t="s">
        <v>7</v>
      </c>
      <c r="O768" s="55"/>
      <c r="P768" s="56"/>
      <c r="Q768" s="57"/>
      <c r="R768" s="58"/>
      <c r="S768" s="69">
        <f>SUM(O768:R768)</f>
        <v>0</v>
      </c>
      <c r="T768" s="45"/>
      <c r="U768" s="45"/>
      <c r="V768" s="26"/>
      <c r="W768" s="48"/>
      <c r="X768" s="10">
        <f>SUM(T768:W768)</f>
        <v>0</v>
      </c>
      <c r="Y768" s="14">
        <f t="shared" si="454"/>
        <v>0</v>
      </c>
    </row>
    <row r="769" spans="1:27" ht="14.25" thickBot="1" x14ac:dyDescent="0.2">
      <c r="A769" s="21" t="s">
        <v>9</v>
      </c>
      <c r="B769" s="130">
        <f t="shared" ref="B769:K769" si="460">SUM(B764:B768)</f>
        <v>15</v>
      </c>
      <c r="C769" s="131">
        <f t="shared" si="460"/>
        <v>13</v>
      </c>
      <c r="D769" s="132">
        <f t="shared" si="460"/>
        <v>16</v>
      </c>
      <c r="E769" s="133">
        <f t="shared" si="460"/>
        <v>12</v>
      </c>
      <c r="F769" s="123">
        <f t="shared" si="460"/>
        <v>56</v>
      </c>
      <c r="G769" s="130">
        <f t="shared" si="460"/>
        <v>19</v>
      </c>
      <c r="H769" s="131">
        <f t="shared" si="460"/>
        <v>14</v>
      </c>
      <c r="I769" s="132">
        <f t="shared" si="460"/>
        <v>11</v>
      </c>
      <c r="J769" s="133">
        <f t="shared" si="460"/>
        <v>14</v>
      </c>
      <c r="K769" s="123">
        <f t="shared" si="460"/>
        <v>58</v>
      </c>
      <c r="L769" s="20">
        <f t="shared" si="457"/>
        <v>114</v>
      </c>
      <c r="N769" s="16" t="s">
        <v>9</v>
      </c>
      <c r="O769" s="39">
        <f t="shared" ref="O769:X769" si="461">SUM(O764:O768)</f>
        <v>446</v>
      </c>
      <c r="P769" s="47">
        <f t="shared" si="461"/>
        <v>457</v>
      </c>
      <c r="Q769" s="40">
        <f t="shared" si="461"/>
        <v>285</v>
      </c>
      <c r="R769" s="88">
        <f t="shared" si="461"/>
        <v>310</v>
      </c>
      <c r="S769" s="89">
        <f t="shared" si="461"/>
        <v>1498</v>
      </c>
      <c r="T769" s="39">
        <f t="shared" si="461"/>
        <v>393</v>
      </c>
      <c r="U769" s="47">
        <f t="shared" si="461"/>
        <v>434</v>
      </c>
      <c r="V769" s="40">
        <f t="shared" si="461"/>
        <v>373</v>
      </c>
      <c r="W769" s="88">
        <f t="shared" si="461"/>
        <v>238</v>
      </c>
      <c r="X769" s="89">
        <f t="shared" si="461"/>
        <v>1438</v>
      </c>
      <c r="Y769" s="49">
        <f t="shared" si="454"/>
        <v>2936</v>
      </c>
    </row>
    <row r="770" spans="1:27" x14ac:dyDescent="0.15">
      <c r="A770" s="70" t="s">
        <v>455</v>
      </c>
      <c r="B770" s="25"/>
      <c r="C770" s="45"/>
      <c r="D770" s="26">
        <v>1</v>
      </c>
      <c r="E770" s="32"/>
      <c r="F770" s="33">
        <f t="shared" ref="F770:F794" si="462">SUM(B770:E770)</f>
        <v>1</v>
      </c>
      <c r="G770" s="25">
        <v>1</v>
      </c>
      <c r="H770" s="45"/>
      <c r="I770" s="26"/>
      <c r="J770" s="32"/>
      <c r="K770" s="33">
        <f t="shared" ref="K770:K794" si="463">SUM(G770:J770)</f>
        <v>1</v>
      </c>
      <c r="L770" s="11">
        <f t="shared" si="457"/>
        <v>2</v>
      </c>
      <c r="M770" s="85">
        <v>45677</v>
      </c>
      <c r="N770" s="73" t="s">
        <v>453</v>
      </c>
      <c r="O770" s="25"/>
      <c r="P770" s="45"/>
      <c r="Q770" s="26"/>
      <c r="R770" s="32">
        <v>20</v>
      </c>
      <c r="S770" s="33">
        <f t="shared" ref="S770:S795" si="464">SUM(O770:R770)</f>
        <v>20</v>
      </c>
      <c r="T770" s="25"/>
      <c r="U770" s="45"/>
      <c r="V770" s="26"/>
      <c r="W770" s="32">
        <v>20</v>
      </c>
      <c r="X770" s="33">
        <f t="shared" ref="X770:X795" si="465">SUM(T770:W770)</f>
        <v>20</v>
      </c>
      <c r="Y770" s="11">
        <f t="shared" si="454"/>
        <v>40</v>
      </c>
      <c r="Z770" s="85">
        <v>45673</v>
      </c>
    </row>
    <row r="771" spans="1:27" x14ac:dyDescent="0.15">
      <c r="A771" s="70" t="s">
        <v>30</v>
      </c>
      <c r="B771" s="25"/>
      <c r="C771" s="45"/>
      <c r="D771" s="26"/>
      <c r="E771" s="32">
        <v>1</v>
      </c>
      <c r="F771" s="33">
        <f t="shared" si="462"/>
        <v>1</v>
      </c>
      <c r="G771" s="25"/>
      <c r="H771" s="45"/>
      <c r="I771" s="26"/>
      <c r="J771" s="32"/>
      <c r="K771" s="33">
        <f t="shared" si="463"/>
        <v>0</v>
      </c>
      <c r="L771" s="11">
        <f t="shared" si="457"/>
        <v>1</v>
      </c>
      <c r="M771" s="85">
        <v>45677</v>
      </c>
      <c r="N771" s="12" t="s">
        <v>454</v>
      </c>
      <c r="O771" s="25"/>
      <c r="P771" s="45"/>
      <c r="Q771" s="26"/>
      <c r="R771" s="32"/>
      <c r="S771" s="33">
        <f t="shared" si="464"/>
        <v>0</v>
      </c>
      <c r="T771" s="25"/>
      <c r="U771" s="45"/>
      <c r="V771" s="26">
        <v>5</v>
      </c>
      <c r="W771" s="32"/>
      <c r="X771" s="33">
        <f t="shared" si="465"/>
        <v>5</v>
      </c>
      <c r="Y771" s="11">
        <f t="shared" si="454"/>
        <v>5</v>
      </c>
      <c r="Z771" s="85">
        <v>45680</v>
      </c>
      <c r="AA771" s="51"/>
    </row>
    <row r="772" spans="1:27" x14ac:dyDescent="0.15">
      <c r="A772" s="70" t="s">
        <v>30</v>
      </c>
      <c r="B772" s="25"/>
      <c r="C772" s="45"/>
      <c r="D772" s="26">
        <v>1</v>
      </c>
      <c r="E772" s="32"/>
      <c r="F772" s="33">
        <f t="shared" si="462"/>
        <v>1</v>
      </c>
      <c r="G772" s="25">
        <v>2</v>
      </c>
      <c r="H772" s="45"/>
      <c r="I772" s="26">
        <v>1</v>
      </c>
      <c r="J772" s="32"/>
      <c r="K772" s="33">
        <f t="shared" si="463"/>
        <v>3</v>
      </c>
      <c r="L772" s="11">
        <f t="shared" si="457"/>
        <v>4</v>
      </c>
      <c r="M772" s="85">
        <v>45684</v>
      </c>
      <c r="N772" s="50" t="s">
        <v>456</v>
      </c>
      <c r="O772" s="25"/>
      <c r="P772" s="45"/>
      <c r="Q772" s="26"/>
      <c r="R772" s="32"/>
      <c r="S772" s="33">
        <f t="shared" si="464"/>
        <v>0</v>
      </c>
      <c r="T772" s="25">
        <v>5</v>
      </c>
      <c r="U772" s="45"/>
      <c r="V772" s="26"/>
      <c r="W772" s="32">
        <v>5</v>
      </c>
      <c r="X772" s="33">
        <f t="shared" si="465"/>
        <v>10</v>
      </c>
      <c r="Y772" s="11">
        <f t="shared" si="454"/>
        <v>10</v>
      </c>
      <c r="Z772" s="85">
        <v>45687</v>
      </c>
      <c r="AA772" s="51"/>
    </row>
    <row r="773" spans="1:27" x14ac:dyDescent="0.15">
      <c r="A773" s="70" t="s">
        <v>30</v>
      </c>
      <c r="B773" s="25"/>
      <c r="C773" s="45">
        <v>1</v>
      </c>
      <c r="D773" s="26"/>
      <c r="E773" s="32"/>
      <c r="F773" s="33">
        <f t="shared" si="462"/>
        <v>1</v>
      </c>
      <c r="G773" s="25"/>
      <c r="H773" s="45"/>
      <c r="I773" s="26"/>
      <c r="J773" s="32"/>
      <c r="K773" s="33">
        <f t="shared" si="463"/>
        <v>0</v>
      </c>
      <c r="L773" s="11">
        <f t="shared" si="457"/>
        <v>1</v>
      </c>
      <c r="M773" s="85">
        <v>45686</v>
      </c>
      <c r="N773" s="50" t="s">
        <v>457</v>
      </c>
      <c r="O773" s="25">
        <v>20</v>
      </c>
      <c r="P773" s="45">
        <v>15</v>
      </c>
      <c r="Q773" s="26">
        <v>25</v>
      </c>
      <c r="R773" s="32">
        <v>25</v>
      </c>
      <c r="S773" s="33">
        <f t="shared" si="464"/>
        <v>85</v>
      </c>
      <c r="T773" s="25">
        <v>25</v>
      </c>
      <c r="U773" s="45">
        <v>55</v>
      </c>
      <c r="V773" s="26">
        <v>30</v>
      </c>
      <c r="W773" s="32"/>
      <c r="X773" s="33">
        <f t="shared" si="465"/>
        <v>110</v>
      </c>
      <c r="Y773" s="11">
        <f t="shared" si="454"/>
        <v>195</v>
      </c>
      <c r="Z773" s="85">
        <v>45687</v>
      </c>
    </row>
    <row r="774" spans="1:27" x14ac:dyDescent="0.15">
      <c r="A774" s="70" t="s">
        <v>30</v>
      </c>
      <c r="B774" s="25"/>
      <c r="C774" s="45"/>
      <c r="D774" s="26"/>
      <c r="E774" s="32"/>
      <c r="F774" s="33">
        <f t="shared" si="462"/>
        <v>0</v>
      </c>
      <c r="G774" s="25"/>
      <c r="H774" s="45"/>
      <c r="I774" s="26"/>
      <c r="J774" s="32">
        <v>2</v>
      </c>
      <c r="K774" s="33">
        <f t="shared" si="463"/>
        <v>2</v>
      </c>
      <c r="L774" s="11">
        <f t="shared" si="457"/>
        <v>2</v>
      </c>
      <c r="M774" s="85">
        <v>45687</v>
      </c>
      <c r="N774" s="50" t="s">
        <v>458</v>
      </c>
      <c r="O774" s="25">
        <v>11</v>
      </c>
      <c r="P774" s="45">
        <v>38</v>
      </c>
      <c r="Q774" s="26">
        <v>4</v>
      </c>
      <c r="R774" s="32"/>
      <c r="S774" s="33">
        <f t="shared" si="464"/>
        <v>53</v>
      </c>
      <c r="T774" s="25">
        <v>39</v>
      </c>
      <c r="U774" s="45">
        <v>38</v>
      </c>
      <c r="V774" s="26">
        <v>20</v>
      </c>
      <c r="W774" s="32">
        <v>14</v>
      </c>
      <c r="X774" s="33">
        <f t="shared" si="465"/>
        <v>111</v>
      </c>
      <c r="Y774" s="11">
        <f t="shared" si="454"/>
        <v>164</v>
      </c>
      <c r="Z774" s="85">
        <v>45693</v>
      </c>
    </row>
    <row r="775" spans="1:27" x14ac:dyDescent="0.15">
      <c r="A775" s="70" t="s">
        <v>30</v>
      </c>
      <c r="B775" s="25"/>
      <c r="C775" s="45"/>
      <c r="D775" s="26"/>
      <c r="E775" s="32"/>
      <c r="F775" s="33">
        <f t="shared" si="462"/>
        <v>0</v>
      </c>
      <c r="G775" s="25"/>
      <c r="H775" s="45">
        <v>1</v>
      </c>
      <c r="I775" s="26"/>
      <c r="J775" s="32"/>
      <c r="K775" s="33">
        <f t="shared" si="463"/>
        <v>1</v>
      </c>
      <c r="L775" s="11">
        <f t="shared" si="457"/>
        <v>1</v>
      </c>
      <c r="M775" s="85">
        <v>45691</v>
      </c>
      <c r="N775" s="50" t="s">
        <v>28</v>
      </c>
      <c r="O775" s="25">
        <v>5</v>
      </c>
      <c r="P775" s="45"/>
      <c r="Q775" s="26">
        <v>5</v>
      </c>
      <c r="R775" s="32"/>
      <c r="S775" s="33">
        <f t="shared" si="464"/>
        <v>10</v>
      </c>
      <c r="T775" s="25"/>
      <c r="U775" s="45"/>
      <c r="V775" s="26">
        <v>5</v>
      </c>
      <c r="W775" s="32"/>
      <c r="X775" s="33">
        <f t="shared" si="465"/>
        <v>5</v>
      </c>
      <c r="Y775" s="11">
        <f t="shared" si="454"/>
        <v>15</v>
      </c>
      <c r="Z775" s="85">
        <v>45693</v>
      </c>
    </row>
    <row r="776" spans="1:27" x14ac:dyDescent="0.15">
      <c r="A776" s="70" t="s">
        <v>30</v>
      </c>
      <c r="B776" s="25"/>
      <c r="C776" s="45"/>
      <c r="D776" s="26">
        <v>2</v>
      </c>
      <c r="E776" s="32"/>
      <c r="F776" s="33">
        <f t="shared" si="462"/>
        <v>2</v>
      </c>
      <c r="G776" s="25"/>
      <c r="H776" s="45"/>
      <c r="I776" s="26"/>
      <c r="J776" s="32"/>
      <c r="K776" s="33">
        <f t="shared" si="463"/>
        <v>0</v>
      </c>
      <c r="L776" s="11">
        <f t="shared" si="457"/>
        <v>2</v>
      </c>
      <c r="M776" s="85">
        <v>45692</v>
      </c>
      <c r="N776" s="50"/>
      <c r="O776" s="25"/>
      <c r="P776" s="45"/>
      <c r="Q776" s="26"/>
      <c r="R776" s="32"/>
      <c r="S776" s="33">
        <f t="shared" ref="S776" si="466">SUM(O776:R776)</f>
        <v>0</v>
      </c>
      <c r="T776" s="25"/>
      <c r="U776" s="45"/>
      <c r="V776" s="26"/>
      <c r="W776" s="32"/>
      <c r="X776" s="33">
        <f t="shared" ref="X776" si="467">SUM(T776:W776)</f>
        <v>0</v>
      </c>
      <c r="Y776" s="11">
        <f t="shared" ref="Y776" si="468">S776+X776</f>
        <v>0</v>
      </c>
    </row>
    <row r="777" spans="1:27" x14ac:dyDescent="0.15">
      <c r="A777" s="70" t="s">
        <v>30</v>
      </c>
      <c r="B777" s="25">
        <v>1</v>
      </c>
      <c r="C777" s="45"/>
      <c r="D777" s="26"/>
      <c r="E777" s="32">
        <v>1</v>
      </c>
      <c r="F777" s="33">
        <f t="shared" si="462"/>
        <v>2</v>
      </c>
      <c r="G777" s="25">
        <v>1</v>
      </c>
      <c r="H777" s="45"/>
      <c r="I777" s="26"/>
      <c r="J777" s="32">
        <v>1</v>
      </c>
      <c r="K777" s="33">
        <f t="shared" si="463"/>
        <v>2</v>
      </c>
      <c r="L777" s="11">
        <f t="shared" si="457"/>
        <v>4</v>
      </c>
      <c r="M777" s="85">
        <v>45693</v>
      </c>
      <c r="N777" s="50"/>
      <c r="O777" s="25"/>
      <c r="P777" s="45"/>
      <c r="Q777" s="26"/>
      <c r="R777" s="32"/>
      <c r="S777" s="33">
        <f t="shared" si="464"/>
        <v>0</v>
      </c>
      <c r="T777" s="25"/>
      <c r="U777" s="45"/>
      <c r="V777" s="26"/>
      <c r="W777" s="32"/>
      <c r="X777" s="33">
        <f t="shared" si="465"/>
        <v>0</v>
      </c>
      <c r="Y777" s="11">
        <f t="shared" si="454"/>
        <v>0</v>
      </c>
    </row>
    <row r="778" spans="1:27" x14ac:dyDescent="0.15">
      <c r="A778" s="70" t="s">
        <v>30</v>
      </c>
      <c r="B778" s="25"/>
      <c r="C778" s="45"/>
      <c r="D778" s="26"/>
      <c r="E778" s="32">
        <v>1</v>
      </c>
      <c r="F778" s="33">
        <f t="shared" si="462"/>
        <v>1</v>
      </c>
      <c r="G778" s="25"/>
      <c r="H778" s="45"/>
      <c r="I778" s="26"/>
      <c r="J778" s="32">
        <v>1</v>
      </c>
      <c r="K778" s="33">
        <f t="shared" si="463"/>
        <v>1</v>
      </c>
      <c r="L778" s="11">
        <f t="shared" si="457"/>
        <v>2</v>
      </c>
      <c r="M778" s="85">
        <v>45694</v>
      </c>
      <c r="N778" s="50"/>
      <c r="O778" s="25"/>
      <c r="P778" s="45"/>
      <c r="Q778" s="26"/>
      <c r="R778" s="32"/>
      <c r="S778" s="33">
        <f t="shared" si="464"/>
        <v>0</v>
      </c>
      <c r="T778" s="25"/>
      <c r="U778" s="45"/>
      <c r="V778" s="26"/>
      <c r="W778" s="32"/>
      <c r="X778" s="33">
        <f t="shared" si="465"/>
        <v>0</v>
      </c>
      <c r="Y778" s="11">
        <f t="shared" si="454"/>
        <v>0</v>
      </c>
    </row>
    <row r="779" spans="1:27" x14ac:dyDescent="0.15">
      <c r="A779" s="70" t="s">
        <v>30</v>
      </c>
      <c r="B779" s="25"/>
      <c r="C779" s="45"/>
      <c r="D779" s="26">
        <v>1</v>
      </c>
      <c r="E779" s="32"/>
      <c r="F779" s="33">
        <f t="shared" si="462"/>
        <v>1</v>
      </c>
      <c r="G779" s="25"/>
      <c r="H779" s="45"/>
      <c r="I779" s="26">
        <v>1</v>
      </c>
      <c r="J779" s="32"/>
      <c r="K779" s="33">
        <f t="shared" si="463"/>
        <v>1</v>
      </c>
      <c r="L779" s="11">
        <f t="shared" si="457"/>
        <v>2</v>
      </c>
      <c r="M779" s="85">
        <v>45695</v>
      </c>
      <c r="N779" s="50"/>
      <c r="O779" s="25"/>
      <c r="P779" s="45"/>
      <c r="Q779" s="26"/>
      <c r="R779" s="32"/>
      <c r="S779" s="33">
        <f t="shared" si="464"/>
        <v>0</v>
      </c>
      <c r="T779" s="25"/>
      <c r="U779" s="45"/>
      <c r="V779" s="26"/>
      <c r="W779" s="32"/>
      <c r="X779" s="33">
        <f t="shared" si="465"/>
        <v>0</v>
      </c>
      <c r="Y779" s="11">
        <f t="shared" si="454"/>
        <v>0</v>
      </c>
    </row>
    <row r="780" spans="1:27" x14ac:dyDescent="0.15">
      <c r="A780" s="70" t="s">
        <v>30</v>
      </c>
      <c r="B780" s="25"/>
      <c r="C780" s="45"/>
      <c r="D780" s="26"/>
      <c r="E780" s="32"/>
      <c r="F780" s="33">
        <f t="shared" si="462"/>
        <v>0</v>
      </c>
      <c r="G780" s="25">
        <f>1+1</f>
        <v>2</v>
      </c>
      <c r="H780" s="45">
        <v>1</v>
      </c>
      <c r="I780" s="26"/>
      <c r="J780" s="32"/>
      <c r="K780" s="33">
        <f t="shared" si="463"/>
        <v>3</v>
      </c>
      <c r="L780" s="11">
        <f t="shared" si="457"/>
        <v>3</v>
      </c>
      <c r="M780" s="85">
        <v>45698</v>
      </c>
      <c r="N780" s="50"/>
      <c r="O780" s="25"/>
      <c r="P780" s="45"/>
      <c r="Q780" s="26"/>
      <c r="R780" s="32"/>
      <c r="S780" s="33">
        <f t="shared" si="464"/>
        <v>0</v>
      </c>
      <c r="T780" s="25"/>
      <c r="U780" s="45"/>
      <c r="V780" s="26"/>
      <c r="W780" s="32"/>
      <c r="X780" s="33">
        <f t="shared" si="465"/>
        <v>0</v>
      </c>
      <c r="Y780" s="11">
        <f t="shared" si="454"/>
        <v>0</v>
      </c>
    </row>
    <row r="781" spans="1:27" x14ac:dyDescent="0.15">
      <c r="A781" s="70" t="s">
        <v>30</v>
      </c>
      <c r="B781" s="25"/>
      <c r="C781" s="45"/>
      <c r="D781" s="26"/>
      <c r="E781" s="32">
        <v>1</v>
      </c>
      <c r="F781" s="33">
        <f t="shared" si="462"/>
        <v>1</v>
      </c>
      <c r="G781" s="25"/>
      <c r="H781" s="45"/>
      <c r="I781" s="26"/>
      <c r="J781" s="32"/>
      <c r="K781" s="33">
        <f t="shared" si="463"/>
        <v>0</v>
      </c>
      <c r="L781" s="11">
        <f t="shared" si="457"/>
        <v>1</v>
      </c>
      <c r="M781" s="85">
        <v>45700</v>
      </c>
      <c r="N781" s="50"/>
      <c r="O781" s="25"/>
      <c r="P781" s="45"/>
      <c r="Q781" s="26"/>
      <c r="R781" s="32"/>
      <c r="S781" s="33">
        <f t="shared" si="464"/>
        <v>0</v>
      </c>
      <c r="T781" s="25"/>
      <c r="U781" s="45"/>
      <c r="V781" s="26"/>
      <c r="W781" s="32"/>
      <c r="X781" s="33">
        <f t="shared" si="465"/>
        <v>0</v>
      </c>
      <c r="Y781" s="11">
        <f t="shared" si="454"/>
        <v>0</v>
      </c>
    </row>
    <row r="782" spans="1:27" x14ac:dyDescent="0.15">
      <c r="A782" s="70" t="s">
        <v>30</v>
      </c>
      <c r="B782" s="25"/>
      <c r="C782" s="45">
        <v>1</v>
      </c>
      <c r="D782" s="26"/>
      <c r="E782" s="32">
        <v>1</v>
      </c>
      <c r="F782" s="33">
        <f t="shared" si="462"/>
        <v>2</v>
      </c>
      <c r="G782" s="25"/>
      <c r="H782" s="45"/>
      <c r="I782" s="26">
        <v>1</v>
      </c>
      <c r="J782" s="32"/>
      <c r="K782" s="33">
        <f t="shared" si="463"/>
        <v>1</v>
      </c>
      <c r="L782" s="11">
        <f t="shared" si="457"/>
        <v>3</v>
      </c>
      <c r="M782" s="85">
        <v>45705</v>
      </c>
      <c r="N782" s="50"/>
      <c r="O782" s="25"/>
      <c r="P782" s="45"/>
      <c r="Q782" s="26"/>
      <c r="R782" s="32"/>
      <c r="S782" s="33">
        <f t="shared" si="464"/>
        <v>0</v>
      </c>
      <c r="T782" s="25"/>
      <c r="U782" s="45"/>
      <c r="V782" s="26"/>
      <c r="W782" s="32"/>
      <c r="X782" s="33">
        <f t="shared" si="465"/>
        <v>0</v>
      </c>
      <c r="Y782" s="11">
        <f t="shared" si="454"/>
        <v>0</v>
      </c>
    </row>
    <row r="783" spans="1:27" x14ac:dyDescent="0.15">
      <c r="A783" s="70" t="s">
        <v>240</v>
      </c>
      <c r="B783" s="25"/>
      <c r="C783" s="45">
        <v>1</v>
      </c>
      <c r="D783" s="26"/>
      <c r="E783" s="32"/>
      <c r="F783" s="33">
        <f t="shared" si="462"/>
        <v>1</v>
      </c>
      <c r="G783" s="25"/>
      <c r="H783" s="45"/>
      <c r="I783" s="26"/>
      <c r="J783" s="32"/>
      <c r="K783" s="33">
        <f t="shared" si="463"/>
        <v>0</v>
      </c>
      <c r="L783" s="11">
        <f t="shared" si="457"/>
        <v>1</v>
      </c>
      <c r="M783" s="85">
        <v>45708</v>
      </c>
      <c r="N783" s="50"/>
      <c r="O783" s="25"/>
      <c r="P783" s="45"/>
      <c r="Q783" s="26"/>
      <c r="R783" s="32"/>
      <c r="S783" s="33">
        <f t="shared" si="464"/>
        <v>0</v>
      </c>
      <c r="T783" s="25"/>
      <c r="U783" s="45"/>
      <c r="V783" s="26"/>
      <c r="W783" s="32"/>
      <c r="X783" s="33">
        <f t="shared" si="465"/>
        <v>0</v>
      </c>
      <c r="Y783" s="11">
        <f t="shared" si="454"/>
        <v>0</v>
      </c>
    </row>
    <row r="784" spans="1:27" x14ac:dyDescent="0.15">
      <c r="A784" s="70" t="s">
        <v>30</v>
      </c>
      <c r="B784" s="25"/>
      <c r="C784" s="45"/>
      <c r="D784" s="26">
        <v>1</v>
      </c>
      <c r="E784" s="32"/>
      <c r="F784" s="33">
        <f t="shared" si="462"/>
        <v>1</v>
      </c>
      <c r="G784" s="25"/>
      <c r="H784" s="45"/>
      <c r="I784" s="26"/>
      <c r="J784" s="32"/>
      <c r="K784" s="33">
        <f t="shared" si="463"/>
        <v>0</v>
      </c>
      <c r="L784" s="11">
        <f t="shared" si="457"/>
        <v>1</v>
      </c>
      <c r="M784" s="85">
        <v>45707</v>
      </c>
      <c r="N784" s="50"/>
      <c r="O784" s="25"/>
      <c r="P784" s="45"/>
      <c r="Q784" s="26"/>
      <c r="R784" s="32"/>
      <c r="S784" s="33">
        <f t="shared" si="464"/>
        <v>0</v>
      </c>
      <c r="T784" s="25"/>
      <c r="U784" s="45"/>
      <c r="V784" s="26"/>
      <c r="W784" s="32"/>
      <c r="X784" s="33">
        <f t="shared" si="465"/>
        <v>0</v>
      </c>
      <c r="Y784" s="11">
        <f t="shared" si="454"/>
        <v>0</v>
      </c>
    </row>
    <row r="785" spans="1:27" x14ac:dyDescent="0.15">
      <c r="A785" s="70" t="s">
        <v>240</v>
      </c>
      <c r="B785" s="25">
        <v>1</v>
      </c>
      <c r="C785" s="45"/>
      <c r="D785" s="26"/>
      <c r="E785" s="32"/>
      <c r="F785" s="33">
        <f t="shared" si="462"/>
        <v>1</v>
      </c>
      <c r="G785" s="25">
        <v>1</v>
      </c>
      <c r="H785" s="45"/>
      <c r="I785" s="26"/>
      <c r="J785" s="32"/>
      <c r="K785" s="33">
        <f t="shared" si="463"/>
        <v>1</v>
      </c>
      <c r="L785" s="11">
        <f t="shared" si="457"/>
        <v>2</v>
      </c>
      <c r="M785" s="85">
        <v>45708</v>
      </c>
      <c r="N785" s="50"/>
      <c r="O785" s="25"/>
      <c r="P785" s="45"/>
      <c r="Q785" s="26"/>
      <c r="R785" s="32"/>
      <c r="S785" s="33">
        <f t="shared" si="464"/>
        <v>0</v>
      </c>
      <c r="T785" s="25"/>
      <c r="U785" s="45"/>
      <c r="V785" s="26"/>
      <c r="W785" s="32"/>
      <c r="X785" s="33">
        <f t="shared" si="465"/>
        <v>0</v>
      </c>
      <c r="Y785" s="11">
        <f t="shared" si="454"/>
        <v>0</v>
      </c>
    </row>
    <row r="786" spans="1:27" x14ac:dyDescent="0.15">
      <c r="A786" s="70" t="s">
        <v>30</v>
      </c>
      <c r="B786" s="25"/>
      <c r="C786" s="45"/>
      <c r="D786" s="26"/>
      <c r="E786" s="32"/>
      <c r="F786" s="33">
        <f t="shared" si="462"/>
        <v>0</v>
      </c>
      <c r="G786" s="25"/>
      <c r="H786" s="45"/>
      <c r="I786" s="26"/>
      <c r="J786" s="32">
        <v>2</v>
      </c>
      <c r="K786" s="33">
        <f t="shared" si="463"/>
        <v>2</v>
      </c>
      <c r="L786" s="11">
        <f t="shared" si="457"/>
        <v>2</v>
      </c>
      <c r="M786" s="85">
        <v>45708</v>
      </c>
      <c r="N786" s="50"/>
      <c r="O786" s="25"/>
      <c r="P786" s="45"/>
      <c r="Q786" s="26"/>
      <c r="R786" s="32"/>
      <c r="S786" s="33">
        <f t="shared" si="464"/>
        <v>0</v>
      </c>
      <c r="T786" s="25"/>
      <c r="U786" s="45"/>
      <c r="V786" s="26"/>
      <c r="W786" s="32"/>
      <c r="X786" s="33">
        <f t="shared" si="465"/>
        <v>0</v>
      </c>
      <c r="Y786" s="11">
        <f t="shared" si="454"/>
        <v>0</v>
      </c>
    </row>
    <row r="787" spans="1:27" x14ac:dyDescent="0.15">
      <c r="A787" s="70" t="s">
        <v>30</v>
      </c>
      <c r="B787" s="25"/>
      <c r="C787" s="45"/>
      <c r="D787" s="26"/>
      <c r="E787" s="32"/>
      <c r="F787" s="33">
        <f t="shared" si="462"/>
        <v>0</v>
      </c>
      <c r="G787" s="25">
        <v>1</v>
      </c>
      <c r="H787" s="45"/>
      <c r="I787" s="26"/>
      <c r="J787" s="32"/>
      <c r="K787" s="33">
        <f t="shared" si="463"/>
        <v>1</v>
      </c>
      <c r="L787" s="11">
        <f t="shared" si="457"/>
        <v>1</v>
      </c>
      <c r="M787" s="85">
        <v>45713</v>
      </c>
      <c r="N787" s="50"/>
      <c r="O787" s="25"/>
      <c r="P787" s="45"/>
      <c r="Q787" s="26"/>
      <c r="R787" s="32"/>
      <c r="S787" s="33">
        <f t="shared" si="464"/>
        <v>0</v>
      </c>
      <c r="T787" s="25"/>
      <c r="U787" s="45"/>
      <c r="V787" s="26"/>
      <c r="W787" s="32"/>
      <c r="X787" s="33">
        <f t="shared" si="465"/>
        <v>0</v>
      </c>
      <c r="Y787" s="11">
        <f t="shared" si="454"/>
        <v>0</v>
      </c>
    </row>
    <row r="788" spans="1:27" x14ac:dyDescent="0.15">
      <c r="A788" s="70" t="s">
        <v>459</v>
      </c>
      <c r="B788" s="25">
        <v>1</v>
      </c>
      <c r="C788" s="45"/>
      <c r="D788" s="26"/>
      <c r="E788" s="32"/>
      <c r="F788" s="33">
        <f t="shared" si="462"/>
        <v>1</v>
      </c>
      <c r="G788" s="25"/>
      <c r="H788" s="45"/>
      <c r="I788" s="26"/>
      <c r="J788" s="32"/>
      <c r="K788" s="33">
        <f t="shared" si="463"/>
        <v>0</v>
      </c>
      <c r="L788" s="11">
        <f t="shared" si="457"/>
        <v>1</v>
      </c>
      <c r="M788" s="85">
        <v>45715</v>
      </c>
      <c r="N788" s="50"/>
      <c r="O788" s="25"/>
      <c r="P788" s="45"/>
      <c r="Q788" s="26"/>
      <c r="R788" s="32"/>
      <c r="S788" s="33">
        <f t="shared" si="464"/>
        <v>0</v>
      </c>
      <c r="T788" s="25"/>
      <c r="U788" s="45"/>
      <c r="V788" s="26"/>
      <c r="W788" s="32"/>
      <c r="X788" s="33">
        <f t="shared" si="465"/>
        <v>0</v>
      </c>
      <c r="Y788" s="11">
        <f t="shared" si="454"/>
        <v>0</v>
      </c>
    </row>
    <row r="789" spans="1:27" x14ac:dyDescent="0.15">
      <c r="A789" s="70" t="s">
        <v>30</v>
      </c>
      <c r="B789" s="25"/>
      <c r="C789" s="45"/>
      <c r="D789" s="26"/>
      <c r="E789" s="32"/>
      <c r="F789" s="33">
        <f t="shared" si="462"/>
        <v>0</v>
      </c>
      <c r="G789" s="25"/>
      <c r="H789" s="45">
        <v>1</v>
      </c>
      <c r="I789" s="26"/>
      <c r="J789" s="32"/>
      <c r="K789" s="33">
        <f t="shared" si="463"/>
        <v>1</v>
      </c>
      <c r="L789" s="11">
        <f t="shared" si="457"/>
        <v>1</v>
      </c>
      <c r="M789" s="115">
        <v>45719</v>
      </c>
      <c r="N789" s="12"/>
      <c r="O789" s="25"/>
      <c r="P789" s="45"/>
      <c r="Q789" s="26"/>
      <c r="R789" s="32"/>
      <c r="S789" s="33">
        <f t="shared" si="464"/>
        <v>0</v>
      </c>
      <c r="T789" s="25"/>
      <c r="U789" s="45"/>
      <c r="V789" s="26"/>
      <c r="W789" s="32"/>
      <c r="X789" s="33">
        <f t="shared" si="465"/>
        <v>0</v>
      </c>
      <c r="Y789" s="93">
        <f t="shared" si="454"/>
        <v>0</v>
      </c>
    </row>
    <row r="790" spans="1:27" x14ac:dyDescent="0.15">
      <c r="A790" s="70" t="s">
        <v>30</v>
      </c>
      <c r="B790" s="25"/>
      <c r="C790" s="45">
        <v>3</v>
      </c>
      <c r="D790" s="26"/>
      <c r="E790" s="32"/>
      <c r="F790" s="33">
        <f t="shared" si="462"/>
        <v>3</v>
      </c>
      <c r="G790" s="25"/>
      <c r="H790" s="45"/>
      <c r="I790" s="26"/>
      <c r="J790" s="32"/>
      <c r="K790" s="33">
        <f t="shared" si="463"/>
        <v>0</v>
      </c>
      <c r="L790" s="11">
        <f t="shared" si="457"/>
        <v>3</v>
      </c>
      <c r="M790" s="115">
        <v>45720</v>
      </c>
      <c r="N790" s="12"/>
      <c r="O790" s="25"/>
      <c r="P790" s="45"/>
      <c r="Q790" s="26"/>
      <c r="R790" s="32"/>
      <c r="S790" s="33">
        <f t="shared" si="464"/>
        <v>0</v>
      </c>
      <c r="T790" s="25"/>
      <c r="U790" s="45"/>
      <c r="V790" s="26"/>
      <c r="W790" s="32"/>
      <c r="X790" s="33">
        <f t="shared" si="465"/>
        <v>0</v>
      </c>
      <c r="Y790" s="93">
        <f t="shared" si="454"/>
        <v>0</v>
      </c>
    </row>
    <row r="791" spans="1:27" x14ac:dyDescent="0.15">
      <c r="A791" s="70" t="s">
        <v>30</v>
      </c>
      <c r="B791" s="25">
        <v>1</v>
      </c>
      <c r="C791" s="45"/>
      <c r="D791" s="26"/>
      <c r="E791" s="32"/>
      <c r="F791" s="33">
        <f t="shared" si="462"/>
        <v>1</v>
      </c>
      <c r="G791" s="25">
        <v>1</v>
      </c>
      <c r="H791" s="45"/>
      <c r="I791" s="26"/>
      <c r="J791" s="32"/>
      <c r="K791" s="33">
        <f t="shared" si="463"/>
        <v>1</v>
      </c>
      <c r="L791" s="11">
        <f t="shared" si="457"/>
        <v>2</v>
      </c>
      <c r="M791" s="85">
        <v>45721</v>
      </c>
      <c r="N791" s="50"/>
      <c r="O791" s="59"/>
      <c r="P791" s="60"/>
      <c r="Q791" s="61"/>
      <c r="R791" s="62"/>
      <c r="S791" s="63">
        <f t="shared" si="464"/>
        <v>0</v>
      </c>
      <c r="T791" s="59"/>
      <c r="U791" s="60"/>
      <c r="V791" s="61"/>
      <c r="W791" s="62"/>
      <c r="X791" s="63">
        <f t="shared" si="465"/>
        <v>0</v>
      </c>
      <c r="Y791" s="11">
        <f t="shared" si="454"/>
        <v>0</v>
      </c>
    </row>
    <row r="792" spans="1:27" x14ac:dyDescent="0.15">
      <c r="A792" s="70" t="s">
        <v>30</v>
      </c>
      <c r="B792" s="25"/>
      <c r="C792" s="45"/>
      <c r="D792" s="26"/>
      <c r="E792" s="32"/>
      <c r="F792" s="33">
        <f t="shared" si="462"/>
        <v>0</v>
      </c>
      <c r="G792" s="25">
        <v>1</v>
      </c>
      <c r="H792" s="45"/>
      <c r="I792" s="26"/>
      <c r="J792" s="32"/>
      <c r="K792" s="33">
        <f t="shared" si="463"/>
        <v>1</v>
      </c>
      <c r="L792" s="11">
        <f t="shared" si="457"/>
        <v>1</v>
      </c>
      <c r="M792" s="85">
        <v>45723</v>
      </c>
      <c r="N792" s="50"/>
      <c r="O792" s="59"/>
      <c r="P792" s="60"/>
      <c r="Q792" s="61"/>
      <c r="R792" s="62"/>
      <c r="S792" s="63">
        <f t="shared" si="464"/>
        <v>0</v>
      </c>
      <c r="T792" s="59"/>
      <c r="U792" s="60"/>
      <c r="V792" s="61"/>
      <c r="W792" s="62"/>
      <c r="X792" s="63">
        <f t="shared" si="465"/>
        <v>0</v>
      </c>
      <c r="Y792" s="11">
        <f t="shared" si="454"/>
        <v>0</v>
      </c>
    </row>
    <row r="793" spans="1:27" x14ac:dyDescent="0.15">
      <c r="A793" s="70" t="s">
        <v>30</v>
      </c>
      <c r="B793" s="25"/>
      <c r="C793" s="45"/>
      <c r="D793" s="26">
        <v>1</v>
      </c>
      <c r="E793" s="32"/>
      <c r="F793" s="33">
        <f t="shared" si="462"/>
        <v>1</v>
      </c>
      <c r="G793" s="25"/>
      <c r="H793" s="45"/>
      <c r="I793" s="26">
        <v>1</v>
      </c>
      <c r="J793" s="32"/>
      <c r="K793" s="33">
        <f t="shared" si="463"/>
        <v>1</v>
      </c>
      <c r="L793" s="93">
        <f t="shared" si="457"/>
        <v>2</v>
      </c>
      <c r="M793" s="85">
        <v>45726</v>
      </c>
      <c r="N793" s="50"/>
      <c r="O793" s="59"/>
      <c r="P793" s="60"/>
      <c r="Q793" s="61"/>
      <c r="R793" s="62"/>
      <c r="S793" s="63">
        <f t="shared" si="464"/>
        <v>0</v>
      </c>
      <c r="T793" s="59"/>
      <c r="U793" s="60"/>
      <c r="V793" s="61"/>
      <c r="W793" s="62"/>
      <c r="X793" s="63">
        <f t="shared" si="465"/>
        <v>0</v>
      </c>
      <c r="Y793" s="11">
        <f t="shared" si="454"/>
        <v>0</v>
      </c>
    </row>
    <row r="794" spans="1:27" ht="14.25" thickBot="1" x14ac:dyDescent="0.2">
      <c r="A794" s="158" t="s">
        <v>240</v>
      </c>
      <c r="B794" s="55"/>
      <c r="C794" s="56">
        <v>1</v>
      </c>
      <c r="D794" s="57"/>
      <c r="E794" s="58"/>
      <c r="F794" s="109">
        <f t="shared" si="462"/>
        <v>1</v>
      </c>
      <c r="G794" s="55"/>
      <c r="H794" s="56"/>
      <c r="I794" s="57"/>
      <c r="J794" s="58"/>
      <c r="K794" s="109">
        <f t="shared" si="463"/>
        <v>0</v>
      </c>
      <c r="L794" s="75">
        <f t="shared" si="457"/>
        <v>1</v>
      </c>
      <c r="M794" s="85">
        <v>45729</v>
      </c>
      <c r="N794" s="140" t="s">
        <v>440</v>
      </c>
      <c r="O794" s="55"/>
      <c r="P794" s="56"/>
      <c r="Q794" s="57"/>
      <c r="R794" s="58"/>
      <c r="S794" s="109">
        <f t="shared" si="464"/>
        <v>0</v>
      </c>
      <c r="T794" s="55"/>
      <c r="U794" s="56"/>
      <c r="V794" s="57"/>
      <c r="W794" s="58"/>
      <c r="X794" s="109">
        <f t="shared" si="465"/>
        <v>0</v>
      </c>
      <c r="Y794" s="107">
        <f t="shared" si="454"/>
        <v>0</v>
      </c>
      <c r="Z794" s="159" t="s">
        <v>439</v>
      </c>
      <c r="AA794" s="51"/>
    </row>
    <row r="795" spans="1:27" ht="14.25" thickBot="1" x14ac:dyDescent="0.2">
      <c r="A795" s="72" t="s">
        <v>10</v>
      </c>
      <c r="B795" s="36">
        <f>SUM(B770:B794)</f>
        <v>4</v>
      </c>
      <c r="C795" s="46">
        <f>SUM(C770:C794)</f>
        <v>7</v>
      </c>
      <c r="D795" s="37">
        <f>SUM(D770:D794)</f>
        <v>7</v>
      </c>
      <c r="E795" s="38">
        <f>SUM(E770:E794)</f>
        <v>5</v>
      </c>
      <c r="F795" s="71">
        <f>SUM(B795:E795)</f>
        <v>23</v>
      </c>
      <c r="G795" s="36">
        <f>SUM(G770:G794)</f>
        <v>10</v>
      </c>
      <c r="H795" s="46">
        <f>SUM(H770:H794)</f>
        <v>3</v>
      </c>
      <c r="I795" s="37">
        <f>SUM(I770:I794)</f>
        <v>4</v>
      </c>
      <c r="J795" s="38">
        <f>SUM(J770:J794)</f>
        <v>6</v>
      </c>
      <c r="K795" s="71">
        <f>SUM(G795:J795)</f>
        <v>23</v>
      </c>
      <c r="L795" s="75">
        <f t="shared" si="457"/>
        <v>46</v>
      </c>
      <c r="N795" s="72" t="s">
        <v>10</v>
      </c>
      <c r="O795" s="36">
        <f>SUM(O770:O794)</f>
        <v>36</v>
      </c>
      <c r="P795" s="46">
        <f>SUM(P770:P794)</f>
        <v>53</v>
      </c>
      <c r="Q795" s="37">
        <f>SUM(Q770:Q794)</f>
        <v>34</v>
      </c>
      <c r="R795" s="38">
        <f>SUM(R770:R794)</f>
        <v>45</v>
      </c>
      <c r="S795" s="71">
        <f t="shared" si="464"/>
        <v>168</v>
      </c>
      <c r="T795" s="36">
        <f>SUM(T770:T794)</f>
        <v>69</v>
      </c>
      <c r="U795" s="46">
        <f>SUM(U770:U794)</f>
        <v>93</v>
      </c>
      <c r="V795" s="37">
        <f>SUM(V770:V794)</f>
        <v>60</v>
      </c>
      <c r="W795" s="38">
        <f>SUM(W770:W794)</f>
        <v>39</v>
      </c>
      <c r="X795" s="71">
        <f t="shared" si="465"/>
        <v>261</v>
      </c>
      <c r="Y795" s="75">
        <f t="shared" si="454"/>
        <v>429</v>
      </c>
    </row>
    <row r="796" spans="1:27" ht="14.25" thickBot="1" x14ac:dyDescent="0.2">
      <c r="A796" s="21" t="s">
        <v>11</v>
      </c>
      <c r="B796" s="39">
        <f t="shared" ref="B796:K796" si="469">B769-B795</f>
        <v>11</v>
      </c>
      <c r="C796" s="47">
        <f t="shared" si="469"/>
        <v>6</v>
      </c>
      <c r="D796" s="40">
        <f t="shared" si="469"/>
        <v>9</v>
      </c>
      <c r="E796" s="41">
        <f t="shared" si="469"/>
        <v>7</v>
      </c>
      <c r="F796" s="54">
        <f t="shared" si="469"/>
        <v>33</v>
      </c>
      <c r="G796" s="39">
        <f t="shared" si="469"/>
        <v>9</v>
      </c>
      <c r="H796" s="47">
        <f t="shared" si="469"/>
        <v>11</v>
      </c>
      <c r="I796" s="40">
        <f t="shared" si="469"/>
        <v>7</v>
      </c>
      <c r="J796" s="41">
        <f t="shared" si="469"/>
        <v>8</v>
      </c>
      <c r="K796" s="54">
        <f t="shared" si="469"/>
        <v>35</v>
      </c>
      <c r="L796" s="20">
        <f t="shared" si="457"/>
        <v>68</v>
      </c>
      <c r="N796" s="16" t="s">
        <v>11</v>
      </c>
      <c r="O796" s="39">
        <f t="shared" ref="O796:X796" si="470">O769-O795</f>
        <v>410</v>
      </c>
      <c r="P796" s="47">
        <f t="shared" si="470"/>
        <v>404</v>
      </c>
      <c r="Q796" s="40">
        <f t="shared" si="470"/>
        <v>251</v>
      </c>
      <c r="R796" s="41">
        <f t="shared" si="470"/>
        <v>265</v>
      </c>
      <c r="S796" s="54">
        <f t="shared" si="470"/>
        <v>1330</v>
      </c>
      <c r="T796" s="39">
        <f t="shared" si="470"/>
        <v>324</v>
      </c>
      <c r="U796" s="47">
        <f t="shared" si="470"/>
        <v>341</v>
      </c>
      <c r="V796" s="40">
        <f t="shared" si="470"/>
        <v>313</v>
      </c>
      <c r="W796" s="41">
        <f t="shared" si="470"/>
        <v>199</v>
      </c>
      <c r="X796" s="54">
        <f t="shared" si="470"/>
        <v>1177</v>
      </c>
      <c r="Y796" s="20">
        <f t="shared" si="454"/>
        <v>2507</v>
      </c>
    </row>
    <row r="799" spans="1:27" ht="19.5" thickBot="1" x14ac:dyDescent="0.25">
      <c r="A799" s="2" t="s">
        <v>26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27</v>
      </c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7" ht="14.25" thickBot="1" x14ac:dyDescent="0.2">
      <c r="A800" s="5" t="s">
        <v>0</v>
      </c>
      <c r="B800" s="228" t="s">
        <v>19</v>
      </c>
      <c r="C800" s="229"/>
      <c r="D800" s="229"/>
      <c r="E800" s="229"/>
      <c r="F800" s="230"/>
      <c r="G800" s="231" t="s">
        <v>18</v>
      </c>
      <c r="H800" s="232"/>
      <c r="I800" s="232"/>
      <c r="J800" s="232"/>
      <c r="K800" s="233"/>
      <c r="L800" s="73" t="s">
        <v>1</v>
      </c>
      <c r="N800" s="5" t="s">
        <v>0</v>
      </c>
      <c r="O800" s="228" t="s">
        <v>19</v>
      </c>
      <c r="P800" s="229"/>
      <c r="Q800" s="229"/>
      <c r="R800" s="229"/>
      <c r="S800" s="230"/>
      <c r="T800" s="231" t="s">
        <v>18</v>
      </c>
      <c r="U800" s="232"/>
      <c r="V800" s="232"/>
      <c r="W800" s="232"/>
      <c r="X800" s="233"/>
      <c r="Y800" s="73" t="s">
        <v>1</v>
      </c>
    </row>
    <row r="801" spans="1:27" ht="14.25" thickBot="1" x14ac:dyDescent="0.2">
      <c r="A801" s="5" t="s">
        <v>2</v>
      </c>
      <c r="B801" s="3" t="s">
        <v>12</v>
      </c>
      <c r="C801" s="42" t="s">
        <v>13</v>
      </c>
      <c r="D801" s="4" t="s">
        <v>14</v>
      </c>
      <c r="E801" s="22" t="s">
        <v>15</v>
      </c>
      <c r="F801" s="30" t="s">
        <v>3</v>
      </c>
      <c r="G801" s="3" t="s">
        <v>12</v>
      </c>
      <c r="H801" s="42" t="s">
        <v>13</v>
      </c>
      <c r="I801" s="4" t="s">
        <v>14</v>
      </c>
      <c r="J801" s="22" t="s">
        <v>15</v>
      </c>
      <c r="K801" s="30" t="s">
        <v>3</v>
      </c>
      <c r="L801" s="74"/>
      <c r="N801" s="5" t="s">
        <v>2</v>
      </c>
      <c r="O801" s="64" t="s">
        <v>12</v>
      </c>
      <c r="P801" s="65" t="s">
        <v>13</v>
      </c>
      <c r="Q801" s="66" t="s">
        <v>14</v>
      </c>
      <c r="R801" s="67" t="s">
        <v>15</v>
      </c>
      <c r="S801" s="30" t="s">
        <v>3</v>
      </c>
      <c r="T801" s="3" t="s">
        <v>12</v>
      </c>
      <c r="U801" s="42" t="s">
        <v>13</v>
      </c>
      <c r="V801" s="4" t="s">
        <v>14</v>
      </c>
      <c r="W801" s="22" t="s">
        <v>15</v>
      </c>
      <c r="X801" s="30" t="s">
        <v>3</v>
      </c>
      <c r="Y801" s="74"/>
    </row>
    <row r="802" spans="1:27" ht="14.25" thickBot="1" x14ac:dyDescent="0.2">
      <c r="A802" s="21" t="s">
        <v>16</v>
      </c>
      <c r="B802" s="39">
        <f>B796</f>
        <v>11</v>
      </c>
      <c r="C802" s="40">
        <f>C796</f>
        <v>6</v>
      </c>
      <c r="D802" s="40">
        <f>D796</f>
        <v>9</v>
      </c>
      <c r="E802" s="41">
        <f>E796</f>
        <v>7</v>
      </c>
      <c r="F802" s="122">
        <f>SUM(B802:E802)</f>
        <v>33</v>
      </c>
      <c r="G802" s="39">
        <f>G796</f>
        <v>9</v>
      </c>
      <c r="H802" s="40">
        <f>H796</f>
        <v>11</v>
      </c>
      <c r="I802" s="40">
        <f>I796</f>
        <v>7</v>
      </c>
      <c r="J802" s="41">
        <f>J796</f>
        <v>8</v>
      </c>
      <c r="K802" s="123">
        <f>SUM(G802:J802)</f>
        <v>35</v>
      </c>
      <c r="L802" s="20">
        <f>F802+K802</f>
        <v>68</v>
      </c>
      <c r="N802" s="21" t="s">
        <v>16</v>
      </c>
      <c r="O802" s="39">
        <f>O796</f>
        <v>410</v>
      </c>
      <c r="P802" s="40">
        <f>P796</f>
        <v>404</v>
      </c>
      <c r="Q802" s="40">
        <f t="shared" ref="Q802:R802" si="471">Q796</f>
        <v>251</v>
      </c>
      <c r="R802" s="88">
        <f t="shared" si="471"/>
        <v>265</v>
      </c>
      <c r="S802" s="123">
        <f>SUM(O802:R802)</f>
        <v>1330</v>
      </c>
      <c r="T802" s="39">
        <f>T796</f>
        <v>324</v>
      </c>
      <c r="U802" s="40">
        <f>U796</f>
        <v>341</v>
      </c>
      <c r="V802" s="40">
        <f>V796</f>
        <v>313</v>
      </c>
      <c r="W802" s="41">
        <f>W796</f>
        <v>199</v>
      </c>
      <c r="X802" s="123">
        <f>SUM(T802:W802)</f>
        <v>1177</v>
      </c>
      <c r="Y802" s="20">
        <f t="shared" ref="Y802:Y834" si="472">S802+X802</f>
        <v>2507</v>
      </c>
    </row>
    <row r="803" spans="1:27" x14ac:dyDescent="0.15">
      <c r="A803" s="70" t="s">
        <v>5</v>
      </c>
      <c r="B803" s="6"/>
      <c r="C803" s="29">
        <v>5</v>
      </c>
      <c r="D803" s="7">
        <v>5</v>
      </c>
      <c r="E803" s="8">
        <v>5</v>
      </c>
      <c r="F803" s="9">
        <f t="shared" ref="F803:F806" si="473">SUM(B803:E803)</f>
        <v>15</v>
      </c>
      <c r="G803" s="29">
        <v>5</v>
      </c>
      <c r="H803" s="29"/>
      <c r="I803" s="7"/>
      <c r="J803" s="8"/>
      <c r="K803" s="9">
        <f t="shared" ref="K803:K806" si="474">SUM(G803:J803)</f>
        <v>5</v>
      </c>
      <c r="L803" s="11">
        <f t="shared" ref="L803:L834" si="475">F803+K803</f>
        <v>20</v>
      </c>
      <c r="M803" s="85">
        <v>45728</v>
      </c>
      <c r="N803" s="13" t="s">
        <v>17</v>
      </c>
      <c r="O803" s="25"/>
      <c r="P803" s="45"/>
      <c r="Q803" s="26"/>
      <c r="R803" s="32"/>
      <c r="S803" s="68">
        <f t="shared" ref="S803:S804" si="476">SUM(O803:R803)</f>
        <v>0</v>
      </c>
      <c r="T803" s="45"/>
      <c r="U803" s="45"/>
      <c r="V803" s="26"/>
      <c r="W803" s="48"/>
      <c r="X803" s="9">
        <f t="shared" ref="X803:X804" si="477">SUM(T803:W803)</f>
        <v>0</v>
      </c>
      <c r="Y803" s="11">
        <f t="shared" si="472"/>
        <v>0</v>
      </c>
    </row>
    <row r="804" spans="1:27" x14ac:dyDescent="0.15">
      <c r="A804" s="70" t="s">
        <v>6</v>
      </c>
      <c r="B804" s="6"/>
      <c r="C804" s="29">
        <v>5</v>
      </c>
      <c r="D804" s="7"/>
      <c r="E804" s="8"/>
      <c r="F804" s="9">
        <f t="shared" si="473"/>
        <v>5</v>
      </c>
      <c r="G804" s="29"/>
      <c r="H804" s="29"/>
      <c r="I804" s="7"/>
      <c r="J804" s="8"/>
      <c r="K804" s="9">
        <f t="shared" si="474"/>
        <v>0</v>
      </c>
      <c r="L804" s="11">
        <f t="shared" si="475"/>
        <v>5</v>
      </c>
      <c r="M804" s="85">
        <v>45766</v>
      </c>
      <c r="N804" s="13" t="s">
        <v>163</v>
      </c>
      <c r="O804" s="25">
        <v>21</v>
      </c>
      <c r="P804" s="45">
        <v>4</v>
      </c>
      <c r="Q804" s="26">
        <v>21</v>
      </c>
      <c r="R804" s="32">
        <v>11</v>
      </c>
      <c r="S804" s="68">
        <f t="shared" si="476"/>
        <v>57</v>
      </c>
      <c r="T804" s="45">
        <v>20</v>
      </c>
      <c r="U804" s="45">
        <v>52</v>
      </c>
      <c r="V804" s="26">
        <v>20</v>
      </c>
      <c r="W804" s="48">
        <v>21</v>
      </c>
      <c r="X804" s="9">
        <f t="shared" si="477"/>
        <v>113</v>
      </c>
      <c r="Y804" s="11">
        <f t="shared" si="472"/>
        <v>170</v>
      </c>
      <c r="Z804" s="85">
        <v>45793</v>
      </c>
    </row>
    <row r="805" spans="1:27" x14ac:dyDescent="0.15">
      <c r="A805" s="70" t="s">
        <v>7</v>
      </c>
      <c r="B805" s="6"/>
      <c r="C805" s="29">
        <v>5</v>
      </c>
      <c r="D805" s="7"/>
      <c r="E805" s="8"/>
      <c r="F805" s="9">
        <f t="shared" si="473"/>
        <v>5</v>
      </c>
      <c r="G805" s="29"/>
      <c r="H805" s="29"/>
      <c r="I805" s="7"/>
      <c r="J805" s="8"/>
      <c r="K805" s="9">
        <f t="shared" si="474"/>
        <v>0</v>
      </c>
      <c r="L805" s="11">
        <f t="shared" si="475"/>
        <v>5</v>
      </c>
      <c r="M805" s="85">
        <v>45777</v>
      </c>
      <c r="N805" s="13" t="s">
        <v>6</v>
      </c>
      <c r="O805" s="25"/>
      <c r="P805" s="45"/>
      <c r="Q805" s="26"/>
      <c r="R805" s="32"/>
      <c r="S805" s="68">
        <f>SUM(O805:R805)</f>
        <v>0</v>
      </c>
      <c r="T805" s="45"/>
      <c r="U805" s="45"/>
      <c r="V805" s="26"/>
      <c r="W805" s="48"/>
      <c r="X805" s="9">
        <f>SUM(T805:W805)</f>
        <v>0</v>
      </c>
      <c r="Y805" s="11">
        <f t="shared" si="472"/>
        <v>0</v>
      </c>
    </row>
    <row r="806" spans="1:27" ht="14.25" thickBot="1" x14ac:dyDescent="0.2">
      <c r="A806" s="70" t="s">
        <v>8</v>
      </c>
      <c r="B806" s="125"/>
      <c r="C806" s="126">
        <v>5</v>
      </c>
      <c r="D806" s="127">
        <v>5</v>
      </c>
      <c r="E806" s="128"/>
      <c r="F806" s="129">
        <f t="shared" si="473"/>
        <v>10</v>
      </c>
      <c r="G806" s="126"/>
      <c r="H806" s="126"/>
      <c r="I806" s="127"/>
      <c r="J806" s="128"/>
      <c r="K806" s="129">
        <f t="shared" si="474"/>
        <v>0</v>
      </c>
      <c r="L806" s="14">
        <f t="shared" si="475"/>
        <v>10</v>
      </c>
      <c r="M806" s="85">
        <v>45785</v>
      </c>
      <c r="N806" s="13" t="s">
        <v>7</v>
      </c>
      <c r="O806" s="55"/>
      <c r="P806" s="56"/>
      <c r="Q806" s="57"/>
      <c r="R806" s="58"/>
      <c r="S806" s="69">
        <f>SUM(O806:R806)</f>
        <v>0</v>
      </c>
      <c r="T806" s="45"/>
      <c r="U806" s="45"/>
      <c r="V806" s="26"/>
      <c r="W806" s="48"/>
      <c r="X806" s="10">
        <f>SUM(T806:W806)</f>
        <v>0</v>
      </c>
      <c r="Y806" s="14">
        <f t="shared" si="472"/>
        <v>0</v>
      </c>
    </row>
    <row r="807" spans="1:27" ht="14.25" thickBot="1" x14ac:dyDescent="0.2">
      <c r="A807" s="21" t="s">
        <v>9</v>
      </c>
      <c r="B807" s="130">
        <f t="shared" ref="B807:K807" si="478">SUM(B802:B806)</f>
        <v>11</v>
      </c>
      <c r="C807" s="131">
        <f t="shared" si="478"/>
        <v>26</v>
      </c>
      <c r="D807" s="132">
        <f t="shared" si="478"/>
        <v>19</v>
      </c>
      <c r="E807" s="133">
        <f t="shared" si="478"/>
        <v>12</v>
      </c>
      <c r="F807" s="123">
        <f t="shared" si="478"/>
        <v>68</v>
      </c>
      <c r="G807" s="130">
        <f t="shared" si="478"/>
        <v>14</v>
      </c>
      <c r="H807" s="131">
        <f t="shared" si="478"/>
        <v>11</v>
      </c>
      <c r="I807" s="132">
        <f t="shared" si="478"/>
        <v>7</v>
      </c>
      <c r="J807" s="133">
        <f t="shared" si="478"/>
        <v>8</v>
      </c>
      <c r="K807" s="123">
        <f t="shared" si="478"/>
        <v>40</v>
      </c>
      <c r="L807" s="20">
        <f t="shared" si="475"/>
        <v>108</v>
      </c>
      <c r="N807" s="16" t="s">
        <v>9</v>
      </c>
      <c r="O807" s="39">
        <f t="shared" ref="O807:X807" si="479">SUM(O802:O806)</f>
        <v>431</v>
      </c>
      <c r="P807" s="47">
        <f t="shared" si="479"/>
        <v>408</v>
      </c>
      <c r="Q807" s="40">
        <f t="shared" si="479"/>
        <v>272</v>
      </c>
      <c r="R807" s="88">
        <f t="shared" si="479"/>
        <v>276</v>
      </c>
      <c r="S807" s="89">
        <f t="shared" si="479"/>
        <v>1387</v>
      </c>
      <c r="T807" s="39">
        <f t="shared" si="479"/>
        <v>344</v>
      </c>
      <c r="U807" s="47">
        <f t="shared" si="479"/>
        <v>393</v>
      </c>
      <c r="V807" s="40">
        <f t="shared" si="479"/>
        <v>333</v>
      </c>
      <c r="W807" s="88">
        <f t="shared" si="479"/>
        <v>220</v>
      </c>
      <c r="X807" s="89">
        <f t="shared" si="479"/>
        <v>1290</v>
      </c>
      <c r="Y807" s="49">
        <f t="shared" si="472"/>
        <v>2677</v>
      </c>
    </row>
    <row r="808" spans="1:27" x14ac:dyDescent="0.15">
      <c r="A808" s="70" t="s">
        <v>30</v>
      </c>
      <c r="B808" s="25"/>
      <c r="C808" s="45">
        <v>2</v>
      </c>
      <c r="D808" s="26"/>
      <c r="E808" s="32"/>
      <c r="F808" s="33">
        <f t="shared" ref="F808:F832" si="480">SUM(B808:E808)</f>
        <v>2</v>
      </c>
      <c r="G808" s="25"/>
      <c r="H808" s="45">
        <v>1</v>
      </c>
      <c r="I808" s="26"/>
      <c r="J808" s="32"/>
      <c r="K808" s="33">
        <f t="shared" ref="K808:K832" si="481">SUM(G808:J808)</f>
        <v>1</v>
      </c>
      <c r="L808" s="11">
        <f t="shared" si="475"/>
        <v>3</v>
      </c>
      <c r="M808" s="85">
        <v>45727</v>
      </c>
      <c r="N808" s="73" t="s">
        <v>460</v>
      </c>
      <c r="O808" s="25">
        <v>5</v>
      </c>
      <c r="P808" s="45">
        <v>5</v>
      </c>
      <c r="Q808" s="26">
        <v>5</v>
      </c>
      <c r="R808" s="32">
        <v>5</v>
      </c>
      <c r="S808" s="33">
        <f t="shared" ref="S808:S833" si="482">SUM(O808:R808)</f>
        <v>20</v>
      </c>
      <c r="T808" s="25">
        <v>5</v>
      </c>
      <c r="U808" s="45">
        <v>5</v>
      </c>
      <c r="V808" s="26">
        <v>5</v>
      </c>
      <c r="W808" s="32">
        <v>5</v>
      </c>
      <c r="X808" s="33">
        <f t="shared" ref="X808:X833" si="483">SUM(T808:W808)</f>
        <v>20</v>
      </c>
      <c r="Y808" s="11">
        <f t="shared" si="472"/>
        <v>40</v>
      </c>
      <c r="Z808" s="85">
        <v>45717</v>
      </c>
    </row>
    <row r="809" spans="1:27" x14ac:dyDescent="0.15">
      <c r="A809" s="70" t="s">
        <v>30</v>
      </c>
      <c r="B809" s="25">
        <v>1</v>
      </c>
      <c r="C809" s="45"/>
      <c r="D809" s="26"/>
      <c r="E809" s="32"/>
      <c r="F809" s="33">
        <f t="shared" si="480"/>
        <v>1</v>
      </c>
      <c r="G809" s="25"/>
      <c r="H809" s="45"/>
      <c r="I809" s="26"/>
      <c r="J809" s="32"/>
      <c r="K809" s="33">
        <f t="shared" si="481"/>
        <v>0</v>
      </c>
      <c r="L809" s="11">
        <f t="shared" si="475"/>
        <v>1</v>
      </c>
      <c r="M809" s="85">
        <v>45737</v>
      </c>
      <c r="N809" s="50" t="s">
        <v>461</v>
      </c>
      <c r="O809" s="25">
        <v>10</v>
      </c>
      <c r="P809" s="45">
        <v>10</v>
      </c>
      <c r="Q809" s="26">
        <v>10</v>
      </c>
      <c r="R809" s="32">
        <v>10</v>
      </c>
      <c r="S809" s="33">
        <f t="shared" si="482"/>
        <v>40</v>
      </c>
      <c r="T809" s="25">
        <v>10</v>
      </c>
      <c r="U809" s="45">
        <v>10</v>
      </c>
      <c r="V809" s="26">
        <v>10</v>
      </c>
      <c r="W809" s="32">
        <v>10</v>
      </c>
      <c r="X809" s="33">
        <f t="shared" si="483"/>
        <v>40</v>
      </c>
      <c r="Y809" s="11">
        <f t="shared" si="472"/>
        <v>80</v>
      </c>
      <c r="Z809" s="85">
        <v>45723</v>
      </c>
      <c r="AA809" s="51"/>
    </row>
    <row r="810" spans="1:27" x14ac:dyDescent="0.15">
      <c r="A810" s="70" t="s">
        <v>30</v>
      </c>
      <c r="B810" s="25"/>
      <c r="C810" s="45"/>
      <c r="D810" s="26"/>
      <c r="E810" s="32"/>
      <c r="F810" s="33">
        <f t="shared" si="480"/>
        <v>0</v>
      </c>
      <c r="G810" s="25"/>
      <c r="H810" s="45"/>
      <c r="I810" s="26"/>
      <c r="J810" s="32">
        <v>2</v>
      </c>
      <c r="K810" s="33">
        <f t="shared" si="481"/>
        <v>2</v>
      </c>
      <c r="L810" s="11">
        <f t="shared" si="475"/>
        <v>2</v>
      </c>
      <c r="M810" s="85">
        <v>45741</v>
      </c>
      <c r="N810" s="12" t="s">
        <v>462</v>
      </c>
      <c r="O810" s="25"/>
      <c r="P810" s="45"/>
      <c r="Q810" s="26"/>
      <c r="R810" s="32"/>
      <c r="S810" s="33">
        <f t="shared" si="482"/>
        <v>0</v>
      </c>
      <c r="T810" s="25"/>
      <c r="U810" s="45"/>
      <c r="V810" s="26"/>
      <c r="W810" s="32">
        <v>5</v>
      </c>
      <c r="X810" s="33">
        <f t="shared" si="483"/>
        <v>5</v>
      </c>
      <c r="Y810" s="11">
        <f t="shared" si="472"/>
        <v>5</v>
      </c>
      <c r="Z810" s="85">
        <v>45728</v>
      </c>
      <c r="AA810" s="51"/>
    </row>
    <row r="811" spans="1:27" x14ac:dyDescent="0.15">
      <c r="A811" s="70" t="s">
        <v>30</v>
      </c>
      <c r="B811" s="25">
        <v>2</v>
      </c>
      <c r="C811" s="45"/>
      <c r="D811" s="26"/>
      <c r="E811" s="32"/>
      <c r="F811" s="33">
        <f t="shared" si="480"/>
        <v>2</v>
      </c>
      <c r="G811" s="25">
        <v>2</v>
      </c>
      <c r="H811" s="45"/>
      <c r="I811" s="26"/>
      <c r="J811" s="32"/>
      <c r="K811" s="33">
        <f t="shared" si="481"/>
        <v>2</v>
      </c>
      <c r="L811" s="11">
        <f t="shared" si="475"/>
        <v>4</v>
      </c>
      <c r="M811" s="85">
        <v>45742</v>
      </c>
      <c r="N811" s="50" t="s">
        <v>463</v>
      </c>
      <c r="O811" s="25"/>
      <c r="P811" s="45"/>
      <c r="Q811" s="26"/>
      <c r="R811" s="32">
        <v>25</v>
      </c>
      <c r="S811" s="33">
        <f t="shared" si="482"/>
        <v>25</v>
      </c>
      <c r="T811" s="25"/>
      <c r="U811" s="45"/>
      <c r="V811" s="26"/>
      <c r="W811" s="32">
        <v>25</v>
      </c>
      <c r="X811" s="33">
        <f t="shared" si="483"/>
        <v>25</v>
      </c>
      <c r="Y811" s="11">
        <f t="shared" si="472"/>
        <v>50</v>
      </c>
      <c r="Z811" s="85">
        <v>45730</v>
      </c>
    </row>
    <row r="812" spans="1:27" x14ac:dyDescent="0.15">
      <c r="A812" s="70" t="s">
        <v>30</v>
      </c>
      <c r="B812" s="25"/>
      <c r="C812" s="45"/>
      <c r="D812" s="26"/>
      <c r="E812" s="32">
        <v>2</v>
      </c>
      <c r="F812" s="33">
        <f t="shared" si="480"/>
        <v>2</v>
      </c>
      <c r="G812" s="25"/>
      <c r="H812" s="45"/>
      <c r="I812" s="26"/>
      <c r="J812" s="32">
        <v>2</v>
      </c>
      <c r="K812" s="33">
        <f t="shared" si="481"/>
        <v>2</v>
      </c>
      <c r="L812" s="11">
        <f t="shared" si="475"/>
        <v>4</v>
      </c>
      <c r="M812" s="85">
        <v>45744</v>
      </c>
      <c r="N812" s="50" t="s">
        <v>28</v>
      </c>
      <c r="O812" s="25"/>
      <c r="P812" s="45">
        <v>5</v>
      </c>
      <c r="Q812" s="26">
        <v>5</v>
      </c>
      <c r="R812" s="32">
        <v>5</v>
      </c>
      <c r="S812" s="33">
        <f t="shared" si="482"/>
        <v>15</v>
      </c>
      <c r="T812" s="25">
        <v>5</v>
      </c>
      <c r="U812" s="45"/>
      <c r="V812" s="26"/>
      <c r="W812" s="32"/>
      <c r="X812" s="33">
        <f t="shared" si="483"/>
        <v>5</v>
      </c>
      <c r="Y812" s="11">
        <f t="shared" si="472"/>
        <v>20</v>
      </c>
      <c r="Z812" s="85">
        <v>45728</v>
      </c>
    </row>
    <row r="813" spans="1:27" x14ac:dyDescent="0.15">
      <c r="A813" s="70" t="s">
        <v>30</v>
      </c>
      <c r="B813" s="25"/>
      <c r="C813" s="45"/>
      <c r="D813" s="26"/>
      <c r="E813" s="32"/>
      <c r="F813" s="33">
        <f t="shared" si="480"/>
        <v>0</v>
      </c>
      <c r="G813" s="25">
        <v>2</v>
      </c>
      <c r="H813" s="45"/>
      <c r="I813" s="26"/>
      <c r="J813" s="32"/>
      <c r="K813" s="33">
        <f t="shared" si="481"/>
        <v>2</v>
      </c>
      <c r="L813" s="11">
        <f t="shared" si="475"/>
        <v>2</v>
      </c>
      <c r="M813" s="85">
        <v>45748</v>
      </c>
      <c r="N813" s="50" t="s">
        <v>464</v>
      </c>
      <c r="O813" s="25"/>
      <c r="P813" s="45">
        <v>10</v>
      </c>
      <c r="Q813" s="26"/>
      <c r="R813" s="32"/>
      <c r="S813" s="33">
        <f t="shared" si="482"/>
        <v>10</v>
      </c>
      <c r="T813" s="25"/>
      <c r="U813" s="45">
        <v>5</v>
      </c>
      <c r="V813" s="26"/>
      <c r="W813" s="32"/>
      <c r="X813" s="33">
        <f t="shared" si="483"/>
        <v>5</v>
      </c>
      <c r="Y813" s="11">
        <f t="shared" si="472"/>
        <v>15</v>
      </c>
      <c r="Z813" s="85">
        <v>45731</v>
      </c>
    </row>
    <row r="814" spans="1:27" x14ac:dyDescent="0.15">
      <c r="A814" s="70" t="s">
        <v>30</v>
      </c>
      <c r="B814" s="25"/>
      <c r="C814" s="45"/>
      <c r="D814" s="26"/>
      <c r="E814" s="32"/>
      <c r="F814" s="33">
        <f t="shared" si="480"/>
        <v>0</v>
      </c>
      <c r="G814" s="25"/>
      <c r="H814" s="45"/>
      <c r="I814" s="26">
        <v>1</v>
      </c>
      <c r="J814" s="32"/>
      <c r="K814" s="33">
        <f t="shared" si="481"/>
        <v>1</v>
      </c>
      <c r="L814" s="11">
        <f t="shared" si="475"/>
        <v>1</v>
      </c>
      <c r="M814" s="85">
        <v>45749</v>
      </c>
      <c r="N814" s="50" t="s">
        <v>465</v>
      </c>
      <c r="O814" s="25"/>
      <c r="P814" s="45">
        <v>5</v>
      </c>
      <c r="Q814" s="26"/>
      <c r="R814" s="32"/>
      <c r="S814" s="33">
        <f t="shared" si="482"/>
        <v>5</v>
      </c>
      <c r="T814" s="25"/>
      <c r="U814" s="45"/>
      <c r="V814" s="26">
        <v>5</v>
      </c>
      <c r="W814" s="32"/>
      <c r="X814" s="33">
        <f t="shared" si="483"/>
        <v>5</v>
      </c>
      <c r="Y814" s="11">
        <f t="shared" si="472"/>
        <v>10</v>
      </c>
      <c r="Z814" s="85">
        <v>45738</v>
      </c>
    </row>
    <row r="815" spans="1:27" x14ac:dyDescent="0.15">
      <c r="A815" s="70" t="s">
        <v>30</v>
      </c>
      <c r="B815" s="25"/>
      <c r="C815" s="45">
        <v>2</v>
      </c>
      <c r="D815" s="26"/>
      <c r="E815" s="32"/>
      <c r="F815" s="33">
        <f t="shared" si="480"/>
        <v>2</v>
      </c>
      <c r="G815" s="25"/>
      <c r="H815" s="45"/>
      <c r="I815" s="26"/>
      <c r="J815" s="32"/>
      <c r="K815" s="33">
        <f t="shared" si="481"/>
        <v>0</v>
      </c>
      <c r="L815" s="11">
        <f t="shared" si="475"/>
        <v>2</v>
      </c>
      <c r="M815" s="85">
        <v>45752</v>
      </c>
      <c r="N815" s="50" t="s">
        <v>28</v>
      </c>
      <c r="O815" s="25"/>
      <c r="P815" s="45">
        <v>5</v>
      </c>
      <c r="Q815" s="26"/>
      <c r="R815" s="32"/>
      <c r="S815" s="33">
        <f t="shared" si="482"/>
        <v>5</v>
      </c>
      <c r="T815" s="25"/>
      <c r="U815" s="45"/>
      <c r="V815" s="26"/>
      <c r="W815" s="32"/>
      <c r="X815" s="33">
        <f t="shared" si="483"/>
        <v>0</v>
      </c>
      <c r="Y815" s="11">
        <f t="shared" si="472"/>
        <v>5</v>
      </c>
      <c r="Z815" s="85">
        <v>45766</v>
      </c>
    </row>
    <row r="816" spans="1:27" x14ac:dyDescent="0.15">
      <c r="A816" s="70" t="s">
        <v>30</v>
      </c>
      <c r="B816" s="25"/>
      <c r="C816" s="45"/>
      <c r="D816" s="26"/>
      <c r="E816" s="32"/>
      <c r="F816" s="33">
        <f t="shared" si="480"/>
        <v>0</v>
      </c>
      <c r="G816" s="25">
        <v>2</v>
      </c>
      <c r="H816" s="45"/>
      <c r="I816" s="26"/>
      <c r="J816" s="32"/>
      <c r="K816" s="33">
        <f t="shared" si="481"/>
        <v>2</v>
      </c>
      <c r="L816" s="11">
        <f t="shared" si="475"/>
        <v>2</v>
      </c>
      <c r="M816" s="85">
        <v>45754</v>
      </c>
      <c r="N816" s="12" t="s">
        <v>467</v>
      </c>
      <c r="O816" s="25"/>
      <c r="P816" s="45"/>
      <c r="Q816" s="26"/>
      <c r="R816" s="32"/>
      <c r="S816" s="33">
        <f t="shared" si="482"/>
        <v>0</v>
      </c>
      <c r="T816" s="25"/>
      <c r="U816" s="45">
        <v>5</v>
      </c>
      <c r="V816" s="26"/>
      <c r="W816" s="32"/>
      <c r="X816" s="33">
        <f t="shared" si="483"/>
        <v>5</v>
      </c>
      <c r="Y816" s="11">
        <f t="shared" si="472"/>
        <v>5</v>
      </c>
      <c r="Z816" s="85">
        <v>45779</v>
      </c>
    </row>
    <row r="817" spans="1:28" x14ac:dyDescent="0.15">
      <c r="A817" s="15" t="s">
        <v>466</v>
      </c>
      <c r="B817" s="25"/>
      <c r="C817" s="45">
        <v>1</v>
      </c>
      <c r="D817" s="26"/>
      <c r="E817" s="32"/>
      <c r="F817" s="33">
        <f t="shared" si="480"/>
        <v>1</v>
      </c>
      <c r="G817" s="25"/>
      <c r="H817" s="45"/>
      <c r="I817" s="26"/>
      <c r="J817" s="32"/>
      <c r="K817" s="33">
        <f t="shared" si="481"/>
        <v>0</v>
      </c>
      <c r="L817" s="11">
        <f t="shared" si="475"/>
        <v>1</v>
      </c>
      <c r="M817" s="85">
        <v>45763</v>
      </c>
      <c r="N817" s="50" t="s">
        <v>28</v>
      </c>
      <c r="O817" s="25"/>
      <c r="P817" s="45">
        <v>5</v>
      </c>
      <c r="Q817" s="26"/>
      <c r="R817" s="32"/>
      <c r="S817" s="33">
        <f t="shared" si="482"/>
        <v>5</v>
      </c>
      <c r="T817" s="25"/>
      <c r="U817" s="45"/>
      <c r="V817" s="26"/>
      <c r="W817" s="32"/>
      <c r="X817" s="33">
        <f t="shared" si="483"/>
        <v>0</v>
      </c>
      <c r="Y817" s="11">
        <f t="shared" si="472"/>
        <v>5</v>
      </c>
      <c r="Z817" s="85">
        <v>45777</v>
      </c>
    </row>
    <row r="818" spans="1:28" x14ac:dyDescent="0.15">
      <c r="A818" s="70" t="s">
        <v>30</v>
      </c>
      <c r="B818" s="25"/>
      <c r="C818" s="45">
        <v>2</v>
      </c>
      <c r="D818" s="26"/>
      <c r="E818" s="32"/>
      <c r="F818" s="33">
        <f t="shared" si="480"/>
        <v>2</v>
      </c>
      <c r="G818" s="25"/>
      <c r="H818" s="45"/>
      <c r="I818" s="26">
        <v>2</v>
      </c>
      <c r="J818" s="32"/>
      <c r="K818" s="33">
        <f t="shared" si="481"/>
        <v>2</v>
      </c>
      <c r="L818" s="11">
        <f t="shared" si="475"/>
        <v>4</v>
      </c>
      <c r="M818" s="85">
        <v>45763</v>
      </c>
      <c r="N818" s="50" t="s">
        <v>28</v>
      </c>
      <c r="O818" s="25"/>
      <c r="P818" s="45">
        <v>5</v>
      </c>
      <c r="Q818" s="26">
        <v>5</v>
      </c>
      <c r="R818" s="32"/>
      <c r="S818" s="33">
        <f t="shared" si="482"/>
        <v>10</v>
      </c>
      <c r="T818" s="25"/>
      <c r="U818" s="45"/>
      <c r="V818" s="26"/>
      <c r="W818" s="32"/>
      <c r="X818" s="33">
        <f t="shared" si="483"/>
        <v>0</v>
      </c>
      <c r="Y818" s="11">
        <f t="shared" si="472"/>
        <v>10</v>
      </c>
      <c r="Z818" s="85">
        <v>45785</v>
      </c>
    </row>
    <row r="819" spans="1:28" x14ac:dyDescent="0.15">
      <c r="A819" s="70" t="s">
        <v>30</v>
      </c>
      <c r="B819" s="25"/>
      <c r="C819" s="45">
        <v>2</v>
      </c>
      <c r="D819" s="26"/>
      <c r="E819" s="32"/>
      <c r="F819" s="33">
        <f t="shared" si="480"/>
        <v>2</v>
      </c>
      <c r="G819" s="25"/>
      <c r="H819" s="45"/>
      <c r="I819" s="26"/>
      <c r="J819" s="32"/>
      <c r="K819" s="33">
        <f t="shared" si="481"/>
        <v>0</v>
      </c>
      <c r="L819" s="11">
        <f t="shared" si="475"/>
        <v>2</v>
      </c>
      <c r="M819" s="85">
        <v>45764</v>
      </c>
      <c r="N819" s="12" t="s">
        <v>471</v>
      </c>
      <c r="O819" s="25"/>
      <c r="P819" s="45"/>
      <c r="Q819" s="26"/>
      <c r="R819" s="32">
        <v>2</v>
      </c>
      <c r="S819" s="33">
        <f t="shared" si="482"/>
        <v>2</v>
      </c>
      <c r="T819" s="25"/>
      <c r="U819" s="45"/>
      <c r="V819" s="26"/>
      <c r="W819" s="32"/>
      <c r="X819" s="33">
        <f t="shared" si="483"/>
        <v>0</v>
      </c>
      <c r="Y819" s="11">
        <f t="shared" si="472"/>
        <v>2</v>
      </c>
      <c r="Z819" s="85">
        <v>45797</v>
      </c>
    </row>
    <row r="820" spans="1:28" x14ac:dyDescent="0.15">
      <c r="A820" s="70" t="s">
        <v>30</v>
      </c>
      <c r="B820" s="25"/>
      <c r="C820" s="45"/>
      <c r="D820" s="26">
        <v>2</v>
      </c>
      <c r="E820" s="32"/>
      <c r="F820" s="33">
        <f t="shared" si="480"/>
        <v>2</v>
      </c>
      <c r="G820" s="25"/>
      <c r="H820" s="45"/>
      <c r="I820" s="26"/>
      <c r="J820" s="32"/>
      <c r="K820" s="33">
        <f t="shared" si="481"/>
        <v>0</v>
      </c>
      <c r="L820" s="11">
        <f t="shared" si="475"/>
        <v>2</v>
      </c>
      <c r="M820" s="85">
        <v>45764</v>
      </c>
      <c r="N820" s="50"/>
      <c r="O820" s="25"/>
      <c r="P820" s="45"/>
      <c r="Q820" s="26"/>
      <c r="R820" s="32"/>
      <c r="S820" s="33">
        <f t="shared" ref="S820:S821" si="484">SUM(O820:R820)</f>
        <v>0</v>
      </c>
      <c r="T820" s="25"/>
      <c r="U820" s="45"/>
      <c r="V820" s="26"/>
      <c r="W820" s="32"/>
      <c r="X820" s="33">
        <f t="shared" ref="X820:X821" si="485">SUM(T820:W820)</f>
        <v>0</v>
      </c>
      <c r="Y820" s="11">
        <f t="shared" ref="Y820:Y821" si="486">S820+X820</f>
        <v>0</v>
      </c>
    </row>
    <row r="821" spans="1:28" x14ac:dyDescent="0.15">
      <c r="A821" s="15" t="s">
        <v>108</v>
      </c>
      <c r="B821" s="25"/>
      <c r="C821" s="45"/>
      <c r="D821" s="26"/>
      <c r="E821" s="32"/>
      <c r="F821" s="33">
        <f t="shared" si="480"/>
        <v>0</v>
      </c>
      <c r="G821" s="25"/>
      <c r="H821" s="45">
        <v>2</v>
      </c>
      <c r="I821" s="26"/>
      <c r="J821" s="32"/>
      <c r="K821" s="33">
        <f t="shared" si="481"/>
        <v>2</v>
      </c>
      <c r="L821" s="11">
        <f t="shared" si="475"/>
        <v>2</v>
      </c>
      <c r="M821" s="85">
        <v>45769</v>
      </c>
      <c r="N821" s="50"/>
      <c r="O821" s="25"/>
      <c r="P821" s="45"/>
      <c r="Q821" s="26"/>
      <c r="R821" s="32"/>
      <c r="S821" s="33">
        <f t="shared" si="484"/>
        <v>0</v>
      </c>
      <c r="T821" s="25"/>
      <c r="U821" s="45"/>
      <c r="V821" s="26"/>
      <c r="W821" s="32"/>
      <c r="X821" s="33">
        <f t="shared" si="485"/>
        <v>0</v>
      </c>
      <c r="Y821" s="11">
        <f t="shared" si="486"/>
        <v>0</v>
      </c>
    </row>
    <row r="822" spans="1:28" x14ac:dyDescent="0.15">
      <c r="A822" s="70" t="s">
        <v>30</v>
      </c>
      <c r="B822" s="25"/>
      <c r="C822" s="45"/>
      <c r="D822" s="26">
        <v>2</v>
      </c>
      <c r="E822" s="32"/>
      <c r="F822" s="33">
        <f t="shared" si="480"/>
        <v>2</v>
      </c>
      <c r="G822" s="25"/>
      <c r="H822" s="45"/>
      <c r="I822" s="26"/>
      <c r="J822" s="32"/>
      <c r="K822" s="33">
        <f t="shared" si="481"/>
        <v>0</v>
      </c>
      <c r="L822" s="11">
        <f t="shared" si="475"/>
        <v>2</v>
      </c>
      <c r="M822" s="85">
        <v>45769</v>
      </c>
      <c r="N822" s="50"/>
      <c r="O822" s="25"/>
      <c r="P822" s="45"/>
      <c r="Q822" s="26"/>
      <c r="R822" s="32"/>
      <c r="S822" s="33">
        <f t="shared" si="482"/>
        <v>0</v>
      </c>
      <c r="T822" s="25"/>
      <c r="U822" s="45"/>
      <c r="V822" s="26"/>
      <c r="W822" s="32"/>
      <c r="X822" s="33">
        <f t="shared" si="483"/>
        <v>0</v>
      </c>
      <c r="Y822" s="11">
        <f t="shared" si="472"/>
        <v>0</v>
      </c>
    </row>
    <row r="823" spans="1:28" x14ac:dyDescent="0.15">
      <c r="A823" s="70" t="s">
        <v>30</v>
      </c>
      <c r="B823" s="25"/>
      <c r="C823" s="45">
        <v>1</v>
      </c>
      <c r="D823" s="26"/>
      <c r="E823" s="32"/>
      <c r="F823" s="33">
        <f t="shared" si="480"/>
        <v>1</v>
      </c>
      <c r="G823" s="25"/>
      <c r="H823" s="45"/>
      <c r="I823" s="26"/>
      <c r="J823" s="32"/>
      <c r="K823" s="33">
        <f t="shared" si="481"/>
        <v>0</v>
      </c>
      <c r="L823" s="11">
        <f t="shared" si="475"/>
        <v>1</v>
      </c>
      <c r="M823" s="85">
        <v>45771</v>
      </c>
      <c r="N823" s="50"/>
      <c r="O823" s="25"/>
      <c r="P823" s="45"/>
      <c r="Q823" s="26"/>
      <c r="R823" s="32"/>
      <c r="S823" s="33">
        <f t="shared" si="482"/>
        <v>0</v>
      </c>
      <c r="T823" s="25"/>
      <c r="U823" s="45"/>
      <c r="V823" s="26"/>
      <c r="W823" s="32"/>
      <c r="X823" s="33">
        <f t="shared" si="483"/>
        <v>0</v>
      </c>
      <c r="Y823" s="11">
        <f t="shared" si="472"/>
        <v>0</v>
      </c>
    </row>
    <row r="824" spans="1:28" x14ac:dyDescent="0.15">
      <c r="A824" s="70" t="s">
        <v>30</v>
      </c>
      <c r="B824" s="25"/>
      <c r="C824" s="45"/>
      <c r="D824" s="26">
        <f>1+1</f>
        <v>2</v>
      </c>
      <c r="E824" s="32"/>
      <c r="F824" s="33">
        <f t="shared" si="480"/>
        <v>2</v>
      </c>
      <c r="G824" s="25"/>
      <c r="H824" s="45"/>
      <c r="I824" s="26"/>
      <c r="J824" s="32">
        <v>1</v>
      </c>
      <c r="K824" s="33">
        <f t="shared" si="481"/>
        <v>1</v>
      </c>
      <c r="L824" s="11">
        <f t="shared" si="475"/>
        <v>3</v>
      </c>
      <c r="M824" s="85">
        <v>45772</v>
      </c>
      <c r="N824" s="50"/>
      <c r="O824" s="25"/>
      <c r="P824" s="45"/>
      <c r="Q824" s="26"/>
      <c r="R824" s="32"/>
      <c r="S824" s="33">
        <f t="shared" si="482"/>
        <v>0</v>
      </c>
      <c r="T824" s="25"/>
      <c r="U824" s="45"/>
      <c r="V824" s="26"/>
      <c r="W824" s="32"/>
      <c r="X824" s="33">
        <f t="shared" si="483"/>
        <v>0</v>
      </c>
      <c r="Y824" s="11">
        <f t="shared" si="472"/>
        <v>0</v>
      </c>
    </row>
    <row r="825" spans="1:28" x14ac:dyDescent="0.15">
      <c r="A825" s="70" t="s">
        <v>30</v>
      </c>
      <c r="B825" s="25"/>
      <c r="C825" s="45">
        <f>2+1</f>
        <v>3</v>
      </c>
      <c r="D825" s="26"/>
      <c r="E825" s="32"/>
      <c r="F825" s="33">
        <f t="shared" si="480"/>
        <v>3</v>
      </c>
      <c r="G825" s="25"/>
      <c r="H825" s="45"/>
      <c r="I825" s="26"/>
      <c r="J825" s="32"/>
      <c r="K825" s="33">
        <f t="shared" si="481"/>
        <v>0</v>
      </c>
      <c r="L825" s="11">
        <f t="shared" si="475"/>
        <v>3</v>
      </c>
      <c r="M825" s="85">
        <v>45775</v>
      </c>
      <c r="N825" s="50"/>
      <c r="O825" s="25"/>
      <c r="P825" s="45"/>
      <c r="Q825" s="26"/>
      <c r="R825" s="32"/>
      <c r="S825" s="33">
        <f t="shared" si="482"/>
        <v>0</v>
      </c>
      <c r="T825" s="25"/>
      <c r="U825" s="45"/>
      <c r="V825" s="26"/>
      <c r="W825" s="32"/>
      <c r="X825" s="33">
        <f t="shared" si="483"/>
        <v>0</v>
      </c>
      <c r="Y825" s="11">
        <f t="shared" si="472"/>
        <v>0</v>
      </c>
    </row>
    <row r="826" spans="1:28" x14ac:dyDescent="0.15">
      <c r="A826" s="70" t="s">
        <v>468</v>
      </c>
      <c r="B826" s="25"/>
      <c r="C826" s="45">
        <v>1</v>
      </c>
      <c r="D826" s="26"/>
      <c r="E826" s="32"/>
      <c r="F826" s="33">
        <f t="shared" si="480"/>
        <v>1</v>
      </c>
      <c r="G826" s="25"/>
      <c r="H826" s="45"/>
      <c r="I826" s="26"/>
      <c r="J826" s="32"/>
      <c r="K826" s="33">
        <f t="shared" si="481"/>
        <v>0</v>
      </c>
      <c r="L826" s="11">
        <f t="shared" si="475"/>
        <v>1</v>
      </c>
      <c r="M826" s="85">
        <v>45779</v>
      </c>
      <c r="N826" s="50"/>
      <c r="O826" s="25"/>
      <c r="P826" s="45"/>
      <c r="Q826" s="26"/>
      <c r="R826" s="32"/>
      <c r="S826" s="33">
        <f t="shared" si="482"/>
        <v>0</v>
      </c>
      <c r="T826" s="25"/>
      <c r="U826" s="45"/>
      <c r="V826" s="26"/>
      <c r="W826" s="32"/>
      <c r="X826" s="33">
        <f t="shared" si="483"/>
        <v>0</v>
      </c>
      <c r="Y826" s="11">
        <f t="shared" si="472"/>
        <v>0</v>
      </c>
    </row>
    <row r="827" spans="1:28" x14ac:dyDescent="0.15">
      <c r="A827" s="70" t="s">
        <v>30</v>
      </c>
      <c r="B827" s="25">
        <v>1</v>
      </c>
      <c r="C827" s="45">
        <v>2</v>
      </c>
      <c r="D827" s="26">
        <v>1</v>
      </c>
      <c r="E827" s="32"/>
      <c r="F827" s="33">
        <f t="shared" si="480"/>
        <v>4</v>
      </c>
      <c r="G827" s="25"/>
      <c r="H827" s="45"/>
      <c r="I827" s="26"/>
      <c r="J827" s="32"/>
      <c r="K827" s="33">
        <f t="shared" si="481"/>
        <v>0</v>
      </c>
      <c r="L827" s="11">
        <f t="shared" si="475"/>
        <v>4</v>
      </c>
      <c r="M827" s="85">
        <v>45777</v>
      </c>
      <c r="N827" s="12"/>
      <c r="O827" s="25"/>
      <c r="P827" s="45"/>
      <c r="Q827" s="26"/>
      <c r="R827" s="32"/>
      <c r="S827" s="33">
        <f t="shared" si="482"/>
        <v>0</v>
      </c>
      <c r="T827" s="25"/>
      <c r="U827" s="45"/>
      <c r="V827" s="26"/>
      <c r="W827" s="32"/>
      <c r="X827" s="33">
        <f t="shared" si="483"/>
        <v>0</v>
      </c>
      <c r="Y827" s="93">
        <f t="shared" si="472"/>
        <v>0</v>
      </c>
    </row>
    <row r="828" spans="1:28" x14ac:dyDescent="0.15">
      <c r="A828" s="70" t="s">
        <v>468</v>
      </c>
      <c r="B828" s="25"/>
      <c r="C828" s="45"/>
      <c r="D828" s="26">
        <v>1</v>
      </c>
      <c r="E828" s="32"/>
      <c r="F828" s="33">
        <f t="shared" si="480"/>
        <v>1</v>
      </c>
      <c r="G828" s="25"/>
      <c r="H828" s="45"/>
      <c r="I828" s="26"/>
      <c r="J828" s="32"/>
      <c r="K828" s="33">
        <f t="shared" si="481"/>
        <v>0</v>
      </c>
      <c r="L828" s="11">
        <f t="shared" si="475"/>
        <v>1</v>
      </c>
      <c r="M828" s="85">
        <v>45786</v>
      </c>
      <c r="N828" s="12"/>
      <c r="O828" s="25"/>
      <c r="P828" s="45"/>
      <c r="Q828" s="26"/>
      <c r="R828" s="32"/>
      <c r="S828" s="33">
        <f t="shared" si="482"/>
        <v>0</v>
      </c>
      <c r="T828" s="25"/>
      <c r="U828" s="45"/>
      <c r="V828" s="26"/>
      <c r="W828" s="32"/>
      <c r="X828" s="33">
        <f t="shared" si="483"/>
        <v>0</v>
      </c>
      <c r="Y828" s="93">
        <f t="shared" si="472"/>
        <v>0</v>
      </c>
    </row>
    <row r="829" spans="1:28" x14ac:dyDescent="0.15">
      <c r="A829" s="70" t="s">
        <v>30</v>
      </c>
      <c r="B829" s="25"/>
      <c r="C829" s="45">
        <v>2</v>
      </c>
      <c r="D829" s="26"/>
      <c r="E829" s="32"/>
      <c r="F829" s="33">
        <f t="shared" si="480"/>
        <v>2</v>
      </c>
      <c r="G829" s="25"/>
      <c r="H829" s="45"/>
      <c r="I829" s="26"/>
      <c r="J829" s="32"/>
      <c r="K829" s="33">
        <f t="shared" si="481"/>
        <v>0</v>
      </c>
      <c r="L829" s="11">
        <f t="shared" si="475"/>
        <v>2</v>
      </c>
      <c r="M829" s="85">
        <v>45784</v>
      </c>
      <c r="N829" s="50"/>
      <c r="O829" s="59"/>
      <c r="P829" s="60"/>
      <c r="Q829" s="61"/>
      <c r="R829" s="62"/>
      <c r="S829" s="63">
        <f t="shared" si="482"/>
        <v>0</v>
      </c>
      <c r="T829" s="59"/>
      <c r="U829" s="60"/>
      <c r="V829" s="61"/>
      <c r="W829" s="62"/>
      <c r="X829" s="63">
        <f t="shared" si="483"/>
        <v>0</v>
      </c>
      <c r="Y829" s="11">
        <f t="shared" si="472"/>
        <v>0</v>
      </c>
    </row>
    <row r="830" spans="1:28" x14ac:dyDescent="0.15">
      <c r="A830" s="70" t="s">
        <v>469</v>
      </c>
      <c r="B830" s="25"/>
      <c r="C830" s="45">
        <v>1</v>
      </c>
      <c r="D830" s="26"/>
      <c r="E830" s="32"/>
      <c r="F830" s="33">
        <f t="shared" si="480"/>
        <v>1</v>
      </c>
      <c r="G830" s="25"/>
      <c r="H830" s="45"/>
      <c r="I830" s="26"/>
      <c r="J830" s="32"/>
      <c r="K830" s="33">
        <f t="shared" si="481"/>
        <v>0</v>
      </c>
      <c r="L830" s="11">
        <f t="shared" si="475"/>
        <v>1</v>
      </c>
      <c r="M830" s="85">
        <v>45786</v>
      </c>
      <c r="N830" s="50"/>
      <c r="O830" s="59"/>
      <c r="P830" s="60"/>
      <c r="Q830" s="61"/>
      <c r="R830" s="62"/>
      <c r="S830" s="63">
        <f t="shared" si="482"/>
        <v>0</v>
      </c>
      <c r="T830" s="59"/>
      <c r="U830" s="60"/>
      <c r="V830" s="61"/>
      <c r="W830" s="62"/>
      <c r="X830" s="63">
        <f t="shared" si="483"/>
        <v>0</v>
      </c>
      <c r="Y830" s="11">
        <f t="shared" si="472"/>
        <v>0</v>
      </c>
    </row>
    <row r="831" spans="1:28" x14ac:dyDescent="0.15">
      <c r="A831" s="70" t="s">
        <v>470</v>
      </c>
      <c r="B831" s="25"/>
      <c r="C831" s="45"/>
      <c r="D831" s="26"/>
      <c r="E831" s="32">
        <v>2</v>
      </c>
      <c r="F831" s="33">
        <f t="shared" si="480"/>
        <v>2</v>
      </c>
      <c r="G831" s="25"/>
      <c r="H831" s="45"/>
      <c r="I831" s="26"/>
      <c r="J831" s="32"/>
      <c r="K831" s="33">
        <f t="shared" si="481"/>
        <v>0</v>
      </c>
      <c r="L831" s="93">
        <f t="shared" si="475"/>
        <v>2</v>
      </c>
      <c r="M831" s="85">
        <v>45789</v>
      </c>
      <c r="N831" s="96" t="s">
        <v>449</v>
      </c>
      <c r="O831" s="103"/>
      <c r="P831" s="104"/>
      <c r="Q831" s="105"/>
      <c r="R831" s="106"/>
      <c r="S831" s="135">
        <f t="shared" si="482"/>
        <v>0</v>
      </c>
      <c r="T831" s="103"/>
      <c r="U831" s="104"/>
      <c r="V831" s="105"/>
      <c r="W831" s="106"/>
      <c r="X831" s="135">
        <f t="shared" si="483"/>
        <v>0</v>
      </c>
      <c r="Y831" s="102">
        <f t="shared" si="472"/>
        <v>0</v>
      </c>
      <c r="Z831" s="159"/>
      <c r="AA831" s="51"/>
      <c r="AB831" s="51"/>
    </row>
    <row r="832" spans="1:28" ht="14.25" thickBot="1" x14ac:dyDescent="0.2">
      <c r="A832" s="70" t="s">
        <v>30</v>
      </c>
      <c r="B832" s="55"/>
      <c r="C832" s="56">
        <v>2</v>
      </c>
      <c r="D832" s="57">
        <v>1</v>
      </c>
      <c r="E832" s="58">
        <v>1</v>
      </c>
      <c r="F832" s="109">
        <f t="shared" si="480"/>
        <v>4</v>
      </c>
      <c r="G832" s="55"/>
      <c r="H832" s="56">
        <v>3</v>
      </c>
      <c r="I832" s="57">
        <v>1</v>
      </c>
      <c r="J832" s="58"/>
      <c r="K832" s="109">
        <f t="shared" si="481"/>
        <v>4</v>
      </c>
      <c r="L832" s="75">
        <f t="shared" si="475"/>
        <v>8</v>
      </c>
      <c r="M832" s="85">
        <v>45789</v>
      </c>
      <c r="N832" s="140" t="s">
        <v>447</v>
      </c>
      <c r="O832" s="55"/>
      <c r="P832" s="56"/>
      <c r="Q832" s="57"/>
      <c r="R832" s="58"/>
      <c r="S832" s="109">
        <f t="shared" si="482"/>
        <v>0</v>
      </c>
      <c r="T832" s="55"/>
      <c r="U832" s="56"/>
      <c r="V832" s="57"/>
      <c r="W832" s="58"/>
      <c r="X832" s="109">
        <f t="shared" si="483"/>
        <v>0</v>
      </c>
      <c r="Y832" s="107">
        <f t="shared" si="472"/>
        <v>0</v>
      </c>
      <c r="Z832" s="159" t="s">
        <v>448</v>
      </c>
      <c r="AA832" s="51"/>
      <c r="AB832" s="51"/>
    </row>
    <row r="833" spans="1:27" ht="14.25" thickBot="1" x14ac:dyDescent="0.2">
      <c r="A833" s="72" t="s">
        <v>10</v>
      </c>
      <c r="B833" s="36">
        <f>SUM(B808:B832)</f>
        <v>4</v>
      </c>
      <c r="C833" s="46">
        <f>SUM(C808:C832)</f>
        <v>21</v>
      </c>
      <c r="D833" s="37">
        <f>SUM(D808:D832)</f>
        <v>9</v>
      </c>
      <c r="E833" s="38">
        <f>SUM(E808:E832)</f>
        <v>5</v>
      </c>
      <c r="F833" s="71">
        <f>SUM(B833:E833)</f>
        <v>39</v>
      </c>
      <c r="G833" s="36">
        <f>SUM(G808:G832)</f>
        <v>6</v>
      </c>
      <c r="H833" s="46">
        <f>SUM(H808:H832)</f>
        <v>6</v>
      </c>
      <c r="I833" s="37">
        <f>SUM(I808:I832)</f>
        <v>4</v>
      </c>
      <c r="J833" s="38">
        <f>SUM(J808:J832)</f>
        <v>5</v>
      </c>
      <c r="K833" s="71">
        <f>SUM(G833:J833)</f>
        <v>21</v>
      </c>
      <c r="L833" s="75">
        <f t="shared" si="475"/>
        <v>60</v>
      </c>
      <c r="N833" s="72" t="s">
        <v>10</v>
      </c>
      <c r="O833" s="36">
        <f>SUM(O808:O832)</f>
        <v>15</v>
      </c>
      <c r="P833" s="46">
        <f>SUM(P808:P832)</f>
        <v>50</v>
      </c>
      <c r="Q833" s="37">
        <f>SUM(Q808:Q832)</f>
        <v>25</v>
      </c>
      <c r="R833" s="38">
        <f>SUM(R808:R832)</f>
        <v>47</v>
      </c>
      <c r="S833" s="71">
        <f t="shared" si="482"/>
        <v>137</v>
      </c>
      <c r="T833" s="36">
        <f>SUM(T808:T832)</f>
        <v>20</v>
      </c>
      <c r="U833" s="46">
        <f>SUM(U808:U832)</f>
        <v>25</v>
      </c>
      <c r="V833" s="37">
        <f>SUM(V808:V832)</f>
        <v>20</v>
      </c>
      <c r="W833" s="38">
        <f>SUM(W808:W832)</f>
        <v>45</v>
      </c>
      <c r="X833" s="71">
        <f t="shared" si="483"/>
        <v>110</v>
      </c>
      <c r="Y833" s="75">
        <f t="shared" si="472"/>
        <v>247</v>
      </c>
    </row>
    <row r="834" spans="1:27" ht="14.25" thickBot="1" x14ac:dyDescent="0.2">
      <c r="A834" s="21" t="s">
        <v>11</v>
      </c>
      <c r="B834" s="39">
        <f t="shared" ref="B834:K834" si="487">B807-B833</f>
        <v>7</v>
      </c>
      <c r="C834" s="47">
        <f t="shared" si="487"/>
        <v>5</v>
      </c>
      <c r="D834" s="40">
        <f t="shared" si="487"/>
        <v>10</v>
      </c>
      <c r="E834" s="41">
        <f t="shared" si="487"/>
        <v>7</v>
      </c>
      <c r="F834" s="54">
        <f t="shared" si="487"/>
        <v>29</v>
      </c>
      <c r="G834" s="39">
        <f t="shared" si="487"/>
        <v>8</v>
      </c>
      <c r="H834" s="47">
        <f t="shared" si="487"/>
        <v>5</v>
      </c>
      <c r="I834" s="40">
        <f t="shared" si="487"/>
        <v>3</v>
      </c>
      <c r="J834" s="41">
        <f t="shared" si="487"/>
        <v>3</v>
      </c>
      <c r="K834" s="54">
        <f t="shared" si="487"/>
        <v>19</v>
      </c>
      <c r="L834" s="20">
        <f t="shared" si="475"/>
        <v>48</v>
      </c>
      <c r="N834" s="16" t="s">
        <v>11</v>
      </c>
      <c r="O834" s="39">
        <f t="shared" ref="O834:X834" si="488">O807-O833</f>
        <v>416</v>
      </c>
      <c r="P834" s="47">
        <f t="shared" si="488"/>
        <v>358</v>
      </c>
      <c r="Q834" s="40">
        <f t="shared" si="488"/>
        <v>247</v>
      </c>
      <c r="R834" s="41">
        <f t="shared" si="488"/>
        <v>229</v>
      </c>
      <c r="S834" s="54">
        <f t="shared" si="488"/>
        <v>1250</v>
      </c>
      <c r="T834" s="39">
        <f t="shared" si="488"/>
        <v>324</v>
      </c>
      <c r="U834" s="47">
        <f t="shared" si="488"/>
        <v>368</v>
      </c>
      <c r="V834" s="40">
        <f t="shared" si="488"/>
        <v>313</v>
      </c>
      <c r="W834" s="41">
        <f t="shared" si="488"/>
        <v>175</v>
      </c>
      <c r="X834" s="54">
        <f t="shared" si="488"/>
        <v>1180</v>
      </c>
      <c r="Y834" s="20">
        <f t="shared" si="472"/>
        <v>2430</v>
      </c>
    </row>
    <row r="837" spans="1:27" ht="19.5" thickBot="1" x14ac:dyDescent="0.25">
      <c r="A837" s="2" t="s">
        <v>26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27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7" ht="14.25" thickBot="1" x14ac:dyDescent="0.2">
      <c r="A838" s="5" t="s">
        <v>0</v>
      </c>
      <c r="B838" s="228" t="s">
        <v>19</v>
      </c>
      <c r="C838" s="229"/>
      <c r="D838" s="229"/>
      <c r="E838" s="229"/>
      <c r="F838" s="230"/>
      <c r="G838" s="231" t="s">
        <v>18</v>
      </c>
      <c r="H838" s="232"/>
      <c r="I838" s="232"/>
      <c r="J838" s="232"/>
      <c r="K838" s="233"/>
      <c r="L838" s="73" t="s">
        <v>1</v>
      </c>
      <c r="N838" s="5" t="s">
        <v>0</v>
      </c>
      <c r="O838" s="228" t="s">
        <v>19</v>
      </c>
      <c r="P838" s="229"/>
      <c r="Q838" s="229"/>
      <c r="R838" s="229"/>
      <c r="S838" s="230"/>
      <c r="T838" s="231" t="s">
        <v>18</v>
      </c>
      <c r="U838" s="232"/>
      <c r="V838" s="232"/>
      <c r="W838" s="232"/>
      <c r="X838" s="233"/>
      <c r="Y838" s="73" t="s">
        <v>1</v>
      </c>
    </row>
    <row r="839" spans="1:27" ht="14.25" thickBot="1" x14ac:dyDescent="0.2">
      <c r="A839" s="5" t="s">
        <v>2</v>
      </c>
      <c r="B839" s="3" t="s">
        <v>12</v>
      </c>
      <c r="C839" s="42" t="s">
        <v>13</v>
      </c>
      <c r="D839" s="4" t="s">
        <v>14</v>
      </c>
      <c r="E839" s="22" t="s">
        <v>15</v>
      </c>
      <c r="F839" s="30" t="s">
        <v>3</v>
      </c>
      <c r="G839" s="3" t="s">
        <v>12</v>
      </c>
      <c r="H839" s="42" t="s">
        <v>13</v>
      </c>
      <c r="I839" s="4" t="s">
        <v>14</v>
      </c>
      <c r="J839" s="22" t="s">
        <v>15</v>
      </c>
      <c r="K839" s="30" t="s">
        <v>3</v>
      </c>
      <c r="L839" s="74"/>
      <c r="N839" s="5" t="s">
        <v>2</v>
      </c>
      <c r="O839" s="64" t="s">
        <v>12</v>
      </c>
      <c r="P839" s="65" t="s">
        <v>13</v>
      </c>
      <c r="Q839" s="66" t="s">
        <v>14</v>
      </c>
      <c r="R839" s="67" t="s">
        <v>15</v>
      </c>
      <c r="S839" s="30" t="s">
        <v>3</v>
      </c>
      <c r="T839" s="3" t="s">
        <v>12</v>
      </c>
      <c r="U839" s="42" t="s">
        <v>13</v>
      </c>
      <c r="V839" s="4" t="s">
        <v>14</v>
      </c>
      <c r="W839" s="22" t="s">
        <v>15</v>
      </c>
      <c r="X839" s="30" t="s">
        <v>3</v>
      </c>
      <c r="Y839" s="74"/>
    </row>
    <row r="840" spans="1:27" ht="14.25" thickBot="1" x14ac:dyDescent="0.2">
      <c r="A840" s="21" t="s">
        <v>16</v>
      </c>
      <c r="B840" s="39">
        <f>B834</f>
        <v>7</v>
      </c>
      <c r="C840" s="40">
        <f>C834</f>
        <v>5</v>
      </c>
      <c r="D840" s="40">
        <f>D834</f>
        <v>10</v>
      </c>
      <c r="E840" s="41">
        <f>E834</f>
        <v>7</v>
      </c>
      <c r="F840" s="122">
        <f>SUM(B840:E840)</f>
        <v>29</v>
      </c>
      <c r="G840" s="39">
        <f>G834</f>
        <v>8</v>
      </c>
      <c r="H840" s="40">
        <f>H834</f>
        <v>5</v>
      </c>
      <c r="I840" s="40">
        <f>I834</f>
        <v>3</v>
      </c>
      <c r="J840" s="41">
        <f>J834</f>
        <v>3</v>
      </c>
      <c r="K840" s="123">
        <f>SUM(G840:J840)</f>
        <v>19</v>
      </c>
      <c r="L840" s="20">
        <f>F840+K840</f>
        <v>48</v>
      </c>
      <c r="N840" s="21" t="s">
        <v>16</v>
      </c>
      <c r="O840" s="39">
        <f>O834</f>
        <v>416</v>
      </c>
      <c r="P840" s="40">
        <f>P834</f>
        <v>358</v>
      </c>
      <c r="Q840" s="40">
        <f t="shared" ref="Q840:R840" si="489">Q834</f>
        <v>247</v>
      </c>
      <c r="R840" s="88">
        <f t="shared" si="489"/>
        <v>229</v>
      </c>
      <c r="S840" s="123">
        <f>SUM(O840:R840)</f>
        <v>1250</v>
      </c>
      <c r="T840" s="39">
        <f>T834</f>
        <v>324</v>
      </c>
      <c r="U840" s="40">
        <f>U834</f>
        <v>368</v>
      </c>
      <c r="V840" s="40">
        <f>V834</f>
        <v>313</v>
      </c>
      <c r="W840" s="41">
        <f>W834</f>
        <v>175</v>
      </c>
      <c r="X840" s="123">
        <f>SUM(T840:W840)</f>
        <v>1180</v>
      </c>
      <c r="Y840" s="20">
        <f t="shared" ref="Y840:Y872" si="490">S840+X840</f>
        <v>2430</v>
      </c>
    </row>
    <row r="841" spans="1:27" x14ac:dyDescent="0.15">
      <c r="A841" s="70" t="s">
        <v>422</v>
      </c>
      <c r="B841" s="6">
        <v>1</v>
      </c>
      <c r="C841" s="29">
        <v>2</v>
      </c>
      <c r="D841" s="7">
        <v>2</v>
      </c>
      <c r="E841" s="8"/>
      <c r="F841" s="9">
        <f t="shared" ref="F841:F844" si="491">SUM(B841:E841)</f>
        <v>5</v>
      </c>
      <c r="G841" s="29"/>
      <c r="H841" s="29">
        <v>3</v>
      </c>
      <c r="I841" s="7">
        <v>1</v>
      </c>
      <c r="J841" s="8">
        <v>2</v>
      </c>
      <c r="K841" s="9">
        <f t="shared" ref="K841:K844" si="492">SUM(G841:J841)</f>
        <v>6</v>
      </c>
      <c r="L841" s="11">
        <f t="shared" ref="L841:L872" si="493">F841+K841</f>
        <v>11</v>
      </c>
      <c r="M841" s="85">
        <v>45797</v>
      </c>
      <c r="N841" s="13" t="s">
        <v>17</v>
      </c>
      <c r="O841" s="25"/>
      <c r="P841" s="45"/>
      <c r="Q841" s="26">
        <v>7</v>
      </c>
      <c r="R841" s="32"/>
      <c r="S841" s="68">
        <f t="shared" ref="S841" si="494">SUM(O841:R841)</f>
        <v>7</v>
      </c>
      <c r="T841" s="45"/>
      <c r="U841" s="45"/>
      <c r="V841" s="26"/>
      <c r="W841" s="48"/>
      <c r="X841" s="9">
        <f t="shared" ref="X841" si="495">SUM(T841:W841)</f>
        <v>0</v>
      </c>
      <c r="Y841" s="11">
        <f t="shared" si="490"/>
        <v>7</v>
      </c>
      <c r="Z841" s="115">
        <v>45815</v>
      </c>
    </row>
    <row r="842" spans="1:27" x14ac:dyDescent="0.15">
      <c r="A842" s="70" t="s">
        <v>6</v>
      </c>
      <c r="B842" s="6"/>
      <c r="C842" s="29">
        <v>5</v>
      </c>
      <c r="D842" s="7"/>
      <c r="E842" s="8"/>
      <c r="F842" s="9">
        <f t="shared" si="491"/>
        <v>5</v>
      </c>
      <c r="G842" s="29"/>
      <c r="H842" s="29">
        <v>5</v>
      </c>
      <c r="I842" s="7"/>
      <c r="J842" s="8"/>
      <c r="K842" s="9">
        <f t="shared" si="492"/>
        <v>5</v>
      </c>
      <c r="L842" s="11">
        <f t="shared" si="493"/>
        <v>10</v>
      </c>
      <c r="M842" s="85">
        <v>45807</v>
      </c>
      <c r="N842" s="13" t="s">
        <v>5</v>
      </c>
      <c r="O842" s="25"/>
      <c r="P842" s="45"/>
      <c r="Q842" s="26"/>
      <c r="R842" s="32"/>
      <c r="S842" s="68">
        <f>SUM(O842:R842)</f>
        <v>0</v>
      </c>
      <c r="T842" s="45"/>
      <c r="U842" s="45"/>
      <c r="V842" s="26"/>
      <c r="W842" s="48"/>
      <c r="X842" s="9">
        <f>SUM(T842:W842)</f>
        <v>0</v>
      </c>
      <c r="Y842" s="11">
        <f t="shared" ref="Y842" si="496">S842+X842</f>
        <v>0</v>
      </c>
    </row>
    <row r="843" spans="1:27" x14ac:dyDescent="0.15">
      <c r="A843" s="70" t="s">
        <v>7</v>
      </c>
      <c r="B843" s="6"/>
      <c r="C843" s="29"/>
      <c r="D843" s="7">
        <v>3</v>
      </c>
      <c r="E843" s="8"/>
      <c r="F843" s="9">
        <f t="shared" si="491"/>
        <v>3</v>
      </c>
      <c r="G843" s="29"/>
      <c r="H843" s="29"/>
      <c r="I843" s="7"/>
      <c r="J843" s="8"/>
      <c r="K843" s="9">
        <f t="shared" si="492"/>
        <v>0</v>
      </c>
      <c r="L843" s="11">
        <f t="shared" si="493"/>
        <v>3</v>
      </c>
      <c r="M843" s="85">
        <v>45825</v>
      </c>
      <c r="N843" s="13" t="s">
        <v>6</v>
      </c>
      <c r="O843" s="25"/>
      <c r="P843" s="45"/>
      <c r="Q843" s="26"/>
      <c r="R843" s="32"/>
      <c r="S843" s="68">
        <f>SUM(O843:R843)</f>
        <v>0</v>
      </c>
      <c r="T843" s="45"/>
      <c r="U843" s="45"/>
      <c r="V843" s="26"/>
      <c r="W843" s="48"/>
      <c r="X843" s="9">
        <f>SUM(T843:W843)</f>
        <v>0</v>
      </c>
      <c r="Y843" s="11">
        <f t="shared" si="490"/>
        <v>0</v>
      </c>
    </row>
    <row r="844" spans="1:27" ht="14.25" thickBot="1" x14ac:dyDescent="0.2">
      <c r="A844" s="70" t="s">
        <v>8</v>
      </c>
      <c r="B844" s="125">
        <v>3</v>
      </c>
      <c r="C844" s="126">
        <v>3</v>
      </c>
      <c r="D844" s="127"/>
      <c r="E844" s="128"/>
      <c r="F844" s="129">
        <f t="shared" si="491"/>
        <v>6</v>
      </c>
      <c r="G844" s="126">
        <v>3</v>
      </c>
      <c r="H844" s="126"/>
      <c r="I844" s="127"/>
      <c r="J844" s="128"/>
      <c r="K844" s="129">
        <f t="shared" si="492"/>
        <v>3</v>
      </c>
      <c r="L844" s="14">
        <f t="shared" si="493"/>
        <v>9</v>
      </c>
      <c r="M844" s="85">
        <v>45835</v>
      </c>
      <c r="N844" s="13" t="s">
        <v>7</v>
      </c>
      <c r="O844" s="55"/>
      <c r="P844" s="56"/>
      <c r="Q844" s="57"/>
      <c r="R844" s="58"/>
      <c r="S844" s="69">
        <f>SUM(O844:R844)</f>
        <v>0</v>
      </c>
      <c r="T844" s="45"/>
      <c r="U844" s="45"/>
      <c r="V844" s="26"/>
      <c r="W844" s="48"/>
      <c r="X844" s="10">
        <f>SUM(T844:W844)</f>
        <v>0</v>
      </c>
      <c r="Y844" s="14">
        <f t="shared" si="490"/>
        <v>0</v>
      </c>
    </row>
    <row r="845" spans="1:27" ht="14.25" thickBot="1" x14ac:dyDescent="0.2">
      <c r="A845" s="21" t="s">
        <v>9</v>
      </c>
      <c r="B845" s="130">
        <f t="shared" ref="B845:K845" si="497">SUM(B840:B844)</f>
        <v>11</v>
      </c>
      <c r="C845" s="131">
        <f t="shared" si="497"/>
        <v>15</v>
      </c>
      <c r="D845" s="132">
        <f t="shared" si="497"/>
        <v>15</v>
      </c>
      <c r="E845" s="133">
        <f t="shared" si="497"/>
        <v>7</v>
      </c>
      <c r="F845" s="123">
        <f t="shared" si="497"/>
        <v>48</v>
      </c>
      <c r="G845" s="130">
        <f t="shared" si="497"/>
        <v>11</v>
      </c>
      <c r="H845" s="131">
        <f t="shared" si="497"/>
        <v>13</v>
      </c>
      <c r="I845" s="132">
        <f t="shared" si="497"/>
        <v>4</v>
      </c>
      <c r="J845" s="133">
        <f t="shared" si="497"/>
        <v>5</v>
      </c>
      <c r="K845" s="123">
        <f t="shared" si="497"/>
        <v>33</v>
      </c>
      <c r="L845" s="20">
        <f t="shared" si="493"/>
        <v>81</v>
      </c>
      <c r="N845" s="16" t="s">
        <v>9</v>
      </c>
      <c r="O845" s="39">
        <f t="shared" ref="O845:X845" si="498">SUM(O840:O844)</f>
        <v>416</v>
      </c>
      <c r="P845" s="47">
        <f t="shared" si="498"/>
        <v>358</v>
      </c>
      <c r="Q845" s="40">
        <f t="shared" si="498"/>
        <v>254</v>
      </c>
      <c r="R845" s="88">
        <f t="shared" si="498"/>
        <v>229</v>
      </c>
      <c r="S845" s="89">
        <f t="shared" si="498"/>
        <v>1257</v>
      </c>
      <c r="T845" s="39">
        <f t="shared" si="498"/>
        <v>324</v>
      </c>
      <c r="U845" s="47">
        <f t="shared" si="498"/>
        <v>368</v>
      </c>
      <c r="V845" s="40">
        <f t="shared" si="498"/>
        <v>313</v>
      </c>
      <c r="W845" s="88">
        <f t="shared" si="498"/>
        <v>175</v>
      </c>
      <c r="X845" s="89">
        <f t="shared" si="498"/>
        <v>1180</v>
      </c>
      <c r="Y845" s="49">
        <f t="shared" si="490"/>
        <v>2437</v>
      </c>
    </row>
    <row r="846" spans="1:27" x14ac:dyDescent="0.15">
      <c r="A846" s="70" t="s">
        <v>30</v>
      </c>
      <c r="B846" s="25">
        <v>1</v>
      </c>
      <c r="C846" s="45"/>
      <c r="D846" s="26"/>
      <c r="E846" s="32">
        <v>2</v>
      </c>
      <c r="F846" s="33">
        <f t="shared" ref="F846:F870" si="499">SUM(B846:E846)</f>
        <v>3</v>
      </c>
      <c r="G846" s="25"/>
      <c r="H846" s="45"/>
      <c r="I846" s="26"/>
      <c r="J846" s="32"/>
      <c r="K846" s="33">
        <f t="shared" ref="K846:K870" si="500">SUM(G846:J846)</f>
        <v>0</v>
      </c>
      <c r="L846" s="11">
        <f t="shared" si="493"/>
        <v>3</v>
      </c>
      <c r="M846" s="85">
        <v>45792</v>
      </c>
      <c r="N846" s="12" t="s">
        <v>472</v>
      </c>
      <c r="O846" s="25"/>
      <c r="P846" s="45"/>
      <c r="Q846" s="26"/>
      <c r="R846" s="32">
        <v>5</v>
      </c>
      <c r="S846" s="33">
        <f t="shared" ref="S846:S847" si="501">SUM(O846:R846)</f>
        <v>5</v>
      </c>
      <c r="T846" s="25"/>
      <c r="U846" s="45"/>
      <c r="V846" s="26"/>
      <c r="W846" s="32"/>
      <c r="X846" s="33">
        <f t="shared" ref="X846:X847" si="502">SUM(T846:W846)</f>
        <v>0</v>
      </c>
      <c r="Y846" s="11">
        <f t="shared" si="490"/>
        <v>5</v>
      </c>
      <c r="Z846" s="85">
        <v>45811</v>
      </c>
      <c r="AA846" s="51"/>
    </row>
    <row r="847" spans="1:27" x14ac:dyDescent="0.15">
      <c r="A847" s="70" t="s">
        <v>30</v>
      </c>
      <c r="B847" s="25"/>
      <c r="C847" s="45"/>
      <c r="D847" s="26"/>
      <c r="E847" s="32"/>
      <c r="F847" s="33">
        <f t="shared" si="499"/>
        <v>0</v>
      </c>
      <c r="G847" s="25"/>
      <c r="H847" s="45"/>
      <c r="I847" s="26">
        <v>1</v>
      </c>
      <c r="J847" s="32"/>
      <c r="K847" s="33">
        <f t="shared" si="500"/>
        <v>1</v>
      </c>
      <c r="L847" s="11">
        <f t="shared" si="493"/>
        <v>1</v>
      </c>
      <c r="M847" s="85">
        <v>45796</v>
      </c>
      <c r="N847" s="50" t="s">
        <v>28</v>
      </c>
      <c r="O847" s="25"/>
      <c r="P847" s="45">
        <v>5</v>
      </c>
      <c r="Q847" s="26"/>
      <c r="R847" s="32"/>
      <c r="S847" s="33">
        <f t="shared" si="501"/>
        <v>5</v>
      </c>
      <c r="T847" s="25"/>
      <c r="U847" s="45">
        <v>5</v>
      </c>
      <c r="V847" s="26"/>
      <c r="W847" s="32"/>
      <c r="X847" s="33">
        <f t="shared" si="502"/>
        <v>5</v>
      </c>
      <c r="Y847" s="11">
        <f t="shared" si="490"/>
        <v>10</v>
      </c>
      <c r="Z847" s="85">
        <v>45807</v>
      </c>
      <c r="AA847" s="51"/>
    </row>
    <row r="848" spans="1:27" x14ac:dyDescent="0.15">
      <c r="A848" s="70" t="s">
        <v>30</v>
      </c>
      <c r="B848" s="25"/>
      <c r="C848" s="45"/>
      <c r="D848" s="26"/>
      <c r="E848" s="32"/>
      <c r="F848" s="33">
        <f t="shared" si="499"/>
        <v>0</v>
      </c>
      <c r="G848" s="25"/>
      <c r="H848" s="45">
        <v>1</v>
      </c>
      <c r="I848" s="26"/>
      <c r="J848" s="32"/>
      <c r="K848" s="33">
        <f t="shared" si="500"/>
        <v>1</v>
      </c>
      <c r="L848" s="11">
        <f t="shared" si="493"/>
        <v>1</v>
      </c>
      <c r="M848" s="85">
        <v>45798</v>
      </c>
      <c r="N848" s="12" t="s">
        <v>474</v>
      </c>
      <c r="O848" s="25"/>
      <c r="P848" s="45"/>
      <c r="Q848" s="26"/>
      <c r="R848" s="32"/>
      <c r="S848" s="33">
        <f t="shared" ref="S848:S856" si="503">SUM(O848:R848)</f>
        <v>0</v>
      </c>
      <c r="T848" s="25"/>
      <c r="U848" s="45"/>
      <c r="V848" s="26"/>
      <c r="W848" s="32">
        <v>5</v>
      </c>
      <c r="X848" s="33">
        <f t="shared" ref="X848:X856" si="504">SUM(T848:W848)</f>
        <v>5</v>
      </c>
      <c r="Y848" s="11">
        <f t="shared" ref="Y848:Y856" si="505">S848+X848</f>
        <v>5</v>
      </c>
      <c r="Z848" s="85">
        <v>45814</v>
      </c>
    </row>
    <row r="849" spans="1:26" x14ac:dyDescent="0.15">
      <c r="A849" s="70" t="s">
        <v>30</v>
      </c>
      <c r="B849" s="25"/>
      <c r="C849" s="45"/>
      <c r="D849" s="26"/>
      <c r="E849" s="32"/>
      <c r="F849" s="33">
        <f t="shared" si="499"/>
        <v>0</v>
      </c>
      <c r="G849" s="25"/>
      <c r="H849" s="45">
        <v>2</v>
      </c>
      <c r="I849" s="26"/>
      <c r="J849" s="32"/>
      <c r="K849" s="33">
        <f t="shared" si="500"/>
        <v>2</v>
      </c>
      <c r="L849" s="11">
        <f t="shared" si="493"/>
        <v>2</v>
      </c>
      <c r="M849" s="85">
        <v>45799</v>
      </c>
      <c r="N849" s="12" t="s">
        <v>475</v>
      </c>
      <c r="O849" s="25"/>
      <c r="P849" s="45"/>
      <c r="Q849" s="26"/>
      <c r="R849" s="32"/>
      <c r="S849" s="33">
        <f t="shared" si="503"/>
        <v>0</v>
      </c>
      <c r="T849" s="25"/>
      <c r="U849" s="45"/>
      <c r="V849" s="26">
        <v>5</v>
      </c>
      <c r="W849" s="32"/>
      <c r="X849" s="33">
        <f t="shared" si="504"/>
        <v>5</v>
      </c>
      <c r="Y849" s="11">
        <f t="shared" si="505"/>
        <v>5</v>
      </c>
      <c r="Z849" s="85">
        <v>45821</v>
      </c>
    </row>
    <row r="850" spans="1:26" x14ac:dyDescent="0.15">
      <c r="A850" s="70" t="s">
        <v>30</v>
      </c>
      <c r="B850" s="25"/>
      <c r="C850" s="45">
        <f>1+1</f>
        <v>2</v>
      </c>
      <c r="D850" s="26"/>
      <c r="E850" s="32"/>
      <c r="F850" s="33">
        <f t="shared" si="499"/>
        <v>2</v>
      </c>
      <c r="G850" s="25"/>
      <c r="H850" s="45"/>
      <c r="I850" s="26"/>
      <c r="J850" s="32"/>
      <c r="K850" s="33">
        <f t="shared" si="500"/>
        <v>0</v>
      </c>
      <c r="L850" s="11">
        <f t="shared" si="493"/>
        <v>2</v>
      </c>
      <c r="M850" s="85">
        <v>45803</v>
      </c>
      <c r="N850" s="12" t="s">
        <v>479</v>
      </c>
      <c r="O850" s="25">
        <v>10</v>
      </c>
      <c r="P850" s="45"/>
      <c r="Q850" s="26"/>
      <c r="R850" s="32"/>
      <c r="S850" s="33">
        <f t="shared" si="503"/>
        <v>10</v>
      </c>
      <c r="T850" s="25"/>
      <c r="U850" s="45"/>
      <c r="V850" s="26"/>
      <c r="W850" s="32"/>
      <c r="X850" s="33">
        <f t="shared" si="504"/>
        <v>0</v>
      </c>
      <c r="Y850" s="11">
        <f t="shared" si="505"/>
        <v>10</v>
      </c>
      <c r="Z850" s="85">
        <v>45826</v>
      </c>
    </row>
    <row r="851" spans="1:26" x14ac:dyDescent="0.15">
      <c r="A851" s="70" t="s">
        <v>473</v>
      </c>
      <c r="B851" s="25"/>
      <c r="C851" s="45"/>
      <c r="D851" s="26"/>
      <c r="E851" s="32"/>
      <c r="F851" s="33">
        <f t="shared" si="499"/>
        <v>0</v>
      </c>
      <c r="G851" s="25"/>
      <c r="H851" s="45">
        <v>1</v>
      </c>
      <c r="I851" s="26"/>
      <c r="J851" s="32"/>
      <c r="K851" s="33">
        <f t="shared" si="500"/>
        <v>1</v>
      </c>
      <c r="L851" s="11">
        <f t="shared" si="493"/>
        <v>1</v>
      </c>
      <c r="M851" s="85">
        <v>45804</v>
      </c>
      <c r="N851" s="50" t="s">
        <v>28</v>
      </c>
      <c r="O851" s="25"/>
      <c r="P851" s="45"/>
      <c r="Q851" s="26">
        <v>3</v>
      </c>
      <c r="R851" s="32"/>
      <c r="S851" s="33">
        <f t="shared" si="503"/>
        <v>3</v>
      </c>
      <c r="T851" s="25"/>
      <c r="U851" s="45"/>
      <c r="V851" s="26"/>
      <c r="W851" s="32"/>
      <c r="X851" s="33">
        <f t="shared" si="504"/>
        <v>0</v>
      </c>
      <c r="Y851" s="11">
        <f t="shared" si="505"/>
        <v>3</v>
      </c>
      <c r="Z851" s="85">
        <v>45825</v>
      </c>
    </row>
    <row r="852" spans="1:26" x14ac:dyDescent="0.15">
      <c r="A852" s="70" t="s">
        <v>30</v>
      </c>
      <c r="B852" s="25"/>
      <c r="C852" s="45">
        <v>1</v>
      </c>
      <c r="D852" s="26"/>
      <c r="E852" s="32"/>
      <c r="F852" s="33">
        <f t="shared" si="499"/>
        <v>1</v>
      </c>
      <c r="G852" s="25"/>
      <c r="H852" s="45"/>
      <c r="I852" s="26"/>
      <c r="J852" s="32"/>
      <c r="K852" s="33">
        <f t="shared" si="500"/>
        <v>0</v>
      </c>
      <c r="L852" s="11">
        <f t="shared" si="493"/>
        <v>1</v>
      </c>
      <c r="M852" s="85">
        <v>45804</v>
      </c>
      <c r="N852" s="50" t="s">
        <v>28</v>
      </c>
      <c r="O852" s="25">
        <v>3</v>
      </c>
      <c r="P852" s="45">
        <v>3</v>
      </c>
      <c r="Q852" s="26"/>
      <c r="R852" s="32"/>
      <c r="S852" s="33">
        <f t="shared" si="503"/>
        <v>6</v>
      </c>
      <c r="T852" s="25">
        <v>3</v>
      </c>
      <c r="U852" s="45"/>
      <c r="V852" s="26"/>
      <c r="W852" s="32"/>
      <c r="X852" s="33">
        <f t="shared" si="504"/>
        <v>3</v>
      </c>
      <c r="Y852" s="11">
        <f t="shared" si="505"/>
        <v>9</v>
      </c>
      <c r="Z852" s="85">
        <v>45835</v>
      </c>
    </row>
    <row r="853" spans="1:26" x14ac:dyDescent="0.15">
      <c r="A853" s="70" t="s">
        <v>30</v>
      </c>
      <c r="B853" s="25"/>
      <c r="C853" s="45">
        <v>1</v>
      </c>
      <c r="D853" s="26"/>
      <c r="E853" s="32"/>
      <c r="F853" s="33">
        <f t="shared" si="499"/>
        <v>1</v>
      </c>
      <c r="G853" s="25"/>
      <c r="H853" s="45">
        <v>1</v>
      </c>
      <c r="I853" s="26"/>
      <c r="J853" s="32"/>
      <c r="K853" s="33">
        <f t="shared" si="500"/>
        <v>1</v>
      </c>
      <c r="L853" s="11">
        <f t="shared" si="493"/>
        <v>2</v>
      </c>
      <c r="M853" s="85">
        <v>45806</v>
      </c>
      <c r="N853" s="50" t="s">
        <v>28</v>
      </c>
      <c r="O853" s="25"/>
      <c r="P853" s="45"/>
      <c r="Q853" s="26"/>
      <c r="R853" s="32"/>
      <c r="S853" s="33">
        <f t="shared" si="503"/>
        <v>0</v>
      </c>
      <c r="T853" s="25"/>
      <c r="U853" s="45">
        <v>5</v>
      </c>
      <c r="V853" s="26">
        <v>5</v>
      </c>
      <c r="W853" s="32">
        <v>5</v>
      </c>
      <c r="X853" s="33">
        <f t="shared" si="504"/>
        <v>15</v>
      </c>
      <c r="Y853" s="11">
        <f t="shared" si="505"/>
        <v>15</v>
      </c>
      <c r="Z853" s="85">
        <v>45846</v>
      </c>
    </row>
    <row r="854" spans="1:26" x14ac:dyDescent="0.15">
      <c r="A854" s="70" t="s">
        <v>30</v>
      </c>
      <c r="B854" s="25"/>
      <c r="C854" s="45"/>
      <c r="D854" s="26"/>
      <c r="E854" s="32"/>
      <c r="F854" s="33">
        <f t="shared" si="499"/>
        <v>0</v>
      </c>
      <c r="G854" s="25"/>
      <c r="H854" s="45"/>
      <c r="I854" s="26"/>
      <c r="J854" s="32">
        <f>1+1</f>
        <v>2</v>
      </c>
      <c r="K854" s="33">
        <f t="shared" si="500"/>
        <v>2</v>
      </c>
      <c r="L854" s="11">
        <f t="shared" si="493"/>
        <v>2</v>
      </c>
      <c r="M854" s="85">
        <v>45813</v>
      </c>
      <c r="N854" s="50"/>
      <c r="O854" s="25"/>
      <c r="P854" s="45"/>
      <c r="Q854" s="26"/>
      <c r="R854" s="32"/>
      <c r="S854" s="33">
        <f t="shared" ref="S854:S855" si="506">SUM(O854:R854)</f>
        <v>0</v>
      </c>
      <c r="T854" s="25"/>
      <c r="U854" s="45"/>
      <c r="V854" s="26"/>
      <c r="W854" s="32"/>
      <c r="X854" s="33">
        <f t="shared" ref="X854:X855" si="507">SUM(T854:W854)</f>
        <v>0</v>
      </c>
      <c r="Y854" s="11">
        <f t="shared" ref="Y854:Y855" si="508">S854+X854</f>
        <v>0</v>
      </c>
    </row>
    <row r="855" spans="1:26" x14ac:dyDescent="0.15">
      <c r="A855" s="70" t="s">
        <v>30</v>
      </c>
      <c r="B855" s="25"/>
      <c r="C855" s="45">
        <v>1</v>
      </c>
      <c r="D855" s="26"/>
      <c r="E855" s="32"/>
      <c r="F855" s="33">
        <f t="shared" si="499"/>
        <v>1</v>
      </c>
      <c r="G855" s="25">
        <v>2</v>
      </c>
      <c r="H855" s="45"/>
      <c r="I855" s="26">
        <v>2</v>
      </c>
      <c r="J855" s="32"/>
      <c r="K855" s="33">
        <f t="shared" si="500"/>
        <v>4</v>
      </c>
      <c r="L855" s="11">
        <f t="shared" si="493"/>
        <v>5</v>
      </c>
      <c r="M855" s="85">
        <v>45814</v>
      </c>
      <c r="N855" s="50"/>
      <c r="O855" s="25"/>
      <c r="P855" s="45"/>
      <c r="Q855" s="26"/>
      <c r="R855" s="32"/>
      <c r="S855" s="33">
        <f t="shared" si="506"/>
        <v>0</v>
      </c>
      <c r="T855" s="25"/>
      <c r="U855" s="45"/>
      <c r="V855" s="26"/>
      <c r="W855" s="32"/>
      <c r="X855" s="33">
        <f t="shared" si="507"/>
        <v>0</v>
      </c>
      <c r="Y855" s="11">
        <f t="shared" si="508"/>
        <v>0</v>
      </c>
    </row>
    <row r="856" spans="1:26" x14ac:dyDescent="0.15">
      <c r="A856" s="70" t="s">
        <v>476</v>
      </c>
      <c r="B856" s="25"/>
      <c r="C856" s="45"/>
      <c r="D856" s="26">
        <v>7</v>
      </c>
      <c r="E856" s="32"/>
      <c r="F856" s="33">
        <f t="shared" si="499"/>
        <v>7</v>
      </c>
      <c r="G856" s="25"/>
      <c r="H856" s="45"/>
      <c r="I856" s="26"/>
      <c r="J856" s="32"/>
      <c r="K856" s="33">
        <f t="shared" si="500"/>
        <v>0</v>
      </c>
      <c r="L856" s="11">
        <f t="shared" si="493"/>
        <v>7</v>
      </c>
      <c r="M856" s="85">
        <v>45815</v>
      </c>
      <c r="N856" s="50"/>
      <c r="O856" s="25"/>
      <c r="P856" s="45"/>
      <c r="Q856" s="26"/>
      <c r="R856" s="32"/>
      <c r="S856" s="33">
        <f t="shared" si="503"/>
        <v>0</v>
      </c>
      <c r="T856" s="25"/>
      <c r="U856" s="45"/>
      <c r="V856" s="26"/>
      <c r="W856" s="32"/>
      <c r="X856" s="33">
        <f t="shared" si="504"/>
        <v>0</v>
      </c>
      <c r="Y856" s="11">
        <f t="shared" si="505"/>
        <v>0</v>
      </c>
    </row>
    <row r="857" spans="1:26" x14ac:dyDescent="0.15">
      <c r="A857" s="70" t="s">
        <v>468</v>
      </c>
      <c r="B857" s="25"/>
      <c r="C857" s="45"/>
      <c r="D857" s="26"/>
      <c r="E857" s="32">
        <v>1</v>
      </c>
      <c r="F857" s="33">
        <f t="shared" si="499"/>
        <v>1</v>
      </c>
      <c r="G857" s="25"/>
      <c r="H857" s="45"/>
      <c r="I857" s="26"/>
      <c r="J857" s="32"/>
      <c r="K857" s="33">
        <f t="shared" si="500"/>
        <v>0</v>
      </c>
      <c r="L857" s="11">
        <f t="shared" si="493"/>
        <v>1</v>
      </c>
      <c r="M857" s="85">
        <v>45821</v>
      </c>
      <c r="N857" s="50"/>
      <c r="O857" s="25"/>
      <c r="P857" s="45"/>
      <c r="Q857" s="26"/>
      <c r="R857" s="32"/>
      <c r="S857" s="33">
        <f t="shared" ref="S857:S871" si="509">SUM(O857:R857)</f>
        <v>0</v>
      </c>
      <c r="T857" s="25"/>
      <c r="U857" s="45"/>
      <c r="V857" s="26"/>
      <c r="W857" s="32"/>
      <c r="X857" s="33">
        <f t="shared" ref="X857:X871" si="510">SUM(T857:W857)</f>
        <v>0</v>
      </c>
      <c r="Y857" s="11">
        <f t="shared" si="490"/>
        <v>0</v>
      </c>
    </row>
    <row r="858" spans="1:26" x14ac:dyDescent="0.15">
      <c r="A858" s="70" t="s">
        <v>30</v>
      </c>
      <c r="B858" s="25"/>
      <c r="C858" s="45">
        <v>1</v>
      </c>
      <c r="D858" s="26"/>
      <c r="E858" s="32"/>
      <c r="F858" s="33">
        <f t="shared" si="499"/>
        <v>1</v>
      </c>
      <c r="G858" s="25"/>
      <c r="H858" s="45"/>
      <c r="I858" s="26"/>
      <c r="J858" s="32"/>
      <c r="K858" s="33">
        <f t="shared" si="500"/>
        <v>0</v>
      </c>
      <c r="L858" s="11">
        <f t="shared" si="493"/>
        <v>1</v>
      </c>
      <c r="M858" s="85">
        <v>45820</v>
      </c>
      <c r="N858" s="50"/>
      <c r="O858" s="25"/>
      <c r="P858" s="45"/>
      <c r="Q858" s="26"/>
      <c r="R858" s="32"/>
      <c r="S858" s="33">
        <f t="shared" si="509"/>
        <v>0</v>
      </c>
      <c r="T858" s="25"/>
      <c r="U858" s="45"/>
      <c r="V858" s="26"/>
      <c r="W858" s="32"/>
      <c r="X858" s="33">
        <f t="shared" si="510"/>
        <v>0</v>
      </c>
      <c r="Y858" s="11">
        <f t="shared" si="490"/>
        <v>0</v>
      </c>
    </row>
    <row r="859" spans="1:26" x14ac:dyDescent="0.15">
      <c r="A859" s="70" t="s">
        <v>30</v>
      </c>
      <c r="B859" s="25"/>
      <c r="C859" s="45"/>
      <c r="D859" s="26">
        <v>1</v>
      </c>
      <c r="E859" s="32"/>
      <c r="F859" s="33">
        <f t="shared" si="499"/>
        <v>1</v>
      </c>
      <c r="G859" s="25"/>
      <c r="H859" s="45"/>
      <c r="I859" s="26"/>
      <c r="J859" s="32">
        <v>1</v>
      </c>
      <c r="K859" s="33">
        <f t="shared" si="500"/>
        <v>1</v>
      </c>
      <c r="L859" s="11">
        <f t="shared" si="493"/>
        <v>2</v>
      </c>
      <c r="M859" s="85">
        <v>45824</v>
      </c>
      <c r="N859" s="50"/>
      <c r="O859" s="25"/>
      <c r="P859" s="45"/>
      <c r="Q859" s="26"/>
      <c r="R859" s="32"/>
      <c r="S859" s="33">
        <f t="shared" si="509"/>
        <v>0</v>
      </c>
      <c r="T859" s="25"/>
      <c r="U859" s="45"/>
      <c r="V859" s="26"/>
      <c r="W859" s="32"/>
      <c r="X859" s="33">
        <f t="shared" si="510"/>
        <v>0</v>
      </c>
      <c r="Y859" s="11">
        <f t="shared" si="490"/>
        <v>0</v>
      </c>
    </row>
    <row r="860" spans="1:26" x14ac:dyDescent="0.15">
      <c r="A860" s="70" t="s">
        <v>240</v>
      </c>
      <c r="B860" s="25"/>
      <c r="C860" s="45">
        <v>1</v>
      </c>
      <c r="D860" s="26"/>
      <c r="E860" s="32"/>
      <c r="F860" s="33">
        <f t="shared" si="499"/>
        <v>1</v>
      </c>
      <c r="G860" s="25"/>
      <c r="H860" s="45"/>
      <c r="I860" s="26"/>
      <c r="J860" s="32"/>
      <c r="K860" s="33">
        <f t="shared" si="500"/>
        <v>0</v>
      </c>
      <c r="L860" s="11">
        <f t="shared" si="493"/>
        <v>1</v>
      </c>
      <c r="M860" s="85">
        <v>45828</v>
      </c>
      <c r="N860" s="50"/>
      <c r="O860" s="25"/>
      <c r="P860" s="45"/>
      <c r="Q860" s="26"/>
      <c r="R860" s="32"/>
      <c r="S860" s="33">
        <f t="shared" si="509"/>
        <v>0</v>
      </c>
      <c r="T860" s="25"/>
      <c r="U860" s="45"/>
      <c r="V860" s="26"/>
      <c r="W860" s="32"/>
      <c r="X860" s="33">
        <f t="shared" si="510"/>
        <v>0</v>
      </c>
      <c r="Y860" s="11">
        <f t="shared" si="490"/>
        <v>0</v>
      </c>
    </row>
    <row r="861" spans="1:26" x14ac:dyDescent="0.15">
      <c r="A861" s="70" t="s">
        <v>30</v>
      </c>
      <c r="B861" s="25">
        <v>1</v>
      </c>
      <c r="C861" s="45"/>
      <c r="D861" s="26"/>
      <c r="E861" s="32"/>
      <c r="F861" s="33">
        <f t="shared" si="499"/>
        <v>1</v>
      </c>
      <c r="G861" s="25"/>
      <c r="H861" s="45"/>
      <c r="I861" s="26"/>
      <c r="J861" s="32"/>
      <c r="K861" s="33">
        <f t="shared" si="500"/>
        <v>0</v>
      </c>
      <c r="L861" s="11">
        <f t="shared" si="493"/>
        <v>1</v>
      </c>
      <c r="M861" s="85">
        <v>45828</v>
      </c>
      <c r="N861" s="50"/>
      <c r="O861" s="25"/>
      <c r="P861" s="45"/>
      <c r="Q861" s="26"/>
      <c r="R861" s="32"/>
      <c r="S861" s="33">
        <f t="shared" si="509"/>
        <v>0</v>
      </c>
      <c r="T861" s="25"/>
      <c r="U861" s="45"/>
      <c r="V861" s="26"/>
      <c r="W861" s="32"/>
      <c r="X861" s="33">
        <f t="shared" si="510"/>
        <v>0</v>
      </c>
      <c r="Y861" s="11">
        <f t="shared" si="490"/>
        <v>0</v>
      </c>
    </row>
    <row r="862" spans="1:26" x14ac:dyDescent="0.15">
      <c r="A862" s="70" t="s">
        <v>30</v>
      </c>
      <c r="B862" s="25">
        <v>1</v>
      </c>
      <c r="C862" s="45">
        <v>1</v>
      </c>
      <c r="D862" s="26"/>
      <c r="E862" s="32"/>
      <c r="F862" s="33">
        <f t="shared" si="499"/>
        <v>2</v>
      </c>
      <c r="G862" s="25">
        <v>1</v>
      </c>
      <c r="H862" s="45"/>
      <c r="I862" s="26"/>
      <c r="J862" s="32"/>
      <c r="K862" s="33">
        <f t="shared" si="500"/>
        <v>1</v>
      </c>
      <c r="L862" s="11">
        <f t="shared" si="493"/>
        <v>3</v>
      </c>
      <c r="M862" s="85">
        <v>45831</v>
      </c>
      <c r="N862" s="50"/>
      <c r="O862" s="25"/>
      <c r="P862" s="45"/>
      <c r="Q862" s="26"/>
      <c r="R862" s="32"/>
      <c r="S862" s="33">
        <f t="shared" si="509"/>
        <v>0</v>
      </c>
      <c r="T862" s="25"/>
      <c r="U862" s="45"/>
      <c r="V862" s="26"/>
      <c r="W862" s="32"/>
      <c r="X862" s="33">
        <f t="shared" si="510"/>
        <v>0</v>
      </c>
      <c r="Y862" s="11">
        <f t="shared" si="490"/>
        <v>0</v>
      </c>
    </row>
    <row r="863" spans="1:26" x14ac:dyDescent="0.15">
      <c r="A863" s="70" t="s">
        <v>30</v>
      </c>
      <c r="B863" s="25"/>
      <c r="C863" s="45"/>
      <c r="D863" s="26"/>
      <c r="E863" s="32"/>
      <c r="F863" s="33">
        <f t="shared" si="499"/>
        <v>0</v>
      </c>
      <c r="G863" s="25"/>
      <c r="H863" s="45">
        <v>1</v>
      </c>
      <c r="I863" s="26"/>
      <c r="J863" s="32"/>
      <c r="K863" s="33">
        <f t="shared" si="500"/>
        <v>1</v>
      </c>
      <c r="L863" s="11">
        <f t="shared" si="493"/>
        <v>1</v>
      </c>
      <c r="M863" s="85">
        <v>45832</v>
      </c>
      <c r="N863" s="50"/>
      <c r="O863" s="25"/>
      <c r="P863" s="45"/>
      <c r="Q863" s="26"/>
      <c r="R863" s="32"/>
      <c r="S863" s="33">
        <f t="shared" si="509"/>
        <v>0</v>
      </c>
      <c r="T863" s="25"/>
      <c r="U863" s="45"/>
      <c r="V863" s="26"/>
      <c r="W863" s="32"/>
      <c r="X863" s="33">
        <f t="shared" si="510"/>
        <v>0</v>
      </c>
      <c r="Y863" s="11">
        <f t="shared" si="490"/>
        <v>0</v>
      </c>
    </row>
    <row r="864" spans="1:26" x14ac:dyDescent="0.15">
      <c r="A864" s="70" t="s">
        <v>30</v>
      </c>
      <c r="B864" s="25"/>
      <c r="C864" s="45">
        <f>1+1</f>
        <v>2</v>
      </c>
      <c r="D864" s="26"/>
      <c r="E864" s="32"/>
      <c r="F864" s="33">
        <f t="shared" si="499"/>
        <v>2</v>
      </c>
      <c r="G864" s="25"/>
      <c r="H864" s="45">
        <f>1+1</f>
        <v>2</v>
      </c>
      <c r="I864" s="26"/>
      <c r="J864" s="32"/>
      <c r="K864" s="33">
        <f t="shared" si="500"/>
        <v>2</v>
      </c>
      <c r="L864" s="11">
        <f t="shared" si="493"/>
        <v>4</v>
      </c>
      <c r="M864" s="85">
        <v>45833</v>
      </c>
      <c r="N864" s="50"/>
      <c r="O864" s="25"/>
      <c r="P864" s="45"/>
      <c r="Q864" s="26"/>
      <c r="R864" s="32"/>
      <c r="S864" s="33">
        <f t="shared" si="509"/>
        <v>0</v>
      </c>
      <c r="T864" s="25"/>
      <c r="U864" s="45"/>
      <c r="V864" s="26"/>
      <c r="W864" s="32"/>
      <c r="X864" s="33">
        <f t="shared" si="510"/>
        <v>0</v>
      </c>
      <c r="Y864" s="11">
        <f t="shared" si="490"/>
        <v>0</v>
      </c>
    </row>
    <row r="865" spans="1:25" x14ac:dyDescent="0.15">
      <c r="A865" s="70" t="s">
        <v>30</v>
      </c>
      <c r="B865" s="25">
        <v>1</v>
      </c>
      <c r="C865" s="45"/>
      <c r="D865" s="26"/>
      <c r="E865" s="32"/>
      <c r="F865" s="33">
        <f t="shared" si="499"/>
        <v>1</v>
      </c>
      <c r="G865" s="25">
        <v>1</v>
      </c>
      <c r="H865" s="45"/>
      <c r="I865" s="26"/>
      <c r="J865" s="32"/>
      <c r="K865" s="33">
        <f t="shared" si="500"/>
        <v>1</v>
      </c>
      <c r="L865" s="11">
        <f t="shared" si="493"/>
        <v>2</v>
      </c>
      <c r="M865" s="85">
        <v>45834</v>
      </c>
      <c r="N865" s="12"/>
      <c r="O865" s="25"/>
      <c r="P865" s="45"/>
      <c r="Q865" s="26"/>
      <c r="R865" s="32"/>
      <c r="S865" s="33">
        <f t="shared" si="509"/>
        <v>0</v>
      </c>
      <c r="T865" s="25"/>
      <c r="U865" s="45"/>
      <c r="V865" s="26"/>
      <c r="W865" s="32"/>
      <c r="X865" s="33">
        <f t="shared" si="510"/>
        <v>0</v>
      </c>
      <c r="Y865" s="93">
        <f t="shared" si="490"/>
        <v>0</v>
      </c>
    </row>
    <row r="866" spans="1:25" x14ac:dyDescent="0.15">
      <c r="A866" s="70" t="s">
        <v>468</v>
      </c>
      <c r="B866" s="25"/>
      <c r="C866" s="45">
        <v>1</v>
      </c>
      <c r="D866" s="26"/>
      <c r="E866" s="32"/>
      <c r="F866" s="33">
        <f t="shared" si="499"/>
        <v>1</v>
      </c>
      <c r="G866" s="25"/>
      <c r="H866" s="45"/>
      <c r="I866" s="26"/>
      <c r="J866" s="32"/>
      <c r="K866" s="33">
        <f t="shared" si="500"/>
        <v>0</v>
      </c>
      <c r="L866" s="11">
        <f t="shared" si="493"/>
        <v>1</v>
      </c>
      <c r="M866" s="85">
        <v>45840</v>
      </c>
      <c r="N866" s="12"/>
      <c r="O866" s="25"/>
      <c r="P866" s="45"/>
      <c r="Q866" s="26"/>
      <c r="R866" s="32"/>
      <c r="S866" s="33">
        <f t="shared" si="509"/>
        <v>0</v>
      </c>
      <c r="T866" s="25"/>
      <c r="U866" s="45"/>
      <c r="V866" s="26"/>
      <c r="W866" s="32"/>
      <c r="X866" s="33">
        <f t="shared" si="510"/>
        <v>0</v>
      </c>
      <c r="Y866" s="93">
        <f t="shared" si="490"/>
        <v>0</v>
      </c>
    </row>
    <row r="867" spans="1:25" x14ac:dyDescent="0.15">
      <c r="A867" s="70" t="s">
        <v>30</v>
      </c>
      <c r="B867" s="25">
        <f>2+1</f>
        <v>3</v>
      </c>
      <c r="C867" s="45"/>
      <c r="D867" s="26"/>
      <c r="E867" s="32"/>
      <c r="F867" s="33">
        <f t="shared" ref="F867" si="511">SUM(B867:E867)</f>
        <v>3</v>
      </c>
      <c r="G867" s="25"/>
      <c r="H867" s="45">
        <v>2</v>
      </c>
      <c r="I867" s="26"/>
      <c r="J867" s="32"/>
      <c r="K867" s="33">
        <f t="shared" ref="K867" si="512">SUM(G867:J867)</f>
        <v>2</v>
      </c>
      <c r="L867" s="11">
        <f t="shared" ref="L867" si="513">F867+K867</f>
        <v>5</v>
      </c>
      <c r="M867" s="85">
        <v>45843</v>
      </c>
      <c r="N867" s="50"/>
      <c r="O867" s="59"/>
      <c r="P867" s="60"/>
      <c r="Q867" s="61"/>
      <c r="R867" s="62"/>
      <c r="S867" s="63">
        <f t="shared" si="509"/>
        <v>0</v>
      </c>
      <c r="T867" s="59"/>
      <c r="U867" s="60"/>
      <c r="V867" s="61"/>
      <c r="W867" s="62"/>
      <c r="X867" s="63">
        <f t="shared" si="510"/>
        <v>0</v>
      </c>
      <c r="Y867" s="11">
        <f t="shared" si="490"/>
        <v>0</v>
      </c>
    </row>
    <row r="868" spans="1:25" x14ac:dyDescent="0.15">
      <c r="A868" s="70" t="s">
        <v>482</v>
      </c>
      <c r="B868" s="25"/>
      <c r="C868" s="45"/>
      <c r="D868" s="26"/>
      <c r="E868" s="32"/>
      <c r="F868" s="33">
        <f t="shared" si="499"/>
        <v>0</v>
      </c>
      <c r="G868" s="25"/>
      <c r="H868" s="45">
        <v>-5</v>
      </c>
      <c r="I868" s="26">
        <v>-5</v>
      </c>
      <c r="J868" s="32">
        <v>-5</v>
      </c>
      <c r="K868" s="33">
        <f t="shared" si="500"/>
        <v>-15</v>
      </c>
      <c r="L868" s="11">
        <f t="shared" si="493"/>
        <v>-15</v>
      </c>
      <c r="M868" s="85">
        <v>45846</v>
      </c>
      <c r="N868" s="50"/>
      <c r="O868" s="59"/>
      <c r="P868" s="60"/>
      <c r="Q868" s="61"/>
      <c r="R868" s="62"/>
      <c r="S868" s="63">
        <f t="shared" ref="S868:S870" si="514">SUM(O868:R868)</f>
        <v>0</v>
      </c>
      <c r="T868" s="59"/>
      <c r="U868" s="60"/>
      <c r="V868" s="61"/>
      <c r="W868" s="62"/>
      <c r="X868" s="63">
        <f t="shared" ref="X868:X870" si="515">SUM(T868:W868)</f>
        <v>0</v>
      </c>
      <c r="Y868" s="11">
        <f t="shared" ref="Y868:Y870" si="516">S868+X868</f>
        <v>0</v>
      </c>
    </row>
    <row r="869" spans="1:25" x14ac:dyDescent="0.15">
      <c r="A869" s="70" t="s">
        <v>30</v>
      </c>
      <c r="B869" s="25"/>
      <c r="C869" s="45"/>
      <c r="D869" s="26"/>
      <c r="E869" s="32"/>
      <c r="F869" s="33">
        <f t="shared" si="499"/>
        <v>0</v>
      </c>
      <c r="G869" s="25">
        <v>2</v>
      </c>
      <c r="H869" s="45"/>
      <c r="I869" s="26"/>
      <c r="J869" s="32"/>
      <c r="K869" s="33">
        <f t="shared" si="500"/>
        <v>2</v>
      </c>
      <c r="L869" s="93">
        <f t="shared" si="493"/>
        <v>2</v>
      </c>
      <c r="M869" s="85">
        <v>45846</v>
      </c>
      <c r="N869" s="50"/>
      <c r="O869" s="59"/>
      <c r="P869" s="60"/>
      <c r="Q869" s="61"/>
      <c r="R869" s="62"/>
      <c r="S869" s="63">
        <f t="shared" si="514"/>
        <v>0</v>
      </c>
      <c r="T869" s="59"/>
      <c r="U869" s="60"/>
      <c r="V869" s="61"/>
      <c r="W869" s="62"/>
      <c r="X869" s="63">
        <f t="shared" si="515"/>
        <v>0</v>
      </c>
      <c r="Y869" s="11">
        <f t="shared" si="516"/>
        <v>0</v>
      </c>
    </row>
    <row r="870" spans="1:25" ht="14.25" thickBot="1" x14ac:dyDescent="0.2">
      <c r="A870" s="70" t="s">
        <v>30</v>
      </c>
      <c r="B870" s="55"/>
      <c r="C870" s="56"/>
      <c r="D870" s="57"/>
      <c r="E870" s="58"/>
      <c r="F870" s="109">
        <f t="shared" si="499"/>
        <v>0</v>
      </c>
      <c r="G870" s="55"/>
      <c r="H870" s="56">
        <v>1</v>
      </c>
      <c r="I870" s="57"/>
      <c r="J870" s="58"/>
      <c r="K870" s="109">
        <f t="shared" si="500"/>
        <v>1</v>
      </c>
      <c r="L870" s="75">
        <f t="shared" si="493"/>
        <v>1</v>
      </c>
      <c r="M870" s="85">
        <v>45847</v>
      </c>
      <c r="N870" s="74"/>
      <c r="O870" s="55"/>
      <c r="P870" s="56"/>
      <c r="Q870" s="57"/>
      <c r="R870" s="58"/>
      <c r="S870" s="109">
        <f t="shared" si="514"/>
        <v>0</v>
      </c>
      <c r="T870" s="55"/>
      <c r="U870" s="56"/>
      <c r="V870" s="57"/>
      <c r="W870" s="58"/>
      <c r="X870" s="109">
        <f t="shared" si="515"/>
        <v>0</v>
      </c>
      <c r="Y870" s="107">
        <f t="shared" si="516"/>
        <v>0</v>
      </c>
    </row>
    <row r="871" spans="1:25" ht="14.25" thickBot="1" x14ac:dyDescent="0.2">
      <c r="A871" s="72" t="s">
        <v>10</v>
      </c>
      <c r="B871" s="36">
        <f>SUM(B846:B870)</f>
        <v>7</v>
      </c>
      <c r="C871" s="46">
        <f>SUM(C846:C870)</f>
        <v>11</v>
      </c>
      <c r="D871" s="37">
        <f>SUM(D846:D870)</f>
        <v>8</v>
      </c>
      <c r="E871" s="38">
        <f>SUM(E846:E870)</f>
        <v>3</v>
      </c>
      <c r="F871" s="71">
        <f>SUM(B871:E871)</f>
        <v>29</v>
      </c>
      <c r="G871" s="36">
        <f>SUM(G846:G870)</f>
        <v>6</v>
      </c>
      <c r="H871" s="46">
        <f>SUM(H846:H870)</f>
        <v>6</v>
      </c>
      <c r="I871" s="37">
        <f>SUM(I846:I870)</f>
        <v>-2</v>
      </c>
      <c r="J871" s="38">
        <f>SUM(J846:J870)</f>
        <v>-2</v>
      </c>
      <c r="K871" s="71">
        <f>SUM(G871:J871)</f>
        <v>8</v>
      </c>
      <c r="L871" s="75">
        <f t="shared" si="493"/>
        <v>37</v>
      </c>
      <c r="N871" s="72" t="s">
        <v>10</v>
      </c>
      <c r="O871" s="36">
        <f>SUM(O846:O870)</f>
        <v>13</v>
      </c>
      <c r="P871" s="46">
        <f>SUM(P846:P870)</f>
        <v>8</v>
      </c>
      <c r="Q871" s="37">
        <f>SUM(Q846:Q870)</f>
        <v>3</v>
      </c>
      <c r="R871" s="38">
        <f>SUM(R846:R870)</f>
        <v>5</v>
      </c>
      <c r="S871" s="71">
        <f t="shared" si="509"/>
        <v>29</v>
      </c>
      <c r="T871" s="36">
        <f>SUM(T846:T870)</f>
        <v>3</v>
      </c>
      <c r="U871" s="46">
        <f>SUM(U846:U870)</f>
        <v>10</v>
      </c>
      <c r="V871" s="37">
        <f>SUM(V846:V870)</f>
        <v>10</v>
      </c>
      <c r="W871" s="38">
        <f>SUM(W846:W870)</f>
        <v>10</v>
      </c>
      <c r="X871" s="71">
        <f t="shared" si="510"/>
        <v>33</v>
      </c>
      <c r="Y871" s="75">
        <f t="shared" si="490"/>
        <v>62</v>
      </c>
    </row>
    <row r="872" spans="1:25" ht="14.25" thickBot="1" x14ac:dyDescent="0.2">
      <c r="A872" s="21" t="s">
        <v>11</v>
      </c>
      <c r="B872" s="39">
        <f t="shared" ref="B872:K872" si="517">B845-B871</f>
        <v>4</v>
      </c>
      <c r="C872" s="47">
        <f t="shared" si="517"/>
        <v>4</v>
      </c>
      <c r="D872" s="40">
        <f t="shared" si="517"/>
        <v>7</v>
      </c>
      <c r="E872" s="41">
        <f t="shared" si="517"/>
        <v>4</v>
      </c>
      <c r="F872" s="54">
        <f t="shared" si="517"/>
        <v>19</v>
      </c>
      <c r="G872" s="39">
        <f t="shared" si="517"/>
        <v>5</v>
      </c>
      <c r="H872" s="47">
        <f t="shared" si="517"/>
        <v>7</v>
      </c>
      <c r="I872" s="40">
        <f t="shared" si="517"/>
        <v>6</v>
      </c>
      <c r="J872" s="41">
        <f t="shared" si="517"/>
        <v>7</v>
      </c>
      <c r="K872" s="54">
        <f t="shared" si="517"/>
        <v>25</v>
      </c>
      <c r="L872" s="20">
        <f t="shared" si="493"/>
        <v>44</v>
      </c>
      <c r="N872" s="16" t="s">
        <v>11</v>
      </c>
      <c r="O872" s="39">
        <f t="shared" ref="O872:X872" si="518">O845-O871</f>
        <v>403</v>
      </c>
      <c r="P872" s="47">
        <f t="shared" si="518"/>
        <v>350</v>
      </c>
      <c r="Q872" s="40">
        <f t="shared" si="518"/>
        <v>251</v>
      </c>
      <c r="R872" s="41">
        <f t="shared" si="518"/>
        <v>224</v>
      </c>
      <c r="S872" s="54">
        <f t="shared" si="518"/>
        <v>1228</v>
      </c>
      <c r="T872" s="39">
        <f t="shared" si="518"/>
        <v>321</v>
      </c>
      <c r="U872" s="47">
        <f t="shared" si="518"/>
        <v>358</v>
      </c>
      <c r="V872" s="40">
        <f t="shared" si="518"/>
        <v>303</v>
      </c>
      <c r="W872" s="41">
        <f t="shared" si="518"/>
        <v>165</v>
      </c>
      <c r="X872" s="54">
        <f t="shared" si="518"/>
        <v>1147</v>
      </c>
      <c r="Y872" s="20">
        <f t="shared" si="490"/>
        <v>2375</v>
      </c>
    </row>
    <row r="875" spans="1:25" ht="19.5" thickBot="1" x14ac:dyDescent="0.25">
      <c r="A875" s="2" t="s">
        <v>26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27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thickBot="1" x14ac:dyDescent="0.2">
      <c r="A876" s="5" t="s">
        <v>0</v>
      </c>
      <c r="B876" s="228" t="s">
        <v>19</v>
      </c>
      <c r="C876" s="229"/>
      <c r="D876" s="229"/>
      <c r="E876" s="229"/>
      <c r="F876" s="230"/>
      <c r="G876" s="231" t="s">
        <v>18</v>
      </c>
      <c r="H876" s="232"/>
      <c r="I876" s="232"/>
      <c r="J876" s="232"/>
      <c r="K876" s="233"/>
      <c r="L876" s="73" t="s">
        <v>1</v>
      </c>
      <c r="N876" s="5" t="s">
        <v>0</v>
      </c>
      <c r="O876" s="228" t="s">
        <v>19</v>
      </c>
      <c r="P876" s="229"/>
      <c r="Q876" s="229"/>
      <c r="R876" s="229"/>
      <c r="S876" s="230"/>
      <c r="T876" s="231" t="s">
        <v>18</v>
      </c>
      <c r="U876" s="232"/>
      <c r="V876" s="232"/>
      <c r="W876" s="232"/>
      <c r="X876" s="233"/>
      <c r="Y876" s="73" t="s">
        <v>1</v>
      </c>
    </row>
    <row r="877" spans="1:25" ht="14.25" thickBot="1" x14ac:dyDescent="0.2">
      <c r="A877" s="5" t="s">
        <v>2</v>
      </c>
      <c r="B877" s="3" t="s">
        <v>12</v>
      </c>
      <c r="C877" s="42" t="s">
        <v>13</v>
      </c>
      <c r="D877" s="4" t="s">
        <v>14</v>
      </c>
      <c r="E877" s="22" t="s">
        <v>15</v>
      </c>
      <c r="F877" s="30" t="s">
        <v>3</v>
      </c>
      <c r="G877" s="3" t="s">
        <v>12</v>
      </c>
      <c r="H877" s="42" t="s">
        <v>13</v>
      </c>
      <c r="I877" s="4" t="s">
        <v>14</v>
      </c>
      <c r="J877" s="22" t="s">
        <v>15</v>
      </c>
      <c r="K877" s="30" t="s">
        <v>3</v>
      </c>
      <c r="L877" s="74"/>
      <c r="N877" s="5" t="s">
        <v>2</v>
      </c>
      <c r="O877" s="64" t="s">
        <v>12</v>
      </c>
      <c r="P877" s="65" t="s">
        <v>13</v>
      </c>
      <c r="Q877" s="66" t="s">
        <v>14</v>
      </c>
      <c r="R877" s="67" t="s">
        <v>15</v>
      </c>
      <c r="S877" s="30" t="s">
        <v>3</v>
      </c>
      <c r="T877" s="3" t="s">
        <v>12</v>
      </c>
      <c r="U877" s="42" t="s">
        <v>13</v>
      </c>
      <c r="V877" s="4" t="s">
        <v>14</v>
      </c>
      <c r="W877" s="22" t="s">
        <v>15</v>
      </c>
      <c r="X877" s="30" t="s">
        <v>3</v>
      </c>
      <c r="Y877" s="74"/>
    </row>
    <row r="878" spans="1:25" ht="14.25" thickBot="1" x14ac:dyDescent="0.2">
      <c r="A878" s="21" t="s">
        <v>16</v>
      </c>
      <c r="B878" s="39">
        <f>B872</f>
        <v>4</v>
      </c>
      <c r="C878" s="40">
        <f>C872</f>
        <v>4</v>
      </c>
      <c r="D878" s="40">
        <f>D872</f>
        <v>7</v>
      </c>
      <c r="E878" s="41">
        <f>E872</f>
        <v>4</v>
      </c>
      <c r="F878" s="122">
        <f>SUM(B878:E878)</f>
        <v>19</v>
      </c>
      <c r="G878" s="39">
        <f>G872</f>
        <v>5</v>
      </c>
      <c r="H878" s="40">
        <f>H872</f>
        <v>7</v>
      </c>
      <c r="I878" s="40">
        <f>I872</f>
        <v>6</v>
      </c>
      <c r="J878" s="41">
        <f>J872</f>
        <v>7</v>
      </c>
      <c r="K878" s="123">
        <f>SUM(G878:J878)</f>
        <v>25</v>
      </c>
      <c r="L878" s="20">
        <f>F878+K878</f>
        <v>44</v>
      </c>
      <c r="N878" s="21" t="s">
        <v>16</v>
      </c>
      <c r="O878" s="39">
        <f>O872</f>
        <v>403</v>
      </c>
      <c r="P878" s="40">
        <f>P872</f>
        <v>350</v>
      </c>
      <c r="Q878" s="40">
        <f t="shared" ref="Q878:R878" si="519">Q872</f>
        <v>251</v>
      </c>
      <c r="R878" s="88">
        <f t="shared" si="519"/>
        <v>224</v>
      </c>
      <c r="S878" s="123">
        <f>SUM(O878:R878)</f>
        <v>1228</v>
      </c>
      <c r="T878" s="39">
        <f>T872</f>
        <v>321</v>
      </c>
      <c r="U878" s="40">
        <f>U872</f>
        <v>358</v>
      </c>
      <c r="V878" s="40">
        <f>V872</f>
        <v>303</v>
      </c>
      <c r="W878" s="41">
        <f>W872</f>
        <v>165</v>
      </c>
      <c r="X878" s="123">
        <f>SUM(T878:W878)</f>
        <v>1147</v>
      </c>
      <c r="Y878" s="20">
        <f t="shared" ref="Y878:Y910" si="520">S878+X878</f>
        <v>2375</v>
      </c>
    </row>
    <row r="879" spans="1:25" x14ac:dyDescent="0.15">
      <c r="A879" s="70" t="s">
        <v>5</v>
      </c>
      <c r="B879" s="6">
        <v>3</v>
      </c>
      <c r="C879" s="29">
        <v>3</v>
      </c>
      <c r="D879" s="7"/>
      <c r="E879" s="8"/>
      <c r="F879" s="9">
        <f t="shared" ref="F879:F882" si="521">SUM(B879:E879)</f>
        <v>6</v>
      </c>
      <c r="G879" s="29"/>
      <c r="H879" s="29"/>
      <c r="I879" s="7"/>
      <c r="J879" s="8"/>
      <c r="K879" s="9">
        <f t="shared" ref="K879:K882" si="522">SUM(G879:J879)</f>
        <v>0</v>
      </c>
      <c r="L879" s="11">
        <f t="shared" ref="L879:L910" si="523">F879+K879</f>
        <v>6</v>
      </c>
      <c r="M879" s="85">
        <v>45849</v>
      </c>
      <c r="N879" s="13" t="s">
        <v>17</v>
      </c>
      <c r="O879" s="25"/>
      <c r="P879" s="45"/>
      <c r="Q879" s="26"/>
      <c r="R879" s="32"/>
      <c r="S879" s="68">
        <f>SUM(O879:R879)</f>
        <v>0</v>
      </c>
      <c r="T879" s="45"/>
      <c r="U879" s="45"/>
      <c r="V879" s="26"/>
      <c r="W879" s="48"/>
      <c r="X879" s="9">
        <f>SUM(T879:W879)</f>
        <v>0</v>
      </c>
      <c r="Y879" s="11">
        <f t="shared" ref="Y879" si="524">S879+X879</f>
        <v>0</v>
      </c>
    </row>
    <row r="880" spans="1:25" x14ac:dyDescent="0.15">
      <c r="A880" s="70" t="s">
        <v>6</v>
      </c>
      <c r="B880" s="6">
        <v>3</v>
      </c>
      <c r="C880" s="29">
        <v>3</v>
      </c>
      <c r="D880" s="7"/>
      <c r="E880" s="8">
        <v>3</v>
      </c>
      <c r="F880" s="9">
        <f t="shared" si="521"/>
        <v>9</v>
      </c>
      <c r="G880" s="29"/>
      <c r="H880" s="29"/>
      <c r="I880" s="7"/>
      <c r="J880" s="8"/>
      <c r="K880" s="9">
        <f t="shared" si="522"/>
        <v>0</v>
      </c>
      <c r="L880" s="11">
        <f t="shared" si="523"/>
        <v>9</v>
      </c>
      <c r="M880" s="85">
        <v>45866</v>
      </c>
      <c r="N880" s="13" t="s">
        <v>5</v>
      </c>
      <c r="O880" s="25"/>
      <c r="P880" s="45"/>
      <c r="Q880" s="26"/>
      <c r="R880" s="32"/>
      <c r="S880" s="68">
        <f>SUM(O880:R880)</f>
        <v>0</v>
      </c>
      <c r="T880" s="45"/>
      <c r="U880" s="45"/>
      <c r="V880" s="26"/>
      <c r="W880" s="48"/>
      <c r="X880" s="9">
        <f>SUM(T880:W880)</f>
        <v>0</v>
      </c>
      <c r="Y880" s="11">
        <f t="shared" si="520"/>
        <v>0</v>
      </c>
    </row>
    <row r="881" spans="1:28" x14ac:dyDescent="0.15">
      <c r="A881" s="70" t="s">
        <v>434</v>
      </c>
      <c r="B881" s="6">
        <v>-2</v>
      </c>
      <c r="C881" s="29">
        <v>0</v>
      </c>
      <c r="D881" s="7">
        <v>0</v>
      </c>
      <c r="E881" s="8">
        <v>0</v>
      </c>
      <c r="F881" s="9">
        <f t="shared" si="521"/>
        <v>-2</v>
      </c>
      <c r="G881" s="29">
        <v>-1</v>
      </c>
      <c r="H881" s="29">
        <v>0</v>
      </c>
      <c r="I881" s="7">
        <v>0</v>
      </c>
      <c r="J881" s="8">
        <v>0</v>
      </c>
      <c r="K881" s="9">
        <f t="shared" si="522"/>
        <v>-1</v>
      </c>
      <c r="L881" s="11">
        <f t="shared" si="523"/>
        <v>-3</v>
      </c>
      <c r="M881" s="85">
        <v>45889</v>
      </c>
      <c r="N881" s="13" t="s">
        <v>6</v>
      </c>
      <c r="O881" s="25"/>
      <c r="P881" s="45"/>
      <c r="Q881" s="26"/>
      <c r="R881" s="32"/>
      <c r="S881" s="68">
        <f>SUM(O881:R881)</f>
        <v>0</v>
      </c>
      <c r="T881" s="45"/>
      <c r="U881" s="45"/>
      <c r="V881" s="26"/>
      <c r="W881" s="48"/>
      <c r="X881" s="9">
        <f>SUM(T881:W881)</f>
        <v>0</v>
      </c>
      <c r="Y881" s="11">
        <f t="shared" si="520"/>
        <v>0</v>
      </c>
    </row>
    <row r="882" spans="1:28" ht="14.25" thickBot="1" x14ac:dyDescent="0.2">
      <c r="A882" s="70" t="s">
        <v>8</v>
      </c>
      <c r="B882" s="125"/>
      <c r="C882" s="126"/>
      <c r="D882" s="127"/>
      <c r="E882" s="128"/>
      <c r="F882" s="129">
        <f t="shared" si="521"/>
        <v>0</v>
      </c>
      <c r="G882" s="126"/>
      <c r="H882" s="126">
        <v>3</v>
      </c>
      <c r="I882" s="127"/>
      <c r="J882" s="128"/>
      <c r="K882" s="129">
        <f t="shared" si="522"/>
        <v>3</v>
      </c>
      <c r="L882" s="14">
        <f t="shared" si="523"/>
        <v>3</v>
      </c>
      <c r="M882" s="85">
        <v>45916</v>
      </c>
      <c r="N882" s="13" t="s">
        <v>7</v>
      </c>
      <c r="O882" s="55"/>
      <c r="P882" s="56"/>
      <c r="Q882" s="57"/>
      <c r="R882" s="58"/>
      <c r="S882" s="69">
        <f>SUM(O882:R882)</f>
        <v>0</v>
      </c>
      <c r="T882" s="45"/>
      <c r="U882" s="45"/>
      <c r="V882" s="26"/>
      <c r="W882" s="48"/>
      <c r="X882" s="10">
        <f>SUM(T882:W882)</f>
        <v>0</v>
      </c>
      <c r="Y882" s="14">
        <f t="shared" si="520"/>
        <v>0</v>
      </c>
    </row>
    <row r="883" spans="1:28" ht="14.25" thickBot="1" x14ac:dyDescent="0.2">
      <c r="A883" s="21" t="s">
        <v>9</v>
      </c>
      <c r="B883" s="130">
        <f t="shared" ref="B883:K883" si="525">SUM(B878:B882)</f>
        <v>8</v>
      </c>
      <c r="C883" s="131">
        <f t="shared" si="525"/>
        <v>10</v>
      </c>
      <c r="D883" s="132">
        <f t="shared" si="525"/>
        <v>7</v>
      </c>
      <c r="E883" s="133">
        <f t="shared" si="525"/>
        <v>7</v>
      </c>
      <c r="F883" s="123">
        <f t="shared" si="525"/>
        <v>32</v>
      </c>
      <c r="G883" s="130">
        <f t="shared" si="525"/>
        <v>4</v>
      </c>
      <c r="H883" s="131">
        <f t="shared" si="525"/>
        <v>10</v>
      </c>
      <c r="I883" s="132">
        <f t="shared" si="525"/>
        <v>6</v>
      </c>
      <c r="J883" s="133">
        <f t="shared" si="525"/>
        <v>7</v>
      </c>
      <c r="K883" s="123">
        <f t="shared" si="525"/>
        <v>27</v>
      </c>
      <c r="L883" s="20">
        <f t="shared" si="523"/>
        <v>59</v>
      </c>
      <c r="N883" s="16" t="s">
        <v>9</v>
      </c>
      <c r="O883" s="39">
        <f t="shared" ref="O883:X883" si="526">SUM(O878:O882)</f>
        <v>403</v>
      </c>
      <c r="P883" s="47">
        <f t="shared" si="526"/>
        <v>350</v>
      </c>
      <c r="Q883" s="40">
        <f t="shared" si="526"/>
        <v>251</v>
      </c>
      <c r="R883" s="88">
        <f t="shared" si="526"/>
        <v>224</v>
      </c>
      <c r="S883" s="89">
        <f t="shared" si="526"/>
        <v>1228</v>
      </c>
      <c r="T883" s="39">
        <f t="shared" si="526"/>
        <v>321</v>
      </c>
      <c r="U883" s="47">
        <f t="shared" si="526"/>
        <v>358</v>
      </c>
      <c r="V883" s="40">
        <f t="shared" si="526"/>
        <v>303</v>
      </c>
      <c r="W883" s="88">
        <f t="shared" si="526"/>
        <v>165</v>
      </c>
      <c r="X883" s="89">
        <f t="shared" si="526"/>
        <v>1147</v>
      </c>
      <c r="Y883" s="49">
        <f t="shared" si="520"/>
        <v>2375</v>
      </c>
    </row>
    <row r="884" spans="1:28" x14ac:dyDescent="0.15">
      <c r="A884" s="70" t="s">
        <v>30</v>
      </c>
      <c r="B884" s="25">
        <v>1</v>
      </c>
      <c r="C884" s="45">
        <v>2</v>
      </c>
      <c r="D884" s="26"/>
      <c r="E884" s="32"/>
      <c r="F884" s="33">
        <f t="shared" ref="F884:F904" si="527">SUM(B884:E884)</f>
        <v>3</v>
      </c>
      <c r="G884" s="25"/>
      <c r="H884" s="45"/>
      <c r="I884" s="26"/>
      <c r="J884" s="32"/>
      <c r="K884" s="33">
        <f t="shared" ref="K884:K904" si="528">SUM(G884:J884)</f>
        <v>0</v>
      </c>
      <c r="L884" s="11">
        <f t="shared" ref="L884:L904" si="529">F884+K884</f>
        <v>3</v>
      </c>
      <c r="M884" s="85">
        <v>45848</v>
      </c>
      <c r="N884" s="12" t="s">
        <v>483</v>
      </c>
      <c r="O884" s="25"/>
      <c r="P884" s="45"/>
      <c r="Q884" s="26"/>
      <c r="R884" s="32"/>
      <c r="S884" s="33">
        <f t="shared" ref="S884:S886" si="530">SUM(O884:R884)</f>
        <v>0</v>
      </c>
      <c r="T884" s="25">
        <v>5</v>
      </c>
      <c r="U884" s="45"/>
      <c r="V884" s="26"/>
      <c r="W884" s="32"/>
      <c r="X884" s="33">
        <f t="shared" ref="X884:X886" si="531">SUM(T884:W884)</f>
        <v>5</v>
      </c>
      <c r="Y884" s="11">
        <f t="shared" si="520"/>
        <v>5</v>
      </c>
      <c r="Z884" s="85">
        <v>45853</v>
      </c>
    </row>
    <row r="885" spans="1:28" x14ac:dyDescent="0.15">
      <c r="A885" s="70" t="s">
        <v>30</v>
      </c>
      <c r="B885" s="25"/>
      <c r="C885" s="45"/>
      <c r="D885" s="26"/>
      <c r="E885" s="32">
        <v>1</v>
      </c>
      <c r="F885" s="33">
        <f t="shared" si="527"/>
        <v>1</v>
      </c>
      <c r="G885" s="25"/>
      <c r="H885" s="45"/>
      <c r="I885" s="26"/>
      <c r="J885" s="32"/>
      <c r="K885" s="33">
        <f t="shared" si="528"/>
        <v>0</v>
      </c>
      <c r="L885" s="11">
        <f t="shared" si="529"/>
        <v>1</v>
      </c>
      <c r="M885" s="85">
        <v>45852</v>
      </c>
      <c r="N885" s="50" t="s">
        <v>28</v>
      </c>
      <c r="O885" s="25">
        <v>3</v>
      </c>
      <c r="P885" s="45">
        <v>3</v>
      </c>
      <c r="Q885" s="26"/>
      <c r="R885" s="32"/>
      <c r="S885" s="33">
        <f t="shared" si="530"/>
        <v>6</v>
      </c>
      <c r="T885" s="25"/>
      <c r="U885" s="45"/>
      <c r="V885" s="26"/>
      <c r="W885" s="32"/>
      <c r="X885" s="33">
        <f t="shared" si="531"/>
        <v>0</v>
      </c>
      <c r="Y885" s="11">
        <f t="shared" si="520"/>
        <v>6</v>
      </c>
      <c r="Z885" s="85">
        <v>45849</v>
      </c>
    </row>
    <row r="886" spans="1:28" x14ac:dyDescent="0.15">
      <c r="A886" s="70" t="s">
        <v>30</v>
      </c>
      <c r="B886" s="25">
        <v>1</v>
      </c>
      <c r="C886" s="45"/>
      <c r="D886" s="26"/>
      <c r="E886" s="32"/>
      <c r="F886" s="33">
        <f t="shared" si="527"/>
        <v>1</v>
      </c>
      <c r="G886" s="25"/>
      <c r="H886" s="45"/>
      <c r="I886" s="26"/>
      <c r="J886" s="32"/>
      <c r="K886" s="33">
        <f t="shared" si="528"/>
        <v>0</v>
      </c>
      <c r="L886" s="11">
        <f t="shared" si="529"/>
        <v>1</v>
      </c>
      <c r="M886" s="85">
        <v>45853</v>
      </c>
      <c r="N886" s="50" t="s">
        <v>28</v>
      </c>
      <c r="O886" s="25">
        <v>3</v>
      </c>
      <c r="P886" s="45">
        <v>3</v>
      </c>
      <c r="Q886" s="26"/>
      <c r="R886" s="32">
        <v>3</v>
      </c>
      <c r="S886" s="33">
        <f t="shared" si="530"/>
        <v>9</v>
      </c>
      <c r="T886" s="25"/>
      <c r="U886" s="45"/>
      <c r="V886" s="26"/>
      <c r="W886" s="32"/>
      <c r="X886" s="33">
        <f t="shared" si="531"/>
        <v>0</v>
      </c>
      <c r="Y886" s="11">
        <f t="shared" si="520"/>
        <v>9</v>
      </c>
      <c r="Z886" s="85">
        <v>45866</v>
      </c>
      <c r="AA886" s="51"/>
      <c r="AB886" s="51"/>
    </row>
    <row r="887" spans="1:28" x14ac:dyDescent="0.15">
      <c r="A887" s="70" t="s">
        <v>30</v>
      </c>
      <c r="B887" s="25">
        <v>1</v>
      </c>
      <c r="C887" s="45">
        <v>1</v>
      </c>
      <c r="D887" s="26"/>
      <c r="E887" s="32"/>
      <c r="F887" s="33">
        <f t="shared" si="527"/>
        <v>2</v>
      </c>
      <c r="G887" s="25">
        <v>1</v>
      </c>
      <c r="H887" s="45"/>
      <c r="I887" s="26"/>
      <c r="J887" s="32"/>
      <c r="K887" s="33">
        <f t="shared" si="528"/>
        <v>1</v>
      </c>
      <c r="L887" s="11">
        <f t="shared" si="529"/>
        <v>3</v>
      </c>
      <c r="M887" s="85">
        <v>45860</v>
      </c>
      <c r="N887" s="12" t="s">
        <v>488</v>
      </c>
      <c r="O887" s="25"/>
      <c r="P887" s="45"/>
      <c r="Q887" s="26">
        <v>2</v>
      </c>
      <c r="R887" s="32"/>
      <c r="S887" s="33">
        <f t="shared" ref="S887:S891" si="532">SUM(O887:R887)</f>
        <v>2</v>
      </c>
      <c r="T887" s="25"/>
      <c r="U887" s="45"/>
      <c r="V887" s="26"/>
      <c r="W887" s="32"/>
      <c r="X887" s="33">
        <f t="shared" ref="X887:X891" si="533">SUM(T887:W887)</f>
        <v>0</v>
      </c>
      <c r="Y887" s="11">
        <f t="shared" ref="Y887:Y891" si="534">S887+X887</f>
        <v>2</v>
      </c>
      <c r="Z887" s="85">
        <v>45890</v>
      </c>
      <c r="AA887" s="51"/>
      <c r="AB887" s="51"/>
    </row>
    <row r="888" spans="1:28" x14ac:dyDescent="0.15">
      <c r="A888" s="70" t="s">
        <v>30</v>
      </c>
      <c r="B888" s="25">
        <v>1</v>
      </c>
      <c r="C888" s="45">
        <v>1</v>
      </c>
      <c r="D888" s="26"/>
      <c r="E888" s="32"/>
      <c r="F888" s="33">
        <f t="shared" si="527"/>
        <v>2</v>
      </c>
      <c r="G888" s="25"/>
      <c r="H888" s="45"/>
      <c r="I888" s="26"/>
      <c r="J888" s="32"/>
      <c r="K888" s="33">
        <f t="shared" si="528"/>
        <v>0</v>
      </c>
      <c r="L888" s="11">
        <f t="shared" si="529"/>
        <v>2</v>
      </c>
      <c r="M888" s="85">
        <v>45863</v>
      </c>
      <c r="N888" s="12" t="s">
        <v>493</v>
      </c>
      <c r="O888" s="25">
        <v>20</v>
      </c>
      <c r="P888" s="45">
        <v>25</v>
      </c>
      <c r="Q888" s="26">
        <v>25</v>
      </c>
      <c r="R888" s="32"/>
      <c r="S888" s="33">
        <f t="shared" si="532"/>
        <v>70</v>
      </c>
      <c r="T888" s="25">
        <v>20</v>
      </c>
      <c r="U888" s="45">
        <v>20</v>
      </c>
      <c r="V888" s="26">
        <v>20</v>
      </c>
      <c r="W888" s="32"/>
      <c r="X888" s="33">
        <f t="shared" si="533"/>
        <v>60</v>
      </c>
      <c r="Y888" s="11">
        <f t="shared" si="534"/>
        <v>130</v>
      </c>
      <c r="Z888" s="85">
        <v>45904</v>
      </c>
      <c r="AA888" s="51"/>
      <c r="AB888" s="51"/>
    </row>
    <row r="889" spans="1:28" x14ac:dyDescent="0.15">
      <c r="A889" s="70" t="s">
        <v>30</v>
      </c>
      <c r="B889" s="25"/>
      <c r="C889" s="45"/>
      <c r="D889" s="26">
        <v>1</v>
      </c>
      <c r="E889" s="32"/>
      <c r="F889" s="33">
        <f t="shared" si="527"/>
        <v>1</v>
      </c>
      <c r="G889" s="25"/>
      <c r="H889" s="45"/>
      <c r="I889" s="26"/>
      <c r="J889" s="32"/>
      <c r="K889" s="33">
        <f t="shared" si="528"/>
        <v>0</v>
      </c>
      <c r="L889" s="11">
        <f t="shared" si="529"/>
        <v>1</v>
      </c>
      <c r="M889" s="85">
        <v>45866</v>
      </c>
      <c r="N889" s="12" t="s">
        <v>494</v>
      </c>
      <c r="O889" s="25"/>
      <c r="P889" s="45"/>
      <c r="Q889" s="26">
        <v>5</v>
      </c>
      <c r="R889" s="32">
        <v>5</v>
      </c>
      <c r="S889" s="33">
        <f t="shared" si="532"/>
        <v>10</v>
      </c>
      <c r="T889" s="25">
        <v>5</v>
      </c>
      <c r="U889" s="45"/>
      <c r="V889" s="26"/>
      <c r="W889" s="32">
        <v>5</v>
      </c>
      <c r="X889" s="33">
        <f t="shared" si="533"/>
        <v>10</v>
      </c>
      <c r="Y889" s="11">
        <f t="shared" si="534"/>
        <v>20</v>
      </c>
      <c r="Z889" s="85">
        <v>45905</v>
      </c>
      <c r="AA889" s="51"/>
      <c r="AB889" s="51"/>
    </row>
    <row r="890" spans="1:28" x14ac:dyDescent="0.15">
      <c r="A890" s="70" t="s">
        <v>240</v>
      </c>
      <c r="B890" s="25"/>
      <c r="C890" s="45"/>
      <c r="D890" s="26">
        <v>1</v>
      </c>
      <c r="E890" s="32"/>
      <c r="F890" s="33">
        <f t="shared" si="527"/>
        <v>1</v>
      </c>
      <c r="G890" s="25"/>
      <c r="H890" s="45"/>
      <c r="I890" s="26">
        <v>1</v>
      </c>
      <c r="J890" s="32"/>
      <c r="K890" s="33">
        <f t="shared" si="528"/>
        <v>1</v>
      </c>
      <c r="L890" s="11">
        <f t="shared" si="529"/>
        <v>2</v>
      </c>
      <c r="M890" s="85">
        <v>45866</v>
      </c>
      <c r="N890" s="50" t="s">
        <v>495</v>
      </c>
      <c r="O890" s="25">
        <v>7</v>
      </c>
      <c r="P890" s="45">
        <v>7</v>
      </c>
      <c r="Q890" s="26">
        <v>7</v>
      </c>
      <c r="R890" s="32">
        <v>7</v>
      </c>
      <c r="S890" s="33">
        <f t="shared" si="532"/>
        <v>28</v>
      </c>
      <c r="T890" s="25">
        <v>7</v>
      </c>
      <c r="U890" s="45">
        <v>7</v>
      </c>
      <c r="V890" s="26">
        <v>7</v>
      </c>
      <c r="W890" s="32">
        <v>7</v>
      </c>
      <c r="X890" s="33">
        <f t="shared" si="533"/>
        <v>28</v>
      </c>
      <c r="Y890" s="11">
        <f t="shared" si="534"/>
        <v>56</v>
      </c>
      <c r="Z890" s="85">
        <v>45904</v>
      </c>
      <c r="AA890" s="51"/>
    </row>
    <row r="891" spans="1:28" x14ac:dyDescent="0.15">
      <c r="A891" s="70" t="s">
        <v>30</v>
      </c>
      <c r="B891" s="25"/>
      <c r="C891" s="45"/>
      <c r="D891" s="26"/>
      <c r="E891" s="32"/>
      <c r="F891" s="33">
        <f t="shared" si="527"/>
        <v>0</v>
      </c>
      <c r="G891" s="25"/>
      <c r="H891" s="45">
        <v>1</v>
      </c>
      <c r="I891" s="26"/>
      <c r="J891" s="32"/>
      <c r="K891" s="33">
        <f t="shared" si="528"/>
        <v>1</v>
      </c>
      <c r="L891" s="11">
        <f t="shared" si="529"/>
        <v>1</v>
      </c>
      <c r="M891" s="85">
        <v>45873</v>
      </c>
      <c r="N891" s="50" t="s">
        <v>28</v>
      </c>
      <c r="O891" s="25"/>
      <c r="P891" s="45"/>
      <c r="Q891" s="26"/>
      <c r="R891" s="32"/>
      <c r="S891" s="33">
        <f t="shared" si="532"/>
        <v>0</v>
      </c>
      <c r="T891" s="25"/>
      <c r="U891" s="45">
        <v>3</v>
      </c>
      <c r="V891" s="26"/>
      <c r="W891" s="32"/>
      <c r="X891" s="33">
        <f t="shared" si="533"/>
        <v>3</v>
      </c>
      <c r="Y891" s="11">
        <f t="shared" si="534"/>
        <v>3</v>
      </c>
      <c r="Z891" s="85">
        <v>45916</v>
      </c>
      <c r="AA891" s="51"/>
    </row>
    <row r="892" spans="1:28" x14ac:dyDescent="0.15">
      <c r="A892" s="70" t="s">
        <v>240</v>
      </c>
      <c r="B892" s="25"/>
      <c r="C892" s="45"/>
      <c r="D892" s="26"/>
      <c r="E892" s="32"/>
      <c r="F892" s="33">
        <f t="shared" si="527"/>
        <v>0</v>
      </c>
      <c r="G892" s="25"/>
      <c r="H892" s="45"/>
      <c r="I892" s="26">
        <v>1</v>
      </c>
      <c r="J892" s="32"/>
      <c r="K892" s="33">
        <f t="shared" si="528"/>
        <v>1</v>
      </c>
      <c r="L892" s="11">
        <f t="shared" si="529"/>
        <v>1</v>
      </c>
      <c r="M892" s="85">
        <v>45877</v>
      </c>
      <c r="N892" s="12" t="s">
        <v>503</v>
      </c>
      <c r="O892" s="25"/>
      <c r="P892" s="45"/>
      <c r="Q892" s="26"/>
      <c r="R892" s="32"/>
      <c r="S892" s="33">
        <f t="shared" ref="S892:S909" si="535">SUM(O892:R892)</f>
        <v>0</v>
      </c>
      <c r="T892" s="25"/>
      <c r="U892" s="45">
        <v>25</v>
      </c>
      <c r="V892" s="26">
        <v>10</v>
      </c>
      <c r="W892" s="32"/>
      <c r="X892" s="33">
        <f t="shared" ref="X892:X909" si="536">SUM(T892:W892)</f>
        <v>35</v>
      </c>
      <c r="Y892" s="11">
        <f t="shared" si="520"/>
        <v>35</v>
      </c>
      <c r="Z892" s="85">
        <v>45918</v>
      </c>
      <c r="AA892" s="51"/>
    </row>
    <row r="893" spans="1:28" x14ac:dyDescent="0.15">
      <c r="A893" s="70" t="s">
        <v>30</v>
      </c>
      <c r="B893" s="25"/>
      <c r="C893" s="45"/>
      <c r="D893" s="26"/>
      <c r="E893" s="32"/>
      <c r="F893" s="33">
        <f t="shared" si="527"/>
        <v>0</v>
      </c>
      <c r="G893" s="25"/>
      <c r="H893" s="45">
        <v>1</v>
      </c>
      <c r="I893" s="26"/>
      <c r="J893" s="32"/>
      <c r="K893" s="33">
        <f t="shared" si="528"/>
        <v>1</v>
      </c>
      <c r="L893" s="11">
        <f t="shared" si="529"/>
        <v>1</v>
      </c>
      <c r="M893" s="85">
        <v>45887</v>
      </c>
      <c r="N893" s="12" t="s">
        <v>504</v>
      </c>
      <c r="O893" s="25">
        <v>10</v>
      </c>
      <c r="P893" s="45">
        <v>15</v>
      </c>
      <c r="Q893" s="26">
        <v>15</v>
      </c>
      <c r="R893" s="32"/>
      <c r="S893" s="33">
        <f t="shared" si="535"/>
        <v>40</v>
      </c>
      <c r="T893" s="25"/>
      <c r="U893" s="45"/>
      <c r="V893" s="26">
        <v>10</v>
      </c>
      <c r="W893" s="32"/>
      <c r="X893" s="33">
        <f t="shared" si="536"/>
        <v>10</v>
      </c>
      <c r="Y893" s="11">
        <f t="shared" si="520"/>
        <v>50</v>
      </c>
      <c r="Z893" s="85">
        <v>45919</v>
      </c>
      <c r="AA893" s="51"/>
    </row>
    <row r="894" spans="1:28" x14ac:dyDescent="0.15">
      <c r="A894" s="70" t="s">
        <v>30</v>
      </c>
      <c r="B894" s="25"/>
      <c r="C894" s="45"/>
      <c r="D894" s="26"/>
      <c r="E894" s="32"/>
      <c r="F894" s="33">
        <f t="shared" si="527"/>
        <v>0</v>
      </c>
      <c r="G894" s="25"/>
      <c r="H894" s="45">
        <v>1</v>
      </c>
      <c r="I894" s="26"/>
      <c r="J894" s="32"/>
      <c r="K894" s="33">
        <f t="shared" si="528"/>
        <v>1</v>
      </c>
      <c r="L894" s="11">
        <f t="shared" si="529"/>
        <v>1</v>
      </c>
      <c r="M894" s="85">
        <v>45889</v>
      </c>
      <c r="N894" s="12" t="s">
        <v>505</v>
      </c>
      <c r="O894" s="25"/>
      <c r="P894" s="45">
        <v>10</v>
      </c>
      <c r="Q894" s="26">
        <v>10</v>
      </c>
      <c r="R894" s="32"/>
      <c r="S894" s="33">
        <f t="shared" si="535"/>
        <v>20</v>
      </c>
      <c r="T894" s="25"/>
      <c r="U894" s="45"/>
      <c r="V894" s="26"/>
      <c r="W894" s="32"/>
      <c r="X894" s="33">
        <f t="shared" si="536"/>
        <v>0</v>
      </c>
      <c r="Y894" s="11">
        <f t="shared" si="520"/>
        <v>20</v>
      </c>
      <c r="Z894" s="85">
        <v>45920</v>
      </c>
      <c r="AA894" s="51"/>
    </row>
    <row r="895" spans="1:28" x14ac:dyDescent="0.15">
      <c r="A895" s="70" t="s">
        <v>30</v>
      </c>
      <c r="B895" s="25"/>
      <c r="C895" s="45"/>
      <c r="D895" s="26"/>
      <c r="E895" s="32"/>
      <c r="F895" s="33">
        <f t="shared" si="527"/>
        <v>0</v>
      </c>
      <c r="G895" s="25"/>
      <c r="H895" s="45"/>
      <c r="I895" s="26">
        <v>1</v>
      </c>
      <c r="J895" s="32"/>
      <c r="K895" s="33">
        <f t="shared" si="528"/>
        <v>1</v>
      </c>
      <c r="L895" s="11">
        <f t="shared" si="529"/>
        <v>1</v>
      </c>
      <c r="M895" s="85">
        <v>45896</v>
      </c>
      <c r="N895" s="50"/>
      <c r="O895" s="25"/>
      <c r="P895" s="45"/>
      <c r="Q895" s="26"/>
      <c r="R895" s="32"/>
      <c r="S895" s="33">
        <f t="shared" si="535"/>
        <v>0</v>
      </c>
      <c r="T895" s="25"/>
      <c r="U895" s="45"/>
      <c r="V895" s="26"/>
      <c r="W895" s="32"/>
      <c r="X895" s="33">
        <f t="shared" si="536"/>
        <v>0</v>
      </c>
      <c r="Y895" s="11">
        <f t="shared" si="520"/>
        <v>0</v>
      </c>
      <c r="Z895" s="159"/>
    </row>
    <row r="896" spans="1:28" x14ac:dyDescent="0.15">
      <c r="A896" s="70" t="s">
        <v>30</v>
      </c>
      <c r="B896" s="25"/>
      <c r="C896" s="45">
        <v>1</v>
      </c>
      <c r="D896" s="26"/>
      <c r="E896" s="32"/>
      <c r="F896" s="33">
        <f t="shared" si="527"/>
        <v>1</v>
      </c>
      <c r="G896" s="25"/>
      <c r="H896" s="45"/>
      <c r="I896" s="26"/>
      <c r="J896" s="32"/>
      <c r="K896" s="33">
        <f t="shared" si="528"/>
        <v>0</v>
      </c>
      <c r="L896" s="11">
        <f t="shared" si="529"/>
        <v>1</v>
      </c>
      <c r="M896" s="85">
        <v>45903</v>
      </c>
      <c r="N896" s="50"/>
      <c r="O896" s="25"/>
      <c r="P896" s="45"/>
      <c r="Q896" s="26"/>
      <c r="R896" s="32"/>
      <c r="S896" s="33">
        <f t="shared" si="535"/>
        <v>0</v>
      </c>
      <c r="T896" s="25"/>
      <c r="U896" s="45"/>
      <c r="V896" s="26"/>
      <c r="W896" s="32"/>
      <c r="X896" s="33">
        <f t="shared" si="536"/>
        <v>0</v>
      </c>
      <c r="Y896" s="11">
        <f t="shared" si="520"/>
        <v>0</v>
      </c>
      <c r="Z896" s="159"/>
    </row>
    <row r="897" spans="1:26" x14ac:dyDescent="0.15">
      <c r="A897" s="70" t="s">
        <v>30</v>
      </c>
      <c r="B897" s="25"/>
      <c r="C897" s="45"/>
      <c r="D897" s="26">
        <v>1</v>
      </c>
      <c r="E897" s="32"/>
      <c r="F897" s="33">
        <f t="shared" si="527"/>
        <v>1</v>
      </c>
      <c r="G897" s="25"/>
      <c r="H897" s="45"/>
      <c r="I897" s="26"/>
      <c r="J897" s="32">
        <v>2</v>
      </c>
      <c r="K897" s="33">
        <f t="shared" si="528"/>
        <v>2</v>
      </c>
      <c r="L897" s="11">
        <f t="shared" si="529"/>
        <v>3</v>
      </c>
      <c r="M897" s="85">
        <v>45908</v>
      </c>
      <c r="N897" s="50"/>
      <c r="O897" s="25"/>
      <c r="P897" s="45"/>
      <c r="Q897" s="26"/>
      <c r="R897" s="32"/>
      <c r="S897" s="33">
        <f t="shared" si="535"/>
        <v>0</v>
      </c>
      <c r="T897" s="25"/>
      <c r="U897" s="45"/>
      <c r="V897" s="26"/>
      <c r="W897" s="32"/>
      <c r="X897" s="33">
        <f t="shared" si="536"/>
        <v>0</v>
      </c>
      <c r="Y897" s="11">
        <f t="shared" si="520"/>
        <v>0</v>
      </c>
    </row>
    <row r="898" spans="1:26" x14ac:dyDescent="0.15">
      <c r="A898" s="70" t="s">
        <v>30</v>
      </c>
      <c r="B898" s="25"/>
      <c r="C898" s="45">
        <v>1</v>
      </c>
      <c r="D898" s="26"/>
      <c r="E898" s="32"/>
      <c r="F898" s="33">
        <f t="shared" si="527"/>
        <v>1</v>
      </c>
      <c r="G898" s="25"/>
      <c r="H898" s="45">
        <v>1</v>
      </c>
      <c r="I898" s="26"/>
      <c r="J898" s="32"/>
      <c r="K898" s="33">
        <f t="shared" si="528"/>
        <v>1</v>
      </c>
      <c r="L898" s="11">
        <f t="shared" si="529"/>
        <v>2</v>
      </c>
      <c r="M898" s="85">
        <v>45910</v>
      </c>
      <c r="N898" s="50"/>
      <c r="O898" s="25"/>
      <c r="P898" s="45"/>
      <c r="Q898" s="26"/>
      <c r="R898" s="32"/>
      <c r="S898" s="33">
        <f t="shared" si="535"/>
        <v>0</v>
      </c>
      <c r="T898" s="25"/>
      <c r="U898" s="45"/>
      <c r="V898" s="26"/>
      <c r="W898" s="32"/>
      <c r="X898" s="33">
        <f t="shared" si="536"/>
        <v>0</v>
      </c>
      <c r="Y898" s="11">
        <f t="shared" si="520"/>
        <v>0</v>
      </c>
    </row>
    <row r="899" spans="1:26" x14ac:dyDescent="0.15">
      <c r="A899" s="70" t="s">
        <v>30</v>
      </c>
      <c r="B899" s="25"/>
      <c r="C899" s="45"/>
      <c r="D899" s="26"/>
      <c r="E899" s="32"/>
      <c r="F899" s="33">
        <f t="shared" si="527"/>
        <v>0</v>
      </c>
      <c r="G899" s="25"/>
      <c r="H899" s="45">
        <v>2</v>
      </c>
      <c r="I899" s="26"/>
      <c r="J899" s="32"/>
      <c r="K899" s="33">
        <f t="shared" si="528"/>
        <v>2</v>
      </c>
      <c r="L899" s="11">
        <f t="shared" si="529"/>
        <v>2</v>
      </c>
      <c r="M899" s="85">
        <v>45911</v>
      </c>
      <c r="N899" s="50"/>
      <c r="O899" s="25"/>
      <c r="P899" s="45"/>
      <c r="Q899" s="26"/>
      <c r="R899" s="32"/>
      <c r="S899" s="33">
        <f t="shared" si="535"/>
        <v>0</v>
      </c>
      <c r="T899" s="25"/>
      <c r="U899" s="45"/>
      <c r="V899" s="26"/>
      <c r="W899" s="32"/>
      <c r="X899" s="33">
        <f t="shared" si="536"/>
        <v>0</v>
      </c>
      <c r="Y899" s="11">
        <f t="shared" si="520"/>
        <v>0</v>
      </c>
    </row>
    <row r="900" spans="1:26" x14ac:dyDescent="0.15">
      <c r="A900" s="70" t="s">
        <v>30</v>
      </c>
      <c r="B900" s="25"/>
      <c r="C900" s="45"/>
      <c r="D900" s="26">
        <v>1</v>
      </c>
      <c r="E900" s="32"/>
      <c r="F900" s="33">
        <f t="shared" si="527"/>
        <v>1</v>
      </c>
      <c r="G900" s="25"/>
      <c r="H900" s="45"/>
      <c r="I900" s="26"/>
      <c r="J900" s="32"/>
      <c r="K900" s="33">
        <f t="shared" si="528"/>
        <v>0</v>
      </c>
      <c r="L900" s="11">
        <f t="shared" si="529"/>
        <v>1</v>
      </c>
      <c r="M900" s="85">
        <v>45912</v>
      </c>
      <c r="N900" s="50"/>
      <c r="O900" s="25"/>
      <c r="P900" s="45"/>
      <c r="Q900" s="26"/>
      <c r="R900" s="32"/>
      <c r="S900" s="33">
        <f t="shared" si="535"/>
        <v>0</v>
      </c>
      <c r="T900" s="25"/>
      <c r="U900" s="45"/>
      <c r="V900" s="26"/>
      <c r="W900" s="32"/>
      <c r="X900" s="33">
        <f t="shared" si="536"/>
        <v>0</v>
      </c>
      <c r="Y900" s="11">
        <f t="shared" si="520"/>
        <v>0</v>
      </c>
    </row>
    <row r="901" spans="1:26" x14ac:dyDescent="0.15">
      <c r="A901" s="70" t="s">
        <v>502</v>
      </c>
      <c r="B901" s="25"/>
      <c r="C901" s="45"/>
      <c r="D901" s="26"/>
      <c r="E901" s="32"/>
      <c r="F901" s="33">
        <f t="shared" si="527"/>
        <v>0</v>
      </c>
      <c r="G901" s="25"/>
      <c r="H901" s="45"/>
      <c r="I901" s="26"/>
      <c r="J901" s="32">
        <v>1</v>
      </c>
      <c r="K901" s="33">
        <f t="shared" si="528"/>
        <v>1</v>
      </c>
      <c r="L901" s="11">
        <f t="shared" si="529"/>
        <v>1</v>
      </c>
      <c r="M901" s="85">
        <v>45917</v>
      </c>
      <c r="N901" s="50"/>
      <c r="O901" s="25"/>
      <c r="P901" s="45"/>
      <c r="Q901" s="26"/>
      <c r="R901" s="32"/>
      <c r="S901" s="33">
        <f t="shared" si="535"/>
        <v>0</v>
      </c>
      <c r="T901" s="25"/>
      <c r="U901" s="45"/>
      <c r="V901" s="26"/>
      <c r="W901" s="32"/>
      <c r="X901" s="33">
        <f t="shared" si="536"/>
        <v>0</v>
      </c>
      <c r="Y901" s="11">
        <f t="shared" si="520"/>
        <v>0</v>
      </c>
    </row>
    <row r="902" spans="1:26" x14ac:dyDescent="0.15">
      <c r="A902" s="70" t="s">
        <v>30</v>
      </c>
      <c r="B902" s="25"/>
      <c r="C902" s="45"/>
      <c r="D902" s="26">
        <v>1</v>
      </c>
      <c r="E902" s="32"/>
      <c r="F902" s="33">
        <f t="shared" si="527"/>
        <v>1</v>
      </c>
      <c r="G902" s="25"/>
      <c r="H902" s="45"/>
      <c r="I902" s="26">
        <v>1</v>
      </c>
      <c r="J902" s="32"/>
      <c r="K902" s="33">
        <f t="shared" si="528"/>
        <v>1</v>
      </c>
      <c r="L902" s="11">
        <f t="shared" si="529"/>
        <v>2</v>
      </c>
      <c r="M902" s="85">
        <v>45916</v>
      </c>
      <c r="N902" s="50"/>
      <c r="O902" s="25"/>
      <c r="P902" s="45"/>
      <c r="Q902" s="26"/>
      <c r="R902" s="32"/>
      <c r="S902" s="33">
        <f t="shared" si="535"/>
        <v>0</v>
      </c>
      <c r="T902" s="25"/>
      <c r="U902" s="45"/>
      <c r="V902" s="26"/>
      <c r="W902" s="32"/>
      <c r="X902" s="33">
        <f t="shared" si="536"/>
        <v>0</v>
      </c>
      <c r="Y902" s="11">
        <f t="shared" si="520"/>
        <v>0</v>
      </c>
    </row>
    <row r="903" spans="1:26" x14ac:dyDescent="0.15">
      <c r="A903" s="70"/>
      <c r="B903" s="25"/>
      <c r="C903" s="45"/>
      <c r="D903" s="26"/>
      <c r="E903" s="32"/>
      <c r="F903" s="33">
        <f t="shared" ref="F903" si="537">SUM(B903:E903)</f>
        <v>0</v>
      </c>
      <c r="G903" s="25"/>
      <c r="H903" s="45"/>
      <c r="I903" s="26"/>
      <c r="J903" s="32"/>
      <c r="K903" s="33">
        <f t="shared" ref="K903" si="538">SUM(G903:J903)</f>
        <v>0</v>
      </c>
      <c r="L903" s="11">
        <f t="shared" ref="L903" si="539">F903+K903</f>
        <v>0</v>
      </c>
      <c r="M903" s="85"/>
      <c r="N903" s="12"/>
      <c r="O903" s="25"/>
      <c r="P903" s="45"/>
      <c r="Q903" s="26"/>
      <c r="R903" s="32"/>
      <c r="S903" s="33">
        <f t="shared" si="535"/>
        <v>0</v>
      </c>
      <c r="T903" s="25"/>
      <c r="U903" s="45"/>
      <c r="V903" s="26"/>
      <c r="W903" s="32"/>
      <c r="X903" s="33">
        <f t="shared" si="536"/>
        <v>0</v>
      </c>
      <c r="Y903" s="93">
        <f t="shared" si="520"/>
        <v>0</v>
      </c>
    </row>
    <row r="904" spans="1:26" x14ac:dyDescent="0.15">
      <c r="A904" s="70"/>
      <c r="B904" s="25"/>
      <c r="C904" s="45"/>
      <c r="D904" s="26"/>
      <c r="E904" s="32"/>
      <c r="F904" s="33">
        <f t="shared" si="527"/>
        <v>0</v>
      </c>
      <c r="G904" s="25"/>
      <c r="H904" s="45"/>
      <c r="I904" s="26"/>
      <c r="J904" s="32"/>
      <c r="K904" s="33">
        <f t="shared" si="528"/>
        <v>0</v>
      </c>
      <c r="L904" s="11">
        <f t="shared" si="529"/>
        <v>0</v>
      </c>
      <c r="M904" s="85"/>
      <c r="N904" s="12"/>
      <c r="O904" s="25"/>
      <c r="P904" s="45"/>
      <c r="Q904" s="26"/>
      <c r="R904" s="32"/>
      <c r="S904" s="33">
        <f t="shared" si="535"/>
        <v>0</v>
      </c>
      <c r="T904" s="25"/>
      <c r="U904" s="45"/>
      <c r="V904" s="26"/>
      <c r="W904" s="32"/>
      <c r="X904" s="33">
        <f t="shared" si="536"/>
        <v>0</v>
      </c>
      <c r="Y904" s="93">
        <f t="shared" si="520"/>
        <v>0</v>
      </c>
    </row>
    <row r="905" spans="1:26" x14ac:dyDescent="0.15">
      <c r="A905" s="70"/>
      <c r="B905" s="25"/>
      <c r="C905" s="45"/>
      <c r="D905" s="26"/>
      <c r="E905" s="32"/>
      <c r="F905" s="33">
        <f t="shared" ref="F905:F908" si="540">SUM(B905:E905)</f>
        <v>0</v>
      </c>
      <c r="G905" s="25"/>
      <c r="H905" s="45"/>
      <c r="I905" s="26"/>
      <c r="J905" s="32"/>
      <c r="K905" s="33">
        <f t="shared" ref="K905:K908" si="541">SUM(G905:J905)</f>
        <v>0</v>
      </c>
      <c r="L905" s="11">
        <f t="shared" si="523"/>
        <v>0</v>
      </c>
      <c r="M905" s="85"/>
      <c r="N905" s="50" t="s">
        <v>480</v>
      </c>
      <c r="O905" s="59"/>
      <c r="P905" s="60"/>
      <c r="Q905" s="61"/>
      <c r="R905" s="62"/>
      <c r="S905" s="63">
        <f t="shared" ref="S905:S907" si="542">SUM(O905:R905)</f>
        <v>0</v>
      </c>
      <c r="T905" s="59"/>
      <c r="U905" s="60"/>
      <c r="V905" s="61"/>
      <c r="W905" s="62"/>
      <c r="X905" s="63">
        <f t="shared" ref="X905:X907" si="543">SUM(T905:W905)</f>
        <v>0</v>
      </c>
      <c r="Y905" s="11">
        <f t="shared" ref="Y905:Y907" si="544">S905+X905</f>
        <v>0</v>
      </c>
      <c r="Z905" s="159" t="s">
        <v>481</v>
      </c>
    </row>
    <row r="906" spans="1:26" x14ac:dyDescent="0.15">
      <c r="A906" s="70"/>
      <c r="B906" s="25"/>
      <c r="C906" s="45"/>
      <c r="D906" s="26"/>
      <c r="E906" s="32"/>
      <c r="F906" s="33">
        <f t="shared" si="540"/>
        <v>0</v>
      </c>
      <c r="G906" s="25"/>
      <c r="H906" s="45"/>
      <c r="I906" s="26"/>
      <c r="J906" s="32"/>
      <c r="K906" s="33">
        <f t="shared" si="541"/>
        <v>0</v>
      </c>
      <c r="L906" s="11">
        <f t="shared" si="523"/>
        <v>0</v>
      </c>
      <c r="M906" s="85"/>
      <c r="N906" s="96" t="s">
        <v>478</v>
      </c>
      <c r="O906" s="103"/>
      <c r="P906" s="104"/>
      <c r="Q906" s="105"/>
      <c r="R906" s="180"/>
      <c r="S906" s="135">
        <f t="shared" si="542"/>
        <v>0</v>
      </c>
      <c r="T906" s="103"/>
      <c r="U906" s="104"/>
      <c r="V906" s="105"/>
      <c r="W906" s="180"/>
      <c r="X906" s="135">
        <f t="shared" si="543"/>
        <v>0</v>
      </c>
      <c r="Y906" s="102">
        <f t="shared" si="544"/>
        <v>0</v>
      </c>
      <c r="Z906" s="159"/>
    </row>
    <row r="907" spans="1:26" x14ac:dyDescent="0.15">
      <c r="A907" s="70"/>
      <c r="B907" s="25"/>
      <c r="C907" s="45"/>
      <c r="D907" s="26"/>
      <c r="E907" s="32"/>
      <c r="F907" s="33">
        <f t="shared" si="540"/>
        <v>0</v>
      </c>
      <c r="G907" s="25"/>
      <c r="H907" s="45"/>
      <c r="I907" s="26"/>
      <c r="J907" s="32"/>
      <c r="K907" s="33">
        <f t="shared" si="541"/>
        <v>0</v>
      </c>
      <c r="L907" s="93">
        <f t="shared" si="523"/>
        <v>0</v>
      </c>
      <c r="M907" s="85"/>
      <c r="N907" s="12" t="s">
        <v>477</v>
      </c>
      <c r="O907" s="25"/>
      <c r="P907" s="45"/>
      <c r="Q907" s="26"/>
      <c r="R907" s="173"/>
      <c r="S907" s="33">
        <f t="shared" si="542"/>
        <v>0</v>
      </c>
      <c r="T907" s="25"/>
      <c r="U907" s="45"/>
      <c r="V907" s="26"/>
      <c r="W907" s="173"/>
      <c r="X907" s="33">
        <f t="shared" si="543"/>
        <v>0</v>
      </c>
      <c r="Y907" s="93">
        <f t="shared" si="544"/>
        <v>0</v>
      </c>
      <c r="Z907" s="159" t="s">
        <v>484</v>
      </c>
    </row>
    <row r="908" spans="1:26" ht="14.25" thickBot="1" x14ac:dyDescent="0.2">
      <c r="A908" s="158"/>
      <c r="B908" s="55"/>
      <c r="C908" s="56"/>
      <c r="D908" s="57"/>
      <c r="E908" s="58"/>
      <c r="F908" s="109">
        <f t="shared" si="540"/>
        <v>0</v>
      </c>
      <c r="G908" s="55"/>
      <c r="H908" s="56"/>
      <c r="I908" s="57"/>
      <c r="J908" s="58"/>
      <c r="K908" s="109">
        <f t="shared" si="541"/>
        <v>0</v>
      </c>
      <c r="L908" s="75">
        <f t="shared" si="523"/>
        <v>0</v>
      </c>
      <c r="M908" s="159"/>
      <c r="N908" s="140" t="s">
        <v>485</v>
      </c>
      <c r="O908" s="141"/>
      <c r="P908" s="142"/>
      <c r="Q908" s="143"/>
      <c r="R908" s="144"/>
      <c r="S908" s="145">
        <f t="shared" si="535"/>
        <v>0</v>
      </c>
      <c r="T908" s="141"/>
      <c r="U908" s="142"/>
      <c r="V908" s="143"/>
      <c r="W908" s="144"/>
      <c r="X908" s="145">
        <f t="shared" si="536"/>
        <v>0</v>
      </c>
      <c r="Y908" s="75">
        <f t="shared" si="520"/>
        <v>0</v>
      </c>
      <c r="Z908" s="159" t="s">
        <v>486</v>
      </c>
    </row>
    <row r="909" spans="1:26" ht="14.25" thickBot="1" x14ac:dyDescent="0.2">
      <c r="A909" s="72" t="s">
        <v>10</v>
      </c>
      <c r="B909" s="36">
        <f>SUM(B884:B908)</f>
        <v>4</v>
      </c>
      <c r="C909" s="46">
        <f>SUM(C884:C908)</f>
        <v>6</v>
      </c>
      <c r="D909" s="37">
        <f>SUM(D884:D908)</f>
        <v>5</v>
      </c>
      <c r="E909" s="38">
        <f>SUM(E884:E908)</f>
        <v>1</v>
      </c>
      <c r="F909" s="71">
        <f>SUM(B909:E909)</f>
        <v>16</v>
      </c>
      <c r="G909" s="36">
        <f>SUM(G884:G908)</f>
        <v>1</v>
      </c>
      <c r="H909" s="46">
        <f>SUM(H884:H908)</f>
        <v>6</v>
      </c>
      <c r="I909" s="37">
        <f>SUM(I884:I908)</f>
        <v>4</v>
      </c>
      <c r="J909" s="38">
        <f>SUM(J884:J908)</f>
        <v>3</v>
      </c>
      <c r="K909" s="71">
        <f>SUM(G909:J909)</f>
        <v>14</v>
      </c>
      <c r="L909" s="75">
        <f t="shared" si="523"/>
        <v>30</v>
      </c>
      <c r="N909" s="72" t="s">
        <v>10</v>
      </c>
      <c r="O909" s="36">
        <f>SUM(O884:O908)</f>
        <v>43</v>
      </c>
      <c r="P909" s="46">
        <f>SUM(P884:P908)</f>
        <v>63</v>
      </c>
      <c r="Q909" s="37">
        <f>SUM(Q884:Q908)</f>
        <v>64</v>
      </c>
      <c r="R909" s="38">
        <f>SUM(R884:R908)</f>
        <v>15</v>
      </c>
      <c r="S909" s="71">
        <f t="shared" si="535"/>
        <v>185</v>
      </c>
      <c r="T909" s="36">
        <f>SUM(T884:T908)</f>
        <v>37</v>
      </c>
      <c r="U909" s="46">
        <f>SUM(U884:U908)</f>
        <v>55</v>
      </c>
      <c r="V909" s="37">
        <f>SUM(V884:V908)</f>
        <v>47</v>
      </c>
      <c r="W909" s="38">
        <f>SUM(W884:W908)</f>
        <v>12</v>
      </c>
      <c r="X909" s="71">
        <f t="shared" si="536"/>
        <v>151</v>
      </c>
      <c r="Y909" s="75">
        <f t="shared" si="520"/>
        <v>336</v>
      </c>
    </row>
    <row r="910" spans="1:26" ht="14.25" thickBot="1" x14ac:dyDescent="0.2">
      <c r="A910" s="21" t="s">
        <v>11</v>
      </c>
      <c r="B910" s="39">
        <f t="shared" ref="B910:K910" si="545">B883-B909</f>
        <v>4</v>
      </c>
      <c r="C910" s="47">
        <f t="shared" si="545"/>
        <v>4</v>
      </c>
      <c r="D910" s="40">
        <f t="shared" si="545"/>
        <v>2</v>
      </c>
      <c r="E910" s="41">
        <f t="shared" si="545"/>
        <v>6</v>
      </c>
      <c r="F910" s="54">
        <f t="shared" si="545"/>
        <v>16</v>
      </c>
      <c r="G910" s="39">
        <f t="shared" si="545"/>
        <v>3</v>
      </c>
      <c r="H910" s="47">
        <f t="shared" si="545"/>
        <v>4</v>
      </c>
      <c r="I910" s="40">
        <f t="shared" si="545"/>
        <v>2</v>
      </c>
      <c r="J910" s="41">
        <f t="shared" si="545"/>
        <v>4</v>
      </c>
      <c r="K910" s="54">
        <f t="shared" si="545"/>
        <v>13</v>
      </c>
      <c r="L910" s="20">
        <f t="shared" si="523"/>
        <v>29</v>
      </c>
      <c r="N910" s="16" t="s">
        <v>11</v>
      </c>
      <c r="O910" s="39">
        <f t="shared" ref="O910:X910" si="546">O883-O909</f>
        <v>360</v>
      </c>
      <c r="P910" s="47">
        <f t="shared" si="546"/>
        <v>287</v>
      </c>
      <c r="Q910" s="40">
        <f t="shared" si="546"/>
        <v>187</v>
      </c>
      <c r="R910" s="41">
        <f t="shared" si="546"/>
        <v>209</v>
      </c>
      <c r="S910" s="54">
        <f t="shared" si="546"/>
        <v>1043</v>
      </c>
      <c r="T910" s="39">
        <f t="shared" si="546"/>
        <v>284</v>
      </c>
      <c r="U910" s="47">
        <f t="shared" si="546"/>
        <v>303</v>
      </c>
      <c r="V910" s="40">
        <f t="shared" si="546"/>
        <v>256</v>
      </c>
      <c r="W910" s="41">
        <f t="shared" si="546"/>
        <v>153</v>
      </c>
      <c r="X910" s="54">
        <f t="shared" si="546"/>
        <v>996</v>
      </c>
      <c r="Y910" s="20">
        <f t="shared" si="520"/>
        <v>2039</v>
      </c>
    </row>
    <row r="911" spans="1:26" x14ac:dyDescent="0.15">
      <c r="N911" s="168" t="s">
        <v>497</v>
      </c>
      <c r="O911" s="169">
        <f>O909+O871+O833+O795+O757+O719+O681+O643+O605+O567+O529+O491+O453+O415+O379</f>
        <v>849</v>
      </c>
      <c r="P911" s="169">
        <f t="shared" ref="P911:Y911" si="547">P909+P871+P833+P795+P757+P719+P681+P643+P605+P567+P529+P491+P453+P415+P379</f>
        <v>1227</v>
      </c>
      <c r="Q911" s="169">
        <f t="shared" si="547"/>
        <v>845</v>
      </c>
      <c r="R911" s="169">
        <f t="shared" si="547"/>
        <v>745</v>
      </c>
      <c r="S911" s="169">
        <f t="shared" si="547"/>
        <v>3666</v>
      </c>
      <c r="T911" s="169">
        <f t="shared" si="547"/>
        <v>743</v>
      </c>
      <c r="U911" s="169">
        <f t="shared" si="547"/>
        <v>1075</v>
      </c>
      <c r="V911" s="169">
        <f t="shared" si="547"/>
        <v>720</v>
      </c>
      <c r="W911" s="169">
        <f t="shared" si="547"/>
        <v>652</v>
      </c>
      <c r="X911" s="169">
        <f t="shared" si="547"/>
        <v>3190</v>
      </c>
      <c r="Y911" s="169">
        <f t="shared" si="547"/>
        <v>6856</v>
      </c>
    </row>
    <row r="912" spans="1:26" x14ac:dyDescent="0.15">
      <c r="N912" s="171" t="s">
        <v>498</v>
      </c>
      <c r="O912" s="118">
        <f>O911/$S$911*100</f>
        <v>23.158756137479543</v>
      </c>
      <c r="P912" s="118">
        <f t="shared" ref="P912:S912" si="548">P911/$S$911*100</f>
        <v>33.469721767594109</v>
      </c>
      <c r="Q912" s="118">
        <f t="shared" si="548"/>
        <v>23.049645390070921</v>
      </c>
      <c r="R912" s="118">
        <f t="shared" si="548"/>
        <v>20.321876704855431</v>
      </c>
      <c r="S912" s="118">
        <f t="shared" si="548"/>
        <v>100</v>
      </c>
      <c r="T912" s="118">
        <f>T911/$X$911*100</f>
        <v>23.29153605015674</v>
      </c>
      <c r="U912" s="118">
        <f t="shared" ref="U912:X912" si="549">U911/$X$911*100</f>
        <v>33.699059561128522</v>
      </c>
      <c r="V912" s="118">
        <f t="shared" si="549"/>
        <v>22.570532915360502</v>
      </c>
      <c r="W912" s="118">
        <f t="shared" si="549"/>
        <v>20.438871473354229</v>
      </c>
      <c r="X912" s="118">
        <f t="shared" si="549"/>
        <v>100</v>
      </c>
    </row>
    <row r="913" spans="1:26" ht="19.5" thickBot="1" x14ac:dyDescent="0.25">
      <c r="A913" s="2" t="s">
        <v>26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27</v>
      </c>
      <c r="O913" s="2"/>
      <c r="P913" s="1"/>
      <c r="Q913" s="1"/>
      <c r="R913" s="1"/>
      <c r="S913" s="170">
        <f>S911/Y911*100</f>
        <v>53.471411901983664</v>
      </c>
      <c r="T913" s="1"/>
      <c r="U913" s="1"/>
      <c r="V913" s="1"/>
      <c r="W913" s="1"/>
      <c r="X913" s="170">
        <f>X911/Y911*100</f>
        <v>46.528588098016336</v>
      </c>
      <c r="Y913" s="1"/>
    </row>
    <row r="914" spans="1:26" ht="14.25" thickBot="1" x14ac:dyDescent="0.2">
      <c r="A914" s="5" t="s">
        <v>0</v>
      </c>
      <c r="B914" s="228" t="s">
        <v>19</v>
      </c>
      <c r="C914" s="229"/>
      <c r="D914" s="229"/>
      <c r="E914" s="229"/>
      <c r="F914" s="230"/>
      <c r="G914" s="231" t="s">
        <v>18</v>
      </c>
      <c r="H914" s="232"/>
      <c r="I914" s="232"/>
      <c r="J914" s="232"/>
      <c r="K914" s="233"/>
      <c r="L914" s="73" t="s">
        <v>1</v>
      </c>
      <c r="N914" s="5" t="s">
        <v>0</v>
      </c>
      <c r="O914" s="228" t="s">
        <v>19</v>
      </c>
      <c r="P914" s="229"/>
      <c r="Q914" s="229"/>
      <c r="R914" s="229"/>
      <c r="S914" s="230"/>
      <c r="T914" s="231" t="s">
        <v>18</v>
      </c>
      <c r="U914" s="232"/>
      <c r="V914" s="232"/>
      <c r="W914" s="232"/>
      <c r="X914" s="233"/>
      <c r="Y914" s="73" t="s">
        <v>1</v>
      </c>
    </row>
    <row r="915" spans="1:26" ht="14.25" thickBot="1" x14ac:dyDescent="0.2">
      <c r="A915" s="5" t="s">
        <v>2</v>
      </c>
      <c r="B915" s="3" t="s">
        <v>12</v>
      </c>
      <c r="C915" s="42" t="s">
        <v>13</v>
      </c>
      <c r="D915" s="4" t="s">
        <v>14</v>
      </c>
      <c r="E915" s="22" t="s">
        <v>15</v>
      </c>
      <c r="F915" s="30" t="s">
        <v>3</v>
      </c>
      <c r="G915" s="3" t="s">
        <v>12</v>
      </c>
      <c r="H915" s="42" t="s">
        <v>13</v>
      </c>
      <c r="I915" s="4" t="s">
        <v>14</v>
      </c>
      <c r="J915" s="22" t="s">
        <v>15</v>
      </c>
      <c r="K915" s="30" t="s">
        <v>3</v>
      </c>
      <c r="L915" s="74"/>
      <c r="N915" s="5" t="s">
        <v>2</v>
      </c>
      <c r="O915" s="64" t="s">
        <v>12</v>
      </c>
      <c r="P915" s="65" t="s">
        <v>13</v>
      </c>
      <c r="Q915" s="66" t="s">
        <v>14</v>
      </c>
      <c r="R915" s="67" t="s">
        <v>15</v>
      </c>
      <c r="S915" s="30" t="s">
        <v>3</v>
      </c>
      <c r="T915" s="3" t="s">
        <v>12</v>
      </c>
      <c r="U915" s="42" t="s">
        <v>13</v>
      </c>
      <c r="V915" s="4" t="s">
        <v>14</v>
      </c>
      <c r="W915" s="22" t="s">
        <v>15</v>
      </c>
      <c r="X915" s="30" t="s">
        <v>3</v>
      </c>
      <c r="Y915" s="74"/>
    </row>
    <row r="916" spans="1:26" ht="14.25" thickBot="1" x14ac:dyDescent="0.2">
      <c r="A916" s="21" t="s">
        <v>16</v>
      </c>
      <c r="B916" s="39">
        <f>B910</f>
        <v>4</v>
      </c>
      <c r="C916" s="40">
        <f>C910</f>
        <v>4</v>
      </c>
      <c r="D916" s="40">
        <f>D910</f>
        <v>2</v>
      </c>
      <c r="E916" s="41">
        <f>E910</f>
        <v>6</v>
      </c>
      <c r="F916" s="122">
        <f>SUM(B916:E916)</f>
        <v>16</v>
      </c>
      <c r="G916" s="39">
        <f>G910</f>
        <v>3</v>
      </c>
      <c r="H916" s="40">
        <f>H910</f>
        <v>4</v>
      </c>
      <c r="I916" s="40">
        <f>I910</f>
        <v>2</v>
      </c>
      <c r="J916" s="41">
        <f>J910</f>
        <v>4</v>
      </c>
      <c r="K916" s="123">
        <f>SUM(G916:J916)</f>
        <v>13</v>
      </c>
      <c r="L916" s="20">
        <f>F916+K916</f>
        <v>29</v>
      </c>
      <c r="N916" s="21" t="s">
        <v>16</v>
      </c>
      <c r="O916" s="39">
        <f>O910</f>
        <v>360</v>
      </c>
      <c r="P916" s="40">
        <f>P910</f>
        <v>287</v>
      </c>
      <c r="Q916" s="40">
        <f t="shared" ref="Q916:R916" si="550">Q910</f>
        <v>187</v>
      </c>
      <c r="R916" s="88">
        <f t="shared" si="550"/>
        <v>209</v>
      </c>
      <c r="S916" s="123">
        <f>SUM(O916:R916)</f>
        <v>1043</v>
      </c>
      <c r="T916" s="39">
        <f>T910</f>
        <v>284</v>
      </c>
      <c r="U916" s="40">
        <f>U910</f>
        <v>303</v>
      </c>
      <c r="V916" s="40">
        <f>V910</f>
        <v>256</v>
      </c>
      <c r="W916" s="41">
        <f>W910</f>
        <v>153</v>
      </c>
      <c r="X916" s="123">
        <f>SUM(T916:W916)</f>
        <v>996</v>
      </c>
      <c r="Y916" s="20">
        <f t="shared" ref="Y916:Y948" si="551">S916+X916</f>
        <v>2039</v>
      </c>
    </row>
    <row r="917" spans="1:26" x14ac:dyDescent="0.15">
      <c r="A917" s="181" t="s">
        <v>5</v>
      </c>
      <c r="B917" s="182"/>
      <c r="C917" s="183"/>
      <c r="D917" s="184">
        <v>5</v>
      </c>
      <c r="E917" s="185"/>
      <c r="F917" s="186">
        <f t="shared" ref="F917" si="552">SUM(B917:E917)</f>
        <v>5</v>
      </c>
      <c r="G917" s="183"/>
      <c r="H917" s="183"/>
      <c r="I917" s="184">
        <v>5</v>
      </c>
      <c r="J917" s="185"/>
      <c r="K917" s="186">
        <f t="shared" ref="K917" si="553">SUM(G917:J917)</f>
        <v>5</v>
      </c>
      <c r="L917" s="187">
        <f t="shared" ref="L917" si="554">F917+K917</f>
        <v>10</v>
      </c>
      <c r="M917" s="188">
        <v>45932</v>
      </c>
      <c r="N917" s="13" t="s">
        <v>163</v>
      </c>
      <c r="O917" s="25"/>
      <c r="P917" s="45"/>
      <c r="Q917" s="26"/>
      <c r="R917" s="32">
        <v>7</v>
      </c>
      <c r="S917" s="68">
        <f>SUM(O917:R917)</f>
        <v>7</v>
      </c>
      <c r="T917" s="45"/>
      <c r="U917" s="45"/>
      <c r="V917" s="26"/>
      <c r="W917" s="48">
        <v>7</v>
      </c>
      <c r="X917" s="9">
        <f>SUM(T917:W917)</f>
        <v>7</v>
      </c>
      <c r="Y917" s="11">
        <f t="shared" si="551"/>
        <v>14</v>
      </c>
      <c r="Z917" s="85">
        <v>45947</v>
      </c>
    </row>
    <row r="918" spans="1:26" x14ac:dyDescent="0.15">
      <c r="A918" s="181" t="s">
        <v>6</v>
      </c>
      <c r="B918" s="182"/>
      <c r="C918" s="183">
        <v>3</v>
      </c>
      <c r="D918" s="184"/>
      <c r="E918" s="185"/>
      <c r="F918" s="186">
        <f t="shared" ref="F918:F920" si="555">SUM(B918:E918)</f>
        <v>3</v>
      </c>
      <c r="G918" s="183"/>
      <c r="H918" s="183">
        <v>3</v>
      </c>
      <c r="I918" s="184"/>
      <c r="J918" s="185">
        <v>3</v>
      </c>
      <c r="K918" s="186">
        <f t="shared" ref="K918:K920" si="556">SUM(G918:J918)</f>
        <v>6</v>
      </c>
      <c r="L918" s="187">
        <f t="shared" ref="L918:L948" si="557">F918+K918</f>
        <v>9</v>
      </c>
      <c r="M918" s="188">
        <v>45938</v>
      </c>
      <c r="N918" s="13" t="s">
        <v>5</v>
      </c>
      <c r="O918" s="25"/>
      <c r="P918" s="45"/>
      <c r="Q918" s="26"/>
      <c r="R918" s="32"/>
      <c r="S918" s="68">
        <f>SUM(O918:R918)</f>
        <v>0</v>
      </c>
      <c r="T918" s="45"/>
      <c r="U918" s="45"/>
      <c r="V918" s="26"/>
      <c r="W918" s="48"/>
      <c r="X918" s="9">
        <f>SUM(T918:W918)</f>
        <v>0</v>
      </c>
      <c r="Y918" s="11">
        <f t="shared" si="551"/>
        <v>0</v>
      </c>
    </row>
    <row r="919" spans="1:26" x14ac:dyDescent="0.15">
      <c r="A919" s="70" t="s">
        <v>7</v>
      </c>
      <c r="B919" s="6">
        <v>5</v>
      </c>
      <c r="C919" s="29"/>
      <c r="D919" s="7"/>
      <c r="E919" s="8"/>
      <c r="F919" s="9">
        <f t="shared" si="555"/>
        <v>5</v>
      </c>
      <c r="G919" s="29">
        <v>5</v>
      </c>
      <c r="H919" s="29"/>
      <c r="I919" s="7"/>
      <c r="J919" s="8"/>
      <c r="K919" s="9">
        <f t="shared" si="556"/>
        <v>5</v>
      </c>
      <c r="L919" s="11">
        <f t="shared" si="557"/>
        <v>10</v>
      </c>
      <c r="M919" s="85">
        <v>45947</v>
      </c>
      <c r="N919" s="13" t="s">
        <v>6</v>
      </c>
      <c r="O919" s="25"/>
      <c r="P919" s="45"/>
      <c r="Q919" s="26"/>
      <c r="R919" s="32"/>
      <c r="S919" s="68">
        <f>SUM(O919:R919)</f>
        <v>0</v>
      </c>
      <c r="T919" s="45"/>
      <c r="U919" s="45"/>
      <c r="V919" s="26"/>
      <c r="W919" s="48"/>
      <c r="X919" s="9">
        <f>SUM(T919:W919)</f>
        <v>0</v>
      </c>
      <c r="Y919" s="11">
        <f t="shared" si="551"/>
        <v>0</v>
      </c>
    </row>
    <row r="920" spans="1:26" ht="14.25" thickBot="1" x14ac:dyDescent="0.2">
      <c r="A920" s="70" t="s">
        <v>8</v>
      </c>
      <c r="B920" s="125">
        <v>3</v>
      </c>
      <c r="C920" s="126">
        <v>3</v>
      </c>
      <c r="D920" s="127">
        <v>5</v>
      </c>
      <c r="E920" s="128">
        <v>3</v>
      </c>
      <c r="F920" s="129">
        <f t="shared" si="555"/>
        <v>14</v>
      </c>
      <c r="G920" s="126"/>
      <c r="H920" s="126">
        <v>3</v>
      </c>
      <c r="I920" s="127"/>
      <c r="J920" s="128"/>
      <c r="K920" s="129">
        <f t="shared" si="556"/>
        <v>3</v>
      </c>
      <c r="L920" s="14">
        <f t="shared" si="557"/>
        <v>17</v>
      </c>
      <c r="M920" s="85">
        <v>45971</v>
      </c>
      <c r="N920" s="13" t="s">
        <v>7</v>
      </c>
      <c r="O920" s="55"/>
      <c r="P920" s="56"/>
      <c r="Q920" s="57"/>
      <c r="R920" s="58"/>
      <c r="S920" s="69">
        <f>SUM(O920:R920)</f>
        <v>0</v>
      </c>
      <c r="T920" s="45"/>
      <c r="U920" s="45"/>
      <c r="V920" s="26"/>
      <c r="W920" s="48"/>
      <c r="X920" s="10">
        <f>SUM(T920:W920)</f>
        <v>0</v>
      </c>
      <c r="Y920" s="14">
        <f t="shared" si="551"/>
        <v>0</v>
      </c>
    </row>
    <row r="921" spans="1:26" ht="14.25" thickBot="1" x14ac:dyDescent="0.2">
      <c r="A921" s="21" t="s">
        <v>9</v>
      </c>
      <c r="B921" s="130">
        <f t="shared" ref="B921:K921" si="558">SUM(B916:B920)</f>
        <v>12</v>
      </c>
      <c r="C921" s="131">
        <f t="shared" si="558"/>
        <v>10</v>
      </c>
      <c r="D921" s="132">
        <f t="shared" si="558"/>
        <v>12</v>
      </c>
      <c r="E921" s="133">
        <f t="shared" si="558"/>
        <v>9</v>
      </c>
      <c r="F921" s="123">
        <f t="shared" si="558"/>
        <v>43</v>
      </c>
      <c r="G921" s="130">
        <f t="shared" si="558"/>
        <v>8</v>
      </c>
      <c r="H921" s="131">
        <f t="shared" si="558"/>
        <v>10</v>
      </c>
      <c r="I921" s="132">
        <f t="shared" si="558"/>
        <v>7</v>
      </c>
      <c r="J921" s="133">
        <f t="shared" si="558"/>
        <v>7</v>
      </c>
      <c r="K921" s="123">
        <f t="shared" si="558"/>
        <v>32</v>
      </c>
      <c r="L921" s="20">
        <f t="shared" si="557"/>
        <v>75</v>
      </c>
      <c r="N921" s="16" t="s">
        <v>9</v>
      </c>
      <c r="O921" s="39">
        <f t="shared" ref="O921:X921" si="559">SUM(O916:O920)</f>
        <v>360</v>
      </c>
      <c r="P921" s="47">
        <f t="shared" si="559"/>
        <v>287</v>
      </c>
      <c r="Q921" s="40">
        <f t="shared" si="559"/>
        <v>187</v>
      </c>
      <c r="R921" s="88">
        <f t="shared" si="559"/>
        <v>216</v>
      </c>
      <c r="S921" s="89">
        <f t="shared" si="559"/>
        <v>1050</v>
      </c>
      <c r="T921" s="39">
        <f t="shared" si="559"/>
        <v>284</v>
      </c>
      <c r="U921" s="47">
        <f t="shared" si="559"/>
        <v>303</v>
      </c>
      <c r="V921" s="40">
        <f t="shared" si="559"/>
        <v>256</v>
      </c>
      <c r="W921" s="88">
        <f t="shared" si="559"/>
        <v>160</v>
      </c>
      <c r="X921" s="89">
        <f t="shared" si="559"/>
        <v>1003</v>
      </c>
      <c r="Y921" s="49">
        <f t="shared" si="551"/>
        <v>2053</v>
      </c>
    </row>
    <row r="922" spans="1:26" x14ac:dyDescent="0.15">
      <c r="A922" s="70" t="s">
        <v>30</v>
      </c>
      <c r="B922" s="25">
        <v>1</v>
      </c>
      <c r="C922" s="45"/>
      <c r="D922" s="26">
        <v>1</v>
      </c>
      <c r="E922" s="32">
        <v>1</v>
      </c>
      <c r="F922" s="33">
        <f t="shared" ref="F922:F925" si="560">SUM(B922:E922)</f>
        <v>3</v>
      </c>
      <c r="G922" s="25"/>
      <c r="H922" s="45">
        <v>1</v>
      </c>
      <c r="I922" s="26"/>
      <c r="J922" s="32"/>
      <c r="K922" s="33">
        <f t="shared" ref="K922:K925" si="561">SUM(G922:J922)</f>
        <v>1</v>
      </c>
      <c r="L922" s="11">
        <f t="shared" ref="L922:L925" si="562">F922+K922</f>
        <v>4</v>
      </c>
      <c r="M922" s="85">
        <v>45936</v>
      </c>
      <c r="N922" s="73" t="s">
        <v>506</v>
      </c>
      <c r="O922" s="25"/>
      <c r="P922" s="45"/>
      <c r="Q922" s="26"/>
      <c r="R922" s="32"/>
      <c r="S922" s="33">
        <f t="shared" ref="S922:S947" si="563">SUM(O922:R922)</f>
        <v>0</v>
      </c>
      <c r="T922" s="25"/>
      <c r="U922" s="45">
        <v>10</v>
      </c>
      <c r="V922" s="26">
        <v>10</v>
      </c>
      <c r="W922" s="32"/>
      <c r="X922" s="33">
        <f t="shared" ref="X922:X947" si="564">SUM(T922:W922)</f>
        <v>20</v>
      </c>
      <c r="Y922" s="11">
        <f t="shared" si="551"/>
        <v>20</v>
      </c>
      <c r="Z922" s="85">
        <v>45932</v>
      </c>
    </row>
    <row r="923" spans="1:26" x14ac:dyDescent="0.15">
      <c r="A923" s="70" t="s">
        <v>30</v>
      </c>
      <c r="B923" s="25">
        <v>2</v>
      </c>
      <c r="C923" s="45"/>
      <c r="D923" s="26"/>
      <c r="E923" s="32"/>
      <c r="F923" s="33">
        <f t="shared" ref="F923" si="565">SUM(B923:E923)</f>
        <v>2</v>
      </c>
      <c r="G923" s="25"/>
      <c r="H923" s="45"/>
      <c r="I923" s="26"/>
      <c r="J923" s="32"/>
      <c r="K923" s="33">
        <f t="shared" ref="K923" si="566">SUM(G923:J923)</f>
        <v>0</v>
      </c>
      <c r="L923" s="11">
        <f t="shared" ref="L923" si="567">F923+K923</f>
        <v>2</v>
      </c>
      <c r="M923" s="85">
        <v>45937</v>
      </c>
      <c r="N923" s="50" t="s">
        <v>507</v>
      </c>
      <c r="O923" s="25"/>
      <c r="P923" s="45"/>
      <c r="Q923" s="26">
        <v>5</v>
      </c>
      <c r="R923" s="32"/>
      <c r="S923" s="33">
        <f t="shared" ref="S923" si="568">SUM(O923:R923)</f>
        <v>5</v>
      </c>
      <c r="T923" s="25"/>
      <c r="U923" s="45"/>
      <c r="V923" s="26">
        <v>5</v>
      </c>
      <c r="W923" s="32"/>
      <c r="X923" s="33">
        <f t="shared" ref="X923" si="569">SUM(T923:W923)</f>
        <v>5</v>
      </c>
      <c r="Y923" s="11">
        <f t="shared" ref="Y923" si="570">S923+X923</f>
        <v>10</v>
      </c>
      <c r="Z923" s="85">
        <v>45932</v>
      </c>
    </row>
    <row r="924" spans="1:26" x14ac:dyDescent="0.15">
      <c r="A924" s="70" t="s">
        <v>30</v>
      </c>
      <c r="B924" s="25"/>
      <c r="C924" s="45"/>
      <c r="D924" s="26"/>
      <c r="E924" s="32"/>
      <c r="F924" s="33">
        <f t="shared" si="560"/>
        <v>0</v>
      </c>
      <c r="G924" s="25"/>
      <c r="H924" s="45">
        <v>1</v>
      </c>
      <c r="I924" s="26"/>
      <c r="J924" s="32"/>
      <c r="K924" s="33">
        <f t="shared" si="561"/>
        <v>1</v>
      </c>
      <c r="L924" s="11">
        <f t="shared" si="562"/>
        <v>1</v>
      </c>
      <c r="M924" s="85">
        <v>45944</v>
      </c>
      <c r="N924" s="12" t="s">
        <v>494</v>
      </c>
      <c r="O924" s="25"/>
      <c r="P924" s="45"/>
      <c r="Q924" s="26">
        <v>5</v>
      </c>
      <c r="R924" s="32"/>
      <c r="S924" s="33">
        <f t="shared" si="563"/>
        <v>5</v>
      </c>
      <c r="T924" s="25"/>
      <c r="U924" s="45"/>
      <c r="V924" s="26">
        <v>5</v>
      </c>
      <c r="W924" s="32"/>
      <c r="X924" s="33">
        <f t="shared" si="564"/>
        <v>5</v>
      </c>
      <c r="Y924" s="11">
        <f t="shared" si="551"/>
        <v>10</v>
      </c>
      <c r="Z924" s="85">
        <v>45940</v>
      </c>
    </row>
    <row r="925" spans="1:26" x14ac:dyDescent="0.15">
      <c r="A925" s="70" t="s">
        <v>30</v>
      </c>
      <c r="B925" s="25">
        <v>1</v>
      </c>
      <c r="C925" s="45"/>
      <c r="D925" s="26"/>
      <c r="E925" s="32"/>
      <c r="F925" s="33">
        <f t="shared" si="560"/>
        <v>1</v>
      </c>
      <c r="G925" s="25">
        <v>2</v>
      </c>
      <c r="H925" s="45"/>
      <c r="I925" s="26"/>
      <c r="J925" s="32"/>
      <c r="K925" s="33">
        <f t="shared" si="561"/>
        <v>2</v>
      </c>
      <c r="L925" s="11">
        <f t="shared" si="562"/>
        <v>3</v>
      </c>
      <c r="M925" s="85">
        <v>45945</v>
      </c>
      <c r="N925" s="189" t="s">
        <v>508</v>
      </c>
      <c r="O925" s="190"/>
      <c r="P925" s="191">
        <v>3</v>
      </c>
      <c r="Q925" s="192"/>
      <c r="R925" s="193"/>
      <c r="S925" s="194">
        <f t="shared" si="563"/>
        <v>3</v>
      </c>
      <c r="T925" s="190"/>
      <c r="U925" s="191">
        <v>3</v>
      </c>
      <c r="V925" s="192"/>
      <c r="W925" s="193">
        <v>3</v>
      </c>
      <c r="X925" s="194">
        <f t="shared" si="564"/>
        <v>6</v>
      </c>
      <c r="Y925" s="187">
        <f t="shared" si="551"/>
        <v>9</v>
      </c>
      <c r="Z925" s="188">
        <v>45938</v>
      </c>
    </row>
    <row r="926" spans="1:26" x14ac:dyDescent="0.15">
      <c r="A926" s="70" t="s">
        <v>30</v>
      </c>
      <c r="B926" s="25">
        <v>1</v>
      </c>
      <c r="C926" s="45"/>
      <c r="D926" s="26"/>
      <c r="E926" s="32">
        <v>1</v>
      </c>
      <c r="F926" s="33">
        <f t="shared" ref="F926:F945" si="571">SUM(B926:E926)</f>
        <v>2</v>
      </c>
      <c r="G926" s="25">
        <v>1</v>
      </c>
      <c r="H926" s="45"/>
      <c r="I926" s="26"/>
      <c r="J926" s="32">
        <v>1</v>
      </c>
      <c r="K926" s="33">
        <f t="shared" ref="K926:K945" si="572">SUM(G926:J926)</f>
        <v>2</v>
      </c>
      <c r="L926" s="11">
        <f t="shared" si="557"/>
        <v>4</v>
      </c>
      <c r="M926" s="85">
        <v>45946</v>
      </c>
      <c r="N926" s="50" t="s">
        <v>509</v>
      </c>
      <c r="O926" s="25"/>
      <c r="P926" s="45"/>
      <c r="Q926" s="26"/>
      <c r="R926" s="32"/>
      <c r="S926" s="33">
        <f t="shared" si="563"/>
        <v>0</v>
      </c>
      <c r="T926" s="25"/>
      <c r="U926" s="45">
        <v>5</v>
      </c>
      <c r="V926" s="26">
        <v>5</v>
      </c>
      <c r="W926" s="32"/>
      <c r="X926" s="33">
        <f t="shared" si="564"/>
        <v>10</v>
      </c>
      <c r="Y926" s="11">
        <f t="shared" si="551"/>
        <v>10</v>
      </c>
      <c r="Z926" s="85">
        <v>45946</v>
      </c>
    </row>
    <row r="927" spans="1:26" x14ac:dyDescent="0.15">
      <c r="A927" s="70" t="s">
        <v>30</v>
      </c>
      <c r="B927" s="25"/>
      <c r="C927" s="45"/>
      <c r="D927" s="26">
        <v>1</v>
      </c>
      <c r="E927" s="32"/>
      <c r="F927" s="33">
        <f t="shared" si="571"/>
        <v>1</v>
      </c>
      <c r="G927" s="25"/>
      <c r="H927" s="45"/>
      <c r="I927" s="26"/>
      <c r="J927" s="32"/>
      <c r="K927" s="33">
        <f t="shared" si="572"/>
        <v>0</v>
      </c>
      <c r="L927" s="11">
        <f t="shared" si="557"/>
        <v>1</v>
      </c>
      <c r="M927" s="85">
        <v>45947</v>
      </c>
      <c r="N927" s="50" t="s">
        <v>510</v>
      </c>
      <c r="O927" s="25"/>
      <c r="P927" s="45"/>
      <c r="Q927" s="26"/>
      <c r="R927" s="32"/>
      <c r="S927" s="33">
        <f t="shared" si="563"/>
        <v>0</v>
      </c>
      <c r="T927" s="25">
        <v>5</v>
      </c>
      <c r="U927" s="45"/>
      <c r="V927" s="26"/>
      <c r="W927" s="32"/>
      <c r="X927" s="33">
        <f t="shared" si="564"/>
        <v>5</v>
      </c>
      <c r="Y927" s="11">
        <f t="shared" si="551"/>
        <v>5</v>
      </c>
      <c r="Z927" s="85">
        <v>45947</v>
      </c>
    </row>
    <row r="928" spans="1:26" x14ac:dyDescent="0.15">
      <c r="A928" s="70" t="s">
        <v>30</v>
      </c>
      <c r="B928" s="25"/>
      <c r="C928" s="45"/>
      <c r="D928" s="26"/>
      <c r="E928" s="32">
        <v>1</v>
      </c>
      <c r="F928" s="33">
        <f t="shared" si="571"/>
        <v>1</v>
      </c>
      <c r="G928" s="25"/>
      <c r="H928" s="45"/>
      <c r="I928" s="26"/>
      <c r="J928" s="32"/>
      <c r="K928" s="33">
        <f t="shared" si="572"/>
        <v>0</v>
      </c>
      <c r="L928" s="11">
        <f t="shared" si="557"/>
        <v>1</v>
      </c>
      <c r="M928" s="85">
        <v>45950</v>
      </c>
      <c r="N928" s="50" t="s">
        <v>28</v>
      </c>
      <c r="O928" s="25">
        <v>5</v>
      </c>
      <c r="P928" s="45"/>
      <c r="Q928" s="26"/>
      <c r="R928" s="32"/>
      <c r="S928" s="33">
        <f t="shared" si="563"/>
        <v>5</v>
      </c>
      <c r="T928" s="25">
        <v>5</v>
      </c>
      <c r="U928" s="45"/>
      <c r="V928" s="26"/>
      <c r="W928" s="32"/>
      <c r="X928" s="33">
        <f t="shared" si="564"/>
        <v>5</v>
      </c>
      <c r="Y928" s="11">
        <f t="shared" si="551"/>
        <v>10</v>
      </c>
      <c r="Z928" s="85">
        <v>45947</v>
      </c>
    </row>
    <row r="929" spans="1:26" x14ac:dyDescent="0.15">
      <c r="A929" s="70" t="s">
        <v>514</v>
      </c>
      <c r="B929" s="25">
        <v>1</v>
      </c>
      <c r="C929" s="45"/>
      <c r="D929" s="26"/>
      <c r="E929" s="32"/>
      <c r="F929" s="33">
        <f t="shared" si="571"/>
        <v>1</v>
      </c>
      <c r="G929" s="25"/>
      <c r="H929" s="45"/>
      <c r="I929" s="26"/>
      <c r="J929" s="32"/>
      <c r="K929" s="33">
        <f t="shared" si="572"/>
        <v>0</v>
      </c>
      <c r="L929" s="11">
        <f t="shared" si="557"/>
        <v>1</v>
      </c>
      <c r="M929" s="85">
        <v>45955</v>
      </c>
      <c r="N929" s="50" t="s">
        <v>512</v>
      </c>
      <c r="O929" s="25">
        <v>5</v>
      </c>
      <c r="P929" s="45"/>
      <c r="Q929" s="26"/>
      <c r="R929" s="32"/>
      <c r="S929" s="33">
        <f t="shared" si="563"/>
        <v>5</v>
      </c>
      <c r="T929" s="25">
        <v>5</v>
      </c>
      <c r="U929" s="45"/>
      <c r="V929" s="26"/>
      <c r="W929" s="32"/>
      <c r="X929" s="33">
        <f t="shared" si="564"/>
        <v>5</v>
      </c>
      <c r="Y929" s="11">
        <f t="shared" si="551"/>
        <v>10</v>
      </c>
      <c r="Z929" s="85">
        <v>45948</v>
      </c>
    </row>
    <row r="930" spans="1:26" x14ac:dyDescent="0.15">
      <c r="A930" s="70" t="s">
        <v>30</v>
      </c>
      <c r="B930" s="25"/>
      <c r="C930" s="45"/>
      <c r="D930" s="26">
        <v>2</v>
      </c>
      <c r="E930" s="32"/>
      <c r="F930" s="33">
        <f t="shared" si="571"/>
        <v>2</v>
      </c>
      <c r="G930" s="25"/>
      <c r="H930" s="45"/>
      <c r="I930" s="26">
        <v>1</v>
      </c>
      <c r="J930" s="32"/>
      <c r="K930" s="33">
        <f t="shared" si="572"/>
        <v>1</v>
      </c>
      <c r="L930" s="11">
        <f t="shared" si="557"/>
        <v>3</v>
      </c>
      <c r="M930" s="85">
        <v>45957</v>
      </c>
      <c r="N930" s="50" t="s">
        <v>515</v>
      </c>
      <c r="O930" s="25">
        <v>3</v>
      </c>
      <c r="P930" s="45">
        <v>3</v>
      </c>
      <c r="Q930" s="26">
        <v>5</v>
      </c>
      <c r="R930" s="32">
        <v>3</v>
      </c>
      <c r="S930" s="33">
        <f t="shared" si="563"/>
        <v>14</v>
      </c>
      <c r="T930" s="25"/>
      <c r="U930" s="45">
        <v>3</v>
      </c>
      <c r="V930" s="26"/>
      <c r="W930" s="32"/>
      <c r="X930" s="33">
        <f t="shared" si="564"/>
        <v>3</v>
      </c>
      <c r="Y930" s="11">
        <f t="shared" si="551"/>
        <v>17</v>
      </c>
      <c r="Z930" s="85">
        <v>45971</v>
      </c>
    </row>
    <row r="931" spans="1:26" x14ac:dyDescent="0.15">
      <c r="A931" s="70" t="s">
        <v>30</v>
      </c>
      <c r="B931" s="25"/>
      <c r="C931" s="45"/>
      <c r="D931" s="26">
        <v>1</v>
      </c>
      <c r="E931" s="32"/>
      <c r="F931" s="33">
        <f t="shared" si="571"/>
        <v>1</v>
      </c>
      <c r="G931" s="25"/>
      <c r="H931" s="45"/>
      <c r="I931" s="26">
        <v>1</v>
      </c>
      <c r="J931" s="32"/>
      <c r="K931" s="33">
        <f t="shared" si="572"/>
        <v>1</v>
      </c>
      <c r="L931" s="11">
        <f t="shared" si="557"/>
        <v>2</v>
      </c>
      <c r="M931" s="85">
        <v>45959</v>
      </c>
      <c r="N931" s="197" t="s">
        <v>28</v>
      </c>
      <c r="O931" s="190"/>
      <c r="P931" s="191"/>
      <c r="Q931" s="192">
        <v>5</v>
      </c>
      <c r="R931" s="193">
        <v>3</v>
      </c>
      <c r="S931" s="194">
        <f t="shared" si="563"/>
        <v>8</v>
      </c>
      <c r="T931" s="190"/>
      <c r="U931" s="191"/>
      <c r="V931" s="192">
        <v>5</v>
      </c>
      <c r="W931" s="193"/>
      <c r="X931" s="194">
        <f t="shared" si="564"/>
        <v>5</v>
      </c>
      <c r="Y931" s="187">
        <f t="shared" si="551"/>
        <v>13</v>
      </c>
      <c r="Z931" s="188">
        <v>45973</v>
      </c>
    </row>
    <row r="932" spans="1:26" x14ac:dyDescent="0.15">
      <c r="A932" s="70" t="s">
        <v>30</v>
      </c>
      <c r="B932" s="25">
        <v>1</v>
      </c>
      <c r="C932" s="45"/>
      <c r="D932" s="26"/>
      <c r="E932" s="32"/>
      <c r="F932" s="33">
        <f t="shared" si="571"/>
        <v>1</v>
      </c>
      <c r="G932" s="25"/>
      <c r="H932" s="45"/>
      <c r="I932" s="26"/>
      <c r="J932" s="32"/>
      <c r="K932" s="33">
        <f t="shared" si="572"/>
        <v>0</v>
      </c>
      <c r="L932" s="11">
        <f t="shared" si="557"/>
        <v>1</v>
      </c>
      <c r="M932" s="85">
        <v>45961</v>
      </c>
      <c r="N932" s="197" t="s">
        <v>28</v>
      </c>
      <c r="O932" s="190">
        <v>3</v>
      </c>
      <c r="P932" s="191">
        <v>5</v>
      </c>
      <c r="Q932" s="192"/>
      <c r="R932" s="193"/>
      <c r="S932" s="194">
        <f t="shared" si="563"/>
        <v>8</v>
      </c>
      <c r="T932" s="190"/>
      <c r="U932" s="191"/>
      <c r="V932" s="192"/>
      <c r="W932" s="193"/>
      <c r="X932" s="194">
        <f t="shared" si="564"/>
        <v>0</v>
      </c>
      <c r="Y932" s="187">
        <f t="shared" si="551"/>
        <v>8</v>
      </c>
      <c r="Z932" s="188">
        <v>45981</v>
      </c>
    </row>
    <row r="933" spans="1:26" x14ac:dyDescent="0.15">
      <c r="A933" s="70" t="s">
        <v>30</v>
      </c>
      <c r="B933" s="25">
        <v>1</v>
      </c>
      <c r="C933" s="45">
        <v>1</v>
      </c>
      <c r="D933" s="26"/>
      <c r="E933" s="32"/>
      <c r="F933" s="33">
        <f t="shared" si="571"/>
        <v>2</v>
      </c>
      <c r="G933" s="25"/>
      <c r="H933" s="45"/>
      <c r="I933" s="26"/>
      <c r="J933" s="32"/>
      <c r="K933" s="33">
        <f t="shared" si="572"/>
        <v>0</v>
      </c>
      <c r="L933" s="11">
        <f t="shared" si="557"/>
        <v>2</v>
      </c>
      <c r="M933" s="85">
        <v>45965</v>
      </c>
      <c r="N933" s="197"/>
      <c r="O933" s="25"/>
      <c r="P933" s="45"/>
      <c r="Q933" s="26"/>
      <c r="R933" s="32"/>
      <c r="S933" s="33">
        <f t="shared" si="563"/>
        <v>0</v>
      </c>
      <c r="T933" s="25"/>
      <c r="U933" s="45"/>
      <c r="V933" s="26"/>
      <c r="W933" s="32"/>
      <c r="X933" s="33">
        <f t="shared" si="564"/>
        <v>0</v>
      </c>
      <c r="Y933" s="11">
        <f t="shared" si="551"/>
        <v>0</v>
      </c>
    </row>
    <row r="934" spans="1:26" x14ac:dyDescent="0.15">
      <c r="A934" s="70" t="s">
        <v>30</v>
      </c>
      <c r="B934" s="25"/>
      <c r="C934" s="45">
        <v>1</v>
      </c>
      <c r="D934" s="26"/>
      <c r="E934" s="32"/>
      <c r="F934" s="33">
        <f t="shared" si="571"/>
        <v>1</v>
      </c>
      <c r="G934" s="25"/>
      <c r="H934" s="45">
        <v>1</v>
      </c>
      <c r="I934" s="26"/>
      <c r="J934" s="32"/>
      <c r="K934" s="33">
        <f t="shared" si="572"/>
        <v>1</v>
      </c>
      <c r="L934" s="11">
        <f t="shared" si="557"/>
        <v>2</v>
      </c>
      <c r="M934" s="85">
        <v>45966</v>
      </c>
      <c r="N934" s="50"/>
      <c r="O934" s="25"/>
      <c r="P934" s="45"/>
      <c r="Q934" s="26"/>
      <c r="R934" s="32"/>
      <c r="S934" s="33">
        <f t="shared" si="563"/>
        <v>0</v>
      </c>
      <c r="T934" s="25"/>
      <c r="U934" s="45"/>
      <c r="V934" s="26"/>
      <c r="W934" s="32"/>
      <c r="X934" s="33">
        <f t="shared" si="564"/>
        <v>0</v>
      </c>
      <c r="Y934" s="11">
        <f t="shared" si="551"/>
        <v>0</v>
      </c>
    </row>
    <row r="935" spans="1:26" x14ac:dyDescent="0.15">
      <c r="A935" s="70" t="s">
        <v>30</v>
      </c>
      <c r="B935" s="25"/>
      <c r="C935" s="45">
        <v>2</v>
      </c>
      <c r="D935" s="26">
        <v>1</v>
      </c>
      <c r="E935" s="32"/>
      <c r="F935" s="33">
        <f t="shared" si="571"/>
        <v>3</v>
      </c>
      <c r="G935" s="25"/>
      <c r="H935" s="45"/>
      <c r="I935" s="26"/>
      <c r="J935" s="32"/>
      <c r="K935" s="33">
        <f t="shared" si="572"/>
        <v>0</v>
      </c>
      <c r="L935" s="11">
        <f t="shared" si="557"/>
        <v>3</v>
      </c>
      <c r="M935" s="85">
        <v>45967</v>
      </c>
      <c r="N935" s="50"/>
      <c r="O935" s="25"/>
      <c r="P935" s="45"/>
      <c r="Q935" s="26"/>
      <c r="R935" s="32"/>
      <c r="S935" s="33">
        <f t="shared" si="563"/>
        <v>0</v>
      </c>
      <c r="T935" s="25"/>
      <c r="U935" s="45"/>
      <c r="V935" s="26"/>
      <c r="W935" s="32"/>
      <c r="X935" s="33">
        <f t="shared" si="564"/>
        <v>0</v>
      </c>
      <c r="Y935" s="11">
        <f t="shared" si="551"/>
        <v>0</v>
      </c>
    </row>
    <row r="936" spans="1:26" x14ac:dyDescent="0.15">
      <c r="A936" s="70" t="s">
        <v>30</v>
      </c>
      <c r="B936" s="25"/>
      <c r="C936" s="45"/>
      <c r="D936" s="26">
        <v>3</v>
      </c>
      <c r="E936" s="32">
        <v>2</v>
      </c>
      <c r="F936" s="33">
        <f t="shared" si="571"/>
        <v>5</v>
      </c>
      <c r="G936" s="25"/>
      <c r="H936" s="45"/>
      <c r="I936" s="26">
        <v>1</v>
      </c>
      <c r="J936" s="32"/>
      <c r="K936" s="33">
        <f t="shared" si="572"/>
        <v>1</v>
      </c>
      <c r="L936" s="11">
        <f t="shared" si="557"/>
        <v>6</v>
      </c>
      <c r="M936" s="85">
        <v>45971</v>
      </c>
      <c r="N936" s="50"/>
      <c r="O936" s="25"/>
      <c r="P936" s="45"/>
      <c r="Q936" s="26"/>
      <c r="R936" s="32"/>
      <c r="S936" s="33">
        <f t="shared" si="563"/>
        <v>0</v>
      </c>
      <c r="T936" s="25"/>
      <c r="U936" s="45"/>
      <c r="V936" s="26"/>
      <c r="W936" s="32"/>
      <c r="X936" s="33">
        <f t="shared" si="564"/>
        <v>0</v>
      </c>
      <c r="Y936" s="11">
        <f t="shared" si="551"/>
        <v>0</v>
      </c>
    </row>
    <row r="937" spans="1:26" x14ac:dyDescent="0.15">
      <c r="A937" s="181" t="s">
        <v>516</v>
      </c>
      <c r="B937" s="190"/>
      <c r="C937" s="191"/>
      <c r="D937" s="192">
        <v>-5</v>
      </c>
      <c r="E937" s="193">
        <v>-3</v>
      </c>
      <c r="F937" s="194">
        <f t="shared" si="571"/>
        <v>-8</v>
      </c>
      <c r="G937" s="190"/>
      <c r="H937" s="191"/>
      <c r="I937" s="192">
        <v>-5</v>
      </c>
      <c r="J937" s="193"/>
      <c r="K937" s="194">
        <f t="shared" si="572"/>
        <v>-5</v>
      </c>
      <c r="L937" s="187">
        <f t="shared" si="557"/>
        <v>-13</v>
      </c>
      <c r="M937" s="188">
        <v>45973</v>
      </c>
      <c r="N937" s="50"/>
      <c r="O937" s="25"/>
      <c r="P937" s="45"/>
      <c r="Q937" s="26"/>
      <c r="R937" s="32"/>
      <c r="S937" s="33">
        <f t="shared" si="563"/>
        <v>0</v>
      </c>
      <c r="T937" s="25"/>
      <c r="U937" s="45"/>
      <c r="V937" s="26"/>
      <c r="W937" s="32"/>
      <c r="X937" s="33">
        <f t="shared" si="564"/>
        <v>0</v>
      </c>
      <c r="Y937" s="11">
        <f t="shared" si="551"/>
        <v>0</v>
      </c>
    </row>
    <row r="938" spans="1:26" x14ac:dyDescent="0.15">
      <c r="A938" s="70" t="s">
        <v>30</v>
      </c>
      <c r="B938" s="25">
        <v>2</v>
      </c>
      <c r="C938" s="45"/>
      <c r="D938" s="26">
        <v>1</v>
      </c>
      <c r="E938" s="32"/>
      <c r="F938" s="33">
        <f t="shared" si="571"/>
        <v>3</v>
      </c>
      <c r="G938" s="25"/>
      <c r="H938" s="45"/>
      <c r="I938" s="26"/>
      <c r="J938" s="32"/>
      <c r="K938" s="33">
        <f t="shared" si="572"/>
        <v>0</v>
      </c>
      <c r="L938" s="11">
        <f t="shared" si="557"/>
        <v>3</v>
      </c>
      <c r="M938" s="85">
        <v>45972</v>
      </c>
      <c r="N938" s="50"/>
      <c r="O938" s="25"/>
      <c r="P938" s="45"/>
      <c r="Q938" s="26"/>
      <c r="R938" s="32"/>
      <c r="S938" s="33">
        <f t="shared" si="563"/>
        <v>0</v>
      </c>
      <c r="T938" s="25"/>
      <c r="U938" s="45"/>
      <c r="V938" s="26"/>
      <c r="W938" s="32"/>
      <c r="X938" s="33">
        <f t="shared" si="564"/>
        <v>0</v>
      </c>
      <c r="Y938" s="11">
        <f t="shared" si="551"/>
        <v>0</v>
      </c>
    </row>
    <row r="939" spans="1:26" x14ac:dyDescent="0.15">
      <c r="A939" s="70" t="s">
        <v>30</v>
      </c>
      <c r="B939" s="25"/>
      <c r="C939" s="45">
        <v>2</v>
      </c>
      <c r="D939" s="26"/>
      <c r="E939" s="32"/>
      <c r="F939" s="33">
        <f t="shared" si="571"/>
        <v>2</v>
      </c>
      <c r="G939" s="25"/>
      <c r="H939" s="45"/>
      <c r="I939" s="26"/>
      <c r="J939" s="32"/>
      <c r="K939" s="33">
        <f t="shared" si="572"/>
        <v>0</v>
      </c>
      <c r="L939" s="11">
        <f t="shared" si="557"/>
        <v>2</v>
      </c>
      <c r="M939" s="85">
        <v>45974</v>
      </c>
      <c r="N939" s="50"/>
      <c r="O939" s="25"/>
      <c r="P939" s="45"/>
      <c r="Q939" s="26"/>
      <c r="R939" s="32"/>
      <c r="S939" s="33">
        <f t="shared" si="563"/>
        <v>0</v>
      </c>
      <c r="T939" s="25"/>
      <c r="U939" s="45"/>
      <c r="V939" s="26"/>
      <c r="W939" s="32"/>
      <c r="X939" s="33">
        <f t="shared" si="564"/>
        <v>0</v>
      </c>
      <c r="Y939" s="11">
        <f t="shared" si="551"/>
        <v>0</v>
      </c>
    </row>
    <row r="940" spans="1:26" x14ac:dyDescent="0.15">
      <c r="A940" s="70" t="s">
        <v>520</v>
      </c>
      <c r="B940" s="25"/>
      <c r="C940" s="45">
        <v>1</v>
      </c>
      <c r="D940" s="26"/>
      <c r="E940" s="32"/>
      <c r="F940" s="33">
        <f t="shared" si="571"/>
        <v>1</v>
      </c>
      <c r="G940" s="25"/>
      <c r="H940" s="45"/>
      <c r="I940" s="26"/>
      <c r="J940" s="32"/>
      <c r="K940" s="33">
        <f t="shared" si="572"/>
        <v>0</v>
      </c>
      <c r="L940" s="11">
        <f t="shared" si="557"/>
        <v>1</v>
      </c>
      <c r="M940" s="85">
        <v>45976</v>
      </c>
      <c r="N940" s="50"/>
      <c r="O940" s="25"/>
      <c r="P940" s="45"/>
      <c r="Q940" s="26"/>
      <c r="R940" s="32"/>
      <c r="S940" s="33">
        <f t="shared" si="563"/>
        <v>0</v>
      </c>
      <c r="T940" s="25"/>
      <c r="U940" s="45"/>
      <c r="V940" s="26"/>
      <c r="W940" s="32"/>
      <c r="X940" s="33">
        <f t="shared" si="564"/>
        <v>0</v>
      </c>
      <c r="Y940" s="11">
        <f t="shared" si="551"/>
        <v>0</v>
      </c>
    </row>
    <row r="941" spans="1:26" x14ac:dyDescent="0.15">
      <c r="A941" s="70" t="s">
        <v>30</v>
      </c>
      <c r="B941" s="25"/>
      <c r="C941" s="45"/>
      <c r="D941" s="26">
        <v>1</v>
      </c>
      <c r="E941" s="32"/>
      <c r="F941" s="33">
        <f t="shared" si="571"/>
        <v>1</v>
      </c>
      <c r="G941" s="25"/>
      <c r="H941" s="45"/>
      <c r="I941" s="26"/>
      <c r="J941" s="32"/>
      <c r="K941" s="33">
        <f t="shared" si="572"/>
        <v>0</v>
      </c>
      <c r="L941" s="11">
        <f t="shared" si="557"/>
        <v>1</v>
      </c>
      <c r="M941" s="85">
        <v>45978</v>
      </c>
      <c r="N941" s="12"/>
      <c r="O941" s="25"/>
      <c r="P941" s="45"/>
      <c r="Q941" s="26"/>
      <c r="R941" s="32"/>
      <c r="S941" s="33">
        <f t="shared" si="563"/>
        <v>0</v>
      </c>
      <c r="T941" s="25"/>
      <c r="U941" s="45"/>
      <c r="V941" s="26"/>
      <c r="W941" s="32"/>
      <c r="X941" s="33">
        <f t="shared" si="564"/>
        <v>0</v>
      </c>
      <c r="Y941" s="93">
        <f t="shared" si="551"/>
        <v>0</v>
      </c>
    </row>
    <row r="942" spans="1:26" x14ac:dyDescent="0.15">
      <c r="A942" s="70" t="s">
        <v>30</v>
      </c>
      <c r="B942" s="25"/>
      <c r="C942" s="45">
        <v>1</v>
      </c>
      <c r="D942" s="26"/>
      <c r="E942" s="32"/>
      <c r="F942" s="33">
        <f t="shared" si="571"/>
        <v>1</v>
      </c>
      <c r="G942" s="25"/>
      <c r="H942" s="45">
        <v>1</v>
      </c>
      <c r="I942" s="26"/>
      <c r="J942" s="32"/>
      <c r="K942" s="33">
        <f t="shared" si="572"/>
        <v>1</v>
      </c>
      <c r="L942" s="11">
        <f t="shared" si="557"/>
        <v>2</v>
      </c>
      <c r="M942" s="85">
        <v>45980</v>
      </c>
      <c r="N942" s="12"/>
      <c r="O942" s="25"/>
      <c r="P942" s="45"/>
      <c r="Q942" s="26"/>
      <c r="R942" s="32"/>
      <c r="S942" s="33">
        <f t="shared" si="563"/>
        <v>0</v>
      </c>
      <c r="T942" s="25"/>
      <c r="U942" s="45"/>
      <c r="V942" s="26"/>
      <c r="W942" s="32"/>
      <c r="X942" s="33">
        <f t="shared" si="564"/>
        <v>0</v>
      </c>
      <c r="Y942" s="93">
        <f t="shared" si="551"/>
        <v>0</v>
      </c>
    </row>
    <row r="943" spans="1:26" x14ac:dyDescent="0.15">
      <c r="A943" s="181" t="s">
        <v>149</v>
      </c>
      <c r="B943" s="190">
        <v>-3</v>
      </c>
      <c r="C943" s="191">
        <v>-5</v>
      </c>
      <c r="D943" s="192"/>
      <c r="E943" s="193"/>
      <c r="F943" s="194">
        <f t="shared" si="571"/>
        <v>-8</v>
      </c>
      <c r="G943" s="190"/>
      <c r="H943" s="191"/>
      <c r="I943" s="192"/>
      <c r="J943" s="193"/>
      <c r="K943" s="194">
        <f t="shared" si="572"/>
        <v>0</v>
      </c>
      <c r="L943" s="187">
        <f t="shared" si="557"/>
        <v>-8</v>
      </c>
      <c r="M943" s="188">
        <v>45981</v>
      </c>
      <c r="N943" s="12"/>
      <c r="O943" s="25"/>
      <c r="P943" s="45"/>
      <c r="Q943" s="26"/>
      <c r="R943" s="32"/>
      <c r="S943" s="33">
        <f t="shared" ref="S943:S944" si="573">SUM(O943:R943)</f>
        <v>0</v>
      </c>
      <c r="T943" s="25"/>
      <c r="U943" s="45"/>
      <c r="V943" s="26"/>
      <c r="W943" s="32"/>
      <c r="X943" s="33">
        <f t="shared" ref="X943:X944" si="574">SUM(T943:W943)</f>
        <v>0</v>
      </c>
      <c r="Y943" s="93">
        <f t="shared" ref="Y943:Y944" si="575">S943+X943</f>
        <v>0</v>
      </c>
    </row>
    <row r="944" spans="1:26" x14ac:dyDescent="0.15">
      <c r="A944" s="70" t="s">
        <v>30</v>
      </c>
      <c r="B944" s="25">
        <v>1</v>
      </c>
      <c r="C944" s="45">
        <v>1</v>
      </c>
      <c r="D944" s="26"/>
      <c r="E944" s="32"/>
      <c r="F944" s="33">
        <f t="shared" si="571"/>
        <v>2</v>
      </c>
      <c r="G944" s="25"/>
      <c r="H944" s="45"/>
      <c r="I944" s="26">
        <v>2</v>
      </c>
      <c r="J944" s="32"/>
      <c r="K944" s="33">
        <f t="shared" si="572"/>
        <v>2</v>
      </c>
      <c r="L944" s="11">
        <f t="shared" si="557"/>
        <v>4</v>
      </c>
      <c r="M944" s="85">
        <v>45982</v>
      </c>
      <c r="N944" s="12"/>
      <c r="O944" s="25"/>
      <c r="P944" s="45"/>
      <c r="Q944" s="26"/>
      <c r="R944" s="32"/>
      <c r="S944" s="33">
        <f t="shared" si="573"/>
        <v>0</v>
      </c>
      <c r="T944" s="25"/>
      <c r="U944" s="45"/>
      <c r="V944" s="26"/>
      <c r="W944" s="32"/>
      <c r="X944" s="33">
        <f t="shared" si="574"/>
        <v>0</v>
      </c>
      <c r="Y944" s="93">
        <f t="shared" si="575"/>
        <v>0</v>
      </c>
    </row>
    <row r="945" spans="1:26" x14ac:dyDescent="0.15">
      <c r="A945" s="70" t="s">
        <v>30</v>
      </c>
      <c r="B945" s="25">
        <v>1</v>
      </c>
      <c r="C945" s="45"/>
      <c r="D945" s="26"/>
      <c r="E945" s="32"/>
      <c r="F945" s="33">
        <f t="shared" si="571"/>
        <v>1</v>
      </c>
      <c r="G945" s="25"/>
      <c r="H945" s="45">
        <v>2</v>
      </c>
      <c r="I945" s="26"/>
      <c r="J945" s="32"/>
      <c r="K945" s="33">
        <f t="shared" si="572"/>
        <v>2</v>
      </c>
      <c r="L945" s="93">
        <f t="shared" si="557"/>
        <v>3</v>
      </c>
      <c r="M945" s="85">
        <v>45986</v>
      </c>
      <c r="N945" s="96" t="s">
        <v>490</v>
      </c>
      <c r="O945" s="97"/>
      <c r="P945" s="98"/>
      <c r="Q945" s="99"/>
      <c r="R945" s="173"/>
      <c r="S945" s="101">
        <f t="shared" ref="S945" si="576">SUM(O945:R945)</f>
        <v>0</v>
      </c>
      <c r="T945" s="97"/>
      <c r="U945" s="98"/>
      <c r="V945" s="99"/>
      <c r="W945" s="173"/>
      <c r="X945" s="101">
        <f t="shared" ref="X945" si="577">SUM(T945:W945)</f>
        <v>0</v>
      </c>
      <c r="Y945" s="195">
        <f t="shared" ref="Y945" si="578">S945+X945</f>
        <v>0</v>
      </c>
      <c r="Z945" s="159"/>
    </row>
    <row r="946" spans="1:26" ht="14.25" thickBot="1" x14ac:dyDescent="0.2">
      <c r="A946" s="74" t="s">
        <v>30</v>
      </c>
      <c r="B946" s="55"/>
      <c r="C946" s="56"/>
      <c r="D946" s="57"/>
      <c r="E946" s="58"/>
      <c r="F946" s="109">
        <f t="shared" ref="F946" si="579">SUM(B946:E946)</f>
        <v>0</v>
      </c>
      <c r="G946" s="55"/>
      <c r="H946" s="56">
        <v>1</v>
      </c>
      <c r="I946" s="57"/>
      <c r="J946" s="58">
        <v>1</v>
      </c>
      <c r="K946" s="109">
        <f t="shared" ref="K946" si="580">SUM(G946:J946)</f>
        <v>2</v>
      </c>
      <c r="L946" s="107">
        <f t="shared" ref="L946" si="581">F946+K946</f>
        <v>2</v>
      </c>
      <c r="M946" s="85">
        <v>45987</v>
      </c>
      <c r="N946" s="140" t="s">
        <v>487</v>
      </c>
      <c r="O946" s="141"/>
      <c r="P946" s="142"/>
      <c r="Q946" s="143"/>
      <c r="R946" s="196"/>
      <c r="S946" s="145">
        <f t="shared" si="563"/>
        <v>0</v>
      </c>
      <c r="T946" s="141"/>
      <c r="U946" s="142"/>
      <c r="V946" s="143"/>
      <c r="W946" s="196"/>
      <c r="X946" s="145">
        <f t="shared" si="564"/>
        <v>0</v>
      </c>
      <c r="Y946" s="75">
        <f t="shared" si="551"/>
        <v>0</v>
      </c>
      <c r="Z946" s="159" t="s">
        <v>489</v>
      </c>
    </row>
    <row r="947" spans="1:26" ht="14.25" thickBot="1" x14ac:dyDescent="0.2">
      <c r="A947" s="72" t="s">
        <v>10</v>
      </c>
      <c r="B947" s="36">
        <f>SUM(B922:B946)</f>
        <v>9</v>
      </c>
      <c r="C947" s="46">
        <f>SUM(C922:C946)</f>
        <v>4</v>
      </c>
      <c r="D947" s="37">
        <f>SUM(D922:D946)</f>
        <v>6</v>
      </c>
      <c r="E947" s="38">
        <f>SUM(E922:E946)</f>
        <v>2</v>
      </c>
      <c r="F947" s="71">
        <f>SUM(B947:E947)</f>
        <v>21</v>
      </c>
      <c r="G947" s="36">
        <f>SUM(G922:G946)</f>
        <v>3</v>
      </c>
      <c r="H947" s="46">
        <f>SUM(H922:H946)</f>
        <v>7</v>
      </c>
      <c r="I947" s="37">
        <f>SUM(I922:I946)</f>
        <v>0</v>
      </c>
      <c r="J947" s="38">
        <f>SUM(J922:J946)</f>
        <v>2</v>
      </c>
      <c r="K947" s="71">
        <f>SUM(G947:J947)</f>
        <v>12</v>
      </c>
      <c r="L947" s="75">
        <f t="shared" si="557"/>
        <v>33</v>
      </c>
      <c r="N947" s="72" t="s">
        <v>10</v>
      </c>
      <c r="O947" s="36">
        <f>SUM(O922:O946)</f>
        <v>16</v>
      </c>
      <c r="P947" s="46">
        <f>SUM(P922:P946)</f>
        <v>11</v>
      </c>
      <c r="Q947" s="37">
        <f>SUM(Q922:Q946)</f>
        <v>20</v>
      </c>
      <c r="R947" s="38">
        <f>SUM(R922:R946)</f>
        <v>6</v>
      </c>
      <c r="S947" s="71">
        <f t="shared" si="563"/>
        <v>53</v>
      </c>
      <c r="T947" s="36">
        <f>SUM(T922:T946)</f>
        <v>15</v>
      </c>
      <c r="U947" s="46">
        <f>SUM(U922:U946)</f>
        <v>21</v>
      </c>
      <c r="V947" s="37">
        <f>SUM(V922:V946)</f>
        <v>30</v>
      </c>
      <c r="W947" s="38">
        <f>SUM(W922:W946)</f>
        <v>3</v>
      </c>
      <c r="X947" s="71">
        <f t="shared" si="564"/>
        <v>69</v>
      </c>
      <c r="Y947" s="75">
        <f t="shared" si="551"/>
        <v>122</v>
      </c>
    </row>
    <row r="948" spans="1:26" ht="14.25" thickBot="1" x14ac:dyDescent="0.2">
      <c r="A948" s="21" t="s">
        <v>11</v>
      </c>
      <c r="B948" s="39">
        <f t="shared" ref="B948:K948" si="582">B921-B947</f>
        <v>3</v>
      </c>
      <c r="C948" s="47">
        <f t="shared" si="582"/>
        <v>6</v>
      </c>
      <c r="D948" s="40">
        <f t="shared" si="582"/>
        <v>6</v>
      </c>
      <c r="E948" s="41">
        <f t="shared" si="582"/>
        <v>7</v>
      </c>
      <c r="F948" s="54">
        <f t="shared" si="582"/>
        <v>22</v>
      </c>
      <c r="G948" s="39">
        <f t="shared" si="582"/>
        <v>5</v>
      </c>
      <c r="H948" s="47">
        <f t="shared" si="582"/>
        <v>3</v>
      </c>
      <c r="I948" s="40">
        <f t="shared" si="582"/>
        <v>7</v>
      </c>
      <c r="J948" s="41">
        <f t="shared" si="582"/>
        <v>5</v>
      </c>
      <c r="K948" s="54">
        <f t="shared" si="582"/>
        <v>20</v>
      </c>
      <c r="L948" s="20">
        <f t="shared" si="557"/>
        <v>42</v>
      </c>
      <c r="N948" s="16" t="s">
        <v>11</v>
      </c>
      <c r="O948" s="39">
        <f t="shared" ref="O948:X948" si="583">O921-O947</f>
        <v>344</v>
      </c>
      <c r="P948" s="47">
        <f t="shared" si="583"/>
        <v>276</v>
      </c>
      <c r="Q948" s="40">
        <f t="shared" si="583"/>
        <v>167</v>
      </c>
      <c r="R948" s="41">
        <f t="shared" si="583"/>
        <v>210</v>
      </c>
      <c r="S948" s="54">
        <f t="shared" si="583"/>
        <v>997</v>
      </c>
      <c r="T948" s="39">
        <f t="shared" si="583"/>
        <v>269</v>
      </c>
      <c r="U948" s="47">
        <f t="shared" si="583"/>
        <v>282</v>
      </c>
      <c r="V948" s="40">
        <f t="shared" si="583"/>
        <v>226</v>
      </c>
      <c r="W948" s="41">
        <f t="shared" si="583"/>
        <v>157</v>
      </c>
      <c r="X948" s="54">
        <f t="shared" si="583"/>
        <v>934</v>
      </c>
      <c r="Y948" s="20">
        <f t="shared" si="551"/>
        <v>1931</v>
      </c>
    </row>
    <row r="949" spans="1:26" x14ac:dyDescent="0.15">
      <c r="N949" s="167"/>
    </row>
    <row r="950" spans="1:26" x14ac:dyDescent="0.15">
      <c r="N950" s="167"/>
    </row>
    <row r="951" spans="1:26" ht="19.5" thickBot="1" x14ac:dyDescent="0.25">
      <c r="A951" s="2" t="s">
        <v>26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27</v>
      </c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6" ht="14.25" thickBot="1" x14ac:dyDescent="0.2">
      <c r="A952" s="5" t="s">
        <v>0</v>
      </c>
      <c r="B952" s="228" t="s">
        <v>19</v>
      </c>
      <c r="C952" s="229"/>
      <c r="D952" s="229"/>
      <c r="E952" s="229"/>
      <c r="F952" s="230"/>
      <c r="G952" s="231" t="s">
        <v>18</v>
      </c>
      <c r="H952" s="232"/>
      <c r="I952" s="232"/>
      <c r="J952" s="232"/>
      <c r="K952" s="233"/>
      <c r="L952" s="73" t="s">
        <v>1</v>
      </c>
      <c r="N952" s="5" t="s">
        <v>0</v>
      </c>
      <c r="O952" s="228" t="s">
        <v>19</v>
      </c>
      <c r="P952" s="229"/>
      <c r="Q952" s="229"/>
      <c r="R952" s="229"/>
      <c r="S952" s="230"/>
      <c r="T952" s="231" t="s">
        <v>18</v>
      </c>
      <c r="U952" s="232"/>
      <c r="V952" s="232"/>
      <c r="W952" s="232"/>
      <c r="X952" s="233"/>
      <c r="Y952" s="73" t="s">
        <v>1</v>
      </c>
    </row>
    <row r="953" spans="1:26" ht="14.25" thickBot="1" x14ac:dyDescent="0.2">
      <c r="A953" s="5" t="s">
        <v>2</v>
      </c>
      <c r="B953" s="3" t="s">
        <v>12</v>
      </c>
      <c r="C953" s="42" t="s">
        <v>13</v>
      </c>
      <c r="D953" s="4" t="s">
        <v>14</v>
      </c>
      <c r="E953" s="22" t="s">
        <v>15</v>
      </c>
      <c r="F953" s="30" t="s">
        <v>3</v>
      </c>
      <c r="G953" s="3" t="s">
        <v>12</v>
      </c>
      <c r="H953" s="42" t="s">
        <v>13</v>
      </c>
      <c r="I953" s="4" t="s">
        <v>14</v>
      </c>
      <c r="J953" s="22" t="s">
        <v>15</v>
      </c>
      <c r="K953" s="30" t="s">
        <v>3</v>
      </c>
      <c r="L953" s="74"/>
      <c r="N953" s="5" t="s">
        <v>2</v>
      </c>
      <c r="O953" s="64" t="s">
        <v>12</v>
      </c>
      <c r="P953" s="65" t="s">
        <v>13</v>
      </c>
      <c r="Q953" s="66" t="s">
        <v>14</v>
      </c>
      <c r="R953" s="67" t="s">
        <v>15</v>
      </c>
      <c r="S953" s="30" t="s">
        <v>3</v>
      </c>
      <c r="T953" s="3" t="s">
        <v>12</v>
      </c>
      <c r="U953" s="42" t="s">
        <v>13</v>
      </c>
      <c r="V953" s="4" t="s">
        <v>14</v>
      </c>
      <c r="W953" s="22" t="s">
        <v>15</v>
      </c>
      <c r="X953" s="30" t="s">
        <v>3</v>
      </c>
      <c r="Y953" s="74"/>
    </row>
    <row r="954" spans="1:26" ht="14.25" thickBot="1" x14ac:dyDescent="0.2">
      <c r="A954" s="21" t="s">
        <v>16</v>
      </c>
      <c r="B954" s="39">
        <f>B948</f>
        <v>3</v>
      </c>
      <c r="C954" s="40">
        <f>C948</f>
        <v>6</v>
      </c>
      <c r="D954" s="40">
        <f>D948</f>
        <v>6</v>
      </c>
      <c r="E954" s="41">
        <f>E948</f>
        <v>7</v>
      </c>
      <c r="F954" s="122">
        <f>SUM(B954:E954)</f>
        <v>22</v>
      </c>
      <c r="G954" s="39">
        <f>G948</f>
        <v>5</v>
      </c>
      <c r="H954" s="40">
        <f>H948</f>
        <v>3</v>
      </c>
      <c r="I954" s="40">
        <f>I948</f>
        <v>7</v>
      </c>
      <c r="J954" s="41">
        <f>J948</f>
        <v>5</v>
      </c>
      <c r="K954" s="123">
        <f>SUM(G954:J954)</f>
        <v>20</v>
      </c>
      <c r="L954" s="20">
        <f>F954+K954</f>
        <v>42</v>
      </c>
      <c r="N954" s="21" t="s">
        <v>16</v>
      </c>
      <c r="O954" s="39">
        <f>O948</f>
        <v>344</v>
      </c>
      <c r="P954" s="40">
        <f>P948</f>
        <v>276</v>
      </c>
      <c r="Q954" s="40">
        <f t="shared" ref="Q954:R954" si="584">Q948</f>
        <v>167</v>
      </c>
      <c r="R954" s="88">
        <f t="shared" si="584"/>
        <v>210</v>
      </c>
      <c r="S954" s="123">
        <f>SUM(O954:R954)</f>
        <v>997</v>
      </c>
      <c r="T954" s="39">
        <f>T948</f>
        <v>269</v>
      </c>
      <c r="U954" s="40">
        <f>U948</f>
        <v>282</v>
      </c>
      <c r="V954" s="40">
        <f>V948</f>
        <v>226</v>
      </c>
      <c r="W954" s="41">
        <f>W948</f>
        <v>157</v>
      </c>
      <c r="X954" s="123">
        <f>SUM(T954:W954)</f>
        <v>934</v>
      </c>
      <c r="Y954" s="20">
        <f t="shared" ref="Y954:Y986" si="585">S954+X954</f>
        <v>1931</v>
      </c>
    </row>
    <row r="955" spans="1:26" x14ac:dyDescent="0.15">
      <c r="A955" s="70" t="s">
        <v>5</v>
      </c>
      <c r="B955" s="6"/>
      <c r="C955" s="29"/>
      <c r="D955" s="7"/>
      <c r="E955" s="8">
        <v>3</v>
      </c>
      <c r="F955" s="9">
        <f t="shared" ref="F955:F958" si="586">SUM(B955:E955)</f>
        <v>3</v>
      </c>
      <c r="G955" s="29"/>
      <c r="H955" s="29">
        <v>3</v>
      </c>
      <c r="I955" s="7"/>
      <c r="J955" s="8"/>
      <c r="K955" s="9">
        <f t="shared" ref="K955:K958" si="587">SUM(G955:J955)</f>
        <v>3</v>
      </c>
      <c r="L955" s="11">
        <f t="shared" ref="L955:L986" si="588">F955+K955</f>
        <v>6</v>
      </c>
      <c r="M955" s="85">
        <v>45996</v>
      </c>
      <c r="N955" s="13" t="s">
        <v>17</v>
      </c>
      <c r="O955" s="25"/>
      <c r="P955" s="45"/>
      <c r="Q955" s="26"/>
      <c r="R955" s="32"/>
      <c r="S955" s="68">
        <f>SUM(O955:R955)</f>
        <v>0</v>
      </c>
      <c r="T955" s="45"/>
      <c r="U955" s="45"/>
      <c r="V955" s="26"/>
      <c r="W955" s="48"/>
      <c r="X955" s="9">
        <f>SUM(T955:W955)</f>
        <v>0</v>
      </c>
      <c r="Y955" s="11">
        <f t="shared" si="585"/>
        <v>0</v>
      </c>
    </row>
    <row r="956" spans="1:26" x14ac:dyDescent="0.15">
      <c r="A956" s="181" t="s">
        <v>6</v>
      </c>
      <c r="B956" s="182">
        <v>5</v>
      </c>
      <c r="C956" s="183"/>
      <c r="D956" s="184"/>
      <c r="E956" s="185"/>
      <c r="F956" s="186">
        <f t="shared" si="586"/>
        <v>5</v>
      </c>
      <c r="G956" s="183"/>
      <c r="H956" s="183"/>
      <c r="I956" s="184"/>
      <c r="J956" s="185"/>
      <c r="K956" s="186">
        <f t="shared" si="587"/>
        <v>0</v>
      </c>
      <c r="L956" s="187">
        <f t="shared" si="588"/>
        <v>5</v>
      </c>
      <c r="M956" s="188">
        <v>46000</v>
      </c>
      <c r="N956" s="174" t="s">
        <v>5</v>
      </c>
      <c r="O956" s="164">
        <v>210</v>
      </c>
      <c r="P956" s="165">
        <v>530</v>
      </c>
      <c r="Q956" s="166">
        <v>380</v>
      </c>
      <c r="R956" s="175">
        <v>280</v>
      </c>
      <c r="S956" s="176">
        <f>SUM(O956:R956)</f>
        <v>1400</v>
      </c>
      <c r="T956" s="165">
        <v>270</v>
      </c>
      <c r="U956" s="165">
        <v>480</v>
      </c>
      <c r="V956" s="166">
        <v>250</v>
      </c>
      <c r="W956" s="177">
        <v>300</v>
      </c>
      <c r="X956" s="178">
        <f>SUM(T956:W956)</f>
        <v>1300</v>
      </c>
      <c r="Y956" s="179">
        <f t="shared" si="585"/>
        <v>2700</v>
      </c>
      <c r="Z956" s="209" t="s">
        <v>535</v>
      </c>
    </row>
    <row r="957" spans="1:26" x14ac:dyDescent="0.15">
      <c r="A957" s="181" t="s">
        <v>7</v>
      </c>
      <c r="B957" s="182"/>
      <c r="C957" s="183">
        <v>5</v>
      </c>
      <c r="D957" s="184"/>
      <c r="E957" s="185"/>
      <c r="F957" s="186">
        <f t="shared" si="586"/>
        <v>5</v>
      </c>
      <c r="G957" s="183"/>
      <c r="H957" s="183"/>
      <c r="I957" s="184"/>
      <c r="J957" s="185"/>
      <c r="K957" s="186">
        <f t="shared" si="587"/>
        <v>0</v>
      </c>
      <c r="L957" s="187">
        <f t="shared" si="588"/>
        <v>5</v>
      </c>
      <c r="M957" s="188">
        <v>46001</v>
      </c>
      <c r="N957" s="13" t="s">
        <v>6</v>
      </c>
      <c r="O957" s="25"/>
      <c r="P957" s="45"/>
      <c r="Q957" s="26"/>
      <c r="R957" s="32"/>
      <c r="S957" s="68">
        <f>SUM(O957:R957)</f>
        <v>0</v>
      </c>
      <c r="T957" s="45"/>
      <c r="U957" s="45"/>
      <c r="V957" s="26"/>
      <c r="W957" s="48"/>
      <c r="X957" s="9">
        <f>SUM(T957:W957)</f>
        <v>0</v>
      </c>
      <c r="Y957" s="11">
        <f t="shared" si="585"/>
        <v>0</v>
      </c>
      <c r="Z957" s="212" t="s">
        <v>532</v>
      </c>
    </row>
    <row r="958" spans="1:26" ht="14.25" thickBot="1" x14ac:dyDescent="0.2">
      <c r="A958" s="70" t="s">
        <v>163</v>
      </c>
      <c r="B958" s="125"/>
      <c r="C958" s="126"/>
      <c r="D958" s="127">
        <v>2</v>
      </c>
      <c r="E958" s="128"/>
      <c r="F958" s="129">
        <f t="shared" si="586"/>
        <v>2</v>
      </c>
      <c r="G958" s="126"/>
      <c r="H958" s="126">
        <v>1</v>
      </c>
      <c r="I958" s="127">
        <v>1</v>
      </c>
      <c r="J958" s="128"/>
      <c r="K958" s="129">
        <f t="shared" si="587"/>
        <v>2</v>
      </c>
      <c r="L958" s="14">
        <f t="shared" si="588"/>
        <v>4</v>
      </c>
      <c r="M958" s="115">
        <v>46008</v>
      </c>
      <c r="N958" s="13" t="s">
        <v>7</v>
      </c>
      <c r="O958" s="55"/>
      <c r="P958" s="56"/>
      <c r="Q958" s="57"/>
      <c r="R958" s="58"/>
      <c r="S958" s="69">
        <f>SUM(O958:R958)</f>
        <v>0</v>
      </c>
      <c r="T958" s="45"/>
      <c r="U958" s="45"/>
      <c r="V958" s="26"/>
      <c r="W958" s="48"/>
      <c r="X958" s="10">
        <f>SUM(T958:W958)</f>
        <v>0</v>
      </c>
      <c r="Y958" s="14">
        <f t="shared" si="585"/>
        <v>0</v>
      </c>
    </row>
    <row r="959" spans="1:26" ht="14.25" thickBot="1" x14ac:dyDescent="0.2">
      <c r="A959" s="21" t="s">
        <v>9</v>
      </c>
      <c r="B959" s="130">
        <f t="shared" ref="B959:K959" si="589">SUM(B954:B958)</f>
        <v>8</v>
      </c>
      <c r="C959" s="131">
        <f t="shared" si="589"/>
        <v>11</v>
      </c>
      <c r="D959" s="132">
        <f t="shared" si="589"/>
        <v>8</v>
      </c>
      <c r="E959" s="133">
        <f t="shared" si="589"/>
        <v>10</v>
      </c>
      <c r="F959" s="123">
        <f t="shared" si="589"/>
        <v>37</v>
      </c>
      <c r="G959" s="130">
        <f t="shared" si="589"/>
        <v>5</v>
      </c>
      <c r="H959" s="131">
        <f t="shared" si="589"/>
        <v>7</v>
      </c>
      <c r="I959" s="132">
        <f t="shared" si="589"/>
        <v>8</v>
      </c>
      <c r="J959" s="133">
        <f t="shared" si="589"/>
        <v>5</v>
      </c>
      <c r="K959" s="123">
        <f t="shared" si="589"/>
        <v>25</v>
      </c>
      <c r="L959" s="20">
        <f t="shared" si="588"/>
        <v>62</v>
      </c>
      <c r="N959" s="16" t="s">
        <v>9</v>
      </c>
      <c r="O959" s="39">
        <f t="shared" ref="O959:X959" si="590">SUM(O954:O958)</f>
        <v>554</v>
      </c>
      <c r="P959" s="47">
        <f t="shared" si="590"/>
        <v>806</v>
      </c>
      <c r="Q959" s="40">
        <f t="shared" si="590"/>
        <v>547</v>
      </c>
      <c r="R959" s="88">
        <f t="shared" si="590"/>
        <v>490</v>
      </c>
      <c r="S959" s="89">
        <f t="shared" si="590"/>
        <v>2397</v>
      </c>
      <c r="T959" s="39">
        <f t="shared" si="590"/>
        <v>539</v>
      </c>
      <c r="U959" s="47">
        <f t="shared" si="590"/>
        <v>762</v>
      </c>
      <c r="V959" s="40">
        <f t="shared" si="590"/>
        <v>476</v>
      </c>
      <c r="W959" s="88">
        <f t="shared" si="590"/>
        <v>457</v>
      </c>
      <c r="X959" s="89">
        <f t="shared" si="590"/>
        <v>2234</v>
      </c>
      <c r="Y959" s="49">
        <f t="shared" si="585"/>
        <v>4631</v>
      </c>
    </row>
    <row r="960" spans="1:26" x14ac:dyDescent="0.15">
      <c r="A960" s="70" t="s">
        <v>108</v>
      </c>
      <c r="B960" s="25"/>
      <c r="C960" s="45">
        <v>2</v>
      </c>
      <c r="D960" s="26"/>
      <c r="E960" s="32"/>
      <c r="F960" s="33">
        <f t="shared" ref="F960:F983" si="591">SUM(B960:E960)</f>
        <v>2</v>
      </c>
      <c r="G960" s="25"/>
      <c r="H960" s="45"/>
      <c r="I960" s="26"/>
      <c r="J960" s="32"/>
      <c r="K960" s="33">
        <f t="shared" ref="K960:K983" si="592">SUM(G960:J960)</f>
        <v>0</v>
      </c>
      <c r="L960" s="11">
        <f t="shared" si="588"/>
        <v>2</v>
      </c>
      <c r="M960" s="85">
        <v>45989</v>
      </c>
      <c r="N960" s="73" t="s">
        <v>522</v>
      </c>
      <c r="O960" s="25">
        <v>2</v>
      </c>
      <c r="P960" s="45">
        <v>3</v>
      </c>
      <c r="Q960" s="26">
        <v>3</v>
      </c>
      <c r="R960" s="32"/>
      <c r="S960" s="33">
        <f t="shared" ref="S960:S985" si="593">SUM(O960:R960)</f>
        <v>8</v>
      </c>
      <c r="T960" s="25">
        <v>2</v>
      </c>
      <c r="U960" s="45">
        <v>3</v>
      </c>
      <c r="V960" s="26">
        <v>3</v>
      </c>
      <c r="W960" s="32"/>
      <c r="X960" s="33">
        <f t="shared" ref="X960:X985" si="594">SUM(T960:W960)</f>
        <v>8</v>
      </c>
      <c r="Y960" s="11">
        <f t="shared" si="585"/>
        <v>16</v>
      </c>
      <c r="Z960" s="85">
        <v>45995</v>
      </c>
    </row>
    <row r="961" spans="1:27" x14ac:dyDescent="0.15">
      <c r="A961" s="12" t="s">
        <v>521</v>
      </c>
      <c r="B961" s="25"/>
      <c r="C961" s="45"/>
      <c r="D961" s="26"/>
      <c r="E961" s="32">
        <v>5</v>
      </c>
      <c r="F961" s="33">
        <f t="shared" si="591"/>
        <v>5</v>
      </c>
      <c r="G961" s="25"/>
      <c r="H961" s="45"/>
      <c r="I961" s="26"/>
      <c r="J961" s="32"/>
      <c r="K961" s="33">
        <f t="shared" si="592"/>
        <v>0</v>
      </c>
      <c r="L961" s="11">
        <f t="shared" si="588"/>
        <v>5</v>
      </c>
      <c r="M961" s="85">
        <v>46001</v>
      </c>
      <c r="N961" s="12" t="s">
        <v>521</v>
      </c>
      <c r="O961" s="25"/>
      <c r="P961" s="45"/>
      <c r="Q961" s="26"/>
      <c r="R961" s="32"/>
      <c r="S961" s="33">
        <f t="shared" si="593"/>
        <v>0</v>
      </c>
      <c r="T961" s="25"/>
      <c r="U961" s="45"/>
      <c r="V961" s="26">
        <v>7</v>
      </c>
      <c r="W961" s="32">
        <v>7</v>
      </c>
      <c r="X961" s="33">
        <f t="shared" si="594"/>
        <v>14</v>
      </c>
      <c r="Y961" s="11">
        <f t="shared" si="585"/>
        <v>14</v>
      </c>
      <c r="Z961" s="85">
        <v>46007</v>
      </c>
    </row>
    <row r="962" spans="1:27" x14ac:dyDescent="0.15">
      <c r="A962" s="70" t="s">
        <v>523</v>
      </c>
      <c r="B962" s="25">
        <v>-1</v>
      </c>
      <c r="C962" s="45"/>
      <c r="D962" s="26"/>
      <c r="E962" s="32"/>
      <c r="F962" s="33">
        <f t="shared" si="591"/>
        <v>-1</v>
      </c>
      <c r="G962" s="25"/>
      <c r="H962" s="45"/>
      <c r="I962" s="26"/>
      <c r="J962" s="32"/>
      <c r="K962" s="33">
        <f t="shared" si="592"/>
        <v>0</v>
      </c>
      <c r="L962" s="11">
        <f t="shared" si="588"/>
        <v>-1</v>
      </c>
      <c r="M962" s="115">
        <v>45993</v>
      </c>
      <c r="N962" s="50" t="s">
        <v>524</v>
      </c>
      <c r="O962" s="25"/>
      <c r="P962" s="45"/>
      <c r="Q962" s="26"/>
      <c r="R962" s="32">
        <v>3</v>
      </c>
      <c r="S962" s="33">
        <f t="shared" si="593"/>
        <v>3</v>
      </c>
      <c r="T962" s="25"/>
      <c r="U962" s="45">
        <v>3</v>
      </c>
      <c r="V962" s="26"/>
      <c r="W962" s="32"/>
      <c r="X962" s="33">
        <f t="shared" si="594"/>
        <v>3</v>
      </c>
      <c r="Y962" s="11">
        <f t="shared" si="585"/>
        <v>6</v>
      </c>
      <c r="Z962" s="85">
        <v>45996</v>
      </c>
    </row>
    <row r="963" spans="1:27" x14ac:dyDescent="0.15">
      <c r="A963" s="70" t="s">
        <v>30</v>
      </c>
      <c r="B963" s="25">
        <v>3</v>
      </c>
      <c r="C963" s="45"/>
      <c r="D963" s="26"/>
      <c r="E963" s="32"/>
      <c r="F963" s="33">
        <f t="shared" si="591"/>
        <v>3</v>
      </c>
      <c r="G963" s="25"/>
      <c r="H963" s="45"/>
      <c r="I963" s="26"/>
      <c r="J963" s="32"/>
      <c r="K963" s="33">
        <f t="shared" si="592"/>
        <v>0</v>
      </c>
      <c r="L963" s="11">
        <f t="shared" si="588"/>
        <v>3</v>
      </c>
      <c r="M963" s="115">
        <v>45996</v>
      </c>
      <c r="N963" s="50" t="s">
        <v>524</v>
      </c>
      <c r="O963" s="25">
        <v>5</v>
      </c>
      <c r="P963" s="45"/>
      <c r="Q963" s="26"/>
      <c r="R963" s="32"/>
      <c r="S963" s="33">
        <f t="shared" si="593"/>
        <v>5</v>
      </c>
      <c r="T963" s="25"/>
      <c r="U963" s="45"/>
      <c r="V963" s="26"/>
      <c r="W963" s="32"/>
      <c r="X963" s="33">
        <f t="shared" si="594"/>
        <v>0</v>
      </c>
      <c r="Y963" s="11">
        <f t="shared" si="585"/>
        <v>5</v>
      </c>
      <c r="Z963" s="85">
        <v>46000</v>
      </c>
    </row>
    <row r="964" spans="1:27" x14ac:dyDescent="0.15">
      <c r="A964" s="70" t="s">
        <v>30</v>
      </c>
      <c r="B964" s="25"/>
      <c r="C964" s="45"/>
      <c r="D964" s="26"/>
      <c r="E964" s="32"/>
      <c r="F964" s="33">
        <f t="shared" si="591"/>
        <v>0</v>
      </c>
      <c r="G964" s="25">
        <v>1</v>
      </c>
      <c r="H964" s="45"/>
      <c r="I964" s="26"/>
      <c r="J964" s="32"/>
      <c r="K964" s="33">
        <f t="shared" si="592"/>
        <v>1</v>
      </c>
      <c r="L964" s="11">
        <f t="shared" si="588"/>
        <v>1</v>
      </c>
      <c r="M964" s="115">
        <v>45997</v>
      </c>
      <c r="N964" s="50" t="s">
        <v>524</v>
      </c>
      <c r="O964" s="25"/>
      <c r="P964" s="45">
        <v>5</v>
      </c>
      <c r="Q964" s="26"/>
      <c r="R964" s="32"/>
      <c r="S964" s="33">
        <f t="shared" si="593"/>
        <v>5</v>
      </c>
      <c r="T964" s="25"/>
      <c r="U964" s="45"/>
      <c r="V964" s="26"/>
      <c r="W964" s="32"/>
      <c r="X964" s="33">
        <f t="shared" si="594"/>
        <v>0</v>
      </c>
      <c r="Y964" s="11">
        <f t="shared" si="585"/>
        <v>5</v>
      </c>
      <c r="Z964" s="85">
        <v>46001</v>
      </c>
      <c r="AA964" s="198"/>
    </row>
    <row r="965" spans="1:27" x14ac:dyDescent="0.15">
      <c r="A965" s="70" t="s">
        <v>30</v>
      </c>
      <c r="B965" s="25">
        <v>1</v>
      </c>
      <c r="C965" s="45">
        <v>1</v>
      </c>
      <c r="D965" s="26"/>
      <c r="E965" s="32"/>
      <c r="F965" s="33">
        <f t="shared" si="591"/>
        <v>2</v>
      </c>
      <c r="G965" s="25">
        <v>1</v>
      </c>
      <c r="H965" s="45">
        <v>1</v>
      </c>
      <c r="I965" s="26"/>
      <c r="J965" s="32"/>
      <c r="K965" s="33">
        <f t="shared" si="592"/>
        <v>2</v>
      </c>
      <c r="L965" s="11">
        <f t="shared" si="588"/>
        <v>4</v>
      </c>
      <c r="M965" s="115">
        <v>45999</v>
      </c>
      <c r="N965" s="50" t="s">
        <v>524</v>
      </c>
      <c r="O965" s="25"/>
      <c r="P965" s="45"/>
      <c r="Q965" s="26"/>
      <c r="R965" s="32"/>
      <c r="S965" s="33">
        <f t="shared" si="593"/>
        <v>0</v>
      </c>
      <c r="T965" s="25">
        <v>-5</v>
      </c>
      <c r="U965" s="45">
        <v>-3</v>
      </c>
      <c r="V965" s="26"/>
      <c r="W965" s="32"/>
      <c r="X965" s="33">
        <f t="shared" si="594"/>
        <v>-8</v>
      </c>
      <c r="Y965" s="11">
        <f t="shared" si="585"/>
        <v>-8</v>
      </c>
      <c r="Z965" s="85">
        <v>46014</v>
      </c>
    </row>
    <row r="966" spans="1:27" x14ac:dyDescent="0.15">
      <c r="A966" s="70" t="s">
        <v>30</v>
      </c>
      <c r="B966" s="25"/>
      <c r="C966" s="45">
        <v>1</v>
      </c>
      <c r="D966" s="26"/>
      <c r="E966" s="32"/>
      <c r="F966" s="33">
        <f t="shared" si="591"/>
        <v>1</v>
      </c>
      <c r="G966" s="25"/>
      <c r="H966" s="45">
        <v>1</v>
      </c>
      <c r="I966" s="26"/>
      <c r="J966" s="32"/>
      <c r="K966" s="33">
        <f t="shared" si="592"/>
        <v>1</v>
      </c>
      <c r="L966" s="11">
        <f t="shared" si="588"/>
        <v>2</v>
      </c>
      <c r="M966" s="115">
        <v>46000</v>
      </c>
      <c r="N966" s="50" t="s">
        <v>524</v>
      </c>
      <c r="O966" s="25"/>
      <c r="P966" s="45"/>
      <c r="Q966" s="26"/>
      <c r="R966" s="32">
        <v>3</v>
      </c>
      <c r="S966" s="33">
        <f t="shared" si="593"/>
        <v>3</v>
      </c>
      <c r="T966" s="25"/>
      <c r="U966" s="45"/>
      <c r="V966" s="26"/>
      <c r="W966" s="32"/>
      <c r="X966" s="33">
        <f t="shared" si="594"/>
        <v>0</v>
      </c>
      <c r="Y966" s="11">
        <f t="shared" si="585"/>
        <v>3</v>
      </c>
      <c r="Z966" s="85">
        <v>46028</v>
      </c>
    </row>
    <row r="967" spans="1:27" x14ac:dyDescent="0.15">
      <c r="A967" s="70" t="s">
        <v>30</v>
      </c>
      <c r="B967" s="25"/>
      <c r="C967" s="45"/>
      <c r="D967" s="26"/>
      <c r="E967" s="32"/>
      <c r="F967" s="33">
        <f t="shared" si="591"/>
        <v>0</v>
      </c>
      <c r="G967" s="25">
        <v>1</v>
      </c>
      <c r="H967" s="45">
        <v>1</v>
      </c>
      <c r="I967" s="26"/>
      <c r="J967" s="32"/>
      <c r="K967" s="33">
        <f t="shared" si="592"/>
        <v>2</v>
      </c>
      <c r="L967" s="11">
        <f t="shared" si="588"/>
        <v>2</v>
      </c>
      <c r="M967" s="115">
        <v>46002</v>
      </c>
      <c r="N967" s="12" t="s">
        <v>534</v>
      </c>
      <c r="O967" s="25"/>
      <c r="P967" s="45"/>
      <c r="Q967" s="26"/>
      <c r="R967" s="32"/>
      <c r="S967" s="33">
        <f t="shared" si="593"/>
        <v>0</v>
      </c>
      <c r="T967" s="25"/>
      <c r="U967" s="45">
        <v>2</v>
      </c>
      <c r="V967" s="26"/>
      <c r="W967" s="32"/>
      <c r="X967" s="33">
        <f t="shared" si="594"/>
        <v>2</v>
      </c>
      <c r="Y967" s="11">
        <f t="shared" si="585"/>
        <v>2</v>
      </c>
      <c r="Z967" s="85">
        <v>46036</v>
      </c>
    </row>
    <row r="968" spans="1:27" x14ac:dyDescent="0.15">
      <c r="A968" s="70" t="s">
        <v>30</v>
      </c>
      <c r="B968" s="25">
        <v>2</v>
      </c>
      <c r="C968" s="45"/>
      <c r="D968" s="26">
        <v>1</v>
      </c>
      <c r="E968" s="32"/>
      <c r="F968" s="33">
        <f t="shared" si="591"/>
        <v>3</v>
      </c>
      <c r="G968" s="25"/>
      <c r="H968" s="45"/>
      <c r="I968" s="26"/>
      <c r="J968" s="32"/>
      <c r="K968" s="33">
        <f t="shared" si="592"/>
        <v>0</v>
      </c>
      <c r="L968" s="11">
        <f t="shared" si="588"/>
        <v>3</v>
      </c>
      <c r="M968" s="115">
        <v>46007</v>
      </c>
      <c r="N968" s="12" t="s">
        <v>537</v>
      </c>
      <c r="O968" s="25"/>
      <c r="P968" s="45"/>
      <c r="Q968" s="26">
        <v>5</v>
      </c>
      <c r="R968" s="32"/>
      <c r="S968" s="33">
        <f t="shared" si="593"/>
        <v>5</v>
      </c>
      <c r="T968" s="25"/>
      <c r="U968" s="45"/>
      <c r="V968" s="26"/>
      <c r="W968" s="32"/>
      <c r="X968" s="33">
        <f t="shared" si="594"/>
        <v>0</v>
      </c>
      <c r="Y968" s="11">
        <f t="shared" si="585"/>
        <v>5</v>
      </c>
      <c r="Z968" s="85">
        <v>46043</v>
      </c>
    </row>
    <row r="969" spans="1:27" x14ac:dyDescent="0.15">
      <c r="A969" s="70" t="s">
        <v>30</v>
      </c>
      <c r="B969" s="25"/>
      <c r="C969" s="45">
        <v>1</v>
      </c>
      <c r="D969" s="26"/>
      <c r="E969" s="32"/>
      <c r="F969" s="33">
        <f t="shared" si="591"/>
        <v>1</v>
      </c>
      <c r="G969" s="25"/>
      <c r="H969" s="45"/>
      <c r="I969" s="26"/>
      <c r="J969" s="32"/>
      <c r="K969" s="33">
        <f t="shared" si="592"/>
        <v>0</v>
      </c>
      <c r="L969" s="11">
        <f t="shared" si="588"/>
        <v>1</v>
      </c>
      <c r="M969" s="115">
        <v>46008</v>
      </c>
      <c r="N969" s="197" t="s">
        <v>524</v>
      </c>
      <c r="O969" s="190">
        <v>3</v>
      </c>
      <c r="P969" s="191">
        <v>5</v>
      </c>
      <c r="Q969" s="192"/>
      <c r="R969" s="193"/>
      <c r="S969" s="194">
        <f t="shared" si="593"/>
        <v>8</v>
      </c>
      <c r="T969" s="190"/>
      <c r="U969" s="191">
        <v>3</v>
      </c>
      <c r="V969" s="192"/>
      <c r="W969" s="193"/>
      <c r="X969" s="194">
        <f t="shared" si="594"/>
        <v>3</v>
      </c>
      <c r="Y969" s="187">
        <f t="shared" si="585"/>
        <v>11</v>
      </c>
      <c r="Z969" s="188">
        <v>46042</v>
      </c>
    </row>
    <row r="970" spans="1:27" x14ac:dyDescent="0.15">
      <c r="A970" s="70" t="s">
        <v>30</v>
      </c>
      <c r="B970" s="25"/>
      <c r="C970" s="45"/>
      <c r="D970" s="26"/>
      <c r="E970" s="32">
        <v>1</v>
      </c>
      <c r="F970" s="33">
        <f t="shared" si="591"/>
        <v>1</v>
      </c>
      <c r="G970" s="25"/>
      <c r="H970" s="45"/>
      <c r="I970" s="26"/>
      <c r="J970" s="32"/>
      <c r="K970" s="33">
        <f t="shared" si="592"/>
        <v>0</v>
      </c>
      <c r="L970" s="11">
        <f t="shared" si="588"/>
        <v>1</v>
      </c>
      <c r="M970" s="115">
        <v>46011</v>
      </c>
      <c r="N970" s="50" t="s">
        <v>524</v>
      </c>
      <c r="O970" s="25"/>
      <c r="P970" s="45">
        <v>3</v>
      </c>
      <c r="Q970" s="26"/>
      <c r="R970" s="32"/>
      <c r="S970" s="33">
        <f t="shared" si="593"/>
        <v>3</v>
      </c>
      <c r="T970" s="25"/>
      <c r="U970" s="45"/>
      <c r="V970" s="26"/>
      <c r="W970" s="32"/>
      <c r="X970" s="33">
        <f t="shared" si="594"/>
        <v>0</v>
      </c>
      <c r="Y970" s="11">
        <f t="shared" si="585"/>
        <v>3</v>
      </c>
      <c r="Z970" s="85">
        <v>46045</v>
      </c>
      <c r="AA970" s="51"/>
    </row>
    <row r="971" spans="1:27" x14ac:dyDescent="0.15">
      <c r="A971" s="70" t="s">
        <v>30</v>
      </c>
      <c r="B971" s="25"/>
      <c r="C971" s="45">
        <v>1</v>
      </c>
      <c r="D971" s="26"/>
      <c r="E971" s="32"/>
      <c r="F971" s="33">
        <f t="shared" si="591"/>
        <v>1</v>
      </c>
      <c r="G971" s="25">
        <v>2</v>
      </c>
      <c r="H971" s="45">
        <v>1</v>
      </c>
      <c r="I971" s="26"/>
      <c r="J971" s="32"/>
      <c r="K971" s="33">
        <f t="shared" si="592"/>
        <v>3</v>
      </c>
      <c r="L971" s="11">
        <f t="shared" si="588"/>
        <v>4</v>
      </c>
      <c r="M971" s="115">
        <v>46013</v>
      </c>
      <c r="N971" s="50"/>
      <c r="O971" s="25"/>
      <c r="P971" s="45"/>
      <c r="Q971" s="26"/>
      <c r="R971" s="32"/>
      <c r="S971" s="33">
        <f t="shared" si="593"/>
        <v>0</v>
      </c>
      <c r="T971" s="25"/>
      <c r="U971" s="45"/>
      <c r="V971" s="26"/>
      <c r="W971" s="32"/>
      <c r="X971" s="33">
        <f t="shared" si="594"/>
        <v>0</v>
      </c>
      <c r="Y971" s="11">
        <f t="shared" si="585"/>
        <v>0</v>
      </c>
    </row>
    <row r="972" spans="1:27" x14ac:dyDescent="0.15">
      <c r="A972" s="181" t="s">
        <v>149</v>
      </c>
      <c r="B972" s="190"/>
      <c r="C972" s="191"/>
      <c r="D972" s="192"/>
      <c r="E972" s="193"/>
      <c r="F972" s="194">
        <f t="shared" si="591"/>
        <v>0</v>
      </c>
      <c r="G972" s="190">
        <v>-5</v>
      </c>
      <c r="H972" s="191">
        <v>-3</v>
      </c>
      <c r="I972" s="192"/>
      <c r="J972" s="193"/>
      <c r="K972" s="194">
        <f t="shared" si="592"/>
        <v>-8</v>
      </c>
      <c r="L972" s="187">
        <f t="shared" si="588"/>
        <v>-8</v>
      </c>
      <c r="M972" s="188">
        <v>46014</v>
      </c>
      <c r="N972" s="50"/>
      <c r="O972" s="25"/>
      <c r="P972" s="45"/>
      <c r="Q972" s="26"/>
      <c r="R972" s="32"/>
      <c r="S972" s="33">
        <f t="shared" si="593"/>
        <v>0</v>
      </c>
      <c r="T972" s="25"/>
      <c r="U972" s="45"/>
      <c r="V972" s="26"/>
      <c r="W972" s="32"/>
      <c r="X972" s="33">
        <f t="shared" si="594"/>
        <v>0</v>
      </c>
      <c r="Y972" s="11">
        <f t="shared" si="585"/>
        <v>0</v>
      </c>
    </row>
    <row r="973" spans="1:27" x14ac:dyDescent="0.15">
      <c r="A973" s="70" t="s">
        <v>533</v>
      </c>
      <c r="B973" s="25"/>
      <c r="C973" s="45"/>
      <c r="D973" s="26"/>
      <c r="E973" s="32">
        <v>1</v>
      </c>
      <c r="F973" s="33">
        <f t="shared" ref="F973" si="595">SUM(B973:E973)</f>
        <v>1</v>
      </c>
      <c r="G973" s="25"/>
      <c r="H973" s="45"/>
      <c r="I973" s="26"/>
      <c r="J973" s="32"/>
      <c r="K973" s="33">
        <f t="shared" ref="K973" si="596">SUM(G973:J973)</f>
        <v>0</v>
      </c>
      <c r="L973" s="11">
        <f t="shared" ref="L973" si="597">F973+K973</f>
        <v>1</v>
      </c>
      <c r="M973" s="85">
        <v>46016</v>
      </c>
      <c r="N973" s="50"/>
      <c r="O973" s="25"/>
      <c r="P973" s="45"/>
      <c r="Q973" s="26"/>
      <c r="R973" s="32"/>
      <c r="S973" s="33">
        <f t="shared" si="593"/>
        <v>0</v>
      </c>
      <c r="T973" s="25"/>
      <c r="U973" s="45"/>
      <c r="V973" s="26"/>
      <c r="W973" s="32"/>
      <c r="X973" s="33">
        <f t="shared" si="594"/>
        <v>0</v>
      </c>
      <c r="Y973" s="11">
        <f t="shared" si="585"/>
        <v>0</v>
      </c>
    </row>
    <row r="974" spans="1:27" x14ac:dyDescent="0.15">
      <c r="A974" s="70" t="s">
        <v>30</v>
      </c>
      <c r="B974" s="25"/>
      <c r="C974" s="45"/>
      <c r="D974" s="26">
        <v>1</v>
      </c>
      <c r="E974" s="32">
        <v>1</v>
      </c>
      <c r="F974" s="33">
        <f t="shared" si="591"/>
        <v>2</v>
      </c>
      <c r="G974" s="25"/>
      <c r="H974" s="45"/>
      <c r="I974" s="26"/>
      <c r="J974" s="32"/>
      <c r="K974" s="33">
        <f t="shared" si="592"/>
        <v>0</v>
      </c>
      <c r="L974" s="11">
        <f t="shared" si="588"/>
        <v>2</v>
      </c>
      <c r="M974" s="115">
        <v>46027</v>
      </c>
      <c r="N974" s="50"/>
      <c r="O974" s="25"/>
      <c r="P974" s="45"/>
      <c r="Q974" s="26"/>
      <c r="R974" s="32"/>
      <c r="S974" s="33">
        <f t="shared" si="593"/>
        <v>0</v>
      </c>
      <c r="T974" s="25"/>
      <c r="U974" s="45"/>
      <c r="V974" s="26"/>
      <c r="W974" s="32"/>
      <c r="X974" s="33">
        <f t="shared" si="594"/>
        <v>0</v>
      </c>
      <c r="Y974" s="11">
        <f t="shared" si="585"/>
        <v>0</v>
      </c>
    </row>
    <row r="975" spans="1:27" x14ac:dyDescent="0.15">
      <c r="A975" s="181" t="s">
        <v>149</v>
      </c>
      <c r="B975" s="190"/>
      <c r="C975" s="191"/>
      <c r="D975" s="192"/>
      <c r="E975" s="193">
        <v>-3</v>
      </c>
      <c r="F975" s="194">
        <f t="shared" si="591"/>
        <v>-3</v>
      </c>
      <c r="G975" s="190"/>
      <c r="H975" s="191"/>
      <c r="I975" s="192"/>
      <c r="J975" s="193"/>
      <c r="K975" s="194">
        <f t="shared" si="592"/>
        <v>0</v>
      </c>
      <c r="L975" s="187">
        <f t="shared" si="588"/>
        <v>-3</v>
      </c>
      <c r="M975" s="188">
        <v>46028</v>
      </c>
      <c r="N975" s="50"/>
      <c r="O975" s="25"/>
      <c r="P975" s="45"/>
      <c r="Q975" s="26"/>
      <c r="R975" s="32"/>
      <c r="S975" s="33">
        <f t="shared" si="593"/>
        <v>0</v>
      </c>
      <c r="T975" s="25"/>
      <c r="U975" s="45"/>
      <c r="V975" s="26"/>
      <c r="W975" s="32"/>
      <c r="X975" s="33">
        <f t="shared" si="594"/>
        <v>0</v>
      </c>
      <c r="Y975" s="11">
        <f t="shared" si="585"/>
        <v>0</v>
      </c>
    </row>
    <row r="976" spans="1:27" x14ac:dyDescent="0.15">
      <c r="A976" s="70" t="s">
        <v>30</v>
      </c>
      <c r="B976" s="25"/>
      <c r="C976" s="45"/>
      <c r="D976" s="26">
        <v>1</v>
      </c>
      <c r="E976" s="32"/>
      <c r="F976" s="33">
        <f t="shared" si="591"/>
        <v>1</v>
      </c>
      <c r="G976" s="25"/>
      <c r="H976" s="45"/>
      <c r="I976" s="26"/>
      <c r="J976" s="32"/>
      <c r="K976" s="33">
        <f t="shared" si="592"/>
        <v>0</v>
      </c>
      <c r="L976" s="11">
        <f t="shared" si="588"/>
        <v>1</v>
      </c>
      <c r="M976" s="115">
        <v>46029</v>
      </c>
      <c r="N976" s="50"/>
      <c r="O976" s="25"/>
      <c r="P976" s="45"/>
      <c r="Q976" s="26"/>
      <c r="R976" s="32"/>
      <c r="S976" s="33">
        <f t="shared" si="593"/>
        <v>0</v>
      </c>
      <c r="T976" s="25"/>
      <c r="U976" s="45"/>
      <c r="V976" s="26"/>
      <c r="W976" s="32"/>
      <c r="X976" s="33">
        <f t="shared" si="594"/>
        <v>0</v>
      </c>
      <c r="Y976" s="11">
        <f t="shared" si="585"/>
        <v>0</v>
      </c>
    </row>
    <row r="977" spans="1:26" x14ac:dyDescent="0.15">
      <c r="A977" s="70" t="s">
        <v>30</v>
      </c>
      <c r="B977" s="25"/>
      <c r="C977" s="45"/>
      <c r="D977" s="26"/>
      <c r="E977" s="32"/>
      <c r="F977" s="33">
        <f t="shared" si="591"/>
        <v>0</v>
      </c>
      <c r="G977" s="25"/>
      <c r="H977" s="45">
        <v>1</v>
      </c>
      <c r="I977" s="26"/>
      <c r="J977" s="32"/>
      <c r="K977" s="33">
        <f t="shared" si="592"/>
        <v>1</v>
      </c>
      <c r="L977" s="11">
        <f t="shared" si="588"/>
        <v>1</v>
      </c>
      <c r="M977" s="115">
        <v>46032</v>
      </c>
      <c r="N977" s="50"/>
      <c r="O977" s="25"/>
      <c r="P977" s="45"/>
      <c r="Q977" s="26"/>
      <c r="R977" s="32"/>
      <c r="S977" s="33">
        <f t="shared" si="593"/>
        <v>0</v>
      </c>
      <c r="T977" s="25"/>
      <c r="U977" s="45"/>
      <c r="V977" s="26"/>
      <c r="W977" s="32"/>
      <c r="X977" s="33">
        <f t="shared" si="594"/>
        <v>0</v>
      </c>
      <c r="Y977" s="11">
        <f t="shared" si="585"/>
        <v>0</v>
      </c>
    </row>
    <row r="978" spans="1:26" x14ac:dyDescent="0.15">
      <c r="A978" s="70" t="s">
        <v>30</v>
      </c>
      <c r="B978" s="25"/>
      <c r="C978" s="45">
        <v>1</v>
      </c>
      <c r="D978" s="26"/>
      <c r="E978" s="32"/>
      <c r="F978" s="33">
        <f t="shared" si="591"/>
        <v>1</v>
      </c>
      <c r="G978" s="25"/>
      <c r="H978" s="45">
        <v>2</v>
      </c>
      <c r="I978" s="26"/>
      <c r="J978" s="32"/>
      <c r="K978" s="33">
        <f t="shared" si="592"/>
        <v>2</v>
      </c>
      <c r="L978" s="11">
        <f t="shared" si="588"/>
        <v>3</v>
      </c>
      <c r="M978" s="115">
        <v>46035</v>
      </c>
      <c r="N978" s="50"/>
      <c r="O978" s="25"/>
      <c r="P978" s="45"/>
      <c r="Q978" s="26"/>
      <c r="R978" s="32"/>
      <c r="S978" s="33">
        <f t="shared" si="593"/>
        <v>0</v>
      </c>
      <c r="T978" s="25"/>
      <c r="U978" s="45"/>
      <c r="V978" s="26"/>
      <c r="W978" s="32"/>
      <c r="X978" s="33">
        <f t="shared" si="594"/>
        <v>0</v>
      </c>
      <c r="Y978" s="11">
        <f t="shared" si="585"/>
        <v>0</v>
      </c>
    </row>
    <row r="979" spans="1:26" x14ac:dyDescent="0.15">
      <c r="A979" s="70" t="s">
        <v>536</v>
      </c>
      <c r="B979" s="25"/>
      <c r="C979" s="45">
        <v>1</v>
      </c>
      <c r="D979" s="26"/>
      <c r="E979" s="32"/>
      <c r="F979" s="33">
        <f t="shared" si="591"/>
        <v>1</v>
      </c>
      <c r="G979" s="25"/>
      <c r="H979" s="45"/>
      <c r="I979" s="26"/>
      <c r="J979" s="32"/>
      <c r="K979" s="33">
        <f t="shared" si="592"/>
        <v>0</v>
      </c>
      <c r="L979" s="11">
        <f t="shared" si="588"/>
        <v>1</v>
      </c>
      <c r="M979" s="85">
        <v>46041</v>
      </c>
      <c r="N979" s="12"/>
      <c r="O979" s="25"/>
      <c r="P979" s="45"/>
      <c r="Q979" s="26"/>
      <c r="R979" s="32"/>
      <c r="S979" s="33">
        <f t="shared" si="593"/>
        <v>0</v>
      </c>
      <c r="T979" s="25"/>
      <c r="U979" s="45"/>
      <c r="V979" s="26"/>
      <c r="W979" s="32"/>
      <c r="X979" s="33">
        <f t="shared" si="594"/>
        <v>0</v>
      </c>
      <c r="Y979" s="93">
        <f t="shared" si="585"/>
        <v>0</v>
      </c>
    </row>
    <row r="980" spans="1:26" x14ac:dyDescent="0.15">
      <c r="A980" s="70" t="s">
        <v>30</v>
      </c>
      <c r="B980" s="25"/>
      <c r="C980" s="45"/>
      <c r="D980" s="26"/>
      <c r="E980" s="32"/>
      <c r="F980" s="33">
        <f t="shared" si="591"/>
        <v>0</v>
      </c>
      <c r="G980" s="25"/>
      <c r="H980" s="45"/>
      <c r="I980" s="26"/>
      <c r="J980" s="32">
        <v>1</v>
      </c>
      <c r="K980" s="33">
        <f t="shared" si="592"/>
        <v>1</v>
      </c>
      <c r="L980" s="11">
        <f t="shared" si="588"/>
        <v>1</v>
      </c>
      <c r="M980" s="115">
        <v>46037</v>
      </c>
      <c r="N980" s="12"/>
      <c r="O980" s="25"/>
      <c r="P980" s="45"/>
      <c r="Q980" s="26"/>
      <c r="R980" s="32"/>
      <c r="S980" s="33">
        <f t="shared" si="593"/>
        <v>0</v>
      </c>
      <c r="T980" s="25"/>
      <c r="U980" s="45"/>
      <c r="V980" s="26"/>
      <c r="W980" s="32"/>
      <c r="X980" s="33">
        <f t="shared" si="594"/>
        <v>0</v>
      </c>
      <c r="Y980" s="93">
        <f t="shared" si="585"/>
        <v>0</v>
      </c>
    </row>
    <row r="981" spans="1:26" x14ac:dyDescent="0.15">
      <c r="A981" s="70" t="s">
        <v>30</v>
      </c>
      <c r="B981" s="25"/>
      <c r="C981" s="45">
        <v>1</v>
      </c>
      <c r="D981" s="26"/>
      <c r="E981" s="32"/>
      <c r="F981" s="33">
        <f t="shared" si="591"/>
        <v>1</v>
      </c>
      <c r="G981" s="25"/>
      <c r="H981" s="45"/>
      <c r="I981" s="26"/>
      <c r="J981" s="32"/>
      <c r="K981" s="33">
        <f t="shared" si="592"/>
        <v>0</v>
      </c>
      <c r="L981" s="11">
        <f t="shared" si="588"/>
        <v>1</v>
      </c>
      <c r="M981" s="115">
        <v>46039</v>
      </c>
      <c r="N981" s="12"/>
      <c r="O981" s="25"/>
      <c r="P981" s="45"/>
      <c r="Q981" s="26"/>
      <c r="R981" s="32"/>
      <c r="S981" s="33">
        <f t="shared" ref="S981:S984" si="598">SUM(O981:R981)</f>
        <v>0</v>
      </c>
      <c r="T981" s="25"/>
      <c r="U981" s="45"/>
      <c r="V981" s="26"/>
      <c r="W981" s="32"/>
      <c r="X981" s="33">
        <f t="shared" ref="X981:X984" si="599">SUM(T981:W981)</f>
        <v>0</v>
      </c>
      <c r="Y981" s="93">
        <f t="shared" ref="Y981:Y984" si="600">S981+X981</f>
        <v>0</v>
      </c>
    </row>
    <row r="982" spans="1:26" x14ac:dyDescent="0.15">
      <c r="A982" s="70" t="s">
        <v>30</v>
      </c>
      <c r="B982" s="25"/>
      <c r="C982" s="45">
        <v>2</v>
      </c>
      <c r="D982" s="26"/>
      <c r="E982" s="32"/>
      <c r="F982" s="33">
        <f t="shared" si="591"/>
        <v>2</v>
      </c>
      <c r="G982" s="25"/>
      <c r="H982" s="45"/>
      <c r="I982" s="26"/>
      <c r="J982" s="32"/>
      <c r="K982" s="33">
        <f t="shared" si="592"/>
        <v>0</v>
      </c>
      <c r="L982" s="11">
        <f t="shared" si="588"/>
        <v>2</v>
      </c>
      <c r="M982" s="115">
        <v>46041</v>
      </c>
      <c r="N982" s="12"/>
      <c r="O982" s="25"/>
      <c r="P982" s="45"/>
      <c r="Q982" s="26"/>
      <c r="R982" s="32"/>
      <c r="S982" s="33">
        <f t="shared" si="598"/>
        <v>0</v>
      </c>
      <c r="T982" s="25"/>
      <c r="U982" s="45"/>
      <c r="V982" s="26"/>
      <c r="W982" s="32"/>
      <c r="X982" s="33">
        <f t="shared" si="599"/>
        <v>0</v>
      </c>
      <c r="Y982" s="93">
        <f t="shared" si="600"/>
        <v>0</v>
      </c>
    </row>
    <row r="983" spans="1:26" x14ac:dyDescent="0.15">
      <c r="A983" s="181" t="s">
        <v>149</v>
      </c>
      <c r="B983" s="190">
        <v>-3</v>
      </c>
      <c r="C983" s="191">
        <v>-5</v>
      </c>
      <c r="D983" s="192"/>
      <c r="E983" s="193"/>
      <c r="F983" s="194">
        <f t="shared" si="591"/>
        <v>-8</v>
      </c>
      <c r="G983" s="190"/>
      <c r="H983" s="191">
        <v>-3</v>
      </c>
      <c r="I983" s="192"/>
      <c r="J983" s="193"/>
      <c r="K983" s="194">
        <f t="shared" si="592"/>
        <v>-3</v>
      </c>
      <c r="L983" s="200">
        <f t="shared" si="588"/>
        <v>-11</v>
      </c>
      <c r="M983" s="188">
        <v>46042</v>
      </c>
      <c r="N983" s="96" t="s">
        <v>501</v>
      </c>
      <c r="O983" s="97"/>
      <c r="P983" s="98"/>
      <c r="Q983" s="99"/>
      <c r="R983" s="199"/>
      <c r="S983" s="101">
        <f t="shared" si="598"/>
        <v>0</v>
      </c>
      <c r="T983" s="97"/>
      <c r="U983" s="98"/>
      <c r="V983" s="99"/>
      <c r="W983" s="199"/>
      <c r="X983" s="101">
        <f t="shared" si="599"/>
        <v>0</v>
      </c>
      <c r="Y983" s="195">
        <f t="shared" si="600"/>
        <v>0</v>
      </c>
      <c r="Z983" s="210"/>
    </row>
    <row r="984" spans="1:26" ht="14.25" thickBot="1" x14ac:dyDescent="0.2">
      <c r="A984" s="108" t="s">
        <v>30</v>
      </c>
      <c r="B984" s="55"/>
      <c r="C984" s="56">
        <v>2</v>
      </c>
      <c r="D984" s="57"/>
      <c r="E984" s="58"/>
      <c r="F984" s="109">
        <f t="shared" ref="F984" si="601">SUM(B984:E984)</f>
        <v>2</v>
      </c>
      <c r="G984" s="55"/>
      <c r="H984" s="56">
        <v>1</v>
      </c>
      <c r="I984" s="57"/>
      <c r="J984" s="58"/>
      <c r="K984" s="109">
        <f t="shared" ref="K984" si="602">SUM(G984:J984)</f>
        <v>1</v>
      </c>
      <c r="L984" s="107">
        <f t="shared" ref="L984" si="603">F984+K984</f>
        <v>3</v>
      </c>
      <c r="M984" s="188">
        <v>46043</v>
      </c>
      <c r="N984" s="140" t="s">
        <v>500</v>
      </c>
      <c r="O984" s="141"/>
      <c r="P984" s="142"/>
      <c r="Q984" s="143"/>
      <c r="R984" s="196"/>
      <c r="S984" s="145">
        <f t="shared" si="598"/>
        <v>0</v>
      </c>
      <c r="T984" s="141"/>
      <c r="U984" s="142"/>
      <c r="V984" s="143"/>
      <c r="W984" s="196"/>
      <c r="X984" s="145">
        <f t="shared" si="599"/>
        <v>0</v>
      </c>
      <c r="Y984" s="107">
        <f t="shared" si="600"/>
        <v>0</v>
      </c>
      <c r="Z984" s="159" t="s">
        <v>511</v>
      </c>
    </row>
    <row r="985" spans="1:26" ht="14.25" thickBot="1" x14ac:dyDescent="0.2">
      <c r="A985" s="72" t="s">
        <v>10</v>
      </c>
      <c r="B985" s="36">
        <f>SUM(B960:B984)</f>
        <v>2</v>
      </c>
      <c r="C985" s="46">
        <f>SUM(C960:C984)</f>
        <v>8</v>
      </c>
      <c r="D985" s="37">
        <f>SUM(D960:D984)</f>
        <v>3</v>
      </c>
      <c r="E985" s="38">
        <f>SUM(E960:E984)</f>
        <v>5</v>
      </c>
      <c r="F985" s="71">
        <f>SUM(B985:E985)</f>
        <v>18</v>
      </c>
      <c r="G985" s="36">
        <f>SUM(G960:G984)</f>
        <v>0</v>
      </c>
      <c r="H985" s="46">
        <f>SUM(H960:H984)</f>
        <v>2</v>
      </c>
      <c r="I985" s="37">
        <f>SUM(I960:I984)</f>
        <v>0</v>
      </c>
      <c r="J985" s="38">
        <f>SUM(J960:J984)</f>
        <v>1</v>
      </c>
      <c r="K985" s="71">
        <f>SUM(G985:J985)</f>
        <v>3</v>
      </c>
      <c r="L985" s="75">
        <f t="shared" si="588"/>
        <v>21</v>
      </c>
      <c r="N985" s="72" t="s">
        <v>10</v>
      </c>
      <c r="O985" s="36">
        <f>SUM(O960:O984)</f>
        <v>10</v>
      </c>
      <c r="P985" s="46">
        <f>SUM(P960:P984)</f>
        <v>16</v>
      </c>
      <c r="Q985" s="37">
        <f>SUM(Q960:Q984)</f>
        <v>8</v>
      </c>
      <c r="R985" s="38">
        <f>SUM(R960:R984)</f>
        <v>6</v>
      </c>
      <c r="S985" s="71">
        <f t="shared" si="593"/>
        <v>40</v>
      </c>
      <c r="T985" s="36">
        <f>SUM(T960:T984)</f>
        <v>-3</v>
      </c>
      <c r="U985" s="46">
        <f>SUM(U960:U984)</f>
        <v>8</v>
      </c>
      <c r="V985" s="37">
        <f>SUM(V960:V984)</f>
        <v>10</v>
      </c>
      <c r="W985" s="38">
        <f>SUM(W960:W984)</f>
        <v>7</v>
      </c>
      <c r="X985" s="71">
        <f t="shared" si="594"/>
        <v>22</v>
      </c>
      <c r="Y985" s="75">
        <f t="shared" si="585"/>
        <v>62</v>
      </c>
    </row>
    <row r="986" spans="1:26" ht="14.25" thickBot="1" x14ac:dyDescent="0.2">
      <c r="A986" s="21" t="s">
        <v>11</v>
      </c>
      <c r="B986" s="39">
        <f t="shared" ref="B986:K986" si="604">B959-B985</f>
        <v>6</v>
      </c>
      <c r="C986" s="47">
        <f t="shared" si="604"/>
        <v>3</v>
      </c>
      <c r="D986" s="40">
        <f t="shared" si="604"/>
        <v>5</v>
      </c>
      <c r="E986" s="41">
        <f t="shared" si="604"/>
        <v>5</v>
      </c>
      <c r="F986" s="54">
        <f t="shared" si="604"/>
        <v>19</v>
      </c>
      <c r="G986" s="39">
        <f t="shared" si="604"/>
        <v>5</v>
      </c>
      <c r="H986" s="47">
        <f t="shared" si="604"/>
        <v>5</v>
      </c>
      <c r="I986" s="40">
        <f t="shared" si="604"/>
        <v>8</v>
      </c>
      <c r="J986" s="41">
        <f t="shared" si="604"/>
        <v>4</v>
      </c>
      <c r="K986" s="54">
        <f t="shared" si="604"/>
        <v>22</v>
      </c>
      <c r="L986" s="20">
        <f t="shared" si="588"/>
        <v>41</v>
      </c>
      <c r="N986" s="16" t="s">
        <v>11</v>
      </c>
      <c r="O986" s="39">
        <f t="shared" ref="O986:X986" si="605">O959-O985</f>
        <v>544</v>
      </c>
      <c r="P986" s="47">
        <f t="shared" si="605"/>
        <v>790</v>
      </c>
      <c r="Q986" s="40">
        <f t="shared" si="605"/>
        <v>539</v>
      </c>
      <c r="R986" s="41">
        <f t="shared" si="605"/>
        <v>484</v>
      </c>
      <c r="S986" s="54">
        <f t="shared" si="605"/>
        <v>2357</v>
      </c>
      <c r="T986" s="39">
        <f t="shared" si="605"/>
        <v>542</v>
      </c>
      <c r="U986" s="47">
        <f t="shared" si="605"/>
        <v>754</v>
      </c>
      <c r="V986" s="40">
        <f t="shared" si="605"/>
        <v>466</v>
      </c>
      <c r="W986" s="41">
        <f t="shared" si="605"/>
        <v>450</v>
      </c>
      <c r="X986" s="54">
        <f t="shared" si="605"/>
        <v>2212</v>
      </c>
      <c r="Y986" s="20">
        <f t="shared" si="585"/>
        <v>4569</v>
      </c>
    </row>
    <row r="987" spans="1:26" x14ac:dyDescent="0.15">
      <c r="N987" s="167"/>
    </row>
    <row r="988" spans="1:26" x14ac:dyDescent="0.15">
      <c r="N988" s="167"/>
    </row>
    <row r="989" spans="1:26" ht="19.5" thickBot="1" x14ac:dyDescent="0.25">
      <c r="A989" s="2" t="s">
        <v>26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27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6" ht="14.25" thickBot="1" x14ac:dyDescent="0.2">
      <c r="A990" s="5" t="s">
        <v>0</v>
      </c>
      <c r="B990" s="228" t="s">
        <v>19</v>
      </c>
      <c r="C990" s="229"/>
      <c r="D990" s="229"/>
      <c r="E990" s="229"/>
      <c r="F990" s="230"/>
      <c r="G990" s="231" t="s">
        <v>18</v>
      </c>
      <c r="H990" s="232"/>
      <c r="I990" s="232"/>
      <c r="J990" s="232"/>
      <c r="K990" s="233"/>
      <c r="L990" s="73" t="s">
        <v>1</v>
      </c>
      <c r="N990" s="5" t="s">
        <v>0</v>
      </c>
      <c r="O990" s="228" t="s">
        <v>19</v>
      </c>
      <c r="P990" s="229"/>
      <c r="Q990" s="229"/>
      <c r="R990" s="229"/>
      <c r="S990" s="230"/>
      <c r="T990" s="231" t="s">
        <v>18</v>
      </c>
      <c r="U990" s="232"/>
      <c r="V990" s="232"/>
      <c r="W990" s="232"/>
      <c r="X990" s="233"/>
      <c r="Y990" s="73" t="s">
        <v>1</v>
      </c>
    </row>
    <row r="991" spans="1:26" ht="14.25" thickBot="1" x14ac:dyDescent="0.2">
      <c r="A991" s="5" t="s">
        <v>2</v>
      </c>
      <c r="B991" s="3" t="s">
        <v>12</v>
      </c>
      <c r="C991" s="42" t="s">
        <v>13</v>
      </c>
      <c r="D991" s="4" t="s">
        <v>14</v>
      </c>
      <c r="E991" s="22" t="s">
        <v>15</v>
      </c>
      <c r="F991" s="30" t="s">
        <v>3</v>
      </c>
      <c r="G991" s="3" t="s">
        <v>12</v>
      </c>
      <c r="H991" s="42" t="s">
        <v>13</v>
      </c>
      <c r="I991" s="4" t="s">
        <v>14</v>
      </c>
      <c r="J991" s="22" t="s">
        <v>15</v>
      </c>
      <c r="K991" s="30" t="s">
        <v>3</v>
      </c>
      <c r="L991" s="74"/>
      <c r="N991" s="5" t="s">
        <v>2</v>
      </c>
      <c r="O991" s="64" t="s">
        <v>12</v>
      </c>
      <c r="P991" s="65" t="s">
        <v>13</v>
      </c>
      <c r="Q991" s="66" t="s">
        <v>14</v>
      </c>
      <c r="R991" s="67" t="s">
        <v>15</v>
      </c>
      <c r="S991" s="30" t="s">
        <v>3</v>
      </c>
      <c r="T991" s="3" t="s">
        <v>12</v>
      </c>
      <c r="U991" s="42" t="s">
        <v>13</v>
      </c>
      <c r="V991" s="4" t="s">
        <v>14</v>
      </c>
      <c r="W991" s="22" t="s">
        <v>15</v>
      </c>
      <c r="X991" s="30" t="s">
        <v>3</v>
      </c>
      <c r="Y991" s="74"/>
    </row>
    <row r="992" spans="1:26" ht="14.25" thickBot="1" x14ac:dyDescent="0.2">
      <c r="A992" s="21" t="s">
        <v>16</v>
      </c>
      <c r="B992" s="39">
        <f>B986</f>
        <v>6</v>
      </c>
      <c r="C992" s="40">
        <f>C986</f>
        <v>3</v>
      </c>
      <c r="D992" s="40">
        <f>D986</f>
        <v>5</v>
      </c>
      <c r="E992" s="41">
        <f>E986</f>
        <v>5</v>
      </c>
      <c r="F992" s="122">
        <f>SUM(B992:E992)</f>
        <v>19</v>
      </c>
      <c r="G992" s="39">
        <f>G986</f>
        <v>5</v>
      </c>
      <c r="H992" s="40">
        <f>H986</f>
        <v>5</v>
      </c>
      <c r="I992" s="40">
        <f>I986</f>
        <v>8</v>
      </c>
      <c r="J992" s="41">
        <f>J986</f>
        <v>4</v>
      </c>
      <c r="K992" s="123">
        <f>SUM(G992:J992)</f>
        <v>22</v>
      </c>
      <c r="L992" s="20">
        <f>F992+K992</f>
        <v>41</v>
      </c>
      <c r="N992" s="21" t="s">
        <v>16</v>
      </c>
      <c r="O992" s="39">
        <f>O986</f>
        <v>544</v>
      </c>
      <c r="P992" s="40">
        <f>P986</f>
        <v>790</v>
      </c>
      <c r="Q992" s="40">
        <f t="shared" ref="Q992:R992" si="606">Q986</f>
        <v>539</v>
      </c>
      <c r="R992" s="88">
        <f t="shared" si="606"/>
        <v>484</v>
      </c>
      <c r="S992" s="123">
        <f>SUM(O992:R992)</f>
        <v>2357</v>
      </c>
      <c r="T992" s="39">
        <f>T986</f>
        <v>542</v>
      </c>
      <c r="U992" s="40">
        <f>U986</f>
        <v>754</v>
      </c>
      <c r="V992" s="40">
        <f>V986</f>
        <v>466</v>
      </c>
      <c r="W992" s="41">
        <f>W986</f>
        <v>450</v>
      </c>
      <c r="X992" s="123">
        <f>SUM(T992:W992)</f>
        <v>2212</v>
      </c>
      <c r="Y992" s="20">
        <f t="shared" ref="Y992:Y1024" si="607">S992+X992</f>
        <v>4569</v>
      </c>
    </row>
    <row r="993" spans="1:27" x14ac:dyDescent="0.15">
      <c r="A993" s="70" t="s">
        <v>5</v>
      </c>
      <c r="B993" s="6"/>
      <c r="C993" s="29">
        <v>3</v>
      </c>
      <c r="D993" s="7"/>
      <c r="E993" s="8"/>
      <c r="F993" s="9">
        <f t="shared" ref="F993:F996" si="608">SUM(B993:E993)</f>
        <v>3</v>
      </c>
      <c r="G993" s="29"/>
      <c r="H993" s="29"/>
      <c r="I993" s="7"/>
      <c r="J993" s="8"/>
      <c r="K993" s="9">
        <f t="shared" ref="K993:K996" si="609">SUM(G993:J993)</f>
        <v>0</v>
      </c>
      <c r="L993" s="11">
        <f t="shared" ref="L993:L1024" si="610">F993+K993</f>
        <v>3</v>
      </c>
      <c r="M993" s="85">
        <v>46045</v>
      </c>
      <c r="N993" s="13" t="s">
        <v>17</v>
      </c>
      <c r="O993" s="25"/>
      <c r="P993" s="45"/>
      <c r="Q993" s="26"/>
      <c r="R993" s="32"/>
      <c r="S993" s="68">
        <f>SUM(O993:R993)</f>
        <v>0</v>
      </c>
      <c r="T993" s="45"/>
      <c r="U993" s="45"/>
      <c r="V993" s="26"/>
      <c r="W993" s="48"/>
      <c r="X993" s="9">
        <f>SUM(T993:W993)</f>
        <v>0</v>
      </c>
      <c r="Y993" s="11">
        <f t="shared" si="607"/>
        <v>0</v>
      </c>
    </row>
    <row r="994" spans="1:27" x14ac:dyDescent="0.15">
      <c r="A994" s="181" t="s">
        <v>6</v>
      </c>
      <c r="B994" s="182"/>
      <c r="C994" s="183"/>
      <c r="D994" s="184"/>
      <c r="E994" s="185"/>
      <c r="F994" s="186">
        <f t="shared" si="608"/>
        <v>0</v>
      </c>
      <c r="G994" s="183">
        <v>5</v>
      </c>
      <c r="H994" s="183"/>
      <c r="I994" s="184"/>
      <c r="J994" s="185">
        <v>5</v>
      </c>
      <c r="K994" s="186">
        <f t="shared" si="609"/>
        <v>10</v>
      </c>
      <c r="L994" s="187">
        <f t="shared" si="610"/>
        <v>10</v>
      </c>
      <c r="M994" s="188">
        <v>46049</v>
      </c>
      <c r="N994" s="13" t="s">
        <v>5</v>
      </c>
      <c r="O994" s="25"/>
      <c r="P994" s="45"/>
      <c r="Q994" s="26"/>
      <c r="R994" s="32"/>
      <c r="S994" s="68">
        <f>SUM(O994:R994)</f>
        <v>0</v>
      </c>
      <c r="T994" s="45"/>
      <c r="U994" s="45"/>
      <c r="V994" s="26"/>
      <c r="W994" s="48"/>
      <c r="X994" s="9">
        <f>SUM(T994:W994)</f>
        <v>0</v>
      </c>
      <c r="Y994" s="11">
        <f t="shared" ref="Y994" si="611">S994+X994</f>
        <v>0</v>
      </c>
    </row>
    <row r="995" spans="1:27" x14ac:dyDescent="0.15">
      <c r="A995" s="70" t="s">
        <v>7</v>
      </c>
      <c r="B995" s="6"/>
      <c r="C995" s="29">
        <v>5</v>
      </c>
      <c r="D995" s="7"/>
      <c r="E995" s="8"/>
      <c r="F995" s="9">
        <f t="shared" si="608"/>
        <v>5</v>
      </c>
      <c r="G995" s="29"/>
      <c r="H995" s="29"/>
      <c r="I995" s="7"/>
      <c r="J995" s="8"/>
      <c r="K995" s="9">
        <f t="shared" si="609"/>
        <v>0</v>
      </c>
      <c r="L995" s="11">
        <f t="shared" si="610"/>
        <v>5</v>
      </c>
      <c r="M995" s="85">
        <v>46052</v>
      </c>
      <c r="N995" s="13" t="s">
        <v>6</v>
      </c>
      <c r="O995" s="25"/>
      <c r="P995" s="45"/>
      <c r="Q995" s="26"/>
      <c r="R995" s="32"/>
      <c r="S995" s="68">
        <f>SUM(O995:R995)</f>
        <v>0</v>
      </c>
      <c r="T995" s="45"/>
      <c r="U995" s="45"/>
      <c r="V995" s="26"/>
      <c r="W995" s="48"/>
      <c r="X995" s="9">
        <f>SUM(T995:W995)</f>
        <v>0</v>
      </c>
      <c r="Y995" s="11">
        <f t="shared" si="607"/>
        <v>0</v>
      </c>
    </row>
    <row r="996" spans="1:27" ht="14.25" thickBot="1" x14ac:dyDescent="0.2">
      <c r="A996" s="70" t="s">
        <v>8</v>
      </c>
      <c r="B996" s="125">
        <v>5</v>
      </c>
      <c r="C996" s="126">
        <v>5</v>
      </c>
      <c r="D996" s="127">
        <v>5</v>
      </c>
      <c r="E996" s="128">
        <v>10</v>
      </c>
      <c r="F996" s="129">
        <f t="shared" si="608"/>
        <v>25</v>
      </c>
      <c r="G996" s="126">
        <v>5</v>
      </c>
      <c r="H996" s="126">
        <v>5</v>
      </c>
      <c r="I996" s="127">
        <v>5</v>
      </c>
      <c r="J996" s="128">
        <v>5</v>
      </c>
      <c r="K996" s="129">
        <f t="shared" si="609"/>
        <v>20</v>
      </c>
      <c r="L996" s="14">
        <f t="shared" si="610"/>
        <v>45</v>
      </c>
      <c r="M996" s="85">
        <v>46053</v>
      </c>
      <c r="N996" s="13" t="s">
        <v>7</v>
      </c>
      <c r="O996" s="55"/>
      <c r="P996" s="56"/>
      <c r="Q996" s="57"/>
      <c r="R996" s="58"/>
      <c r="S996" s="69">
        <f>SUM(O996:R996)</f>
        <v>0</v>
      </c>
      <c r="T996" s="45"/>
      <c r="U996" s="45"/>
      <c r="V996" s="26"/>
      <c r="W996" s="48"/>
      <c r="X996" s="10">
        <f>SUM(T996:W996)</f>
        <v>0</v>
      </c>
      <c r="Y996" s="14">
        <f t="shared" si="607"/>
        <v>0</v>
      </c>
    </row>
    <row r="997" spans="1:27" ht="14.25" thickBot="1" x14ac:dyDescent="0.2">
      <c r="A997" s="21" t="s">
        <v>9</v>
      </c>
      <c r="B997" s="130">
        <f t="shared" ref="B997:K997" si="612">SUM(B992:B996)</f>
        <v>11</v>
      </c>
      <c r="C997" s="131">
        <f t="shared" si="612"/>
        <v>16</v>
      </c>
      <c r="D997" s="132">
        <f t="shared" si="612"/>
        <v>10</v>
      </c>
      <c r="E997" s="133">
        <f t="shared" si="612"/>
        <v>15</v>
      </c>
      <c r="F997" s="123">
        <f t="shared" si="612"/>
        <v>52</v>
      </c>
      <c r="G997" s="130">
        <f t="shared" si="612"/>
        <v>15</v>
      </c>
      <c r="H997" s="131">
        <f t="shared" si="612"/>
        <v>10</v>
      </c>
      <c r="I997" s="132">
        <f t="shared" si="612"/>
        <v>13</v>
      </c>
      <c r="J997" s="133">
        <f t="shared" si="612"/>
        <v>14</v>
      </c>
      <c r="K997" s="123">
        <f t="shared" si="612"/>
        <v>52</v>
      </c>
      <c r="L997" s="20">
        <f t="shared" si="610"/>
        <v>104</v>
      </c>
      <c r="N997" s="16" t="s">
        <v>9</v>
      </c>
      <c r="O997" s="39">
        <f t="shared" ref="O997:X997" si="613">SUM(O992:O996)</f>
        <v>544</v>
      </c>
      <c r="P997" s="47">
        <f t="shared" si="613"/>
        <v>790</v>
      </c>
      <c r="Q997" s="40">
        <f t="shared" si="613"/>
        <v>539</v>
      </c>
      <c r="R997" s="88">
        <f t="shared" si="613"/>
        <v>484</v>
      </c>
      <c r="S997" s="89">
        <f t="shared" si="613"/>
        <v>2357</v>
      </c>
      <c r="T997" s="39">
        <f t="shared" si="613"/>
        <v>542</v>
      </c>
      <c r="U997" s="47">
        <f t="shared" si="613"/>
        <v>754</v>
      </c>
      <c r="V997" s="40">
        <f t="shared" si="613"/>
        <v>466</v>
      </c>
      <c r="W997" s="88">
        <f t="shared" si="613"/>
        <v>450</v>
      </c>
      <c r="X997" s="89">
        <f t="shared" si="613"/>
        <v>2212</v>
      </c>
      <c r="Y997" s="49">
        <f t="shared" si="607"/>
        <v>4569</v>
      </c>
    </row>
    <row r="998" spans="1:27" x14ac:dyDescent="0.15">
      <c r="A998" s="70" t="s">
        <v>30</v>
      </c>
      <c r="B998" s="25"/>
      <c r="C998" s="45"/>
      <c r="D998" s="26"/>
      <c r="E998" s="32"/>
      <c r="F998" s="33">
        <f t="shared" ref="F998:F1021" si="614">SUM(B998:E998)</f>
        <v>0</v>
      </c>
      <c r="G998" s="25">
        <v>1</v>
      </c>
      <c r="H998" s="45"/>
      <c r="I998" s="26"/>
      <c r="J998" s="32">
        <v>1</v>
      </c>
      <c r="K998" s="33">
        <f t="shared" ref="K998:K1021" si="615">SUM(G998:J998)</f>
        <v>2</v>
      </c>
      <c r="L998" s="11">
        <f t="shared" si="610"/>
        <v>2</v>
      </c>
      <c r="M998" s="115">
        <v>46045</v>
      </c>
      <c r="N998" s="189" t="s">
        <v>538</v>
      </c>
      <c r="O998" s="190"/>
      <c r="P998" s="191"/>
      <c r="Q998" s="192"/>
      <c r="R998" s="193"/>
      <c r="S998" s="194">
        <f t="shared" ref="S998:S1023" si="616">SUM(O998:R998)</f>
        <v>0</v>
      </c>
      <c r="T998" s="190">
        <v>5</v>
      </c>
      <c r="U998" s="191"/>
      <c r="V998" s="192"/>
      <c r="W998" s="193">
        <v>5</v>
      </c>
      <c r="X998" s="194">
        <f t="shared" ref="X998:X1023" si="617">SUM(T998:W998)</f>
        <v>10</v>
      </c>
      <c r="Y998" s="187">
        <f t="shared" si="607"/>
        <v>10</v>
      </c>
      <c r="Z998" s="188">
        <v>46049</v>
      </c>
    </row>
    <row r="999" spans="1:27" x14ac:dyDescent="0.15">
      <c r="A999" s="70" t="s">
        <v>30</v>
      </c>
      <c r="B999" s="25">
        <v>2</v>
      </c>
      <c r="C999" s="45">
        <v>2</v>
      </c>
      <c r="D999" s="26"/>
      <c r="E999" s="32">
        <v>1</v>
      </c>
      <c r="F999" s="33">
        <f t="shared" si="614"/>
        <v>5</v>
      </c>
      <c r="G999" s="25">
        <v>3</v>
      </c>
      <c r="H999" s="45"/>
      <c r="I999" s="26"/>
      <c r="J999" s="32">
        <v>1</v>
      </c>
      <c r="K999" s="33">
        <f t="shared" si="615"/>
        <v>4</v>
      </c>
      <c r="L999" s="11">
        <f t="shared" si="610"/>
        <v>9</v>
      </c>
      <c r="M999" s="115">
        <v>46048</v>
      </c>
      <c r="N999" s="12" t="s">
        <v>539</v>
      </c>
      <c r="O999" s="25"/>
      <c r="P999" s="45">
        <v>5</v>
      </c>
      <c r="Q999" s="26"/>
      <c r="R999" s="32">
        <v>5</v>
      </c>
      <c r="S999" s="33">
        <f t="shared" si="616"/>
        <v>10</v>
      </c>
      <c r="T999" s="25"/>
      <c r="U999" s="45"/>
      <c r="V999" s="26"/>
      <c r="W999" s="32"/>
      <c r="X999" s="33">
        <f t="shared" si="617"/>
        <v>0</v>
      </c>
      <c r="Y999" s="11">
        <f t="shared" si="607"/>
        <v>10</v>
      </c>
      <c r="Z999" s="85">
        <v>46057</v>
      </c>
    </row>
    <row r="1000" spans="1:27" x14ac:dyDescent="0.15">
      <c r="A1000" s="70" t="s">
        <v>30</v>
      </c>
      <c r="B1000" s="25"/>
      <c r="C1000" s="45">
        <v>1</v>
      </c>
      <c r="D1000" s="26"/>
      <c r="E1000" s="32"/>
      <c r="F1000" s="33">
        <f t="shared" si="614"/>
        <v>1</v>
      </c>
      <c r="G1000" s="25"/>
      <c r="H1000" s="45">
        <v>1</v>
      </c>
      <c r="I1000" s="26"/>
      <c r="J1000" s="32"/>
      <c r="K1000" s="33">
        <f t="shared" si="615"/>
        <v>1</v>
      </c>
      <c r="L1000" s="11">
        <f t="shared" si="610"/>
        <v>2</v>
      </c>
      <c r="M1000" s="115">
        <v>46049</v>
      </c>
      <c r="N1000" s="50" t="s">
        <v>540</v>
      </c>
      <c r="O1000" s="25">
        <v>5</v>
      </c>
      <c r="P1000" s="45">
        <v>5</v>
      </c>
      <c r="Q1000" s="26">
        <v>5</v>
      </c>
      <c r="R1000" s="32">
        <v>3</v>
      </c>
      <c r="S1000" s="33">
        <f t="shared" si="616"/>
        <v>18</v>
      </c>
      <c r="T1000" s="25">
        <v>5</v>
      </c>
      <c r="U1000" s="45">
        <v>10</v>
      </c>
      <c r="V1000" s="26">
        <v>10</v>
      </c>
      <c r="W1000" s="32">
        <v>5</v>
      </c>
      <c r="X1000" s="33">
        <f t="shared" si="617"/>
        <v>30</v>
      </c>
      <c r="Y1000" s="11">
        <f t="shared" si="607"/>
        <v>48</v>
      </c>
      <c r="Z1000" s="85">
        <v>46057</v>
      </c>
    </row>
    <row r="1001" spans="1:27" x14ac:dyDescent="0.15">
      <c r="A1001" s="70" t="s">
        <v>30</v>
      </c>
      <c r="B1001" s="25"/>
      <c r="C1001" s="45"/>
      <c r="D1001" s="26"/>
      <c r="E1001" s="32"/>
      <c r="F1001" s="33">
        <f t="shared" si="614"/>
        <v>0</v>
      </c>
      <c r="G1001" s="25"/>
      <c r="H1001" s="45"/>
      <c r="I1001" s="26"/>
      <c r="J1001" s="32">
        <v>1</v>
      </c>
      <c r="K1001" s="33">
        <f t="shared" si="615"/>
        <v>1</v>
      </c>
      <c r="L1001" s="11">
        <f t="shared" si="610"/>
        <v>1</v>
      </c>
      <c r="M1001" s="115">
        <v>46050</v>
      </c>
      <c r="N1001" s="50" t="s">
        <v>524</v>
      </c>
      <c r="O1001" s="25"/>
      <c r="P1001" s="45">
        <v>5</v>
      </c>
      <c r="Q1001" s="26"/>
      <c r="R1001" s="32"/>
      <c r="S1001" s="33">
        <f t="shared" si="616"/>
        <v>5</v>
      </c>
      <c r="T1001" s="25"/>
      <c r="U1001" s="45"/>
      <c r="V1001" s="26"/>
      <c r="W1001" s="32"/>
      <c r="X1001" s="33">
        <f t="shared" si="617"/>
        <v>0</v>
      </c>
      <c r="Y1001" s="11">
        <f t="shared" si="607"/>
        <v>5</v>
      </c>
      <c r="Z1001" s="85">
        <v>46052</v>
      </c>
    </row>
    <row r="1002" spans="1:27" x14ac:dyDescent="0.15">
      <c r="A1002" s="70" t="s">
        <v>30</v>
      </c>
      <c r="B1002" s="25"/>
      <c r="C1002" s="45">
        <v>2</v>
      </c>
      <c r="D1002" s="26"/>
      <c r="E1002" s="32">
        <v>1</v>
      </c>
      <c r="F1002" s="33">
        <f t="shared" si="614"/>
        <v>3</v>
      </c>
      <c r="G1002" s="25"/>
      <c r="H1002" s="45"/>
      <c r="I1002" s="26">
        <v>1</v>
      </c>
      <c r="J1002" s="32"/>
      <c r="K1002" s="33">
        <f t="shared" si="615"/>
        <v>1</v>
      </c>
      <c r="L1002" s="11">
        <f t="shared" si="610"/>
        <v>4</v>
      </c>
      <c r="M1002" s="115">
        <v>46051</v>
      </c>
      <c r="N1002" s="50" t="s">
        <v>524</v>
      </c>
      <c r="O1002" s="25">
        <v>5</v>
      </c>
      <c r="P1002" s="45">
        <v>5</v>
      </c>
      <c r="Q1002" s="26">
        <v>5</v>
      </c>
      <c r="R1002" s="32">
        <v>10</v>
      </c>
      <c r="S1002" s="33">
        <f t="shared" si="616"/>
        <v>25</v>
      </c>
      <c r="T1002" s="25">
        <v>5</v>
      </c>
      <c r="U1002" s="45">
        <v>5</v>
      </c>
      <c r="V1002" s="26">
        <v>5</v>
      </c>
      <c r="W1002" s="32">
        <v>5</v>
      </c>
      <c r="X1002" s="33">
        <f t="shared" si="617"/>
        <v>20</v>
      </c>
      <c r="Y1002" s="11">
        <f t="shared" si="607"/>
        <v>45</v>
      </c>
      <c r="Z1002" s="85">
        <v>46053</v>
      </c>
      <c r="AA1002" s="51"/>
    </row>
    <row r="1003" spans="1:27" x14ac:dyDescent="0.15">
      <c r="A1003" s="70" t="s">
        <v>30</v>
      </c>
      <c r="B1003" s="25"/>
      <c r="C1003" s="45">
        <v>1</v>
      </c>
      <c r="D1003" s="26"/>
      <c r="E1003" s="32">
        <v>3</v>
      </c>
      <c r="F1003" s="33">
        <f t="shared" si="614"/>
        <v>4</v>
      </c>
      <c r="G1003" s="25"/>
      <c r="H1003" s="45"/>
      <c r="I1003" s="26"/>
      <c r="J1003" s="32">
        <v>1</v>
      </c>
      <c r="K1003" s="33">
        <f t="shared" si="615"/>
        <v>1</v>
      </c>
      <c r="L1003" s="11">
        <f t="shared" si="610"/>
        <v>5</v>
      </c>
      <c r="M1003" s="115">
        <v>46052</v>
      </c>
      <c r="N1003" s="12" t="s">
        <v>541</v>
      </c>
      <c r="O1003" s="25"/>
      <c r="P1003" s="45"/>
      <c r="Q1003" s="26">
        <v>2</v>
      </c>
      <c r="R1003" s="32">
        <v>2</v>
      </c>
      <c r="S1003" s="33">
        <f t="shared" si="616"/>
        <v>4</v>
      </c>
      <c r="T1003" s="25">
        <v>2</v>
      </c>
      <c r="U1003" s="45"/>
      <c r="V1003" s="26">
        <v>2</v>
      </c>
      <c r="W1003" s="32"/>
      <c r="X1003" s="33">
        <f t="shared" si="617"/>
        <v>4</v>
      </c>
      <c r="Y1003" s="11">
        <f t="shared" si="607"/>
        <v>8</v>
      </c>
      <c r="Z1003" s="85">
        <v>46065</v>
      </c>
      <c r="AA1003" s="51"/>
    </row>
    <row r="1004" spans="1:27" x14ac:dyDescent="0.15">
      <c r="A1004" s="70" t="s">
        <v>30</v>
      </c>
      <c r="B1004" s="25"/>
      <c r="C1004" s="45"/>
      <c r="D1004" s="26"/>
      <c r="E1004" s="32"/>
      <c r="F1004" s="33">
        <f t="shared" si="614"/>
        <v>0</v>
      </c>
      <c r="G1004" s="25"/>
      <c r="H1004" s="45">
        <v>2</v>
      </c>
      <c r="I1004" s="26"/>
      <c r="J1004" s="32">
        <v>1</v>
      </c>
      <c r="K1004" s="33">
        <f t="shared" si="615"/>
        <v>3</v>
      </c>
      <c r="L1004" s="11">
        <f t="shared" si="610"/>
        <v>3</v>
      </c>
      <c r="M1004" s="115">
        <v>46053</v>
      </c>
      <c r="N1004" s="50" t="s">
        <v>524</v>
      </c>
      <c r="O1004" s="25"/>
      <c r="P1004" s="45"/>
      <c r="Q1004" s="26"/>
      <c r="R1004" s="32"/>
      <c r="S1004" s="33">
        <f t="shared" si="616"/>
        <v>0</v>
      </c>
      <c r="T1004" s="25"/>
      <c r="U1004" s="45">
        <v>3</v>
      </c>
      <c r="V1004" s="26"/>
      <c r="W1004" s="32"/>
      <c r="X1004" s="33">
        <f t="shared" si="617"/>
        <v>3</v>
      </c>
      <c r="Y1004" s="11">
        <f t="shared" si="607"/>
        <v>3</v>
      </c>
      <c r="Z1004" s="85">
        <v>46066</v>
      </c>
      <c r="AA1004" s="51"/>
    </row>
    <row r="1005" spans="1:27" x14ac:dyDescent="0.15">
      <c r="A1005" s="70" t="s">
        <v>30</v>
      </c>
      <c r="B1005" s="25">
        <v>2</v>
      </c>
      <c r="C1005" s="45"/>
      <c r="D1005" s="26"/>
      <c r="E1005" s="32"/>
      <c r="F1005" s="33">
        <f t="shared" si="614"/>
        <v>2</v>
      </c>
      <c r="G1005" s="25"/>
      <c r="H1005" s="45"/>
      <c r="I1005" s="26"/>
      <c r="J1005" s="32"/>
      <c r="K1005" s="33">
        <f t="shared" si="615"/>
        <v>0</v>
      </c>
      <c r="L1005" s="11">
        <f t="shared" si="610"/>
        <v>2</v>
      </c>
      <c r="M1005" s="115">
        <v>46055</v>
      </c>
      <c r="N1005" s="197" t="s">
        <v>524</v>
      </c>
      <c r="O1005" s="190"/>
      <c r="P1005" s="191">
        <v>3</v>
      </c>
      <c r="Q1005" s="192"/>
      <c r="R1005" s="193"/>
      <c r="S1005" s="194">
        <f t="shared" si="616"/>
        <v>3</v>
      </c>
      <c r="T1005" s="190"/>
      <c r="U1005" s="191"/>
      <c r="V1005" s="192"/>
      <c r="W1005" s="193"/>
      <c r="X1005" s="194">
        <f t="shared" si="617"/>
        <v>0</v>
      </c>
      <c r="Y1005" s="187">
        <f t="shared" si="607"/>
        <v>3</v>
      </c>
      <c r="Z1005" s="188">
        <v>46070</v>
      </c>
    </row>
    <row r="1006" spans="1:27" x14ac:dyDescent="0.15">
      <c r="A1006" s="70" t="s">
        <v>108</v>
      </c>
      <c r="B1006" s="25"/>
      <c r="C1006" s="45"/>
      <c r="D1006" s="26"/>
      <c r="E1006" s="32"/>
      <c r="F1006" s="33">
        <f t="shared" si="614"/>
        <v>0</v>
      </c>
      <c r="G1006" s="25"/>
      <c r="H1006" s="45">
        <v>1</v>
      </c>
      <c r="I1006" s="26"/>
      <c r="J1006" s="32"/>
      <c r="K1006" s="33">
        <f t="shared" si="615"/>
        <v>1</v>
      </c>
      <c r="L1006" s="11">
        <f t="shared" si="610"/>
        <v>1</v>
      </c>
      <c r="M1006" s="115">
        <v>46055</v>
      </c>
      <c r="N1006" s="50" t="s">
        <v>524</v>
      </c>
      <c r="O1006" s="25"/>
      <c r="P1006" s="45"/>
      <c r="Q1006" s="26"/>
      <c r="R1006" s="32"/>
      <c r="S1006" s="33">
        <f t="shared" si="616"/>
        <v>0</v>
      </c>
      <c r="T1006" s="25"/>
      <c r="U1006" s="45"/>
      <c r="V1006" s="26"/>
      <c r="W1006" s="32">
        <v>3</v>
      </c>
      <c r="X1006" s="33">
        <f t="shared" si="617"/>
        <v>3</v>
      </c>
      <c r="Y1006" s="11">
        <f t="shared" si="607"/>
        <v>3</v>
      </c>
      <c r="Z1006" s="85">
        <v>46083</v>
      </c>
    </row>
    <row r="1007" spans="1:27" x14ac:dyDescent="0.15">
      <c r="A1007" s="70" t="s">
        <v>30</v>
      </c>
      <c r="B1007" s="25"/>
      <c r="C1007" s="45"/>
      <c r="D1007" s="26"/>
      <c r="E1007" s="32"/>
      <c r="F1007" s="33">
        <f t="shared" si="614"/>
        <v>0</v>
      </c>
      <c r="G1007" s="25"/>
      <c r="H1007" s="45">
        <v>1</v>
      </c>
      <c r="I1007" s="26"/>
      <c r="J1007" s="32"/>
      <c r="K1007" s="33">
        <f t="shared" si="615"/>
        <v>1</v>
      </c>
      <c r="L1007" s="11">
        <f t="shared" si="610"/>
        <v>1</v>
      </c>
      <c r="M1007" s="115">
        <v>46056</v>
      </c>
      <c r="N1007" s="50" t="s">
        <v>524</v>
      </c>
      <c r="O1007" s="25"/>
      <c r="P1007" s="45"/>
      <c r="Q1007" s="26"/>
      <c r="R1007" s="32">
        <v>3</v>
      </c>
      <c r="S1007" s="33">
        <f t="shared" si="616"/>
        <v>3</v>
      </c>
      <c r="T1007" s="25"/>
      <c r="U1007" s="45"/>
      <c r="V1007" s="26"/>
      <c r="W1007" s="32"/>
      <c r="X1007" s="33">
        <f t="shared" si="617"/>
        <v>0</v>
      </c>
      <c r="Y1007" s="11">
        <f t="shared" si="607"/>
        <v>3</v>
      </c>
      <c r="Z1007" s="85">
        <v>46084</v>
      </c>
    </row>
    <row r="1008" spans="1:27" x14ac:dyDescent="0.15">
      <c r="A1008" s="70" t="s">
        <v>30</v>
      </c>
      <c r="B1008" s="25">
        <v>1</v>
      </c>
      <c r="C1008" s="45">
        <v>1</v>
      </c>
      <c r="D1008" s="26"/>
      <c r="E1008" s="32"/>
      <c r="F1008" s="33">
        <f t="shared" si="614"/>
        <v>2</v>
      </c>
      <c r="G1008" s="25">
        <v>1</v>
      </c>
      <c r="H1008" s="45"/>
      <c r="I1008" s="26"/>
      <c r="J1008" s="32"/>
      <c r="K1008" s="33">
        <f t="shared" si="615"/>
        <v>1</v>
      </c>
      <c r="L1008" s="11">
        <f t="shared" si="610"/>
        <v>3</v>
      </c>
      <c r="M1008" s="115">
        <v>46057</v>
      </c>
      <c r="N1008" s="50"/>
      <c r="O1008" s="25"/>
      <c r="P1008" s="45"/>
      <c r="Q1008" s="26"/>
      <c r="R1008" s="32"/>
      <c r="S1008" s="33">
        <f t="shared" si="616"/>
        <v>0</v>
      </c>
      <c r="T1008" s="25"/>
      <c r="U1008" s="45"/>
      <c r="V1008" s="26"/>
      <c r="W1008" s="32"/>
      <c r="X1008" s="33">
        <f t="shared" si="617"/>
        <v>0</v>
      </c>
      <c r="Y1008" s="11">
        <f t="shared" si="607"/>
        <v>0</v>
      </c>
    </row>
    <row r="1009" spans="1:26" x14ac:dyDescent="0.15">
      <c r="A1009" s="70" t="s">
        <v>542</v>
      </c>
      <c r="B1009" s="25"/>
      <c r="C1009" s="45"/>
      <c r="D1009" s="26"/>
      <c r="E1009" s="32"/>
      <c r="F1009" s="33">
        <f t="shared" si="614"/>
        <v>0</v>
      </c>
      <c r="G1009" s="25"/>
      <c r="H1009" s="45">
        <v>-1</v>
      </c>
      <c r="I1009" s="26"/>
      <c r="J1009" s="32"/>
      <c r="K1009" s="33">
        <f t="shared" si="615"/>
        <v>-1</v>
      </c>
      <c r="L1009" s="11">
        <f t="shared" si="610"/>
        <v>-1</v>
      </c>
      <c r="M1009" s="115">
        <v>46058</v>
      </c>
      <c r="N1009" s="50"/>
      <c r="O1009" s="25"/>
      <c r="P1009" s="45"/>
      <c r="Q1009" s="26"/>
      <c r="R1009" s="32"/>
      <c r="S1009" s="33">
        <f t="shared" si="616"/>
        <v>0</v>
      </c>
      <c r="T1009" s="25"/>
      <c r="U1009" s="45"/>
      <c r="V1009" s="26"/>
      <c r="W1009" s="32"/>
      <c r="X1009" s="33">
        <f t="shared" si="617"/>
        <v>0</v>
      </c>
      <c r="Y1009" s="11">
        <f t="shared" si="607"/>
        <v>0</v>
      </c>
    </row>
    <row r="1010" spans="1:26" x14ac:dyDescent="0.15">
      <c r="A1010" s="70" t="s">
        <v>30</v>
      </c>
      <c r="B1010" s="25"/>
      <c r="C1010" s="45">
        <v>3</v>
      </c>
      <c r="D1010" s="26"/>
      <c r="E1010" s="32"/>
      <c r="F1010" s="33">
        <f t="shared" si="614"/>
        <v>3</v>
      </c>
      <c r="G1010" s="25"/>
      <c r="H1010" s="45">
        <v>1</v>
      </c>
      <c r="I1010" s="26"/>
      <c r="J1010" s="32"/>
      <c r="K1010" s="33">
        <f t="shared" si="615"/>
        <v>1</v>
      </c>
      <c r="L1010" s="11">
        <f t="shared" si="610"/>
        <v>4</v>
      </c>
      <c r="M1010" s="115">
        <v>46065</v>
      </c>
      <c r="N1010" s="50"/>
      <c r="O1010" s="25"/>
      <c r="P1010" s="45"/>
      <c r="Q1010" s="26"/>
      <c r="R1010" s="32"/>
      <c r="S1010" s="33">
        <f t="shared" si="616"/>
        <v>0</v>
      </c>
      <c r="T1010" s="25"/>
      <c r="U1010" s="45"/>
      <c r="V1010" s="26"/>
      <c r="W1010" s="32"/>
      <c r="X1010" s="33">
        <f t="shared" si="617"/>
        <v>0</v>
      </c>
      <c r="Y1010" s="11">
        <f t="shared" si="607"/>
        <v>0</v>
      </c>
    </row>
    <row r="1011" spans="1:26" x14ac:dyDescent="0.15">
      <c r="A1011" s="70" t="s">
        <v>149</v>
      </c>
      <c r="B1011" s="25"/>
      <c r="C1011" s="45"/>
      <c r="D1011" s="26"/>
      <c r="E1011" s="32"/>
      <c r="F1011" s="33">
        <f t="shared" si="614"/>
        <v>0</v>
      </c>
      <c r="G1011" s="25"/>
      <c r="H1011" s="45">
        <v>-3</v>
      </c>
      <c r="I1011" s="26"/>
      <c r="J1011" s="32"/>
      <c r="K1011" s="33">
        <f t="shared" si="615"/>
        <v>-3</v>
      </c>
      <c r="L1011" s="11">
        <f t="shared" si="610"/>
        <v>-3</v>
      </c>
      <c r="M1011" s="85">
        <v>46066</v>
      </c>
      <c r="N1011" s="50"/>
      <c r="O1011" s="25"/>
      <c r="P1011" s="45"/>
      <c r="Q1011" s="26"/>
      <c r="R1011" s="32"/>
      <c r="S1011" s="33">
        <f t="shared" si="616"/>
        <v>0</v>
      </c>
      <c r="T1011" s="25"/>
      <c r="U1011" s="45"/>
      <c r="V1011" s="26"/>
      <c r="W1011" s="32"/>
      <c r="X1011" s="33">
        <f t="shared" si="617"/>
        <v>0</v>
      </c>
      <c r="Y1011" s="11">
        <f t="shared" si="607"/>
        <v>0</v>
      </c>
    </row>
    <row r="1012" spans="1:26" x14ac:dyDescent="0.15">
      <c r="A1012" s="70" t="s">
        <v>108</v>
      </c>
      <c r="B1012" s="25"/>
      <c r="C1012" s="45">
        <v>2</v>
      </c>
      <c r="D1012" s="26"/>
      <c r="E1012" s="32"/>
      <c r="F1012" s="33">
        <f t="shared" si="614"/>
        <v>2</v>
      </c>
      <c r="G1012" s="25"/>
      <c r="H1012" s="45"/>
      <c r="I1012" s="26"/>
      <c r="J1012" s="32"/>
      <c r="K1012" s="33">
        <f t="shared" si="615"/>
        <v>0</v>
      </c>
      <c r="L1012" s="11">
        <f t="shared" si="610"/>
        <v>2</v>
      </c>
      <c r="M1012" s="85">
        <v>46069</v>
      </c>
      <c r="N1012" s="50"/>
      <c r="O1012" s="25"/>
      <c r="P1012" s="45"/>
      <c r="Q1012" s="26"/>
      <c r="R1012" s="32"/>
      <c r="S1012" s="33">
        <f t="shared" si="616"/>
        <v>0</v>
      </c>
      <c r="T1012" s="25"/>
      <c r="U1012" s="45"/>
      <c r="V1012" s="26"/>
      <c r="W1012" s="32"/>
      <c r="X1012" s="33">
        <f t="shared" si="617"/>
        <v>0</v>
      </c>
      <c r="Y1012" s="11">
        <f t="shared" si="607"/>
        <v>0</v>
      </c>
    </row>
    <row r="1013" spans="1:26" x14ac:dyDescent="0.15">
      <c r="A1013" s="70" t="s">
        <v>30</v>
      </c>
      <c r="B1013" s="25"/>
      <c r="C1013" s="45">
        <v>1</v>
      </c>
      <c r="D1013" s="26"/>
      <c r="E1013" s="32"/>
      <c r="F1013" s="33">
        <f t="shared" si="614"/>
        <v>1</v>
      </c>
      <c r="G1013" s="25"/>
      <c r="H1013" s="45"/>
      <c r="I1013" s="26"/>
      <c r="J1013" s="32"/>
      <c r="K1013" s="33">
        <f t="shared" si="615"/>
        <v>0</v>
      </c>
      <c r="L1013" s="11">
        <f t="shared" si="610"/>
        <v>1</v>
      </c>
      <c r="M1013" s="115">
        <v>46069</v>
      </c>
      <c r="N1013" s="50"/>
      <c r="O1013" s="25"/>
      <c r="P1013" s="45"/>
      <c r="Q1013" s="26"/>
      <c r="R1013" s="32"/>
      <c r="S1013" s="33">
        <f t="shared" si="616"/>
        <v>0</v>
      </c>
      <c r="T1013" s="25"/>
      <c r="U1013" s="45"/>
      <c r="V1013" s="26"/>
      <c r="W1013" s="32"/>
      <c r="X1013" s="33">
        <f t="shared" si="617"/>
        <v>0</v>
      </c>
      <c r="Y1013" s="11">
        <f t="shared" si="607"/>
        <v>0</v>
      </c>
    </row>
    <row r="1014" spans="1:26" x14ac:dyDescent="0.15">
      <c r="A1014" s="70" t="s">
        <v>544</v>
      </c>
      <c r="B1014" s="25"/>
      <c r="C1014" s="45"/>
      <c r="D1014" s="26">
        <v>1</v>
      </c>
      <c r="E1014" s="32"/>
      <c r="F1014" s="33">
        <f t="shared" si="614"/>
        <v>1</v>
      </c>
      <c r="G1014" s="25"/>
      <c r="H1014" s="45"/>
      <c r="I1014" s="26">
        <v>1</v>
      </c>
      <c r="J1014" s="32"/>
      <c r="K1014" s="33">
        <f t="shared" si="615"/>
        <v>1</v>
      </c>
      <c r="L1014" s="11">
        <f t="shared" si="610"/>
        <v>2</v>
      </c>
      <c r="M1014" s="85">
        <v>46070</v>
      </c>
      <c r="N1014" s="50"/>
      <c r="O1014" s="25"/>
      <c r="P1014" s="45"/>
      <c r="Q1014" s="26"/>
      <c r="R1014" s="32"/>
      <c r="S1014" s="33">
        <f t="shared" si="616"/>
        <v>0</v>
      </c>
      <c r="T1014" s="25"/>
      <c r="U1014" s="45"/>
      <c r="V1014" s="26"/>
      <c r="W1014" s="32"/>
      <c r="X1014" s="33">
        <f t="shared" si="617"/>
        <v>0</v>
      </c>
      <c r="Y1014" s="11">
        <f t="shared" si="607"/>
        <v>0</v>
      </c>
    </row>
    <row r="1015" spans="1:26" x14ac:dyDescent="0.15">
      <c r="A1015" s="181" t="s">
        <v>149</v>
      </c>
      <c r="B1015" s="190"/>
      <c r="C1015" s="191">
        <v>-3</v>
      </c>
      <c r="D1015" s="192"/>
      <c r="E1015" s="193"/>
      <c r="F1015" s="194">
        <f t="shared" si="614"/>
        <v>-3</v>
      </c>
      <c r="G1015" s="190"/>
      <c r="H1015" s="191"/>
      <c r="I1015" s="192"/>
      <c r="J1015" s="193"/>
      <c r="K1015" s="194">
        <f t="shared" si="615"/>
        <v>0</v>
      </c>
      <c r="L1015" s="187">
        <f t="shared" si="610"/>
        <v>-3</v>
      </c>
      <c r="M1015" s="188">
        <v>46070</v>
      </c>
      <c r="N1015" s="50"/>
      <c r="O1015" s="25"/>
      <c r="P1015" s="45"/>
      <c r="Q1015" s="26"/>
      <c r="R1015" s="32"/>
      <c r="S1015" s="33">
        <f t="shared" si="616"/>
        <v>0</v>
      </c>
      <c r="T1015" s="25"/>
      <c r="U1015" s="45"/>
      <c r="V1015" s="26"/>
      <c r="W1015" s="32"/>
      <c r="X1015" s="33">
        <f t="shared" si="617"/>
        <v>0</v>
      </c>
      <c r="Y1015" s="11">
        <f t="shared" si="607"/>
        <v>0</v>
      </c>
    </row>
    <row r="1016" spans="1:26" x14ac:dyDescent="0.15">
      <c r="A1016" s="70" t="s">
        <v>30</v>
      </c>
      <c r="B1016" s="25"/>
      <c r="C1016" s="45">
        <v>1</v>
      </c>
      <c r="D1016" s="26"/>
      <c r="E1016" s="32"/>
      <c r="F1016" s="33">
        <f t="shared" si="614"/>
        <v>1</v>
      </c>
      <c r="G1016" s="25"/>
      <c r="H1016" s="45"/>
      <c r="I1016" s="26"/>
      <c r="J1016" s="32"/>
      <c r="K1016" s="33">
        <f t="shared" si="615"/>
        <v>0</v>
      </c>
      <c r="L1016" s="11">
        <f t="shared" si="610"/>
        <v>1</v>
      </c>
      <c r="M1016" s="115">
        <v>46070</v>
      </c>
      <c r="N1016" s="50"/>
      <c r="O1016" s="25"/>
      <c r="P1016" s="45"/>
      <c r="Q1016" s="26"/>
      <c r="R1016" s="32"/>
      <c r="S1016" s="33">
        <f t="shared" si="616"/>
        <v>0</v>
      </c>
      <c r="T1016" s="25"/>
      <c r="U1016" s="45"/>
      <c r="V1016" s="26"/>
      <c r="W1016" s="32"/>
      <c r="X1016" s="33">
        <f t="shared" si="617"/>
        <v>0</v>
      </c>
      <c r="Y1016" s="11">
        <f t="shared" si="607"/>
        <v>0</v>
      </c>
    </row>
    <row r="1017" spans="1:26" x14ac:dyDescent="0.15">
      <c r="A1017" s="70" t="s">
        <v>547</v>
      </c>
      <c r="B1017" s="25">
        <v>-1</v>
      </c>
      <c r="C1017" s="45">
        <v>0</v>
      </c>
      <c r="D1017" s="26">
        <v>0</v>
      </c>
      <c r="E1017" s="32">
        <v>0</v>
      </c>
      <c r="F1017" s="33">
        <f t="shared" si="614"/>
        <v>-1</v>
      </c>
      <c r="G1017" s="25">
        <v>0</v>
      </c>
      <c r="H1017" s="45">
        <v>-1</v>
      </c>
      <c r="I1017" s="26">
        <v>1</v>
      </c>
      <c r="J1017" s="32">
        <v>0</v>
      </c>
      <c r="K1017" s="33">
        <f t="shared" si="615"/>
        <v>0</v>
      </c>
      <c r="L1017" s="11">
        <f t="shared" si="610"/>
        <v>-1</v>
      </c>
      <c r="M1017" s="115">
        <v>46071</v>
      </c>
      <c r="N1017" s="12"/>
      <c r="O1017" s="25"/>
      <c r="P1017" s="45"/>
      <c r="Q1017" s="26"/>
      <c r="R1017" s="32"/>
      <c r="S1017" s="33">
        <f t="shared" si="616"/>
        <v>0</v>
      </c>
      <c r="T1017" s="25"/>
      <c r="U1017" s="45"/>
      <c r="V1017" s="26"/>
      <c r="W1017" s="32"/>
      <c r="X1017" s="33">
        <f t="shared" si="617"/>
        <v>0</v>
      </c>
      <c r="Y1017" s="93">
        <f t="shared" si="607"/>
        <v>0</v>
      </c>
    </row>
    <row r="1018" spans="1:26" x14ac:dyDescent="0.15">
      <c r="A1018" s="70" t="s">
        <v>30</v>
      </c>
      <c r="B1018" s="25"/>
      <c r="C1018" s="45"/>
      <c r="D1018" s="26"/>
      <c r="E1018" s="32"/>
      <c r="F1018" s="33">
        <f t="shared" si="614"/>
        <v>0</v>
      </c>
      <c r="G1018" s="25"/>
      <c r="H1018" s="45"/>
      <c r="I1018" s="26"/>
      <c r="J1018" s="32">
        <v>1</v>
      </c>
      <c r="K1018" s="33">
        <f t="shared" si="615"/>
        <v>1</v>
      </c>
      <c r="L1018" s="11">
        <f t="shared" si="610"/>
        <v>1</v>
      </c>
      <c r="M1018" s="115">
        <v>46072</v>
      </c>
      <c r="N1018" s="12"/>
      <c r="O1018" s="25"/>
      <c r="P1018" s="45"/>
      <c r="Q1018" s="26"/>
      <c r="R1018" s="32"/>
      <c r="S1018" s="33">
        <f t="shared" si="616"/>
        <v>0</v>
      </c>
      <c r="T1018" s="25"/>
      <c r="U1018" s="45"/>
      <c r="V1018" s="26"/>
      <c r="W1018" s="32"/>
      <c r="X1018" s="33">
        <f t="shared" si="617"/>
        <v>0</v>
      </c>
      <c r="Y1018" s="93">
        <f t="shared" si="607"/>
        <v>0</v>
      </c>
    </row>
    <row r="1019" spans="1:26" x14ac:dyDescent="0.15">
      <c r="A1019" s="70" t="s">
        <v>30</v>
      </c>
      <c r="B1019" s="25"/>
      <c r="C1019" s="45"/>
      <c r="D1019" s="26"/>
      <c r="E1019" s="32">
        <v>1</v>
      </c>
      <c r="F1019" s="33">
        <f t="shared" si="614"/>
        <v>1</v>
      </c>
      <c r="G1019" s="25"/>
      <c r="H1019" s="45"/>
      <c r="I1019" s="26"/>
      <c r="J1019" s="32"/>
      <c r="K1019" s="33">
        <f t="shared" si="615"/>
        <v>0</v>
      </c>
      <c r="L1019" s="11">
        <f t="shared" si="610"/>
        <v>1</v>
      </c>
      <c r="M1019" s="85">
        <v>46073</v>
      </c>
      <c r="N1019" s="12"/>
      <c r="O1019" s="25"/>
      <c r="P1019" s="45"/>
      <c r="Q1019" s="26"/>
      <c r="R1019" s="32"/>
      <c r="S1019" s="33">
        <f t="shared" ref="S1019:S1022" si="618">SUM(O1019:R1019)</f>
        <v>0</v>
      </c>
      <c r="T1019" s="25"/>
      <c r="U1019" s="45"/>
      <c r="V1019" s="26"/>
      <c r="W1019" s="32"/>
      <c r="X1019" s="33">
        <f t="shared" ref="X1019:X1022" si="619">SUM(T1019:W1019)</f>
        <v>0</v>
      </c>
      <c r="Y1019" s="93">
        <f t="shared" ref="Y1019:Y1022" si="620">S1019+X1019</f>
        <v>0</v>
      </c>
    </row>
    <row r="1020" spans="1:26" x14ac:dyDescent="0.15">
      <c r="A1020" s="70" t="s">
        <v>544</v>
      </c>
      <c r="B1020" s="25"/>
      <c r="C1020" s="45"/>
      <c r="D1020" s="26"/>
      <c r="E1020" s="32">
        <v>2</v>
      </c>
      <c r="F1020" s="33">
        <f t="shared" si="614"/>
        <v>2</v>
      </c>
      <c r="G1020" s="25">
        <v>2</v>
      </c>
      <c r="H1020" s="45"/>
      <c r="I1020" s="26"/>
      <c r="J1020" s="32">
        <v>1</v>
      </c>
      <c r="K1020" s="33">
        <f t="shared" si="615"/>
        <v>3</v>
      </c>
      <c r="L1020" s="11">
        <f t="shared" si="610"/>
        <v>5</v>
      </c>
      <c r="M1020" s="85">
        <v>46078</v>
      </c>
      <c r="N1020" s="12"/>
      <c r="O1020" s="25"/>
      <c r="P1020" s="45"/>
      <c r="Q1020" s="26"/>
      <c r="R1020" s="32"/>
      <c r="S1020" s="33">
        <f t="shared" si="618"/>
        <v>0</v>
      </c>
      <c r="T1020" s="25"/>
      <c r="U1020" s="45"/>
      <c r="V1020" s="26"/>
      <c r="W1020" s="32"/>
      <c r="X1020" s="33">
        <f t="shared" si="619"/>
        <v>0</v>
      </c>
      <c r="Y1020" s="93">
        <f t="shared" si="620"/>
        <v>0</v>
      </c>
    </row>
    <row r="1021" spans="1:26" x14ac:dyDescent="0.15">
      <c r="A1021" s="70" t="s">
        <v>30</v>
      </c>
      <c r="B1021" s="25">
        <v>1</v>
      </c>
      <c r="C1021" s="45"/>
      <c r="D1021" s="26"/>
      <c r="E1021" s="32">
        <v>2</v>
      </c>
      <c r="F1021" s="33">
        <f t="shared" si="614"/>
        <v>3</v>
      </c>
      <c r="G1021" s="25"/>
      <c r="H1021" s="45">
        <v>2</v>
      </c>
      <c r="I1021" s="26"/>
      <c r="J1021" s="32">
        <v>3</v>
      </c>
      <c r="K1021" s="33">
        <f t="shared" si="615"/>
        <v>5</v>
      </c>
      <c r="L1021" s="93">
        <f t="shared" si="610"/>
        <v>8</v>
      </c>
      <c r="M1021" s="115">
        <v>46077</v>
      </c>
      <c r="N1021" s="134" t="s">
        <v>531</v>
      </c>
      <c r="O1021" s="97"/>
      <c r="P1021" s="98"/>
      <c r="Q1021" s="99"/>
      <c r="R1021" s="100"/>
      <c r="S1021" s="101">
        <f t="shared" si="618"/>
        <v>0</v>
      </c>
      <c r="T1021" s="97"/>
      <c r="U1021" s="98"/>
      <c r="V1021" s="99"/>
      <c r="W1021" s="100"/>
      <c r="X1021" s="101">
        <f t="shared" si="619"/>
        <v>0</v>
      </c>
      <c r="Y1021" s="195">
        <f t="shared" si="620"/>
        <v>0</v>
      </c>
      <c r="Z1021" s="210"/>
    </row>
    <row r="1022" spans="1:26" ht="14.25" thickBot="1" x14ac:dyDescent="0.2">
      <c r="A1022" s="108" t="s">
        <v>562</v>
      </c>
      <c r="B1022" s="55"/>
      <c r="C1022" s="56">
        <v>-1</v>
      </c>
      <c r="D1022" s="57">
        <v>-1</v>
      </c>
      <c r="E1022" s="58"/>
      <c r="F1022" s="109">
        <f t="shared" ref="F1022" si="621">SUM(B1022:E1022)</f>
        <v>-2</v>
      </c>
      <c r="G1022" s="55"/>
      <c r="H1022" s="56">
        <v>-1</v>
      </c>
      <c r="I1022" s="57"/>
      <c r="J1022" s="58"/>
      <c r="K1022" s="109">
        <f t="shared" ref="K1022" si="622">SUM(G1022:J1022)</f>
        <v>-1</v>
      </c>
      <c r="L1022" s="107">
        <f t="shared" ref="L1022" si="623">F1022+K1022</f>
        <v>-3</v>
      </c>
      <c r="M1022" s="115">
        <v>46085</v>
      </c>
      <c r="N1022" s="74" t="s">
        <v>529</v>
      </c>
      <c r="O1022" s="55"/>
      <c r="P1022" s="56"/>
      <c r="Q1022" s="57"/>
      <c r="R1022" s="58"/>
      <c r="S1022" s="109">
        <f t="shared" si="618"/>
        <v>0</v>
      </c>
      <c r="T1022" s="55"/>
      <c r="U1022" s="56"/>
      <c r="V1022" s="57"/>
      <c r="W1022" s="58"/>
      <c r="X1022" s="109">
        <f t="shared" si="619"/>
        <v>0</v>
      </c>
      <c r="Y1022" s="107">
        <f t="shared" si="620"/>
        <v>0</v>
      </c>
      <c r="Z1022" s="159" t="s">
        <v>530</v>
      </c>
    </row>
    <row r="1023" spans="1:26" ht="14.25" thickBot="1" x14ac:dyDescent="0.2">
      <c r="A1023" s="72" t="s">
        <v>10</v>
      </c>
      <c r="B1023" s="36">
        <f>SUM(B998:B1022)</f>
        <v>5</v>
      </c>
      <c r="C1023" s="46">
        <f>SUM(C998:C1022)</f>
        <v>10</v>
      </c>
      <c r="D1023" s="37">
        <f>SUM(D998:D1022)</f>
        <v>0</v>
      </c>
      <c r="E1023" s="38">
        <f>SUM(E998:E1022)</f>
        <v>10</v>
      </c>
      <c r="F1023" s="71">
        <f>SUM(B1023:E1023)</f>
        <v>25</v>
      </c>
      <c r="G1023" s="36">
        <f>SUM(G998:G1022)</f>
        <v>7</v>
      </c>
      <c r="H1023" s="46">
        <f>SUM(H998:H1022)</f>
        <v>2</v>
      </c>
      <c r="I1023" s="37">
        <f>SUM(I998:I1022)</f>
        <v>3</v>
      </c>
      <c r="J1023" s="38">
        <f>SUM(J998:J1022)</f>
        <v>10</v>
      </c>
      <c r="K1023" s="71">
        <f>SUM(G1023:J1023)</f>
        <v>22</v>
      </c>
      <c r="L1023" s="75">
        <f t="shared" si="610"/>
        <v>47</v>
      </c>
      <c r="N1023" s="72" t="s">
        <v>10</v>
      </c>
      <c r="O1023" s="36">
        <f>SUM(O998:O1022)</f>
        <v>10</v>
      </c>
      <c r="P1023" s="46">
        <f>SUM(P998:P1022)</f>
        <v>23</v>
      </c>
      <c r="Q1023" s="37">
        <f>SUM(Q998:Q1022)</f>
        <v>12</v>
      </c>
      <c r="R1023" s="38">
        <f>SUM(R998:R1022)</f>
        <v>23</v>
      </c>
      <c r="S1023" s="71">
        <f t="shared" si="616"/>
        <v>68</v>
      </c>
      <c r="T1023" s="36">
        <f>SUM(T998:T1022)</f>
        <v>17</v>
      </c>
      <c r="U1023" s="46">
        <f>SUM(U998:U1022)</f>
        <v>18</v>
      </c>
      <c r="V1023" s="37">
        <f>SUM(V998:V1022)</f>
        <v>17</v>
      </c>
      <c r="W1023" s="38">
        <f>SUM(W998:W1022)</f>
        <v>18</v>
      </c>
      <c r="X1023" s="71">
        <f t="shared" si="617"/>
        <v>70</v>
      </c>
      <c r="Y1023" s="75">
        <f t="shared" si="607"/>
        <v>138</v>
      </c>
    </row>
    <row r="1024" spans="1:26" ht="14.25" thickBot="1" x14ac:dyDescent="0.2">
      <c r="A1024" s="21" t="s">
        <v>11</v>
      </c>
      <c r="B1024" s="39">
        <f t="shared" ref="B1024:K1024" si="624">B997-B1023</f>
        <v>6</v>
      </c>
      <c r="C1024" s="47">
        <f t="shared" si="624"/>
        <v>6</v>
      </c>
      <c r="D1024" s="40">
        <f t="shared" si="624"/>
        <v>10</v>
      </c>
      <c r="E1024" s="41">
        <f t="shared" si="624"/>
        <v>5</v>
      </c>
      <c r="F1024" s="54">
        <f t="shared" si="624"/>
        <v>27</v>
      </c>
      <c r="G1024" s="39">
        <f t="shared" si="624"/>
        <v>8</v>
      </c>
      <c r="H1024" s="47">
        <f t="shared" si="624"/>
        <v>8</v>
      </c>
      <c r="I1024" s="40">
        <f t="shared" si="624"/>
        <v>10</v>
      </c>
      <c r="J1024" s="41">
        <f t="shared" si="624"/>
        <v>4</v>
      </c>
      <c r="K1024" s="54">
        <f t="shared" si="624"/>
        <v>30</v>
      </c>
      <c r="L1024" s="20">
        <f t="shared" si="610"/>
        <v>57</v>
      </c>
      <c r="N1024" s="16" t="s">
        <v>11</v>
      </c>
      <c r="O1024" s="39">
        <f t="shared" ref="O1024:X1024" si="625">O997-O1023</f>
        <v>534</v>
      </c>
      <c r="P1024" s="47">
        <f t="shared" si="625"/>
        <v>767</v>
      </c>
      <c r="Q1024" s="40">
        <f t="shared" si="625"/>
        <v>527</v>
      </c>
      <c r="R1024" s="41">
        <f t="shared" si="625"/>
        <v>461</v>
      </c>
      <c r="S1024" s="54">
        <f t="shared" si="625"/>
        <v>2289</v>
      </c>
      <c r="T1024" s="39">
        <f t="shared" si="625"/>
        <v>525</v>
      </c>
      <c r="U1024" s="47">
        <f t="shared" si="625"/>
        <v>736</v>
      </c>
      <c r="V1024" s="40">
        <f t="shared" si="625"/>
        <v>449</v>
      </c>
      <c r="W1024" s="41">
        <f t="shared" si="625"/>
        <v>432</v>
      </c>
      <c r="X1024" s="54">
        <f t="shared" si="625"/>
        <v>2142</v>
      </c>
      <c r="Y1024" s="20">
        <f t="shared" si="607"/>
        <v>4431</v>
      </c>
    </row>
    <row r="1025" spans="1:26" x14ac:dyDescent="0.15">
      <c r="N1025" s="172" t="s">
        <v>499</v>
      </c>
      <c r="O1025" s="94">
        <f>O1024/$S$1024*100</f>
        <v>23.328964613368282</v>
      </c>
      <c r="P1025" s="94">
        <f t="shared" ref="P1025:S1025" si="626">P1024/$S$1024*100</f>
        <v>33.508082131935339</v>
      </c>
      <c r="Q1025" s="94">
        <f t="shared" si="626"/>
        <v>23.023154215814767</v>
      </c>
      <c r="R1025" s="94">
        <f t="shared" si="626"/>
        <v>20.139799038881609</v>
      </c>
      <c r="S1025" s="94">
        <f t="shared" si="626"/>
        <v>100</v>
      </c>
      <c r="T1025" s="94">
        <f>T1024/$X$1024*100</f>
        <v>24.509803921568626</v>
      </c>
      <c r="U1025" s="94">
        <f t="shared" ref="U1025:X1025" si="627">U1024/$X$1024*100</f>
        <v>34.360410830999065</v>
      </c>
      <c r="V1025" s="94">
        <f t="shared" si="627"/>
        <v>20.96171802054155</v>
      </c>
      <c r="W1025" s="94">
        <f t="shared" si="627"/>
        <v>20.168067226890756</v>
      </c>
      <c r="X1025" s="94">
        <f t="shared" si="627"/>
        <v>100</v>
      </c>
    </row>
    <row r="1026" spans="1:26" x14ac:dyDescent="0.15">
      <c r="N1026" s="172" t="s">
        <v>498</v>
      </c>
      <c r="O1026" s="119">
        <v>23.3</v>
      </c>
      <c r="P1026" s="119">
        <v>33.4</v>
      </c>
      <c r="Q1026" s="119">
        <v>23.1</v>
      </c>
      <c r="R1026" s="119">
        <v>20.2</v>
      </c>
      <c r="S1026" s="118">
        <v>100</v>
      </c>
      <c r="T1026" s="119">
        <v>23.7</v>
      </c>
      <c r="U1026" s="119">
        <v>33.4</v>
      </c>
      <c r="V1026" s="119">
        <v>22.6</v>
      </c>
      <c r="W1026" s="119">
        <v>20.3</v>
      </c>
      <c r="X1026" s="118">
        <v>100</v>
      </c>
    </row>
    <row r="1027" spans="1:26" ht="19.5" thickBot="1" x14ac:dyDescent="0.25">
      <c r="A1027" s="2" t="s">
        <v>26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27</v>
      </c>
      <c r="O1027" s="2"/>
      <c r="P1027" s="1"/>
      <c r="Q1027" s="1"/>
      <c r="R1027" s="1"/>
      <c r="S1027" s="1">
        <v>53.4</v>
      </c>
      <c r="T1027" s="1"/>
      <c r="U1027" s="1"/>
      <c r="V1027" s="1"/>
      <c r="W1027" s="1"/>
      <c r="X1027" s="1">
        <v>46.6</v>
      </c>
      <c r="Y1027" s="1"/>
    </row>
    <row r="1028" spans="1:26" ht="14.25" thickBot="1" x14ac:dyDescent="0.2">
      <c r="A1028" s="5" t="s">
        <v>0</v>
      </c>
      <c r="B1028" s="228" t="s">
        <v>19</v>
      </c>
      <c r="C1028" s="229"/>
      <c r="D1028" s="229"/>
      <c r="E1028" s="229"/>
      <c r="F1028" s="230"/>
      <c r="G1028" s="231" t="s">
        <v>18</v>
      </c>
      <c r="H1028" s="232"/>
      <c r="I1028" s="232"/>
      <c r="J1028" s="232"/>
      <c r="K1028" s="233"/>
      <c r="L1028" s="73" t="s">
        <v>1</v>
      </c>
      <c r="N1028" s="5" t="s">
        <v>0</v>
      </c>
      <c r="O1028" s="228" t="s">
        <v>19</v>
      </c>
      <c r="P1028" s="229"/>
      <c r="Q1028" s="229"/>
      <c r="R1028" s="229"/>
      <c r="S1028" s="230"/>
      <c r="T1028" s="231" t="s">
        <v>18</v>
      </c>
      <c r="U1028" s="232"/>
      <c r="V1028" s="232"/>
      <c r="W1028" s="232"/>
      <c r="X1028" s="233"/>
      <c r="Y1028" s="73" t="s">
        <v>1</v>
      </c>
    </row>
    <row r="1029" spans="1:26" ht="14.25" thickBot="1" x14ac:dyDescent="0.2">
      <c r="A1029" s="5" t="s">
        <v>2</v>
      </c>
      <c r="B1029" s="3" t="s">
        <v>12</v>
      </c>
      <c r="C1029" s="42" t="s">
        <v>13</v>
      </c>
      <c r="D1029" s="4" t="s">
        <v>14</v>
      </c>
      <c r="E1029" s="22" t="s">
        <v>15</v>
      </c>
      <c r="F1029" s="30" t="s">
        <v>3</v>
      </c>
      <c r="G1029" s="3" t="s">
        <v>12</v>
      </c>
      <c r="H1029" s="42" t="s">
        <v>13</v>
      </c>
      <c r="I1029" s="4" t="s">
        <v>14</v>
      </c>
      <c r="J1029" s="22" t="s">
        <v>15</v>
      </c>
      <c r="K1029" s="30" t="s">
        <v>3</v>
      </c>
      <c r="L1029" s="74"/>
      <c r="N1029" s="5" t="s">
        <v>2</v>
      </c>
      <c r="O1029" s="64" t="s">
        <v>12</v>
      </c>
      <c r="P1029" s="65" t="s">
        <v>13</v>
      </c>
      <c r="Q1029" s="66" t="s">
        <v>14</v>
      </c>
      <c r="R1029" s="67" t="s">
        <v>15</v>
      </c>
      <c r="S1029" s="30" t="s">
        <v>3</v>
      </c>
      <c r="T1029" s="3" t="s">
        <v>12</v>
      </c>
      <c r="U1029" s="42" t="s">
        <v>13</v>
      </c>
      <c r="V1029" s="4" t="s">
        <v>14</v>
      </c>
      <c r="W1029" s="22" t="s">
        <v>15</v>
      </c>
      <c r="X1029" s="30" t="s">
        <v>3</v>
      </c>
      <c r="Y1029" s="74"/>
    </row>
    <row r="1030" spans="1:26" ht="14.25" thickBot="1" x14ac:dyDescent="0.2">
      <c r="A1030" s="21" t="s">
        <v>16</v>
      </c>
      <c r="B1030" s="39">
        <f>B1024</f>
        <v>6</v>
      </c>
      <c r="C1030" s="40">
        <f>C1024</f>
        <v>6</v>
      </c>
      <c r="D1030" s="40">
        <f>D1024</f>
        <v>10</v>
      </c>
      <c r="E1030" s="41">
        <f>E1024</f>
        <v>5</v>
      </c>
      <c r="F1030" s="122">
        <f>SUM(B1030:E1030)</f>
        <v>27</v>
      </c>
      <c r="G1030" s="39">
        <f>G1024</f>
        <v>8</v>
      </c>
      <c r="H1030" s="40">
        <f>H1024</f>
        <v>8</v>
      </c>
      <c r="I1030" s="40">
        <f>I1024</f>
        <v>10</v>
      </c>
      <c r="J1030" s="41">
        <f>J1024</f>
        <v>4</v>
      </c>
      <c r="K1030" s="123">
        <f>SUM(G1030:J1030)</f>
        <v>30</v>
      </c>
      <c r="L1030" s="20">
        <f>F1030+K1030</f>
        <v>57</v>
      </c>
      <c r="N1030" s="21" t="s">
        <v>16</v>
      </c>
      <c r="O1030" s="39">
        <f>O1024</f>
        <v>534</v>
      </c>
      <c r="P1030" s="40">
        <f>P1024</f>
        <v>767</v>
      </c>
      <c r="Q1030" s="40">
        <f t="shared" ref="Q1030:R1030" si="628">Q1024</f>
        <v>527</v>
      </c>
      <c r="R1030" s="88">
        <f t="shared" si="628"/>
        <v>461</v>
      </c>
      <c r="S1030" s="123">
        <f>SUM(O1030:R1030)</f>
        <v>2289</v>
      </c>
      <c r="T1030" s="39">
        <f>T1024</f>
        <v>525</v>
      </c>
      <c r="U1030" s="40">
        <f>U1024</f>
        <v>736</v>
      </c>
      <c r="V1030" s="40">
        <f>V1024</f>
        <v>449</v>
      </c>
      <c r="W1030" s="41">
        <f>W1024</f>
        <v>432</v>
      </c>
      <c r="X1030" s="123">
        <f>SUM(T1030:W1030)</f>
        <v>2142</v>
      </c>
      <c r="Y1030" s="20">
        <f t="shared" ref="Y1030:Y1062" si="629">S1030+X1030</f>
        <v>4431</v>
      </c>
    </row>
    <row r="1031" spans="1:26" x14ac:dyDescent="0.15">
      <c r="A1031" s="70" t="s">
        <v>5</v>
      </c>
      <c r="B1031" s="6"/>
      <c r="C1031" s="29"/>
      <c r="D1031" s="7"/>
      <c r="E1031" s="8"/>
      <c r="F1031" s="9">
        <f t="shared" ref="F1031:F1034" si="630">SUM(B1031:E1031)</f>
        <v>0</v>
      </c>
      <c r="G1031" s="29"/>
      <c r="H1031" s="29"/>
      <c r="I1031" s="7"/>
      <c r="J1031" s="8">
        <v>3</v>
      </c>
      <c r="K1031" s="9">
        <f t="shared" ref="K1031:K1034" si="631">SUM(G1031:J1031)</f>
        <v>3</v>
      </c>
      <c r="L1031" s="11">
        <f t="shared" ref="L1031:L1062" si="632">F1031+K1031</f>
        <v>3</v>
      </c>
      <c r="M1031" s="85">
        <v>46083</v>
      </c>
      <c r="N1031" s="13" t="s">
        <v>17</v>
      </c>
      <c r="O1031" s="25"/>
      <c r="P1031" s="45"/>
      <c r="Q1031" s="26"/>
      <c r="R1031" s="32"/>
      <c r="S1031" s="68">
        <f>SUM(O1031:R1031)</f>
        <v>0</v>
      </c>
      <c r="T1031" s="45"/>
      <c r="U1031" s="45"/>
      <c r="V1031" s="26"/>
      <c r="W1031" s="48"/>
      <c r="X1031" s="9">
        <f>SUM(T1031:W1031)</f>
        <v>0</v>
      </c>
      <c r="Y1031" s="11">
        <f t="shared" si="629"/>
        <v>0</v>
      </c>
    </row>
    <row r="1032" spans="1:26" x14ac:dyDescent="0.15">
      <c r="A1032" s="70" t="s">
        <v>6</v>
      </c>
      <c r="B1032" s="6"/>
      <c r="C1032" s="29"/>
      <c r="D1032" s="7"/>
      <c r="E1032" s="8">
        <v>3</v>
      </c>
      <c r="F1032" s="9">
        <f t="shared" si="630"/>
        <v>3</v>
      </c>
      <c r="G1032" s="29"/>
      <c r="H1032" s="29"/>
      <c r="I1032" s="7"/>
      <c r="J1032" s="8"/>
      <c r="K1032" s="9">
        <f t="shared" si="631"/>
        <v>0</v>
      </c>
      <c r="L1032" s="11">
        <f t="shared" si="632"/>
        <v>3</v>
      </c>
      <c r="M1032" s="85">
        <v>46084</v>
      </c>
      <c r="N1032" s="13" t="s">
        <v>5</v>
      </c>
      <c r="O1032" s="25"/>
      <c r="P1032" s="45"/>
      <c r="Q1032" s="26"/>
      <c r="R1032" s="32"/>
      <c r="S1032" s="68">
        <f>SUM(O1032:R1032)</f>
        <v>0</v>
      </c>
      <c r="T1032" s="45"/>
      <c r="U1032" s="45"/>
      <c r="V1032" s="26"/>
      <c r="W1032" s="48"/>
      <c r="X1032" s="9">
        <f>SUM(T1032:W1032)</f>
        <v>0</v>
      </c>
      <c r="Y1032" s="11">
        <f t="shared" si="629"/>
        <v>0</v>
      </c>
    </row>
    <row r="1033" spans="1:26" x14ac:dyDescent="0.15">
      <c r="A1033" s="70" t="s">
        <v>163</v>
      </c>
      <c r="B1033" s="201">
        <v>5</v>
      </c>
      <c r="C1033" s="202">
        <v>5</v>
      </c>
      <c r="D1033" s="203"/>
      <c r="E1033" s="204">
        <v>5</v>
      </c>
      <c r="F1033" s="205">
        <f t="shared" ref="F1033" si="633">SUM(B1033:E1033)</f>
        <v>15</v>
      </c>
      <c r="G1033" s="202">
        <v>5</v>
      </c>
      <c r="H1033" s="202">
        <v>8</v>
      </c>
      <c r="I1033" s="203"/>
      <c r="J1033" s="204">
        <v>5</v>
      </c>
      <c r="K1033" s="205">
        <f t="shared" ref="K1033" si="634">SUM(G1033:J1033)</f>
        <v>18</v>
      </c>
      <c r="L1033" s="206">
        <f t="shared" ref="L1033" si="635">F1033+K1033</f>
        <v>33</v>
      </c>
      <c r="M1033" s="188">
        <v>46092</v>
      </c>
      <c r="N1033" s="13" t="s">
        <v>6</v>
      </c>
      <c r="O1033" s="25"/>
      <c r="P1033" s="45"/>
      <c r="Q1033" s="26"/>
      <c r="R1033" s="32"/>
      <c r="S1033" s="68">
        <f>SUM(O1033:R1033)</f>
        <v>0</v>
      </c>
      <c r="T1033" s="45"/>
      <c r="U1033" s="45"/>
      <c r="V1033" s="26"/>
      <c r="W1033" s="48"/>
      <c r="X1033" s="9">
        <f>SUM(T1033:W1033)</f>
        <v>0</v>
      </c>
      <c r="Y1033" s="11">
        <f t="shared" si="629"/>
        <v>0</v>
      </c>
    </row>
    <row r="1034" spans="1:26" ht="14.25" thickBot="1" x14ac:dyDescent="0.2">
      <c r="A1034" s="181" t="s">
        <v>8</v>
      </c>
      <c r="B1034" s="201">
        <v>5</v>
      </c>
      <c r="C1034" s="202">
        <v>5</v>
      </c>
      <c r="D1034" s="203">
        <v>5</v>
      </c>
      <c r="E1034" s="204"/>
      <c r="F1034" s="205">
        <f t="shared" si="630"/>
        <v>15</v>
      </c>
      <c r="G1034" s="202"/>
      <c r="H1034" s="202">
        <v>3</v>
      </c>
      <c r="I1034" s="203"/>
      <c r="J1034" s="204"/>
      <c r="K1034" s="205">
        <f t="shared" si="631"/>
        <v>3</v>
      </c>
      <c r="L1034" s="206">
        <f t="shared" si="632"/>
        <v>18</v>
      </c>
      <c r="M1034" s="188">
        <v>46098</v>
      </c>
      <c r="N1034" s="13" t="s">
        <v>7</v>
      </c>
      <c r="O1034" s="55"/>
      <c r="P1034" s="56"/>
      <c r="Q1034" s="57"/>
      <c r="R1034" s="58"/>
      <c r="S1034" s="69">
        <f>SUM(O1034:R1034)</f>
        <v>0</v>
      </c>
      <c r="T1034" s="45"/>
      <c r="U1034" s="45"/>
      <c r="V1034" s="26"/>
      <c r="W1034" s="48"/>
      <c r="X1034" s="10">
        <f>SUM(T1034:W1034)</f>
        <v>0</v>
      </c>
      <c r="Y1034" s="14">
        <f t="shared" si="629"/>
        <v>0</v>
      </c>
    </row>
    <row r="1035" spans="1:26" ht="14.25" thickBot="1" x14ac:dyDescent="0.2">
      <c r="A1035" s="21" t="s">
        <v>9</v>
      </c>
      <c r="B1035" s="130">
        <f t="shared" ref="B1035:K1035" si="636">SUM(B1030:B1034)</f>
        <v>16</v>
      </c>
      <c r="C1035" s="131">
        <f t="shared" si="636"/>
        <v>16</v>
      </c>
      <c r="D1035" s="132">
        <f t="shared" si="636"/>
        <v>15</v>
      </c>
      <c r="E1035" s="133">
        <f t="shared" si="636"/>
        <v>13</v>
      </c>
      <c r="F1035" s="123">
        <f t="shared" si="636"/>
        <v>60</v>
      </c>
      <c r="G1035" s="130">
        <f t="shared" si="636"/>
        <v>13</v>
      </c>
      <c r="H1035" s="131">
        <f t="shared" si="636"/>
        <v>19</v>
      </c>
      <c r="I1035" s="132">
        <f t="shared" si="636"/>
        <v>10</v>
      </c>
      <c r="J1035" s="133">
        <f t="shared" si="636"/>
        <v>12</v>
      </c>
      <c r="K1035" s="123">
        <f t="shared" si="636"/>
        <v>54</v>
      </c>
      <c r="L1035" s="20">
        <f t="shared" si="632"/>
        <v>114</v>
      </c>
      <c r="N1035" s="16" t="s">
        <v>9</v>
      </c>
      <c r="O1035" s="39">
        <f t="shared" ref="O1035:X1035" si="637">SUM(O1030:O1034)</f>
        <v>534</v>
      </c>
      <c r="P1035" s="47">
        <f t="shared" si="637"/>
        <v>767</v>
      </c>
      <c r="Q1035" s="40">
        <f t="shared" si="637"/>
        <v>527</v>
      </c>
      <c r="R1035" s="88">
        <f t="shared" si="637"/>
        <v>461</v>
      </c>
      <c r="S1035" s="89">
        <f t="shared" si="637"/>
        <v>2289</v>
      </c>
      <c r="T1035" s="39">
        <f t="shared" si="637"/>
        <v>525</v>
      </c>
      <c r="U1035" s="47">
        <f t="shared" si="637"/>
        <v>736</v>
      </c>
      <c r="V1035" s="40">
        <f t="shared" si="637"/>
        <v>449</v>
      </c>
      <c r="W1035" s="88">
        <f t="shared" si="637"/>
        <v>432</v>
      </c>
      <c r="X1035" s="89">
        <f t="shared" si="637"/>
        <v>2142</v>
      </c>
      <c r="Y1035" s="49">
        <f t="shared" si="629"/>
        <v>4431</v>
      </c>
    </row>
    <row r="1036" spans="1:26" x14ac:dyDescent="0.15">
      <c r="A1036" s="70" t="s">
        <v>551</v>
      </c>
      <c r="B1036" s="25"/>
      <c r="C1036" s="45"/>
      <c r="D1036" s="26"/>
      <c r="E1036" s="32"/>
      <c r="F1036" s="33">
        <f t="shared" ref="F1036:F1060" si="638">SUM(B1036:E1036)</f>
        <v>0</v>
      </c>
      <c r="G1036" s="25"/>
      <c r="H1036" s="45"/>
      <c r="I1036" s="26"/>
      <c r="J1036" s="32">
        <v>2</v>
      </c>
      <c r="K1036" s="33">
        <f t="shared" ref="K1036:K1060" si="639">SUM(G1036:J1036)</f>
        <v>2</v>
      </c>
      <c r="L1036" s="11">
        <f t="shared" si="632"/>
        <v>2</v>
      </c>
      <c r="M1036" s="85">
        <v>46084</v>
      </c>
      <c r="N1036" s="12" t="s">
        <v>543</v>
      </c>
      <c r="O1036" s="25">
        <v>5</v>
      </c>
      <c r="P1036" s="45">
        <v>5</v>
      </c>
      <c r="Q1036" s="26">
        <v>5</v>
      </c>
      <c r="R1036" s="32">
        <v>5</v>
      </c>
      <c r="S1036" s="33">
        <f t="shared" ref="S1036:S1061" si="640">SUM(O1036:R1036)</f>
        <v>20</v>
      </c>
      <c r="T1036" s="25">
        <v>5</v>
      </c>
      <c r="U1036" s="45">
        <v>5</v>
      </c>
      <c r="V1036" s="26">
        <v>5</v>
      </c>
      <c r="W1036" s="32">
        <v>5</v>
      </c>
      <c r="X1036" s="33">
        <f t="shared" ref="X1036:X1061" si="641">SUM(T1036:W1036)</f>
        <v>20</v>
      </c>
      <c r="Y1036" s="11">
        <f t="shared" si="629"/>
        <v>40</v>
      </c>
      <c r="Z1036" s="85">
        <v>46072</v>
      </c>
    </row>
    <row r="1037" spans="1:26" x14ac:dyDescent="0.15">
      <c r="A1037" s="50" t="s">
        <v>552</v>
      </c>
      <c r="B1037" s="25"/>
      <c r="C1037" s="45">
        <v>2</v>
      </c>
      <c r="D1037" s="26"/>
      <c r="E1037" s="32"/>
      <c r="F1037" s="33">
        <f t="shared" si="638"/>
        <v>2</v>
      </c>
      <c r="G1037" s="25"/>
      <c r="H1037" s="45"/>
      <c r="I1037" s="26"/>
      <c r="J1037" s="32"/>
      <c r="K1037" s="33">
        <f t="shared" si="639"/>
        <v>0</v>
      </c>
      <c r="L1037" s="11">
        <f t="shared" si="632"/>
        <v>2</v>
      </c>
      <c r="M1037" s="85">
        <v>46086</v>
      </c>
      <c r="N1037" s="12" t="s">
        <v>548</v>
      </c>
      <c r="O1037" s="25"/>
      <c r="P1037" s="45"/>
      <c r="Q1037" s="26"/>
      <c r="R1037" s="32"/>
      <c r="S1037" s="33">
        <f t="shared" si="640"/>
        <v>0</v>
      </c>
      <c r="T1037" s="25"/>
      <c r="U1037" s="45"/>
      <c r="V1037" s="26"/>
      <c r="W1037" s="32">
        <v>5</v>
      </c>
      <c r="X1037" s="33">
        <f t="shared" si="641"/>
        <v>5</v>
      </c>
      <c r="Y1037" s="11">
        <f t="shared" si="629"/>
        <v>5</v>
      </c>
      <c r="Z1037" s="85">
        <v>46085</v>
      </c>
    </row>
    <row r="1038" spans="1:26" x14ac:dyDescent="0.15">
      <c r="A1038" s="70" t="s">
        <v>30</v>
      </c>
      <c r="B1038" s="25"/>
      <c r="C1038" s="45"/>
      <c r="D1038" s="26"/>
      <c r="E1038" s="32">
        <v>1</v>
      </c>
      <c r="F1038" s="33">
        <f t="shared" si="638"/>
        <v>1</v>
      </c>
      <c r="G1038" s="25">
        <v>1</v>
      </c>
      <c r="H1038" s="45"/>
      <c r="I1038" s="26"/>
      <c r="J1038" s="32">
        <v>1</v>
      </c>
      <c r="K1038" s="33">
        <f t="shared" si="639"/>
        <v>2</v>
      </c>
      <c r="L1038" s="11">
        <f t="shared" si="632"/>
        <v>3</v>
      </c>
      <c r="M1038" s="115">
        <v>46083</v>
      </c>
      <c r="N1038" s="12" t="s">
        <v>550</v>
      </c>
      <c r="O1038" s="25"/>
      <c r="P1038" s="45"/>
      <c r="Q1038" s="26"/>
      <c r="R1038" s="32"/>
      <c r="S1038" s="33">
        <f t="shared" si="640"/>
        <v>0</v>
      </c>
      <c r="T1038" s="25"/>
      <c r="U1038" s="45"/>
      <c r="V1038" s="26"/>
      <c r="W1038" s="32">
        <v>5</v>
      </c>
      <c r="X1038" s="33">
        <f t="shared" si="641"/>
        <v>5</v>
      </c>
      <c r="Y1038" s="11">
        <f t="shared" si="629"/>
        <v>5</v>
      </c>
      <c r="Z1038" s="85">
        <v>46086</v>
      </c>
    </row>
    <row r="1039" spans="1:26" x14ac:dyDescent="0.15">
      <c r="A1039" s="70" t="s">
        <v>30</v>
      </c>
      <c r="B1039" s="25"/>
      <c r="C1039" s="45"/>
      <c r="D1039" s="26"/>
      <c r="E1039" s="32"/>
      <c r="F1039" s="33">
        <f t="shared" si="638"/>
        <v>0</v>
      </c>
      <c r="G1039" s="25"/>
      <c r="H1039" s="45">
        <v>1</v>
      </c>
      <c r="I1039" s="26"/>
      <c r="J1039" s="32"/>
      <c r="K1039" s="33">
        <f t="shared" si="639"/>
        <v>1</v>
      </c>
      <c r="L1039" s="11">
        <f t="shared" si="632"/>
        <v>1</v>
      </c>
      <c r="M1039" s="115">
        <v>46086</v>
      </c>
      <c r="N1039" s="12" t="s">
        <v>553</v>
      </c>
      <c r="O1039" s="25"/>
      <c r="P1039" s="45"/>
      <c r="Q1039" s="26"/>
      <c r="R1039" s="32">
        <v>2</v>
      </c>
      <c r="S1039" s="33">
        <f t="shared" si="640"/>
        <v>2</v>
      </c>
      <c r="T1039" s="25"/>
      <c r="U1039" s="45"/>
      <c r="V1039" s="26"/>
      <c r="W1039" s="32">
        <v>2</v>
      </c>
      <c r="X1039" s="33">
        <f t="shared" si="641"/>
        <v>2</v>
      </c>
      <c r="Y1039" s="11">
        <f t="shared" si="629"/>
        <v>4</v>
      </c>
      <c r="Z1039" s="85">
        <v>46092</v>
      </c>
    </row>
    <row r="1040" spans="1:26" x14ac:dyDescent="0.15">
      <c r="A1040" s="70" t="s">
        <v>30</v>
      </c>
      <c r="B1040" s="25">
        <v>1</v>
      </c>
      <c r="C1040" s="45"/>
      <c r="D1040" s="26"/>
      <c r="E1040" s="32">
        <v>1</v>
      </c>
      <c r="F1040" s="33">
        <f t="shared" si="638"/>
        <v>2</v>
      </c>
      <c r="G1040" s="25"/>
      <c r="H1040" s="45"/>
      <c r="I1040" s="26"/>
      <c r="J1040" s="32"/>
      <c r="K1040" s="33">
        <f t="shared" si="639"/>
        <v>0</v>
      </c>
      <c r="L1040" s="11">
        <f t="shared" si="632"/>
        <v>2</v>
      </c>
      <c r="M1040" s="115">
        <v>46087</v>
      </c>
      <c r="N1040" s="12" t="s">
        <v>554</v>
      </c>
      <c r="O1040" s="25">
        <v>45</v>
      </c>
      <c r="P1040" s="45">
        <v>75</v>
      </c>
      <c r="Q1040" s="26">
        <v>35</v>
      </c>
      <c r="R1040" s="32">
        <v>25</v>
      </c>
      <c r="S1040" s="33">
        <f t="shared" si="640"/>
        <v>180</v>
      </c>
      <c r="T1040" s="25">
        <v>70</v>
      </c>
      <c r="U1040" s="45">
        <v>130</v>
      </c>
      <c r="V1040" s="26">
        <v>65</v>
      </c>
      <c r="W1040" s="32">
        <v>50</v>
      </c>
      <c r="X1040" s="33">
        <f t="shared" si="641"/>
        <v>315</v>
      </c>
      <c r="Y1040" s="11">
        <f t="shared" si="629"/>
        <v>495</v>
      </c>
      <c r="Z1040" s="85">
        <v>46088</v>
      </c>
    </row>
    <row r="1041" spans="1:26" x14ac:dyDescent="0.15">
      <c r="A1041" s="70" t="s">
        <v>30</v>
      </c>
      <c r="B1041" s="25">
        <v>1</v>
      </c>
      <c r="C1041" s="45">
        <v>1</v>
      </c>
      <c r="D1041" s="26"/>
      <c r="E1041" s="32"/>
      <c r="F1041" s="33">
        <f t="shared" si="638"/>
        <v>2</v>
      </c>
      <c r="G1041" s="25"/>
      <c r="H1041" s="45">
        <v>1</v>
      </c>
      <c r="I1041" s="26"/>
      <c r="J1041" s="32">
        <v>1</v>
      </c>
      <c r="K1041" s="33">
        <f t="shared" si="639"/>
        <v>2</v>
      </c>
      <c r="L1041" s="11">
        <f t="shared" si="632"/>
        <v>4</v>
      </c>
      <c r="M1041" s="85">
        <v>46090</v>
      </c>
      <c r="N1041" s="12" t="s">
        <v>555</v>
      </c>
      <c r="O1041" s="25">
        <v>20</v>
      </c>
      <c r="P1041" s="45">
        <v>20</v>
      </c>
      <c r="Q1041" s="26">
        <v>20</v>
      </c>
      <c r="R1041" s="32">
        <v>20</v>
      </c>
      <c r="S1041" s="33">
        <f t="shared" si="640"/>
        <v>80</v>
      </c>
      <c r="T1041" s="25">
        <v>20</v>
      </c>
      <c r="U1041" s="45">
        <v>20</v>
      </c>
      <c r="V1041" s="26">
        <v>20</v>
      </c>
      <c r="W1041" s="32">
        <v>20</v>
      </c>
      <c r="X1041" s="33">
        <f t="shared" si="641"/>
        <v>80</v>
      </c>
      <c r="Y1041" s="11">
        <f t="shared" si="629"/>
        <v>160</v>
      </c>
      <c r="Z1041" s="85">
        <v>46093</v>
      </c>
    </row>
    <row r="1042" spans="1:26" x14ac:dyDescent="0.15">
      <c r="A1042" s="70" t="s">
        <v>544</v>
      </c>
      <c r="B1042" s="25"/>
      <c r="C1042" s="45"/>
      <c r="D1042" s="26"/>
      <c r="E1042" s="32">
        <v>1</v>
      </c>
      <c r="F1042" s="33">
        <f t="shared" si="638"/>
        <v>1</v>
      </c>
      <c r="G1042" s="25"/>
      <c r="H1042" s="45"/>
      <c r="I1042" s="26"/>
      <c r="J1042" s="32">
        <v>1</v>
      </c>
      <c r="K1042" s="33">
        <f t="shared" si="639"/>
        <v>1</v>
      </c>
      <c r="L1042" s="11">
        <f t="shared" si="632"/>
        <v>2</v>
      </c>
      <c r="M1042" s="85">
        <v>46091</v>
      </c>
      <c r="N1042" s="12" t="s">
        <v>556</v>
      </c>
      <c r="O1042" s="25">
        <v>32</v>
      </c>
      <c r="P1042" s="45">
        <v>60</v>
      </c>
      <c r="Q1042" s="26">
        <v>36</v>
      </c>
      <c r="R1042" s="32">
        <v>25</v>
      </c>
      <c r="S1042" s="33">
        <f t="shared" si="640"/>
        <v>153</v>
      </c>
      <c r="T1042" s="25">
        <v>42</v>
      </c>
      <c r="U1042" s="45">
        <v>71</v>
      </c>
      <c r="V1042" s="26">
        <v>52</v>
      </c>
      <c r="W1042" s="32">
        <v>38</v>
      </c>
      <c r="X1042" s="33">
        <f t="shared" si="641"/>
        <v>203</v>
      </c>
      <c r="Y1042" s="11">
        <f t="shared" si="629"/>
        <v>356</v>
      </c>
      <c r="Z1042" s="85">
        <v>46092</v>
      </c>
    </row>
    <row r="1043" spans="1:26" x14ac:dyDescent="0.15">
      <c r="A1043" s="50" t="s">
        <v>557</v>
      </c>
      <c r="B1043" s="25">
        <v>1</v>
      </c>
      <c r="C1043" s="45">
        <v>1</v>
      </c>
      <c r="D1043" s="26">
        <v>1</v>
      </c>
      <c r="E1043" s="32"/>
      <c r="F1043" s="33">
        <f t="shared" si="638"/>
        <v>3</v>
      </c>
      <c r="G1043" s="25">
        <v>3</v>
      </c>
      <c r="H1043" s="45">
        <v>5</v>
      </c>
      <c r="I1043" s="26"/>
      <c r="J1043" s="32"/>
      <c r="K1043" s="33">
        <f t="shared" si="639"/>
        <v>8</v>
      </c>
      <c r="L1043" s="11">
        <f t="shared" si="632"/>
        <v>11</v>
      </c>
      <c r="M1043" s="85">
        <v>46094</v>
      </c>
      <c r="N1043" s="197" t="s">
        <v>524</v>
      </c>
      <c r="O1043" s="190">
        <v>5</v>
      </c>
      <c r="P1043" s="191">
        <v>5</v>
      </c>
      <c r="Q1043" s="192"/>
      <c r="R1043" s="193">
        <v>5</v>
      </c>
      <c r="S1043" s="194">
        <f t="shared" si="640"/>
        <v>15</v>
      </c>
      <c r="T1043" s="190">
        <v>5</v>
      </c>
      <c r="U1043" s="191">
        <v>8</v>
      </c>
      <c r="V1043" s="192"/>
      <c r="W1043" s="193">
        <v>5</v>
      </c>
      <c r="X1043" s="194">
        <f t="shared" si="641"/>
        <v>18</v>
      </c>
      <c r="Y1043" s="187">
        <f t="shared" si="629"/>
        <v>33</v>
      </c>
      <c r="Z1043" s="188">
        <v>46092</v>
      </c>
    </row>
    <row r="1044" spans="1:26" x14ac:dyDescent="0.15">
      <c r="A1044" s="70" t="s">
        <v>558</v>
      </c>
      <c r="B1044" s="25"/>
      <c r="C1044" s="45"/>
      <c r="D1044" s="26"/>
      <c r="E1044" s="32"/>
      <c r="F1044" s="33">
        <f t="shared" si="638"/>
        <v>0</v>
      </c>
      <c r="G1044" s="25"/>
      <c r="H1044" s="45"/>
      <c r="I1044" s="26">
        <v>1</v>
      </c>
      <c r="J1044" s="32"/>
      <c r="K1044" s="33">
        <f t="shared" si="639"/>
        <v>1</v>
      </c>
      <c r="L1044" s="11">
        <f t="shared" si="632"/>
        <v>1</v>
      </c>
      <c r="M1044" s="115">
        <v>46092</v>
      </c>
      <c r="N1044" s="12" t="s">
        <v>559</v>
      </c>
      <c r="O1044" s="25"/>
      <c r="P1044" s="45"/>
      <c r="Q1044" s="26"/>
      <c r="R1044" s="32">
        <v>5</v>
      </c>
      <c r="S1044" s="33">
        <f t="shared" si="640"/>
        <v>5</v>
      </c>
      <c r="T1044" s="25"/>
      <c r="U1044" s="45"/>
      <c r="V1044" s="26"/>
      <c r="W1044" s="32">
        <v>5</v>
      </c>
      <c r="X1044" s="33">
        <f t="shared" si="641"/>
        <v>5</v>
      </c>
      <c r="Y1044" s="11">
        <f t="shared" si="629"/>
        <v>10</v>
      </c>
      <c r="Z1044" s="85">
        <v>46099</v>
      </c>
    </row>
    <row r="1045" spans="1:26" x14ac:dyDescent="0.15">
      <c r="A1045" s="70" t="s">
        <v>560</v>
      </c>
      <c r="B1045" s="25">
        <v>1</v>
      </c>
      <c r="C1045" s="45"/>
      <c r="D1045" s="26"/>
      <c r="E1045" s="32"/>
      <c r="F1045" s="33">
        <f t="shared" si="638"/>
        <v>1</v>
      </c>
      <c r="G1045" s="25">
        <v>1</v>
      </c>
      <c r="H1045" s="45"/>
      <c r="I1045" s="26"/>
      <c r="J1045" s="32"/>
      <c r="K1045" s="33">
        <f t="shared" si="639"/>
        <v>1</v>
      </c>
      <c r="L1045" s="11">
        <f t="shared" si="632"/>
        <v>2</v>
      </c>
      <c r="M1045" s="115">
        <v>46093</v>
      </c>
      <c r="N1045" s="197" t="s">
        <v>524</v>
      </c>
      <c r="O1045" s="190">
        <v>5</v>
      </c>
      <c r="P1045" s="191">
        <v>5</v>
      </c>
      <c r="Q1045" s="192">
        <v>5</v>
      </c>
      <c r="R1045" s="193"/>
      <c r="S1045" s="194">
        <f t="shared" si="640"/>
        <v>15</v>
      </c>
      <c r="T1045" s="190"/>
      <c r="U1045" s="191">
        <v>3</v>
      </c>
      <c r="V1045" s="192"/>
      <c r="W1045" s="193"/>
      <c r="X1045" s="194">
        <f t="shared" si="641"/>
        <v>3</v>
      </c>
      <c r="Y1045" s="187">
        <f t="shared" si="629"/>
        <v>18</v>
      </c>
      <c r="Z1045" s="188">
        <v>46098</v>
      </c>
    </row>
    <row r="1046" spans="1:26" x14ac:dyDescent="0.15">
      <c r="A1046" s="70" t="s">
        <v>30</v>
      </c>
      <c r="B1046" s="25"/>
      <c r="C1046" s="45">
        <v>1</v>
      </c>
      <c r="D1046" s="26"/>
      <c r="E1046" s="32"/>
      <c r="F1046" s="33">
        <f t="shared" si="638"/>
        <v>1</v>
      </c>
      <c r="G1046" s="25"/>
      <c r="H1046" s="45"/>
      <c r="I1046" s="26"/>
      <c r="J1046" s="32"/>
      <c r="K1046" s="33">
        <f t="shared" si="639"/>
        <v>0</v>
      </c>
      <c r="L1046" s="11">
        <f t="shared" si="632"/>
        <v>1</v>
      </c>
      <c r="M1046" s="115">
        <v>46092</v>
      </c>
      <c r="N1046" s="12" t="s">
        <v>563</v>
      </c>
      <c r="O1046" s="25"/>
      <c r="P1046" s="45"/>
      <c r="Q1046" s="26"/>
      <c r="R1046" s="32"/>
      <c r="S1046" s="33">
        <f t="shared" si="640"/>
        <v>0</v>
      </c>
      <c r="T1046" s="25"/>
      <c r="U1046" s="45"/>
      <c r="V1046" s="26">
        <v>5</v>
      </c>
      <c r="W1046" s="32"/>
      <c r="X1046" s="33">
        <f t="shared" si="641"/>
        <v>5</v>
      </c>
      <c r="Y1046" s="11">
        <f t="shared" si="629"/>
        <v>5</v>
      </c>
      <c r="Z1046" s="85">
        <v>46106</v>
      </c>
    </row>
    <row r="1047" spans="1:26" x14ac:dyDescent="0.15">
      <c r="A1047" s="70" t="s">
        <v>30</v>
      </c>
      <c r="B1047" s="25"/>
      <c r="C1047" s="45"/>
      <c r="D1047" s="26"/>
      <c r="E1047" s="32"/>
      <c r="F1047" s="33">
        <f t="shared" si="638"/>
        <v>0</v>
      </c>
      <c r="G1047" s="25"/>
      <c r="H1047" s="45"/>
      <c r="I1047" s="26"/>
      <c r="J1047" s="32">
        <v>1</v>
      </c>
      <c r="K1047" s="33">
        <f t="shared" si="639"/>
        <v>1</v>
      </c>
      <c r="L1047" s="11">
        <f t="shared" si="632"/>
        <v>1</v>
      </c>
      <c r="M1047" s="115">
        <v>46094</v>
      </c>
      <c r="N1047" s="197" t="s">
        <v>524</v>
      </c>
      <c r="O1047" s="190">
        <v>3</v>
      </c>
      <c r="P1047" s="191"/>
      <c r="Q1047" s="192"/>
      <c r="R1047" s="193"/>
      <c r="S1047" s="194">
        <f t="shared" si="640"/>
        <v>3</v>
      </c>
      <c r="T1047" s="190">
        <v>3</v>
      </c>
      <c r="U1047" s="191">
        <v>5</v>
      </c>
      <c r="V1047" s="192"/>
      <c r="W1047" s="193">
        <v>3</v>
      </c>
      <c r="X1047" s="194">
        <f t="shared" si="641"/>
        <v>11</v>
      </c>
      <c r="Y1047" s="187">
        <f t="shared" si="629"/>
        <v>14</v>
      </c>
      <c r="Z1047" s="188">
        <v>46105</v>
      </c>
    </row>
    <row r="1048" spans="1:26" x14ac:dyDescent="0.15">
      <c r="A1048" s="50" t="s">
        <v>561</v>
      </c>
      <c r="B1048" s="25">
        <v>4</v>
      </c>
      <c r="C1048" s="45">
        <v>4</v>
      </c>
      <c r="D1048" s="26">
        <v>6</v>
      </c>
      <c r="E1048" s="32"/>
      <c r="F1048" s="33">
        <f t="shared" si="638"/>
        <v>14</v>
      </c>
      <c r="G1048" s="25">
        <v>2</v>
      </c>
      <c r="H1048" s="45">
        <v>5</v>
      </c>
      <c r="I1048" s="26"/>
      <c r="J1048" s="32">
        <v>1</v>
      </c>
      <c r="K1048" s="33">
        <f t="shared" si="639"/>
        <v>8</v>
      </c>
      <c r="L1048" s="11">
        <f t="shared" si="632"/>
        <v>22</v>
      </c>
      <c r="M1048" s="85">
        <v>46100</v>
      </c>
      <c r="N1048" s="197" t="s">
        <v>524</v>
      </c>
      <c r="O1048" s="190"/>
      <c r="P1048" s="191">
        <v>3</v>
      </c>
      <c r="Q1048" s="192"/>
      <c r="R1048" s="193"/>
      <c r="S1048" s="194">
        <f t="shared" si="640"/>
        <v>3</v>
      </c>
      <c r="T1048" s="190"/>
      <c r="U1048" s="191"/>
      <c r="V1048" s="192"/>
      <c r="W1048" s="193"/>
      <c r="X1048" s="194">
        <f t="shared" si="641"/>
        <v>0</v>
      </c>
      <c r="Y1048" s="187">
        <f t="shared" si="629"/>
        <v>3</v>
      </c>
      <c r="Z1048" s="188">
        <v>46106</v>
      </c>
    </row>
    <row r="1049" spans="1:26" x14ac:dyDescent="0.15">
      <c r="A1049" s="70" t="s">
        <v>544</v>
      </c>
      <c r="B1049" s="25"/>
      <c r="C1049" s="45"/>
      <c r="D1049" s="26"/>
      <c r="E1049" s="32">
        <v>1</v>
      </c>
      <c r="F1049" s="33">
        <f t="shared" si="638"/>
        <v>1</v>
      </c>
      <c r="G1049" s="25"/>
      <c r="H1049" s="45"/>
      <c r="I1049" s="26"/>
      <c r="J1049" s="32"/>
      <c r="K1049" s="33">
        <f t="shared" si="639"/>
        <v>0</v>
      </c>
      <c r="L1049" s="11">
        <f t="shared" si="632"/>
        <v>1</v>
      </c>
      <c r="M1049" s="85">
        <v>46098</v>
      </c>
      <c r="N1049" s="12" t="s">
        <v>567</v>
      </c>
      <c r="O1049" s="25">
        <v>20</v>
      </c>
      <c r="P1049" s="45">
        <v>50</v>
      </c>
      <c r="Q1049" s="26">
        <v>20</v>
      </c>
      <c r="R1049" s="32">
        <v>25</v>
      </c>
      <c r="S1049" s="33">
        <f t="shared" si="640"/>
        <v>115</v>
      </c>
      <c r="T1049" s="25"/>
      <c r="U1049" s="45">
        <v>10</v>
      </c>
      <c r="V1049" s="26"/>
      <c r="W1049" s="32"/>
      <c r="X1049" s="33">
        <f t="shared" si="641"/>
        <v>10</v>
      </c>
      <c r="Y1049" s="11">
        <f t="shared" si="629"/>
        <v>125</v>
      </c>
      <c r="Z1049" s="85">
        <v>46107</v>
      </c>
    </row>
    <row r="1050" spans="1:26" x14ac:dyDescent="0.15">
      <c r="A1050" s="50" t="s">
        <v>564</v>
      </c>
      <c r="B1050" s="25">
        <v>2</v>
      </c>
      <c r="C1050" s="45"/>
      <c r="D1050" s="26"/>
      <c r="E1050" s="32">
        <v>2</v>
      </c>
      <c r="F1050" s="33">
        <f t="shared" si="638"/>
        <v>4</v>
      </c>
      <c r="G1050" s="25"/>
      <c r="H1050" s="45">
        <v>1</v>
      </c>
      <c r="I1050" s="26"/>
      <c r="J1050" s="32"/>
      <c r="K1050" s="33">
        <f t="shared" si="639"/>
        <v>1</v>
      </c>
      <c r="L1050" s="11">
        <f t="shared" si="632"/>
        <v>5</v>
      </c>
      <c r="M1050" s="85">
        <v>46104</v>
      </c>
      <c r="N1050" s="12" t="s">
        <v>570</v>
      </c>
      <c r="O1050" s="25"/>
      <c r="P1050" s="45"/>
      <c r="Q1050" s="26">
        <v>10</v>
      </c>
      <c r="R1050" s="32">
        <v>3</v>
      </c>
      <c r="S1050" s="33">
        <f t="shared" ref="S1050:S1051" si="642">SUM(O1050:R1050)</f>
        <v>13</v>
      </c>
      <c r="T1050" s="25"/>
      <c r="U1050" s="45"/>
      <c r="V1050" s="26"/>
      <c r="W1050" s="32">
        <v>6</v>
      </c>
      <c r="X1050" s="33">
        <f t="shared" ref="X1050:X1051" si="643">SUM(T1050:W1050)</f>
        <v>6</v>
      </c>
      <c r="Y1050" s="11">
        <f t="shared" ref="Y1050:Y1051" si="644">S1050+X1050</f>
        <v>19</v>
      </c>
      <c r="Z1050" s="85">
        <v>46109</v>
      </c>
    </row>
    <row r="1051" spans="1:26" x14ac:dyDescent="0.15">
      <c r="A1051" s="70" t="s">
        <v>544</v>
      </c>
      <c r="B1051" s="25"/>
      <c r="C1051" s="45">
        <v>1</v>
      </c>
      <c r="D1051" s="26"/>
      <c r="E1051" s="32"/>
      <c r="F1051" s="33">
        <f t="shared" si="638"/>
        <v>1</v>
      </c>
      <c r="G1051" s="25"/>
      <c r="H1051" s="45"/>
      <c r="I1051" s="26"/>
      <c r="J1051" s="32"/>
      <c r="K1051" s="33">
        <f t="shared" si="639"/>
        <v>0</v>
      </c>
      <c r="L1051" s="11">
        <f t="shared" si="632"/>
        <v>1</v>
      </c>
      <c r="M1051" s="85">
        <v>46100</v>
      </c>
      <c r="N1051" s="50"/>
      <c r="O1051" s="25"/>
      <c r="P1051" s="45"/>
      <c r="Q1051" s="26"/>
      <c r="R1051" s="32"/>
      <c r="S1051" s="33">
        <f t="shared" si="642"/>
        <v>0</v>
      </c>
      <c r="T1051" s="25"/>
      <c r="U1051" s="45"/>
      <c r="V1051" s="26"/>
      <c r="W1051" s="32"/>
      <c r="X1051" s="33">
        <f t="shared" si="643"/>
        <v>0</v>
      </c>
      <c r="Y1051" s="11">
        <f t="shared" si="644"/>
        <v>0</v>
      </c>
    </row>
    <row r="1052" spans="1:26" x14ac:dyDescent="0.15">
      <c r="A1052" s="70" t="s">
        <v>30</v>
      </c>
      <c r="B1052" s="25"/>
      <c r="C1052" s="45"/>
      <c r="D1052" s="26"/>
      <c r="E1052" s="32"/>
      <c r="F1052" s="33">
        <f t="shared" si="638"/>
        <v>0</v>
      </c>
      <c r="G1052" s="25"/>
      <c r="H1052" s="45"/>
      <c r="I1052" s="26"/>
      <c r="J1052" s="32">
        <v>1</v>
      </c>
      <c r="K1052" s="33">
        <f t="shared" si="639"/>
        <v>1</v>
      </c>
      <c r="L1052" s="11">
        <f t="shared" si="632"/>
        <v>1</v>
      </c>
      <c r="M1052" s="115">
        <v>46100</v>
      </c>
      <c r="N1052" s="50"/>
      <c r="O1052" s="25"/>
      <c r="P1052" s="45"/>
      <c r="Q1052" s="26"/>
      <c r="R1052" s="32"/>
      <c r="S1052" s="33">
        <f t="shared" ref="S1052" si="645">SUM(O1052:R1052)</f>
        <v>0</v>
      </c>
      <c r="T1052" s="25"/>
      <c r="U1052" s="45"/>
      <c r="V1052" s="26"/>
      <c r="W1052" s="32"/>
      <c r="X1052" s="33">
        <f t="shared" ref="X1052" si="646">SUM(T1052:W1052)</f>
        <v>0</v>
      </c>
      <c r="Y1052" s="11">
        <f t="shared" ref="Y1052" si="647">S1052+X1052</f>
        <v>0</v>
      </c>
    </row>
    <row r="1053" spans="1:26" x14ac:dyDescent="0.15">
      <c r="A1053" s="70" t="s">
        <v>544</v>
      </c>
      <c r="B1053" s="25"/>
      <c r="C1053" s="45">
        <v>3</v>
      </c>
      <c r="D1053" s="26"/>
      <c r="E1053" s="32"/>
      <c r="F1053" s="33">
        <f t="shared" si="638"/>
        <v>3</v>
      </c>
      <c r="G1053" s="25">
        <v>1</v>
      </c>
      <c r="H1053" s="45">
        <v>1</v>
      </c>
      <c r="I1053" s="26"/>
      <c r="J1053" s="32"/>
      <c r="K1053" s="33">
        <f t="shared" si="639"/>
        <v>2</v>
      </c>
      <c r="L1053" s="11">
        <f t="shared" si="632"/>
        <v>5</v>
      </c>
      <c r="M1053" s="85">
        <v>46105</v>
      </c>
      <c r="N1053" s="50"/>
      <c r="O1053" s="25"/>
      <c r="P1053" s="45"/>
      <c r="Q1053" s="26"/>
      <c r="R1053" s="32"/>
      <c r="S1053" s="33">
        <f t="shared" si="640"/>
        <v>0</v>
      </c>
      <c r="T1053" s="25"/>
      <c r="U1053" s="45"/>
      <c r="V1053" s="26"/>
      <c r="W1053" s="32"/>
      <c r="X1053" s="33">
        <f t="shared" si="641"/>
        <v>0</v>
      </c>
      <c r="Y1053" s="11">
        <f t="shared" si="629"/>
        <v>0</v>
      </c>
    </row>
    <row r="1054" spans="1:26" x14ac:dyDescent="0.15">
      <c r="A1054" s="70" t="s">
        <v>565</v>
      </c>
      <c r="B1054" s="25"/>
      <c r="C1054" s="45"/>
      <c r="D1054" s="26"/>
      <c r="E1054" s="32"/>
      <c r="F1054" s="33">
        <f t="shared" si="638"/>
        <v>0</v>
      </c>
      <c r="G1054" s="25">
        <v>1</v>
      </c>
      <c r="H1054" s="45"/>
      <c r="I1054" s="26"/>
      <c r="J1054" s="32"/>
      <c r="K1054" s="33">
        <f t="shared" si="639"/>
        <v>1</v>
      </c>
      <c r="L1054" s="11">
        <f t="shared" si="632"/>
        <v>1</v>
      </c>
      <c r="M1054" s="85">
        <v>46106</v>
      </c>
      <c r="N1054" s="50"/>
      <c r="O1054" s="25"/>
      <c r="P1054" s="45"/>
      <c r="Q1054" s="26"/>
      <c r="R1054" s="32"/>
      <c r="S1054" s="33">
        <f t="shared" ref="S1054" si="648">SUM(O1054:R1054)</f>
        <v>0</v>
      </c>
      <c r="T1054" s="25"/>
      <c r="U1054" s="45"/>
      <c r="V1054" s="26"/>
      <c r="W1054" s="32"/>
      <c r="X1054" s="33">
        <f t="shared" ref="X1054" si="649">SUM(T1054:W1054)</f>
        <v>0</v>
      </c>
      <c r="Y1054" s="11">
        <f t="shared" ref="Y1054" si="650">S1054+X1054</f>
        <v>0</v>
      </c>
    </row>
    <row r="1055" spans="1:26" x14ac:dyDescent="0.15">
      <c r="A1055" s="50" t="s">
        <v>566</v>
      </c>
      <c r="B1055" s="25">
        <v>3</v>
      </c>
      <c r="C1055" s="45"/>
      <c r="D1055" s="26">
        <v>3</v>
      </c>
      <c r="E1055" s="32"/>
      <c r="F1055" s="33">
        <f t="shared" si="638"/>
        <v>6</v>
      </c>
      <c r="G1055" s="25">
        <v>1</v>
      </c>
      <c r="H1055" s="45">
        <v>3</v>
      </c>
      <c r="I1055" s="26"/>
      <c r="J1055" s="32"/>
      <c r="K1055" s="33">
        <f t="shared" si="639"/>
        <v>4</v>
      </c>
      <c r="L1055" s="11">
        <f t="shared" si="632"/>
        <v>10</v>
      </c>
      <c r="M1055" s="85">
        <v>46108</v>
      </c>
      <c r="N1055" s="50"/>
      <c r="O1055" s="25"/>
      <c r="P1055" s="45"/>
      <c r="Q1055" s="26"/>
      <c r="R1055" s="32"/>
      <c r="S1055" s="33">
        <f t="shared" ref="S1055:S1056" si="651">SUM(O1055:R1055)</f>
        <v>0</v>
      </c>
      <c r="T1055" s="25"/>
      <c r="U1055" s="45"/>
      <c r="V1055" s="26"/>
      <c r="W1055" s="32"/>
      <c r="X1055" s="33">
        <f t="shared" ref="X1055:X1056" si="652">SUM(T1055:W1055)</f>
        <v>0</v>
      </c>
      <c r="Y1055" s="11">
        <f t="shared" ref="Y1055:Y1056" si="653">S1055+X1055</f>
        <v>0</v>
      </c>
    </row>
    <row r="1056" spans="1:26" x14ac:dyDescent="0.15">
      <c r="A1056" s="70" t="s">
        <v>30</v>
      </c>
      <c r="B1056" s="25">
        <v>1</v>
      </c>
      <c r="C1056" s="45"/>
      <c r="D1056" s="26"/>
      <c r="E1056" s="32"/>
      <c r="F1056" s="33">
        <f t="shared" si="638"/>
        <v>1</v>
      </c>
      <c r="G1056" s="25">
        <v>1</v>
      </c>
      <c r="H1056" s="45"/>
      <c r="I1056" s="26"/>
      <c r="J1056" s="32">
        <v>1</v>
      </c>
      <c r="K1056" s="33">
        <f t="shared" si="639"/>
        <v>2</v>
      </c>
      <c r="L1056" s="11">
        <f t="shared" si="632"/>
        <v>3</v>
      </c>
      <c r="M1056" s="115">
        <v>46104</v>
      </c>
      <c r="N1056" s="50"/>
      <c r="O1056" s="25"/>
      <c r="P1056" s="45"/>
      <c r="Q1056" s="26"/>
      <c r="R1056" s="32"/>
      <c r="S1056" s="33">
        <f t="shared" si="651"/>
        <v>0</v>
      </c>
      <c r="T1056" s="25"/>
      <c r="U1056" s="45"/>
      <c r="V1056" s="26"/>
      <c r="W1056" s="32"/>
      <c r="X1056" s="33">
        <f t="shared" si="652"/>
        <v>0</v>
      </c>
      <c r="Y1056" s="11">
        <f t="shared" si="653"/>
        <v>0</v>
      </c>
    </row>
    <row r="1057" spans="1:26" x14ac:dyDescent="0.15">
      <c r="A1057" s="181" t="s">
        <v>149</v>
      </c>
      <c r="B1057" s="190">
        <v>-3</v>
      </c>
      <c r="C1057" s="191"/>
      <c r="D1057" s="192"/>
      <c r="E1057" s="193"/>
      <c r="F1057" s="194">
        <f t="shared" si="638"/>
        <v>-3</v>
      </c>
      <c r="G1057" s="190">
        <v>-3</v>
      </c>
      <c r="H1057" s="191">
        <v>-5</v>
      </c>
      <c r="I1057" s="192"/>
      <c r="J1057" s="193">
        <v>-3</v>
      </c>
      <c r="K1057" s="194">
        <f t="shared" si="639"/>
        <v>-11</v>
      </c>
      <c r="L1057" s="187">
        <f t="shared" si="632"/>
        <v>-14</v>
      </c>
      <c r="M1057" s="188">
        <v>46105</v>
      </c>
      <c r="N1057" s="96" t="s">
        <v>518</v>
      </c>
      <c r="O1057" s="25"/>
      <c r="P1057" s="45"/>
      <c r="Q1057" s="26"/>
      <c r="R1057" s="32"/>
      <c r="S1057" s="33">
        <f t="shared" si="640"/>
        <v>0</v>
      </c>
      <c r="T1057" s="25"/>
      <c r="U1057" s="45"/>
      <c r="V1057" s="26"/>
      <c r="W1057" s="32"/>
      <c r="X1057" s="33">
        <f t="shared" si="641"/>
        <v>0</v>
      </c>
      <c r="Y1057" s="93">
        <f t="shared" si="629"/>
        <v>0</v>
      </c>
      <c r="Z1057" s="159"/>
    </row>
    <row r="1058" spans="1:26" x14ac:dyDescent="0.15">
      <c r="A1058" s="181" t="s">
        <v>149</v>
      </c>
      <c r="B1058" s="190"/>
      <c r="C1058" s="191">
        <v>-3</v>
      </c>
      <c r="D1058" s="192"/>
      <c r="E1058" s="193"/>
      <c r="F1058" s="194">
        <f t="shared" si="638"/>
        <v>-3</v>
      </c>
      <c r="G1058" s="190"/>
      <c r="H1058" s="191"/>
      <c r="I1058" s="192"/>
      <c r="J1058" s="193"/>
      <c r="K1058" s="194">
        <f t="shared" si="639"/>
        <v>0</v>
      </c>
      <c r="L1058" s="187">
        <f t="shared" si="632"/>
        <v>-3</v>
      </c>
      <c r="M1058" s="188">
        <v>46106</v>
      </c>
      <c r="N1058" s="12" t="s">
        <v>517</v>
      </c>
      <c r="O1058" s="25"/>
      <c r="P1058" s="45"/>
      <c r="Q1058" s="26"/>
      <c r="R1058" s="32"/>
      <c r="S1058" s="33">
        <f t="shared" si="640"/>
        <v>0</v>
      </c>
      <c r="T1058" s="25"/>
      <c r="U1058" s="45"/>
      <c r="V1058" s="26"/>
      <c r="W1058" s="32"/>
      <c r="X1058" s="33">
        <f t="shared" si="641"/>
        <v>0</v>
      </c>
      <c r="Y1058" s="93">
        <f t="shared" si="629"/>
        <v>0</v>
      </c>
      <c r="Z1058" s="213" t="s">
        <v>519</v>
      </c>
    </row>
    <row r="1059" spans="1:26" x14ac:dyDescent="0.15">
      <c r="A1059" s="70" t="s">
        <v>568</v>
      </c>
      <c r="B1059" s="25"/>
      <c r="C1059" s="45"/>
      <c r="D1059" s="26"/>
      <c r="E1059" s="32"/>
      <c r="F1059" s="33">
        <f t="shared" si="638"/>
        <v>0</v>
      </c>
      <c r="G1059" s="25">
        <v>1</v>
      </c>
      <c r="H1059" s="45"/>
      <c r="I1059" s="26"/>
      <c r="J1059" s="32"/>
      <c r="K1059" s="33">
        <f t="shared" si="639"/>
        <v>1</v>
      </c>
      <c r="L1059" s="93">
        <f t="shared" si="632"/>
        <v>1</v>
      </c>
      <c r="M1059" s="85">
        <v>46106</v>
      </c>
      <c r="N1059" s="96" t="s">
        <v>496</v>
      </c>
      <c r="O1059" s="97"/>
      <c r="P1059" s="98"/>
      <c r="Q1059" s="99"/>
      <c r="R1059" s="100"/>
      <c r="S1059" s="101">
        <f t="shared" si="640"/>
        <v>0</v>
      </c>
      <c r="T1059" s="97"/>
      <c r="U1059" s="98"/>
      <c r="V1059" s="99"/>
      <c r="W1059" s="100"/>
      <c r="X1059" s="101">
        <f t="shared" si="641"/>
        <v>0</v>
      </c>
      <c r="Y1059" s="195">
        <f t="shared" si="629"/>
        <v>0</v>
      </c>
      <c r="Z1059" s="159"/>
    </row>
    <row r="1060" spans="1:26" ht="14.25" thickBot="1" x14ac:dyDescent="0.2">
      <c r="A1060" s="108" t="s">
        <v>30</v>
      </c>
      <c r="B1060" s="55"/>
      <c r="C1060" s="56">
        <v>1</v>
      </c>
      <c r="D1060" s="57">
        <v>1</v>
      </c>
      <c r="E1060" s="58">
        <v>1</v>
      </c>
      <c r="F1060" s="109">
        <f t="shared" si="638"/>
        <v>3</v>
      </c>
      <c r="G1060" s="55"/>
      <c r="H1060" s="56"/>
      <c r="I1060" s="57"/>
      <c r="J1060" s="58"/>
      <c r="K1060" s="109">
        <f t="shared" si="639"/>
        <v>0</v>
      </c>
      <c r="L1060" s="107">
        <f t="shared" si="632"/>
        <v>3</v>
      </c>
      <c r="M1060" s="115">
        <v>46107</v>
      </c>
      <c r="N1060" s="74" t="s">
        <v>513</v>
      </c>
      <c r="O1060" s="55"/>
      <c r="P1060" s="56"/>
      <c r="Q1060" s="57"/>
      <c r="R1060" s="58"/>
      <c r="S1060" s="109">
        <f t="shared" si="640"/>
        <v>0</v>
      </c>
      <c r="T1060" s="55"/>
      <c r="U1060" s="56"/>
      <c r="V1060" s="57"/>
      <c r="W1060" s="58"/>
      <c r="X1060" s="109">
        <f t="shared" si="641"/>
        <v>0</v>
      </c>
      <c r="Y1060" s="107">
        <f t="shared" si="629"/>
        <v>0</v>
      </c>
      <c r="Z1060" s="213" t="s">
        <v>519</v>
      </c>
    </row>
    <row r="1061" spans="1:26" ht="14.25" thickBot="1" x14ac:dyDescent="0.2">
      <c r="A1061" s="72" t="s">
        <v>10</v>
      </c>
      <c r="B1061" s="36">
        <f>SUM(B1036:B1060)</f>
        <v>11</v>
      </c>
      <c r="C1061" s="46">
        <f>SUM(C1036:C1060)</f>
        <v>11</v>
      </c>
      <c r="D1061" s="37">
        <f>SUM(D1036:D1060)</f>
        <v>11</v>
      </c>
      <c r="E1061" s="38">
        <f>SUM(E1036:E1060)</f>
        <v>7</v>
      </c>
      <c r="F1061" s="71">
        <f>SUM(B1061:E1061)</f>
        <v>40</v>
      </c>
      <c r="G1061" s="36">
        <f>SUM(G1036:G1060)</f>
        <v>9</v>
      </c>
      <c r="H1061" s="46">
        <f>SUM(H1036:H1060)</f>
        <v>12</v>
      </c>
      <c r="I1061" s="37">
        <f>SUM(I1036:I1060)</f>
        <v>1</v>
      </c>
      <c r="J1061" s="38">
        <f>SUM(J1036:J1060)</f>
        <v>6</v>
      </c>
      <c r="K1061" s="71">
        <f>SUM(G1061:J1061)</f>
        <v>28</v>
      </c>
      <c r="L1061" s="75">
        <f t="shared" si="632"/>
        <v>68</v>
      </c>
      <c r="N1061" s="72" t="s">
        <v>10</v>
      </c>
      <c r="O1061" s="36">
        <f>SUM(O1036:O1060)</f>
        <v>135</v>
      </c>
      <c r="P1061" s="46">
        <f>SUM(P1036:P1060)</f>
        <v>223</v>
      </c>
      <c r="Q1061" s="37">
        <f>SUM(Q1036:Q1060)</f>
        <v>131</v>
      </c>
      <c r="R1061" s="38">
        <f>SUM(R1036:R1060)</f>
        <v>115</v>
      </c>
      <c r="S1061" s="71">
        <f t="shared" si="640"/>
        <v>604</v>
      </c>
      <c r="T1061" s="36">
        <f>SUM(T1036:T1060)</f>
        <v>145</v>
      </c>
      <c r="U1061" s="46">
        <f>SUM(U1036:U1060)</f>
        <v>252</v>
      </c>
      <c r="V1061" s="37">
        <f>SUM(V1036:V1060)</f>
        <v>147</v>
      </c>
      <c r="W1061" s="38">
        <f>SUM(W1036:W1060)</f>
        <v>144</v>
      </c>
      <c r="X1061" s="71">
        <f t="shared" si="641"/>
        <v>688</v>
      </c>
      <c r="Y1061" s="75">
        <f t="shared" si="629"/>
        <v>1292</v>
      </c>
    </row>
    <row r="1062" spans="1:26" ht="14.25" thickBot="1" x14ac:dyDescent="0.2">
      <c r="A1062" s="21" t="s">
        <v>11</v>
      </c>
      <c r="B1062" s="39">
        <f t="shared" ref="B1062:K1062" si="654">B1035-B1061</f>
        <v>5</v>
      </c>
      <c r="C1062" s="47">
        <f t="shared" si="654"/>
        <v>5</v>
      </c>
      <c r="D1062" s="40">
        <f t="shared" si="654"/>
        <v>4</v>
      </c>
      <c r="E1062" s="41">
        <f t="shared" si="654"/>
        <v>6</v>
      </c>
      <c r="F1062" s="54">
        <f t="shared" si="654"/>
        <v>20</v>
      </c>
      <c r="G1062" s="39">
        <f t="shared" si="654"/>
        <v>4</v>
      </c>
      <c r="H1062" s="47">
        <f t="shared" si="654"/>
        <v>7</v>
      </c>
      <c r="I1062" s="40">
        <f t="shared" si="654"/>
        <v>9</v>
      </c>
      <c r="J1062" s="41">
        <f t="shared" si="654"/>
        <v>6</v>
      </c>
      <c r="K1062" s="54">
        <f t="shared" si="654"/>
        <v>26</v>
      </c>
      <c r="L1062" s="20">
        <f t="shared" si="632"/>
        <v>46</v>
      </c>
      <c r="N1062" s="16" t="s">
        <v>11</v>
      </c>
      <c r="O1062" s="39">
        <f t="shared" ref="O1062:X1062" si="655">O1035-O1061</f>
        <v>399</v>
      </c>
      <c r="P1062" s="47">
        <f t="shared" si="655"/>
        <v>544</v>
      </c>
      <c r="Q1062" s="40">
        <f t="shared" si="655"/>
        <v>396</v>
      </c>
      <c r="R1062" s="41">
        <f t="shared" si="655"/>
        <v>346</v>
      </c>
      <c r="S1062" s="54">
        <f t="shared" si="655"/>
        <v>1685</v>
      </c>
      <c r="T1062" s="39">
        <f t="shared" si="655"/>
        <v>380</v>
      </c>
      <c r="U1062" s="47">
        <f t="shared" si="655"/>
        <v>484</v>
      </c>
      <c r="V1062" s="40">
        <f t="shared" si="655"/>
        <v>302</v>
      </c>
      <c r="W1062" s="41">
        <f t="shared" si="655"/>
        <v>288</v>
      </c>
      <c r="X1062" s="54">
        <f t="shared" si="655"/>
        <v>1454</v>
      </c>
      <c r="Y1062" s="20">
        <f t="shared" si="629"/>
        <v>3139</v>
      </c>
      <c r="Z1062" s="211" t="s">
        <v>549</v>
      </c>
    </row>
    <row r="1063" spans="1:26" x14ac:dyDescent="0.15">
      <c r="N1063" s="167" t="s">
        <v>491</v>
      </c>
      <c r="O1063">
        <v>31</v>
      </c>
      <c r="P1063">
        <v>53</v>
      </c>
      <c r="Q1063">
        <v>29</v>
      </c>
      <c r="R1063">
        <v>18</v>
      </c>
      <c r="S1063">
        <f>SUM(O1063:R1063)</f>
        <v>131</v>
      </c>
      <c r="T1063">
        <v>69</v>
      </c>
      <c r="U1063">
        <v>93</v>
      </c>
      <c r="V1063">
        <v>50</v>
      </c>
      <c r="W1063">
        <v>39</v>
      </c>
      <c r="X1063">
        <f>SUM(T1063:W1063)</f>
        <v>251</v>
      </c>
    </row>
    <row r="1064" spans="1:26" x14ac:dyDescent="0.15">
      <c r="N1064" s="167"/>
    </row>
    <row r="1065" spans="1:26" ht="19.5" thickBot="1" x14ac:dyDescent="0.25">
      <c r="A1065" s="2" t="s">
        <v>26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27</v>
      </c>
      <c r="O1065" s="2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6" ht="14.25" thickBot="1" x14ac:dyDescent="0.2">
      <c r="A1066" s="5" t="s">
        <v>0</v>
      </c>
      <c r="B1066" s="228" t="s">
        <v>19</v>
      </c>
      <c r="C1066" s="229"/>
      <c r="D1066" s="229"/>
      <c r="E1066" s="229"/>
      <c r="F1066" s="230"/>
      <c r="G1066" s="231" t="s">
        <v>18</v>
      </c>
      <c r="H1066" s="232"/>
      <c r="I1066" s="232"/>
      <c r="J1066" s="232"/>
      <c r="K1066" s="233"/>
      <c r="L1066" s="73" t="s">
        <v>1</v>
      </c>
      <c r="N1066" s="5" t="s">
        <v>0</v>
      </c>
      <c r="O1066" s="228" t="s">
        <v>19</v>
      </c>
      <c r="P1066" s="229"/>
      <c r="Q1066" s="229"/>
      <c r="R1066" s="229"/>
      <c r="S1066" s="230"/>
      <c r="T1066" s="231" t="s">
        <v>18</v>
      </c>
      <c r="U1066" s="232"/>
      <c r="V1066" s="232"/>
      <c r="W1066" s="232"/>
      <c r="X1066" s="233"/>
      <c r="Y1066" s="73" t="s">
        <v>1</v>
      </c>
    </row>
    <row r="1067" spans="1:26" ht="14.25" thickBot="1" x14ac:dyDescent="0.2">
      <c r="A1067" s="5" t="s">
        <v>2</v>
      </c>
      <c r="B1067" s="3" t="s">
        <v>12</v>
      </c>
      <c r="C1067" s="42" t="s">
        <v>13</v>
      </c>
      <c r="D1067" s="4" t="s">
        <v>14</v>
      </c>
      <c r="E1067" s="22" t="s">
        <v>15</v>
      </c>
      <c r="F1067" s="30" t="s">
        <v>3</v>
      </c>
      <c r="G1067" s="3" t="s">
        <v>12</v>
      </c>
      <c r="H1067" s="42" t="s">
        <v>13</v>
      </c>
      <c r="I1067" s="4" t="s">
        <v>14</v>
      </c>
      <c r="J1067" s="22" t="s">
        <v>15</v>
      </c>
      <c r="K1067" s="30" t="s">
        <v>3</v>
      </c>
      <c r="L1067" s="74"/>
      <c r="N1067" s="5" t="s">
        <v>2</v>
      </c>
      <c r="O1067" s="64" t="s">
        <v>12</v>
      </c>
      <c r="P1067" s="65" t="s">
        <v>13</v>
      </c>
      <c r="Q1067" s="66" t="s">
        <v>14</v>
      </c>
      <c r="R1067" s="67" t="s">
        <v>15</v>
      </c>
      <c r="S1067" s="30" t="s">
        <v>3</v>
      </c>
      <c r="T1067" s="3" t="s">
        <v>12</v>
      </c>
      <c r="U1067" s="42" t="s">
        <v>13</v>
      </c>
      <c r="V1067" s="4" t="s">
        <v>14</v>
      </c>
      <c r="W1067" s="22" t="s">
        <v>15</v>
      </c>
      <c r="X1067" s="30" t="s">
        <v>3</v>
      </c>
      <c r="Y1067" s="74"/>
    </row>
    <row r="1068" spans="1:26" ht="14.25" thickBot="1" x14ac:dyDescent="0.2">
      <c r="A1068" s="21" t="s">
        <v>16</v>
      </c>
      <c r="B1068" s="39">
        <f>B1062</f>
        <v>5</v>
      </c>
      <c r="C1068" s="40">
        <f>C1062</f>
        <v>5</v>
      </c>
      <c r="D1068" s="40">
        <f>D1062</f>
        <v>4</v>
      </c>
      <c r="E1068" s="41">
        <f>E1062</f>
        <v>6</v>
      </c>
      <c r="F1068" s="122">
        <f>SUM(B1068:E1068)</f>
        <v>20</v>
      </c>
      <c r="G1068" s="39">
        <f>G1062</f>
        <v>4</v>
      </c>
      <c r="H1068" s="40">
        <f>H1062</f>
        <v>7</v>
      </c>
      <c r="I1068" s="40">
        <f>I1062</f>
        <v>9</v>
      </c>
      <c r="J1068" s="41">
        <f>J1062</f>
        <v>6</v>
      </c>
      <c r="K1068" s="123">
        <f>SUM(G1068:J1068)</f>
        <v>26</v>
      </c>
      <c r="L1068" s="20">
        <f>F1068+K1068</f>
        <v>46</v>
      </c>
      <c r="N1068" s="21" t="s">
        <v>16</v>
      </c>
      <c r="O1068" s="39">
        <f>O1062</f>
        <v>399</v>
      </c>
      <c r="P1068" s="40">
        <f>P1062</f>
        <v>544</v>
      </c>
      <c r="Q1068" s="40">
        <f t="shared" ref="Q1068:R1068" si="656">Q1062</f>
        <v>396</v>
      </c>
      <c r="R1068" s="88">
        <f t="shared" si="656"/>
        <v>346</v>
      </c>
      <c r="S1068" s="123">
        <f>SUM(O1068:R1068)</f>
        <v>1685</v>
      </c>
      <c r="T1068" s="39">
        <f>T1062</f>
        <v>380</v>
      </c>
      <c r="U1068" s="40">
        <f>U1062</f>
        <v>484</v>
      </c>
      <c r="V1068" s="40">
        <f>V1062</f>
        <v>302</v>
      </c>
      <c r="W1068" s="41">
        <f>W1062</f>
        <v>288</v>
      </c>
      <c r="X1068" s="123">
        <f>SUM(T1068:W1068)</f>
        <v>1454</v>
      </c>
      <c r="Y1068" s="20">
        <f t="shared" ref="Y1068:Y1100" si="657">S1068+X1068</f>
        <v>3139</v>
      </c>
    </row>
    <row r="1069" spans="1:26" x14ac:dyDescent="0.15">
      <c r="A1069" s="181" t="s">
        <v>5</v>
      </c>
      <c r="B1069" s="182">
        <v>5</v>
      </c>
      <c r="C1069" s="183">
        <v>5</v>
      </c>
      <c r="D1069" s="184">
        <v>5</v>
      </c>
      <c r="E1069" s="185">
        <v>5</v>
      </c>
      <c r="F1069" s="186">
        <f t="shared" ref="F1069:F1072" si="658">SUM(B1069:E1069)</f>
        <v>20</v>
      </c>
      <c r="G1069" s="183">
        <v>5</v>
      </c>
      <c r="H1069" s="183">
        <v>5</v>
      </c>
      <c r="I1069" s="184">
        <v>5</v>
      </c>
      <c r="J1069" s="185">
        <v>5</v>
      </c>
      <c r="K1069" s="186">
        <f t="shared" ref="K1069:K1072" si="659">SUM(G1069:J1069)</f>
        <v>20</v>
      </c>
      <c r="L1069" s="187">
        <f t="shared" ref="L1069:L1100" si="660">F1069+K1069</f>
        <v>40</v>
      </c>
      <c r="M1069" s="188">
        <v>46111</v>
      </c>
      <c r="N1069" s="13" t="s">
        <v>17</v>
      </c>
      <c r="O1069" s="25"/>
      <c r="P1069" s="45"/>
      <c r="Q1069" s="26"/>
      <c r="R1069" s="32"/>
      <c r="S1069" s="68">
        <f>SUM(O1069:R1069)</f>
        <v>0</v>
      </c>
      <c r="T1069" s="45"/>
      <c r="U1069" s="45"/>
      <c r="V1069" s="26"/>
      <c r="W1069" s="48"/>
      <c r="X1069" s="9">
        <f>SUM(T1069:W1069)</f>
        <v>0</v>
      </c>
      <c r="Y1069" s="11">
        <f t="shared" si="657"/>
        <v>0</v>
      </c>
    </row>
    <row r="1070" spans="1:26" x14ac:dyDescent="0.15">
      <c r="A1070" s="70" t="s">
        <v>6</v>
      </c>
      <c r="B1070" s="6">
        <v>5</v>
      </c>
      <c r="C1070" s="29"/>
      <c r="D1070" s="7"/>
      <c r="E1070" s="8"/>
      <c r="F1070" s="9">
        <f t="shared" si="658"/>
        <v>5</v>
      </c>
      <c r="G1070" s="29"/>
      <c r="H1070" s="29"/>
      <c r="I1070" s="7"/>
      <c r="J1070" s="8"/>
      <c r="K1070" s="9">
        <f t="shared" si="659"/>
        <v>0</v>
      </c>
      <c r="L1070" s="11">
        <f t="shared" si="660"/>
        <v>5</v>
      </c>
      <c r="M1070" s="115">
        <v>46116</v>
      </c>
      <c r="N1070" s="13" t="s">
        <v>5</v>
      </c>
      <c r="O1070" s="25"/>
      <c r="P1070" s="45"/>
      <c r="Q1070" s="26"/>
      <c r="R1070" s="32"/>
      <c r="S1070" s="68">
        <f>SUM(O1070:R1070)</f>
        <v>0</v>
      </c>
      <c r="T1070" s="45"/>
      <c r="U1070" s="45"/>
      <c r="V1070" s="26"/>
      <c r="W1070" s="48"/>
      <c r="X1070" s="9">
        <f>SUM(T1070:W1070)</f>
        <v>0</v>
      </c>
      <c r="Y1070" s="11">
        <f t="shared" si="657"/>
        <v>0</v>
      </c>
    </row>
    <row r="1071" spans="1:26" x14ac:dyDescent="0.15">
      <c r="A1071" s="181" t="s">
        <v>7</v>
      </c>
      <c r="B1071" s="182"/>
      <c r="C1071" s="183">
        <v>3</v>
      </c>
      <c r="D1071" s="184"/>
      <c r="E1071" s="185"/>
      <c r="F1071" s="186">
        <f t="shared" si="658"/>
        <v>3</v>
      </c>
      <c r="G1071" s="183"/>
      <c r="H1071" s="183"/>
      <c r="I1071" s="184"/>
      <c r="J1071" s="185"/>
      <c r="K1071" s="186">
        <f t="shared" si="659"/>
        <v>0</v>
      </c>
      <c r="L1071" s="187">
        <f t="shared" si="660"/>
        <v>3</v>
      </c>
      <c r="M1071" s="188">
        <v>46133</v>
      </c>
      <c r="N1071" s="13" t="s">
        <v>6</v>
      </c>
      <c r="O1071" s="25"/>
      <c r="P1071" s="45"/>
      <c r="Q1071" s="26"/>
      <c r="R1071" s="32"/>
      <c r="S1071" s="68">
        <f>SUM(O1071:R1071)</f>
        <v>0</v>
      </c>
      <c r="T1071" s="45"/>
      <c r="U1071" s="45"/>
      <c r="V1071" s="26"/>
      <c r="W1071" s="48"/>
      <c r="X1071" s="9">
        <f>SUM(T1071:W1071)</f>
        <v>0</v>
      </c>
      <c r="Y1071" s="11">
        <f t="shared" si="657"/>
        <v>0</v>
      </c>
    </row>
    <row r="1072" spans="1:26" ht="14.25" thickBot="1" x14ac:dyDescent="0.2">
      <c r="A1072" s="181" t="s">
        <v>8</v>
      </c>
      <c r="B1072" s="201"/>
      <c r="C1072" s="202"/>
      <c r="D1072" s="203">
        <v>5</v>
      </c>
      <c r="E1072" s="204"/>
      <c r="F1072" s="205">
        <f t="shared" si="658"/>
        <v>5</v>
      </c>
      <c r="G1072" s="202"/>
      <c r="H1072" s="202">
        <v>5</v>
      </c>
      <c r="I1072" s="203"/>
      <c r="J1072" s="204">
        <v>5</v>
      </c>
      <c r="K1072" s="205">
        <f t="shared" si="659"/>
        <v>10</v>
      </c>
      <c r="L1072" s="206">
        <f t="shared" si="660"/>
        <v>15</v>
      </c>
      <c r="M1072" s="188">
        <v>46139</v>
      </c>
      <c r="N1072" s="13" t="s">
        <v>7</v>
      </c>
      <c r="O1072" s="55"/>
      <c r="P1072" s="56"/>
      <c r="Q1072" s="57"/>
      <c r="R1072" s="58"/>
      <c r="S1072" s="69">
        <f>SUM(O1072:R1072)</f>
        <v>0</v>
      </c>
      <c r="T1072" s="45"/>
      <c r="U1072" s="45"/>
      <c r="V1072" s="26"/>
      <c r="W1072" s="48"/>
      <c r="X1072" s="10">
        <f>SUM(T1072:W1072)</f>
        <v>0</v>
      </c>
      <c r="Y1072" s="14">
        <f t="shared" si="657"/>
        <v>0</v>
      </c>
    </row>
    <row r="1073" spans="1:27" ht="14.25" thickBot="1" x14ac:dyDescent="0.2">
      <c r="A1073" s="21" t="s">
        <v>9</v>
      </c>
      <c r="B1073" s="130">
        <f t="shared" ref="B1073:K1073" si="661">SUM(B1068:B1072)</f>
        <v>15</v>
      </c>
      <c r="C1073" s="131">
        <f t="shared" si="661"/>
        <v>13</v>
      </c>
      <c r="D1073" s="132">
        <f t="shared" si="661"/>
        <v>14</v>
      </c>
      <c r="E1073" s="133">
        <f t="shared" si="661"/>
        <v>11</v>
      </c>
      <c r="F1073" s="123">
        <f t="shared" si="661"/>
        <v>53</v>
      </c>
      <c r="G1073" s="130">
        <f t="shared" si="661"/>
        <v>9</v>
      </c>
      <c r="H1073" s="131">
        <f t="shared" si="661"/>
        <v>17</v>
      </c>
      <c r="I1073" s="132">
        <f t="shared" si="661"/>
        <v>14</v>
      </c>
      <c r="J1073" s="133">
        <f t="shared" si="661"/>
        <v>16</v>
      </c>
      <c r="K1073" s="123">
        <f t="shared" si="661"/>
        <v>56</v>
      </c>
      <c r="L1073" s="20">
        <f t="shared" si="660"/>
        <v>109</v>
      </c>
      <c r="N1073" s="16" t="s">
        <v>9</v>
      </c>
      <c r="O1073" s="39">
        <f t="shared" ref="O1073:X1073" si="662">SUM(O1068:O1072)</f>
        <v>399</v>
      </c>
      <c r="P1073" s="47">
        <f t="shared" si="662"/>
        <v>544</v>
      </c>
      <c r="Q1073" s="40">
        <f t="shared" si="662"/>
        <v>396</v>
      </c>
      <c r="R1073" s="88">
        <f t="shared" si="662"/>
        <v>346</v>
      </c>
      <c r="S1073" s="89">
        <f t="shared" si="662"/>
        <v>1685</v>
      </c>
      <c r="T1073" s="39">
        <f t="shared" si="662"/>
        <v>380</v>
      </c>
      <c r="U1073" s="47">
        <f t="shared" si="662"/>
        <v>484</v>
      </c>
      <c r="V1073" s="40">
        <f t="shared" si="662"/>
        <v>302</v>
      </c>
      <c r="W1073" s="88">
        <f t="shared" si="662"/>
        <v>288</v>
      </c>
      <c r="X1073" s="89">
        <f t="shared" si="662"/>
        <v>1454</v>
      </c>
      <c r="Y1073" s="49">
        <f t="shared" si="657"/>
        <v>3139</v>
      </c>
    </row>
    <row r="1074" spans="1:27" x14ac:dyDescent="0.15">
      <c r="A1074" s="70" t="s">
        <v>30</v>
      </c>
      <c r="B1074" s="25"/>
      <c r="C1074" s="45"/>
      <c r="D1074" s="26"/>
      <c r="E1074" s="32"/>
      <c r="F1074" s="33">
        <f t="shared" ref="F1074:F1098" si="663">SUM(B1074:E1074)</f>
        <v>0</v>
      </c>
      <c r="G1074" s="25"/>
      <c r="H1074" s="45">
        <v>1</v>
      </c>
      <c r="I1074" s="26"/>
      <c r="J1074" s="32"/>
      <c r="K1074" s="33">
        <f t="shared" ref="K1074:K1098" si="664">SUM(G1074:J1074)</f>
        <v>1</v>
      </c>
      <c r="L1074" s="11">
        <f t="shared" si="660"/>
        <v>1</v>
      </c>
      <c r="M1074" s="115">
        <v>46108</v>
      </c>
      <c r="N1074" s="189" t="s">
        <v>571</v>
      </c>
      <c r="O1074" s="190">
        <v>5</v>
      </c>
      <c r="P1074" s="191">
        <v>5</v>
      </c>
      <c r="Q1074" s="192">
        <v>5</v>
      </c>
      <c r="R1074" s="193">
        <v>5</v>
      </c>
      <c r="S1074" s="194">
        <f t="shared" ref="S1074:S1099" si="665">SUM(O1074:R1074)</f>
        <v>20</v>
      </c>
      <c r="T1074" s="190">
        <v>5</v>
      </c>
      <c r="U1074" s="191">
        <v>5</v>
      </c>
      <c r="V1074" s="192">
        <v>5</v>
      </c>
      <c r="W1074" s="193">
        <v>5</v>
      </c>
      <c r="X1074" s="194">
        <f t="shared" ref="X1074:X1099" si="666">SUM(T1074:W1074)</f>
        <v>20</v>
      </c>
      <c r="Y1074" s="187">
        <f t="shared" si="657"/>
        <v>40</v>
      </c>
      <c r="Z1074" s="188">
        <v>46111</v>
      </c>
    </row>
    <row r="1075" spans="1:27" x14ac:dyDescent="0.15">
      <c r="A1075" s="70" t="s">
        <v>30</v>
      </c>
      <c r="B1075" s="25">
        <v>1</v>
      </c>
      <c r="C1075" s="45"/>
      <c r="D1075" s="26"/>
      <c r="E1075" s="32"/>
      <c r="F1075" s="33">
        <f t="shared" si="663"/>
        <v>1</v>
      </c>
      <c r="G1075" s="25"/>
      <c r="H1075" s="45"/>
      <c r="I1075" s="26"/>
      <c r="J1075" s="32"/>
      <c r="K1075" s="33">
        <f t="shared" si="664"/>
        <v>0</v>
      </c>
      <c r="L1075" s="11">
        <f t="shared" si="660"/>
        <v>1</v>
      </c>
      <c r="M1075" s="115">
        <v>46112</v>
      </c>
      <c r="N1075" s="50" t="s">
        <v>569</v>
      </c>
      <c r="O1075" s="25">
        <v>2</v>
      </c>
      <c r="P1075" s="45"/>
      <c r="Q1075" s="26"/>
      <c r="R1075" s="32"/>
      <c r="S1075" s="33">
        <f t="shared" si="665"/>
        <v>2</v>
      </c>
      <c r="T1075" s="25"/>
      <c r="U1075" s="45"/>
      <c r="V1075" s="26"/>
      <c r="W1075" s="32"/>
      <c r="X1075" s="33">
        <f t="shared" si="666"/>
        <v>0</v>
      </c>
      <c r="Y1075" s="11">
        <f t="shared" si="657"/>
        <v>2</v>
      </c>
      <c r="Z1075" s="85">
        <v>46115</v>
      </c>
      <c r="AA1075" s="51"/>
    </row>
    <row r="1076" spans="1:27" x14ac:dyDescent="0.15">
      <c r="A1076" s="70" t="s">
        <v>573</v>
      </c>
      <c r="B1076" s="25"/>
      <c r="C1076" s="45">
        <v>3</v>
      </c>
      <c r="D1076" s="26"/>
      <c r="E1076" s="32">
        <v>1</v>
      </c>
      <c r="F1076" s="33">
        <f t="shared" si="663"/>
        <v>4</v>
      </c>
      <c r="G1076" s="25"/>
      <c r="H1076" s="45"/>
      <c r="I1076" s="26"/>
      <c r="J1076" s="32"/>
      <c r="K1076" s="33">
        <f t="shared" si="664"/>
        <v>0</v>
      </c>
      <c r="L1076" s="11">
        <f t="shared" si="660"/>
        <v>4</v>
      </c>
      <c r="M1076" s="85">
        <v>46114</v>
      </c>
      <c r="N1076" s="50" t="s">
        <v>572</v>
      </c>
      <c r="O1076" s="25">
        <v>1</v>
      </c>
      <c r="P1076" s="45">
        <v>1</v>
      </c>
      <c r="Q1076" s="26"/>
      <c r="R1076" s="32"/>
      <c r="S1076" s="33">
        <f t="shared" si="665"/>
        <v>2</v>
      </c>
      <c r="T1076" s="25"/>
      <c r="U1076" s="45"/>
      <c r="V1076" s="26"/>
      <c r="W1076" s="32"/>
      <c r="X1076" s="33">
        <f t="shared" si="666"/>
        <v>0</v>
      </c>
      <c r="Y1076" s="11">
        <f t="shared" si="657"/>
        <v>2</v>
      </c>
      <c r="Z1076" s="85">
        <v>46115</v>
      </c>
    </row>
    <row r="1077" spans="1:27" x14ac:dyDescent="0.15">
      <c r="A1077" s="70" t="s">
        <v>575</v>
      </c>
      <c r="B1077" s="25">
        <v>1</v>
      </c>
      <c r="C1077" s="45"/>
      <c r="D1077" s="26"/>
      <c r="E1077" s="32"/>
      <c r="F1077" s="33">
        <f t="shared" si="663"/>
        <v>1</v>
      </c>
      <c r="G1077" s="25"/>
      <c r="H1077" s="45"/>
      <c r="I1077" s="26"/>
      <c r="J1077" s="32"/>
      <c r="K1077" s="33">
        <f t="shared" si="664"/>
        <v>0</v>
      </c>
      <c r="L1077" s="11">
        <f t="shared" si="660"/>
        <v>1</v>
      </c>
      <c r="M1077" s="85">
        <v>46115</v>
      </c>
      <c r="N1077" s="12" t="s">
        <v>574</v>
      </c>
      <c r="O1077" s="25"/>
      <c r="P1077" s="45"/>
      <c r="Q1077" s="26"/>
      <c r="R1077" s="32"/>
      <c r="S1077" s="33">
        <f t="shared" si="665"/>
        <v>0</v>
      </c>
      <c r="T1077" s="25"/>
      <c r="U1077" s="45">
        <v>5</v>
      </c>
      <c r="V1077" s="26"/>
      <c r="W1077" s="32"/>
      <c r="X1077" s="33">
        <f t="shared" si="666"/>
        <v>5</v>
      </c>
      <c r="Y1077" s="11">
        <f t="shared" si="657"/>
        <v>5</v>
      </c>
      <c r="Z1077" s="85">
        <v>46120</v>
      </c>
    </row>
    <row r="1078" spans="1:27" x14ac:dyDescent="0.15">
      <c r="A1078" s="70" t="s">
        <v>30</v>
      </c>
      <c r="B1078" s="25"/>
      <c r="C1078" s="45"/>
      <c r="D1078" s="26"/>
      <c r="E1078" s="32">
        <v>1</v>
      </c>
      <c r="F1078" s="33">
        <f t="shared" si="663"/>
        <v>1</v>
      </c>
      <c r="G1078" s="25"/>
      <c r="H1078" s="45"/>
      <c r="I1078" s="26"/>
      <c r="J1078" s="32"/>
      <c r="K1078" s="33">
        <f t="shared" si="664"/>
        <v>0</v>
      </c>
      <c r="L1078" s="11">
        <f t="shared" si="660"/>
        <v>1</v>
      </c>
      <c r="M1078" s="85">
        <v>46114</v>
      </c>
      <c r="N1078" s="50" t="s">
        <v>538</v>
      </c>
      <c r="O1078" s="25">
        <v>5</v>
      </c>
      <c r="P1078" s="45"/>
      <c r="Q1078" s="26"/>
      <c r="R1078" s="32"/>
      <c r="S1078" s="33">
        <f t="shared" si="665"/>
        <v>5</v>
      </c>
      <c r="T1078" s="25"/>
      <c r="U1078" s="45"/>
      <c r="V1078" s="26"/>
      <c r="W1078" s="32"/>
      <c r="X1078" s="33">
        <f t="shared" si="666"/>
        <v>0</v>
      </c>
      <c r="Y1078" s="11">
        <f t="shared" si="657"/>
        <v>5</v>
      </c>
      <c r="Z1078" s="115">
        <v>46116</v>
      </c>
    </row>
    <row r="1079" spans="1:27" x14ac:dyDescent="0.15">
      <c r="A1079" s="70" t="s">
        <v>30</v>
      </c>
      <c r="B1079" s="25">
        <v>1</v>
      </c>
      <c r="C1079" s="45">
        <v>1</v>
      </c>
      <c r="D1079" s="26"/>
      <c r="E1079" s="32"/>
      <c r="F1079" s="33">
        <f t="shared" si="663"/>
        <v>2</v>
      </c>
      <c r="G1079" s="25"/>
      <c r="H1079" s="45"/>
      <c r="I1079" s="26"/>
      <c r="J1079" s="32">
        <v>1</v>
      </c>
      <c r="K1079" s="33">
        <f t="shared" si="664"/>
        <v>1</v>
      </c>
      <c r="L1079" s="11">
        <f t="shared" si="660"/>
        <v>3</v>
      </c>
      <c r="M1079" s="115">
        <v>46118</v>
      </c>
      <c r="N1079" s="12" t="s">
        <v>577</v>
      </c>
      <c r="O1079" s="25">
        <v>5</v>
      </c>
      <c r="P1079" s="45"/>
      <c r="Q1079" s="26"/>
      <c r="R1079" s="32"/>
      <c r="S1079" s="33">
        <f t="shared" si="665"/>
        <v>5</v>
      </c>
      <c r="T1079" s="25"/>
      <c r="U1079" s="45"/>
      <c r="V1079" s="26"/>
      <c r="W1079" s="32"/>
      <c r="X1079" s="33">
        <f t="shared" si="666"/>
        <v>0</v>
      </c>
      <c r="Y1079" s="11">
        <f t="shared" si="657"/>
        <v>5</v>
      </c>
      <c r="Z1079" s="85">
        <v>46129</v>
      </c>
    </row>
    <row r="1080" spans="1:27" x14ac:dyDescent="0.15">
      <c r="A1080" s="70" t="s">
        <v>576</v>
      </c>
      <c r="B1080" s="25"/>
      <c r="C1080" s="45"/>
      <c r="D1080" s="26"/>
      <c r="E1080" s="32">
        <v>1</v>
      </c>
      <c r="F1080" s="33">
        <f t="shared" si="663"/>
        <v>1</v>
      </c>
      <c r="G1080" s="25"/>
      <c r="H1080" s="45"/>
      <c r="I1080" s="26"/>
      <c r="J1080" s="32"/>
      <c r="K1080" s="33">
        <f t="shared" si="664"/>
        <v>0</v>
      </c>
      <c r="L1080" s="11">
        <f t="shared" si="660"/>
        <v>1</v>
      </c>
      <c r="M1080" s="85">
        <v>46119</v>
      </c>
      <c r="N1080" s="12" t="s">
        <v>579</v>
      </c>
      <c r="O1080" s="25">
        <v>5</v>
      </c>
      <c r="P1080" s="45">
        <v>13</v>
      </c>
      <c r="Q1080" s="26">
        <v>11</v>
      </c>
      <c r="R1080" s="32">
        <v>6</v>
      </c>
      <c r="S1080" s="33">
        <f t="shared" si="665"/>
        <v>35</v>
      </c>
      <c r="T1080" s="25">
        <v>12</v>
      </c>
      <c r="U1080" s="45">
        <v>31</v>
      </c>
      <c r="V1080" s="26">
        <v>25</v>
      </c>
      <c r="W1080" s="32">
        <v>13</v>
      </c>
      <c r="X1080" s="33">
        <f t="shared" si="666"/>
        <v>81</v>
      </c>
      <c r="Y1080" s="11">
        <f t="shared" si="657"/>
        <v>116</v>
      </c>
      <c r="Z1080" s="85">
        <v>46153</v>
      </c>
    </row>
    <row r="1081" spans="1:27" x14ac:dyDescent="0.15">
      <c r="A1081" s="70" t="s">
        <v>30</v>
      </c>
      <c r="B1081" s="25"/>
      <c r="C1081" s="45"/>
      <c r="D1081" s="26"/>
      <c r="E1081" s="32"/>
      <c r="F1081" s="33">
        <f t="shared" si="663"/>
        <v>0</v>
      </c>
      <c r="G1081" s="25"/>
      <c r="H1081" s="45"/>
      <c r="I1081" s="26"/>
      <c r="J1081" s="32">
        <v>1</v>
      </c>
      <c r="K1081" s="33">
        <f t="shared" si="664"/>
        <v>1</v>
      </c>
      <c r="L1081" s="11">
        <f t="shared" si="660"/>
        <v>1</v>
      </c>
      <c r="M1081" s="115">
        <v>46120</v>
      </c>
      <c r="N1081" s="12" t="s">
        <v>580</v>
      </c>
      <c r="O1081" s="25"/>
      <c r="P1081" s="45"/>
      <c r="Q1081" s="26">
        <v>5</v>
      </c>
      <c r="R1081" s="32"/>
      <c r="S1081" s="33">
        <f t="shared" si="665"/>
        <v>5</v>
      </c>
      <c r="T1081" s="25">
        <v>5</v>
      </c>
      <c r="U1081" s="45"/>
      <c r="V1081" s="26"/>
      <c r="W1081" s="32"/>
      <c r="X1081" s="33">
        <f t="shared" si="666"/>
        <v>5</v>
      </c>
      <c r="Y1081" s="11">
        <f t="shared" si="657"/>
        <v>10</v>
      </c>
      <c r="Z1081" s="85">
        <v>46134</v>
      </c>
    </row>
    <row r="1082" spans="1:27" x14ac:dyDescent="0.15">
      <c r="A1082" s="70" t="s">
        <v>30</v>
      </c>
      <c r="B1082" s="25"/>
      <c r="C1082" s="45"/>
      <c r="D1082" s="26"/>
      <c r="E1082" s="32"/>
      <c r="F1082" s="33">
        <f t="shared" si="663"/>
        <v>0</v>
      </c>
      <c r="G1082" s="25"/>
      <c r="H1082" s="45"/>
      <c r="I1082" s="26"/>
      <c r="J1082" s="32">
        <v>1</v>
      </c>
      <c r="K1082" s="33">
        <f t="shared" si="664"/>
        <v>1</v>
      </c>
      <c r="L1082" s="11">
        <f t="shared" si="660"/>
        <v>1</v>
      </c>
      <c r="M1082" s="115">
        <v>46121</v>
      </c>
      <c r="N1082" s="197" t="s">
        <v>524</v>
      </c>
      <c r="O1082" s="190"/>
      <c r="P1082" s="191">
        <v>3</v>
      </c>
      <c r="Q1082" s="192"/>
      <c r="R1082" s="193"/>
      <c r="S1082" s="194">
        <f t="shared" si="665"/>
        <v>3</v>
      </c>
      <c r="T1082" s="190"/>
      <c r="U1082" s="191"/>
      <c r="V1082" s="192"/>
      <c r="W1082" s="193"/>
      <c r="X1082" s="194">
        <f t="shared" si="666"/>
        <v>0</v>
      </c>
      <c r="Y1082" s="187">
        <f t="shared" si="657"/>
        <v>3</v>
      </c>
      <c r="Z1082" s="188">
        <v>46133</v>
      </c>
    </row>
    <row r="1083" spans="1:27" x14ac:dyDescent="0.15">
      <c r="A1083" s="50" t="s">
        <v>569</v>
      </c>
      <c r="B1083" s="25"/>
      <c r="C1083" s="45">
        <v>2</v>
      </c>
      <c r="D1083" s="26">
        <v>2</v>
      </c>
      <c r="E1083" s="32"/>
      <c r="F1083" s="33">
        <f t="shared" si="663"/>
        <v>4</v>
      </c>
      <c r="G1083" s="25"/>
      <c r="H1083" s="45"/>
      <c r="I1083" s="26"/>
      <c r="J1083" s="32"/>
      <c r="K1083" s="33">
        <f t="shared" si="664"/>
        <v>0</v>
      </c>
      <c r="L1083" s="11">
        <f t="shared" si="660"/>
        <v>4</v>
      </c>
      <c r="M1083" s="85">
        <v>46125</v>
      </c>
      <c r="N1083" s="50" t="s">
        <v>583</v>
      </c>
      <c r="O1083" s="25"/>
      <c r="P1083" s="45">
        <v>2</v>
      </c>
      <c r="Q1083" s="26"/>
      <c r="R1083" s="32"/>
      <c r="S1083" s="33">
        <f t="shared" si="665"/>
        <v>2</v>
      </c>
      <c r="T1083" s="25"/>
      <c r="U1083" s="45"/>
      <c r="V1083" s="26"/>
      <c r="W1083" s="32"/>
      <c r="X1083" s="33">
        <f t="shared" si="666"/>
        <v>0</v>
      </c>
      <c r="Y1083" s="11">
        <f t="shared" si="657"/>
        <v>2</v>
      </c>
      <c r="Z1083" s="85">
        <v>46144</v>
      </c>
      <c r="AA1083" s="51"/>
    </row>
    <row r="1084" spans="1:27" x14ac:dyDescent="0.15">
      <c r="A1084" s="70" t="s">
        <v>544</v>
      </c>
      <c r="B1084" s="25"/>
      <c r="C1084" s="45"/>
      <c r="D1084" s="26"/>
      <c r="E1084" s="32">
        <v>1</v>
      </c>
      <c r="F1084" s="33">
        <f t="shared" si="663"/>
        <v>1</v>
      </c>
      <c r="G1084" s="25"/>
      <c r="H1084" s="45"/>
      <c r="I1084" s="26"/>
      <c r="J1084" s="32"/>
      <c r="K1084" s="33">
        <f t="shared" si="664"/>
        <v>0</v>
      </c>
      <c r="L1084" s="11">
        <f t="shared" si="660"/>
        <v>1</v>
      </c>
      <c r="M1084" s="85">
        <v>46126</v>
      </c>
      <c r="N1084" s="12" t="s">
        <v>584</v>
      </c>
      <c r="O1084" s="25"/>
      <c r="P1084" s="45"/>
      <c r="Q1084" s="26"/>
      <c r="R1084" s="32"/>
      <c r="S1084" s="33">
        <f t="shared" si="665"/>
        <v>0</v>
      </c>
      <c r="T1084" s="25">
        <v>5</v>
      </c>
      <c r="U1084" s="45"/>
      <c r="V1084" s="26"/>
      <c r="W1084" s="32"/>
      <c r="X1084" s="33">
        <f t="shared" si="666"/>
        <v>5</v>
      </c>
      <c r="Y1084" s="11">
        <f t="shared" si="657"/>
        <v>5</v>
      </c>
      <c r="Z1084" s="85">
        <v>46143</v>
      </c>
      <c r="AA1084" s="51"/>
    </row>
    <row r="1085" spans="1:27" x14ac:dyDescent="0.15">
      <c r="A1085" s="70" t="s">
        <v>578</v>
      </c>
      <c r="B1085" s="25"/>
      <c r="C1085" s="45">
        <v>1</v>
      </c>
      <c r="D1085" s="26"/>
      <c r="E1085" s="32"/>
      <c r="F1085" s="33">
        <f t="shared" si="663"/>
        <v>1</v>
      </c>
      <c r="G1085" s="25"/>
      <c r="H1085" s="45">
        <v>2</v>
      </c>
      <c r="I1085" s="26"/>
      <c r="J1085" s="32"/>
      <c r="K1085" s="33">
        <f t="shared" si="664"/>
        <v>2</v>
      </c>
      <c r="L1085" s="11">
        <f t="shared" si="660"/>
        <v>3</v>
      </c>
      <c r="M1085" s="115">
        <v>46125</v>
      </c>
      <c r="N1085" s="197" t="s">
        <v>585</v>
      </c>
      <c r="O1085" s="190"/>
      <c r="P1085" s="191"/>
      <c r="Q1085" s="192">
        <v>5</v>
      </c>
      <c r="R1085" s="193"/>
      <c r="S1085" s="194">
        <f t="shared" si="665"/>
        <v>5</v>
      </c>
      <c r="T1085" s="190"/>
      <c r="U1085" s="191">
        <v>5</v>
      </c>
      <c r="V1085" s="192"/>
      <c r="W1085" s="193">
        <v>5</v>
      </c>
      <c r="X1085" s="194">
        <f t="shared" si="666"/>
        <v>10</v>
      </c>
      <c r="Y1085" s="187">
        <f t="shared" si="657"/>
        <v>15</v>
      </c>
      <c r="Z1085" s="188">
        <v>46139</v>
      </c>
    </row>
    <row r="1086" spans="1:27" x14ac:dyDescent="0.15">
      <c r="A1086" s="70" t="s">
        <v>30</v>
      </c>
      <c r="B1086" s="25"/>
      <c r="C1086" s="45"/>
      <c r="D1086" s="26"/>
      <c r="E1086" s="32"/>
      <c r="F1086" s="33">
        <f t="shared" si="663"/>
        <v>0</v>
      </c>
      <c r="G1086" s="25"/>
      <c r="H1086" s="45"/>
      <c r="I1086" s="26"/>
      <c r="J1086" s="32">
        <v>1</v>
      </c>
      <c r="K1086" s="33">
        <f t="shared" si="664"/>
        <v>1</v>
      </c>
      <c r="L1086" s="11">
        <f t="shared" si="660"/>
        <v>1</v>
      </c>
      <c r="M1086" s="115">
        <v>46128</v>
      </c>
      <c r="N1086" s="50" t="s">
        <v>587</v>
      </c>
      <c r="O1086" s="25"/>
      <c r="P1086" s="45">
        <v>1</v>
      </c>
      <c r="Q1086" s="26"/>
      <c r="R1086" s="32"/>
      <c r="S1086" s="33">
        <f t="shared" si="665"/>
        <v>1</v>
      </c>
      <c r="T1086" s="25"/>
      <c r="U1086" s="45"/>
      <c r="V1086" s="26"/>
      <c r="W1086" s="32"/>
      <c r="X1086" s="33">
        <f t="shared" si="666"/>
        <v>0</v>
      </c>
      <c r="Y1086" s="11">
        <f t="shared" si="657"/>
        <v>1</v>
      </c>
      <c r="Z1086" s="85">
        <v>46149</v>
      </c>
    </row>
    <row r="1087" spans="1:27" x14ac:dyDescent="0.15">
      <c r="A1087" s="70" t="s">
        <v>582</v>
      </c>
      <c r="B1087" s="25">
        <v>1</v>
      </c>
      <c r="C1087" s="45"/>
      <c r="D1087" s="26">
        <v>1</v>
      </c>
      <c r="E1087" s="32"/>
      <c r="F1087" s="33">
        <f t="shared" si="663"/>
        <v>2</v>
      </c>
      <c r="G1087" s="25"/>
      <c r="H1087" s="45"/>
      <c r="I1087" s="26">
        <v>1</v>
      </c>
      <c r="J1087" s="32"/>
      <c r="K1087" s="33">
        <f t="shared" si="664"/>
        <v>1</v>
      </c>
      <c r="L1087" s="11">
        <f t="shared" si="660"/>
        <v>3</v>
      </c>
      <c r="M1087" s="85">
        <v>46133</v>
      </c>
      <c r="N1087" s="50" t="s">
        <v>588</v>
      </c>
      <c r="O1087" s="25"/>
      <c r="P1087" s="45"/>
      <c r="Q1087" s="26">
        <v>1</v>
      </c>
      <c r="R1087" s="32"/>
      <c r="S1087" s="33">
        <f t="shared" si="665"/>
        <v>1</v>
      </c>
      <c r="T1087" s="25"/>
      <c r="U1087" s="45"/>
      <c r="V1087" s="26">
        <v>1</v>
      </c>
      <c r="W1087" s="32"/>
      <c r="X1087" s="33">
        <f t="shared" si="666"/>
        <v>1</v>
      </c>
      <c r="Y1087" s="11">
        <f t="shared" si="657"/>
        <v>2</v>
      </c>
      <c r="Z1087" s="85">
        <v>46143</v>
      </c>
    </row>
    <row r="1088" spans="1:27" x14ac:dyDescent="0.15">
      <c r="A1088" s="70" t="s">
        <v>30</v>
      </c>
      <c r="B1088" s="25"/>
      <c r="C1088" s="45">
        <v>2</v>
      </c>
      <c r="D1088" s="26"/>
      <c r="E1088" s="32"/>
      <c r="F1088" s="33">
        <f t="shared" si="663"/>
        <v>2</v>
      </c>
      <c r="G1088" s="25"/>
      <c r="H1088" s="45">
        <v>2</v>
      </c>
      <c r="I1088" s="26"/>
      <c r="J1088" s="32"/>
      <c r="K1088" s="33">
        <f t="shared" si="664"/>
        <v>2</v>
      </c>
      <c r="L1088" s="11">
        <f t="shared" si="660"/>
        <v>4</v>
      </c>
      <c r="M1088" s="115">
        <v>46132</v>
      </c>
      <c r="N1088" s="12" t="s">
        <v>589</v>
      </c>
      <c r="O1088" s="25">
        <v>2</v>
      </c>
      <c r="P1088" s="45"/>
      <c r="Q1088" s="26"/>
      <c r="R1088" s="32"/>
      <c r="S1088" s="33">
        <f t="shared" si="665"/>
        <v>2</v>
      </c>
      <c r="T1088" s="25"/>
      <c r="U1088" s="45"/>
      <c r="V1088" s="26"/>
      <c r="W1088" s="32"/>
      <c r="X1088" s="33">
        <f t="shared" si="666"/>
        <v>0</v>
      </c>
      <c r="Y1088" s="11">
        <f t="shared" si="657"/>
        <v>2</v>
      </c>
      <c r="Z1088" s="85">
        <v>46154</v>
      </c>
    </row>
    <row r="1089" spans="1:28" x14ac:dyDescent="0.15">
      <c r="A1089" s="70" t="s">
        <v>30</v>
      </c>
      <c r="B1089" s="25"/>
      <c r="C1089" s="45"/>
      <c r="D1089" s="26">
        <v>1</v>
      </c>
      <c r="E1089" s="32"/>
      <c r="F1089" s="33">
        <f t="shared" si="663"/>
        <v>1</v>
      </c>
      <c r="G1089" s="25"/>
      <c r="H1089" s="45">
        <v>1</v>
      </c>
      <c r="I1089" s="26"/>
      <c r="J1089" s="32"/>
      <c r="K1089" s="33">
        <f t="shared" si="664"/>
        <v>1</v>
      </c>
      <c r="L1089" s="11">
        <f t="shared" si="660"/>
        <v>2</v>
      </c>
      <c r="M1089" s="115">
        <v>46134</v>
      </c>
      <c r="N1089" s="50" t="s">
        <v>524</v>
      </c>
      <c r="O1089" s="25"/>
      <c r="P1089" s="45">
        <v>10</v>
      </c>
      <c r="Q1089" s="26"/>
      <c r="R1089" s="32"/>
      <c r="S1089" s="33">
        <f t="shared" si="665"/>
        <v>10</v>
      </c>
      <c r="T1089" s="25"/>
      <c r="U1089" s="45"/>
      <c r="V1089" s="26"/>
      <c r="W1089" s="32"/>
      <c r="X1089" s="33">
        <f t="shared" si="666"/>
        <v>0</v>
      </c>
      <c r="Y1089" s="11">
        <f t="shared" si="657"/>
        <v>10</v>
      </c>
      <c r="Z1089" s="85">
        <v>46143</v>
      </c>
    </row>
    <row r="1090" spans="1:28" x14ac:dyDescent="0.15">
      <c r="A1090" s="70" t="s">
        <v>30</v>
      </c>
      <c r="B1090" s="25"/>
      <c r="C1090" s="45"/>
      <c r="D1090" s="26"/>
      <c r="E1090" s="32"/>
      <c r="F1090" s="33">
        <f t="shared" si="663"/>
        <v>0</v>
      </c>
      <c r="G1090" s="25"/>
      <c r="H1090" s="45"/>
      <c r="I1090" s="26"/>
      <c r="J1090" s="32">
        <v>1</v>
      </c>
      <c r="K1090" s="33">
        <f t="shared" si="664"/>
        <v>1</v>
      </c>
      <c r="L1090" s="11">
        <f t="shared" si="660"/>
        <v>1</v>
      </c>
      <c r="M1090" s="115">
        <v>46135</v>
      </c>
      <c r="N1090" s="50" t="s">
        <v>588</v>
      </c>
      <c r="O1090" s="25">
        <v>1</v>
      </c>
      <c r="P1090" s="45"/>
      <c r="Q1090" s="26"/>
      <c r="R1090" s="32"/>
      <c r="S1090" s="33">
        <f t="shared" si="665"/>
        <v>1</v>
      </c>
      <c r="T1090" s="25"/>
      <c r="U1090" s="45"/>
      <c r="V1090" s="26"/>
      <c r="W1090" s="32"/>
      <c r="X1090" s="33">
        <f t="shared" si="666"/>
        <v>0</v>
      </c>
      <c r="Y1090" s="11">
        <f t="shared" si="657"/>
        <v>1</v>
      </c>
      <c r="Z1090" s="85">
        <v>46156</v>
      </c>
    </row>
    <row r="1091" spans="1:28" x14ac:dyDescent="0.15">
      <c r="A1091" s="70" t="s">
        <v>30</v>
      </c>
      <c r="B1091" s="25"/>
      <c r="C1091" s="45"/>
      <c r="D1091" s="26"/>
      <c r="E1091" s="32">
        <v>1</v>
      </c>
      <c r="F1091" s="33">
        <f t="shared" si="663"/>
        <v>1</v>
      </c>
      <c r="G1091" s="25"/>
      <c r="H1091" s="45"/>
      <c r="I1091" s="26">
        <v>1</v>
      </c>
      <c r="J1091" s="32"/>
      <c r="K1091" s="33">
        <f t="shared" si="664"/>
        <v>1</v>
      </c>
      <c r="L1091" s="11">
        <f t="shared" si="660"/>
        <v>2</v>
      </c>
      <c r="M1091" s="115">
        <v>46136</v>
      </c>
      <c r="N1091" s="12" t="s">
        <v>594</v>
      </c>
      <c r="O1091" s="25"/>
      <c r="P1091" s="45"/>
      <c r="Q1091" s="26"/>
      <c r="R1091" s="32"/>
      <c r="S1091" s="33">
        <f t="shared" si="665"/>
        <v>0</v>
      </c>
      <c r="T1091" s="25"/>
      <c r="U1091" s="45">
        <v>5</v>
      </c>
      <c r="V1091" s="26"/>
      <c r="W1091" s="32"/>
      <c r="X1091" s="33">
        <f t="shared" si="666"/>
        <v>5</v>
      </c>
      <c r="Y1091" s="11">
        <f t="shared" si="657"/>
        <v>5</v>
      </c>
      <c r="Z1091" s="85">
        <v>46162</v>
      </c>
      <c r="AA1091" s="51"/>
    </row>
    <row r="1092" spans="1:28" x14ac:dyDescent="0.15">
      <c r="A1092" s="70" t="s">
        <v>586</v>
      </c>
      <c r="B1092" s="25">
        <v>1</v>
      </c>
      <c r="C1092" s="45"/>
      <c r="D1092" s="26"/>
      <c r="E1092" s="32"/>
      <c r="F1092" s="33">
        <f t="shared" si="663"/>
        <v>1</v>
      </c>
      <c r="G1092" s="25"/>
      <c r="H1092" s="45"/>
      <c r="I1092" s="26"/>
      <c r="J1092" s="32"/>
      <c r="K1092" s="33">
        <f t="shared" si="664"/>
        <v>0</v>
      </c>
      <c r="L1092" s="11">
        <f t="shared" si="660"/>
        <v>1</v>
      </c>
      <c r="M1092" s="85">
        <v>46140</v>
      </c>
      <c r="N1092" s="50" t="s">
        <v>524</v>
      </c>
      <c r="O1092" s="25"/>
      <c r="P1092" s="45"/>
      <c r="Q1092" s="26"/>
      <c r="R1092" s="32"/>
      <c r="S1092" s="33">
        <f t="shared" si="665"/>
        <v>0</v>
      </c>
      <c r="T1092" s="25">
        <v>5</v>
      </c>
      <c r="U1092" s="45"/>
      <c r="V1092" s="26"/>
      <c r="W1092" s="32"/>
      <c r="X1092" s="33">
        <f t="shared" si="666"/>
        <v>5</v>
      </c>
      <c r="Y1092" s="11">
        <f t="shared" si="657"/>
        <v>5</v>
      </c>
      <c r="Z1092" s="85">
        <v>46161</v>
      </c>
      <c r="AA1092" s="51"/>
      <c r="AB1092" s="51"/>
    </row>
    <row r="1093" spans="1:28" x14ac:dyDescent="0.15">
      <c r="A1093" s="70" t="s">
        <v>30</v>
      </c>
      <c r="B1093" s="25">
        <v>1</v>
      </c>
      <c r="C1093" s="45">
        <v>1</v>
      </c>
      <c r="D1093" s="26">
        <v>1</v>
      </c>
      <c r="E1093" s="32">
        <v>2</v>
      </c>
      <c r="F1093" s="33">
        <f t="shared" si="663"/>
        <v>5</v>
      </c>
      <c r="G1093" s="25"/>
      <c r="H1093" s="45"/>
      <c r="I1093" s="26">
        <v>1</v>
      </c>
      <c r="J1093" s="32">
        <v>1</v>
      </c>
      <c r="K1093" s="33">
        <f t="shared" si="664"/>
        <v>2</v>
      </c>
      <c r="L1093" s="11">
        <f t="shared" si="660"/>
        <v>7</v>
      </c>
      <c r="M1093" s="115">
        <v>46139</v>
      </c>
      <c r="N1093" s="50" t="s">
        <v>524</v>
      </c>
      <c r="O1093" s="25">
        <v>5</v>
      </c>
      <c r="P1093" s="45">
        <v>5</v>
      </c>
      <c r="Q1093" s="26"/>
      <c r="R1093" s="32"/>
      <c r="S1093" s="33">
        <f t="shared" ref="S1093:S1098" si="667">SUM(O1093:R1093)</f>
        <v>10</v>
      </c>
      <c r="T1093" s="25"/>
      <c r="U1093" s="45"/>
      <c r="V1093" s="26"/>
      <c r="W1093" s="32"/>
      <c r="X1093" s="33">
        <f t="shared" ref="X1093:X1098" si="668">SUM(T1093:W1093)</f>
        <v>0</v>
      </c>
      <c r="Y1093" s="11">
        <f t="shared" ref="Y1093:Y1098" si="669">S1093+X1093</f>
        <v>10</v>
      </c>
      <c r="Z1093" s="85">
        <v>46163</v>
      </c>
      <c r="AA1093" s="51"/>
      <c r="AB1093" s="51"/>
    </row>
    <row r="1094" spans="1:28" x14ac:dyDescent="0.15">
      <c r="A1094" s="70" t="s">
        <v>30</v>
      </c>
      <c r="B1094" s="25"/>
      <c r="C1094" s="45">
        <v>1</v>
      </c>
      <c r="D1094" s="26"/>
      <c r="E1094" s="32"/>
      <c r="F1094" s="33">
        <f t="shared" si="663"/>
        <v>1</v>
      </c>
      <c r="G1094" s="25"/>
      <c r="H1094" s="45"/>
      <c r="I1094" s="26"/>
      <c r="J1094" s="32"/>
      <c r="K1094" s="33">
        <f t="shared" si="664"/>
        <v>0</v>
      </c>
      <c r="L1094" s="11">
        <f t="shared" si="660"/>
        <v>1</v>
      </c>
      <c r="M1094" s="115">
        <v>46140</v>
      </c>
      <c r="N1094" s="12" t="s">
        <v>598</v>
      </c>
      <c r="O1094" s="25">
        <v>10</v>
      </c>
      <c r="P1094" s="45">
        <v>5</v>
      </c>
      <c r="Q1094" s="26"/>
      <c r="R1094" s="32">
        <v>5</v>
      </c>
      <c r="S1094" s="33">
        <f t="shared" si="667"/>
        <v>20</v>
      </c>
      <c r="T1094" s="25"/>
      <c r="U1094" s="45"/>
      <c r="V1094" s="26"/>
      <c r="W1094" s="32"/>
      <c r="X1094" s="33">
        <f t="shared" si="668"/>
        <v>0</v>
      </c>
      <c r="Y1094" s="11">
        <f t="shared" si="669"/>
        <v>20</v>
      </c>
      <c r="Z1094" s="85">
        <v>46169</v>
      </c>
      <c r="AA1094" s="51"/>
      <c r="AB1094" s="51"/>
    </row>
    <row r="1095" spans="1:28" x14ac:dyDescent="0.15">
      <c r="A1095" s="70" t="s">
        <v>30</v>
      </c>
      <c r="B1095" s="25"/>
      <c r="C1095" s="45"/>
      <c r="D1095" s="26">
        <v>1</v>
      </c>
      <c r="E1095" s="32"/>
      <c r="F1095" s="33">
        <f t="shared" si="663"/>
        <v>1</v>
      </c>
      <c r="G1095" s="25"/>
      <c r="H1095" s="45">
        <v>1</v>
      </c>
      <c r="I1095" s="26">
        <v>2</v>
      </c>
      <c r="J1095" s="32"/>
      <c r="K1095" s="33">
        <f t="shared" si="664"/>
        <v>3</v>
      </c>
      <c r="L1095" s="11">
        <f t="shared" si="660"/>
        <v>4</v>
      </c>
      <c r="M1095" s="115">
        <v>46142</v>
      </c>
      <c r="N1095" s="50"/>
      <c r="O1095" s="25"/>
      <c r="P1095" s="45"/>
      <c r="Q1095" s="26"/>
      <c r="R1095" s="32"/>
      <c r="S1095" s="33">
        <f t="shared" si="667"/>
        <v>0</v>
      </c>
      <c r="T1095" s="25"/>
      <c r="U1095" s="45"/>
      <c r="V1095" s="26"/>
      <c r="W1095" s="32"/>
      <c r="X1095" s="33">
        <f t="shared" si="668"/>
        <v>0</v>
      </c>
      <c r="Y1095" s="11">
        <f t="shared" si="669"/>
        <v>0</v>
      </c>
    </row>
    <row r="1096" spans="1:28" x14ac:dyDescent="0.15">
      <c r="A1096" s="70" t="s">
        <v>590</v>
      </c>
      <c r="B1096" s="25"/>
      <c r="C1096" s="45">
        <v>2</v>
      </c>
      <c r="D1096" s="26"/>
      <c r="E1096" s="32">
        <v>-2</v>
      </c>
      <c r="F1096" s="33">
        <f t="shared" si="663"/>
        <v>0</v>
      </c>
      <c r="G1096" s="25"/>
      <c r="H1096" s="45"/>
      <c r="I1096" s="26"/>
      <c r="J1096" s="32"/>
      <c r="K1096" s="33">
        <f t="shared" si="664"/>
        <v>0</v>
      </c>
      <c r="L1096" s="11">
        <f t="shared" si="660"/>
        <v>0</v>
      </c>
      <c r="N1096" s="50"/>
      <c r="O1096" s="25"/>
      <c r="P1096" s="45"/>
      <c r="Q1096" s="26"/>
      <c r="R1096" s="32"/>
      <c r="S1096" s="33">
        <f t="shared" si="667"/>
        <v>0</v>
      </c>
      <c r="T1096" s="25"/>
      <c r="U1096" s="45"/>
      <c r="V1096" s="26"/>
      <c r="W1096" s="32"/>
      <c r="X1096" s="33">
        <f t="shared" si="668"/>
        <v>0</v>
      </c>
      <c r="Y1096" s="11">
        <f t="shared" si="669"/>
        <v>0</v>
      </c>
    </row>
    <row r="1097" spans="1:28" x14ac:dyDescent="0.15">
      <c r="A1097" s="70"/>
      <c r="B1097" s="25"/>
      <c r="C1097" s="45"/>
      <c r="D1097" s="26"/>
      <c r="E1097" s="32"/>
      <c r="F1097" s="33">
        <f t="shared" si="663"/>
        <v>0</v>
      </c>
      <c r="G1097" s="25"/>
      <c r="H1097" s="45"/>
      <c r="I1097" s="26"/>
      <c r="J1097" s="32"/>
      <c r="K1097" s="33">
        <f t="shared" si="664"/>
        <v>0</v>
      </c>
      <c r="L1097" s="93">
        <f t="shared" si="660"/>
        <v>0</v>
      </c>
      <c r="N1097" s="134" t="s">
        <v>527</v>
      </c>
      <c r="O1097" s="103"/>
      <c r="P1097" s="104"/>
      <c r="Q1097" s="105"/>
      <c r="R1097" s="106"/>
      <c r="S1097" s="135">
        <f t="shared" si="667"/>
        <v>0</v>
      </c>
      <c r="T1097" s="103"/>
      <c r="U1097" s="104"/>
      <c r="V1097" s="105"/>
      <c r="W1097" s="106"/>
      <c r="X1097" s="135">
        <f t="shared" si="668"/>
        <v>0</v>
      </c>
      <c r="Y1097" s="102">
        <f t="shared" si="669"/>
        <v>0</v>
      </c>
      <c r="Z1097" s="159"/>
    </row>
    <row r="1098" spans="1:28" ht="14.25" thickBot="1" x14ac:dyDescent="0.2">
      <c r="A1098" s="108"/>
      <c r="B1098" s="55"/>
      <c r="C1098" s="56"/>
      <c r="D1098" s="57"/>
      <c r="E1098" s="58"/>
      <c r="F1098" s="109">
        <f t="shared" si="663"/>
        <v>0</v>
      </c>
      <c r="G1098" s="55"/>
      <c r="H1098" s="56"/>
      <c r="I1098" s="57"/>
      <c r="J1098" s="58"/>
      <c r="K1098" s="109">
        <f t="shared" si="664"/>
        <v>0</v>
      </c>
      <c r="L1098" s="107">
        <f t="shared" si="660"/>
        <v>0</v>
      </c>
      <c r="N1098" s="140" t="s">
        <v>526</v>
      </c>
      <c r="O1098" s="55"/>
      <c r="P1098" s="56"/>
      <c r="Q1098" s="57"/>
      <c r="R1098" s="58"/>
      <c r="S1098" s="109">
        <f t="shared" si="667"/>
        <v>0</v>
      </c>
      <c r="T1098" s="55"/>
      <c r="U1098" s="56"/>
      <c r="V1098" s="57"/>
      <c r="W1098" s="58"/>
      <c r="X1098" s="109">
        <f t="shared" si="668"/>
        <v>0</v>
      </c>
      <c r="Y1098" s="107">
        <f t="shared" si="669"/>
        <v>0</v>
      </c>
      <c r="Z1098" s="213" t="s">
        <v>528</v>
      </c>
    </row>
    <row r="1099" spans="1:28" ht="14.25" thickBot="1" x14ac:dyDescent="0.2">
      <c r="A1099" s="72" t="s">
        <v>10</v>
      </c>
      <c r="B1099" s="36">
        <f>SUM(B1074:B1098)</f>
        <v>6</v>
      </c>
      <c r="C1099" s="46">
        <f>SUM(C1074:C1098)</f>
        <v>13</v>
      </c>
      <c r="D1099" s="37">
        <f>SUM(D1074:D1098)</f>
        <v>6</v>
      </c>
      <c r="E1099" s="38">
        <f>SUM(E1074:E1098)</f>
        <v>5</v>
      </c>
      <c r="F1099" s="71">
        <f>SUM(B1099:E1099)</f>
        <v>30</v>
      </c>
      <c r="G1099" s="36">
        <f>SUM(G1074:G1098)</f>
        <v>0</v>
      </c>
      <c r="H1099" s="46">
        <f>SUM(H1074:H1098)</f>
        <v>7</v>
      </c>
      <c r="I1099" s="37">
        <f>SUM(I1074:I1098)</f>
        <v>5</v>
      </c>
      <c r="J1099" s="38">
        <f>SUM(J1074:J1098)</f>
        <v>6</v>
      </c>
      <c r="K1099" s="71">
        <f>SUM(G1099:J1099)</f>
        <v>18</v>
      </c>
      <c r="L1099" s="75">
        <f t="shared" si="660"/>
        <v>48</v>
      </c>
      <c r="N1099" s="72" t="s">
        <v>10</v>
      </c>
      <c r="O1099" s="36">
        <f>SUM(O1074:O1098)</f>
        <v>41</v>
      </c>
      <c r="P1099" s="46">
        <f>SUM(P1074:P1098)</f>
        <v>45</v>
      </c>
      <c r="Q1099" s="37">
        <f>SUM(Q1074:Q1098)</f>
        <v>27</v>
      </c>
      <c r="R1099" s="38">
        <f>SUM(R1074:R1098)</f>
        <v>16</v>
      </c>
      <c r="S1099" s="71">
        <f t="shared" si="665"/>
        <v>129</v>
      </c>
      <c r="T1099" s="36">
        <f>SUM(T1074:T1098)</f>
        <v>32</v>
      </c>
      <c r="U1099" s="46">
        <f>SUM(U1074:U1098)</f>
        <v>51</v>
      </c>
      <c r="V1099" s="37">
        <f>SUM(V1074:V1098)</f>
        <v>31</v>
      </c>
      <c r="W1099" s="38">
        <f>SUM(W1074:W1098)</f>
        <v>23</v>
      </c>
      <c r="X1099" s="71">
        <f t="shared" si="666"/>
        <v>137</v>
      </c>
      <c r="Y1099" s="75">
        <f t="shared" si="657"/>
        <v>266</v>
      </c>
    </row>
    <row r="1100" spans="1:28" ht="14.25" thickBot="1" x14ac:dyDescent="0.2">
      <c r="A1100" s="21" t="s">
        <v>11</v>
      </c>
      <c r="B1100" s="39">
        <f t="shared" ref="B1100:K1100" si="670">B1073-B1099</f>
        <v>9</v>
      </c>
      <c r="C1100" s="47">
        <f t="shared" si="670"/>
        <v>0</v>
      </c>
      <c r="D1100" s="40">
        <f t="shared" si="670"/>
        <v>8</v>
      </c>
      <c r="E1100" s="41">
        <f t="shared" si="670"/>
        <v>6</v>
      </c>
      <c r="F1100" s="54">
        <f t="shared" si="670"/>
        <v>23</v>
      </c>
      <c r="G1100" s="39">
        <f t="shared" si="670"/>
        <v>9</v>
      </c>
      <c r="H1100" s="47">
        <f t="shared" si="670"/>
        <v>10</v>
      </c>
      <c r="I1100" s="40">
        <f t="shared" si="670"/>
        <v>9</v>
      </c>
      <c r="J1100" s="41">
        <f t="shared" si="670"/>
        <v>10</v>
      </c>
      <c r="K1100" s="54">
        <f t="shared" si="670"/>
        <v>38</v>
      </c>
      <c r="L1100" s="20">
        <f t="shared" si="660"/>
        <v>61</v>
      </c>
      <c r="N1100" s="16" t="s">
        <v>11</v>
      </c>
      <c r="O1100" s="39">
        <f t="shared" ref="O1100:X1100" si="671">O1073-O1099</f>
        <v>358</v>
      </c>
      <c r="P1100" s="47">
        <f t="shared" si="671"/>
        <v>499</v>
      </c>
      <c r="Q1100" s="40">
        <f t="shared" si="671"/>
        <v>369</v>
      </c>
      <c r="R1100" s="41">
        <f t="shared" si="671"/>
        <v>330</v>
      </c>
      <c r="S1100" s="54">
        <f t="shared" si="671"/>
        <v>1556</v>
      </c>
      <c r="T1100" s="39">
        <f t="shared" si="671"/>
        <v>348</v>
      </c>
      <c r="U1100" s="47">
        <f t="shared" si="671"/>
        <v>433</v>
      </c>
      <c r="V1100" s="40">
        <f t="shared" si="671"/>
        <v>271</v>
      </c>
      <c r="W1100" s="41">
        <f t="shared" si="671"/>
        <v>265</v>
      </c>
      <c r="X1100" s="54">
        <f t="shared" si="671"/>
        <v>1317</v>
      </c>
      <c r="Y1100" s="20">
        <f t="shared" si="657"/>
        <v>2873</v>
      </c>
    </row>
    <row r="1101" spans="1:28" x14ac:dyDescent="0.15">
      <c r="N1101" s="167" t="s">
        <v>492</v>
      </c>
      <c r="O1101">
        <v>15</v>
      </c>
      <c r="P1101">
        <v>30</v>
      </c>
      <c r="Q1101">
        <v>15</v>
      </c>
      <c r="R1101">
        <v>40</v>
      </c>
      <c r="S1101">
        <f>SUM(O1101:R1101)</f>
        <v>100</v>
      </c>
      <c r="T1101">
        <v>15</v>
      </c>
      <c r="U1101">
        <v>20</v>
      </c>
      <c r="V1101">
        <v>20</v>
      </c>
      <c r="W1101">
        <v>40</v>
      </c>
      <c r="X1101">
        <f>SUM(T1101:W1101)</f>
        <v>95</v>
      </c>
      <c r="Y1101">
        <f>SUM(S1101,X1101)</f>
        <v>195</v>
      </c>
    </row>
    <row r="1103" spans="1:28" ht="19.5" thickBot="1" x14ac:dyDescent="0.25">
      <c r="A1103" s="2" t="s">
        <v>26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27</v>
      </c>
      <c r="O1103" s="2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8" ht="14.25" thickBot="1" x14ac:dyDescent="0.2">
      <c r="A1104" s="5" t="s">
        <v>0</v>
      </c>
      <c r="B1104" s="228" t="s">
        <v>19</v>
      </c>
      <c r="C1104" s="229"/>
      <c r="D1104" s="229"/>
      <c r="E1104" s="229"/>
      <c r="F1104" s="230"/>
      <c r="G1104" s="231" t="s">
        <v>18</v>
      </c>
      <c r="H1104" s="232"/>
      <c r="I1104" s="232"/>
      <c r="J1104" s="232"/>
      <c r="K1104" s="233"/>
      <c r="L1104" s="73" t="s">
        <v>1</v>
      </c>
      <c r="N1104" s="5" t="s">
        <v>0</v>
      </c>
      <c r="O1104" s="228" t="s">
        <v>19</v>
      </c>
      <c r="P1104" s="229"/>
      <c r="Q1104" s="229"/>
      <c r="R1104" s="229"/>
      <c r="S1104" s="230"/>
      <c r="T1104" s="231" t="s">
        <v>18</v>
      </c>
      <c r="U1104" s="232"/>
      <c r="V1104" s="232"/>
      <c r="W1104" s="232"/>
      <c r="X1104" s="233"/>
      <c r="Y1104" s="73" t="s">
        <v>1</v>
      </c>
    </row>
    <row r="1105" spans="1:26" ht="14.25" thickBot="1" x14ac:dyDescent="0.2">
      <c r="A1105" s="5" t="s">
        <v>2</v>
      </c>
      <c r="B1105" s="3" t="s">
        <v>12</v>
      </c>
      <c r="C1105" s="42" t="s">
        <v>13</v>
      </c>
      <c r="D1105" s="4" t="s">
        <v>14</v>
      </c>
      <c r="E1105" s="22" t="s">
        <v>15</v>
      </c>
      <c r="F1105" s="30" t="s">
        <v>3</v>
      </c>
      <c r="G1105" s="3" t="s">
        <v>12</v>
      </c>
      <c r="H1105" s="42" t="s">
        <v>13</v>
      </c>
      <c r="I1105" s="4" t="s">
        <v>14</v>
      </c>
      <c r="J1105" s="22" t="s">
        <v>15</v>
      </c>
      <c r="K1105" s="30" t="s">
        <v>3</v>
      </c>
      <c r="L1105" s="74"/>
      <c r="N1105" s="5" t="s">
        <v>2</v>
      </c>
      <c r="O1105" s="64" t="s">
        <v>12</v>
      </c>
      <c r="P1105" s="65" t="s">
        <v>13</v>
      </c>
      <c r="Q1105" s="66" t="s">
        <v>14</v>
      </c>
      <c r="R1105" s="67" t="s">
        <v>15</v>
      </c>
      <c r="S1105" s="30" t="s">
        <v>3</v>
      </c>
      <c r="T1105" s="3" t="s">
        <v>12</v>
      </c>
      <c r="U1105" s="42" t="s">
        <v>13</v>
      </c>
      <c r="V1105" s="4" t="s">
        <v>14</v>
      </c>
      <c r="W1105" s="22" t="s">
        <v>15</v>
      </c>
      <c r="X1105" s="30" t="s">
        <v>3</v>
      </c>
      <c r="Y1105" s="74"/>
    </row>
    <row r="1106" spans="1:26" ht="14.25" thickBot="1" x14ac:dyDescent="0.2">
      <c r="A1106" s="21" t="s">
        <v>16</v>
      </c>
      <c r="B1106" s="39">
        <f>B1100</f>
        <v>9</v>
      </c>
      <c r="C1106" s="40">
        <f>C1100</f>
        <v>0</v>
      </c>
      <c r="D1106" s="40">
        <f>D1100</f>
        <v>8</v>
      </c>
      <c r="E1106" s="41">
        <f>E1100</f>
        <v>6</v>
      </c>
      <c r="F1106" s="122">
        <f>SUM(B1106:E1106)</f>
        <v>23</v>
      </c>
      <c r="G1106" s="39">
        <f>G1100</f>
        <v>9</v>
      </c>
      <c r="H1106" s="40">
        <f>H1100</f>
        <v>10</v>
      </c>
      <c r="I1106" s="40">
        <f>I1100</f>
        <v>9</v>
      </c>
      <c r="J1106" s="41">
        <f>J1100</f>
        <v>10</v>
      </c>
      <c r="K1106" s="123">
        <f>SUM(G1106:J1106)</f>
        <v>38</v>
      </c>
      <c r="L1106" s="20">
        <f>F1106+K1106</f>
        <v>61</v>
      </c>
      <c r="N1106" s="21" t="s">
        <v>16</v>
      </c>
      <c r="O1106" s="39">
        <f>O1100</f>
        <v>358</v>
      </c>
      <c r="P1106" s="40">
        <f>P1100</f>
        <v>499</v>
      </c>
      <c r="Q1106" s="40">
        <f t="shared" ref="Q1106:R1106" si="672">Q1100</f>
        <v>369</v>
      </c>
      <c r="R1106" s="88">
        <f t="shared" si="672"/>
        <v>330</v>
      </c>
      <c r="S1106" s="123">
        <f>SUM(O1106:R1106)</f>
        <v>1556</v>
      </c>
      <c r="T1106" s="39">
        <f>T1100</f>
        <v>348</v>
      </c>
      <c r="U1106" s="40">
        <f>U1100</f>
        <v>433</v>
      </c>
      <c r="V1106" s="40">
        <f>V1100</f>
        <v>271</v>
      </c>
      <c r="W1106" s="41">
        <f>W1100</f>
        <v>265</v>
      </c>
      <c r="X1106" s="123">
        <f>SUM(T1106:W1106)</f>
        <v>1317</v>
      </c>
      <c r="Y1106" s="20">
        <f t="shared" ref="Y1106:Y1138" si="673">S1106+X1106</f>
        <v>2873</v>
      </c>
    </row>
    <row r="1107" spans="1:26" x14ac:dyDescent="0.15">
      <c r="A1107" s="70" t="s">
        <v>5</v>
      </c>
      <c r="B1107" s="6"/>
      <c r="C1107" s="29">
        <v>10</v>
      </c>
      <c r="D1107" s="7"/>
      <c r="E1107" s="8"/>
      <c r="F1107" s="9">
        <f t="shared" ref="F1107:F1110" si="674">SUM(B1107:E1107)</f>
        <v>10</v>
      </c>
      <c r="G1107" s="29"/>
      <c r="H1107" s="29"/>
      <c r="I1107" s="7"/>
      <c r="J1107" s="8"/>
      <c r="K1107" s="9">
        <f t="shared" ref="K1107:K1110" si="675">SUM(G1107:J1107)</f>
        <v>0</v>
      </c>
      <c r="L1107" s="11">
        <f t="shared" ref="L1107:L1138" si="676">F1107+K1107</f>
        <v>10</v>
      </c>
      <c r="M1107" s="85">
        <v>46143</v>
      </c>
      <c r="N1107" s="13" t="s">
        <v>17</v>
      </c>
      <c r="O1107" s="25"/>
      <c r="P1107" s="45"/>
      <c r="Q1107" s="26"/>
      <c r="R1107" s="32"/>
      <c r="S1107" s="68">
        <f>SUM(O1107:R1107)</f>
        <v>0</v>
      </c>
      <c r="T1107" s="45"/>
      <c r="U1107" s="45"/>
      <c r="V1107" s="26"/>
      <c r="W1107" s="48"/>
      <c r="X1107" s="9">
        <f>SUM(T1107:W1107)</f>
        <v>0</v>
      </c>
      <c r="Y1107" s="11">
        <f t="shared" si="673"/>
        <v>0</v>
      </c>
    </row>
    <row r="1108" spans="1:26" x14ac:dyDescent="0.15">
      <c r="A1108" s="181" t="s">
        <v>6</v>
      </c>
      <c r="B1108" s="182"/>
      <c r="C1108" s="183"/>
      <c r="D1108" s="184"/>
      <c r="E1108" s="185"/>
      <c r="F1108" s="186">
        <f t="shared" ref="F1108" si="677">SUM(B1108:E1108)</f>
        <v>0</v>
      </c>
      <c r="G1108" s="183">
        <v>5</v>
      </c>
      <c r="H1108" s="183"/>
      <c r="I1108" s="184"/>
      <c r="J1108" s="185"/>
      <c r="K1108" s="186">
        <f t="shared" ref="K1108" si="678">SUM(G1108:J1108)</f>
        <v>5</v>
      </c>
      <c r="L1108" s="187">
        <f t="shared" ref="L1108" si="679">F1108+K1108</f>
        <v>5</v>
      </c>
      <c r="M1108" s="188">
        <v>46161</v>
      </c>
      <c r="N1108" s="13" t="s">
        <v>5</v>
      </c>
      <c r="O1108" s="25"/>
      <c r="P1108" s="45"/>
      <c r="Q1108" s="26"/>
      <c r="R1108" s="32"/>
      <c r="S1108" s="68">
        <f>SUM(O1108:R1108)</f>
        <v>0</v>
      </c>
      <c r="T1108" s="45"/>
      <c r="U1108" s="45"/>
      <c r="V1108" s="26"/>
      <c r="W1108" s="48"/>
      <c r="X1108" s="9">
        <f>SUM(T1108:W1108)</f>
        <v>0</v>
      </c>
      <c r="Y1108" s="11">
        <f t="shared" ref="Y1108" si="680">S1108+X1108</f>
        <v>0</v>
      </c>
    </row>
    <row r="1109" spans="1:26" x14ac:dyDescent="0.15">
      <c r="A1109" s="70" t="s">
        <v>7</v>
      </c>
      <c r="B1109" s="6">
        <v>5</v>
      </c>
      <c r="C1109" s="29">
        <v>5</v>
      </c>
      <c r="D1109" s="7"/>
      <c r="E1109" s="8"/>
      <c r="F1109" s="9">
        <f t="shared" si="674"/>
        <v>10</v>
      </c>
      <c r="G1109" s="29"/>
      <c r="H1109" s="29"/>
      <c r="I1109" s="7"/>
      <c r="J1109" s="8"/>
      <c r="K1109" s="9">
        <f t="shared" si="675"/>
        <v>0</v>
      </c>
      <c r="L1109" s="11">
        <f t="shared" si="676"/>
        <v>10</v>
      </c>
      <c r="M1109" s="85">
        <v>46163</v>
      </c>
      <c r="N1109" s="13" t="s">
        <v>6</v>
      </c>
      <c r="O1109" s="25"/>
      <c r="P1109" s="45"/>
      <c r="Q1109" s="26"/>
      <c r="R1109" s="32"/>
      <c r="S1109" s="68">
        <f>SUM(O1109:R1109)</f>
        <v>0</v>
      </c>
      <c r="T1109" s="45"/>
      <c r="U1109" s="45"/>
      <c r="V1109" s="26"/>
      <c r="W1109" s="48"/>
      <c r="X1109" s="9">
        <f>SUM(T1109:W1109)</f>
        <v>0</v>
      </c>
      <c r="Y1109" s="11">
        <f t="shared" si="673"/>
        <v>0</v>
      </c>
    </row>
    <row r="1110" spans="1:26" ht="14.25" thickBot="1" x14ac:dyDescent="0.2">
      <c r="A1110" s="70" t="s">
        <v>8</v>
      </c>
      <c r="B1110" s="125"/>
      <c r="C1110" s="126"/>
      <c r="D1110" s="127">
        <v>5</v>
      </c>
      <c r="E1110" s="128">
        <v>5</v>
      </c>
      <c r="F1110" s="129">
        <f t="shared" si="674"/>
        <v>10</v>
      </c>
      <c r="G1110" s="126">
        <v>5</v>
      </c>
      <c r="H1110" s="126">
        <v>5</v>
      </c>
      <c r="I1110" s="127"/>
      <c r="J1110" s="128"/>
      <c r="K1110" s="129">
        <f t="shared" si="675"/>
        <v>10</v>
      </c>
      <c r="L1110" s="14">
        <f t="shared" si="676"/>
        <v>20</v>
      </c>
      <c r="M1110" s="85">
        <v>46167</v>
      </c>
      <c r="N1110" s="13" t="s">
        <v>7</v>
      </c>
      <c r="O1110" s="55"/>
      <c r="P1110" s="56"/>
      <c r="Q1110" s="57"/>
      <c r="R1110" s="58"/>
      <c r="S1110" s="69">
        <f>SUM(O1110:R1110)</f>
        <v>0</v>
      </c>
      <c r="T1110" s="45"/>
      <c r="U1110" s="45"/>
      <c r="V1110" s="26"/>
      <c r="W1110" s="48"/>
      <c r="X1110" s="10">
        <f>SUM(T1110:W1110)</f>
        <v>0</v>
      </c>
      <c r="Y1110" s="14">
        <f t="shared" si="673"/>
        <v>0</v>
      </c>
    </row>
    <row r="1111" spans="1:26" ht="14.25" thickBot="1" x14ac:dyDescent="0.2">
      <c r="A1111" s="21" t="s">
        <v>9</v>
      </c>
      <c r="B1111" s="130">
        <f t="shared" ref="B1111:K1111" si="681">SUM(B1106:B1110)</f>
        <v>14</v>
      </c>
      <c r="C1111" s="131">
        <f t="shared" si="681"/>
        <v>15</v>
      </c>
      <c r="D1111" s="132">
        <f t="shared" si="681"/>
        <v>13</v>
      </c>
      <c r="E1111" s="133">
        <f t="shared" si="681"/>
        <v>11</v>
      </c>
      <c r="F1111" s="123">
        <f t="shared" si="681"/>
        <v>53</v>
      </c>
      <c r="G1111" s="130">
        <f t="shared" si="681"/>
        <v>19</v>
      </c>
      <c r="H1111" s="131">
        <f t="shared" si="681"/>
        <v>15</v>
      </c>
      <c r="I1111" s="132">
        <f t="shared" si="681"/>
        <v>9</v>
      </c>
      <c r="J1111" s="133">
        <f t="shared" si="681"/>
        <v>10</v>
      </c>
      <c r="K1111" s="123">
        <f t="shared" si="681"/>
        <v>53</v>
      </c>
      <c r="L1111" s="20">
        <f t="shared" si="676"/>
        <v>106</v>
      </c>
      <c r="N1111" s="16" t="s">
        <v>9</v>
      </c>
      <c r="O1111" s="39">
        <f t="shared" ref="O1111:X1111" si="682">SUM(O1106:O1110)</f>
        <v>358</v>
      </c>
      <c r="P1111" s="47">
        <f t="shared" si="682"/>
        <v>499</v>
      </c>
      <c r="Q1111" s="40">
        <f t="shared" si="682"/>
        <v>369</v>
      </c>
      <c r="R1111" s="88">
        <f t="shared" si="682"/>
        <v>330</v>
      </c>
      <c r="S1111" s="89">
        <f t="shared" si="682"/>
        <v>1556</v>
      </c>
      <c r="T1111" s="39">
        <f t="shared" si="682"/>
        <v>348</v>
      </c>
      <c r="U1111" s="47">
        <f t="shared" si="682"/>
        <v>433</v>
      </c>
      <c r="V1111" s="40">
        <f t="shared" si="682"/>
        <v>271</v>
      </c>
      <c r="W1111" s="88">
        <f t="shared" si="682"/>
        <v>265</v>
      </c>
      <c r="X1111" s="89">
        <f t="shared" si="682"/>
        <v>1317</v>
      </c>
      <c r="Y1111" s="49">
        <f t="shared" si="673"/>
        <v>2873</v>
      </c>
    </row>
    <row r="1112" spans="1:26" x14ac:dyDescent="0.15">
      <c r="A1112" s="70" t="s">
        <v>591</v>
      </c>
      <c r="B1112" s="25"/>
      <c r="C1112" s="45"/>
      <c r="D1112" s="26">
        <v>1</v>
      </c>
      <c r="E1112" s="32"/>
      <c r="F1112" s="33">
        <f t="shared" ref="F1112:F1136" si="683">SUM(B1112:E1112)</f>
        <v>1</v>
      </c>
      <c r="G1112" s="25"/>
      <c r="H1112" s="45"/>
      <c r="I1112" s="26"/>
      <c r="J1112" s="32"/>
      <c r="K1112" s="33">
        <f t="shared" ref="K1112:K1136" si="684">SUM(G1112:J1112)</f>
        <v>0</v>
      </c>
      <c r="L1112" s="11">
        <f t="shared" si="676"/>
        <v>1</v>
      </c>
      <c r="M1112" s="115">
        <v>46143</v>
      </c>
      <c r="N1112" s="12" t="s">
        <v>601</v>
      </c>
      <c r="O1112" s="25"/>
      <c r="P1112" s="45"/>
      <c r="Q1112" s="26">
        <v>5</v>
      </c>
      <c r="R1112" s="32">
        <v>5</v>
      </c>
      <c r="S1112" s="33">
        <f t="shared" ref="S1112:S1137" si="685">SUM(O1112:R1112)</f>
        <v>10</v>
      </c>
      <c r="T1112" s="25">
        <v>5</v>
      </c>
      <c r="U1112" s="45">
        <v>5</v>
      </c>
      <c r="V1112" s="26"/>
      <c r="W1112" s="32"/>
      <c r="X1112" s="33">
        <f t="shared" ref="X1112:X1137" si="686">SUM(T1112:W1112)</f>
        <v>10</v>
      </c>
      <c r="Y1112" s="11">
        <f t="shared" si="673"/>
        <v>20</v>
      </c>
      <c r="Z1112" s="85">
        <v>46167</v>
      </c>
    </row>
    <row r="1113" spans="1:26" x14ac:dyDescent="0.15">
      <c r="A1113" s="70" t="s">
        <v>592</v>
      </c>
      <c r="B1113" s="25"/>
      <c r="C1113" s="45">
        <v>2</v>
      </c>
      <c r="D1113" s="26"/>
      <c r="E1113" s="32"/>
      <c r="F1113" s="33">
        <f t="shared" si="683"/>
        <v>2</v>
      </c>
      <c r="G1113" s="25">
        <v>1</v>
      </c>
      <c r="H1113" s="45"/>
      <c r="I1113" s="26"/>
      <c r="J1113" s="32"/>
      <c r="K1113" s="33">
        <f t="shared" si="684"/>
        <v>1</v>
      </c>
      <c r="L1113" s="11">
        <f t="shared" si="676"/>
        <v>3</v>
      </c>
      <c r="M1113" s="85">
        <v>46150</v>
      </c>
      <c r="N1113" s="50" t="s">
        <v>602</v>
      </c>
      <c r="O1113" s="25"/>
      <c r="P1113" s="45">
        <v>5</v>
      </c>
      <c r="Q1113" s="26"/>
      <c r="R1113" s="32"/>
      <c r="S1113" s="33">
        <f t="shared" si="685"/>
        <v>5</v>
      </c>
      <c r="T1113" s="25"/>
      <c r="U1113" s="45">
        <v>2</v>
      </c>
      <c r="V1113" s="26"/>
      <c r="W1113" s="32"/>
      <c r="X1113" s="33">
        <f t="shared" si="686"/>
        <v>2</v>
      </c>
      <c r="Y1113" s="11">
        <f t="shared" si="673"/>
        <v>7</v>
      </c>
      <c r="Z1113" s="85">
        <v>46169</v>
      </c>
    </row>
    <row r="1114" spans="1:26" x14ac:dyDescent="0.15">
      <c r="A1114" s="70" t="s">
        <v>30</v>
      </c>
      <c r="B1114" s="25"/>
      <c r="C1114" s="45">
        <v>1</v>
      </c>
      <c r="D1114" s="26"/>
      <c r="E1114" s="32"/>
      <c r="F1114" s="33">
        <f t="shared" si="683"/>
        <v>1</v>
      </c>
      <c r="G1114" s="25"/>
      <c r="H1114" s="45">
        <v>1</v>
      </c>
      <c r="I1114" s="26"/>
      <c r="J1114" s="32"/>
      <c r="K1114" s="33">
        <f t="shared" si="684"/>
        <v>1</v>
      </c>
      <c r="L1114" s="11">
        <f t="shared" si="676"/>
        <v>2</v>
      </c>
      <c r="M1114" s="115">
        <v>46149</v>
      </c>
      <c r="N1114" s="50" t="s">
        <v>427</v>
      </c>
      <c r="O1114" s="25">
        <v>1</v>
      </c>
      <c r="P1114" s="45"/>
      <c r="Q1114" s="26"/>
      <c r="R1114" s="32"/>
      <c r="S1114" s="33">
        <f t="shared" si="685"/>
        <v>1</v>
      </c>
      <c r="T1114" s="25">
        <v>1</v>
      </c>
      <c r="U1114" s="45"/>
      <c r="V1114" s="26"/>
      <c r="W1114" s="32"/>
      <c r="X1114" s="33">
        <f t="shared" si="686"/>
        <v>1</v>
      </c>
      <c r="Y1114" s="11">
        <f t="shared" si="673"/>
        <v>2</v>
      </c>
      <c r="Z1114" s="85">
        <v>46171</v>
      </c>
    </row>
    <row r="1115" spans="1:26" x14ac:dyDescent="0.15">
      <c r="A1115" s="50" t="s">
        <v>593</v>
      </c>
      <c r="B1115" s="25"/>
      <c r="C1115" s="45"/>
      <c r="D1115" s="26"/>
      <c r="E1115" s="32">
        <v>1</v>
      </c>
      <c r="F1115" s="33">
        <f t="shared" si="683"/>
        <v>1</v>
      </c>
      <c r="G1115" s="25">
        <v>1</v>
      </c>
      <c r="H1115" s="45"/>
      <c r="I1115" s="26"/>
      <c r="J1115" s="32"/>
      <c r="K1115" s="33">
        <f t="shared" si="684"/>
        <v>1</v>
      </c>
      <c r="L1115" s="11">
        <f t="shared" si="676"/>
        <v>2</v>
      </c>
      <c r="M1115" s="85">
        <v>46151</v>
      </c>
      <c r="N1115" s="50" t="s">
        <v>538</v>
      </c>
      <c r="O1115" s="25">
        <v>10</v>
      </c>
      <c r="P1115" s="45">
        <v>5</v>
      </c>
      <c r="Q1115" s="26"/>
      <c r="R1115" s="32"/>
      <c r="S1115" s="33">
        <f t="shared" si="685"/>
        <v>15</v>
      </c>
      <c r="T1115" s="25">
        <v>10</v>
      </c>
      <c r="U1115" s="45"/>
      <c r="V1115" s="26">
        <v>5</v>
      </c>
      <c r="W1115" s="32"/>
      <c r="X1115" s="33">
        <f t="shared" si="686"/>
        <v>15</v>
      </c>
      <c r="Y1115" s="11">
        <f t="shared" si="673"/>
        <v>30</v>
      </c>
      <c r="Z1115" s="85">
        <v>46170</v>
      </c>
    </row>
    <row r="1116" spans="1:26" x14ac:dyDescent="0.15">
      <c r="A1116" s="70" t="s">
        <v>30</v>
      </c>
      <c r="B1116" s="25"/>
      <c r="C1116" s="45">
        <v>2</v>
      </c>
      <c r="D1116" s="26"/>
      <c r="E1116" s="32"/>
      <c r="F1116" s="33">
        <f t="shared" si="683"/>
        <v>2</v>
      </c>
      <c r="G1116" s="25"/>
      <c r="H1116" s="45"/>
      <c r="I1116" s="26"/>
      <c r="J1116" s="32"/>
      <c r="K1116" s="33">
        <f t="shared" si="684"/>
        <v>0</v>
      </c>
      <c r="L1116" s="11">
        <f t="shared" si="676"/>
        <v>2</v>
      </c>
      <c r="M1116" s="115">
        <v>46150</v>
      </c>
      <c r="N1116" s="50"/>
      <c r="O1116" s="25"/>
      <c r="P1116" s="45"/>
      <c r="Q1116" s="26"/>
      <c r="R1116" s="32"/>
      <c r="S1116" s="33">
        <f t="shared" si="685"/>
        <v>0</v>
      </c>
      <c r="T1116" s="25"/>
      <c r="U1116" s="45"/>
      <c r="V1116" s="26"/>
      <c r="W1116" s="32"/>
      <c r="X1116" s="33">
        <f t="shared" si="686"/>
        <v>0</v>
      </c>
      <c r="Y1116" s="11">
        <f t="shared" si="673"/>
        <v>0</v>
      </c>
      <c r="Z1116" s="159"/>
    </row>
    <row r="1117" spans="1:26" x14ac:dyDescent="0.15">
      <c r="A1117" s="70" t="s">
        <v>30</v>
      </c>
      <c r="B1117" s="25">
        <v>2</v>
      </c>
      <c r="C1117" s="45"/>
      <c r="D1117" s="26"/>
      <c r="E1117" s="32"/>
      <c r="F1117" s="33">
        <f t="shared" si="683"/>
        <v>2</v>
      </c>
      <c r="G1117" s="25">
        <v>2</v>
      </c>
      <c r="H1117" s="45"/>
      <c r="I1117" s="26"/>
      <c r="J1117" s="32"/>
      <c r="K1117" s="33">
        <f t="shared" si="684"/>
        <v>2</v>
      </c>
      <c r="L1117" s="11">
        <f t="shared" si="676"/>
        <v>4</v>
      </c>
      <c r="M1117" s="115">
        <v>46153</v>
      </c>
      <c r="N1117" s="50"/>
      <c r="O1117" s="25"/>
      <c r="P1117" s="45"/>
      <c r="Q1117" s="26"/>
      <c r="R1117" s="32"/>
      <c r="S1117" s="33">
        <f t="shared" si="685"/>
        <v>0</v>
      </c>
      <c r="T1117" s="25"/>
      <c r="U1117" s="45"/>
      <c r="V1117" s="26"/>
      <c r="W1117" s="32"/>
      <c r="X1117" s="33">
        <f t="shared" si="686"/>
        <v>0</v>
      </c>
      <c r="Y1117" s="11">
        <f t="shared" si="673"/>
        <v>0</v>
      </c>
    </row>
    <row r="1118" spans="1:26" x14ac:dyDescent="0.15">
      <c r="A1118" s="70" t="s">
        <v>30</v>
      </c>
      <c r="B1118" s="25">
        <v>1</v>
      </c>
      <c r="C1118" s="45"/>
      <c r="D1118" s="26"/>
      <c r="E1118" s="32"/>
      <c r="F1118" s="33">
        <f t="shared" si="683"/>
        <v>1</v>
      </c>
      <c r="G1118" s="25"/>
      <c r="H1118" s="45"/>
      <c r="I1118" s="26"/>
      <c r="J1118" s="32"/>
      <c r="K1118" s="33">
        <f t="shared" si="684"/>
        <v>0</v>
      </c>
      <c r="L1118" s="11">
        <f t="shared" si="676"/>
        <v>1</v>
      </c>
      <c r="M1118" s="85">
        <v>46155</v>
      </c>
      <c r="N1118" s="50"/>
      <c r="O1118" s="25"/>
      <c r="P1118" s="45"/>
      <c r="Q1118" s="26"/>
      <c r="R1118" s="32"/>
      <c r="S1118" s="33">
        <f t="shared" si="685"/>
        <v>0</v>
      </c>
      <c r="T1118" s="25"/>
      <c r="U1118" s="45"/>
      <c r="V1118" s="26"/>
      <c r="W1118" s="32"/>
      <c r="X1118" s="33">
        <f t="shared" si="686"/>
        <v>0</v>
      </c>
      <c r="Y1118" s="11">
        <f t="shared" si="673"/>
        <v>0</v>
      </c>
    </row>
    <row r="1119" spans="1:26" x14ac:dyDescent="0.15">
      <c r="A1119" s="50" t="s">
        <v>595</v>
      </c>
      <c r="B1119" s="25">
        <v>1</v>
      </c>
      <c r="C1119" s="45"/>
      <c r="D1119" s="26"/>
      <c r="E1119" s="32"/>
      <c r="F1119" s="33">
        <f t="shared" si="683"/>
        <v>1</v>
      </c>
      <c r="G1119" s="25"/>
      <c r="H1119" s="45">
        <v>1</v>
      </c>
      <c r="I1119" s="26"/>
      <c r="J1119" s="32"/>
      <c r="K1119" s="33">
        <f t="shared" si="684"/>
        <v>1</v>
      </c>
      <c r="L1119" s="11">
        <f t="shared" si="676"/>
        <v>2</v>
      </c>
      <c r="M1119" s="85">
        <v>46162</v>
      </c>
      <c r="N1119" s="50"/>
      <c r="O1119" s="25"/>
      <c r="P1119" s="45"/>
      <c r="Q1119" s="26"/>
      <c r="R1119" s="32"/>
      <c r="S1119" s="33">
        <f t="shared" si="685"/>
        <v>0</v>
      </c>
      <c r="T1119" s="25"/>
      <c r="U1119" s="45"/>
      <c r="V1119" s="26"/>
      <c r="W1119" s="32"/>
      <c r="X1119" s="33">
        <f t="shared" si="686"/>
        <v>0</v>
      </c>
      <c r="Y1119" s="11">
        <f t="shared" si="673"/>
        <v>0</v>
      </c>
    </row>
    <row r="1120" spans="1:26" x14ac:dyDescent="0.15">
      <c r="A1120" s="70" t="s">
        <v>544</v>
      </c>
      <c r="B1120" s="25"/>
      <c r="C1120" s="45"/>
      <c r="D1120" s="26"/>
      <c r="E1120" s="32">
        <v>1</v>
      </c>
      <c r="F1120" s="33">
        <f t="shared" si="683"/>
        <v>1</v>
      </c>
      <c r="G1120" s="25">
        <v>2</v>
      </c>
      <c r="H1120" s="45"/>
      <c r="I1120" s="26"/>
      <c r="J1120" s="32"/>
      <c r="K1120" s="33">
        <f t="shared" si="684"/>
        <v>2</v>
      </c>
      <c r="L1120" s="11">
        <f t="shared" si="676"/>
        <v>3</v>
      </c>
      <c r="M1120" s="85">
        <v>46161</v>
      </c>
      <c r="N1120" s="50"/>
      <c r="O1120" s="25"/>
      <c r="P1120" s="45"/>
      <c r="Q1120" s="26"/>
      <c r="R1120" s="32"/>
      <c r="S1120" s="33">
        <f t="shared" si="685"/>
        <v>0</v>
      </c>
      <c r="T1120" s="25"/>
      <c r="U1120" s="45"/>
      <c r="V1120" s="26"/>
      <c r="W1120" s="32"/>
      <c r="X1120" s="33">
        <f t="shared" si="686"/>
        <v>0</v>
      </c>
      <c r="Y1120" s="11">
        <f t="shared" si="673"/>
        <v>0</v>
      </c>
    </row>
    <row r="1121" spans="1:26" x14ac:dyDescent="0.15">
      <c r="A1121" s="70" t="s">
        <v>30</v>
      </c>
      <c r="B1121" s="25">
        <v>2</v>
      </c>
      <c r="C1121" s="45"/>
      <c r="D1121" s="26"/>
      <c r="E1121" s="32"/>
      <c r="F1121" s="33">
        <f t="shared" si="683"/>
        <v>2</v>
      </c>
      <c r="G1121" s="25">
        <v>2</v>
      </c>
      <c r="H1121" s="45">
        <v>1</v>
      </c>
      <c r="I1121" s="26"/>
      <c r="J1121" s="32"/>
      <c r="K1121" s="33">
        <f t="shared" si="684"/>
        <v>3</v>
      </c>
      <c r="L1121" s="11">
        <f t="shared" si="676"/>
        <v>5</v>
      </c>
      <c r="M1121" s="85">
        <v>46160</v>
      </c>
      <c r="N1121" s="50"/>
      <c r="O1121" s="25"/>
      <c r="P1121" s="45"/>
      <c r="Q1121" s="26"/>
      <c r="R1121" s="32"/>
      <c r="S1121" s="33">
        <f t="shared" si="685"/>
        <v>0</v>
      </c>
      <c r="T1121" s="25"/>
      <c r="U1121" s="45"/>
      <c r="V1121" s="26"/>
      <c r="W1121" s="32"/>
      <c r="X1121" s="33">
        <f t="shared" si="686"/>
        <v>0</v>
      </c>
      <c r="Y1121" s="11">
        <f t="shared" si="673"/>
        <v>0</v>
      </c>
    </row>
    <row r="1122" spans="1:26" x14ac:dyDescent="0.15">
      <c r="A1122" s="70" t="s">
        <v>596</v>
      </c>
      <c r="B1122" s="25"/>
      <c r="C1122" s="45"/>
      <c r="D1122" s="26">
        <v>1</v>
      </c>
      <c r="E1122" s="32"/>
      <c r="F1122" s="33">
        <f t="shared" si="683"/>
        <v>1</v>
      </c>
      <c r="G1122" s="25"/>
      <c r="H1122" s="45"/>
      <c r="I1122" s="26">
        <v>1</v>
      </c>
      <c r="J1122" s="32"/>
      <c r="K1122" s="33">
        <f t="shared" si="684"/>
        <v>1</v>
      </c>
      <c r="L1122" s="11">
        <f t="shared" si="676"/>
        <v>2</v>
      </c>
      <c r="M1122" s="85">
        <v>46162</v>
      </c>
      <c r="N1122" s="50"/>
      <c r="O1122" s="25"/>
      <c r="P1122" s="45"/>
      <c r="Q1122" s="26"/>
      <c r="R1122" s="32"/>
      <c r="S1122" s="33">
        <f t="shared" si="685"/>
        <v>0</v>
      </c>
      <c r="T1122" s="25"/>
      <c r="U1122" s="45"/>
      <c r="V1122" s="26"/>
      <c r="W1122" s="32"/>
      <c r="X1122" s="33">
        <f t="shared" si="686"/>
        <v>0</v>
      </c>
      <c r="Y1122" s="11">
        <f t="shared" si="673"/>
        <v>0</v>
      </c>
    </row>
    <row r="1123" spans="1:26" x14ac:dyDescent="0.15">
      <c r="A1123" s="70" t="s">
        <v>544</v>
      </c>
      <c r="B1123" s="25"/>
      <c r="C1123" s="45">
        <v>1</v>
      </c>
      <c r="D1123" s="26"/>
      <c r="E1123" s="32"/>
      <c r="F1123" s="33">
        <f t="shared" si="683"/>
        <v>1</v>
      </c>
      <c r="G1123" s="25"/>
      <c r="H1123" s="45">
        <v>1</v>
      </c>
      <c r="I1123" s="26"/>
      <c r="J1123" s="32"/>
      <c r="K1123" s="33">
        <f t="shared" si="684"/>
        <v>1</v>
      </c>
      <c r="L1123" s="11">
        <f t="shared" si="676"/>
        <v>2</v>
      </c>
      <c r="M1123" s="85">
        <v>46163</v>
      </c>
      <c r="N1123" s="50"/>
      <c r="O1123" s="25"/>
      <c r="P1123" s="45"/>
      <c r="Q1123" s="26"/>
      <c r="R1123" s="32"/>
      <c r="S1123" s="33">
        <f t="shared" si="685"/>
        <v>0</v>
      </c>
      <c r="T1123" s="25"/>
      <c r="U1123" s="45"/>
      <c r="V1123" s="26"/>
      <c r="W1123" s="32"/>
      <c r="X1123" s="33">
        <f t="shared" si="686"/>
        <v>0</v>
      </c>
      <c r="Y1123" s="11">
        <f t="shared" si="673"/>
        <v>0</v>
      </c>
    </row>
    <row r="1124" spans="1:26" x14ac:dyDescent="0.15">
      <c r="A1124" s="70" t="s">
        <v>30</v>
      </c>
      <c r="B1124" s="25"/>
      <c r="C1124" s="45">
        <v>1</v>
      </c>
      <c r="D1124" s="26">
        <v>1</v>
      </c>
      <c r="E1124" s="32"/>
      <c r="F1124" s="33">
        <f t="shared" si="683"/>
        <v>2</v>
      </c>
      <c r="G1124" s="25"/>
      <c r="H1124" s="45"/>
      <c r="I1124" s="26"/>
      <c r="J1124" s="32"/>
      <c r="K1124" s="33">
        <f t="shared" si="684"/>
        <v>0</v>
      </c>
      <c r="L1124" s="11">
        <f t="shared" si="676"/>
        <v>2</v>
      </c>
      <c r="M1124" s="115">
        <v>46162</v>
      </c>
      <c r="N1124" s="50"/>
      <c r="O1124" s="25"/>
      <c r="P1124" s="45"/>
      <c r="Q1124" s="26"/>
      <c r="R1124" s="32"/>
      <c r="S1124" s="33">
        <f t="shared" si="685"/>
        <v>0</v>
      </c>
      <c r="T1124" s="25"/>
      <c r="U1124" s="45"/>
      <c r="V1124" s="26"/>
      <c r="W1124" s="32"/>
      <c r="X1124" s="33">
        <f t="shared" si="686"/>
        <v>0</v>
      </c>
      <c r="Y1124" s="11">
        <f t="shared" si="673"/>
        <v>0</v>
      </c>
    </row>
    <row r="1125" spans="1:26" x14ac:dyDescent="0.15">
      <c r="A1125" s="70" t="s">
        <v>597</v>
      </c>
      <c r="B1125" s="25"/>
      <c r="C1125" s="45">
        <v>1</v>
      </c>
      <c r="D1125" s="26"/>
      <c r="E1125" s="32"/>
      <c r="F1125" s="33">
        <f t="shared" si="683"/>
        <v>1</v>
      </c>
      <c r="G1125" s="25"/>
      <c r="H1125" s="45">
        <v>1</v>
      </c>
      <c r="I1125" s="26"/>
      <c r="J1125" s="32"/>
      <c r="K1125" s="33">
        <f t="shared" si="684"/>
        <v>1</v>
      </c>
      <c r="L1125" s="11">
        <f t="shared" si="676"/>
        <v>2</v>
      </c>
      <c r="M1125" s="85">
        <v>46165</v>
      </c>
      <c r="N1125" s="50"/>
      <c r="O1125" s="25"/>
      <c r="P1125" s="45"/>
      <c r="Q1125" s="26"/>
      <c r="R1125" s="32"/>
      <c r="S1125" s="33">
        <f t="shared" si="685"/>
        <v>0</v>
      </c>
      <c r="T1125" s="25"/>
      <c r="U1125" s="45"/>
      <c r="V1125" s="26"/>
      <c r="W1125" s="32"/>
      <c r="X1125" s="33">
        <f t="shared" si="686"/>
        <v>0</v>
      </c>
      <c r="Y1125" s="11">
        <f t="shared" si="673"/>
        <v>0</v>
      </c>
    </row>
    <row r="1126" spans="1:26" x14ac:dyDescent="0.15">
      <c r="A1126" s="70" t="s">
        <v>599</v>
      </c>
      <c r="B1126" s="25"/>
      <c r="C1126" s="45"/>
      <c r="D1126" s="26"/>
      <c r="E1126" s="32"/>
      <c r="F1126" s="33">
        <f t="shared" si="683"/>
        <v>0</v>
      </c>
      <c r="G1126" s="25"/>
      <c r="H1126" s="45"/>
      <c r="I1126" s="26"/>
      <c r="J1126" s="32">
        <v>1</v>
      </c>
      <c r="K1126" s="33">
        <f t="shared" si="684"/>
        <v>1</v>
      </c>
      <c r="L1126" s="11">
        <f t="shared" si="676"/>
        <v>1</v>
      </c>
      <c r="M1126" s="85">
        <v>46163</v>
      </c>
      <c r="N1126" s="50"/>
      <c r="O1126" s="25"/>
      <c r="P1126" s="45"/>
      <c r="Q1126" s="26"/>
      <c r="R1126" s="32"/>
      <c r="S1126" s="33">
        <f t="shared" si="685"/>
        <v>0</v>
      </c>
      <c r="T1126" s="25"/>
      <c r="U1126" s="45"/>
      <c r="V1126" s="26"/>
      <c r="W1126" s="32"/>
      <c r="X1126" s="33">
        <f t="shared" si="686"/>
        <v>0</v>
      </c>
      <c r="Y1126" s="11">
        <f t="shared" si="673"/>
        <v>0</v>
      </c>
    </row>
    <row r="1127" spans="1:26" x14ac:dyDescent="0.15">
      <c r="A1127" s="70" t="s">
        <v>600</v>
      </c>
      <c r="B1127" s="25"/>
      <c r="C1127" s="45"/>
      <c r="D1127" s="26"/>
      <c r="E1127" s="32"/>
      <c r="F1127" s="33">
        <f t="shared" si="683"/>
        <v>0</v>
      </c>
      <c r="G1127" s="25">
        <v>1</v>
      </c>
      <c r="H1127" s="45"/>
      <c r="I1127" s="26"/>
      <c r="J1127" s="32"/>
      <c r="K1127" s="33">
        <f t="shared" si="684"/>
        <v>1</v>
      </c>
      <c r="L1127" s="11">
        <f t="shared" si="676"/>
        <v>1</v>
      </c>
      <c r="M1127" s="85">
        <v>46167</v>
      </c>
      <c r="N1127" s="50"/>
      <c r="O1127" s="25"/>
      <c r="P1127" s="45"/>
      <c r="Q1127" s="26"/>
      <c r="R1127" s="32"/>
      <c r="S1127" s="33">
        <f t="shared" si="685"/>
        <v>0</v>
      </c>
      <c r="T1127" s="25"/>
      <c r="U1127" s="45"/>
      <c r="V1127" s="26"/>
      <c r="W1127" s="32"/>
      <c r="X1127" s="33">
        <f t="shared" si="686"/>
        <v>0</v>
      </c>
      <c r="Y1127" s="11">
        <f t="shared" si="673"/>
        <v>0</v>
      </c>
    </row>
    <row r="1128" spans="1:26" x14ac:dyDescent="0.15">
      <c r="A1128" s="70" t="s">
        <v>597</v>
      </c>
      <c r="B1128" s="25"/>
      <c r="C1128" s="45">
        <v>1</v>
      </c>
      <c r="D1128" s="26"/>
      <c r="E1128" s="32"/>
      <c r="F1128" s="33">
        <f t="shared" si="683"/>
        <v>1</v>
      </c>
      <c r="G1128" s="25"/>
      <c r="H1128" s="45">
        <v>1</v>
      </c>
      <c r="I1128" s="26"/>
      <c r="J1128" s="32"/>
      <c r="K1128" s="33">
        <f t="shared" si="684"/>
        <v>1</v>
      </c>
      <c r="L1128" s="11">
        <f t="shared" si="676"/>
        <v>2</v>
      </c>
      <c r="M1128" s="85">
        <v>46167</v>
      </c>
      <c r="N1128" s="50"/>
      <c r="O1128" s="25"/>
      <c r="P1128" s="45"/>
      <c r="Q1128" s="26"/>
      <c r="R1128" s="32"/>
      <c r="S1128" s="33">
        <f t="shared" si="685"/>
        <v>0</v>
      </c>
      <c r="T1128" s="25"/>
      <c r="U1128" s="45"/>
      <c r="V1128" s="26"/>
      <c r="W1128" s="32"/>
      <c r="X1128" s="33">
        <f t="shared" si="686"/>
        <v>0</v>
      </c>
      <c r="Y1128" s="11">
        <f t="shared" si="673"/>
        <v>0</v>
      </c>
    </row>
    <row r="1129" spans="1:26" x14ac:dyDescent="0.15">
      <c r="A1129" s="70" t="s">
        <v>30</v>
      </c>
      <c r="B1129" s="25"/>
      <c r="C1129" s="45"/>
      <c r="D1129" s="26"/>
      <c r="E1129" s="32"/>
      <c r="F1129" s="33">
        <f t="shared" si="683"/>
        <v>0</v>
      </c>
      <c r="G1129" s="25">
        <v>1</v>
      </c>
      <c r="H1129" s="45"/>
      <c r="I1129" s="26"/>
      <c r="J1129" s="32"/>
      <c r="K1129" s="33">
        <f t="shared" si="684"/>
        <v>1</v>
      </c>
      <c r="L1129" s="11">
        <f t="shared" si="676"/>
        <v>1</v>
      </c>
      <c r="M1129" s="115">
        <v>46164</v>
      </c>
      <c r="N1129" s="50"/>
      <c r="O1129" s="25"/>
      <c r="P1129" s="45"/>
      <c r="Q1129" s="26"/>
      <c r="R1129" s="32"/>
      <c r="S1129" s="33">
        <f t="shared" si="685"/>
        <v>0</v>
      </c>
      <c r="T1129" s="25"/>
      <c r="U1129" s="45"/>
      <c r="V1129" s="26"/>
      <c r="W1129" s="32"/>
      <c r="X1129" s="33">
        <f t="shared" si="686"/>
        <v>0</v>
      </c>
      <c r="Y1129" s="11">
        <f t="shared" si="673"/>
        <v>0</v>
      </c>
    </row>
    <row r="1130" spans="1:26" x14ac:dyDescent="0.15">
      <c r="A1130" s="70" t="s">
        <v>544</v>
      </c>
      <c r="B1130" s="25"/>
      <c r="C1130" s="45"/>
      <c r="D1130" s="26"/>
      <c r="E1130" s="32">
        <v>1</v>
      </c>
      <c r="F1130" s="33">
        <f t="shared" si="683"/>
        <v>1</v>
      </c>
      <c r="G1130" s="25"/>
      <c r="H1130" s="45"/>
      <c r="I1130" s="26"/>
      <c r="J1130" s="32"/>
      <c r="K1130" s="33">
        <f t="shared" si="684"/>
        <v>0</v>
      </c>
      <c r="L1130" s="11">
        <f t="shared" si="676"/>
        <v>1</v>
      </c>
      <c r="M1130" s="85">
        <v>46168</v>
      </c>
      <c r="N1130" s="50"/>
      <c r="O1130" s="25"/>
      <c r="P1130" s="45"/>
      <c r="Q1130" s="26"/>
      <c r="R1130" s="32"/>
      <c r="S1130" s="33">
        <f t="shared" si="685"/>
        <v>0</v>
      </c>
      <c r="T1130" s="25"/>
      <c r="U1130" s="45"/>
      <c r="V1130" s="26"/>
      <c r="W1130" s="32"/>
      <c r="X1130" s="33">
        <f t="shared" si="686"/>
        <v>0</v>
      </c>
      <c r="Y1130" s="11">
        <f t="shared" si="673"/>
        <v>0</v>
      </c>
    </row>
    <row r="1131" spans="1:26" x14ac:dyDescent="0.15">
      <c r="A1131" s="70" t="s">
        <v>30</v>
      </c>
      <c r="B1131" s="25"/>
      <c r="C1131" s="45">
        <v>1</v>
      </c>
      <c r="D1131" s="26">
        <v>1</v>
      </c>
      <c r="E1131" s="32"/>
      <c r="F1131" s="33">
        <f t="shared" si="683"/>
        <v>2</v>
      </c>
      <c r="G1131" s="25"/>
      <c r="H1131" s="45"/>
      <c r="I1131" s="26">
        <v>2</v>
      </c>
      <c r="J1131" s="32"/>
      <c r="K1131" s="33">
        <f t="shared" si="684"/>
        <v>2</v>
      </c>
      <c r="L1131" s="11">
        <f t="shared" si="676"/>
        <v>4</v>
      </c>
      <c r="M1131" s="85">
        <v>46167</v>
      </c>
      <c r="N1131" s="50"/>
      <c r="O1131" s="25"/>
      <c r="P1131" s="45"/>
      <c r="Q1131" s="26"/>
      <c r="R1131" s="32"/>
      <c r="S1131" s="33">
        <f t="shared" si="685"/>
        <v>0</v>
      </c>
      <c r="T1131" s="25"/>
      <c r="U1131" s="45"/>
      <c r="V1131" s="26"/>
      <c r="W1131" s="32"/>
      <c r="X1131" s="33">
        <f t="shared" si="686"/>
        <v>0</v>
      </c>
      <c r="Y1131" s="11">
        <f t="shared" si="673"/>
        <v>0</v>
      </c>
    </row>
    <row r="1132" spans="1:26" x14ac:dyDescent="0.15">
      <c r="A1132" s="70" t="s">
        <v>597</v>
      </c>
      <c r="B1132" s="25">
        <v>2</v>
      </c>
      <c r="C1132" s="45"/>
      <c r="D1132" s="26">
        <v>1</v>
      </c>
      <c r="E1132" s="32">
        <v>1</v>
      </c>
      <c r="F1132" s="33">
        <f t="shared" si="683"/>
        <v>4</v>
      </c>
      <c r="G1132" s="25">
        <v>2</v>
      </c>
      <c r="H1132" s="45"/>
      <c r="I1132" s="26">
        <v>1</v>
      </c>
      <c r="J1132" s="32">
        <v>1</v>
      </c>
      <c r="K1132" s="33">
        <f t="shared" si="684"/>
        <v>4</v>
      </c>
      <c r="L1132" s="11">
        <f t="shared" si="676"/>
        <v>8</v>
      </c>
      <c r="M1132" s="85">
        <v>46170</v>
      </c>
      <c r="N1132" s="50"/>
      <c r="O1132" s="25"/>
      <c r="P1132" s="45"/>
      <c r="Q1132" s="26"/>
      <c r="R1132" s="32"/>
      <c r="S1132" s="33">
        <f t="shared" si="685"/>
        <v>0</v>
      </c>
      <c r="T1132" s="25"/>
      <c r="U1132" s="45"/>
      <c r="V1132" s="26"/>
      <c r="W1132" s="32"/>
      <c r="X1132" s="33">
        <f t="shared" si="686"/>
        <v>0</v>
      </c>
      <c r="Y1132" s="11">
        <f t="shared" si="673"/>
        <v>0</v>
      </c>
    </row>
    <row r="1133" spans="1:26" x14ac:dyDescent="0.15">
      <c r="A1133" s="70" t="s">
        <v>30</v>
      </c>
      <c r="B1133" s="25">
        <v>1</v>
      </c>
      <c r="C1133" s="45"/>
      <c r="D1133" s="26"/>
      <c r="E1133" s="32">
        <v>1</v>
      </c>
      <c r="F1133" s="33">
        <f t="shared" si="683"/>
        <v>2</v>
      </c>
      <c r="G1133" s="25">
        <v>1</v>
      </c>
      <c r="H1133" s="45"/>
      <c r="I1133" s="26"/>
      <c r="J1133" s="32">
        <v>1</v>
      </c>
      <c r="K1133" s="33">
        <f t="shared" si="684"/>
        <v>2</v>
      </c>
      <c r="L1133" s="11">
        <f t="shared" si="676"/>
        <v>4</v>
      </c>
      <c r="M1133" s="85">
        <v>46168</v>
      </c>
      <c r="N1133" s="50"/>
      <c r="O1133" s="25"/>
      <c r="P1133" s="45"/>
      <c r="Q1133" s="26"/>
      <c r="R1133" s="32"/>
      <c r="S1133" s="33">
        <f t="shared" si="685"/>
        <v>0</v>
      </c>
      <c r="T1133" s="25"/>
      <c r="U1133" s="45"/>
      <c r="V1133" s="26"/>
      <c r="W1133" s="32"/>
      <c r="X1133" s="33">
        <f t="shared" si="686"/>
        <v>0</v>
      </c>
      <c r="Y1133" s="11">
        <f t="shared" si="673"/>
        <v>0</v>
      </c>
    </row>
    <row r="1134" spans="1:26" x14ac:dyDescent="0.15">
      <c r="A1134" s="70" t="s">
        <v>597</v>
      </c>
      <c r="B1134" s="25">
        <v>4</v>
      </c>
      <c r="C1134" s="45"/>
      <c r="D1134" s="26">
        <v>1</v>
      </c>
      <c r="E1134" s="32">
        <v>1</v>
      </c>
      <c r="F1134" s="33">
        <f t="shared" si="683"/>
        <v>6</v>
      </c>
      <c r="G1134" s="25">
        <v>4</v>
      </c>
      <c r="H1134" s="45"/>
      <c r="I1134" s="26">
        <v>1</v>
      </c>
      <c r="J1134" s="32">
        <v>1</v>
      </c>
      <c r="K1134" s="33">
        <f t="shared" si="684"/>
        <v>6</v>
      </c>
      <c r="L1134" s="11">
        <f t="shared" si="676"/>
        <v>12</v>
      </c>
      <c r="M1134" s="85">
        <v>46171</v>
      </c>
      <c r="N1134" s="50"/>
      <c r="O1134" s="25"/>
      <c r="P1134" s="45"/>
      <c r="Q1134" s="26"/>
      <c r="R1134" s="32"/>
      <c r="S1134" s="33">
        <f t="shared" si="685"/>
        <v>0</v>
      </c>
      <c r="T1134" s="25"/>
      <c r="U1134" s="45"/>
      <c r="V1134" s="26"/>
      <c r="W1134" s="32"/>
      <c r="X1134" s="33">
        <f t="shared" si="686"/>
        <v>0</v>
      </c>
      <c r="Y1134" s="11">
        <f t="shared" si="673"/>
        <v>0</v>
      </c>
      <c r="Z1134" s="159" t="s">
        <v>581</v>
      </c>
    </row>
    <row r="1135" spans="1:26" x14ac:dyDescent="0.15">
      <c r="A1135" s="70" t="s">
        <v>603</v>
      </c>
      <c r="B1135" s="25">
        <v>-10</v>
      </c>
      <c r="C1135" s="45">
        <v>-5</v>
      </c>
      <c r="D1135" s="26"/>
      <c r="E1135" s="32"/>
      <c r="F1135" s="33">
        <f t="shared" si="683"/>
        <v>-15</v>
      </c>
      <c r="G1135" s="25">
        <v>-10</v>
      </c>
      <c r="H1135" s="45"/>
      <c r="I1135" s="26">
        <v>-5</v>
      </c>
      <c r="J1135" s="32"/>
      <c r="K1135" s="33">
        <f t="shared" si="684"/>
        <v>-15</v>
      </c>
      <c r="L1135" s="93">
        <f t="shared" si="676"/>
        <v>-30</v>
      </c>
      <c r="M1135" s="85">
        <v>46170</v>
      </c>
      <c r="N1135" s="96" t="s">
        <v>546</v>
      </c>
      <c r="O1135" s="97"/>
      <c r="P1135" s="98"/>
      <c r="Q1135" s="99"/>
      <c r="R1135" s="100"/>
      <c r="S1135" s="101">
        <f t="shared" si="685"/>
        <v>0</v>
      </c>
      <c r="T1135" s="97"/>
      <c r="U1135" s="98"/>
      <c r="V1135" s="99"/>
      <c r="W1135" s="100"/>
      <c r="X1135" s="101">
        <f t="shared" si="686"/>
        <v>0</v>
      </c>
      <c r="Y1135" s="102">
        <f t="shared" si="673"/>
        <v>0</v>
      </c>
      <c r="Z1135" s="159"/>
    </row>
    <row r="1136" spans="1:26" ht="14.25" thickBot="1" x14ac:dyDescent="0.2">
      <c r="A1136" s="74" t="s">
        <v>597</v>
      </c>
      <c r="B1136" s="55"/>
      <c r="C1136" s="56">
        <v>3</v>
      </c>
      <c r="D1136" s="57">
        <v>3</v>
      </c>
      <c r="E1136" s="58"/>
      <c r="F1136" s="109">
        <f t="shared" si="683"/>
        <v>6</v>
      </c>
      <c r="G1136" s="55"/>
      <c r="H1136" s="56">
        <v>3</v>
      </c>
      <c r="I1136" s="57">
        <v>3</v>
      </c>
      <c r="J1136" s="58"/>
      <c r="K1136" s="109">
        <f t="shared" si="684"/>
        <v>6</v>
      </c>
      <c r="L1136" s="107">
        <f t="shared" si="676"/>
        <v>12</v>
      </c>
      <c r="M1136" s="85">
        <v>46172</v>
      </c>
      <c r="N1136" s="140" t="s">
        <v>525</v>
      </c>
      <c r="O1136" s="55"/>
      <c r="P1136" s="56"/>
      <c r="Q1136" s="57"/>
      <c r="R1136" s="58"/>
      <c r="S1136" s="109">
        <f t="shared" si="685"/>
        <v>0</v>
      </c>
      <c r="T1136" s="55"/>
      <c r="U1136" s="56"/>
      <c r="V1136" s="57"/>
      <c r="W1136" s="58"/>
      <c r="X1136" s="109">
        <f t="shared" si="686"/>
        <v>0</v>
      </c>
      <c r="Y1136" s="107">
        <f t="shared" si="673"/>
        <v>0</v>
      </c>
      <c r="Z1136" s="159" t="s">
        <v>545</v>
      </c>
    </row>
    <row r="1137" spans="1:27" ht="14.25" thickBot="1" x14ac:dyDescent="0.2">
      <c r="A1137" s="72" t="s">
        <v>10</v>
      </c>
      <c r="B1137" s="36">
        <f>SUM(B1112:B1136)</f>
        <v>3</v>
      </c>
      <c r="C1137" s="46">
        <f>SUM(C1112:C1136)</f>
        <v>8</v>
      </c>
      <c r="D1137" s="37">
        <f>SUM(D1112:D1136)</f>
        <v>9</v>
      </c>
      <c r="E1137" s="38">
        <f>SUM(E1112:E1136)</f>
        <v>6</v>
      </c>
      <c r="F1137" s="71">
        <f>SUM(B1137:E1137)</f>
        <v>26</v>
      </c>
      <c r="G1137" s="36">
        <f>SUM(G1112:G1136)</f>
        <v>7</v>
      </c>
      <c r="H1137" s="46">
        <f>SUM(H1112:H1136)</f>
        <v>9</v>
      </c>
      <c r="I1137" s="37">
        <f>SUM(I1112:I1136)</f>
        <v>3</v>
      </c>
      <c r="J1137" s="38">
        <f>SUM(J1112:J1136)</f>
        <v>4</v>
      </c>
      <c r="K1137" s="71">
        <f>SUM(G1137:J1137)</f>
        <v>23</v>
      </c>
      <c r="L1137" s="75">
        <f t="shared" si="676"/>
        <v>49</v>
      </c>
      <c r="N1137" s="72" t="s">
        <v>10</v>
      </c>
      <c r="O1137" s="36">
        <f>SUM(O1112:O1136)</f>
        <v>11</v>
      </c>
      <c r="P1137" s="46">
        <f>SUM(P1112:P1136)</f>
        <v>10</v>
      </c>
      <c r="Q1137" s="37">
        <f>SUM(Q1112:Q1136)</f>
        <v>5</v>
      </c>
      <c r="R1137" s="38">
        <f>SUM(R1112:R1136)</f>
        <v>5</v>
      </c>
      <c r="S1137" s="71">
        <f t="shared" si="685"/>
        <v>31</v>
      </c>
      <c r="T1137" s="36">
        <f>SUM(T1112:T1136)</f>
        <v>16</v>
      </c>
      <c r="U1137" s="46">
        <f>SUM(U1112:U1136)</f>
        <v>7</v>
      </c>
      <c r="V1137" s="37">
        <f>SUM(V1112:V1136)</f>
        <v>5</v>
      </c>
      <c r="W1137" s="38">
        <f>SUM(W1112:W1136)</f>
        <v>0</v>
      </c>
      <c r="X1137" s="71">
        <f t="shared" si="686"/>
        <v>28</v>
      </c>
      <c r="Y1137" s="75">
        <f t="shared" si="673"/>
        <v>59</v>
      </c>
    </row>
    <row r="1138" spans="1:27" ht="14.25" thickBot="1" x14ac:dyDescent="0.2">
      <c r="A1138" s="21" t="s">
        <v>11</v>
      </c>
      <c r="B1138" s="39">
        <f t="shared" ref="B1138:K1138" si="687">B1111-B1137</f>
        <v>11</v>
      </c>
      <c r="C1138" s="47">
        <f t="shared" si="687"/>
        <v>7</v>
      </c>
      <c r="D1138" s="40">
        <f t="shared" si="687"/>
        <v>4</v>
      </c>
      <c r="E1138" s="41">
        <f t="shared" si="687"/>
        <v>5</v>
      </c>
      <c r="F1138" s="54">
        <f t="shared" si="687"/>
        <v>27</v>
      </c>
      <c r="G1138" s="39">
        <f t="shared" si="687"/>
        <v>12</v>
      </c>
      <c r="H1138" s="47">
        <f t="shared" si="687"/>
        <v>6</v>
      </c>
      <c r="I1138" s="40">
        <f t="shared" si="687"/>
        <v>6</v>
      </c>
      <c r="J1138" s="41">
        <f t="shared" si="687"/>
        <v>6</v>
      </c>
      <c r="K1138" s="54">
        <f t="shared" si="687"/>
        <v>30</v>
      </c>
      <c r="L1138" s="20">
        <f t="shared" si="676"/>
        <v>57</v>
      </c>
      <c r="N1138" s="16" t="s">
        <v>11</v>
      </c>
      <c r="O1138" s="39">
        <f t="shared" ref="O1138:X1138" si="688">O1111-O1137</f>
        <v>347</v>
      </c>
      <c r="P1138" s="47">
        <f t="shared" si="688"/>
        <v>489</v>
      </c>
      <c r="Q1138" s="40">
        <f t="shared" si="688"/>
        <v>364</v>
      </c>
      <c r="R1138" s="41">
        <f t="shared" si="688"/>
        <v>325</v>
      </c>
      <c r="S1138" s="54">
        <f t="shared" si="688"/>
        <v>1525</v>
      </c>
      <c r="T1138" s="39">
        <f t="shared" si="688"/>
        <v>332</v>
      </c>
      <c r="U1138" s="47">
        <f t="shared" si="688"/>
        <v>426</v>
      </c>
      <c r="V1138" s="40">
        <f t="shared" si="688"/>
        <v>266</v>
      </c>
      <c r="W1138" s="41">
        <f t="shared" si="688"/>
        <v>265</v>
      </c>
      <c r="X1138" s="54">
        <f t="shared" si="688"/>
        <v>1289</v>
      </c>
      <c r="Y1138" s="20">
        <f t="shared" si="673"/>
        <v>2814</v>
      </c>
    </row>
    <row r="1141" spans="1:27" ht="19.5" thickBot="1" x14ac:dyDescent="0.25">
      <c r="A1141" s="2" t="s">
        <v>26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27</v>
      </c>
      <c r="O1141" s="2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7" ht="14.25" thickBot="1" x14ac:dyDescent="0.2">
      <c r="A1142" s="5" t="s">
        <v>0</v>
      </c>
      <c r="B1142" s="228" t="s">
        <v>19</v>
      </c>
      <c r="C1142" s="229"/>
      <c r="D1142" s="229"/>
      <c r="E1142" s="229"/>
      <c r="F1142" s="230"/>
      <c r="G1142" s="231" t="s">
        <v>18</v>
      </c>
      <c r="H1142" s="232"/>
      <c r="I1142" s="232"/>
      <c r="J1142" s="232"/>
      <c r="K1142" s="233"/>
      <c r="L1142" s="73" t="s">
        <v>1</v>
      </c>
      <c r="N1142" s="5" t="s">
        <v>0</v>
      </c>
      <c r="O1142" s="228" t="s">
        <v>19</v>
      </c>
      <c r="P1142" s="229"/>
      <c r="Q1142" s="229"/>
      <c r="R1142" s="229"/>
      <c r="S1142" s="230"/>
      <c r="T1142" s="231" t="s">
        <v>18</v>
      </c>
      <c r="U1142" s="232"/>
      <c r="V1142" s="232"/>
      <c r="W1142" s="232"/>
      <c r="X1142" s="233"/>
      <c r="Y1142" s="73" t="s">
        <v>1</v>
      </c>
    </row>
    <row r="1143" spans="1:27" ht="14.25" thickBot="1" x14ac:dyDescent="0.2">
      <c r="A1143" s="5" t="s">
        <v>2</v>
      </c>
      <c r="B1143" s="3" t="s">
        <v>12</v>
      </c>
      <c r="C1143" s="42" t="s">
        <v>13</v>
      </c>
      <c r="D1143" s="4" t="s">
        <v>14</v>
      </c>
      <c r="E1143" s="22" t="s">
        <v>15</v>
      </c>
      <c r="F1143" s="30" t="s">
        <v>3</v>
      </c>
      <c r="G1143" s="3" t="s">
        <v>12</v>
      </c>
      <c r="H1143" s="42" t="s">
        <v>13</v>
      </c>
      <c r="I1143" s="4" t="s">
        <v>14</v>
      </c>
      <c r="J1143" s="22" t="s">
        <v>15</v>
      </c>
      <c r="K1143" s="30" t="s">
        <v>3</v>
      </c>
      <c r="L1143" s="74"/>
      <c r="N1143" s="5" t="s">
        <v>2</v>
      </c>
      <c r="O1143" s="64" t="s">
        <v>12</v>
      </c>
      <c r="P1143" s="65" t="s">
        <v>13</v>
      </c>
      <c r="Q1143" s="66" t="s">
        <v>14</v>
      </c>
      <c r="R1143" s="67" t="s">
        <v>15</v>
      </c>
      <c r="S1143" s="30" t="s">
        <v>3</v>
      </c>
      <c r="T1143" s="3" t="s">
        <v>12</v>
      </c>
      <c r="U1143" s="42" t="s">
        <v>13</v>
      </c>
      <c r="V1143" s="4" t="s">
        <v>14</v>
      </c>
      <c r="W1143" s="22" t="s">
        <v>15</v>
      </c>
      <c r="X1143" s="30" t="s">
        <v>3</v>
      </c>
      <c r="Y1143" s="74"/>
    </row>
    <row r="1144" spans="1:27" ht="14.25" thickBot="1" x14ac:dyDescent="0.2">
      <c r="A1144" s="21" t="s">
        <v>16</v>
      </c>
      <c r="B1144" s="39">
        <f>B1138</f>
        <v>11</v>
      </c>
      <c r="C1144" s="40">
        <f>C1138</f>
        <v>7</v>
      </c>
      <c r="D1144" s="40">
        <f>D1138</f>
        <v>4</v>
      </c>
      <c r="E1144" s="41">
        <f>E1138</f>
        <v>5</v>
      </c>
      <c r="F1144" s="122">
        <f>SUM(B1144:E1144)</f>
        <v>27</v>
      </c>
      <c r="G1144" s="39">
        <f>G1138</f>
        <v>12</v>
      </c>
      <c r="H1144" s="40">
        <f>H1138</f>
        <v>6</v>
      </c>
      <c r="I1144" s="40">
        <f>I1138</f>
        <v>6</v>
      </c>
      <c r="J1144" s="41">
        <f>J1138</f>
        <v>6</v>
      </c>
      <c r="K1144" s="123">
        <f>SUM(G1144:J1144)</f>
        <v>30</v>
      </c>
      <c r="L1144" s="20">
        <f>F1144+K1144</f>
        <v>57</v>
      </c>
      <c r="N1144" s="21" t="s">
        <v>16</v>
      </c>
      <c r="O1144" s="39">
        <f>O1138</f>
        <v>347</v>
      </c>
      <c r="P1144" s="40">
        <f>P1138</f>
        <v>489</v>
      </c>
      <c r="Q1144" s="40">
        <f t="shared" ref="Q1144:R1144" si="689">Q1138</f>
        <v>364</v>
      </c>
      <c r="R1144" s="88">
        <f t="shared" si="689"/>
        <v>325</v>
      </c>
      <c r="S1144" s="123">
        <f>SUM(O1144:R1144)</f>
        <v>1525</v>
      </c>
      <c r="T1144" s="39">
        <f>T1138</f>
        <v>332</v>
      </c>
      <c r="U1144" s="40">
        <f>U1138</f>
        <v>426</v>
      </c>
      <c r="V1144" s="40">
        <f>V1138</f>
        <v>266</v>
      </c>
      <c r="W1144" s="41">
        <f>W1138</f>
        <v>265</v>
      </c>
      <c r="X1144" s="123">
        <f>SUM(T1144:W1144)</f>
        <v>1289</v>
      </c>
      <c r="Y1144" s="20">
        <f t="shared" ref="Y1144:Y1176" si="690">S1144+X1144</f>
        <v>2814</v>
      </c>
    </row>
    <row r="1145" spans="1:27" x14ac:dyDescent="0.15">
      <c r="A1145" s="70" t="s">
        <v>5</v>
      </c>
      <c r="B1145" s="6"/>
      <c r="C1145" s="29"/>
      <c r="D1145" s="7">
        <v>10</v>
      </c>
      <c r="E1145" s="8">
        <v>5</v>
      </c>
      <c r="F1145" s="9">
        <f t="shared" ref="F1145" si="691">SUM(B1145:E1145)</f>
        <v>15</v>
      </c>
      <c r="G1145" s="29"/>
      <c r="H1145" s="29">
        <v>5</v>
      </c>
      <c r="I1145" s="7">
        <v>5</v>
      </c>
      <c r="J1145" s="8">
        <v>5</v>
      </c>
      <c r="K1145" s="9">
        <f t="shared" ref="K1145" si="692">SUM(G1145:J1145)</f>
        <v>15</v>
      </c>
      <c r="L1145" s="11">
        <f t="shared" ref="L1145" si="693">F1145+K1145</f>
        <v>30</v>
      </c>
      <c r="M1145" s="85">
        <v>46172</v>
      </c>
      <c r="N1145" s="13" t="s">
        <v>17</v>
      </c>
      <c r="O1145" s="25"/>
      <c r="P1145" s="45"/>
      <c r="Q1145" s="26"/>
      <c r="R1145" s="32"/>
      <c r="S1145" s="68">
        <f>SUM(O1145:R1145)</f>
        <v>0</v>
      </c>
      <c r="T1145" s="45"/>
      <c r="U1145" s="45"/>
      <c r="V1145" s="26"/>
      <c r="W1145" s="48"/>
      <c r="X1145" s="9">
        <f>SUM(T1145:W1145)</f>
        <v>0</v>
      </c>
      <c r="Y1145" s="11">
        <f t="shared" si="690"/>
        <v>0</v>
      </c>
    </row>
    <row r="1146" spans="1:27" x14ac:dyDescent="0.15">
      <c r="A1146" s="70" t="s">
        <v>6</v>
      </c>
      <c r="B1146" s="6"/>
      <c r="C1146" s="29">
        <v>3</v>
      </c>
      <c r="D1146" s="7">
        <v>3</v>
      </c>
      <c r="E1146" s="8">
        <v>3</v>
      </c>
      <c r="F1146" s="9">
        <f t="shared" ref="F1146:F1148" si="694">SUM(B1146:E1146)</f>
        <v>9</v>
      </c>
      <c r="G1146" s="29"/>
      <c r="H1146" s="29"/>
      <c r="I1146" s="7">
        <v>5</v>
      </c>
      <c r="J1146" s="8"/>
      <c r="K1146" s="9">
        <f t="shared" ref="K1146:K1148" si="695">SUM(G1146:J1146)</f>
        <v>5</v>
      </c>
      <c r="L1146" s="11">
        <f t="shared" ref="L1146:L1176" si="696">F1146+K1146</f>
        <v>14</v>
      </c>
      <c r="M1146" s="85">
        <v>46176</v>
      </c>
      <c r="N1146" s="13" t="s">
        <v>5</v>
      </c>
      <c r="O1146" s="25"/>
      <c r="P1146" s="45"/>
      <c r="Q1146" s="26"/>
      <c r="R1146" s="32"/>
      <c r="S1146" s="68">
        <f>SUM(O1146:R1146)</f>
        <v>0</v>
      </c>
      <c r="T1146" s="45"/>
      <c r="U1146" s="45"/>
      <c r="V1146" s="26"/>
      <c r="W1146" s="48"/>
      <c r="X1146" s="9">
        <f>SUM(T1146:W1146)</f>
        <v>0</v>
      </c>
      <c r="Y1146" s="11">
        <f t="shared" ref="Y1146:Y1147" si="697">S1146+X1146</f>
        <v>0</v>
      </c>
    </row>
    <row r="1147" spans="1:27" x14ac:dyDescent="0.15">
      <c r="A1147" s="181" t="s">
        <v>7</v>
      </c>
      <c r="B1147" s="182"/>
      <c r="C1147" s="183">
        <v>5</v>
      </c>
      <c r="D1147" s="184">
        <v>5</v>
      </c>
      <c r="E1147" s="185">
        <v>5</v>
      </c>
      <c r="F1147" s="186">
        <f t="shared" si="694"/>
        <v>15</v>
      </c>
      <c r="G1147" s="183">
        <v>5</v>
      </c>
      <c r="H1147" s="183">
        <v>5</v>
      </c>
      <c r="I1147" s="184">
        <v>5</v>
      </c>
      <c r="J1147" s="185">
        <v>10</v>
      </c>
      <c r="K1147" s="186">
        <f t="shared" si="695"/>
        <v>25</v>
      </c>
      <c r="L1147" s="187">
        <f t="shared" si="696"/>
        <v>40</v>
      </c>
      <c r="M1147" s="188">
        <v>46177</v>
      </c>
      <c r="N1147" s="174" t="s">
        <v>163</v>
      </c>
      <c r="O1147" s="164">
        <v>22</v>
      </c>
      <c r="P1147" s="165">
        <v>34</v>
      </c>
      <c r="Q1147" s="166">
        <v>19</v>
      </c>
      <c r="R1147" s="175">
        <v>17</v>
      </c>
      <c r="S1147" s="176">
        <f>SUM(O1147:R1147)</f>
        <v>92</v>
      </c>
      <c r="T1147" s="165">
        <v>14</v>
      </c>
      <c r="U1147" s="165"/>
      <c r="V1147" s="166">
        <v>8</v>
      </c>
      <c r="W1147" s="177">
        <v>11</v>
      </c>
      <c r="X1147" s="178">
        <f>SUM(T1147:W1147)</f>
        <v>33</v>
      </c>
      <c r="Y1147" s="179">
        <f t="shared" si="697"/>
        <v>125</v>
      </c>
      <c r="Z1147" s="209">
        <v>46192</v>
      </c>
    </row>
    <row r="1148" spans="1:27" ht="14.25" thickBot="1" x14ac:dyDescent="0.2">
      <c r="A1148" s="70" t="s">
        <v>8</v>
      </c>
      <c r="B1148" s="125">
        <v>5</v>
      </c>
      <c r="C1148" s="126"/>
      <c r="D1148" s="127"/>
      <c r="E1148" s="128">
        <v>5</v>
      </c>
      <c r="F1148" s="129">
        <f t="shared" si="694"/>
        <v>10</v>
      </c>
      <c r="G1148" s="126"/>
      <c r="H1148" s="126"/>
      <c r="I1148" s="127">
        <v>5</v>
      </c>
      <c r="J1148" s="128"/>
      <c r="K1148" s="129">
        <f t="shared" si="695"/>
        <v>5</v>
      </c>
      <c r="L1148" s="14">
        <f t="shared" si="696"/>
        <v>15</v>
      </c>
      <c r="M1148" s="85">
        <v>46179</v>
      </c>
      <c r="N1148" s="13" t="s">
        <v>7</v>
      </c>
      <c r="O1148" s="55"/>
      <c r="P1148" s="56"/>
      <c r="Q1148" s="57"/>
      <c r="R1148" s="58"/>
      <c r="S1148" s="69">
        <f>SUM(O1148:R1148)</f>
        <v>0</v>
      </c>
      <c r="T1148" s="45"/>
      <c r="U1148" s="45"/>
      <c r="V1148" s="26"/>
      <c r="W1148" s="48"/>
      <c r="X1148" s="10">
        <f>SUM(T1148:W1148)</f>
        <v>0</v>
      </c>
      <c r="Y1148" s="14">
        <f t="shared" si="690"/>
        <v>0</v>
      </c>
    </row>
    <row r="1149" spans="1:27" ht="14.25" thickBot="1" x14ac:dyDescent="0.2">
      <c r="A1149" s="21" t="s">
        <v>9</v>
      </c>
      <c r="B1149" s="130">
        <f t="shared" ref="B1149:K1149" si="698">SUM(B1144:B1148)</f>
        <v>16</v>
      </c>
      <c r="C1149" s="131">
        <f t="shared" si="698"/>
        <v>15</v>
      </c>
      <c r="D1149" s="132">
        <f t="shared" si="698"/>
        <v>22</v>
      </c>
      <c r="E1149" s="133">
        <f t="shared" si="698"/>
        <v>23</v>
      </c>
      <c r="F1149" s="123">
        <f t="shared" si="698"/>
        <v>76</v>
      </c>
      <c r="G1149" s="130">
        <f t="shared" si="698"/>
        <v>17</v>
      </c>
      <c r="H1149" s="131">
        <f t="shared" si="698"/>
        <v>16</v>
      </c>
      <c r="I1149" s="132">
        <f t="shared" si="698"/>
        <v>26</v>
      </c>
      <c r="J1149" s="133">
        <f t="shared" si="698"/>
        <v>21</v>
      </c>
      <c r="K1149" s="123">
        <f t="shared" si="698"/>
        <v>80</v>
      </c>
      <c r="L1149" s="20">
        <f t="shared" si="696"/>
        <v>156</v>
      </c>
      <c r="N1149" s="16" t="s">
        <v>9</v>
      </c>
      <c r="O1149" s="39">
        <f t="shared" ref="O1149:X1149" si="699">SUM(O1144:O1148)</f>
        <v>369</v>
      </c>
      <c r="P1149" s="47">
        <f t="shared" si="699"/>
        <v>523</v>
      </c>
      <c r="Q1149" s="40">
        <f t="shared" si="699"/>
        <v>383</v>
      </c>
      <c r="R1149" s="88">
        <f t="shared" si="699"/>
        <v>342</v>
      </c>
      <c r="S1149" s="89">
        <f t="shared" si="699"/>
        <v>1617</v>
      </c>
      <c r="T1149" s="39">
        <f t="shared" si="699"/>
        <v>346</v>
      </c>
      <c r="U1149" s="47">
        <f t="shared" si="699"/>
        <v>426</v>
      </c>
      <c r="V1149" s="40">
        <f t="shared" si="699"/>
        <v>274</v>
      </c>
      <c r="W1149" s="88">
        <f t="shared" si="699"/>
        <v>276</v>
      </c>
      <c r="X1149" s="89">
        <f t="shared" si="699"/>
        <v>1322</v>
      </c>
      <c r="Y1149" s="49">
        <f t="shared" si="690"/>
        <v>2939</v>
      </c>
    </row>
    <row r="1150" spans="1:27" x14ac:dyDescent="0.15">
      <c r="A1150" s="70" t="s">
        <v>597</v>
      </c>
      <c r="B1150" s="25"/>
      <c r="C1150" s="45"/>
      <c r="D1150" s="26">
        <v>3</v>
      </c>
      <c r="E1150" s="32"/>
      <c r="F1150" s="33">
        <f t="shared" ref="F1150:F1156" si="700">SUM(B1150:E1150)</f>
        <v>3</v>
      </c>
      <c r="G1150" s="25"/>
      <c r="H1150" s="45"/>
      <c r="I1150" s="26">
        <v>3</v>
      </c>
      <c r="J1150" s="32"/>
      <c r="K1150" s="33">
        <f t="shared" ref="K1150:K1156" si="701">SUM(G1150:J1150)</f>
        <v>3</v>
      </c>
      <c r="L1150" s="11">
        <f t="shared" ref="L1150:L1156" si="702">F1150+K1150</f>
        <v>6</v>
      </c>
      <c r="M1150" s="85">
        <v>46174</v>
      </c>
      <c r="N1150" s="50" t="s">
        <v>604</v>
      </c>
      <c r="O1150" s="25"/>
      <c r="P1150" s="45"/>
      <c r="Q1150" s="26"/>
      <c r="R1150" s="32"/>
      <c r="S1150" s="33">
        <f t="shared" ref="S1150:S1175" si="703">SUM(O1150:R1150)</f>
        <v>0</v>
      </c>
      <c r="T1150" s="25">
        <v>2</v>
      </c>
      <c r="U1150" s="45"/>
      <c r="V1150" s="26"/>
      <c r="W1150" s="32"/>
      <c r="X1150" s="33">
        <f t="shared" ref="X1150:X1175" si="704">SUM(T1150:W1150)</f>
        <v>2</v>
      </c>
      <c r="Y1150" s="11">
        <f t="shared" si="690"/>
        <v>2</v>
      </c>
      <c r="Z1150" s="85">
        <v>46177</v>
      </c>
    </row>
    <row r="1151" spans="1:27" x14ac:dyDescent="0.15">
      <c r="A1151" s="70" t="s">
        <v>605</v>
      </c>
      <c r="B1151" s="25"/>
      <c r="C1151" s="45"/>
      <c r="D1151" s="26">
        <v>1</v>
      </c>
      <c r="E1151" s="32"/>
      <c r="F1151" s="33">
        <f t="shared" si="700"/>
        <v>1</v>
      </c>
      <c r="G1151" s="25"/>
      <c r="H1151" s="45"/>
      <c r="I1151" s="26">
        <v>1</v>
      </c>
      <c r="J1151" s="32"/>
      <c r="K1151" s="33">
        <f t="shared" si="701"/>
        <v>1</v>
      </c>
      <c r="L1151" s="11">
        <f t="shared" si="702"/>
        <v>2</v>
      </c>
      <c r="M1151" s="85">
        <v>46171</v>
      </c>
      <c r="N1151" s="50" t="s">
        <v>427</v>
      </c>
      <c r="O1151" s="25"/>
      <c r="P1151" s="45">
        <v>2</v>
      </c>
      <c r="Q1151" s="26">
        <v>2</v>
      </c>
      <c r="R1151" s="32"/>
      <c r="S1151" s="33">
        <f t="shared" si="703"/>
        <v>4</v>
      </c>
      <c r="T1151" s="25"/>
      <c r="U1151" s="45">
        <v>1</v>
      </c>
      <c r="V1151" s="26"/>
      <c r="W1151" s="32">
        <v>2</v>
      </c>
      <c r="X1151" s="33">
        <f t="shared" si="704"/>
        <v>3</v>
      </c>
      <c r="Y1151" s="11">
        <f t="shared" si="690"/>
        <v>7</v>
      </c>
      <c r="Z1151" s="85">
        <v>46174</v>
      </c>
    </row>
    <row r="1152" spans="1:27" x14ac:dyDescent="0.15">
      <c r="A1152" s="70" t="s">
        <v>597</v>
      </c>
      <c r="B1152" s="25"/>
      <c r="C1152" s="45">
        <v>1</v>
      </c>
      <c r="D1152" s="26">
        <v>2</v>
      </c>
      <c r="E1152" s="32">
        <v>6</v>
      </c>
      <c r="F1152" s="33">
        <f t="shared" si="700"/>
        <v>9</v>
      </c>
      <c r="G1152" s="25"/>
      <c r="H1152" s="45">
        <v>1</v>
      </c>
      <c r="I1152" s="26">
        <v>2</v>
      </c>
      <c r="J1152" s="32">
        <v>6</v>
      </c>
      <c r="K1152" s="33">
        <f t="shared" si="701"/>
        <v>9</v>
      </c>
      <c r="L1152" s="11">
        <f t="shared" si="702"/>
        <v>18</v>
      </c>
      <c r="M1152" s="85">
        <v>46176</v>
      </c>
      <c r="N1152" s="50" t="s">
        <v>606</v>
      </c>
      <c r="O1152" s="25"/>
      <c r="P1152" s="45"/>
      <c r="Q1152" s="26">
        <v>10</v>
      </c>
      <c r="R1152" s="32">
        <v>5</v>
      </c>
      <c r="S1152" s="33">
        <f t="shared" si="703"/>
        <v>15</v>
      </c>
      <c r="T1152" s="25"/>
      <c r="U1152" s="45">
        <v>5</v>
      </c>
      <c r="V1152" s="26">
        <v>5</v>
      </c>
      <c r="W1152" s="32">
        <v>5</v>
      </c>
      <c r="X1152" s="33">
        <f t="shared" si="704"/>
        <v>15</v>
      </c>
      <c r="Y1152" s="11">
        <f t="shared" si="690"/>
        <v>30</v>
      </c>
      <c r="Z1152" s="85">
        <v>46172</v>
      </c>
      <c r="AA1152" s="51"/>
    </row>
    <row r="1153" spans="1:27" x14ac:dyDescent="0.15">
      <c r="A1153" s="70" t="s">
        <v>30</v>
      </c>
      <c r="B1153" s="25"/>
      <c r="C1153" s="45">
        <v>1</v>
      </c>
      <c r="D1153" s="26"/>
      <c r="E1153" s="32">
        <v>1</v>
      </c>
      <c r="F1153" s="33">
        <f t="shared" si="700"/>
        <v>2</v>
      </c>
      <c r="G1153" s="25">
        <v>6</v>
      </c>
      <c r="H1153" s="45"/>
      <c r="I1153" s="26"/>
      <c r="J1153" s="32"/>
      <c r="K1153" s="33">
        <f t="shared" si="701"/>
        <v>6</v>
      </c>
      <c r="L1153" s="11">
        <f t="shared" si="702"/>
        <v>8</v>
      </c>
      <c r="M1153" s="115">
        <v>46174</v>
      </c>
      <c r="N1153" s="50" t="s">
        <v>427</v>
      </c>
      <c r="O1153" s="25"/>
      <c r="P1153" s="45"/>
      <c r="Q1153" s="26"/>
      <c r="R1153" s="32">
        <v>4</v>
      </c>
      <c r="S1153" s="33">
        <f t="shared" si="703"/>
        <v>4</v>
      </c>
      <c r="T1153" s="25">
        <v>2</v>
      </c>
      <c r="U1153" s="45">
        <v>2</v>
      </c>
      <c r="V1153" s="26">
        <v>1</v>
      </c>
      <c r="W1153" s="32"/>
      <c r="X1153" s="33">
        <f t="shared" si="704"/>
        <v>5</v>
      </c>
      <c r="Y1153" s="11">
        <f t="shared" si="690"/>
        <v>9</v>
      </c>
      <c r="Z1153" s="85">
        <v>46176</v>
      </c>
      <c r="AA1153" s="51"/>
    </row>
    <row r="1154" spans="1:27" x14ac:dyDescent="0.15">
      <c r="A1154" s="70" t="s">
        <v>597</v>
      </c>
      <c r="B1154" s="25">
        <v>1</v>
      </c>
      <c r="C1154" s="45">
        <v>2</v>
      </c>
      <c r="D1154" s="26">
        <v>5</v>
      </c>
      <c r="E1154" s="32"/>
      <c r="F1154" s="33">
        <f t="shared" si="700"/>
        <v>8</v>
      </c>
      <c r="G1154" s="25">
        <v>1</v>
      </c>
      <c r="H1154" s="45">
        <v>2</v>
      </c>
      <c r="I1154" s="26">
        <v>5</v>
      </c>
      <c r="J1154" s="32"/>
      <c r="K1154" s="33">
        <f t="shared" si="701"/>
        <v>8</v>
      </c>
      <c r="L1154" s="11">
        <f t="shared" si="702"/>
        <v>16</v>
      </c>
      <c r="M1154" s="85">
        <v>46177</v>
      </c>
      <c r="N1154" s="12" t="s">
        <v>607</v>
      </c>
      <c r="O1154" s="25"/>
      <c r="P1154" s="45"/>
      <c r="Q1154" s="26"/>
      <c r="R1154" s="32">
        <v>1</v>
      </c>
      <c r="S1154" s="33">
        <f t="shared" si="703"/>
        <v>1</v>
      </c>
      <c r="T1154" s="25">
        <v>3</v>
      </c>
      <c r="U1154" s="45"/>
      <c r="V1154" s="26"/>
      <c r="W1154" s="32"/>
      <c r="X1154" s="33">
        <f t="shared" si="704"/>
        <v>3</v>
      </c>
      <c r="Y1154" s="11">
        <f t="shared" si="690"/>
        <v>4</v>
      </c>
      <c r="Z1154" s="85">
        <v>46181</v>
      </c>
    </row>
    <row r="1155" spans="1:27" x14ac:dyDescent="0.15">
      <c r="A1155" s="70" t="s">
        <v>30</v>
      </c>
      <c r="B1155" s="25"/>
      <c r="C1155" s="45"/>
      <c r="D1155" s="26"/>
      <c r="E1155" s="32"/>
      <c r="F1155" s="33">
        <f t="shared" si="700"/>
        <v>0</v>
      </c>
      <c r="G1155" s="25"/>
      <c r="H1155" s="45"/>
      <c r="I1155" s="26"/>
      <c r="J1155" s="32">
        <v>1</v>
      </c>
      <c r="K1155" s="33">
        <f t="shared" si="701"/>
        <v>1</v>
      </c>
      <c r="L1155" s="11">
        <f t="shared" si="702"/>
        <v>1</v>
      </c>
      <c r="M1155" s="115">
        <v>46175</v>
      </c>
      <c r="N1155" s="50" t="s">
        <v>427</v>
      </c>
      <c r="O1155" s="25">
        <v>1</v>
      </c>
      <c r="P1155" s="45"/>
      <c r="Q1155" s="26">
        <v>2</v>
      </c>
      <c r="R1155" s="32">
        <v>2</v>
      </c>
      <c r="S1155" s="33">
        <f t="shared" si="703"/>
        <v>5</v>
      </c>
      <c r="T1155" s="25"/>
      <c r="U1155" s="45">
        <v>1</v>
      </c>
      <c r="V1155" s="26">
        <v>1</v>
      </c>
      <c r="W1155" s="32"/>
      <c r="X1155" s="33">
        <f t="shared" si="704"/>
        <v>2</v>
      </c>
      <c r="Y1155" s="11">
        <f t="shared" si="690"/>
        <v>7</v>
      </c>
      <c r="Z1155" s="85">
        <v>46177</v>
      </c>
    </row>
    <row r="1156" spans="1:27" x14ac:dyDescent="0.15">
      <c r="A1156" s="70" t="s">
        <v>609</v>
      </c>
      <c r="B1156" s="25"/>
      <c r="C1156" s="45"/>
      <c r="D1156" s="26"/>
      <c r="E1156" s="32">
        <v>1</v>
      </c>
      <c r="F1156" s="33">
        <f t="shared" si="700"/>
        <v>1</v>
      </c>
      <c r="G1156" s="25"/>
      <c r="H1156" s="45"/>
      <c r="I1156" s="26"/>
      <c r="J1156" s="32">
        <v>2</v>
      </c>
      <c r="K1156" s="33">
        <f t="shared" si="701"/>
        <v>2</v>
      </c>
      <c r="L1156" s="11">
        <f t="shared" si="702"/>
        <v>3</v>
      </c>
      <c r="M1156" s="85">
        <v>46178</v>
      </c>
      <c r="N1156" s="50" t="s">
        <v>608</v>
      </c>
      <c r="O1156" s="25"/>
      <c r="P1156" s="45"/>
      <c r="Q1156" s="26"/>
      <c r="R1156" s="32"/>
      <c r="S1156" s="33">
        <f t="shared" si="703"/>
        <v>0</v>
      </c>
      <c r="T1156" s="25"/>
      <c r="U1156" s="45">
        <v>1</v>
      </c>
      <c r="V1156" s="26"/>
      <c r="W1156" s="32"/>
      <c r="X1156" s="33">
        <f t="shared" si="704"/>
        <v>1</v>
      </c>
      <c r="Y1156" s="11">
        <f t="shared" si="690"/>
        <v>1</v>
      </c>
      <c r="Z1156" s="85">
        <v>46181</v>
      </c>
    </row>
    <row r="1157" spans="1:27" x14ac:dyDescent="0.15">
      <c r="A1157" s="70" t="s">
        <v>597</v>
      </c>
      <c r="B1157" s="25">
        <v>1</v>
      </c>
      <c r="C1157" s="45">
        <v>1</v>
      </c>
      <c r="D1157" s="26"/>
      <c r="E1157" s="32"/>
      <c r="F1157" s="33">
        <f t="shared" ref="F1157" si="705">SUM(B1157:E1157)</f>
        <v>2</v>
      </c>
      <c r="G1157" s="25">
        <v>1</v>
      </c>
      <c r="H1157" s="45">
        <v>1</v>
      </c>
      <c r="I1157" s="26"/>
      <c r="J1157" s="32"/>
      <c r="K1157" s="33">
        <f t="shared" ref="K1157" si="706">SUM(G1157:J1157)</f>
        <v>2</v>
      </c>
      <c r="L1157" s="11">
        <f t="shared" ref="L1157" si="707">F1157+K1157</f>
        <v>4</v>
      </c>
      <c r="M1157" s="85">
        <v>46178</v>
      </c>
      <c r="N1157" s="50" t="s">
        <v>524</v>
      </c>
      <c r="O1157" s="25"/>
      <c r="P1157" s="45">
        <v>3</v>
      </c>
      <c r="Q1157" s="26">
        <v>3</v>
      </c>
      <c r="R1157" s="32">
        <v>3</v>
      </c>
      <c r="S1157" s="33">
        <f t="shared" si="703"/>
        <v>9</v>
      </c>
      <c r="T1157" s="25"/>
      <c r="U1157" s="45"/>
      <c r="V1157" s="26">
        <v>5</v>
      </c>
      <c r="W1157" s="32"/>
      <c r="X1157" s="33">
        <f t="shared" si="704"/>
        <v>5</v>
      </c>
      <c r="Y1157" s="11">
        <f t="shared" si="690"/>
        <v>14</v>
      </c>
      <c r="Z1157" s="85">
        <v>46176</v>
      </c>
      <c r="AA1157" s="51"/>
    </row>
    <row r="1158" spans="1:27" x14ac:dyDescent="0.15">
      <c r="A1158" s="70" t="s">
        <v>427</v>
      </c>
      <c r="B1158" s="25">
        <v>2</v>
      </c>
      <c r="C1158" s="45"/>
      <c r="D1158" s="26"/>
      <c r="E1158" s="32"/>
      <c r="F1158" s="33">
        <f t="shared" ref="F1158:F1174" si="708">SUM(B1158:E1158)</f>
        <v>2</v>
      </c>
      <c r="G1158" s="25"/>
      <c r="H1158" s="45"/>
      <c r="I1158" s="26">
        <v>2</v>
      </c>
      <c r="J1158" s="32"/>
      <c r="K1158" s="33">
        <f t="shared" ref="K1158:K1174" si="709">SUM(G1158:J1158)</f>
        <v>2</v>
      </c>
      <c r="L1158" s="11">
        <f t="shared" si="696"/>
        <v>4</v>
      </c>
      <c r="M1158" s="85">
        <v>46178</v>
      </c>
      <c r="N1158" s="197" t="s">
        <v>524</v>
      </c>
      <c r="O1158" s="190"/>
      <c r="P1158" s="191">
        <v>5</v>
      </c>
      <c r="Q1158" s="192">
        <v>5</v>
      </c>
      <c r="R1158" s="193">
        <v>5</v>
      </c>
      <c r="S1158" s="194">
        <f t="shared" si="703"/>
        <v>15</v>
      </c>
      <c r="T1158" s="190">
        <v>5</v>
      </c>
      <c r="U1158" s="191">
        <v>5</v>
      </c>
      <c r="V1158" s="192">
        <v>5</v>
      </c>
      <c r="W1158" s="193">
        <v>10</v>
      </c>
      <c r="X1158" s="194">
        <f t="shared" si="704"/>
        <v>25</v>
      </c>
      <c r="Y1158" s="187">
        <f t="shared" si="690"/>
        <v>40</v>
      </c>
      <c r="Z1158" s="188">
        <v>46177</v>
      </c>
    </row>
    <row r="1159" spans="1:27" x14ac:dyDescent="0.15">
      <c r="A1159" s="70" t="s">
        <v>597</v>
      </c>
      <c r="B1159" s="25"/>
      <c r="C1159" s="45">
        <v>1</v>
      </c>
      <c r="D1159" s="26"/>
      <c r="E1159" s="32">
        <v>4</v>
      </c>
      <c r="F1159" s="33">
        <f t="shared" si="708"/>
        <v>5</v>
      </c>
      <c r="G1159" s="25"/>
      <c r="H1159" s="45">
        <v>1</v>
      </c>
      <c r="I1159" s="26"/>
      <c r="J1159" s="32">
        <v>4</v>
      </c>
      <c r="K1159" s="33">
        <f t="shared" si="709"/>
        <v>5</v>
      </c>
      <c r="L1159" s="11">
        <f t="shared" si="696"/>
        <v>10</v>
      </c>
      <c r="M1159" s="85">
        <v>46178</v>
      </c>
      <c r="N1159" s="50" t="s">
        <v>524</v>
      </c>
      <c r="O1159" s="25">
        <v>5</v>
      </c>
      <c r="P1159" s="45"/>
      <c r="Q1159" s="26"/>
      <c r="R1159" s="32">
        <v>5</v>
      </c>
      <c r="S1159" s="33">
        <f>SUM(O1159:R1159)</f>
        <v>10</v>
      </c>
      <c r="T1159" s="25"/>
      <c r="U1159" s="45"/>
      <c r="V1159" s="26">
        <v>5</v>
      </c>
      <c r="W1159" s="32"/>
      <c r="X1159" s="33">
        <f t="shared" si="704"/>
        <v>5</v>
      </c>
      <c r="Y1159" s="11">
        <f t="shared" si="690"/>
        <v>15</v>
      </c>
      <c r="Z1159" s="85">
        <v>46179</v>
      </c>
    </row>
    <row r="1160" spans="1:27" x14ac:dyDescent="0.15">
      <c r="A1160" s="70" t="s">
        <v>30</v>
      </c>
      <c r="B1160" s="25"/>
      <c r="C1160" s="45"/>
      <c r="D1160" s="26">
        <v>1</v>
      </c>
      <c r="E1160" s="32"/>
      <c r="F1160" s="33">
        <f t="shared" si="708"/>
        <v>1</v>
      </c>
      <c r="G1160" s="25"/>
      <c r="H1160" s="45">
        <v>1</v>
      </c>
      <c r="I1160" s="26">
        <v>1</v>
      </c>
      <c r="J1160" s="32"/>
      <c r="K1160" s="33">
        <f t="shared" si="709"/>
        <v>2</v>
      </c>
      <c r="L1160" s="11">
        <f t="shared" si="696"/>
        <v>3</v>
      </c>
      <c r="M1160" s="85">
        <v>46177</v>
      </c>
      <c r="N1160" s="12" t="s">
        <v>611</v>
      </c>
      <c r="O1160" s="25">
        <v>2</v>
      </c>
      <c r="P1160" s="45"/>
      <c r="Q1160" s="26">
        <v>2</v>
      </c>
      <c r="R1160" s="32">
        <v>2</v>
      </c>
      <c r="S1160" s="33">
        <f t="shared" si="703"/>
        <v>6</v>
      </c>
      <c r="T1160" s="25">
        <v>2</v>
      </c>
      <c r="U1160" s="45"/>
      <c r="V1160" s="26"/>
      <c r="W1160" s="32"/>
      <c r="X1160" s="33">
        <f t="shared" si="704"/>
        <v>2</v>
      </c>
      <c r="Y1160" s="11">
        <f t="shared" si="690"/>
        <v>8</v>
      </c>
      <c r="Z1160" s="85">
        <v>46185</v>
      </c>
    </row>
    <row r="1161" spans="1:27" x14ac:dyDescent="0.15">
      <c r="A1161" s="70" t="s">
        <v>610</v>
      </c>
      <c r="B1161" s="25"/>
      <c r="C1161" s="45"/>
      <c r="D1161" s="26"/>
      <c r="E1161" s="32"/>
      <c r="F1161" s="33">
        <f t="shared" si="708"/>
        <v>0</v>
      </c>
      <c r="G1161" s="25"/>
      <c r="H1161" s="45">
        <v>1</v>
      </c>
      <c r="I1161" s="26"/>
      <c r="J1161" s="32"/>
      <c r="K1161" s="33">
        <f t="shared" si="709"/>
        <v>1</v>
      </c>
      <c r="L1161" s="11">
        <f t="shared" si="696"/>
        <v>1</v>
      </c>
      <c r="M1161" s="85">
        <v>46178</v>
      </c>
      <c r="N1161" s="12" t="s">
        <v>614</v>
      </c>
      <c r="O1161" s="25">
        <v>3</v>
      </c>
      <c r="P1161" s="45">
        <v>2</v>
      </c>
      <c r="Q1161" s="26"/>
      <c r="R1161" s="32">
        <v>1</v>
      </c>
      <c r="S1161" s="33">
        <f t="shared" si="703"/>
        <v>6</v>
      </c>
      <c r="T1161" s="25"/>
      <c r="U1161" s="45"/>
      <c r="V1161" s="26"/>
      <c r="W1161" s="32"/>
      <c r="X1161" s="33">
        <f t="shared" si="704"/>
        <v>0</v>
      </c>
      <c r="Y1161" s="11">
        <f t="shared" si="690"/>
        <v>6</v>
      </c>
      <c r="Z1161" s="85">
        <v>46192</v>
      </c>
    </row>
    <row r="1162" spans="1:27" x14ac:dyDescent="0.15">
      <c r="A1162" s="70" t="s">
        <v>30</v>
      </c>
      <c r="B1162" s="25"/>
      <c r="C1162" s="45"/>
      <c r="D1162" s="26"/>
      <c r="E1162" s="32"/>
      <c r="F1162" s="33">
        <f t="shared" si="708"/>
        <v>0</v>
      </c>
      <c r="G1162" s="25"/>
      <c r="H1162" s="45"/>
      <c r="I1162" s="26">
        <v>1</v>
      </c>
      <c r="J1162" s="32"/>
      <c r="K1162" s="33">
        <f t="shared" si="709"/>
        <v>1</v>
      </c>
      <c r="L1162" s="11">
        <f t="shared" si="696"/>
        <v>1</v>
      </c>
      <c r="M1162" s="85">
        <v>46178</v>
      </c>
      <c r="N1162" s="50" t="s">
        <v>619</v>
      </c>
      <c r="O1162" s="25"/>
      <c r="P1162" s="45">
        <v>5</v>
      </c>
      <c r="Q1162" s="26">
        <v>5</v>
      </c>
      <c r="R1162" s="32"/>
      <c r="S1162" s="33">
        <f t="shared" si="703"/>
        <v>10</v>
      </c>
      <c r="T1162" s="25"/>
      <c r="U1162" s="45">
        <v>5</v>
      </c>
      <c r="V1162" s="26"/>
      <c r="W1162" s="32"/>
      <c r="X1162" s="33">
        <f t="shared" si="704"/>
        <v>5</v>
      </c>
      <c r="Y1162" s="11">
        <f t="shared" si="690"/>
        <v>15</v>
      </c>
      <c r="Z1162" s="85">
        <v>46188</v>
      </c>
      <c r="AA1162" s="51"/>
    </row>
    <row r="1163" spans="1:27" x14ac:dyDescent="0.15">
      <c r="A1163" s="70" t="s">
        <v>544</v>
      </c>
      <c r="B1163" s="25"/>
      <c r="C1163" s="45"/>
      <c r="D1163" s="26"/>
      <c r="E1163" s="32"/>
      <c r="F1163" s="33">
        <f t="shared" si="708"/>
        <v>0</v>
      </c>
      <c r="G1163" s="25">
        <v>1</v>
      </c>
      <c r="H1163" s="45"/>
      <c r="I1163" s="26"/>
      <c r="J1163" s="32"/>
      <c r="K1163" s="33">
        <f t="shared" si="709"/>
        <v>1</v>
      </c>
      <c r="L1163" s="11">
        <f t="shared" si="696"/>
        <v>1</v>
      </c>
      <c r="M1163" s="85">
        <v>46182</v>
      </c>
      <c r="N1163" s="50" t="s">
        <v>620</v>
      </c>
      <c r="O1163" s="25"/>
      <c r="P1163" s="45">
        <v>1</v>
      </c>
      <c r="Q1163" s="26"/>
      <c r="R1163" s="32"/>
      <c r="S1163" s="33">
        <f t="shared" si="703"/>
        <v>1</v>
      </c>
      <c r="T1163" s="25">
        <v>1</v>
      </c>
      <c r="U1163" s="45">
        <v>4</v>
      </c>
      <c r="V1163" s="26"/>
      <c r="W1163" s="32"/>
      <c r="X1163" s="33">
        <f t="shared" si="704"/>
        <v>5</v>
      </c>
      <c r="Y1163" s="11">
        <f t="shared" si="690"/>
        <v>6</v>
      </c>
      <c r="Z1163" s="85">
        <v>46190</v>
      </c>
    </row>
    <row r="1164" spans="1:27" x14ac:dyDescent="0.15">
      <c r="A1164" s="70" t="s">
        <v>597</v>
      </c>
      <c r="B1164" s="25"/>
      <c r="C1164" s="45"/>
      <c r="D1164" s="26"/>
      <c r="E1164" s="32"/>
      <c r="F1164" s="33">
        <f t="shared" si="708"/>
        <v>0</v>
      </c>
      <c r="G1164" s="25"/>
      <c r="H1164" s="45">
        <v>1</v>
      </c>
      <c r="I1164" s="26"/>
      <c r="J1164" s="32"/>
      <c r="K1164" s="33">
        <f t="shared" si="709"/>
        <v>1</v>
      </c>
      <c r="L1164" s="11">
        <f t="shared" si="696"/>
        <v>1</v>
      </c>
      <c r="M1164" s="85">
        <v>46183</v>
      </c>
      <c r="N1164" s="208" t="s">
        <v>621</v>
      </c>
      <c r="O1164" s="164"/>
      <c r="P1164" s="165"/>
      <c r="Q1164" s="166">
        <v>2</v>
      </c>
      <c r="R1164" s="175"/>
      <c r="S1164" s="207">
        <f t="shared" si="703"/>
        <v>2</v>
      </c>
      <c r="T1164" s="164"/>
      <c r="U1164" s="165"/>
      <c r="V1164" s="166">
        <v>2</v>
      </c>
      <c r="W1164" s="175"/>
      <c r="X1164" s="207">
        <f t="shared" si="704"/>
        <v>2</v>
      </c>
      <c r="Y1164" s="179">
        <f t="shared" si="690"/>
        <v>4</v>
      </c>
      <c r="Z1164" s="209">
        <v>46196</v>
      </c>
    </row>
    <row r="1165" spans="1:27" x14ac:dyDescent="0.15">
      <c r="A1165" s="70" t="s">
        <v>30</v>
      </c>
      <c r="B1165" s="25"/>
      <c r="C1165" s="45">
        <v>2</v>
      </c>
      <c r="D1165" s="26"/>
      <c r="E1165" s="32"/>
      <c r="F1165" s="33">
        <f t="shared" si="708"/>
        <v>2</v>
      </c>
      <c r="G1165" s="25"/>
      <c r="H1165" s="45">
        <v>2</v>
      </c>
      <c r="I1165" s="26">
        <v>1</v>
      </c>
      <c r="J1165" s="32"/>
      <c r="K1165" s="33">
        <f t="shared" si="709"/>
        <v>3</v>
      </c>
      <c r="L1165" s="11">
        <f t="shared" si="696"/>
        <v>5</v>
      </c>
      <c r="M1165" s="115">
        <v>46181</v>
      </c>
      <c r="N1165" s="208" t="s">
        <v>622</v>
      </c>
      <c r="O1165" s="164">
        <v>2</v>
      </c>
      <c r="P1165" s="165"/>
      <c r="Q1165" s="166"/>
      <c r="R1165" s="175"/>
      <c r="S1165" s="207">
        <f t="shared" si="703"/>
        <v>2</v>
      </c>
      <c r="T1165" s="164">
        <v>1</v>
      </c>
      <c r="U1165" s="165"/>
      <c r="V1165" s="166"/>
      <c r="W1165" s="175"/>
      <c r="X1165" s="207">
        <f t="shared" si="704"/>
        <v>1</v>
      </c>
      <c r="Y1165" s="179">
        <f t="shared" si="690"/>
        <v>3</v>
      </c>
      <c r="Z1165" s="209">
        <v>46198</v>
      </c>
    </row>
    <row r="1166" spans="1:27" x14ac:dyDescent="0.15">
      <c r="A1166" s="70" t="s">
        <v>544</v>
      </c>
      <c r="B1166" s="25"/>
      <c r="C1166" s="45"/>
      <c r="D1166" s="26"/>
      <c r="E1166" s="32">
        <v>1</v>
      </c>
      <c r="F1166" s="33">
        <f t="shared" si="708"/>
        <v>1</v>
      </c>
      <c r="G1166" s="25"/>
      <c r="H1166" s="45"/>
      <c r="I1166" s="26"/>
      <c r="J1166" s="32"/>
      <c r="K1166" s="33">
        <f t="shared" si="709"/>
        <v>0</v>
      </c>
      <c r="L1166" s="11">
        <f t="shared" si="696"/>
        <v>1</v>
      </c>
      <c r="M1166" s="85">
        <v>46182</v>
      </c>
      <c r="N1166" s="50"/>
      <c r="O1166" s="25"/>
      <c r="P1166" s="45"/>
      <c r="Q1166" s="26"/>
      <c r="R1166" s="32"/>
      <c r="S1166" s="33">
        <f t="shared" si="703"/>
        <v>0</v>
      </c>
      <c r="T1166" s="25"/>
      <c r="U1166" s="45"/>
      <c r="V1166" s="26"/>
      <c r="W1166" s="32"/>
      <c r="X1166" s="33">
        <f t="shared" si="704"/>
        <v>0</v>
      </c>
      <c r="Y1166" s="11">
        <f t="shared" si="690"/>
        <v>0</v>
      </c>
    </row>
    <row r="1167" spans="1:27" x14ac:dyDescent="0.15">
      <c r="A1167" s="70" t="s">
        <v>597</v>
      </c>
      <c r="B1167" s="25"/>
      <c r="C1167" s="45">
        <v>1</v>
      </c>
      <c r="D1167" s="26"/>
      <c r="E1167" s="32"/>
      <c r="F1167" s="33">
        <f t="shared" si="708"/>
        <v>1</v>
      </c>
      <c r="G1167" s="25"/>
      <c r="H1167" s="45">
        <v>1</v>
      </c>
      <c r="I1167" s="26"/>
      <c r="J1167" s="32"/>
      <c r="K1167" s="33">
        <f t="shared" si="709"/>
        <v>1</v>
      </c>
      <c r="L1167" s="11">
        <f t="shared" si="696"/>
        <v>2</v>
      </c>
      <c r="M1167" s="85">
        <v>46185</v>
      </c>
      <c r="N1167" s="50"/>
      <c r="O1167" s="25"/>
      <c r="P1167" s="45"/>
      <c r="Q1167" s="26"/>
      <c r="R1167" s="32"/>
      <c r="S1167" s="33">
        <f t="shared" si="703"/>
        <v>0</v>
      </c>
      <c r="T1167" s="25"/>
      <c r="U1167" s="45"/>
      <c r="V1167" s="26"/>
      <c r="W1167" s="32"/>
      <c r="X1167" s="33">
        <f t="shared" si="704"/>
        <v>0</v>
      </c>
      <c r="Y1167" s="11">
        <f t="shared" si="690"/>
        <v>0</v>
      </c>
    </row>
    <row r="1168" spans="1:27" x14ac:dyDescent="0.15">
      <c r="A1168" s="70" t="s">
        <v>544</v>
      </c>
      <c r="B1168" s="25"/>
      <c r="C1168" s="45">
        <v>1</v>
      </c>
      <c r="D1168" s="26"/>
      <c r="E1168" s="32"/>
      <c r="F1168" s="33">
        <f t="shared" si="708"/>
        <v>1</v>
      </c>
      <c r="G1168" s="25"/>
      <c r="H1168" s="45">
        <v>1</v>
      </c>
      <c r="I1168" s="26"/>
      <c r="J1168" s="32"/>
      <c r="K1168" s="33">
        <f t="shared" si="709"/>
        <v>1</v>
      </c>
      <c r="L1168" s="11">
        <f t="shared" si="696"/>
        <v>2</v>
      </c>
      <c r="M1168" s="85">
        <v>46184</v>
      </c>
      <c r="N1168" s="50"/>
      <c r="O1168" s="25"/>
      <c r="P1168" s="45"/>
      <c r="Q1168" s="26"/>
      <c r="R1168" s="32"/>
      <c r="S1168" s="33">
        <f t="shared" si="703"/>
        <v>0</v>
      </c>
      <c r="T1168" s="25"/>
      <c r="U1168" s="45"/>
      <c r="V1168" s="26"/>
      <c r="W1168" s="32"/>
      <c r="X1168" s="33">
        <f t="shared" si="704"/>
        <v>0</v>
      </c>
      <c r="Y1168" s="11">
        <f t="shared" si="690"/>
        <v>0</v>
      </c>
    </row>
    <row r="1169" spans="1:25" x14ac:dyDescent="0.15">
      <c r="A1169" s="70" t="s">
        <v>30</v>
      </c>
      <c r="B1169" s="25"/>
      <c r="C1169" s="45"/>
      <c r="D1169" s="26">
        <v>1</v>
      </c>
      <c r="E1169" s="32"/>
      <c r="F1169" s="33">
        <f t="shared" si="708"/>
        <v>1</v>
      </c>
      <c r="G1169" s="25"/>
      <c r="H1169" s="45"/>
      <c r="I1169" s="26"/>
      <c r="J1169" s="32"/>
      <c r="K1169" s="33">
        <f t="shared" si="709"/>
        <v>0</v>
      </c>
      <c r="L1169" s="11">
        <f t="shared" si="696"/>
        <v>1</v>
      </c>
      <c r="M1169" s="115">
        <v>46184</v>
      </c>
      <c r="N1169" s="50"/>
      <c r="O1169" s="25"/>
      <c r="P1169" s="45"/>
      <c r="Q1169" s="26"/>
      <c r="R1169" s="32"/>
      <c r="S1169" s="33">
        <f t="shared" si="703"/>
        <v>0</v>
      </c>
      <c r="T1169" s="25"/>
      <c r="U1169" s="45"/>
      <c r="V1169" s="26"/>
      <c r="W1169" s="32"/>
      <c r="X1169" s="33">
        <f t="shared" si="704"/>
        <v>0</v>
      </c>
      <c r="Y1169" s="11">
        <f t="shared" si="690"/>
        <v>0</v>
      </c>
    </row>
    <row r="1170" spans="1:25" x14ac:dyDescent="0.15">
      <c r="A1170" s="70" t="s">
        <v>427</v>
      </c>
      <c r="B1170" s="25"/>
      <c r="C1170" s="45"/>
      <c r="D1170" s="26">
        <v>1</v>
      </c>
      <c r="E1170" s="32"/>
      <c r="F1170" s="33">
        <f t="shared" si="708"/>
        <v>1</v>
      </c>
      <c r="G1170" s="25"/>
      <c r="H1170" s="45"/>
      <c r="I1170" s="26"/>
      <c r="J1170" s="32"/>
      <c r="K1170" s="33">
        <f t="shared" si="709"/>
        <v>0</v>
      </c>
      <c r="L1170" s="11">
        <f t="shared" si="696"/>
        <v>1</v>
      </c>
      <c r="M1170" s="85">
        <v>46188</v>
      </c>
      <c r="N1170" s="50"/>
      <c r="O1170" s="25"/>
      <c r="P1170" s="45"/>
      <c r="Q1170" s="26"/>
      <c r="R1170" s="32"/>
      <c r="S1170" s="33">
        <f t="shared" si="703"/>
        <v>0</v>
      </c>
      <c r="T1170" s="25"/>
      <c r="U1170" s="45"/>
      <c r="V1170" s="26"/>
      <c r="W1170" s="32"/>
      <c r="X1170" s="33">
        <f t="shared" si="704"/>
        <v>0</v>
      </c>
      <c r="Y1170" s="11">
        <f t="shared" si="690"/>
        <v>0</v>
      </c>
    </row>
    <row r="1171" spans="1:25" x14ac:dyDescent="0.15">
      <c r="A1171" s="70" t="s">
        <v>597</v>
      </c>
      <c r="B1171" s="25"/>
      <c r="C1171" s="45"/>
      <c r="D1171" s="26">
        <v>1</v>
      </c>
      <c r="E1171" s="32"/>
      <c r="F1171" s="33">
        <f t="shared" si="708"/>
        <v>1</v>
      </c>
      <c r="G1171" s="25"/>
      <c r="H1171" s="45"/>
      <c r="I1171" s="26">
        <v>1</v>
      </c>
      <c r="J1171" s="32"/>
      <c r="K1171" s="33">
        <f t="shared" si="709"/>
        <v>1</v>
      </c>
      <c r="L1171" s="11">
        <f t="shared" si="696"/>
        <v>2</v>
      </c>
      <c r="M1171" s="85">
        <v>46188</v>
      </c>
      <c r="N1171" s="50"/>
      <c r="O1171" s="25"/>
      <c r="P1171" s="45"/>
      <c r="Q1171" s="26"/>
      <c r="R1171" s="32"/>
      <c r="S1171" s="33">
        <f t="shared" si="703"/>
        <v>0</v>
      </c>
      <c r="T1171" s="25"/>
      <c r="U1171" s="45"/>
      <c r="V1171" s="26"/>
      <c r="W1171" s="32"/>
      <c r="X1171" s="33">
        <f t="shared" si="704"/>
        <v>0</v>
      </c>
      <c r="Y1171" s="11">
        <f t="shared" si="690"/>
        <v>0</v>
      </c>
    </row>
    <row r="1172" spans="1:25" x14ac:dyDescent="0.15">
      <c r="A1172" s="70" t="s">
        <v>618</v>
      </c>
      <c r="B1172" s="25"/>
      <c r="C1172" s="45">
        <v>-5</v>
      </c>
      <c r="D1172" s="26">
        <v>-5</v>
      </c>
      <c r="E1172" s="32"/>
      <c r="F1172" s="33">
        <f t="shared" si="708"/>
        <v>-10</v>
      </c>
      <c r="G1172" s="25"/>
      <c r="H1172" s="45">
        <v>-5</v>
      </c>
      <c r="I1172" s="26"/>
      <c r="J1172" s="32"/>
      <c r="K1172" s="33">
        <f t="shared" si="709"/>
        <v>-5</v>
      </c>
      <c r="L1172" s="11">
        <f t="shared" si="696"/>
        <v>-15</v>
      </c>
      <c r="M1172" s="85">
        <v>46188</v>
      </c>
      <c r="N1172" s="50"/>
      <c r="O1172" s="25"/>
      <c r="P1172" s="45"/>
      <c r="Q1172" s="26"/>
      <c r="R1172" s="32"/>
      <c r="S1172" s="33">
        <f t="shared" ref="S1172:S1174" si="710">SUM(O1172:R1172)</f>
        <v>0</v>
      </c>
      <c r="T1172" s="25"/>
      <c r="U1172" s="45"/>
      <c r="V1172" s="26"/>
      <c r="W1172" s="32"/>
      <c r="X1172" s="33">
        <f t="shared" ref="X1172:X1174" si="711">SUM(T1172:W1172)</f>
        <v>0</v>
      </c>
      <c r="Y1172" s="11">
        <f t="shared" ref="Y1172:Y1174" si="712">S1172+X1172</f>
        <v>0</v>
      </c>
    </row>
    <row r="1173" spans="1:25" x14ac:dyDescent="0.15">
      <c r="A1173" s="70" t="s">
        <v>597</v>
      </c>
      <c r="B1173" s="25">
        <v>1</v>
      </c>
      <c r="C1173" s="45">
        <v>1</v>
      </c>
      <c r="D1173" s="26"/>
      <c r="E1173" s="32"/>
      <c r="F1173" s="33">
        <f t="shared" si="708"/>
        <v>2</v>
      </c>
      <c r="G1173" s="25">
        <v>1</v>
      </c>
      <c r="H1173" s="45">
        <v>1</v>
      </c>
      <c r="I1173" s="26"/>
      <c r="J1173" s="32"/>
      <c r="K1173" s="33">
        <f t="shared" si="709"/>
        <v>2</v>
      </c>
      <c r="L1173" s="93">
        <f t="shared" si="696"/>
        <v>4</v>
      </c>
      <c r="M1173" s="85">
        <v>46190</v>
      </c>
      <c r="N1173" s="50"/>
      <c r="O1173" s="25"/>
      <c r="P1173" s="45"/>
      <c r="Q1173" s="26"/>
      <c r="R1173" s="32"/>
      <c r="S1173" s="33">
        <f t="shared" si="710"/>
        <v>0</v>
      </c>
      <c r="T1173" s="25"/>
      <c r="U1173" s="45"/>
      <c r="V1173" s="26"/>
      <c r="W1173" s="32"/>
      <c r="X1173" s="33">
        <f t="shared" si="711"/>
        <v>0</v>
      </c>
      <c r="Y1173" s="11">
        <f t="shared" si="712"/>
        <v>0</v>
      </c>
    </row>
    <row r="1174" spans="1:25" ht="14.25" thickBot="1" x14ac:dyDescent="0.2">
      <c r="A1174" s="108" t="s">
        <v>30</v>
      </c>
      <c r="B1174" s="55"/>
      <c r="C1174" s="56"/>
      <c r="D1174" s="57">
        <v>1</v>
      </c>
      <c r="E1174" s="58"/>
      <c r="F1174" s="109">
        <f t="shared" si="708"/>
        <v>1</v>
      </c>
      <c r="G1174" s="55"/>
      <c r="H1174" s="56"/>
      <c r="I1174" s="57"/>
      <c r="J1174" s="58"/>
      <c r="K1174" s="109">
        <f t="shared" si="709"/>
        <v>0</v>
      </c>
      <c r="L1174" s="107">
        <f t="shared" si="696"/>
        <v>1</v>
      </c>
      <c r="M1174" s="115">
        <v>46188</v>
      </c>
      <c r="N1174" s="74"/>
      <c r="O1174" s="55"/>
      <c r="P1174" s="56"/>
      <c r="Q1174" s="57"/>
      <c r="R1174" s="58"/>
      <c r="S1174" s="109">
        <f t="shared" si="710"/>
        <v>0</v>
      </c>
      <c r="T1174" s="55"/>
      <c r="U1174" s="56"/>
      <c r="V1174" s="57"/>
      <c r="W1174" s="58"/>
      <c r="X1174" s="109">
        <f t="shared" si="711"/>
        <v>0</v>
      </c>
      <c r="Y1174" s="107">
        <f t="shared" si="712"/>
        <v>0</v>
      </c>
    </row>
    <row r="1175" spans="1:25" ht="14.25" thickBot="1" x14ac:dyDescent="0.2">
      <c r="A1175" s="72" t="s">
        <v>10</v>
      </c>
      <c r="B1175" s="36">
        <f>SUM(B1150:B1174)</f>
        <v>5</v>
      </c>
      <c r="C1175" s="46">
        <f>SUM(C1150:C1174)</f>
        <v>6</v>
      </c>
      <c r="D1175" s="37">
        <f>SUM(D1150:D1174)</f>
        <v>11</v>
      </c>
      <c r="E1175" s="38">
        <f>SUM(E1150:E1174)</f>
        <v>13</v>
      </c>
      <c r="F1175" s="71">
        <f>SUM(B1175:E1175)</f>
        <v>35</v>
      </c>
      <c r="G1175" s="36">
        <f>SUM(G1150:G1174)</f>
        <v>10</v>
      </c>
      <c r="H1175" s="46">
        <f>SUM(H1150:H1174)</f>
        <v>8</v>
      </c>
      <c r="I1175" s="37">
        <f>SUM(I1150:I1174)</f>
        <v>17</v>
      </c>
      <c r="J1175" s="38">
        <f>SUM(J1150:J1174)</f>
        <v>13</v>
      </c>
      <c r="K1175" s="71">
        <f>SUM(G1175:J1175)</f>
        <v>48</v>
      </c>
      <c r="L1175" s="75">
        <f t="shared" si="696"/>
        <v>83</v>
      </c>
      <c r="N1175" s="72" t="s">
        <v>10</v>
      </c>
      <c r="O1175" s="36">
        <f>SUM(O1150:O1174)</f>
        <v>13</v>
      </c>
      <c r="P1175" s="46">
        <f>SUM(P1150:P1174)</f>
        <v>18</v>
      </c>
      <c r="Q1175" s="37">
        <f>SUM(Q1150:Q1174)</f>
        <v>31</v>
      </c>
      <c r="R1175" s="38">
        <f>SUM(R1150:R1174)</f>
        <v>28</v>
      </c>
      <c r="S1175" s="71">
        <f t="shared" si="703"/>
        <v>90</v>
      </c>
      <c r="T1175" s="36">
        <f>SUM(T1150:T1174)</f>
        <v>16</v>
      </c>
      <c r="U1175" s="46">
        <f>SUM(U1150:U1174)</f>
        <v>24</v>
      </c>
      <c r="V1175" s="37">
        <f>SUM(V1150:V1174)</f>
        <v>24</v>
      </c>
      <c r="W1175" s="38">
        <f>SUM(W1150:W1174)</f>
        <v>17</v>
      </c>
      <c r="X1175" s="71">
        <f t="shared" si="704"/>
        <v>81</v>
      </c>
      <c r="Y1175" s="75">
        <f t="shared" si="690"/>
        <v>171</v>
      </c>
    </row>
    <row r="1176" spans="1:25" ht="14.25" thickBot="1" x14ac:dyDescent="0.2">
      <c r="A1176" s="21" t="s">
        <v>11</v>
      </c>
      <c r="B1176" s="39">
        <f t="shared" ref="B1176:K1176" si="713">B1149-B1175</f>
        <v>11</v>
      </c>
      <c r="C1176" s="47">
        <f t="shared" si="713"/>
        <v>9</v>
      </c>
      <c r="D1176" s="40">
        <f t="shared" si="713"/>
        <v>11</v>
      </c>
      <c r="E1176" s="41">
        <f t="shared" si="713"/>
        <v>10</v>
      </c>
      <c r="F1176" s="54">
        <f t="shared" si="713"/>
        <v>41</v>
      </c>
      <c r="G1176" s="39">
        <f t="shared" si="713"/>
        <v>7</v>
      </c>
      <c r="H1176" s="47">
        <f t="shared" si="713"/>
        <v>8</v>
      </c>
      <c r="I1176" s="40">
        <f t="shared" si="713"/>
        <v>9</v>
      </c>
      <c r="J1176" s="41">
        <f t="shared" si="713"/>
        <v>8</v>
      </c>
      <c r="K1176" s="54">
        <f t="shared" si="713"/>
        <v>32</v>
      </c>
      <c r="L1176" s="20">
        <f t="shared" si="696"/>
        <v>73</v>
      </c>
      <c r="N1176" s="16" t="s">
        <v>11</v>
      </c>
      <c r="O1176" s="39">
        <f t="shared" ref="O1176:X1176" si="714">O1149-O1175</f>
        <v>356</v>
      </c>
      <c r="P1176" s="47">
        <f t="shared" si="714"/>
        <v>505</v>
      </c>
      <c r="Q1176" s="40">
        <f t="shared" si="714"/>
        <v>352</v>
      </c>
      <c r="R1176" s="41">
        <f t="shared" si="714"/>
        <v>314</v>
      </c>
      <c r="S1176" s="54">
        <f t="shared" si="714"/>
        <v>1527</v>
      </c>
      <c r="T1176" s="39">
        <f t="shared" si="714"/>
        <v>330</v>
      </c>
      <c r="U1176" s="47">
        <f t="shared" si="714"/>
        <v>402</v>
      </c>
      <c r="V1176" s="40">
        <f t="shared" si="714"/>
        <v>250</v>
      </c>
      <c r="W1176" s="41">
        <f t="shared" si="714"/>
        <v>259</v>
      </c>
      <c r="X1176" s="54">
        <f t="shared" si="714"/>
        <v>1241</v>
      </c>
      <c r="Y1176" s="20">
        <f t="shared" si="690"/>
        <v>2768</v>
      </c>
    </row>
    <row r="1179" spans="1:25" ht="19.5" thickBot="1" x14ac:dyDescent="0.25">
      <c r="A1179" s="2" t="s">
        <v>26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27</v>
      </c>
      <c r="O1179" s="2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ht="14.25" thickBot="1" x14ac:dyDescent="0.2">
      <c r="A1180" s="5" t="s">
        <v>0</v>
      </c>
      <c r="B1180" s="228" t="s">
        <v>19</v>
      </c>
      <c r="C1180" s="229"/>
      <c r="D1180" s="229"/>
      <c r="E1180" s="229"/>
      <c r="F1180" s="230"/>
      <c r="G1180" s="231" t="s">
        <v>18</v>
      </c>
      <c r="H1180" s="232"/>
      <c r="I1180" s="232"/>
      <c r="J1180" s="232"/>
      <c r="K1180" s="233"/>
      <c r="L1180" s="73" t="s">
        <v>1</v>
      </c>
      <c r="N1180" s="5" t="s">
        <v>0</v>
      </c>
      <c r="O1180" s="228" t="s">
        <v>19</v>
      </c>
      <c r="P1180" s="229"/>
      <c r="Q1180" s="229"/>
      <c r="R1180" s="229"/>
      <c r="S1180" s="230"/>
      <c r="T1180" s="231" t="s">
        <v>18</v>
      </c>
      <c r="U1180" s="232"/>
      <c r="V1180" s="232"/>
      <c r="W1180" s="232"/>
      <c r="X1180" s="233"/>
      <c r="Y1180" s="73" t="s">
        <v>1</v>
      </c>
    </row>
    <row r="1181" spans="1:25" ht="14.25" thickBot="1" x14ac:dyDescent="0.2">
      <c r="A1181" s="5" t="s">
        <v>2</v>
      </c>
      <c r="B1181" s="3" t="s">
        <v>12</v>
      </c>
      <c r="C1181" s="42" t="s">
        <v>13</v>
      </c>
      <c r="D1181" s="4" t="s">
        <v>14</v>
      </c>
      <c r="E1181" s="22" t="s">
        <v>15</v>
      </c>
      <c r="F1181" s="30" t="s">
        <v>3</v>
      </c>
      <c r="G1181" s="3" t="s">
        <v>12</v>
      </c>
      <c r="H1181" s="42" t="s">
        <v>13</v>
      </c>
      <c r="I1181" s="4" t="s">
        <v>14</v>
      </c>
      <c r="J1181" s="22" t="s">
        <v>15</v>
      </c>
      <c r="K1181" s="30" t="s">
        <v>3</v>
      </c>
      <c r="L1181" s="74"/>
      <c r="N1181" s="5" t="s">
        <v>2</v>
      </c>
      <c r="O1181" s="64" t="s">
        <v>12</v>
      </c>
      <c r="P1181" s="65" t="s">
        <v>13</v>
      </c>
      <c r="Q1181" s="66" t="s">
        <v>14</v>
      </c>
      <c r="R1181" s="67" t="s">
        <v>15</v>
      </c>
      <c r="S1181" s="30" t="s">
        <v>3</v>
      </c>
      <c r="T1181" s="3" t="s">
        <v>12</v>
      </c>
      <c r="U1181" s="42" t="s">
        <v>13</v>
      </c>
      <c r="V1181" s="4" t="s">
        <v>14</v>
      </c>
      <c r="W1181" s="22" t="s">
        <v>15</v>
      </c>
      <c r="X1181" s="30" t="s">
        <v>3</v>
      </c>
      <c r="Y1181" s="74"/>
    </row>
    <row r="1182" spans="1:25" ht="14.25" thickBot="1" x14ac:dyDescent="0.2">
      <c r="A1182" s="21" t="s">
        <v>16</v>
      </c>
      <c r="B1182" s="39">
        <f>B1176</f>
        <v>11</v>
      </c>
      <c r="C1182" s="40">
        <f>C1176</f>
        <v>9</v>
      </c>
      <c r="D1182" s="40">
        <f>D1176</f>
        <v>11</v>
      </c>
      <c r="E1182" s="41">
        <f>E1176</f>
        <v>10</v>
      </c>
      <c r="F1182" s="122">
        <f>SUM(B1182:E1182)</f>
        <v>41</v>
      </c>
      <c r="G1182" s="39">
        <f>G1176</f>
        <v>7</v>
      </c>
      <c r="H1182" s="40">
        <f>H1176</f>
        <v>8</v>
      </c>
      <c r="I1182" s="40">
        <f>I1176</f>
        <v>9</v>
      </c>
      <c r="J1182" s="41">
        <f>J1176</f>
        <v>8</v>
      </c>
      <c r="K1182" s="123">
        <f>SUM(G1182:J1182)</f>
        <v>32</v>
      </c>
      <c r="L1182" s="215">
        <f>F1182+K1182</f>
        <v>73</v>
      </c>
      <c r="N1182" s="21" t="s">
        <v>16</v>
      </c>
      <c r="O1182" s="39">
        <f>O1176</f>
        <v>356</v>
      </c>
      <c r="P1182" s="40">
        <f>P1176</f>
        <v>505</v>
      </c>
      <c r="Q1182" s="40">
        <f t="shared" ref="Q1182:R1182" si="715">Q1176</f>
        <v>352</v>
      </c>
      <c r="R1182" s="88">
        <f t="shared" si="715"/>
        <v>314</v>
      </c>
      <c r="S1182" s="123">
        <f>SUM(O1182:R1182)</f>
        <v>1527</v>
      </c>
      <c r="T1182" s="39">
        <f>T1176</f>
        <v>330</v>
      </c>
      <c r="U1182" s="40">
        <f>U1176</f>
        <v>402</v>
      </c>
      <c r="V1182" s="40">
        <f>V1176</f>
        <v>250</v>
      </c>
      <c r="W1182" s="41">
        <f>W1176</f>
        <v>259</v>
      </c>
      <c r="X1182" s="123">
        <f>SUM(T1182:W1182)</f>
        <v>1241</v>
      </c>
      <c r="Y1182" s="20">
        <f t="shared" ref="Y1182:Y1214" si="716">S1182+X1182</f>
        <v>2768</v>
      </c>
    </row>
    <row r="1183" spans="1:25" x14ac:dyDescent="0.15">
      <c r="A1183" s="70" t="s">
        <v>163</v>
      </c>
      <c r="B1183" s="125"/>
      <c r="C1183" s="126"/>
      <c r="D1183" s="127"/>
      <c r="E1183" s="128">
        <v>1</v>
      </c>
      <c r="F1183" s="129">
        <f t="shared" ref="F1183:F1185" si="717">SUM(B1183:E1183)</f>
        <v>1</v>
      </c>
      <c r="G1183" s="126"/>
      <c r="H1183" s="126"/>
      <c r="I1183" s="127">
        <v>1</v>
      </c>
      <c r="J1183" s="128">
        <v>1</v>
      </c>
      <c r="K1183" s="214">
        <f t="shared" ref="K1183:K1185" si="718">SUM(G1183:J1183)</f>
        <v>2</v>
      </c>
      <c r="L1183" s="217">
        <f t="shared" ref="L1183:L1185" si="719">F1183+K1183</f>
        <v>3</v>
      </c>
      <c r="M1183" s="115">
        <v>46190</v>
      </c>
      <c r="N1183" s="13" t="s">
        <v>17</v>
      </c>
      <c r="O1183" s="25"/>
      <c r="P1183" s="45"/>
      <c r="Q1183" s="26"/>
      <c r="R1183" s="32"/>
      <c r="S1183" s="68">
        <f>SUM(O1183:R1183)</f>
        <v>0</v>
      </c>
      <c r="T1183" s="45"/>
      <c r="U1183" s="45"/>
      <c r="V1183" s="26"/>
      <c r="W1183" s="48"/>
      <c r="X1183" s="9">
        <f>SUM(T1183:W1183)</f>
        <v>0</v>
      </c>
      <c r="Y1183" s="11">
        <f t="shared" si="716"/>
        <v>0</v>
      </c>
    </row>
    <row r="1184" spans="1:25" x14ac:dyDescent="0.15">
      <c r="A1184" s="70" t="s">
        <v>6</v>
      </c>
      <c r="B1184" s="125"/>
      <c r="C1184" s="126"/>
      <c r="D1184" s="127"/>
      <c r="E1184" s="128"/>
      <c r="F1184" s="129">
        <f t="shared" si="717"/>
        <v>0</v>
      </c>
      <c r="G1184" s="126"/>
      <c r="H1184" s="126"/>
      <c r="I1184" s="127"/>
      <c r="J1184" s="128"/>
      <c r="K1184" s="214">
        <f t="shared" si="718"/>
        <v>0</v>
      </c>
      <c r="L1184" s="93">
        <f t="shared" si="719"/>
        <v>0</v>
      </c>
      <c r="N1184" s="13" t="s">
        <v>5</v>
      </c>
      <c r="O1184" s="25"/>
      <c r="P1184" s="45"/>
      <c r="Q1184" s="26"/>
      <c r="R1184" s="32"/>
      <c r="S1184" s="68">
        <f>SUM(O1184:R1184)</f>
        <v>0</v>
      </c>
      <c r="T1184" s="45"/>
      <c r="U1184" s="45"/>
      <c r="V1184" s="26"/>
      <c r="W1184" s="48"/>
      <c r="X1184" s="9">
        <f>SUM(T1184:W1184)</f>
        <v>0</v>
      </c>
      <c r="Y1184" s="11">
        <f t="shared" si="716"/>
        <v>0</v>
      </c>
    </row>
    <row r="1185" spans="1:25" x14ac:dyDescent="0.15">
      <c r="A1185" s="70" t="s">
        <v>7</v>
      </c>
      <c r="B1185" s="125"/>
      <c r="C1185" s="126"/>
      <c r="D1185" s="127"/>
      <c r="E1185" s="128"/>
      <c r="F1185" s="129">
        <f t="shared" si="717"/>
        <v>0</v>
      </c>
      <c r="G1185" s="126"/>
      <c r="H1185" s="126"/>
      <c r="I1185" s="127"/>
      <c r="J1185" s="128"/>
      <c r="K1185" s="214">
        <f t="shared" si="718"/>
        <v>0</v>
      </c>
      <c r="L1185" s="93">
        <f t="shared" si="719"/>
        <v>0</v>
      </c>
      <c r="N1185" s="13" t="s">
        <v>6</v>
      </c>
      <c r="O1185" s="25"/>
      <c r="P1185" s="45"/>
      <c r="Q1185" s="26"/>
      <c r="R1185" s="32"/>
      <c r="S1185" s="68">
        <f>SUM(O1185:R1185)</f>
        <v>0</v>
      </c>
      <c r="T1185" s="45"/>
      <c r="U1185" s="45"/>
      <c r="V1185" s="26"/>
      <c r="W1185" s="48"/>
      <c r="X1185" s="9">
        <f>SUM(T1185:W1185)</f>
        <v>0</v>
      </c>
      <c r="Y1185" s="11">
        <f t="shared" ref="Y1185" si="720">S1185+X1185</f>
        <v>0</v>
      </c>
    </row>
    <row r="1186" spans="1:25" ht="14.25" thickBot="1" x14ac:dyDescent="0.2">
      <c r="A1186" s="70" t="s">
        <v>8</v>
      </c>
      <c r="B1186" s="125"/>
      <c r="C1186" s="126"/>
      <c r="D1186" s="127"/>
      <c r="E1186" s="128"/>
      <c r="F1186" s="129">
        <f t="shared" ref="F1186" si="721">SUM(B1186:E1186)</f>
        <v>0</v>
      </c>
      <c r="G1186" s="126"/>
      <c r="H1186" s="126"/>
      <c r="I1186" s="127"/>
      <c r="J1186" s="128"/>
      <c r="K1186" s="214">
        <f t="shared" ref="K1186" si="722">SUM(G1186:J1186)</f>
        <v>0</v>
      </c>
      <c r="L1186" s="107">
        <f t="shared" ref="L1186:L1214" si="723">F1186+K1186</f>
        <v>0</v>
      </c>
      <c r="N1186" s="13" t="s">
        <v>7</v>
      </c>
      <c r="O1186" s="55"/>
      <c r="P1186" s="56"/>
      <c r="Q1186" s="57"/>
      <c r="R1186" s="58"/>
      <c r="S1186" s="69">
        <f>SUM(O1186:R1186)</f>
        <v>0</v>
      </c>
      <c r="T1186" s="45"/>
      <c r="U1186" s="45"/>
      <c r="V1186" s="26"/>
      <c r="W1186" s="48"/>
      <c r="X1186" s="10">
        <f>SUM(T1186:W1186)</f>
        <v>0</v>
      </c>
      <c r="Y1186" s="14">
        <f t="shared" si="716"/>
        <v>0</v>
      </c>
    </row>
    <row r="1187" spans="1:25" ht="14.25" thickBot="1" x14ac:dyDescent="0.2">
      <c r="A1187" s="21" t="s">
        <v>9</v>
      </c>
      <c r="B1187" s="130">
        <f t="shared" ref="B1187:K1187" si="724">SUM(B1182:B1186)</f>
        <v>11</v>
      </c>
      <c r="C1187" s="131">
        <f t="shared" si="724"/>
        <v>9</v>
      </c>
      <c r="D1187" s="132">
        <f t="shared" si="724"/>
        <v>11</v>
      </c>
      <c r="E1187" s="133">
        <f t="shared" si="724"/>
        <v>11</v>
      </c>
      <c r="F1187" s="123">
        <f t="shared" si="724"/>
        <v>42</v>
      </c>
      <c r="G1187" s="130">
        <f t="shared" si="724"/>
        <v>7</v>
      </c>
      <c r="H1187" s="131">
        <f t="shared" si="724"/>
        <v>8</v>
      </c>
      <c r="I1187" s="132">
        <f t="shared" si="724"/>
        <v>10</v>
      </c>
      <c r="J1187" s="133">
        <f t="shared" si="724"/>
        <v>9</v>
      </c>
      <c r="K1187" s="123">
        <f t="shared" si="724"/>
        <v>34</v>
      </c>
      <c r="L1187" s="216">
        <f t="shared" si="723"/>
        <v>76</v>
      </c>
      <c r="N1187" s="16" t="s">
        <v>9</v>
      </c>
      <c r="O1187" s="39">
        <f t="shared" ref="O1187:X1187" si="725">SUM(O1182:O1186)</f>
        <v>356</v>
      </c>
      <c r="P1187" s="47">
        <f t="shared" si="725"/>
        <v>505</v>
      </c>
      <c r="Q1187" s="40">
        <f t="shared" si="725"/>
        <v>352</v>
      </c>
      <c r="R1187" s="88">
        <f t="shared" si="725"/>
        <v>314</v>
      </c>
      <c r="S1187" s="89">
        <f t="shared" si="725"/>
        <v>1527</v>
      </c>
      <c r="T1187" s="39">
        <f t="shared" si="725"/>
        <v>330</v>
      </c>
      <c r="U1187" s="47">
        <f t="shared" si="725"/>
        <v>402</v>
      </c>
      <c r="V1187" s="40">
        <f t="shared" si="725"/>
        <v>250</v>
      </c>
      <c r="W1187" s="88">
        <f t="shared" si="725"/>
        <v>259</v>
      </c>
      <c r="X1187" s="89">
        <f t="shared" si="725"/>
        <v>1241</v>
      </c>
      <c r="Y1187" s="49">
        <f t="shared" si="716"/>
        <v>2768</v>
      </c>
    </row>
    <row r="1188" spans="1:25" x14ac:dyDescent="0.15">
      <c r="A1188" s="70" t="s">
        <v>427</v>
      </c>
      <c r="B1188" s="25"/>
      <c r="C1188" s="45"/>
      <c r="D1188" s="26">
        <v>2</v>
      </c>
      <c r="E1188" s="32"/>
      <c r="F1188" s="33">
        <f t="shared" ref="F1188:F1199" si="726">SUM(B1188:E1188)</f>
        <v>2</v>
      </c>
      <c r="G1188" s="25"/>
      <c r="H1188" s="45"/>
      <c r="I1188" s="26">
        <v>1</v>
      </c>
      <c r="J1188" s="32">
        <v>1</v>
      </c>
      <c r="K1188" s="33">
        <f t="shared" ref="K1188:K1199" si="727">SUM(G1188:J1188)</f>
        <v>2</v>
      </c>
      <c r="L1188" s="11">
        <f t="shared" ref="L1188:L1199" si="728">F1188+K1188</f>
        <v>4</v>
      </c>
      <c r="M1188" s="85">
        <v>46191</v>
      </c>
      <c r="N1188" s="50"/>
      <c r="O1188" s="25"/>
      <c r="P1188" s="45"/>
      <c r="Q1188" s="26"/>
      <c r="R1188" s="32"/>
      <c r="S1188" s="33">
        <f t="shared" ref="S1188:S1196" si="729">SUM(O1188:R1188)</f>
        <v>0</v>
      </c>
      <c r="T1188" s="25"/>
      <c r="U1188" s="45"/>
      <c r="V1188" s="26"/>
      <c r="W1188" s="32"/>
      <c r="X1188" s="33">
        <f t="shared" ref="X1188:X1196" si="730">SUM(T1188:W1188)</f>
        <v>0</v>
      </c>
      <c r="Y1188" s="11">
        <f t="shared" ref="Y1188:Y1196" si="731">S1188+X1188</f>
        <v>0</v>
      </c>
    </row>
    <row r="1189" spans="1:25" x14ac:dyDescent="0.15">
      <c r="A1189" s="70" t="s">
        <v>427</v>
      </c>
      <c r="B1189" s="25"/>
      <c r="C1189" s="45">
        <v>2</v>
      </c>
      <c r="D1189" s="26"/>
      <c r="E1189" s="32"/>
      <c r="F1189" s="33">
        <f t="shared" si="726"/>
        <v>2</v>
      </c>
      <c r="G1189" s="25"/>
      <c r="H1189" s="45"/>
      <c r="I1189" s="26">
        <v>1</v>
      </c>
      <c r="J1189" s="32">
        <v>1</v>
      </c>
      <c r="K1189" s="33">
        <f t="shared" si="727"/>
        <v>2</v>
      </c>
      <c r="L1189" s="11">
        <f t="shared" si="728"/>
        <v>4</v>
      </c>
      <c r="M1189" s="85">
        <v>46192</v>
      </c>
      <c r="N1189" s="50"/>
      <c r="O1189" s="25"/>
      <c r="P1189" s="45"/>
      <c r="Q1189" s="26"/>
      <c r="R1189" s="32"/>
      <c r="S1189" s="33">
        <f t="shared" si="729"/>
        <v>0</v>
      </c>
      <c r="T1189" s="25"/>
      <c r="U1189" s="45"/>
      <c r="V1189" s="26"/>
      <c r="W1189" s="32"/>
      <c r="X1189" s="33">
        <f t="shared" si="730"/>
        <v>0</v>
      </c>
      <c r="Y1189" s="11">
        <f t="shared" si="731"/>
        <v>0</v>
      </c>
    </row>
    <row r="1190" spans="1:25" x14ac:dyDescent="0.15">
      <c r="A1190" s="70" t="s">
        <v>597</v>
      </c>
      <c r="B1190" s="25">
        <v>1</v>
      </c>
      <c r="C1190" s="45">
        <v>1</v>
      </c>
      <c r="D1190" s="26"/>
      <c r="E1190" s="32">
        <v>1</v>
      </c>
      <c r="F1190" s="33">
        <f t="shared" si="726"/>
        <v>3</v>
      </c>
      <c r="G1190" s="25">
        <v>1</v>
      </c>
      <c r="H1190" s="45">
        <v>1</v>
      </c>
      <c r="I1190" s="26"/>
      <c r="J1190" s="32">
        <v>1</v>
      </c>
      <c r="K1190" s="33">
        <f t="shared" si="727"/>
        <v>3</v>
      </c>
      <c r="L1190" s="11">
        <f t="shared" si="728"/>
        <v>6</v>
      </c>
      <c r="M1190" s="85">
        <v>46192</v>
      </c>
      <c r="N1190" s="50"/>
      <c r="O1190" s="25"/>
      <c r="P1190" s="45"/>
      <c r="Q1190" s="26"/>
      <c r="R1190" s="32"/>
      <c r="S1190" s="33">
        <f t="shared" si="729"/>
        <v>0</v>
      </c>
      <c r="T1190" s="25"/>
      <c r="U1190" s="45"/>
      <c r="V1190" s="26"/>
      <c r="W1190" s="32"/>
      <c r="X1190" s="33">
        <f t="shared" si="730"/>
        <v>0</v>
      </c>
      <c r="Y1190" s="11">
        <f t="shared" si="731"/>
        <v>0</v>
      </c>
    </row>
    <row r="1191" spans="1:25" x14ac:dyDescent="0.15">
      <c r="A1191" s="227" t="s">
        <v>427</v>
      </c>
      <c r="B1191" s="164"/>
      <c r="C1191" s="165"/>
      <c r="D1191" s="166">
        <v>1</v>
      </c>
      <c r="E1191" s="175"/>
      <c r="F1191" s="207">
        <f t="shared" si="726"/>
        <v>1</v>
      </c>
      <c r="G1191" s="164">
        <v>1</v>
      </c>
      <c r="H1191" s="165"/>
      <c r="I1191" s="166"/>
      <c r="J1191" s="175"/>
      <c r="K1191" s="207">
        <f t="shared" si="727"/>
        <v>1</v>
      </c>
      <c r="L1191" s="179">
        <f t="shared" si="728"/>
        <v>2</v>
      </c>
      <c r="M1191" s="209">
        <v>46192</v>
      </c>
      <c r="N1191" s="50"/>
      <c r="O1191" s="25"/>
      <c r="P1191" s="45"/>
      <c r="Q1191" s="26"/>
      <c r="R1191" s="32"/>
      <c r="S1191" s="33">
        <f t="shared" si="729"/>
        <v>0</v>
      </c>
      <c r="T1191" s="25"/>
      <c r="U1191" s="45"/>
      <c r="V1191" s="26"/>
      <c r="W1191" s="32"/>
      <c r="X1191" s="33">
        <f t="shared" si="730"/>
        <v>0</v>
      </c>
      <c r="Y1191" s="11">
        <f t="shared" si="731"/>
        <v>0</v>
      </c>
    </row>
    <row r="1192" spans="1:25" x14ac:dyDescent="0.15">
      <c r="A1192" s="227" t="s">
        <v>597</v>
      </c>
      <c r="B1192" s="164"/>
      <c r="C1192" s="165"/>
      <c r="D1192" s="166"/>
      <c r="E1192" s="175">
        <v>1</v>
      </c>
      <c r="F1192" s="207">
        <f t="shared" si="726"/>
        <v>1</v>
      </c>
      <c r="G1192" s="164"/>
      <c r="H1192" s="165"/>
      <c r="I1192" s="166"/>
      <c r="J1192" s="175">
        <v>1</v>
      </c>
      <c r="K1192" s="207">
        <f t="shared" si="727"/>
        <v>1</v>
      </c>
      <c r="L1192" s="179">
        <f t="shared" si="728"/>
        <v>2</v>
      </c>
      <c r="M1192" s="209">
        <v>46192</v>
      </c>
      <c r="N1192" s="50"/>
      <c r="O1192" s="25"/>
      <c r="P1192" s="45"/>
      <c r="Q1192" s="26"/>
      <c r="R1192" s="32"/>
      <c r="S1192" s="33">
        <f t="shared" si="729"/>
        <v>0</v>
      </c>
      <c r="T1192" s="25"/>
      <c r="U1192" s="45"/>
      <c r="V1192" s="26"/>
      <c r="W1192" s="32"/>
      <c r="X1192" s="33">
        <f t="shared" si="730"/>
        <v>0</v>
      </c>
      <c r="Y1192" s="11">
        <f t="shared" si="731"/>
        <v>0</v>
      </c>
    </row>
    <row r="1193" spans="1:25" x14ac:dyDescent="0.15">
      <c r="A1193" s="70" t="s">
        <v>599</v>
      </c>
      <c r="B1193" s="25"/>
      <c r="C1193" s="45">
        <v>1</v>
      </c>
      <c r="D1193" s="26"/>
      <c r="E1193" s="32"/>
      <c r="F1193" s="33">
        <f t="shared" si="726"/>
        <v>1</v>
      </c>
      <c r="G1193" s="25"/>
      <c r="H1193" s="45"/>
      <c r="I1193" s="26"/>
      <c r="J1193" s="32"/>
      <c r="K1193" s="33">
        <f t="shared" si="727"/>
        <v>0</v>
      </c>
      <c r="L1193" s="11">
        <f t="shared" si="728"/>
        <v>1</v>
      </c>
      <c r="M1193" s="115">
        <v>46218</v>
      </c>
      <c r="N1193" s="50"/>
      <c r="O1193" s="25"/>
      <c r="P1193" s="45"/>
      <c r="Q1193" s="26"/>
      <c r="R1193" s="32"/>
      <c r="S1193" s="33">
        <f t="shared" si="729"/>
        <v>0</v>
      </c>
      <c r="T1193" s="25"/>
      <c r="U1193" s="45"/>
      <c r="V1193" s="26"/>
      <c r="W1193" s="32"/>
      <c r="X1193" s="33">
        <f t="shared" si="730"/>
        <v>0</v>
      </c>
      <c r="Y1193" s="11">
        <f t="shared" si="731"/>
        <v>0</v>
      </c>
    </row>
    <row r="1194" spans="1:25" x14ac:dyDescent="0.15">
      <c r="A1194" s="70"/>
      <c r="B1194" s="25"/>
      <c r="C1194" s="45"/>
      <c r="D1194" s="26"/>
      <c r="E1194" s="32"/>
      <c r="F1194" s="33">
        <f t="shared" si="726"/>
        <v>0</v>
      </c>
      <c r="G1194" s="25"/>
      <c r="H1194" s="45"/>
      <c r="I1194" s="26"/>
      <c r="J1194" s="32"/>
      <c r="K1194" s="33">
        <f t="shared" si="727"/>
        <v>0</v>
      </c>
      <c r="L1194" s="11">
        <f t="shared" si="728"/>
        <v>0</v>
      </c>
      <c r="N1194" s="50"/>
      <c r="O1194" s="25"/>
      <c r="P1194" s="45"/>
      <c r="Q1194" s="26"/>
      <c r="R1194" s="32"/>
      <c r="S1194" s="33">
        <f t="shared" si="729"/>
        <v>0</v>
      </c>
      <c r="T1194" s="25"/>
      <c r="U1194" s="45"/>
      <c r="V1194" s="26"/>
      <c r="W1194" s="32"/>
      <c r="X1194" s="33">
        <f t="shared" si="730"/>
        <v>0</v>
      </c>
      <c r="Y1194" s="11">
        <f t="shared" si="731"/>
        <v>0</v>
      </c>
    </row>
    <row r="1195" spans="1:25" x14ac:dyDescent="0.15">
      <c r="A1195" s="70"/>
      <c r="B1195" s="25"/>
      <c r="C1195" s="45"/>
      <c r="D1195" s="26"/>
      <c r="E1195" s="32"/>
      <c r="F1195" s="33">
        <f t="shared" si="726"/>
        <v>0</v>
      </c>
      <c r="G1195" s="25"/>
      <c r="H1195" s="45"/>
      <c r="I1195" s="26"/>
      <c r="J1195" s="32"/>
      <c r="K1195" s="33">
        <f t="shared" si="727"/>
        <v>0</v>
      </c>
      <c r="L1195" s="11">
        <f t="shared" si="728"/>
        <v>0</v>
      </c>
      <c r="N1195" s="50"/>
      <c r="O1195" s="25"/>
      <c r="P1195" s="45"/>
      <c r="Q1195" s="26"/>
      <c r="R1195" s="32"/>
      <c r="S1195" s="33">
        <f t="shared" si="729"/>
        <v>0</v>
      </c>
      <c r="T1195" s="25"/>
      <c r="U1195" s="45"/>
      <c r="V1195" s="26"/>
      <c r="W1195" s="32"/>
      <c r="X1195" s="33">
        <f t="shared" si="730"/>
        <v>0</v>
      </c>
      <c r="Y1195" s="11">
        <f t="shared" si="731"/>
        <v>0</v>
      </c>
    </row>
    <row r="1196" spans="1:25" x14ac:dyDescent="0.15">
      <c r="A1196" s="70"/>
      <c r="B1196" s="25"/>
      <c r="C1196" s="45"/>
      <c r="D1196" s="26"/>
      <c r="E1196" s="32"/>
      <c r="F1196" s="33">
        <f t="shared" si="726"/>
        <v>0</v>
      </c>
      <c r="G1196" s="25"/>
      <c r="H1196" s="45"/>
      <c r="I1196" s="26"/>
      <c r="J1196" s="32"/>
      <c r="K1196" s="33">
        <f t="shared" si="727"/>
        <v>0</v>
      </c>
      <c r="L1196" s="11">
        <f t="shared" si="728"/>
        <v>0</v>
      </c>
      <c r="N1196" s="50"/>
      <c r="O1196" s="25"/>
      <c r="P1196" s="45"/>
      <c r="Q1196" s="26"/>
      <c r="R1196" s="32"/>
      <c r="S1196" s="33">
        <f t="shared" si="729"/>
        <v>0</v>
      </c>
      <c r="T1196" s="25"/>
      <c r="U1196" s="45"/>
      <c r="V1196" s="26"/>
      <c r="W1196" s="32"/>
      <c r="X1196" s="33">
        <f t="shared" si="730"/>
        <v>0</v>
      </c>
      <c r="Y1196" s="11">
        <f t="shared" si="731"/>
        <v>0</v>
      </c>
    </row>
    <row r="1197" spans="1:25" x14ac:dyDescent="0.15">
      <c r="A1197" s="70"/>
      <c r="B1197" s="25"/>
      <c r="C1197" s="45"/>
      <c r="D1197" s="26"/>
      <c r="E1197" s="32"/>
      <c r="F1197" s="33">
        <f t="shared" si="726"/>
        <v>0</v>
      </c>
      <c r="G1197" s="25"/>
      <c r="H1197" s="45"/>
      <c r="I1197" s="26"/>
      <c r="J1197" s="32"/>
      <c r="K1197" s="33">
        <f t="shared" si="727"/>
        <v>0</v>
      </c>
      <c r="L1197" s="11">
        <f t="shared" si="728"/>
        <v>0</v>
      </c>
      <c r="N1197" s="50"/>
      <c r="O1197" s="25"/>
      <c r="P1197" s="45"/>
      <c r="Q1197" s="26"/>
      <c r="R1197" s="32"/>
      <c r="S1197" s="33">
        <f t="shared" ref="S1197:S1213" si="732">SUM(O1197:R1197)</f>
        <v>0</v>
      </c>
      <c r="T1197" s="25"/>
      <c r="U1197" s="45"/>
      <c r="V1197" s="26"/>
      <c r="W1197" s="32"/>
      <c r="X1197" s="33">
        <f t="shared" ref="X1197:X1213" si="733">SUM(T1197:W1197)</f>
        <v>0</v>
      </c>
      <c r="Y1197" s="11">
        <f t="shared" si="716"/>
        <v>0</v>
      </c>
    </row>
    <row r="1198" spans="1:25" x14ac:dyDescent="0.15">
      <c r="A1198" s="70"/>
      <c r="B1198" s="25"/>
      <c r="C1198" s="45"/>
      <c r="D1198" s="26"/>
      <c r="E1198" s="32"/>
      <c r="F1198" s="33">
        <f t="shared" si="726"/>
        <v>0</v>
      </c>
      <c r="G1198" s="25"/>
      <c r="H1198" s="45"/>
      <c r="I1198" s="26"/>
      <c r="J1198" s="32"/>
      <c r="K1198" s="33">
        <f t="shared" si="727"/>
        <v>0</v>
      </c>
      <c r="L1198" s="11">
        <f t="shared" si="728"/>
        <v>0</v>
      </c>
      <c r="N1198" s="50"/>
      <c r="O1198" s="25"/>
      <c r="P1198" s="45"/>
      <c r="Q1198" s="26"/>
      <c r="R1198" s="32"/>
      <c r="S1198" s="33">
        <f t="shared" si="732"/>
        <v>0</v>
      </c>
      <c r="T1198" s="25"/>
      <c r="U1198" s="45"/>
      <c r="V1198" s="26"/>
      <c r="W1198" s="32"/>
      <c r="X1198" s="33">
        <f t="shared" si="733"/>
        <v>0</v>
      </c>
      <c r="Y1198" s="11">
        <f t="shared" si="716"/>
        <v>0</v>
      </c>
    </row>
    <row r="1199" spans="1:25" x14ac:dyDescent="0.15">
      <c r="A1199" s="70"/>
      <c r="B1199" s="25"/>
      <c r="C1199" s="45"/>
      <c r="D1199" s="26"/>
      <c r="E1199" s="32"/>
      <c r="F1199" s="33">
        <f t="shared" si="726"/>
        <v>0</v>
      </c>
      <c r="G1199" s="25"/>
      <c r="H1199" s="45"/>
      <c r="I1199" s="26"/>
      <c r="J1199" s="32"/>
      <c r="K1199" s="33">
        <f t="shared" si="727"/>
        <v>0</v>
      </c>
      <c r="L1199" s="11">
        <f t="shared" si="728"/>
        <v>0</v>
      </c>
      <c r="N1199" s="50"/>
      <c r="O1199" s="25"/>
      <c r="P1199" s="45"/>
      <c r="Q1199" s="26"/>
      <c r="R1199" s="32"/>
      <c r="S1199" s="33">
        <f t="shared" si="732"/>
        <v>0</v>
      </c>
      <c r="T1199" s="25"/>
      <c r="U1199" s="45"/>
      <c r="V1199" s="26"/>
      <c r="W1199" s="32"/>
      <c r="X1199" s="33">
        <f t="shared" si="733"/>
        <v>0</v>
      </c>
      <c r="Y1199" s="11">
        <f t="shared" si="716"/>
        <v>0</v>
      </c>
    </row>
    <row r="1200" spans="1:25" x14ac:dyDescent="0.15">
      <c r="A1200" s="70"/>
      <c r="B1200" s="25"/>
      <c r="C1200" s="45"/>
      <c r="D1200" s="26"/>
      <c r="E1200" s="32"/>
      <c r="F1200" s="33">
        <f t="shared" ref="F1200:F1212" si="734">SUM(B1200:E1200)</f>
        <v>0</v>
      </c>
      <c r="G1200" s="25"/>
      <c r="H1200" s="45"/>
      <c r="I1200" s="26"/>
      <c r="J1200" s="32"/>
      <c r="K1200" s="33">
        <f t="shared" ref="K1200:K1212" si="735">SUM(G1200:J1200)</f>
        <v>0</v>
      </c>
      <c r="L1200" s="11">
        <f t="shared" si="723"/>
        <v>0</v>
      </c>
      <c r="N1200" s="50"/>
      <c r="O1200" s="25"/>
      <c r="P1200" s="45"/>
      <c r="Q1200" s="26"/>
      <c r="R1200" s="32"/>
      <c r="S1200" s="33">
        <f t="shared" si="732"/>
        <v>0</v>
      </c>
      <c r="T1200" s="25"/>
      <c r="U1200" s="45"/>
      <c r="V1200" s="26"/>
      <c r="W1200" s="32"/>
      <c r="X1200" s="33">
        <f t="shared" si="733"/>
        <v>0</v>
      </c>
      <c r="Y1200" s="11">
        <f t="shared" si="716"/>
        <v>0</v>
      </c>
    </row>
    <row r="1201" spans="1:26" x14ac:dyDescent="0.15">
      <c r="A1201" s="70"/>
      <c r="B1201" s="25"/>
      <c r="C1201" s="45"/>
      <c r="D1201" s="26"/>
      <c r="E1201" s="32"/>
      <c r="F1201" s="33">
        <f t="shared" si="734"/>
        <v>0</v>
      </c>
      <c r="G1201" s="25"/>
      <c r="H1201" s="45"/>
      <c r="I1201" s="26"/>
      <c r="J1201" s="32"/>
      <c r="K1201" s="33">
        <f t="shared" si="735"/>
        <v>0</v>
      </c>
      <c r="L1201" s="11">
        <f t="shared" si="723"/>
        <v>0</v>
      </c>
      <c r="N1201" s="50"/>
      <c r="O1201" s="25"/>
      <c r="P1201" s="45"/>
      <c r="Q1201" s="26"/>
      <c r="R1201" s="32"/>
      <c r="S1201" s="33">
        <f t="shared" si="732"/>
        <v>0</v>
      </c>
      <c r="T1201" s="25"/>
      <c r="U1201" s="45"/>
      <c r="V1201" s="26"/>
      <c r="W1201" s="32"/>
      <c r="X1201" s="33">
        <f t="shared" si="733"/>
        <v>0</v>
      </c>
      <c r="Y1201" s="11">
        <f t="shared" si="716"/>
        <v>0</v>
      </c>
    </row>
    <row r="1202" spans="1:26" x14ac:dyDescent="0.15">
      <c r="A1202" s="70"/>
      <c r="B1202" s="25"/>
      <c r="C1202" s="45"/>
      <c r="D1202" s="26"/>
      <c r="E1202" s="32"/>
      <c r="F1202" s="33">
        <f t="shared" si="734"/>
        <v>0</v>
      </c>
      <c r="G1202" s="25"/>
      <c r="H1202" s="45"/>
      <c r="I1202" s="26"/>
      <c r="J1202" s="32"/>
      <c r="K1202" s="33">
        <f t="shared" si="735"/>
        <v>0</v>
      </c>
      <c r="L1202" s="11">
        <f t="shared" si="723"/>
        <v>0</v>
      </c>
      <c r="N1202" s="50"/>
      <c r="O1202" s="25"/>
      <c r="P1202" s="45"/>
      <c r="Q1202" s="26"/>
      <c r="R1202" s="32"/>
      <c r="S1202" s="33">
        <f t="shared" si="732"/>
        <v>0</v>
      </c>
      <c r="T1202" s="25"/>
      <c r="U1202" s="45"/>
      <c r="V1202" s="26"/>
      <c r="W1202" s="32"/>
      <c r="X1202" s="33">
        <f t="shared" si="733"/>
        <v>0</v>
      </c>
      <c r="Y1202" s="11">
        <f t="shared" si="716"/>
        <v>0</v>
      </c>
    </row>
    <row r="1203" spans="1:26" x14ac:dyDescent="0.15">
      <c r="A1203" s="70"/>
      <c r="B1203" s="25"/>
      <c r="C1203" s="45"/>
      <c r="D1203" s="26"/>
      <c r="E1203" s="32"/>
      <c r="F1203" s="33">
        <f t="shared" si="734"/>
        <v>0</v>
      </c>
      <c r="G1203" s="25"/>
      <c r="H1203" s="45"/>
      <c r="I1203" s="26"/>
      <c r="J1203" s="32"/>
      <c r="K1203" s="33">
        <f t="shared" si="735"/>
        <v>0</v>
      </c>
      <c r="L1203" s="11">
        <f t="shared" si="723"/>
        <v>0</v>
      </c>
      <c r="N1203" s="50"/>
      <c r="O1203" s="25"/>
      <c r="P1203" s="45"/>
      <c r="Q1203" s="26"/>
      <c r="R1203" s="32"/>
      <c r="S1203" s="33">
        <f t="shared" si="732"/>
        <v>0</v>
      </c>
      <c r="T1203" s="25"/>
      <c r="U1203" s="45"/>
      <c r="V1203" s="26"/>
      <c r="W1203" s="32"/>
      <c r="X1203" s="33">
        <f t="shared" si="733"/>
        <v>0</v>
      </c>
      <c r="Y1203" s="11">
        <f t="shared" si="716"/>
        <v>0</v>
      </c>
    </row>
    <row r="1204" spans="1:26" x14ac:dyDescent="0.15">
      <c r="A1204" s="70"/>
      <c r="B1204" s="25"/>
      <c r="C1204" s="45"/>
      <c r="D1204" s="26"/>
      <c r="E1204" s="32"/>
      <c r="F1204" s="33">
        <f t="shared" si="734"/>
        <v>0</v>
      </c>
      <c r="G1204" s="25"/>
      <c r="H1204" s="45"/>
      <c r="I1204" s="26"/>
      <c r="J1204" s="32"/>
      <c r="K1204" s="33">
        <f t="shared" si="735"/>
        <v>0</v>
      </c>
      <c r="L1204" s="11">
        <f t="shared" si="723"/>
        <v>0</v>
      </c>
      <c r="N1204" s="50"/>
      <c r="O1204" s="25"/>
      <c r="P1204" s="45"/>
      <c r="Q1204" s="26"/>
      <c r="R1204" s="32"/>
      <c r="S1204" s="33">
        <f t="shared" si="732"/>
        <v>0</v>
      </c>
      <c r="T1204" s="25"/>
      <c r="U1204" s="45"/>
      <c r="V1204" s="26"/>
      <c r="W1204" s="32"/>
      <c r="X1204" s="33">
        <f t="shared" si="733"/>
        <v>0</v>
      </c>
      <c r="Y1204" s="11">
        <f t="shared" si="716"/>
        <v>0</v>
      </c>
    </row>
    <row r="1205" spans="1:26" x14ac:dyDescent="0.15">
      <c r="A1205" s="70"/>
      <c r="B1205" s="25"/>
      <c r="C1205" s="45"/>
      <c r="D1205" s="26"/>
      <c r="E1205" s="32"/>
      <c r="F1205" s="33">
        <f t="shared" si="734"/>
        <v>0</v>
      </c>
      <c r="G1205" s="25"/>
      <c r="H1205" s="45"/>
      <c r="I1205" s="26"/>
      <c r="J1205" s="32"/>
      <c r="K1205" s="33">
        <f t="shared" si="735"/>
        <v>0</v>
      </c>
      <c r="L1205" s="11">
        <f t="shared" si="723"/>
        <v>0</v>
      </c>
      <c r="N1205" s="50"/>
      <c r="O1205" s="25"/>
      <c r="P1205" s="45"/>
      <c r="Q1205" s="26"/>
      <c r="R1205" s="32"/>
      <c r="S1205" s="33">
        <f t="shared" si="732"/>
        <v>0</v>
      </c>
      <c r="T1205" s="25"/>
      <c r="U1205" s="45"/>
      <c r="V1205" s="26"/>
      <c r="W1205" s="32"/>
      <c r="X1205" s="33">
        <f t="shared" si="733"/>
        <v>0</v>
      </c>
      <c r="Y1205" s="11">
        <f t="shared" si="716"/>
        <v>0</v>
      </c>
    </row>
    <row r="1206" spans="1:26" x14ac:dyDescent="0.15">
      <c r="A1206" s="70"/>
      <c r="B1206" s="25"/>
      <c r="C1206" s="45"/>
      <c r="D1206" s="26"/>
      <c r="E1206" s="32"/>
      <c r="F1206" s="33">
        <f t="shared" si="734"/>
        <v>0</v>
      </c>
      <c r="G1206" s="25"/>
      <c r="H1206" s="45"/>
      <c r="I1206" s="26"/>
      <c r="J1206" s="32"/>
      <c r="K1206" s="33">
        <f t="shared" si="735"/>
        <v>0</v>
      </c>
      <c r="L1206" s="11">
        <f t="shared" si="723"/>
        <v>0</v>
      </c>
      <c r="N1206" s="50"/>
      <c r="O1206" s="25"/>
      <c r="P1206" s="45"/>
      <c r="Q1206" s="26"/>
      <c r="R1206" s="32"/>
      <c r="S1206" s="33">
        <f t="shared" si="732"/>
        <v>0</v>
      </c>
      <c r="T1206" s="25"/>
      <c r="U1206" s="45"/>
      <c r="V1206" s="26"/>
      <c r="W1206" s="32"/>
      <c r="X1206" s="33">
        <f t="shared" si="733"/>
        <v>0</v>
      </c>
      <c r="Y1206" s="11">
        <f t="shared" si="716"/>
        <v>0</v>
      </c>
    </row>
    <row r="1207" spans="1:26" x14ac:dyDescent="0.15">
      <c r="A1207" s="70"/>
      <c r="B1207" s="25"/>
      <c r="C1207" s="45"/>
      <c r="D1207" s="26"/>
      <c r="E1207" s="32"/>
      <c r="F1207" s="33">
        <f t="shared" si="734"/>
        <v>0</v>
      </c>
      <c r="G1207" s="25"/>
      <c r="H1207" s="45"/>
      <c r="I1207" s="26"/>
      <c r="J1207" s="32"/>
      <c r="K1207" s="33">
        <f t="shared" si="735"/>
        <v>0</v>
      </c>
      <c r="L1207" s="11">
        <f t="shared" si="723"/>
        <v>0</v>
      </c>
      <c r="N1207" s="50"/>
      <c r="O1207" s="25"/>
      <c r="P1207" s="45"/>
      <c r="Q1207" s="26"/>
      <c r="R1207" s="32"/>
      <c r="S1207" s="33">
        <f t="shared" si="732"/>
        <v>0</v>
      </c>
      <c r="T1207" s="25"/>
      <c r="U1207" s="45"/>
      <c r="V1207" s="26"/>
      <c r="W1207" s="32"/>
      <c r="X1207" s="33">
        <f t="shared" si="733"/>
        <v>0</v>
      </c>
      <c r="Y1207" s="11">
        <f t="shared" si="716"/>
        <v>0</v>
      </c>
    </row>
    <row r="1208" spans="1:26" x14ac:dyDescent="0.15">
      <c r="A1208" s="70"/>
      <c r="B1208" s="25"/>
      <c r="C1208" s="45"/>
      <c r="D1208" s="26"/>
      <c r="E1208" s="32"/>
      <c r="F1208" s="33">
        <f t="shared" si="734"/>
        <v>0</v>
      </c>
      <c r="G1208" s="25"/>
      <c r="H1208" s="45"/>
      <c r="I1208" s="26"/>
      <c r="J1208" s="32"/>
      <c r="K1208" s="33">
        <f t="shared" si="735"/>
        <v>0</v>
      </c>
      <c r="L1208" s="11">
        <f t="shared" si="723"/>
        <v>0</v>
      </c>
      <c r="N1208" s="50"/>
      <c r="O1208" s="25"/>
      <c r="P1208" s="45"/>
      <c r="Q1208" s="26"/>
      <c r="R1208" s="32"/>
      <c r="S1208" s="33">
        <f t="shared" si="732"/>
        <v>0</v>
      </c>
      <c r="T1208" s="25"/>
      <c r="U1208" s="45"/>
      <c r="V1208" s="26"/>
      <c r="W1208" s="32"/>
      <c r="X1208" s="33">
        <f t="shared" si="733"/>
        <v>0</v>
      </c>
      <c r="Y1208" s="11">
        <f t="shared" si="716"/>
        <v>0</v>
      </c>
    </row>
    <row r="1209" spans="1:26" x14ac:dyDescent="0.15">
      <c r="A1209" s="70"/>
      <c r="B1209" s="25"/>
      <c r="C1209" s="45"/>
      <c r="D1209" s="26"/>
      <c r="E1209" s="32"/>
      <c r="F1209" s="33">
        <f t="shared" si="734"/>
        <v>0</v>
      </c>
      <c r="G1209" s="25"/>
      <c r="H1209" s="45"/>
      <c r="I1209" s="26"/>
      <c r="J1209" s="32"/>
      <c r="K1209" s="33">
        <f t="shared" si="735"/>
        <v>0</v>
      </c>
      <c r="L1209" s="11">
        <f t="shared" si="723"/>
        <v>0</v>
      </c>
      <c r="N1209" s="50"/>
      <c r="O1209" s="25"/>
      <c r="P1209" s="45"/>
      <c r="Q1209" s="26"/>
      <c r="R1209" s="32"/>
      <c r="S1209" s="33">
        <f t="shared" si="732"/>
        <v>0</v>
      </c>
      <c r="T1209" s="25"/>
      <c r="U1209" s="45"/>
      <c r="V1209" s="26"/>
      <c r="W1209" s="32"/>
      <c r="X1209" s="33">
        <f t="shared" si="733"/>
        <v>0</v>
      </c>
      <c r="Y1209" s="11">
        <f t="shared" si="716"/>
        <v>0</v>
      </c>
    </row>
    <row r="1210" spans="1:26" x14ac:dyDescent="0.15">
      <c r="A1210" s="70"/>
      <c r="B1210" s="25"/>
      <c r="C1210" s="45"/>
      <c r="D1210" s="26"/>
      <c r="E1210" s="32"/>
      <c r="F1210" s="33">
        <f t="shared" si="734"/>
        <v>0</v>
      </c>
      <c r="G1210" s="25"/>
      <c r="H1210" s="45"/>
      <c r="I1210" s="26"/>
      <c r="J1210" s="32"/>
      <c r="K1210" s="33">
        <f t="shared" si="735"/>
        <v>0</v>
      </c>
      <c r="L1210" s="11">
        <f t="shared" si="723"/>
        <v>0</v>
      </c>
      <c r="N1210" s="50"/>
      <c r="O1210" s="25"/>
      <c r="P1210" s="45"/>
      <c r="Q1210" s="26"/>
      <c r="R1210" s="32"/>
      <c r="S1210" s="33">
        <f t="shared" si="732"/>
        <v>0</v>
      </c>
      <c r="T1210" s="25"/>
      <c r="U1210" s="45"/>
      <c r="V1210" s="26"/>
      <c r="W1210" s="32"/>
      <c r="X1210" s="33">
        <f t="shared" si="733"/>
        <v>0</v>
      </c>
      <c r="Y1210" s="11">
        <f t="shared" si="716"/>
        <v>0</v>
      </c>
    </row>
    <row r="1211" spans="1:26" x14ac:dyDescent="0.15">
      <c r="A1211" s="70"/>
      <c r="B1211" s="25"/>
      <c r="C1211" s="45"/>
      <c r="D1211" s="26"/>
      <c r="E1211" s="32"/>
      <c r="F1211" s="33">
        <f t="shared" si="734"/>
        <v>0</v>
      </c>
      <c r="G1211" s="25"/>
      <c r="H1211" s="45"/>
      <c r="I1211" s="26"/>
      <c r="J1211" s="32"/>
      <c r="K1211" s="33">
        <f t="shared" si="735"/>
        <v>0</v>
      </c>
      <c r="L1211" s="93">
        <f t="shared" si="723"/>
        <v>0</v>
      </c>
      <c r="N1211" s="50"/>
      <c r="O1211" s="25"/>
      <c r="P1211" s="45"/>
      <c r="Q1211" s="26"/>
      <c r="R1211" s="32"/>
      <c r="S1211" s="33">
        <f t="shared" si="732"/>
        <v>0</v>
      </c>
      <c r="T1211" s="25"/>
      <c r="U1211" s="45"/>
      <c r="V1211" s="26"/>
      <c r="W1211" s="32"/>
      <c r="X1211" s="33">
        <f t="shared" si="733"/>
        <v>0</v>
      </c>
      <c r="Y1211" s="11">
        <f t="shared" si="716"/>
        <v>0</v>
      </c>
    </row>
    <row r="1212" spans="1:26" ht="14.25" thickBot="1" x14ac:dyDescent="0.2">
      <c r="A1212" s="108"/>
      <c r="B1212" s="55"/>
      <c r="C1212" s="56"/>
      <c r="D1212" s="57"/>
      <c r="E1212" s="58"/>
      <c r="F1212" s="109">
        <f t="shared" si="734"/>
        <v>0</v>
      </c>
      <c r="G1212" s="55"/>
      <c r="H1212" s="56"/>
      <c r="I1212" s="57"/>
      <c r="J1212" s="58"/>
      <c r="K1212" s="109">
        <f t="shared" si="735"/>
        <v>0</v>
      </c>
      <c r="L1212" s="107">
        <f t="shared" si="723"/>
        <v>0</v>
      </c>
      <c r="N1212" s="224" t="s">
        <v>612</v>
      </c>
      <c r="O1212" s="218">
        <v>10</v>
      </c>
      <c r="P1212" s="219">
        <v>10</v>
      </c>
      <c r="Q1212" s="220">
        <v>20</v>
      </c>
      <c r="R1212" s="221">
        <v>20</v>
      </c>
      <c r="S1212" s="222">
        <f t="shared" si="732"/>
        <v>60</v>
      </c>
      <c r="T1212" s="218">
        <v>10</v>
      </c>
      <c r="U1212" s="219">
        <v>15</v>
      </c>
      <c r="V1212" s="220">
        <v>20</v>
      </c>
      <c r="W1212" s="221">
        <v>15</v>
      </c>
      <c r="X1212" s="222">
        <f t="shared" si="733"/>
        <v>60</v>
      </c>
      <c r="Y1212" s="223">
        <f t="shared" si="716"/>
        <v>120</v>
      </c>
      <c r="Z1212" s="212" t="s">
        <v>613</v>
      </c>
    </row>
    <row r="1213" spans="1:26" ht="14.25" thickBot="1" x14ac:dyDescent="0.2">
      <c r="A1213" s="72" t="s">
        <v>10</v>
      </c>
      <c r="B1213" s="36">
        <f>SUM(B1188:B1212)</f>
        <v>1</v>
      </c>
      <c r="C1213" s="46">
        <f>SUM(C1188:C1212)</f>
        <v>4</v>
      </c>
      <c r="D1213" s="37">
        <f>SUM(D1188:D1212)</f>
        <v>3</v>
      </c>
      <c r="E1213" s="38">
        <f>SUM(E1188:E1212)</f>
        <v>2</v>
      </c>
      <c r="F1213" s="71">
        <f>SUM(B1213:E1213)</f>
        <v>10</v>
      </c>
      <c r="G1213" s="36">
        <f>SUM(G1188:G1212)</f>
        <v>2</v>
      </c>
      <c r="H1213" s="46">
        <f>SUM(H1188:H1212)</f>
        <v>1</v>
      </c>
      <c r="I1213" s="37">
        <f>SUM(I1188:I1212)</f>
        <v>2</v>
      </c>
      <c r="J1213" s="38">
        <f>SUM(J1188:J1212)</f>
        <v>4</v>
      </c>
      <c r="K1213" s="71">
        <f>SUM(G1213:J1213)</f>
        <v>9</v>
      </c>
      <c r="L1213" s="75">
        <f t="shared" si="723"/>
        <v>19</v>
      </c>
      <c r="N1213" s="72" t="s">
        <v>10</v>
      </c>
      <c r="O1213" s="36">
        <f>SUM(O1188:O1212)</f>
        <v>10</v>
      </c>
      <c r="P1213" s="46">
        <f>SUM(P1188:P1212)</f>
        <v>10</v>
      </c>
      <c r="Q1213" s="37">
        <f>SUM(Q1188:Q1212)</f>
        <v>20</v>
      </c>
      <c r="R1213" s="38">
        <f>SUM(R1188:R1212)</f>
        <v>20</v>
      </c>
      <c r="S1213" s="71">
        <f t="shared" si="732"/>
        <v>60</v>
      </c>
      <c r="T1213" s="36">
        <f>SUM(T1188:T1212)</f>
        <v>10</v>
      </c>
      <c r="U1213" s="46">
        <f>SUM(U1188:U1212)</f>
        <v>15</v>
      </c>
      <c r="V1213" s="37">
        <f>SUM(V1188:V1212)</f>
        <v>20</v>
      </c>
      <c r="W1213" s="38">
        <f>SUM(W1188:W1212)</f>
        <v>15</v>
      </c>
      <c r="X1213" s="71">
        <f t="shared" si="733"/>
        <v>60</v>
      </c>
      <c r="Y1213" s="75">
        <f t="shared" si="716"/>
        <v>120</v>
      </c>
    </row>
    <row r="1214" spans="1:26" ht="14.25" thickBot="1" x14ac:dyDescent="0.2">
      <c r="A1214" s="21" t="s">
        <v>11</v>
      </c>
      <c r="B1214" s="39">
        <f t="shared" ref="B1214:K1214" si="736">B1187-B1213</f>
        <v>10</v>
      </c>
      <c r="C1214" s="47">
        <f t="shared" si="736"/>
        <v>5</v>
      </c>
      <c r="D1214" s="40">
        <f t="shared" si="736"/>
        <v>8</v>
      </c>
      <c r="E1214" s="41">
        <f t="shared" si="736"/>
        <v>9</v>
      </c>
      <c r="F1214" s="54">
        <f t="shared" si="736"/>
        <v>32</v>
      </c>
      <c r="G1214" s="39">
        <f t="shared" si="736"/>
        <v>5</v>
      </c>
      <c r="H1214" s="47">
        <f t="shared" si="736"/>
        <v>7</v>
      </c>
      <c r="I1214" s="40">
        <f t="shared" si="736"/>
        <v>8</v>
      </c>
      <c r="J1214" s="41">
        <f t="shared" si="736"/>
        <v>5</v>
      </c>
      <c r="K1214" s="54">
        <f t="shared" si="736"/>
        <v>25</v>
      </c>
      <c r="L1214" s="20">
        <f t="shared" si="723"/>
        <v>57</v>
      </c>
      <c r="N1214" s="16" t="s">
        <v>11</v>
      </c>
      <c r="O1214" s="39">
        <f t="shared" ref="O1214:X1214" si="737">O1187-O1213</f>
        <v>346</v>
      </c>
      <c r="P1214" s="47">
        <f t="shared" si="737"/>
        <v>495</v>
      </c>
      <c r="Q1214" s="40">
        <f t="shared" si="737"/>
        <v>332</v>
      </c>
      <c r="R1214" s="41">
        <f t="shared" si="737"/>
        <v>294</v>
      </c>
      <c r="S1214" s="54">
        <f t="shared" si="737"/>
        <v>1467</v>
      </c>
      <c r="T1214" s="39">
        <f t="shared" si="737"/>
        <v>320</v>
      </c>
      <c r="U1214" s="47">
        <f t="shared" si="737"/>
        <v>387</v>
      </c>
      <c r="V1214" s="40">
        <f t="shared" si="737"/>
        <v>230</v>
      </c>
      <c r="W1214" s="41">
        <f t="shared" si="737"/>
        <v>244</v>
      </c>
      <c r="X1214" s="54">
        <f t="shared" si="737"/>
        <v>1181</v>
      </c>
      <c r="Y1214" s="20">
        <f t="shared" si="716"/>
        <v>2648</v>
      </c>
    </row>
    <row r="1215" spans="1:26" x14ac:dyDescent="0.15">
      <c r="N1215" s="52" t="s">
        <v>615</v>
      </c>
      <c r="O1215" s="169">
        <f>O1175+O1137+O1099+O1061+O1023+O985+O947+O911</f>
        <v>1085</v>
      </c>
      <c r="P1215" s="169">
        <f t="shared" ref="P1215:Y1215" si="738">P1175+P1137+P1099+P1061+P1023+P985+P947+P911</f>
        <v>1573</v>
      </c>
      <c r="Q1215" s="169">
        <f t="shared" si="738"/>
        <v>1079</v>
      </c>
      <c r="R1215" s="169">
        <f t="shared" si="738"/>
        <v>944</v>
      </c>
      <c r="S1215" s="169">
        <f t="shared" si="738"/>
        <v>4681</v>
      </c>
      <c r="T1215" s="169">
        <f t="shared" si="738"/>
        <v>981</v>
      </c>
      <c r="U1215" s="169">
        <f t="shared" si="738"/>
        <v>1456</v>
      </c>
      <c r="V1215" s="169">
        <f t="shared" si="738"/>
        <v>984</v>
      </c>
      <c r="W1215" s="169">
        <f t="shared" si="738"/>
        <v>864</v>
      </c>
      <c r="X1215" s="169">
        <f t="shared" si="738"/>
        <v>4285</v>
      </c>
      <c r="Y1215" s="169">
        <f t="shared" si="738"/>
        <v>8966</v>
      </c>
    </row>
    <row r="1216" spans="1:26" x14ac:dyDescent="0.15">
      <c r="N1216" s="172" t="s">
        <v>498</v>
      </c>
      <c r="O1216" s="118">
        <f>O1215/$S$1215*100</f>
        <v>23.178807947019866</v>
      </c>
      <c r="P1216" s="118">
        <f t="shared" ref="P1216:S1216" si="739">P1215/$S$1215*100</f>
        <v>33.603930784020505</v>
      </c>
      <c r="Q1216" s="118">
        <f t="shared" si="739"/>
        <v>23.050630207220678</v>
      </c>
      <c r="R1216" s="118">
        <f t="shared" si="739"/>
        <v>20.166631061738947</v>
      </c>
      <c r="S1216" s="118">
        <f t="shared" si="739"/>
        <v>100</v>
      </c>
      <c r="T1216" s="118">
        <f>T1215/$X$1215*100</f>
        <v>22.893815635939323</v>
      </c>
      <c r="U1216" s="118">
        <f t="shared" ref="U1216:X1216" si="740">U1215/$X$1215*100</f>
        <v>33.978996499416567</v>
      </c>
      <c r="V1216" s="118">
        <f t="shared" si="740"/>
        <v>22.963827304550758</v>
      </c>
      <c r="W1216" s="118">
        <f t="shared" si="740"/>
        <v>20.163360560093349</v>
      </c>
      <c r="X1216" s="118">
        <f t="shared" si="740"/>
        <v>100</v>
      </c>
    </row>
    <row r="1217" spans="1:26" ht="19.5" thickBot="1" x14ac:dyDescent="0.25">
      <c r="A1217" s="2" t="s">
        <v>26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27</v>
      </c>
      <c r="O1217" s="2"/>
      <c r="P1217" s="1"/>
      <c r="Q1217" s="1"/>
      <c r="R1217" s="1"/>
      <c r="S1217" s="1">
        <v>52.2</v>
      </c>
      <c r="T1217" s="1"/>
      <c r="U1217" s="1"/>
      <c r="V1217" s="1"/>
      <c r="W1217" s="1"/>
      <c r="X1217" s="1">
        <v>47.8</v>
      </c>
      <c r="Y1217" s="1"/>
    </row>
    <row r="1218" spans="1:26" ht="14.25" thickBot="1" x14ac:dyDescent="0.2">
      <c r="A1218" s="5" t="s">
        <v>0</v>
      </c>
      <c r="B1218" s="228" t="s">
        <v>19</v>
      </c>
      <c r="C1218" s="229"/>
      <c r="D1218" s="229"/>
      <c r="E1218" s="229"/>
      <c r="F1218" s="230"/>
      <c r="G1218" s="231" t="s">
        <v>18</v>
      </c>
      <c r="H1218" s="232"/>
      <c r="I1218" s="232"/>
      <c r="J1218" s="232"/>
      <c r="K1218" s="233"/>
      <c r="L1218" s="73" t="s">
        <v>1</v>
      </c>
      <c r="N1218" s="5" t="s">
        <v>0</v>
      </c>
      <c r="O1218" s="228" t="s">
        <v>19</v>
      </c>
      <c r="P1218" s="229"/>
      <c r="Q1218" s="229"/>
      <c r="R1218" s="229"/>
      <c r="S1218" s="230"/>
      <c r="T1218" s="231" t="s">
        <v>18</v>
      </c>
      <c r="U1218" s="232"/>
      <c r="V1218" s="232"/>
      <c r="W1218" s="232"/>
      <c r="X1218" s="233"/>
      <c r="Y1218" s="73" t="s">
        <v>1</v>
      </c>
    </row>
    <row r="1219" spans="1:26" ht="14.25" thickBot="1" x14ac:dyDescent="0.2">
      <c r="A1219" s="5" t="s">
        <v>2</v>
      </c>
      <c r="B1219" s="3" t="s">
        <v>12</v>
      </c>
      <c r="C1219" s="42" t="s">
        <v>13</v>
      </c>
      <c r="D1219" s="4" t="s">
        <v>14</v>
      </c>
      <c r="E1219" s="22" t="s">
        <v>15</v>
      </c>
      <c r="F1219" s="30" t="s">
        <v>3</v>
      </c>
      <c r="G1219" s="3" t="s">
        <v>12</v>
      </c>
      <c r="H1219" s="42" t="s">
        <v>13</v>
      </c>
      <c r="I1219" s="4" t="s">
        <v>14</v>
      </c>
      <c r="J1219" s="22" t="s">
        <v>15</v>
      </c>
      <c r="K1219" s="30" t="s">
        <v>3</v>
      </c>
      <c r="L1219" s="74"/>
      <c r="N1219" s="5" t="s">
        <v>2</v>
      </c>
      <c r="O1219" s="64" t="s">
        <v>12</v>
      </c>
      <c r="P1219" s="65" t="s">
        <v>13</v>
      </c>
      <c r="Q1219" s="66" t="s">
        <v>14</v>
      </c>
      <c r="R1219" s="67" t="s">
        <v>15</v>
      </c>
      <c r="S1219" s="30" t="s">
        <v>3</v>
      </c>
      <c r="T1219" s="3" t="s">
        <v>12</v>
      </c>
      <c r="U1219" s="42" t="s">
        <v>13</v>
      </c>
      <c r="V1219" s="4" t="s">
        <v>14</v>
      </c>
      <c r="W1219" s="22" t="s">
        <v>15</v>
      </c>
      <c r="X1219" s="30" t="s">
        <v>3</v>
      </c>
      <c r="Y1219" s="74"/>
    </row>
    <row r="1220" spans="1:26" ht="14.25" thickBot="1" x14ac:dyDescent="0.2">
      <c r="A1220" s="21" t="s">
        <v>16</v>
      </c>
      <c r="B1220" s="39">
        <f>B1214</f>
        <v>10</v>
      </c>
      <c r="C1220" s="40">
        <f>C1214</f>
        <v>5</v>
      </c>
      <c r="D1220" s="40">
        <f>D1214</f>
        <v>8</v>
      </c>
      <c r="E1220" s="41">
        <f>E1214</f>
        <v>9</v>
      </c>
      <c r="F1220" s="122">
        <f>SUM(B1220:E1220)</f>
        <v>32</v>
      </c>
      <c r="G1220" s="39">
        <f>G1214</f>
        <v>5</v>
      </c>
      <c r="H1220" s="40">
        <f>H1214</f>
        <v>7</v>
      </c>
      <c r="I1220" s="40">
        <f>I1214</f>
        <v>8</v>
      </c>
      <c r="J1220" s="41">
        <f>J1214</f>
        <v>5</v>
      </c>
      <c r="K1220" s="123">
        <f>SUM(G1220:J1220)</f>
        <v>25</v>
      </c>
      <c r="L1220" s="215">
        <f>F1220+K1220</f>
        <v>57</v>
      </c>
      <c r="N1220" s="21" t="s">
        <v>16</v>
      </c>
      <c r="O1220" s="39">
        <f>O1214</f>
        <v>346</v>
      </c>
      <c r="P1220" s="40">
        <f>P1214</f>
        <v>495</v>
      </c>
      <c r="Q1220" s="40">
        <f t="shared" ref="Q1220:R1220" si="741">Q1214</f>
        <v>332</v>
      </c>
      <c r="R1220" s="88">
        <f t="shared" si="741"/>
        <v>294</v>
      </c>
      <c r="S1220" s="123">
        <f>SUM(O1220:R1220)</f>
        <v>1467</v>
      </c>
      <c r="T1220" s="39">
        <f>T1214</f>
        <v>320</v>
      </c>
      <c r="U1220" s="40">
        <f>U1214</f>
        <v>387</v>
      </c>
      <c r="V1220" s="40">
        <f>V1214</f>
        <v>230</v>
      </c>
      <c r="W1220" s="41">
        <f>W1214</f>
        <v>244</v>
      </c>
      <c r="X1220" s="123">
        <f>SUM(T1220:W1220)</f>
        <v>1181</v>
      </c>
      <c r="Y1220" s="20">
        <f t="shared" ref="Y1220:Y1252" si="742">S1220+X1220</f>
        <v>2648</v>
      </c>
    </row>
    <row r="1221" spans="1:26" x14ac:dyDescent="0.15">
      <c r="A1221" s="70" t="s">
        <v>5</v>
      </c>
      <c r="B1221" s="125"/>
      <c r="C1221" s="126"/>
      <c r="D1221" s="127"/>
      <c r="E1221" s="128"/>
      <c r="F1221" s="129">
        <f t="shared" ref="F1221:F1224" si="743">SUM(B1221:E1221)</f>
        <v>0</v>
      </c>
      <c r="G1221" s="126"/>
      <c r="H1221" s="126"/>
      <c r="I1221" s="127"/>
      <c r="J1221" s="128"/>
      <c r="K1221" s="214">
        <f t="shared" ref="K1221:K1224" si="744">SUM(G1221:J1221)</f>
        <v>0</v>
      </c>
      <c r="L1221" s="217">
        <f t="shared" ref="L1221:L1252" si="745">F1221+K1221</f>
        <v>0</v>
      </c>
      <c r="N1221" s="13" t="s">
        <v>17</v>
      </c>
      <c r="O1221" s="25"/>
      <c r="P1221" s="45"/>
      <c r="Q1221" s="26"/>
      <c r="R1221" s="32"/>
      <c r="S1221" s="68">
        <f>SUM(O1221:R1221)</f>
        <v>0</v>
      </c>
      <c r="T1221" s="45"/>
      <c r="U1221" s="45"/>
      <c r="V1221" s="26"/>
      <c r="W1221" s="48"/>
      <c r="X1221" s="9">
        <f>SUM(T1221:W1221)</f>
        <v>0</v>
      </c>
      <c r="Y1221" s="11">
        <f t="shared" si="742"/>
        <v>0</v>
      </c>
    </row>
    <row r="1222" spans="1:26" x14ac:dyDescent="0.15">
      <c r="A1222" s="70" t="s">
        <v>6</v>
      </c>
      <c r="B1222" s="125"/>
      <c r="C1222" s="126"/>
      <c r="D1222" s="127"/>
      <c r="E1222" s="128"/>
      <c r="F1222" s="129">
        <f t="shared" si="743"/>
        <v>0</v>
      </c>
      <c r="G1222" s="126"/>
      <c r="H1222" s="126"/>
      <c r="I1222" s="127"/>
      <c r="J1222" s="128"/>
      <c r="K1222" s="214">
        <f t="shared" si="744"/>
        <v>0</v>
      </c>
      <c r="L1222" s="93">
        <f t="shared" si="745"/>
        <v>0</v>
      </c>
      <c r="N1222" s="13" t="s">
        <v>616</v>
      </c>
      <c r="O1222" s="25">
        <v>180</v>
      </c>
      <c r="P1222" s="45">
        <v>280</v>
      </c>
      <c r="Q1222" s="26">
        <v>180</v>
      </c>
      <c r="R1222" s="32">
        <v>160</v>
      </c>
      <c r="S1222" s="68">
        <f>SUM(O1222:R1222)</f>
        <v>800</v>
      </c>
      <c r="T1222" s="45">
        <v>150</v>
      </c>
      <c r="U1222" s="45">
        <v>300</v>
      </c>
      <c r="V1222" s="26">
        <v>230</v>
      </c>
      <c r="W1222" s="48">
        <v>170</v>
      </c>
      <c r="X1222" s="9">
        <f>SUM(T1222:W1222)</f>
        <v>850</v>
      </c>
      <c r="Y1222" s="11">
        <f t="shared" si="742"/>
        <v>1650</v>
      </c>
      <c r="Z1222" s="86" t="s">
        <v>617</v>
      </c>
    </row>
    <row r="1223" spans="1:26" x14ac:dyDescent="0.15">
      <c r="A1223" s="70" t="s">
        <v>7</v>
      </c>
      <c r="B1223" s="125"/>
      <c r="C1223" s="126"/>
      <c r="D1223" s="127"/>
      <c r="E1223" s="128"/>
      <c r="F1223" s="129">
        <f t="shared" si="743"/>
        <v>0</v>
      </c>
      <c r="G1223" s="126"/>
      <c r="H1223" s="126"/>
      <c r="I1223" s="127"/>
      <c r="J1223" s="128"/>
      <c r="K1223" s="214">
        <f t="shared" si="744"/>
        <v>0</v>
      </c>
      <c r="L1223" s="93">
        <f t="shared" si="745"/>
        <v>0</v>
      </c>
      <c r="N1223" s="13" t="s">
        <v>6</v>
      </c>
      <c r="O1223" s="25"/>
      <c r="P1223" s="45"/>
      <c r="Q1223" s="26"/>
      <c r="R1223" s="32"/>
      <c r="S1223" s="68">
        <f>SUM(O1223:R1223)</f>
        <v>0</v>
      </c>
      <c r="T1223" s="45"/>
      <c r="U1223" s="45"/>
      <c r="V1223" s="26"/>
      <c r="W1223" s="48"/>
      <c r="X1223" s="9">
        <f>SUM(T1223:W1223)</f>
        <v>0</v>
      </c>
      <c r="Y1223" s="11">
        <f t="shared" si="742"/>
        <v>0</v>
      </c>
    </row>
    <row r="1224" spans="1:26" ht="14.25" thickBot="1" x14ac:dyDescent="0.2">
      <c r="A1224" s="70" t="s">
        <v>8</v>
      </c>
      <c r="B1224" s="125"/>
      <c r="C1224" s="126"/>
      <c r="D1224" s="127"/>
      <c r="E1224" s="128"/>
      <c r="F1224" s="129">
        <f t="shared" si="743"/>
        <v>0</v>
      </c>
      <c r="G1224" s="126"/>
      <c r="H1224" s="126"/>
      <c r="I1224" s="127"/>
      <c r="J1224" s="128"/>
      <c r="K1224" s="214">
        <f t="shared" si="744"/>
        <v>0</v>
      </c>
      <c r="L1224" s="107">
        <f t="shared" si="745"/>
        <v>0</v>
      </c>
      <c r="N1224" s="13" t="s">
        <v>7</v>
      </c>
      <c r="O1224" s="55"/>
      <c r="P1224" s="56"/>
      <c r="Q1224" s="57"/>
      <c r="R1224" s="58"/>
      <c r="S1224" s="69">
        <f>SUM(O1224:R1224)</f>
        <v>0</v>
      </c>
      <c r="T1224" s="45"/>
      <c r="U1224" s="45"/>
      <c r="V1224" s="26"/>
      <c r="W1224" s="48"/>
      <c r="X1224" s="10">
        <f>SUM(T1224:W1224)</f>
        <v>0</v>
      </c>
      <c r="Y1224" s="14">
        <f t="shared" si="742"/>
        <v>0</v>
      </c>
    </row>
    <row r="1225" spans="1:26" ht="14.25" thickBot="1" x14ac:dyDescent="0.2">
      <c r="A1225" s="21" t="s">
        <v>9</v>
      </c>
      <c r="B1225" s="130">
        <f t="shared" ref="B1225:K1225" si="746">SUM(B1220:B1224)</f>
        <v>10</v>
      </c>
      <c r="C1225" s="131">
        <f t="shared" si="746"/>
        <v>5</v>
      </c>
      <c r="D1225" s="132">
        <f t="shared" si="746"/>
        <v>8</v>
      </c>
      <c r="E1225" s="133">
        <f t="shared" si="746"/>
        <v>9</v>
      </c>
      <c r="F1225" s="123">
        <f t="shared" si="746"/>
        <v>32</v>
      </c>
      <c r="G1225" s="130">
        <f t="shared" si="746"/>
        <v>5</v>
      </c>
      <c r="H1225" s="131">
        <f t="shared" si="746"/>
        <v>7</v>
      </c>
      <c r="I1225" s="132">
        <f t="shared" si="746"/>
        <v>8</v>
      </c>
      <c r="J1225" s="133">
        <f t="shared" si="746"/>
        <v>5</v>
      </c>
      <c r="K1225" s="123">
        <f t="shared" si="746"/>
        <v>25</v>
      </c>
      <c r="L1225" s="216">
        <f t="shared" si="745"/>
        <v>57</v>
      </c>
      <c r="N1225" s="16" t="s">
        <v>9</v>
      </c>
      <c r="O1225" s="39">
        <f t="shared" ref="O1225:X1225" si="747">SUM(O1220:O1224)</f>
        <v>526</v>
      </c>
      <c r="P1225" s="47">
        <f t="shared" si="747"/>
        <v>775</v>
      </c>
      <c r="Q1225" s="40">
        <f t="shared" si="747"/>
        <v>512</v>
      </c>
      <c r="R1225" s="88">
        <f t="shared" si="747"/>
        <v>454</v>
      </c>
      <c r="S1225" s="89">
        <f t="shared" si="747"/>
        <v>2267</v>
      </c>
      <c r="T1225" s="39">
        <f t="shared" si="747"/>
        <v>470</v>
      </c>
      <c r="U1225" s="47">
        <f t="shared" si="747"/>
        <v>687</v>
      </c>
      <c r="V1225" s="40">
        <f t="shared" si="747"/>
        <v>460</v>
      </c>
      <c r="W1225" s="88">
        <f t="shared" si="747"/>
        <v>414</v>
      </c>
      <c r="X1225" s="89">
        <f t="shared" si="747"/>
        <v>2031</v>
      </c>
      <c r="Y1225" s="49">
        <f t="shared" si="742"/>
        <v>4298</v>
      </c>
    </row>
    <row r="1226" spans="1:26" x14ac:dyDescent="0.15">
      <c r="A1226" s="70"/>
      <c r="B1226" s="25"/>
      <c r="C1226" s="45"/>
      <c r="D1226" s="26"/>
      <c r="E1226" s="32"/>
      <c r="F1226" s="33">
        <f t="shared" ref="F1226:F1250" si="748">SUM(B1226:E1226)</f>
        <v>0</v>
      </c>
      <c r="G1226" s="25"/>
      <c r="H1226" s="45"/>
      <c r="I1226" s="26"/>
      <c r="J1226" s="32"/>
      <c r="K1226" s="33">
        <f t="shared" ref="K1226:K1250" si="749">SUM(G1226:J1226)</f>
        <v>0</v>
      </c>
      <c r="L1226" s="11">
        <f t="shared" si="745"/>
        <v>0</v>
      </c>
      <c r="N1226" s="50"/>
      <c r="O1226" s="25"/>
      <c r="P1226" s="45"/>
      <c r="Q1226" s="26"/>
      <c r="R1226" s="32"/>
      <c r="S1226" s="33">
        <f t="shared" ref="S1226:S1251" si="750">SUM(O1226:R1226)</f>
        <v>0</v>
      </c>
      <c r="T1226" s="25"/>
      <c r="U1226" s="45"/>
      <c r="V1226" s="26"/>
      <c r="W1226" s="32"/>
      <c r="X1226" s="33">
        <f t="shared" ref="X1226:X1251" si="751">SUM(T1226:W1226)</f>
        <v>0</v>
      </c>
      <c r="Y1226" s="11">
        <f t="shared" si="742"/>
        <v>0</v>
      </c>
    </row>
    <row r="1227" spans="1:26" x14ac:dyDescent="0.15">
      <c r="A1227" s="70"/>
      <c r="B1227" s="25"/>
      <c r="C1227" s="45"/>
      <c r="D1227" s="26"/>
      <c r="E1227" s="32"/>
      <c r="F1227" s="33">
        <f t="shared" si="748"/>
        <v>0</v>
      </c>
      <c r="G1227" s="25"/>
      <c r="H1227" s="45"/>
      <c r="I1227" s="26"/>
      <c r="J1227" s="32"/>
      <c r="K1227" s="33">
        <f t="shared" si="749"/>
        <v>0</v>
      </c>
      <c r="L1227" s="11">
        <f t="shared" si="745"/>
        <v>0</v>
      </c>
      <c r="N1227" s="50"/>
      <c r="O1227" s="25"/>
      <c r="P1227" s="45"/>
      <c r="Q1227" s="26"/>
      <c r="R1227" s="32"/>
      <c r="S1227" s="33">
        <f t="shared" si="750"/>
        <v>0</v>
      </c>
      <c r="T1227" s="25"/>
      <c r="U1227" s="45"/>
      <c r="V1227" s="26"/>
      <c r="W1227" s="32"/>
      <c r="X1227" s="33">
        <f t="shared" si="751"/>
        <v>0</v>
      </c>
      <c r="Y1227" s="11">
        <f t="shared" si="742"/>
        <v>0</v>
      </c>
    </row>
    <row r="1228" spans="1:26" x14ac:dyDescent="0.15">
      <c r="A1228" s="70"/>
      <c r="B1228" s="25"/>
      <c r="C1228" s="45"/>
      <c r="D1228" s="26"/>
      <c r="E1228" s="32"/>
      <c r="F1228" s="33">
        <f t="shared" si="748"/>
        <v>0</v>
      </c>
      <c r="G1228" s="25"/>
      <c r="H1228" s="45"/>
      <c r="I1228" s="26"/>
      <c r="J1228" s="32"/>
      <c r="K1228" s="33">
        <f t="shared" si="749"/>
        <v>0</v>
      </c>
      <c r="L1228" s="11">
        <f t="shared" si="745"/>
        <v>0</v>
      </c>
      <c r="N1228" s="50"/>
      <c r="O1228" s="25"/>
      <c r="P1228" s="45"/>
      <c r="Q1228" s="26"/>
      <c r="R1228" s="32"/>
      <c r="S1228" s="33">
        <f t="shared" si="750"/>
        <v>0</v>
      </c>
      <c r="T1228" s="25"/>
      <c r="U1228" s="45"/>
      <c r="V1228" s="26"/>
      <c r="W1228" s="32"/>
      <c r="X1228" s="33">
        <f t="shared" si="751"/>
        <v>0</v>
      </c>
      <c r="Y1228" s="11">
        <f t="shared" si="742"/>
        <v>0</v>
      </c>
    </row>
    <row r="1229" spans="1:26" x14ac:dyDescent="0.15">
      <c r="A1229" s="70"/>
      <c r="B1229" s="25"/>
      <c r="C1229" s="45"/>
      <c r="D1229" s="26"/>
      <c r="E1229" s="32"/>
      <c r="F1229" s="33">
        <f t="shared" si="748"/>
        <v>0</v>
      </c>
      <c r="G1229" s="25"/>
      <c r="H1229" s="45"/>
      <c r="I1229" s="26"/>
      <c r="J1229" s="32"/>
      <c r="K1229" s="33">
        <f t="shared" si="749"/>
        <v>0</v>
      </c>
      <c r="L1229" s="11">
        <f t="shared" si="745"/>
        <v>0</v>
      </c>
      <c r="N1229" s="50"/>
      <c r="O1229" s="25"/>
      <c r="P1229" s="45"/>
      <c r="Q1229" s="26"/>
      <c r="R1229" s="32"/>
      <c r="S1229" s="33">
        <f t="shared" si="750"/>
        <v>0</v>
      </c>
      <c r="T1229" s="25"/>
      <c r="U1229" s="45"/>
      <c r="V1229" s="26"/>
      <c r="W1229" s="32"/>
      <c r="X1229" s="33">
        <f t="shared" si="751"/>
        <v>0</v>
      </c>
      <c r="Y1229" s="11">
        <f t="shared" si="742"/>
        <v>0</v>
      </c>
    </row>
    <row r="1230" spans="1:26" x14ac:dyDescent="0.15">
      <c r="A1230" s="70"/>
      <c r="B1230" s="25"/>
      <c r="C1230" s="45"/>
      <c r="D1230" s="26"/>
      <c r="E1230" s="32"/>
      <c r="F1230" s="33">
        <f t="shared" si="748"/>
        <v>0</v>
      </c>
      <c r="G1230" s="25"/>
      <c r="H1230" s="45"/>
      <c r="I1230" s="26"/>
      <c r="J1230" s="32"/>
      <c r="K1230" s="33">
        <f t="shared" si="749"/>
        <v>0</v>
      </c>
      <c r="L1230" s="11">
        <f t="shared" si="745"/>
        <v>0</v>
      </c>
      <c r="N1230" s="50"/>
      <c r="O1230" s="25"/>
      <c r="P1230" s="45"/>
      <c r="Q1230" s="26"/>
      <c r="R1230" s="32"/>
      <c r="S1230" s="33">
        <f t="shared" si="750"/>
        <v>0</v>
      </c>
      <c r="T1230" s="25"/>
      <c r="U1230" s="45"/>
      <c r="V1230" s="26"/>
      <c r="W1230" s="32"/>
      <c r="X1230" s="33">
        <f t="shared" si="751"/>
        <v>0</v>
      </c>
      <c r="Y1230" s="11">
        <f t="shared" si="742"/>
        <v>0</v>
      </c>
    </row>
    <row r="1231" spans="1:26" x14ac:dyDescent="0.15">
      <c r="A1231" s="70"/>
      <c r="B1231" s="25"/>
      <c r="C1231" s="45"/>
      <c r="D1231" s="26"/>
      <c r="E1231" s="32"/>
      <c r="F1231" s="33">
        <f t="shared" si="748"/>
        <v>0</v>
      </c>
      <c r="G1231" s="25"/>
      <c r="H1231" s="45"/>
      <c r="I1231" s="26"/>
      <c r="J1231" s="32"/>
      <c r="K1231" s="33">
        <f t="shared" si="749"/>
        <v>0</v>
      </c>
      <c r="L1231" s="11">
        <f t="shared" si="745"/>
        <v>0</v>
      </c>
      <c r="N1231" s="50"/>
      <c r="O1231" s="25"/>
      <c r="P1231" s="45"/>
      <c r="Q1231" s="26"/>
      <c r="R1231" s="32"/>
      <c r="S1231" s="33">
        <f t="shared" si="750"/>
        <v>0</v>
      </c>
      <c r="T1231" s="25"/>
      <c r="U1231" s="45"/>
      <c r="V1231" s="26"/>
      <c r="W1231" s="32"/>
      <c r="X1231" s="33">
        <f t="shared" si="751"/>
        <v>0</v>
      </c>
      <c r="Y1231" s="11">
        <f t="shared" si="742"/>
        <v>0</v>
      </c>
    </row>
    <row r="1232" spans="1:26" x14ac:dyDescent="0.15">
      <c r="A1232" s="70"/>
      <c r="B1232" s="25"/>
      <c r="C1232" s="45"/>
      <c r="D1232" s="26"/>
      <c r="E1232" s="32"/>
      <c r="F1232" s="33">
        <f t="shared" si="748"/>
        <v>0</v>
      </c>
      <c r="G1232" s="25"/>
      <c r="H1232" s="45"/>
      <c r="I1232" s="26"/>
      <c r="J1232" s="32"/>
      <c r="K1232" s="33">
        <f t="shared" si="749"/>
        <v>0</v>
      </c>
      <c r="L1232" s="11">
        <f t="shared" si="745"/>
        <v>0</v>
      </c>
      <c r="N1232" s="50"/>
      <c r="O1232" s="25"/>
      <c r="P1232" s="45"/>
      <c r="Q1232" s="26"/>
      <c r="R1232" s="32"/>
      <c r="S1232" s="33">
        <f t="shared" si="750"/>
        <v>0</v>
      </c>
      <c r="T1232" s="25"/>
      <c r="U1232" s="45"/>
      <c r="V1232" s="26"/>
      <c r="W1232" s="32"/>
      <c r="X1232" s="33">
        <f t="shared" si="751"/>
        <v>0</v>
      </c>
      <c r="Y1232" s="11">
        <f t="shared" si="742"/>
        <v>0</v>
      </c>
    </row>
    <row r="1233" spans="1:25" x14ac:dyDescent="0.15">
      <c r="A1233" s="70"/>
      <c r="B1233" s="25"/>
      <c r="C1233" s="45"/>
      <c r="D1233" s="26"/>
      <c r="E1233" s="32"/>
      <c r="F1233" s="33">
        <f t="shared" si="748"/>
        <v>0</v>
      </c>
      <c r="G1233" s="25"/>
      <c r="H1233" s="45"/>
      <c r="I1233" s="26"/>
      <c r="J1233" s="32"/>
      <c r="K1233" s="33">
        <f t="shared" si="749"/>
        <v>0</v>
      </c>
      <c r="L1233" s="11">
        <f t="shared" si="745"/>
        <v>0</v>
      </c>
      <c r="N1233" s="50"/>
      <c r="O1233" s="25"/>
      <c r="P1233" s="45"/>
      <c r="Q1233" s="26"/>
      <c r="R1233" s="32"/>
      <c r="S1233" s="33">
        <f t="shared" si="750"/>
        <v>0</v>
      </c>
      <c r="T1233" s="25"/>
      <c r="U1233" s="45"/>
      <c r="V1233" s="26"/>
      <c r="W1233" s="32"/>
      <c r="X1233" s="33">
        <f t="shared" si="751"/>
        <v>0</v>
      </c>
      <c r="Y1233" s="11">
        <f t="shared" si="742"/>
        <v>0</v>
      </c>
    </row>
    <row r="1234" spans="1:25" x14ac:dyDescent="0.15">
      <c r="A1234" s="70"/>
      <c r="B1234" s="25"/>
      <c r="C1234" s="45"/>
      <c r="D1234" s="26"/>
      <c r="E1234" s="32"/>
      <c r="F1234" s="33">
        <f t="shared" si="748"/>
        <v>0</v>
      </c>
      <c r="G1234" s="25"/>
      <c r="H1234" s="45"/>
      <c r="I1234" s="26"/>
      <c r="J1234" s="32"/>
      <c r="K1234" s="33">
        <f t="shared" si="749"/>
        <v>0</v>
      </c>
      <c r="L1234" s="11">
        <f t="shared" si="745"/>
        <v>0</v>
      </c>
      <c r="N1234" s="50"/>
      <c r="O1234" s="25"/>
      <c r="P1234" s="45"/>
      <c r="Q1234" s="26"/>
      <c r="R1234" s="32"/>
      <c r="S1234" s="33">
        <f t="shared" si="750"/>
        <v>0</v>
      </c>
      <c r="T1234" s="25"/>
      <c r="U1234" s="45"/>
      <c r="V1234" s="26"/>
      <c r="W1234" s="32"/>
      <c r="X1234" s="33">
        <f t="shared" si="751"/>
        <v>0</v>
      </c>
      <c r="Y1234" s="11">
        <f t="shared" si="742"/>
        <v>0</v>
      </c>
    </row>
    <row r="1235" spans="1:25" x14ac:dyDescent="0.15">
      <c r="A1235" s="70"/>
      <c r="B1235" s="25"/>
      <c r="C1235" s="45"/>
      <c r="D1235" s="26"/>
      <c r="E1235" s="32"/>
      <c r="F1235" s="33">
        <f t="shared" si="748"/>
        <v>0</v>
      </c>
      <c r="G1235" s="25"/>
      <c r="H1235" s="45"/>
      <c r="I1235" s="26"/>
      <c r="J1235" s="32"/>
      <c r="K1235" s="33">
        <f t="shared" si="749"/>
        <v>0</v>
      </c>
      <c r="L1235" s="11">
        <f t="shared" si="745"/>
        <v>0</v>
      </c>
      <c r="N1235" s="50"/>
      <c r="O1235" s="25"/>
      <c r="P1235" s="45"/>
      <c r="Q1235" s="26"/>
      <c r="R1235" s="32"/>
      <c r="S1235" s="33">
        <f t="shared" si="750"/>
        <v>0</v>
      </c>
      <c r="T1235" s="25"/>
      <c r="U1235" s="45"/>
      <c r="V1235" s="26"/>
      <c r="W1235" s="32"/>
      <c r="X1235" s="33">
        <f t="shared" si="751"/>
        <v>0</v>
      </c>
      <c r="Y1235" s="11">
        <f t="shared" si="742"/>
        <v>0</v>
      </c>
    </row>
    <row r="1236" spans="1:25" x14ac:dyDescent="0.15">
      <c r="A1236" s="70"/>
      <c r="B1236" s="25"/>
      <c r="C1236" s="45"/>
      <c r="D1236" s="26"/>
      <c r="E1236" s="32"/>
      <c r="F1236" s="33">
        <f t="shared" si="748"/>
        <v>0</v>
      </c>
      <c r="G1236" s="25"/>
      <c r="H1236" s="45"/>
      <c r="I1236" s="26"/>
      <c r="J1236" s="32"/>
      <c r="K1236" s="33">
        <f t="shared" si="749"/>
        <v>0</v>
      </c>
      <c r="L1236" s="11">
        <f t="shared" si="745"/>
        <v>0</v>
      </c>
      <c r="N1236" s="50"/>
      <c r="O1236" s="25"/>
      <c r="P1236" s="45"/>
      <c r="Q1236" s="26"/>
      <c r="R1236" s="32"/>
      <c r="S1236" s="33">
        <f t="shared" si="750"/>
        <v>0</v>
      </c>
      <c r="T1236" s="25"/>
      <c r="U1236" s="45"/>
      <c r="V1236" s="26"/>
      <c r="W1236" s="32"/>
      <c r="X1236" s="33">
        <f t="shared" si="751"/>
        <v>0</v>
      </c>
      <c r="Y1236" s="11">
        <f t="shared" si="742"/>
        <v>0</v>
      </c>
    </row>
    <row r="1237" spans="1:25" x14ac:dyDescent="0.15">
      <c r="A1237" s="70"/>
      <c r="B1237" s="25"/>
      <c r="C1237" s="45"/>
      <c r="D1237" s="26"/>
      <c r="E1237" s="32"/>
      <c r="F1237" s="33">
        <f t="shared" si="748"/>
        <v>0</v>
      </c>
      <c r="G1237" s="25"/>
      <c r="H1237" s="45"/>
      <c r="I1237" s="26"/>
      <c r="J1237" s="32"/>
      <c r="K1237" s="33">
        <f t="shared" si="749"/>
        <v>0</v>
      </c>
      <c r="L1237" s="11">
        <f t="shared" si="745"/>
        <v>0</v>
      </c>
      <c r="N1237" s="50"/>
      <c r="O1237" s="25"/>
      <c r="P1237" s="45"/>
      <c r="Q1237" s="26"/>
      <c r="R1237" s="32"/>
      <c r="S1237" s="33">
        <f t="shared" si="750"/>
        <v>0</v>
      </c>
      <c r="T1237" s="25"/>
      <c r="U1237" s="45"/>
      <c r="V1237" s="26"/>
      <c r="W1237" s="32"/>
      <c r="X1237" s="33">
        <f t="shared" si="751"/>
        <v>0</v>
      </c>
      <c r="Y1237" s="11">
        <f t="shared" si="742"/>
        <v>0</v>
      </c>
    </row>
    <row r="1238" spans="1:25" x14ac:dyDescent="0.15">
      <c r="A1238" s="70"/>
      <c r="B1238" s="25"/>
      <c r="C1238" s="45"/>
      <c r="D1238" s="26"/>
      <c r="E1238" s="32"/>
      <c r="F1238" s="33">
        <f t="shared" si="748"/>
        <v>0</v>
      </c>
      <c r="G1238" s="25"/>
      <c r="H1238" s="45"/>
      <c r="I1238" s="26"/>
      <c r="J1238" s="32"/>
      <c r="K1238" s="33">
        <f t="shared" si="749"/>
        <v>0</v>
      </c>
      <c r="L1238" s="11">
        <f t="shared" si="745"/>
        <v>0</v>
      </c>
      <c r="N1238" s="50"/>
      <c r="O1238" s="25"/>
      <c r="P1238" s="45"/>
      <c r="Q1238" s="26"/>
      <c r="R1238" s="32"/>
      <c r="S1238" s="33">
        <f t="shared" si="750"/>
        <v>0</v>
      </c>
      <c r="T1238" s="25"/>
      <c r="U1238" s="45"/>
      <c r="V1238" s="26"/>
      <c r="W1238" s="32"/>
      <c r="X1238" s="33">
        <f t="shared" si="751"/>
        <v>0</v>
      </c>
      <c r="Y1238" s="11">
        <f t="shared" si="742"/>
        <v>0</v>
      </c>
    </row>
    <row r="1239" spans="1:25" x14ac:dyDescent="0.15">
      <c r="A1239" s="70"/>
      <c r="B1239" s="25"/>
      <c r="C1239" s="45"/>
      <c r="D1239" s="26"/>
      <c r="E1239" s="32"/>
      <c r="F1239" s="33">
        <f t="shared" si="748"/>
        <v>0</v>
      </c>
      <c r="G1239" s="25"/>
      <c r="H1239" s="45"/>
      <c r="I1239" s="26"/>
      <c r="J1239" s="32"/>
      <c r="K1239" s="33">
        <f t="shared" si="749"/>
        <v>0</v>
      </c>
      <c r="L1239" s="11">
        <f t="shared" si="745"/>
        <v>0</v>
      </c>
      <c r="N1239" s="50"/>
      <c r="O1239" s="25"/>
      <c r="P1239" s="45"/>
      <c r="Q1239" s="26"/>
      <c r="R1239" s="32"/>
      <c r="S1239" s="33">
        <f t="shared" si="750"/>
        <v>0</v>
      </c>
      <c r="T1239" s="25"/>
      <c r="U1239" s="45"/>
      <c r="V1239" s="26"/>
      <c r="W1239" s="32"/>
      <c r="X1239" s="33">
        <f t="shared" si="751"/>
        <v>0</v>
      </c>
      <c r="Y1239" s="11">
        <f t="shared" si="742"/>
        <v>0</v>
      </c>
    </row>
    <row r="1240" spans="1:25" x14ac:dyDescent="0.15">
      <c r="A1240" s="70"/>
      <c r="B1240" s="25"/>
      <c r="C1240" s="45"/>
      <c r="D1240" s="26"/>
      <c r="E1240" s="32"/>
      <c r="F1240" s="33">
        <f t="shared" si="748"/>
        <v>0</v>
      </c>
      <c r="G1240" s="25"/>
      <c r="H1240" s="45"/>
      <c r="I1240" s="26"/>
      <c r="J1240" s="32"/>
      <c r="K1240" s="33">
        <f t="shared" si="749"/>
        <v>0</v>
      </c>
      <c r="L1240" s="11">
        <f t="shared" si="745"/>
        <v>0</v>
      </c>
      <c r="N1240" s="50"/>
      <c r="O1240" s="25"/>
      <c r="P1240" s="45"/>
      <c r="Q1240" s="26"/>
      <c r="R1240" s="32"/>
      <c r="S1240" s="33">
        <f t="shared" si="750"/>
        <v>0</v>
      </c>
      <c r="T1240" s="25"/>
      <c r="U1240" s="45"/>
      <c r="V1240" s="26"/>
      <c r="W1240" s="32"/>
      <c r="X1240" s="33">
        <f t="shared" si="751"/>
        <v>0</v>
      </c>
      <c r="Y1240" s="11">
        <f t="shared" si="742"/>
        <v>0</v>
      </c>
    </row>
    <row r="1241" spans="1:25" x14ac:dyDescent="0.15">
      <c r="A1241" s="70"/>
      <c r="B1241" s="25"/>
      <c r="C1241" s="45"/>
      <c r="D1241" s="26"/>
      <c r="E1241" s="32"/>
      <c r="F1241" s="33">
        <f t="shared" si="748"/>
        <v>0</v>
      </c>
      <c r="G1241" s="25"/>
      <c r="H1241" s="45"/>
      <c r="I1241" s="26"/>
      <c r="J1241" s="32"/>
      <c r="K1241" s="33">
        <f t="shared" si="749"/>
        <v>0</v>
      </c>
      <c r="L1241" s="11">
        <f t="shared" si="745"/>
        <v>0</v>
      </c>
      <c r="N1241" s="50"/>
      <c r="O1241" s="25"/>
      <c r="P1241" s="45"/>
      <c r="Q1241" s="26"/>
      <c r="R1241" s="32"/>
      <c r="S1241" s="33">
        <f t="shared" si="750"/>
        <v>0</v>
      </c>
      <c r="T1241" s="25"/>
      <c r="U1241" s="45"/>
      <c r="V1241" s="26"/>
      <c r="W1241" s="32"/>
      <c r="X1241" s="33">
        <f t="shared" si="751"/>
        <v>0</v>
      </c>
      <c r="Y1241" s="11">
        <f t="shared" si="742"/>
        <v>0</v>
      </c>
    </row>
    <row r="1242" spans="1:25" x14ac:dyDescent="0.15">
      <c r="A1242" s="70"/>
      <c r="B1242" s="25"/>
      <c r="C1242" s="45"/>
      <c r="D1242" s="26"/>
      <c r="E1242" s="32"/>
      <c r="F1242" s="33">
        <f t="shared" si="748"/>
        <v>0</v>
      </c>
      <c r="G1242" s="25"/>
      <c r="H1242" s="45"/>
      <c r="I1242" s="26"/>
      <c r="J1242" s="32"/>
      <c r="K1242" s="33">
        <f t="shared" si="749"/>
        <v>0</v>
      </c>
      <c r="L1242" s="11">
        <f t="shared" si="745"/>
        <v>0</v>
      </c>
      <c r="N1242" s="50"/>
      <c r="O1242" s="25"/>
      <c r="P1242" s="45"/>
      <c r="Q1242" s="26"/>
      <c r="R1242" s="32"/>
      <c r="S1242" s="33">
        <f t="shared" si="750"/>
        <v>0</v>
      </c>
      <c r="T1242" s="25"/>
      <c r="U1242" s="45"/>
      <c r="V1242" s="26"/>
      <c r="W1242" s="32"/>
      <c r="X1242" s="33">
        <f t="shared" si="751"/>
        <v>0</v>
      </c>
      <c r="Y1242" s="11">
        <f t="shared" si="742"/>
        <v>0</v>
      </c>
    </row>
    <row r="1243" spans="1:25" x14ac:dyDescent="0.15">
      <c r="A1243" s="70"/>
      <c r="B1243" s="25"/>
      <c r="C1243" s="45"/>
      <c r="D1243" s="26"/>
      <c r="E1243" s="32"/>
      <c r="F1243" s="33">
        <f t="shared" si="748"/>
        <v>0</v>
      </c>
      <c r="G1243" s="25"/>
      <c r="H1243" s="45"/>
      <c r="I1243" s="26"/>
      <c r="J1243" s="32"/>
      <c r="K1243" s="33">
        <f t="shared" si="749"/>
        <v>0</v>
      </c>
      <c r="L1243" s="11">
        <f t="shared" si="745"/>
        <v>0</v>
      </c>
      <c r="N1243" s="50"/>
      <c r="O1243" s="25"/>
      <c r="P1243" s="45"/>
      <c r="Q1243" s="26"/>
      <c r="R1243" s="32"/>
      <c r="S1243" s="33">
        <f t="shared" si="750"/>
        <v>0</v>
      </c>
      <c r="T1243" s="25"/>
      <c r="U1243" s="45"/>
      <c r="V1243" s="26"/>
      <c r="W1243" s="32"/>
      <c r="X1243" s="33">
        <f t="shared" si="751"/>
        <v>0</v>
      </c>
      <c r="Y1243" s="11">
        <f t="shared" si="742"/>
        <v>0</v>
      </c>
    </row>
    <row r="1244" spans="1:25" x14ac:dyDescent="0.15">
      <c r="A1244" s="70"/>
      <c r="B1244" s="25"/>
      <c r="C1244" s="45"/>
      <c r="D1244" s="26"/>
      <c r="E1244" s="32"/>
      <c r="F1244" s="33">
        <f t="shared" si="748"/>
        <v>0</v>
      </c>
      <c r="G1244" s="25"/>
      <c r="H1244" s="45"/>
      <c r="I1244" s="26"/>
      <c r="J1244" s="32"/>
      <c r="K1244" s="33">
        <f t="shared" si="749"/>
        <v>0</v>
      </c>
      <c r="L1244" s="11">
        <f t="shared" si="745"/>
        <v>0</v>
      </c>
      <c r="N1244" s="50"/>
      <c r="O1244" s="25"/>
      <c r="P1244" s="45"/>
      <c r="Q1244" s="26"/>
      <c r="R1244" s="32"/>
      <c r="S1244" s="33">
        <f t="shared" si="750"/>
        <v>0</v>
      </c>
      <c r="T1244" s="25"/>
      <c r="U1244" s="45"/>
      <c r="V1244" s="26"/>
      <c r="W1244" s="32"/>
      <c r="X1244" s="33">
        <f t="shared" si="751"/>
        <v>0</v>
      </c>
      <c r="Y1244" s="11">
        <f t="shared" si="742"/>
        <v>0</v>
      </c>
    </row>
    <row r="1245" spans="1:25" x14ac:dyDescent="0.15">
      <c r="A1245" s="70"/>
      <c r="B1245" s="25"/>
      <c r="C1245" s="45"/>
      <c r="D1245" s="26"/>
      <c r="E1245" s="32"/>
      <c r="F1245" s="33">
        <f t="shared" si="748"/>
        <v>0</v>
      </c>
      <c r="G1245" s="25"/>
      <c r="H1245" s="45"/>
      <c r="I1245" s="26"/>
      <c r="J1245" s="32"/>
      <c r="K1245" s="33">
        <f t="shared" si="749"/>
        <v>0</v>
      </c>
      <c r="L1245" s="11">
        <f t="shared" si="745"/>
        <v>0</v>
      </c>
      <c r="N1245" s="50"/>
      <c r="O1245" s="25"/>
      <c r="P1245" s="45"/>
      <c r="Q1245" s="26"/>
      <c r="R1245" s="32"/>
      <c r="S1245" s="33">
        <f t="shared" si="750"/>
        <v>0</v>
      </c>
      <c r="T1245" s="25"/>
      <c r="U1245" s="45"/>
      <c r="V1245" s="26"/>
      <c r="W1245" s="32"/>
      <c r="X1245" s="33">
        <f t="shared" si="751"/>
        <v>0</v>
      </c>
      <c r="Y1245" s="11">
        <f t="shared" si="742"/>
        <v>0</v>
      </c>
    </row>
    <row r="1246" spans="1:25" x14ac:dyDescent="0.15">
      <c r="A1246" s="70"/>
      <c r="B1246" s="25"/>
      <c r="C1246" s="45"/>
      <c r="D1246" s="26"/>
      <c r="E1246" s="32"/>
      <c r="F1246" s="33">
        <f t="shared" si="748"/>
        <v>0</v>
      </c>
      <c r="G1246" s="25"/>
      <c r="H1246" s="45"/>
      <c r="I1246" s="26"/>
      <c r="J1246" s="32"/>
      <c r="K1246" s="33">
        <f t="shared" si="749"/>
        <v>0</v>
      </c>
      <c r="L1246" s="11">
        <f t="shared" si="745"/>
        <v>0</v>
      </c>
      <c r="N1246" s="50"/>
      <c r="O1246" s="25"/>
      <c r="P1246" s="45"/>
      <c r="Q1246" s="26"/>
      <c r="R1246" s="32"/>
      <c r="S1246" s="33">
        <f t="shared" si="750"/>
        <v>0</v>
      </c>
      <c r="T1246" s="25"/>
      <c r="U1246" s="45"/>
      <c r="V1246" s="26"/>
      <c r="W1246" s="32"/>
      <c r="X1246" s="33">
        <f t="shared" si="751"/>
        <v>0</v>
      </c>
      <c r="Y1246" s="11">
        <f t="shared" si="742"/>
        <v>0</v>
      </c>
    </row>
    <row r="1247" spans="1:25" x14ac:dyDescent="0.15">
      <c r="A1247" s="70"/>
      <c r="B1247" s="25"/>
      <c r="C1247" s="45"/>
      <c r="D1247" s="26"/>
      <c r="E1247" s="32"/>
      <c r="F1247" s="33">
        <f t="shared" si="748"/>
        <v>0</v>
      </c>
      <c r="G1247" s="25"/>
      <c r="H1247" s="45"/>
      <c r="I1247" s="26"/>
      <c r="J1247" s="32"/>
      <c r="K1247" s="33">
        <f t="shared" si="749"/>
        <v>0</v>
      </c>
      <c r="L1247" s="11">
        <f t="shared" si="745"/>
        <v>0</v>
      </c>
      <c r="N1247" s="50"/>
      <c r="O1247" s="25"/>
      <c r="P1247" s="45"/>
      <c r="Q1247" s="26"/>
      <c r="R1247" s="32"/>
      <c r="S1247" s="33">
        <f t="shared" si="750"/>
        <v>0</v>
      </c>
      <c r="T1247" s="25"/>
      <c r="U1247" s="45"/>
      <c r="V1247" s="26"/>
      <c r="W1247" s="32"/>
      <c r="X1247" s="33">
        <f t="shared" si="751"/>
        <v>0</v>
      </c>
      <c r="Y1247" s="11">
        <f t="shared" si="742"/>
        <v>0</v>
      </c>
    </row>
    <row r="1248" spans="1:25" x14ac:dyDescent="0.15">
      <c r="A1248" s="70"/>
      <c r="B1248" s="25"/>
      <c r="C1248" s="45"/>
      <c r="D1248" s="26"/>
      <c r="E1248" s="32"/>
      <c r="F1248" s="33">
        <f t="shared" si="748"/>
        <v>0</v>
      </c>
      <c r="G1248" s="25"/>
      <c r="H1248" s="45"/>
      <c r="I1248" s="26"/>
      <c r="J1248" s="32"/>
      <c r="K1248" s="33">
        <f t="shared" si="749"/>
        <v>0</v>
      </c>
      <c r="L1248" s="11">
        <f t="shared" si="745"/>
        <v>0</v>
      </c>
      <c r="N1248" s="50"/>
      <c r="O1248" s="25"/>
      <c r="P1248" s="45"/>
      <c r="Q1248" s="26"/>
      <c r="R1248" s="32"/>
      <c r="S1248" s="33">
        <f t="shared" si="750"/>
        <v>0</v>
      </c>
      <c r="T1248" s="25"/>
      <c r="U1248" s="45"/>
      <c r="V1248" s="26"/>
      <c r="W1248" s="32"/>
      <c r="X1248" s="33">
        <f t="shared" si="751"/>
        <v>0</v>
      </c>
      <c r="Y1248" s="11">
        <f t="shared" si="742"/>
        <v>0</v>
      </c>
    </row>
    <row r="1249" spans="1:25" x14ac:dyDescent="0.15">
      <c r="A1249" s="70"/>
      <c r="B1249" s="25"/>
      <c r="C1249" s="45"/>
      <c r="D1249" s="26"/>
      <c r="E1249" s="32"/>
      <c r="F1249" s="33">
        <f t="shared" si="748"/>
        <v>0</v>
      </c>
      <c r="G1249" s="25"/>
      <c r="H1249" s="45"/>
      <c r="I1249" s="26"/>
      <c r="J1249" s="32"/>
      <c r="K1249" s="33">
        <f t="shared" si="749"/>
        <v>0</v>
      </c>
      <c r="L1249" s="93">
        <f t="shared" si="745"/>
        <v>0</v>
      </c>
      <c r="N1249" s="50"/>
      <c r="O1249" s="25"/>
      <c r="P1249" s="45"/>
      <c r="Q1249" s="26"/>
      <c r="R1249" s="32"/>
      <c r="S1249" s="33">
        <f t="shared" si="750"/>
        <v>0</v>
      </c>
      <c r="T1249" s="25"/>
      <c r="U1249" s="45"/>
      <c r="V1249" s="26"/>
      <c r="W1249" s="32"/>
      <c r="X1249" s="33">
        <f t="shared" si="751"/>
        <v>0</v>
      </c>
      <c r="Y1249" s="11">
        <f t="shared" si="742"/>
        <v>0</v>
      </c>
    </row>
    <row r="1250" spans="1:25" ht="14.25" thickBot="1" x14ac:dyDescent="0.2">
      <c r="A1250" s="108"/>
      <c r="B1250" s="55"/>
      <c r="C1250" s="56"/>
      <c r="D1250" s="57"/>
      <c r="E1250" s="58"/>
      <c r="F1250" s="109">
        <f t="shared" si="748"/>
        <v>0</v>
      </c>
      <c r="G1250" s="55"/>
      <c r="H1250" s="56"/>
      <c r="I1250" s="57"/>
      <c r="J1250" s="58"/>
      <c r="K1250" s="109">
        <f t="shared" si="749"/>
        <v>0</v>
      </c>
      <c r="L1250" s="107">
        <f t="shared" si="745"/>
        <v>0</v>
      </c>
      <c r="N1250" s="74"/>
      <c r="O1250" s="55"/>
      <c r="P1250" s="56"/>
      <c r="Q1250" s="57"/>
      <c r="R1250" s="58"/>
      <c r="S1250" s="109">
        <f t="shared" ref="S1250" si="752">SUM(O1250:R1250)</f>
        <v>0</v>
      </c>
      <c r="T1250" s="55"/>
      <c r="U1250" s="56"/>
      <c r="V1250" s="57"/>
      <c r="W1250" s="58"/>
      <c r="X1250" s="109">
        <f t="shared" ref="X1250" si="753">SUM(T1250:W1250)</f>
        <v>0</v>
      </c>
      <c r="Y1250" s="107">
        <f t="shared" ref="Y1250" si="754">S1250+X1250</f>
        <v>0</v>
      </c>
    </row>
    <row r="1251" spans="1:25" ht="14.25" thickBot="1" x14ac:dyDescent="0.2">
      <c r="A1251" s="72" t="s">
        <v>10</v>
      </c>
      <c r="B1251" s="36">
        <f>SUM(B1226:B1250)</f>
        <v>0</v>
      </c>
      <c r="C1251" s="46">
        <f>SUM(C1226:C1250)</f>
        <v>0</v>
      </c>
      <c r="D1251" s="37">
        <f>SUM(D1226:D1250)</f>
        <v>0</v>
      </c>
      <c r="E1251" s="38">
        <f>SUM(E1226:E1250)</f>
        <v>0</v>
      </c>
      <c r="F1251" s="71">
        <f>SUM(B1251:E1251)</f>
        <v>0</v>
      </c>
      <c r="G1251" s="36">
        <f>SUM(G1226:G1250)</f>
        <v>0</v>
      </c>
      <c r="H1251" s="46">
        <f>SUM(H1226:H1250)</f>
        <v>0</v>
      </c>
      <c r="I1251" s="37">
        <f>SUM(I1226:I1250)</f>
        <v>0</v>
      </c>
      <c r="J1251" s="38">
        <f>SUM(J1226:J1250)</f>
        <v>0</v>
      </c>
      <c r="K1251" s="71">
        <f>SUM(G1251:J1251)</f>
        <v>0</v>
      </c>
      <c r="L1251" s="75">
        <f t="shared" si="745"/>
        <v>0</v>
      </c>
      <c r="N1251" s="72" t="s">
        <v>10</v>
      </c>
      <c r="O1251" s="36">
        <f>SUM(O1226:O1250)</f>
        <v>0</v>
      </c>
      <c r="P1251" s="46">
        <f>SUM(P1226:P1250)</f>
        <v>0</v>
      </c>
      <c r="Q1251" s="37">
        <f>SUM(Q1226:Q1250)</f>
        <v>0</v>
      </c>
      <c r="R1251" s="38">
        <f>SUM(R1226:R1250)</f>
        <v>0</v>
      </c>
      <c r="S1251" s="71">
        <f t="shared" si="750"/>
        <v>0</v>
      </c>
      <c r="T1251" s="36">
        <f>SUM(T1226:T1250)</f>
        <v>0</v>
      </c>
      <c r="U1251" s="46">
        <f>SUM(U1226:U1250)</f>
        <v>0</v>
      </c>
      <c r="V1251" s="37">
        <f>SUM(V1226:V1250)</f>
        <v>0</v>
      </c>
      <c r="W1251" s="38">
        <f>SUM(W1226:W1250)</f>
        <v>0</v>
      </c>
      <c r="X1251" s="71">
        <f t="shared" si="751"/>
        <v>0</v>
      </c>
      <c r="Y1251" s="75">
        <f t="shared" si="742"/>
        <v>0</v>
      </c>
    </row>
    <row r="1252" spans="1:25" ht="14.25" thickBot="1" x14ac:dyDescent="0.2">
      <c r="A1252" s="21" t="s">
        <v>11</v>
      </c>
      <c r="B1252" s="39">
        <f t="shared" ref="B1252:K1252" si="755">B1225-B1251</f>
        <v>10</v>
      </c>
      <c r="C1252" s="47">
        <f t="shared" si="755"/>
        <v>5</v>
      </c>
      <c r="D1252" s="40">
        <f t="shared" si="755"/>
        <v>8</v>
      </c>
      <c r="E1252" s="41">
        <f t="shared" si="755"/>
        <v>9</v>
      </c>
      <c r="F1252" s="54">
        <f t="shared" si="755"/>
        <v>32</v>
      </c>
      <c r="G1252" s="39">
        <f t="shared" si="755"/>
        <v>5</v>
      </c>
      <c r="H1252" s="47">
        <f t="shared" si="755"/>
        <v>7</v>
      </c>
      <c r="I1252" s="40">
        <f t="shared" si="755"/>
        <v>8</v>
      </c>
      <c r="J1252" s="41">
        <f t="shared" si="755"/>
        <v>5</v>
      </c>
      <c r="K1252" s="54">
        <f t="shared" si="755"/>
        <v>25</v>
      </c>
      <c r="L1252" s="20">
        <f t="shared" si="745"/>
        <v>57</v>
      </c>
      <c r="N1252" s="16" t="s">
        <v>11</v>
      </c>
      <c r="O1252" s="39">
        <f t="shared" ref="O1252:X1252" si="756">O1225-O1251</f>
        <v>526</v>
      </c>
      <c r="P1252" s="47">
        <f t="shared" si="756"/>
        <v>775</v>
      </c>
      <c r="Q1252" s="40">
        <f t="shared" si="756"/>
        <v>512</v>
      </c>
      <c r="R1252" s="41">
        <f t="shared" si="756"/>
        <v>454</v>
      </c>
      <c r="S1252" s="54">
        <f t="shared" si="756"/>
        <v>2267</v>
      </c>
      <c r="T1252" s="39">
        <f t="shared" si="756"/>
        <v>470</v>
      </c>
      <c r="U1252" s="47">
        <f t="shared" si="756"/>
        <v>687</v>
      </c>
      <c r="V1252" s="40">
        <f t="shared" si="756"/>
        <v>460</v>
      </c>
      <c r="W1252" s="41">
        <f t="shared" si="756"/>
        <v>414</v>
      </c>
      <c r="X1252" s="54">
        <f t="shared" si="756"/>
        <v>2031</v>
      </c>
      <c r="Y1252" s="20">
        <f t="shared" si="742"/>
        <v>4298</v>
      </c>
    </row>
    <row r="1253" spans="1:25" x14ac:dyDescent="0.15">
      <c r="N1253" s="225" t="s">
        <v>499</v>
      </c>
      <c r="O1253" s="94">
        <f>O1252/$S$1252*100</f>
        <v>23.202470224966916</v>
      </c>
      <c r="P1253" s="94">
        <f t="shared" ref="P1253:S1253" si="757">P1252/$S$1252*100</f>
        <v>34.18614909572122</v>
      </c>
      <c r="Q1253" s="94">
        <f t="shared" si="757"/>
        <v>22.584913983237758</v>
      </c>
      <c r="R1253" s="94">
        <f t="shared" si="757"/>
        <v>20.02646669607411</v>
      </c>
      <c r="S1253" s="94">
        <f t="shared" si="757"/>
        <v>100</v>
      </c>
      <c r="T1253" s="94">
        <f>T1252/$X$1252*100</f>
        <v>23.141309699655345</v>
      </c>
      <c r="U1253" s="94">
        <f t="shared" ref="U1253:X1253" si="758">U1252/$X$1252*100</f>
        <v>33.825701624815366</v>
      </c>
      <c r="V1253" s="94">
        <f t="shared" si="758"/>
        <v>22.648941408173314</v>
      </c>
      <c r="W1253" s="94">
        <f t="shared" si="758"/>
        <v>20.384047267355982</v>
      </c>
      <c r="X1253" s="94">
        <f t="shared" si="758"/>
        <v>100</v>
      </c>
      <c r="Y1253" s="91"/>
    </row>
    <row r="1254" spans="1:25" x14ac:dyDescent="0.15">
      <c r="N1254" s="226" t="s">
        <v>498</v>
      </c>
      <c r="O1254" s="119">
        <v>23.2</v>
      </c>
      <c r="P1254" s="119">
        <v>33.6</v>
      </c>
      <c r="Q1254" s="118">
        <v>23</v>
      </c>
      <c r="R1254" s="119">
        <v>20.2</v>
      </c>
      <c r="S1254" s="119">
        <f>SUM(O1254:R1254)</f>
        <v>100</v>
      </c>
      <c r="T1254" s="119">
        <v>22.9</v>
      </c>
      <c r="U1254" s="119">
        <v>33.9</v>
      </c>
      <c r="V1254" s="118">
        <v>23</v>
      </c>
      <c r="W1254" s="119">
        <v>20.2</v>
      </c>
      <c r="X1254" s="119">
        <f>SUM(T1254:W1254)</f>
        <v>100</v>
      </c>
      <c r="Y1254" s="91"/>
    </row>
  </sheetData>
  <mergeCells count="147">
    <mergeCell ref="O1218:S1218"/>
    <mergeCell ref="T1218:X1218"/>
    <mergeCell ref="B1218:F1218"/>
    <mergeCell ref="G1218:K1218"/>
    <mergeCell ref="O1180:S1180"/>
    <mergeCell ref="T1180:X1180"/>
    <mergeCell ref="B1180:F1180"/>
    <mergeCell ref="G1180:K1180"/>
    <mergeCell ref="O1104:S1104"/>
    <mergeCell ref="T1104:X1104"/>
    <mergeCell ref="B1104:F1104"/>
    <mergeCell ref="G1104:K1104"/>
    <mergeCell ref="B1066:F1066"/>
    <mergeCell ref="G1066:K1066"/>
    <mergeCell ref="O1066:S1066"/>
    <mergeCell ref="T1066:X1066"/>
    <mergeCell ref="O1142:S1142"/>
    <mergeCell ref="T1142:X1142"/>
    <mergeCell ref="B1142:F1142"/>
    <mergeCell ref="G1142:K1142"/>
    <mergeCell ref="O1028:S1028"/>
    <mergeCell ref="T1028:X1028"/>
    <mergeCell ref="O990:S990"/>
    <mergeCell ref="T990:X990"/>
    <mergeCell ref="B990:F990"/>
    <mergeCell ref="G990:K990"/>
    <mergeCell ref="B838:F838"/>
    <mergeCell ref="G838:K838"/>
    <mergeCell ref="O838:S838"/>
    <mergeCell ref="T838:X838"/>
    <mergeCell ref="B800:F800"/>
    <mergeCell ref="G800:K800"/>
    <mergeCell ref="O800:S800"/>
    <mergeCell ref="T800:X800"/>
    <mergeCell ref="B952:F952"/>
    <mergeCell ref="G952:K952"/>
    <mergeCell ref="B914:F914"/>
    <mergeCell ref="G914:K914"/>
    <mergeCell ref="O914:S914"/>
    <mergeCell ref="T914:X914"/>
    <mergeCell ref="B876:F876"/>
    <mergeCell ref="G876:K876"/>
    <mergeCell ref="O876:S876"/>
    <mergeCell ref="T876:X876"/>
    <mergeCell ref="O952:S952"/>
    <mergeCell ref="T952:X952"/>
    <mergeCell ref="O686:S686"/>
    <mergeCell ref="T686:X686"/>
    <mergeCell ref="B686:F686"/>
    <mergeCell ref="G686:K686"/>
    <mergeCell ref="B648:F648"/>
    <mergeCell ref="G648:K648"/>
    <mergeCell ref="O648:S648"/>
    <mergeCell ref="T648:X648"/>
    <mergeCell ref="B762:F762"/>
    <mergeCell ref="G762:K762"/>
    <mergeCell ref="O762:S762"/>
    <mergeCell ref="T762:X762"/>
    <mergeCell ref="B724:F724"/>
    <mergeCell ref="G724:K724"/>
    <mergeCell ref="O724:S724"/>
    <mergeCell ref="T724:X724"/>
    <mergeCell ref="B458:F458"/>
    <mergeCell ref="G458:K458"/>
    <mergeCell ref="L458:L459"/>
    <mergeCell ref="B610:F610"/>
    <mergeCell ref="G610:K610"/>
    <mergeCell ref="O610:S610"/>
    <mergeCell ref="T610:X610"/>
    <mergeCell ref="L496:L497"/>
    <mergeCell ref="T496:X496"/>
    <mergeCell ref="O496:S496"/>
    <mergeCell ref="B572:F572"/>
    <mergeCell ref="G572:K572"/>
    <mergeCell ref="O534:S534"/>
    <mergeCell ref="T534:X534"/>
    <mergeCell ref="B534:F534"/>
    <mergeCell ref="G534:K534"/>
    <mergeCell ref="B496:F496"/>
    <mergeCell ref="G496:K496"/>
    <mergeCell ref="O572:S572"/>
    <mergeCell ref="T572:X572"/>
    <mergeCell ref="O458:S458"/>
    <mergeCell ref="T458:X458"/>
    <mergeCell ref="O420:S420"/>
    <mergeCell ref="T420:X420"/>
    <mergeCell ref="B420:F420"/>
    <mergeCell ref="G420:K420"/>
    <mergeCell ref="L420:L421"/>
    <mergeCell ref="T382:X382"/>
    <mergeCell ref="O382:S382"/>
    <mergeCell ref="L382:L383"/>
    <mergeCell ref="G382:K382"/>
    <mergeCell ref="B382:F382"/>
    <mergeCell ref="B344:F344"/>
    <mergeCell ref="G344:K344"/>
    <mergeCell ref="L344:L345"/>
    <mergeCell ref="O344:S344"/>
    <mergeCell ref="T344:X344"/>
    <mergeCell ref="B306:F306"/>
    <mergeCell ref="G306:K306"/>
    <mergeCell ref="L306:L307"/>
    <mergeCell ref="B230:F230"/>
    <mergeCell ref="G230:K230"/>
    <mergeCell ref="Y2:Y3"/>
    <mergeCell ref="O2:S2"/>
    <mergeCell ref="T2:X2"/>
    <mergeCell ref="O40:S40"/>
    <mergeCell ref="T40:X40"/>
    <mergeCell ref="O78:S78"/>
    <mergeCell ref="T78:X78"/>
    <mergeCell ref="T268:X268"/>
    <mergeCell ref="O306:S306"/>
    <mergeCell ref="T306:X306"/>
    <mergeCell ref="T230:X230"/>
    <mergeCell ref="O230:S230"/>
    <mergeCell ref="O268:S268"/>
    <mergeCell ref="O192:S192"/>
    <mergeCell ref="T192:X192"/>
    <mergeCell ref="O154:S154"/>
    <mergeCell ref="T154:X154"/>
    <mergeCell ref="O116:S116"/>
    <mergeCell ref="T116:X116"/>
    <mergeCell ref="B2:F2"/>
    <mergeCell ref="G2:K2"/>
    <mergeCell ref="L2:L3"/>
    <mergeCell ref="B40:F40"/>
    <mergeCell ref="G40:K40"/>
    <mergeCell ref="L40:L41"/>
    <mergeCell ref="B78:F78"/>
    <mergeCell ref="B1028:F1028"/>
    <mergeCell ref="G1028:K1028"/>
    <mergeCell ref="G78:K78"/>
    <mergeCell ref="L78:L79"/>
    <mergeCell ref="G116:K116"/>
    <mergeCell ref="L116:L117"/>
    <mergeCell ref="B154:F154"/>
    <mergeCell ref="G154:K154"/>
    <mergeCell ref="L154:L155"/>
    <mergeCell ref="B192:F192"/>
    <mergeCell ref="G192:K192"/>
    <mergeCell ref="L192:L193"/>
    <mergeCell ref="B116:F116"/>
    <mergeCell ref="L230:L231"/>
    <mergeCell ref="B268:F268"/>
    <mergeCell ref="G268:K268"/>
    <mergeCell ref="L268:L269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2026-07-15T03:01:13Z</dcterms:modified>
</cp:coreProperties>
</file>